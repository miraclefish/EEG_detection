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<sst xmlns="http://schemas.openxmlformats.org/spreadsheetml/2006/main" count="701" uniqueCount="516">
  <si>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</si>
  <si>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</si>
  <si>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</si>
  <si>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</si>
  <si>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</si>
  <si>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</si>
  <si>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</si>
  <si>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</si>
  <si>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</si>
  <si>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</si>
  <si>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</si>
  <si>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</si>
  <si>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</si>
  <si>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</si>
  <si>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</si>
  <si>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</si>
  <si>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</si>
  <si>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</si>
  <si>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</si>
  <si>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</si>
  <si>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</si>
  <si>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</si>
  <si>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</si>
  <si>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</si>
  <si>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</si>
  <si>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</si>
  <si>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</si>
  <si>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</si>
  <si>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</si>
  <si>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</si>
  <si>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</si>
  <si>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</si>
  <si>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</si>
  <si>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</si>
  <si>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</si>
  <si>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</si>
  <si>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</si>
  <si>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</si>
  <si>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</si>
  <si>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</si>
  <si>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</si>
  <si>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</si>
  <si>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</si>
  <si>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</si>
  <si>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</si>
  <si>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</si>
  <si>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</si>
  <si>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</si>
  <si>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</si>
  <si>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</si>
  <si>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</si>
  <si>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</si>
  <si>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</si>
  <si>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</si>
  <si>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</si>
  <si>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</si>
  <si>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</si>
  <si>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</si>
  <si>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</si>
  <si>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</si>
  <si>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</si>
  <si>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</si>
  <si>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</si>
  <si>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</si>
  <si>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</si>
  <si>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</si>
  <si>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</si>
  <si>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</si>
  <si>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</si>
  <si>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</si>
  <si>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</si>
  <si>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</si>
  <si>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</si>
  <si>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</si>
  <si>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</si>
  <si>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</si>
  <si>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</si>
  <si>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</si>
  <si>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</si>
  <si>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</si>
  <si>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</si>
  <si>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</si>
  <si>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</si>
  <si>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</si>
  <si>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</si>
  <si>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</si>
  <si>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</si>
  <si>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</si>
  <si>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</si>
  <si>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</si>
  <si>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</si>
  <si>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</si>
  <si>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</si>
  <si>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</si>
  <si>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</si>
  <si>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</si>
  <si>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</si>
  <si>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</si>
  <si>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</si>
  <si>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</si>
  <si>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</si>
  <si>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</si>
  <si>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</si>
  <si>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</si>
  <si>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</si>
  <si>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</si>
  <si>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</si>
  <si>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</si>
  <si>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</si>
  <si>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</si>
  <si>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</si>
  <si>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</si>
  <si>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</si>
  <si>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</si>
  <si>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</si>
  <si>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</si>
  <si>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</si>
  <si>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</si>
  <si>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</si>
  <si>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</si>
  <si>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</si>
  <si>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</si>
  <si>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</si>
  <si>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</si>
  <si>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</si>
  <si>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</si>
  <si>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</si>
  <si>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</si>
  <si>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</si>
  <si>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</si>
  <si>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</si>
  <si>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</si>
  <si>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</si>
  <si>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</si>
  <si>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</si>
  <si>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</si>
  <si>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</si>
  <si>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</si>
  <si>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</si>
  <si>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</si>
  <si>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</si>
  <si>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</si>
  <si>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</si>
  <si>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</si>
  <si>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</si>
  <si>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</si>
  <si>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</si>
  <si>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</si>
  <si>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</si>
  <si>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</si>
  <si>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</si>
  <si>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</si>
  <si>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</si>
  <si>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</si>
  <si>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</si>
  <si>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</si>
  <si>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</si>
  <si>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</si>
  <si>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</si>
  <si>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</si>
  <si>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</si>
  <si>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</si>
  <si>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</si>
  <si>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</si>
  <si>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</si>
  <si>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</si>
  <si>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</si>
  <si>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</si>
  <si>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</si>
  <si>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</si>
  <si>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</si>
  <si>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</si>
  <si>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</si>
  <si>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</si>
  <si>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</si>
  <si>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</si>
  <si>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</si>
  <si>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</si>
  <si>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</si>
  <si>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</si>
  <si>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</si>
  <si>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</si>
  <si>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</si>
  <si>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</si>
  <si>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</si>
  <si>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</si>
  <si>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</si>
  <si>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</si>
  <si>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</si>
  <si>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</si>
  <si>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</si>
  <si>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</si>
  <si>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</si>
  <si>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</si>
  <si>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</si>
  <si>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</si>
  <si>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</si>
  <si>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</si>
  <si>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</si>
  <si>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</si>
  <si>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</si>
  <si>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</si>
  <si>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</si>
  <si>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</si>
  <si>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</si>
  <si>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</si>
  <si>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</si>
  <si>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</si>
  <si>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</si>
  <si>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</si>
  <si>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</si>
  <si>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</si>
  <si>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</si>
  <si>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</si>
  <si>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</si>
  <si>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</si>
  <si>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</si>
  <si>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</si>
  <si>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</si>
  <si>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</si>
  <si>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</si>
  <si>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</si>
  <si>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</si>
  <si>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</si>
  <si>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</si>
  <si>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</si>
  <si>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</si>
  <si>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</si>
  <si>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</si>
  <si>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</si>
  <si>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</si>
  <si>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</si>
  <si>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</si>
  <si>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</si>
  <si>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</si>
  <si>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</si>
  <si>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</si>
  <si>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</si>
  <si>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</si>
  <si>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</si>
  <si>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</si>
  <si>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</si>
  <si>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</si>
  <si>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</si>
  <si>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</si>
  <si>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</si>
  <si>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</si>
  <si>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</si>
  <si>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</si>
  <si>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</si>
  <si>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</si>
  <si>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</si>
  <si>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</si>
  <si>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</si>
  <si>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</si>
  <si>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</si>
  <si>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</si>
  <si>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</si>
  <si>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</si>
  <si>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</si>
  <si>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</si>
  <si>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</si>
  <si>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</si>
  <si>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</si>
  <si>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</si>
  <si>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</si>
  <si>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</si>
  <si>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</si>
  <si>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</si>
  <si>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</si>
  <si>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</si>
  <si>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</si>
  <si>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</si>
  <si>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</si>
  <si>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</si>
  <si>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</si>
  <si>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</si>
  <si>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</si>
  <si>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</si>
  <si>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</si>
  <si>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</si>
  <si>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</si>
  <si>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</si>
  <si>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</si>
  <si>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</si>
  <si>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</si>
  <si>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</si>
  <si>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</si>
  <si>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</si>
  <si>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</si>
  <si>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</si>
  <si>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</si>
  <si>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</si>
  <si>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</si>
  <si>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</si>
  <si>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</si>
  <si>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</si>
  <si>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</si>
  <si>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</si>
  <si>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</si>
  <si>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</si>
  <si>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</si>
  <si>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</si>
  <si>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</si>
  <si>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</si>
  <si>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</si>
  <si>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</si>
  <si>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</si>
  <si>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</si>
  <si>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</si>
  <si>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</si>
  <si>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</si>
  <si>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</si>
  <si>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</si>
  <si>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</si>
  <si>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</si>
  <si>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</si>
  <si>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</si>
  <si>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</si>
  <si>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</si>
  <si>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</si>
  <si>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</si>
  <si>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</si>
  <si>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</si>
  <si>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</si>
  <si>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</si>
  <si>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</si>
  <si>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</si>
  <si>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</si>
  <si>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</si>
  <si>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</si>
  <si>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</si>
  <si>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</si>
  <si>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</si>
  <si>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</si>
  <si>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</si>
  <si>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</si>
  <si>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</si>
  <si>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</si>
  <si>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</si>
  <si>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</si>
  <si>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</si>
  <si>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</si>
  <si>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</si>
  <si>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</si>
  <si>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</si>
  <si>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</si>
  <si>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</si>
  <si>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</si>
  <si>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</si>
  <si>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</si>
  <si>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</si>
  <si>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</si>
  <si>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</si>
  <si>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[0.410664]</t>
  </si>
  <si>
    <t>1 [0.814539]</t>
  </si>
  <si>
    <t>1 [1.219423]</t>
  </si>
  <si>
    <t>1 [1.624841]</t>
  </si>
  <si>
    <t>1 [2.030527]</t>
  </si>
  <si>
    <t>1 [2.439259]</t>
  </si>
  <si>
    <t>1 [2.845144]</t>
  </si>
  <si>
    <t>1 [3.250004]</t>
  </si>
  <si>
    <t>1 [3.658280]</t>
  </si>
  <si>
    <t>1 [4.062333]</t>
  </si>
  <si>
    <t>1 [4.471737]</t>
  </si>
  <si>
    <t>1 [4.876762]</t>
  </si>
  <si>
    <t>1 [5.281628]</t>
  </si>
  <si>
    <t>1 [5.687653]</t>
  </si>
  <si>
    <t>1 [6.093126]</t>
  </si>
  <si>
    <t>1 [6.499052]</t>
  </si>
  <si>
    <t>1 [6.908089]</t>
  </si>
  <si>
    <t>1 [7.312155]</t>
  </si>
  <si>
    <t>1 [7.720220]</t>
  </si>
  <si>
    <t>1 [8.124993]</t>
  </si>
  <si>
    <t>1 [8.532889]</t>
  </si>
  <si>
    <t>1 [8.938998]</t>
  </si>
  <si>
    <t>1 [9.343327]</t>
  </si>
  <si>
    <t>1 [9.747600]</t>
  </si>
  <si>
    <t>1 [10.156821]</t>
  </si>
  <si>
    <t>1 [10.565571]</t>
  </si>
  <si>
    <t>1 [10.971358]</t>
  </si>
  <si>
    <t>1 [11.374246]</t>
  </si>
  <si>
    <t>1 [11.778881]</t>
  </si>
  <si>
    <t>1 [12.188059]</t>
  </si>
  <si>
    <t>1 [12.594071]</t>
  </si>
  <si>
    <t>1 [13.001208]</t>
  </si>
  <si>
    <t>1 [13.407973]</t>
  </si>
  <si>
    <t>1 [13.813302]</t>
  </si>
  <si>
    <t>1 [14.218702]</t>
  </si>
  <si>
    <t>1 [14.623875]</t>
  </si>
  <si>
    <t>1 [15.031349]</t>
  </si>
  <si>
    <t>1 [15.441417]</t>
  </si>
  <si>
    <t>1 [15.845386]</t>
  </si>
  <si>
    <t>1 [16.250231]</t>
  </si>
  <si>
    <t>1 [16.658939]</t>
  </si>
  <si>
    <t>1 [17.061322]</t>
  </si>
  <si>
    <t>1 [17.467804]</t>
  </si>
  <si>
    <t>1 [17.876757]</t>
  </si>
  <si>
    <t>1 [18.285190]</t>
  </si>
  <si>
    <t>1 [18.687989]</t>
  </si>
  <si>
    <t>1 [19.092881]</t>
  </si>
  <si>
    <t>1 [19.502766]</t>
  </si>
  <si>
    <t>1 [19.906438]</t>
  </si>
  <si>
    <t>1 [20.311677]</t>
  </si>
  <si>
    <t>1 [20.718520]</t>
  </si>
  <si>
    <t>1 [21.125525]</t>
  </si>
  <si>
    <t>1 [21.532464]</t>
  </si>
  <si>
    <t>1 [21.940604]</t>
  </si>
  <si>
    <t>1 [22.347204]</t>
  </si>
  <si>
    <t>1 [22.748325]</t>
  </si>
  <si>
    <t>1 [23.158381]</t>
  </si>
  <si>
    <t>1 [23.562639]</t>
  </si>
  <si>
    <t>1 [23.971963]</t>
  </si>
  <si>
    <t>1 [24.376892]</t>
  </si>
  <si>
    <t>1 [24.779978]</t>
  </si>
  <si>
    <t>1 [25.187663]</t>
  </si>
  <si>
    <t>1 [25.592686]</t>
  </si>
  <si>
    <t>1 [26.003357]</t>
  </si>
  <si>
    <t>1 [26.405268]</t>
  </si>
  <si>
    <t>1 [26.811348]</t>
  </si>
  <si>
    <t>1 [27.222212]</t>
  </si>
  <si>
    <t>1 [27.627593]</t>
  </si>
  <si>
    <t>1 [28.030440]</t>
  </si>
  <si>
    <t>1 [28.439399]</t>
  </si>
  <si>
    <t>1 [28.843188]</t>
  </si>
  <si>
    <t>1 [29.250835]</t>
  </si>
  <si>
    <t>1 [29.657843]</t>
  </si>
  <si>
    <t>2 [30.060586]</t>
  </si>
  <si>
    <t>2 [30.530633]</t>
  </si>
  <si>
    <t>2 [30.936611]</t>
  </si>
  <si>
    <t>2 [31.328486]</t>
  </si>
  <si>
    <t>2 [31.735168]</t>
  </si>
  <si>
    <t>2 [32.147987]</t>
  </si>
  <si>
    <t>2 [32.547049]</t>
  </si>
  <si>
    <t>2 [32.958820]</t>
  </si>
  <si>
    <t>2 [33.362735]</t>
  </si>
  <si>
    <t>2 [33.766823]</t>
  </si>
  <si>
    <t>2 [34.177584]</t>
  </si>
  <si>
    <t>2 [34.583456]</t>
  </si>
  <si>
    <t>2 [34.985564]</t>
  </si>
  <si>
    <t>2 [35.392578]</t>
  </si>
  <si>
    <t>2 [35.796229]</t>
  </si>
  <si>
    <t>2 [36.206514]</t>
  </si>
  <si>
    <t>2 [36.611394]</t>
  </si>
  <si>
    <t>2 [37.018892]</t>
  </si>
  <si>
    <t>2 [37.420901]</t>
  </si>
  <si>
    <t>2 [37.825258]</t>
  </si>
  <si>
    <t>2 [38.235046]</t>
  </si>
  <si>
    <t>2 [38.642647]</t>
  </si>
  <si>
    <t>2 [39.048512]</t>
  </si>
  <si>
    <t>2 [39.455539]</t>
  </si>
  <si>
    <t>2 [39.859153]</t>
  </si>
  <si>
    <t>2 [40.266459]</t>
  </si>
  <si>
    <t>2 [40.671055]</t>
  </si>
  <si>
    <t>2 [41.078230]</t>
  </si>
  <si>
    <t>2 [41.484134]</t>
  </si>
  <si>
    <t>2 [41.890182]</t>
  </si>
  <si>
    <t>2 [42.295763]</t>
  </si>
  <si>
    <t>2 [42.702832]</t>
  </si>
  <si>
    <t>2 [43.110226]</t>
  </si>
  <si>
    <t>2 [43.515584]</t>
  </si>
  <si>
    <t>2 [43.924638]</t>
  </si>
  <si>
    <t>2 [44.329332]</t>
  </si>
  <si>
    <t>2 [44.735336]</t>
  </si>
  <si>
    <t>2 [45.140562]</t>
  </si>
  <si>
    <t>2 [45.547582]</t>
  </si>
  <si>
    <t>2 [45.955994]</t>
  </si>
  <si>
    <t>2 [46.362973]</t>
  </si>
  <si>
    <t>2 [46.767944]</t>
  </si>
  <si>
    <t>2 [47.174975]</t>
  </si>
  <si>
    <t>2 [47.580788]</t>
  </si>
  <si>
    <t>2 [47.985001]</t>
  </si>
  <si>
    <t>2 [48.394526]</t>
  </si>
  <si>
    <t>2 [48.795542]</t>
  </si>
  <si>
    <t>2 [49.202189]</t>
  </si>
  <si>
    <t>2 [49.609415]</t>
  </si>
  <si>
    <t>2 [50.015032]</t>
  </si>
  <si>
    <t>2 [50.423139]</t>
  </si>
  <si>
    <t>2 [50.829988]</t>
  </si>
  <si>
    <t>2 [51.234924]</t>
  </si>
  <si>
    <t>2 [51.643022]</t>
  </si>
  <si>
    <t>2 [52.050730]</t>
  </si>
  <si>
    <t>2 [52.463866]</t>
  </si>
  <si>
    <t>2 [52.860726]</t>
  </si>
  <si>
    <t>2 [53.264229]</t>
  </si>
  <si>
    <t>2 [53.673566]</t>
  </si>
  <si>
    <t>2 [54.081054]</t>
  </si>
  <si>
    <t>2 [54.489342]</t>
  </si>
  <si>
    <t>2 [54.890605]</t>
  </si>
  <si>
    <t>2 [55.295673]</t>
  </si>
  <si>
    <t>2 [55.703900]</t>
  </si>
  <si>
    <t>2 [56.109989]</t>
  </si>
  <si>
    <t>2 [56.519025]</t>
  </si>
  <si>
    <t>2 [56.927935]</t>
  </si>
  <si>
    <t>2 [57.332818]</t>
  </si>
  <si>
    <t>2 [57.738718]</t>
  </si>
  <si>
    <t>2 [58.143564]</t>
  </si>
  <si>
    <t>2 [58.544076]</t>
  </si>
  <si>
    <t>2 [58.959454]</t>
  </si>
  <si>
    <t>2 [59.358573]</t>
  </si>
  <si>
    <t>2 [59.766751]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</si>
  <si>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</si>
  <si>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</si>
  <si>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</si>
  <si>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</si>
  <si>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</si>
  <si>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</si>
  <si>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</si>
  <si>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</si>
  <si>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</si>
  <si>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</si>
  <si>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</si>
  <si>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</si>
  <si>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</si>
  <si>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</si>
  <si>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张伟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</si>
</sst>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42.198399999999999</c:v>
                </c:pt>
                <c:pt idx="1">
                  <c:v>30.112500000000001</c:v>
                </c:pt>
                <c:pt idx="2">
                  <c:v>34.302599999999998</c:v>
                </c:pt>
                <c:pt idx="3">
                  <c:v>35.475200000000001</c:v>
                </c:pt>
                <c:pt idx="4">
                  <c:v>59.346600000000002</c:v>
                </c:pt>
                <c:pt idx="5">
                  <c:v>74.764099999999999</c:v>
                </c:pt>
                <c:pt idx="6">
                  <c:v>14.1023</c:v>
                </c:pt>
                <c:pt idx="7">
                  <c:v>66.753799999999998</c:v>
                </c:pt>
                <c:pt idx="8">
                  <c:v>15.180199999999999</c:v>
                </c:pt>
                <c:pt idx="9">
                  <c:v>22.568300000000001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0.49697273741337755</c:v>
                </c:pt>
                <c:pt idx="1">
                  <c:v>0.32848891175059675</c:v>
                </c:pt>
                <c:pt idx="2">
                  <c:v>0.17453835083602565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5258</c:v>
                </c:pt>
                <c:pt idx="7">
                  <c:v>0</c:v>
                </c:pt>
                <c:pt idx="8">
                  <c:v>13203</c:v>
                </c:pt>
                <c:pt idx="9">
                  <c:v>0</c:v>
                </c:pt>
                <c:pt idx="10">
                  <c:v>0</c:v>
                </c:pt>
                <c:pt idx="11">
                  <c:v>26100</c:v>
                </c:pt>
                <c:pt idx="12">
                  <c:v>0</c:v>
                </c:pt>
                <c:pt idx="13">
                  <c:v>44239</c:v>
                </c:pt>
                <c:pt idx="14">
                  <c:v>0</c:v>
                </c:pt>
                <c:pt idx="15">
                  <c:v>0</c:v>
                </c:pt>
                <c:pt idx="16">
                  <c:v>63791</c:v>
                </c:pt>
                <c:pt idx="17">
                  <c:v>0</c:v>
                </c:pt>
                <c:pt idx="18">
                  <c:v>0</c:v>
                </c:pt>
                <c:pt idx="19">
                  <c:v>68767</c:v>
                </c:pt>
                <c:pt idx="20">
                  <c:v>0</c:v>
                </c:pt>
                <c:pt idx="21">
                  <c:v>67735</c:v>
                </c:pt>
                <c:pt idx="22">
                  <c:v>0</c:v>
                </c:pt>
                <c:pt idx="23">
                  <c:v>0</c:v>
                </c:pt>
                <c:pt idx="24">
                  <c:v>70081</c:v>
                </c:pt>
                <c:pt idx="25">
                  <c:v>0</c:v>
                </c:pt>
                <c:pt idx="26">
                  <c:v>71534</c:v>
                </c:pt>
                <c:pt idx="27">
                  <c:v>0</c:v>
                </c:pt>
                <c:pt idx="28">
                  <c:v>0</c:v>
                </c:pt>
                <c:pt idx="29">
                  <c:v>71418</c:v>
                </c:pt>
                <c:pt idx="30">
                  <c:v>0</c:v>
                </c:pt>
                <c:pt idx="31">
                  <c:v>72535</c:v>
                </c:pt>
                <c:pt idx="32">
                  <c:v>0</c:v>
                </c:pt>
                <c:pt idx="33">
                  <c:v>0</c:v>
                </c:pt>
                <c:pt idx="34">
                  <c:v>69561</c:v>
                </c:pt>
                <c:pt idx="35">
                  <c:v>0</c:v>
                </c:pt>
                <c:pt idx="36">
                  <c:v>0</c:v>
                </c:pt>
                <c:pt idx="37">
                  <c:v>70797</c:v>
                </c:pt>
                <c:pt idx="38">
                  <c:v>0</c:v>
                </c:pt>
                <c:pt idx="39">
                  <c:v>65782</c:v>
                </c:pt>
                <c:pt idx="40">
                  <c:v>0</c:v>
                </c:pt>
                <c:pt idx="41">
                  <c:v>0</c:v>
                </c:pt>
                <c:pt idx="42">
                  <c:v>63495</c:v>
                </c:pt>
                <c:pt idx="43">
                  <c:v>0</c:v>
                </c:pt>
                <c:pt idx="44">
                  <c:v>60907</c:v>
                </c:pt>
                <c:pt idx="45">
                  <c:v>0</c:v>
                </c:pt>
                <c:pt idx="46">
                  <c:v>0</c:v>
                </c:pt>
                <c:pt idx="47">
                  <c:v>62622</c:v>
                </c:pt>
                <c:pt idx="48">
                  <c:v>0</c:v>
                </c:pt>
                <c:pt idx="49">
                  <c:v>61969</c:v>
                </c:pt>
                <c:pt idx="50">
                  <c:v>0</c:v>
                </c:pt>
                <c:pt idx="51">
                  <c:v>0</c:v>
                </c:pt>
                <c:pt idx="52">
                  <c:v>66493</c:v>
                </c:pt>
                <c:pt idx="53">
                  <c:v>0</c:v>
                </c:pt>
                <c:pt idx="54">
                  <c:v>0</c:v>
                </c:pt>
                <c:pt idx="55">
                  <c:v>65452</c:v>
                </c:pt>
                <c:pt idx="56">
                  <c:v>0</c:v>
                </c:pt>
                <c:pt idx="57">
                  <c:v>59832</c:v>
                </c:pt>
                <c:pt idx="58">
                  <c:v>0</c:v>
                </c:pt>
                <c:pt idx="59">
                  <c:v>0</c:v>
                </c:pt>
                <c:pt idx="60">
                  <c:v>61176</c:v>
                </c:pt>
                <c:pt idx="61">
                  <c:v>0</c:v>
                </c:pt>
                <c:pt idx="62">
                  <c:v>60580</c:v>
                </c:pt>
                <c:pt idx="63">
                  <c:v>0</c:v>
                </c:pt>
                <c:pt idx="64">
                  <c:v>0</c:v>
                </c:pt>
                <c:pt idx="65">
                  <c:v>60267</c:v>
                </c:pt>
                <c:pt idx="66">
                  <c:v>0</c:v>
                </c:pt>
                <c:pt idx="67">
                  <c:v>61929</c:v>
                </c:pt>
                <c:pt idx="68">
                  <c:v>0</c:v>
                </c:pt>
                <c:pt idx="69">
                  <c:v>0</c:v>
                </c:pt>
                <c:pt idx="70">
                  <c:v>65684</c:v>
                </c:pt>
                <c:pt idx="71">
                  <c:v>0</c:v>
                </c:pt>
                <c:pt idx="72">
                  <c:v>0</c:v>
                </c:pt>
                <c:pt idx="73">
                  <c:v>68176</c:v>
                </c:pt>
                <c:pt idx="74">
                  <c:v>0</c:v>
                </c:pt>
                <c:pt idx="75">
                  <c:v>69321</c:v>
                </c:pt>
                <c:pt idx="76">
                  <c:v>0</c:v>
                </c:pt>
                <c:pt idx="77">
                  <c:v>0</c:v>
                </c:pt>
                <c:pt idx="78">
                  <c:v>73051</c:v>
                </c:pt>
                <c:pt idx="79">
                  <c:v>0</c:v>
                </c:pt>
                <c:pt idx="80">
                  <c:v>77526</c:v>
                </c:pt>
                <c:pt idx="81">
                  <c:v>0</c:v>
                </c:pt>
                <c:pt idx="82">
                  <c:v>0</c:v>
                </c:pt>
                <c:pt idx="83">
                  <c:v>81344</c:v>
                </c:pt>
                <c:pt idx="84">
                  <c:v>0</c:v>
                </c:pt>
                <c:pt idx="85">
                  <c:v>0</c:v>
                </c:pt>
                <c:pt idx="86">
                  <c:v>81137</c:v>
                </c:pt>
                <c:pt idx="87">
                  <c:v>0</c:v>
                </c:pt>
                <c:pt idx="88">
                  <c:v>84062</c:v>
                </c:pt>
                <c:pt idx="89">
                  <c:v>0</c:v>
                </c:pt>
                <c:pt idx="90">
                  <c:v>0</c:v>
                </c:pt>
                <c:pt idx="91">
                  <c:v>79528</c:v>
                </c:pt>
                <c:pt idx="92">
                  <c:v>0</c:v>
                </c:pt>
                <c:pt idx="93">
                  <c:v>74139</c:v>
                </c:pt>
                <c:pt idx="94">
                  <c:v>0</c:v>
                </c:pt>
                <c:pt idx="95">
                  <c:v>0</c:v>
                </c:pt>
                <c:pt idx="96">
                  <c:v>71339</c:v>
                </c:pt>
                <c:pt idx="97">
                  <c:v>0</c:v>
                </c:pt>
                <c:pt idx="98">
                  <c:v>62040</c:v>
                </c:pt>
                <c:pt idx="99">
                  <c:v>0</c:v>
                </c:pt>
                <c:pt idx="100">
                  <c:v>0</c:v>
                </c:pt>
                <c:pt idx="101">
                  <c:v>52709</c:v>
                </c:pt>
                <c:pt idx="102">
                  <c:v>0</c:v>
                </c:pt>
                <c:pt idx="103">
                  <c:v>0</c:v>
                </c:pt>
                <c:pt idx="104">
                  <c:v>49677</c:v>
                </c:pt>
                <c:pt idx="105">
                  <c:v>0</c:v>
                </c:pt>
                <c:pt idx="106">
                  <c:v>44474</c:v>
                </c:pt>
                <c:pt idx="107">
                  <c:v>0</c:v>
                </c:pt>
                <c:pt idx="108">
                  <c:v>0</c:v>
                </c:pt>
                <c:pt idx="109">
                  <c:v>36993</c:v>
                </c:pt>
                <c:pt idx="110">
                  <c:v>0</c:v>
                </c:pt>
                <c:pt idx="111">
                  <c:v>29148</c:v>
                </c:pt>
                <c:pt idx="112">
                  <c:v>0</c:v>
                </c:pt>
                <c:pt idx="113">
                  <c:v>0</c:v>
                </c:pt>
                <c:pt idx="114">
                  <c:v>27177</c:v>
                </c:pt>
                <c:pt idx="115">
                  <c:v>0</c:v>
                </c:pt>
                <c:pt idx="116">
                  <c:v>20209</c:v>
                </c:pt>
                <c:pt idx="117">
                  <c:v>0</c:v>
                </c:pt>
                <c:pt idx="118">
                  <c:v>0</c:v>
                </c:pt>
                <c:pt idx="119">
                  <c:v>22391</c:v>
                </c:pt>
                <c:pt idx="120">
                  <c:v>0</c:v>
                </c:pt>
                <c:pt idx="121">
                  <c:v>0</c:v>
                </c:pt>
                <c:pt idx="122">
                  <c:v>18555</c:v>
                </c:pt>
                <c:pt idx="123">
                  <c:v>0</c:v>
                </c:pt>
                <c:pt idx="124">
                  <c:v>18536</c:v>
                </c:pt>
                <c:pt idx="125">
                  <c:v>0</c:v>
                </c:pt>
                <c:pt idx="126">
                  <c:v>0</c:v>
                </c:pt>
                <c:pt idx="127">
                  <c:v>16206</c:v>
                </c:pt>
                <c:pt idx="128">
                  <c:v>0</c:v>
                </c:pt>
                <c:pt idx="129">
                  <c:v>15069</c:v>
                </c:pt>
                <c:pt idx="130">
                  <c:v>0</c:v>
                </c:pt>
                <c:pt idx="131">
                  <c:v>0</c:v>
                </c:pt>
                <c:pt idx="132">
                  <c:v>12982</c:v>
                </c:pt>
                <c:pt idx="133">
                  <c:v>0</c:v>
                </c:pt>
                <c:pt idx="134">
                  <c:v>12562</c:v>
                </c:pt>
                <c:pt idx="135">
                  <c:v>0</c:v>
                </c:pt>
                <c:pt idx="136">
                  <c:v>0</c:v>
                </c:pt>
                <c:pt idx="137">
                  <c:v>9662</c:v>
                </c:pt>
                <c:pt idx="138">
                  <c:v>0</c:v>
                </c:pt>
                <c:pt idx="139">
                  <c:v>0</c:v>
                </c:pt>
                <c:pt idx="140">
                  <c:v>9620</c:v>
                </c:pt>
                <c:pt idx="141">
                  <c:v>0</c:v>
                </c:pt>
                <c:pt idx="142">
                  <c:v>7232</c:v>
                </c:pt>
                <c:pt idx="143">
                  <c:v>0</c:v>
                </c:pt>
                <c:pt idx="144">
                  <c:v>0</c:v>
                </c:pt>
                <c:pt idx="145">
                  <c:v>7989</c:v>
                </c:pt>
                <c:pt idx="146">
                  <c:v>0</c:v>
                </c:pt>
                <c:pt idx="147">
                  <c:v>5394</c:v>
                </c:pt>
                <c:pt idx="148">
                  <c:v>0</c:v>
                </c:pt>
                <c:pt idx="149">
                  <c:v>0</c:v>
                </c:pt>
                <c:pt idx="150">
                  <c:v>5562</c:v>
                </c:pt>
                <c:pt idx="151">
                  <c:v>0</c:v>
                </c:pt>
                <c:pt idx="152">
                  <c:v>5716</c:v>
                </c:pt>
                <c:pt idx="153">
                  <c:v>0</c:v>
                </c:pt>
                <c:pt idx="154">
                  <c:v>0</c:v>
                </c:pt>
                <c:pt idx="155">
                  <c:v>6294</c:v>
                </c:pt>
                <c:pt idx="156">
                  <c:v>0</c:v>
                </c:pt>
                <c:pt idx="157">
                  <c:v>0</c:v>
                </c:pt>
                <c:pt idx="158">
                  <c:v>4871</c:v>
                </c:pt>
                <c:pt idx="159">
                  <c:v>0</c:v>
                </c:pt>
                <c:pt idx="160">
                  <c:v>3402</c:v>
                </c:pt>
                <c:pt idx="161">
                  <c:v>0</c:v>
                </c:pt>
                <c:pt idx="162">
                  <c:v>0</c:v>
                </c:pt>
                <c:pt idx="163">
                  <c:v>2951</c:v>
                </c:pt>
                <c:pt idx="164">
                  <c:v>0</c:v>
                </c:pt>
                <c:pt idx="165">
                  <c:v>2970</c:v>
                </c:pt>
                <c:pt idx="166">
                  <c:v>0</c:v>
                </c:pt>
                <c:pt idx="167">
                  <c:v>0</c:v>
                </c:pt>
                <c:pt idx="168">
                  <c:v>3220</c:v>
                </c:pt>
                <c:pt idx="169">
                  <c:v>0</c:v>
                </c:pt>
                <c:pt idx="170">
                  <c:v>0</c:v>
                </c:pt>
                <c:pt idx="171">
                  <c:v>2751</c:v>
                </c:pt>
                <c:pt idx="172">
                  <c:v>0</c:v>
                </c:pt>
                <c:pt idx="173">
                  <c:v>3034</c:v>
                </c:pt>
                <c:pt idx="174">
                  <c:v>0</c:v>
                </c:pt>
                <c:pt idx="175">
                  <c:v>0</c:v>
                </c:pt>
                <c:pt idx="176">
                  <c:v>4766</c:v>
                </c:pt>
                <c:pt idx="177">
                  <c:v>0</c:v>
                </c:pt>
                <c:pt idx="178">
                  <c:v>4241</c:v>
                </c:pt>
                <c:pt idx="179">
                  <c:v>0</c:v>
                </c:pt>
                <c:pt idx="180">
                  <c:v>0</c:v>
                </c:pt>
                <c:pt idx="181">
                  <c:v>2287</c:v>
                </c:pt>
                <c:pt idx="182">
                  <c:v>0</c:v>
                </c:pt>
                <c:pt idx="183">
                  <c:v>263</c:v>
                </c:pt>
                <c:pt idx="184">
                  <c:v>0</c:v>
                </c:pt>
                <c:pt idx="185">
                  <c:v>0</c:v>
                </c:pt>
                <c:pt idx="186">
                  <c:v>677</c:v>
                </c:pt>
                <c:pt idx="187">
                  <c:v>0</c:v>
                </c:pt>
                <c:pt idx="188">
                  <c:v>0</c:v>
                </c:pt>
                <c:pt idx="189">
                  <c:v>696</c:v>
                </c:pt>
                <c:pt idx="190">
                  <c:v>0</c:v>
                </c:pt>
                <c:pt idx="191">
                  <c:v>141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1.55447</c:v>
                </c:pt>
                <c:pt idx="1">
                  <c:v>1.60964</c:v>
                </c:pt>
                <c:pt idx="2">
                  <c:v>1.6647400000000001</c:v>
                </c:pt>
                <c:pt idx="3">
                  <c:v>1.7183599999999999</c:v>
                </c:pt>
                <c:pt idx="4">
                  <c:v>1.7709600000000001</c:v>
                </c:pt>
                <c:pt idx="5">
                  <c:v>1.8215400000000002</c:v>
                </c:pt>
                <c:pt idx="6">
                  <c:v>1.8706200000000002</c:v>
                </c:pt>
                <c:pt idx="7">
                  <c:v>1.9209000000000001</c:v>
                </c:pt>
                <c:pt idx="8">
                  <c:v>1.9701299999999999</c:v>
                </c:pt>
                <c:pt idx="9">
                  <c:v>2.0217099999999997</c:v>
                </c:pt>
                <c:pt idx="10">
                  <c:v>2.0731999999999999</c:v>
                </c:pt>
                <c:pt idx="11">
                  <c:v>2.1233200000000001</c:v>
                </c:pt>
                <c:pt idx="12">
                  <c:v>2.1724199999999998</c:v>
                </c:pt>
                <c:pt idx="13">
                  <c:v>2.2232699999999999</c:v>
                </c:pt>
                <c:pt idx="14">
                  <c:v>2.2729499999999998</c:v>
                </c:pt>
                <c:pt idx="15">
                  <c:v>2.3189199999999999</c:v>
                </c:pt>
                <c:pt idx="16">
                  <c:v>2.3625699999999998</c:v>
                </c:pt>
                <c:pt idx="17">
                  <c:v>2.4040699999999999</c:v>
                </c:pt>
                <c:pt idx="18">
                  <c:v>2.4443999999999999</c:v>
                </c:pt>
                <c:pt idx="19">
                  <c:v>2.4820199999999999</c:v>
                </c:pt>
                <c:pt idx="20">
                  <c:v>2.5172499999999998</c:v>
                </c:pt>
                <c:pt idx="21">
                  <c:v>2.5513200000000005</c:v>
                </c:pt>
                <c:pt idx="22">
                  <c:v>2.5830900000000003</c:v>
                </c:pt>
                <c:pt idx="23">
                  <c:v>2.61226</c:v>
                </c:pt>
                <c:pt idx="24">
                  <c:v>2.6382299999999996</c:v>
                </c:pt>
                <c:pt idx="25">
                  <c:v>2.6618999999999997</c:v>
                </c:pt>
                <c:pt idx="26">
                  <c:v>2.6841200000000001</c:v>
                </c:pt>
                <c:pt idx="27">
                  <c:v>2.7047300000000001</c:v>
                </c:pt>
                <c:pt idx="28">
                  <c:v>2.7236900000000004</c:v>
                </c:pt>
                <c:pt idx="29">
                  <c:v>2.7385900000000003</c:v>
                </c:pt>
                <c:pt idx="30">
                  <c:v>2.7532299999999998</c:v>
                </c:pt>
                <c:pt idx="31">
                  <c:v>2.7678500000000001</c:v>
                </c:pt>
                <c:pt idx="32">
                  <c:v>2.78078</c:v>
                </c:pt>
                <c:pt idx="33">
                  <c:v>2.7928999999999999</c:v>
                </c:pt>
                <c:pt idx="34">
                  <c:v>2.80307</c:v>
                </c:pt>
                <c:pt idx="35">
                  <c:v>2.8090100000000002</c:v>
                </c:pt>
                <c:pt idx="36">
                  <c:v>2.81345</c:v>
                </c:pt>
                <c:pt idx="37">
                  <c:v>2.8183999999999996</c:v>
                </c:pt>
                <c:pt idx="38">
                  <c:v>2.8203299999999998</c:v>
                </c:pt>
                <c:pt idx="39">
                  <c:v>2.8234900000000001</c:v>
                </c:pt>
                <c:pt idx="40">
                  <c:v>2.8265200000000004</c:v>
                </c:pt>
                <c:pt idx="41">
                  <c:v>2.82667</c:v>
                </c:pt>
                <c:pt idx="42">
                  <c:v>2.8246599999999997</c:v>
                </c:pt>
                <c:pt idx="43">
                  <c:v>2.8225099999999999</c:v>
                </c:pt>
                <c:pt idx="44">
                  <c:v>2.8188400000000002</c:v>
                </c:pt>
                <c:pt idx="45">
                  <c:v>2.8151599999999997</c:v>
                </c:pt>
                <c:pt idx="46">
                  <c:v>2.8100399999999999</c:v>
                </c:pt>
                <c:pt idx="47">
                  <c:v>2.8053299999999997</c:v>
                </c:pt>
                <c:pt idx="48">
                  <c:v>2.7993800000000002</c:v>
                </c:pt>
                <c:pt idx="49">
                  <c:v>2.7942400000000003</c:v>
                </c:pt>
                <c:pt idx="50">
                  <c:v>2.7913100000000002</c:v>
                </c:pt>
                <c:pt idx="51">
                  <c:v>2.7868900000000001</c:v>
                </c:pt>
                <c:pt idx="52">
                  <c:v>2.7814399999999999</c:v>
                </c:pt>
                <c:pt idx="53">
                  <c:v>2.77711</c:v>
                </c:pt>
                <c:pt idx="54">
                  <c:v>2.7738400000000003</c:v>
                </c:pt>
                <c:pt idx="55">
                  <c:v>2.7716699999999999</c:v>
                </c:pt>
                <c:pt idx="56">
                  <c:v>2.7699499999999997</c:v>
                </c:pt>
                <c:pt idx="57">
                  <c:v>2.7674700000000003</c:v>
                </c:pt>
                <c:pt idx="58">
                  <c:v>2.7665699999999998</c:v>
                </c:pt>
                <c:pt idx="59">
                  <c:v>2.7660600000000004</c:v>
                </c:pt>
                <c:pt idx="60">
                  <c:v>2.7663799999999998</c:v>
                </c:pt>
                <c:pt idx="61">
                  <c:v>2.7657599999999998</c:v>
                </c:pt>
                <c:pt idx="62">
                  <c:v>2.7634300000000001</c:v>
                </c:pt>
                <c:pt idx="63">
                  <c:v>2.76105</c:v>
                </c:pt>
                <c:pt idx="64">
                  <c:v>2.7566899999999999</c:v>
                </c:pt>
                <c:pt idx="65">
                  <c:v>2.7543000000000002</c:v>
                </c:pt>
                <c:pt idx="66">
                  <c:v>2.7565299999999997</c:v>
                </c:pt>
                <c:pt idx="67">
                  <c:v>2.7589599999999996</c:v>
                </c:pt>
                <c:pt idx="68">
                  <c:v>2.7582200000000001</c:v>
                </c:pt>
                <c:pt idx="69">
                  <c:v>2.7595100000000001</c:v>
                </c:pt>
                <c:pt idx="70">
                  <c:v>2.7599600000000004</c:v>
                </c:pt>
                <c:pt idx="71">
                  <c:v>2.7596500000000002</c:v>
                </c:pt>
                <c:pt idx="72">
                  <c:v>2.7570899999999998</c:v>
                </c:pt>
                <c:pt idx="73">
                  <c:v>2.7559899999999997</c:v>
                </c:pt>
                <c:pt idx="74">
                  <c:v>2.7551100000000002</c:v>
                </c:pt>
                <c:pt idx="75">
                  <c:v>2.75108</c:v>
                </c:pt>
                <c:pt idx="76">
                  <c:v>2.7502399999999998</c:v>
                </c:pt>
                <c:pt idx="77">
                  <c:v>2.7506399999999998</c:v>
                </c:pt>
                <c:pt idx="78">
                  <c:v>2.7537799999999999</c:v>
                </c:pt>
                <c:pt idx="79">
                  <c:v>2.7575899999999995</c:v>
                </c:pt>
                <c:pt idx="80">
                  <c:v>2.7595199999999998</c:v>
                </c:pt>
                <c:pt idx="81">
                  <c:v>2.76058</c:v>
                </c:pt>
                <c:pt idx="82">
                  <c:v>2.7616000000000001</c:v>
                </c:pt>
                <c:pt idx="83">
                  <c:v>2.76024</c:v>
                </c:pt>
                <c:pt idx="84">
                  <c:v>2.75989</c:v>
                </c:pt>
                <c:pt idx="85">
                  <c:v>2.7606799999999998</c:v>
                </c:pt>
                <c:pt idx="86">
                  <c:v>2.7603100000000005</c:v>
                </c:pt>
                <c:pt idx="87">
                  <c:v>2.7592499999999998</c:v>
                </c:pt>
                <c:pt idx="88">
                  <c:v>2.7577699999999998</c:v>
                </c:pt>
                <c:pt idx="89">
                  <c:v>2.7558300000000004</c:v>
                </c:pt>
                <c:pt idx="90">
                  <c:v>2.7542400000000002</c:v>
                </c:pt>
                <c:pt idx="91">
                  <c:v>2.7518099999999999</c:v>
                </c:pt>
                <c:pt idx="92">
                  <c:v>2.7497700000000003</c:v>
                </c:pt>
                <c:pt idx="93">
                  <c:v>2.7488600000000001</c:v>
                </c:pt>
                <c:pt idx="94">
                  <c:v>2.7485200000000001</c:v>
                </c:pt>
                <c:pt idx="95">
                  <c:v>2.7493600000000002</c:v>
                </c:pt>
                <c:pt idx="96">
                  <c:v>2.7527900000000001</c:v>
                </c:pt>
                <c:pt idx="97">
                  <c:v>2.7577400000000001</c:v>
                </c:pt>
                <c:pt idx="98">
                  <c:v>2.7634699999999999</c:v>
                </c:pt>
                <c:pt idx="99">
                  <c:v>2.7687200000000001</c:v>
                </c:pt>
                <c:pt idx="100">
                  <c:v>2.7746599999999999</c:v>
                </c:pt>
                <c:pt idx="101">
                  <c:v>2.7793600000000001</c:v>
                </c:pt>
                <c:pt idx="102">
                  <c:v>2.7827299999999999</c:v>
                </c:pt>
                <c:pt idx="103">
                  <c:v>2.7870699999999999</c:v>
                </c:pt>
                <c:pt idx="104">
                  <c:v>2.79393</c:v>
                </c:pt>
                <c:pt idx="105">
                  <c:v>2.80267</c:v>
                </c:pt>
                <c:pt idx="106">
                  <c:v>2.8099499999999997</c:v>
                </c:pt>
                <c:pt idx="107">
                  <c:v>2.8172000000000001</c:v>
                </c:pt>
                <c:pt idx="108">
                  <c:v>2.8226200000000001</c:v>
                </c:pt>
                <c:pt idx="109">
                  <c:v>2.8278599999999998</c:v>
                </c:pt>
                <c:pt idx="110">
                  <c:v>2.8352899999999996</c:v>
                </c:pt>
                <c:pt idx="111">
                  <c:v>2.8471600000000001</c:v>
                </c:pt>
                <c:pt idx="112">
                  <c:v>2.86043</c:v>
                </c:pt>
                <c:pt idx="113">
                  <c:v>2.87277</c:v>
                </c:pt>
                <c:pt idx="114">
                  <c:v>2.8867399999999996</c:v>
                </c:pt>
                <c:pt idx="115">
                  <c:v>2.8998800000000005</c:v>
                </c:pt>
                <c:pt idx="116">
                  <c:v>2.9148299999999998</c:v>
                </c:pt>
                <c:pt idx="117">
                  <c:v>2.9316900000000001</c:v>
                </c:pt>
                <c:pt idx="118">
                  <c:v>2.9468499999999995</c:v>
                </c:pt>
                <c:pt idx="119">
                  <c:v>2.9604399999999997</c:v>
                </c:pt>
                <c:pt idx="120">
                  <c:v>2.9730699999999999</c:v>
                </c:pt>
                <c:pt idx="121">
                  <c:v>2.9843599999999997</c:v>
                </c:pt>
                <c:pt idx="122">
                  <c:v>2.9939300000000002</c:v>
                </c:pt>
                <c:pt idx="123">
                  <c:v>3.0019299999999998</c:v>
                </c:pt>
                <c:pt idx="124">
                  <c:v>3.0103799999999996</c:v>
                </c:pt>
                <c:pt idx="125">
                  <c:v>3.0179499999999999</c:v>
                </c:pt>
                <c:pt idx="126">
                  <c:v>3.0266900000000003</c:v>
                </c:pt>
                <c:pt idx="127">
                  <c:v>3.0363499999999997</c:v>
                </c:pt>
                <c:pt idx="128">
                  <c:v>3.0427</c:v>
                </c:pt>
                <c:pt idx="129">
                  <c:v>3.0460900000000004</c:v>
                </c:pt>
                <c:pt idx="130">
                  <c:v>3.04976</c:v>
                </c:pt>
                <c:pt idx="131">
                  <c:v>3.0560499999999999</c:v>
                </c:pt>
                <c:pt idx="132">
                  <c:v>3.06128</c:v>
                </c:pt>
                <c:pt idx="133">
                  <c:v>3.07002</c:v>
                </c:pt>
                <c:pt idx="134">
                  <c:v>3.0803000000000003</c:v>
                </c:pt>
                <c:pt idx="135">
                  <c:v>3.0867399999999998</c:v>
                </c:pt>
                <c:pt idx="136">
                  <c:v>3.0891400000000004</c:v>
                </c:pt>
                <c:pt idx="137">
                  <c:v>3.0915500000000002</c:v>
                </c:pt>
                <c:pt idx="138">
                  <c:v>3.0967799999999999</c:v>
                </c:pt>
                <c:pt idx="139">
                  <c:v>3.0982599999999998</c:v>
                </c:pt>
                <c:pt idx="140">
                  <c:v>3.0979700000000001</c:v>
                </c:pt>
                <c:pt idx="141">
                  <c:v>3.0925500000000001</c:v>
                </c:pt>
                <c:pt idx="142">
                  <c:v>3.0843700000000003</c:v>
                </c:pt>
                <c:pt idx="143">
                  <c:v>3.0793200000000001</c:v>
                </c:pt>
                <c:pt idx="144">
                  <c:v>3.0719000000000003</c:v>
                </c:pt>
                <c:pt idx="145">
                  <c:v>3.0693999999999999</c:v>
                </c:pt>
                <c:pt idx="146">
                  <c:v>3.0562800000000001</c:v>
                </c:pt>
                <c:pt idx="147">
                  <c:v>3.03898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60.410899999999998</c:v>
                </c:pt>
                <c:pt idx="1">
                  <c:v>59.418400000000005</c:v>
                </c:pt>
                <c:pt idx="2">
                  <c:v>58.457300000000004</c:v>
                </c:pt>
                <c:pt idx="3">
                  <c:v>57.6126</c:v>
                </c:pt>
                <c:pt idx="4">
                  <c:v>56.748699999999999</c:v>
                </c:pt>
                <c:pt idx="5">
                  <c:v>55.990799999999993</c:v>
                </c:pt>
                <c:pt idx="6">
                  <c:v>55.292699999999996</c:v>
                </c:pt>
                <c:pt idx="7">
                  <c:v>54.523299999999999</c:v>
                </c:pt>
                <c:pt idx="8">
                  <c:v>53.795099999999998</c:v>
                </c:pt>
                <c:pt idx="9">
                  <c:v>52.981500000000004</c:v>
                </c:pt>
                <c:pt idx="10">
                  <c:v>52.126199999999997</c:v>
                </c:pt>
                <c:pt idx="11">
                  <c:v>51.244700000000002</c:v>
                </c:pt>
                <c:pt idx="12">
                  <c:v>50.414099999999998</c:v>
                </c:pt>
                <c:pt idx="13">
                  <c:v>49.49</c:v>
                </c:pt>
                <c:pt idx="14">
                  <c:v>48.670200000000001</c:v>
                </c:pt>
                <c:pt idx="15">
                  <c:v>48.076099999999997</c:v>
                </c:pt>
                <c:pt idx="16">
                  <c:v>47.581200000000003</c:v>
                </c:pt>
                <c:pt idx="17">
                  <c:v>47.034500000000001</c:v>
                </c:pt>
                <c:pt idx="18">
                  <c:v>46.4816</c:v>
                </c:pt>
                <c:pt idx="19">
                  <c:v>45.9572</c:v>
                </c:pt>
                <c:pt idx="20">
                  <c:v>45.471800000000002</c:v>
                </c:pt>
                <c:pt idx="21">
                  <c:v>44.9621</c:v>
                </c:pt>
                <c:pt idx="22">
                  <c:v>44.527499999999996</c:v>
                </c:pt>
                <c:pt idx="23">
                  <c:v>44.13</c:v>
                </c:pt>
                <c:pt idx="24">
                  <c:v>43.716200000000001</c:v>
                </c:pt>
                <c:pt idx="25">
                  <c:v>43.381300000000003</c:v>
                </c:pt>
                <c:pt idx="26">
                  <c:v>43.055599999999998</c:v>
                </c:pt>
                <c:pt idx="27">
                  <c:v>42.7545</c:v>
                </c:pt>
                <c:pt idx="28">
                  <c:v>42.463000000000001</c:v>
                </c:pt>
                <c:pt idx="29">
                  <c:v>42.224699999999999</c:v>
                </c:pt>
                <c:pt idx="30">
                  <c:v>41.986699999999999</c:v>
                </c:pt>
                <c:pt idx="31">
                  <c:v>41.7102</c:v>
                </c:pt>
                <c:pt idx="32">
                  <c:v>41.4298</c:v>
                </c:pt>
                <c:pt idx="33">
                  <c:v>41.154499999999999</c:v>
                </c:pt>
                <c:pt idx="34">
                  <c:v>40.894399999999997</c:v>
                </c:pt>
                <c:pt idx="35">
                  <c:v>40.695700000000002</c:v>
                </c:pt>
                <c:pt idx="36">
                  <c:v>40.569800000000001</c:v>
                </c:pt>
                <c:pt idx="37">
                  <c:v>40.4268</c:v>
                </c:pt>
                <c:pt idx="38">
                  <c:v>40.316899999999997</c:v>
                </c:pt>
                <c:pt idx="39">
                  <c:v>40.170999999999999</c:v>
                </c:pt>
                <c:pt idx="40">
                  <c:v>40.016200000000005</c:v>
                </c:pt>
                <c:pt idx="41">
                  <c:v>39.895499999999998</c:v>
                </c:pt>
                <c:pt idx="42">
                  <c:v>39.7913</c:v>
                </c:pt>
                <c:pt idx="43">
                  <c:v>39.684599999999996</c:v>
                </c:pt>
                <c:pt idx="44">
                  <c:v>39.601100000000002</c:v>
                </c:pt>
                <c:pt idx="45">
                  <c:v>39.491599999999998</c:v>
                </c:pt>
                <c:pt idx="46">
                  <c:v>39.387699999999995</c:v>
                </c:pt>
                <c:pt idx="47">
                  <c:v>39.246700000000004</c:v>
                </c:pt>
                <c:pt idx="48">
                  <c:v>39.100099999999998</c:v>
                </c:pt>
                <c:pt idx="49">
                  <c:v>38.906300000000002</c:v>
                </c:pt>
                <c:pt idx="50">
                  <c:v>38.728699999999996</c:v>
                </c:pt>
                <c:pt idx="51">
                  <c:v>38.5473</c:v>
                </c:pt>
                <c:pt idx="52">
                  <c:v>38.4178</c:v>
                </c:pt>
                <c:pt idx="53">
                  <c:v>38.278099999999995</c:v>
                </c:pt>
                <c:pt idx="54">
                  <c:v>38.130900000000004</c:v>
                </c:pt>
                <c:pt idx="55">
                  <c:v>38.009500000000003</c:v>
                </c:pt>
                <c:pt idx="56">
                  <c:v>37.939799999999998</c:v>
                </c:pt>
                <c:pt idx="57">
                  <c:v>37.891799999999996</c:v>
                </c:pt>
                <c:pt idx="58">
                  <c:v>37.806400000000004</c:v>
                </c:pt>
                <c:pt idx="59">
                  <c:v>37.728699999999996</c:v>
                </c:pt>
                <c:pt idx="60">
                  <c:v>37.657600000000002</c:v>
                </c:pt>
                <c:pt idx="61">
                  <c:v>37.5839</c:v>
                </c:pt>
                <c:pt idx="62">
                  <c:v>37.565300000000001</c:v>
                </c:pt>
                <c:pt idx="63">
                  <c:v>37.594100000000005</c:v>
                </c:pt>
                <c:pt idx="64">
                  <c:v>37.624600000000001</c:v>
                </c:pt>
                <c:pt idx="65">
                  <c:v>37.587199999999996</c:v>
                </c:pt>
                <c:pt idx="66">
                  <c:v>37.462200000000003</c:v>
                </c:pt>
                <c:pt idx="67">
                  <c:v>37.358899999999998</c:v>
                </c:pt>
                <c:pt idx="68">
                  <c:v>37.327100000000002</c:v>
                </c:pt>
                <c:pt idx="69">
                  <c:v>37.262499999999996</c:v>
                </c:pt>
                <c:pt idx="70">
                  <c:v>37.203099999999999</c:v>
                </c:pt>
                <c:pt idx="71">
                  <c:v>37.184400000000004</c:v>
                </c:pt>
                <c:pt idx="72">
                  <c:v>37.151200000000003</c:v>
                </c:pt>
                <c:pt idx="73">
                  <c:v>37.137900000000002</c:v>
                </c:pt>
                <c:pt idx="74">
                  <c:v>37.186599999999999</c:v>
                </c:pt>
                <c:pt idx="75">
                  <c:v>37.1295</c:v>
                </c:pt>
                <c:pt idx="76">
                  <c:v>36.9863</c:v>
                </c:pt>
                <c:pt idx="77">
                  <c:v>36.823099999999997</c:v>
                </c:pt>
                <c:pt idx="78">
                  <c:v>36.627400000000002</c:v>
                </c:pt>
                <c:pt idx="79">
                  <c:v>36.406399999999998</c:v>
                </c:pt>
                <c:pt idx="80">
                  <c:v>36.247399999999999</c:v>
                </c:pt>
                <c:pt idx="81">
                  <c:v>36.085499999999996</c:v>
                </c:pt>
                <c:pt idx="82">
                  <c:v>35.886400000000002</c:v>
                </c:pt>
                <c:pt idx="83">
                  <c:v>35.707100000000004</c:v>
                </c:pt>
                <c:pt idx="84">
                  <c:v>35.468200000000003</c:v>
                </c:pt>
                <c:pt idx="85">
                  <c:v>35.199999999999996</c:v>
                </c:pt>
                <c:pt idx="86">
                  <c:v>34.888400000000004</c:v>
                </c:pt>
                <c:pt idx="87">
                  <c:v>34.619499999999995</c:v>
                </c:pt>
                <c:pt idx="88">
                  <c:v>34.324300000000001</c:v>
                </c:pt>
                <c:pt idx="89">
                  <c:v>34.029299999999999</c:v>
                </c:pt>
                <c:pt idx="90">
                  <c:v>33.689300000000003</c:v>
                </c:pt>
                <c:pt idx="91">
                  <c:v>33.387899999999995</c:v>
                </c:pt>
                <c:pt idx="92">
                  <c:v>33.092500000000001</c:v>
                </c:pt>
                <c:pt idx="93">
                  <c:v>32.7502</c:v>
                </c:pt>
                <c:pt idx="94">
                  <c:v>32.402099999999997</c:v>
                </c:pt>
                <c:pt idx="95">
                  <c:v>32.065199999999997</c:v>
                </c:pt>
                <c:pt idx="96">
                  <c:v>31.658799999999999</c:v>
                </c:pt>
                <c:pt idx="97">
                  <c:v>31.277200000000001</c:v>
                </c:pt>
                <c:pt idx="98">
                  <c:v>30.892999999999997</c:v>
                </c:pt>
                <c:pt idx="99">
                  <c:v>30.4937</c:v>
                </c:pt>
                <c:pt idx="100">
                  <c:v>30.008400000000002</c:v>
                </c:pt>
                <c:pt idx="101">
                  <c:v>29.540100000000002</c:v>
                </c:pt>
                <c:pt idx="102">
                  <c:v>29.064600000000002</c:v>
                </c:pt>
                <c:pt idx="103">
                  <c:v>28.5015</c:v>
                </c:pt>
                <c:pt idx="104">
                  <c:v>27.819899999999997</c:v>
                </c:pt>
                <c:pt idx="105">
                  <c:v>27.036500000000004</c:v>
                </c:pt>
                <c:pt idx="106">
                  <c:v>26.225100000000001</c:v>
                </c:pt>
                <c:pt idx="107">
                  <c:v>25.4297</c:v>
                </c:pt>
                <c:pt idx="108">
                  <c:v>24.6843</c:v>
                </c:pt>
                <c:pt idx="109">
                  <c:v>24.070599999999999</c:v>
                </c:pt>
                <c:pt idx="110">
                  <c:v>23.349600000000002</c:v>
                </c:pt>
                <c:pt idx="111">
                  <c:v>22.555800000000001</c:v>
                </c:pt>
                <c:pt idx="112">
                  <c:v>21.670100000000001</c:v>
                </c:pt>
                <c:pt idx="113">
                  <c:v>20.858899999999998</c:v>
                </c:pt>
                <c:pt idx="114">
                  <c:v>19.972899999999999</c:v>
                </c:pt>
                <c:pt idx="115">
                  <c:v>19.077400000000001</c:v>
                </c:pt>
                <c:pt idx="116">
                  <c:v>18.142299999999999</c:v>
                </c:pt>
                <c:pt idx="117">
                  <c:v>17.245100000000001</c:v>
                </c:pt>
                <c:pt idx="118">
                  <c:v>16.516400000000001</c:v>
                </c:pt>
                <c:pt idx="119">
                  <c:v>15.8497</c:v>
                </c:pt>
                <c:pt idx="120">
                  <c:v>15.257899999999999</c:v>
                </c:pt>
                <c:pt idx="121">
                  <c:v>14.672199999999998</c:v>
                </c:pt>
                <c:pt idx="122">
                  <c:v>14.089499999999999</c:v>
                </c:pt>
                <c:pt idx="123">
                  <c:v>13.587199999999999</c:v>
                </c:pt>
                <c:pt idx="124">
                  <c:v>13.126199999999999</c:v>
                </c:pt>
                <c:pt idx="125">
                  <c:v>12.740000000000002</c:v>
                </c:pt>
                <c:pt idx="126">
                  <c:v>12.3553</c:v>
                </c:pt>
                <c:pt idx="127">
                  <c:v>11.969200000000001</c:v>
                </c:pt>
                <c:pt idx="128">
                  <c:v>11.6145</c:v>
                </c:pt>
                <c:pt idx="129">
                  <c:v>11.336599999999999</c:v>
                </c:pt>
                <c:pt idx="130">
                  <c:v>11.091699999999999</c:v>
                </c:pt>
                <c:pt idx="131">
                  <c:v>10.895299999999999</c:v>
                </c:pt>
                <c:pt idx="132">
                  <c:v>10.716100000000001</c:v>
                </c:pt>
                <c:pt idx="133">
                  <c:v>10.517899999999999</c:v>
                </c:pt>
                <c:pt idx="134">
                  <c:v>10.1465</c:v>
                </c:pt>
                <c:pt idx="135">
                  <c:v>9.8835700000000006</c:v>
                </c:pt>
                <c:pt idx="136">
                  <c:v>9.7229899999999994</c:v>
                </c:pt>
                <c:pt idx="137">
                  <c:v>9.6569400000000005</c:v>
                </c:pt>
                <c:pt idx="138">
                  <c:v>9.5364500000000003</c:v>
                </c:pt>
                <c:pt idx="139">
                  <c:v>9.6499900000000007</c:v>
                </c:pt>
                <c:pt idx="140">
                  <c:v>9.9831799999999991</c:v>
                </c:pt>
                <c:pt idx="141">
                  <c:v>10.5319</c:v>
                </c:pt>
                <c:pt idx="142">
                  <c:v>11.1342</c:v>
                </c:pt>
                <c:pt idx="143">
                  <c:v>11.395</c:v>
                </c:pt>
                <c:pt idx="144">
                  <c:v>11.635900000000001</c:v>
                </c:pt>
                <c:pt idx="145">
                  <c:v>11.454499999999999</c:v>
                </c:pt>
                <c:pt idx="146">
                  <c:v>11.573</c:v>
                </c:pt>
                <c:pt idx="147">
                  <c:v>12.3001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1.55447</c:v>
                </c:pt>
                <c:pt idx="1">
                  <c:v>1.60964</c:v>
                </c:pt>
                <c:pt idx="2">
                  <c:v>1.6647400000000001</c:v>
                </c:pt>
                <c:pt idx="3">
                  <c:v>1.7183599999999999</c:v>
                </c:pt>
                <c:pt idx="4">
                  <c:v>1.7709600000000001</c:v>
                </c:pt>
                <c:pt idx="5">
                  <c:v>1.8215400000000002</c:v>
                </c:pt>
                <c:pt idx="6">
                  <c:v>1.8706200000000002</c:v>
                </c:pt>
                <c:pt idx="7">
                  <c:v>1.9209000000000001</c:v>
                </c:pt>
                <c:pt idx="8">
                  <c:v>1.9701299999999999</c:v>
                </c:pt>
                <c:pt idx="9">
                  <c:v>2.0217099999999997</c:v>
                </c:pt>
                <c:pt idx="10">
                  <c:v>2.0731999999999999</c:v>
                </c:pt>
                <c:pt idx="11">
                  <c:v>2.1233200000000001</c:v>
                </c:pt>
                <c:pt idx="12">
                  <c:v>2.1724199999999998</c:v>
                </c:pt>
                <c:pt idx="13">
                  <c:v>2.2232699999999999</c:v>
                </c:pt>
                <c:pt idx="14">
                  <c:v>2.2729499999999998</c:v>
                </c:pt>
                <c:pt idx="15">
                  <c:v>2.3189199999999999</c:v>
                </c:pt>
                <c:pt idx="16">
                  <c:v>2.3625699999999998</c:v>
                </c:pt>
                <c:pt idx="17">
                  <c:v>2.4040699999999999</c:v>
                </c:pt>
                <c:pt idx="18">
                  <c:v>2.4443999999999999</c:v>
                </c:pt>
                <c:pt idx="19">
                  <c:v>2.4820199999999999</c:v>
                </c:pt>
                <c:pt idx="20">
                  <c:v>2.5172499999999998</c:v>
                </c:pt>
                <c:pt idx="21">
                  <c:v>2.5513200000000005</c:v>
                </c:pt>
                <c:pt idx="22">
                  <c:v>2.5830900000000003</c:v>
                </c:pt>
                <c:pt idx="23">
                  <c:v>2.61226</c:v>
                </c:pt>
                <c:pt idx="24">
                  <c:v>2.6382299999999996</c:v>
                </c:pt>
                <c:pt idx="25">
                  <c:v>2.6618999999999997</c:v>
                </c:pt>
                <c:pt idx="26">
                  <c:v>2.6841200000000001</c:v>
                </c:pt>
                <c:pt idx="27">
                  <c:v>2.7047300000000001</c:v>
                </c:pt>
                <c:pt idx="28">
                  <c:v>2.7236900000000004</c:v>
                </c:pt>
                <c:pt idx="29">
                  <c:v>2.7385900000000003</c:v>
                </c:pt>
                <c:pt idx="30">
                  <c:v>2.7532299999999998</c:v>
                </c:pt>
                <c:pt idx="31">
                  <c:v>2.7678500000000001</c:v>
                </c:pt>
                <c:pt idx="32">
                  <c:v>2.78078</c:v>
                </c:pt>
                <c:pt idx="33">
                  <c:v>2.7928999999999999</c:v>
                </c:pt>
                <c:pt idx="34">
                  <c:v>2.80307</c:v>
                </c:pt>
                <c:pt idx="35">
                  <c:v>2.8090100000000002</c:v>
                </c:pt>
                <c:pt idx="36">
                  <c:v>2.81345</c:v>
                </c:pt>
                <c:pt idx="37">
                  <c:v>2.8183999999999996</c:v>
                </c:pt>
                <c:pt idx="38">
                  <c:v>2.8203299999999998</c:v>
                </c:pt>
                <c:pt idx="39">
                  <c:v>2.8234900000000001</c:v>
                </c:pt>
                <c:pt idx="40">
                  <c:v>2.8265200000000004</c:v>
                </c:pt>
                <c:pt idx="41">
                  <c:v>2.82667</c:v>
                </c:pt>
                <c:pt idx="42">
                  <c:v>2.8246599999999997</c:v>
                </c:pt>
                <c:pt idx="43">
                  <c:v>2.8225099999999999</c:v>
                </c:pt>
                <c:pt idx="44">
                  <c:v>2.8188400000000002</c:v>
                </c:pt>
                <c:pt idx="45">
                  <c:v>2.8151599999999997</c:v>
                </c:pt>
                <c:pt idx="46">
                  <c:v>2.8100399999999999</c:v>
                </c:pt>
                <c:pt idx="47">
                  <c:v>2.8053299999999997</c:v>
                </c:pt>
                <c:pt idx="48">
                  <c:v>2.7993800000000002</c:v>
                </c:pt>
                <c:pt idx="49">
                  <c:v>2.7942400000000003</c:v>
                </c:pt>
                <c:pt idx="50">
                  <c:v>2.7913100000000002</c:v>
                </c:pt>
                <c:pt idx="51">
                  <c:v>2.7868900000000001</c:v>
                </c:pt>
                <c:pt idx="52">
                  <c:v>2.7814399999999999</c:v>
                </c:pt>
                <c:pt idx="53">
                  <c:v>2.77711</c:v>
                </c:pt>
                <c:pt idx="54">
                  <c:v>2.7738400000000003</c:v>
                </c:pt>
                <c:pt idx="55">
                  <c:v>2.7716699999999999</c:v>
                </c:pt>
                <c:pt idx="56">
                  <c:v>2.7699499999999997</c:v>
                </c:pt>
                <c:pt idx="57">
                  <c:v>2.7674700000000003</c:v>
                </c:pt>
                <c:pt idx="58">
                  <c:v>2.7665699999999998</c:v>
                </c:pt>
                <c:pt idx="59">
                  <c:v>2.7660600000000004</c:v>
                </c:pt>
                <c:pt idx="60">
                  <c:v>2.7663799999999998</c:v>
                </c:pt>
                <c:pt idx="61">
                  <c:v>2.7657599999999998</c:v>
                </c:pt>
                <c:pt idx="62">
                  <c:v>2.7634300000000001</c:v>
                </c:pt>
                <c:pt idx="63">
                  <c:v>2.76105</c:v>
                </c:pt>
                <c:pt idx="64">
                  <c:v>2.7566899999999999</c:v>
                </c:pt>
                <c:pt idx="65">
                  <c:v>2.7543000000000002</c:v>
                </c:pt>
                <c:pt idx="66">
                  <c:v>2.7565299999999997</c:v>
                </c:pt>
                <c:pt idx="67">
                  <c:v>2.7589599999999996</c:v>
                </c:pt>
                <c:pt idx="68">
                  <c:v>2.7582200000000001</c:v>
                </c:pt>
                <c:pt idx="69">
                  <c:v>2.7595100000000001</c:v>
                </c:pt>
                <c:pt idx="70">
                  <c:v>2.7599600000000004</c:v>
                </c:pt>
                <c:pt idx="71">
                  <c:v>2.7596500000000002</c:v>
                </c:pt>
                <c:pt idx="72">
                  <c:v>2.7570899999999998</c:v>
                </c:pt>
                <c:pt idx="73">
                  <c:v>2.7559899999999997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60.410899999999998</c:v>
                </c:pt>
                <c:pt idx="1">
                  <c:v>59.418400000000005</c:v>
                </c:pt>
                <c:pt idx="2">
                  <c:v>58.457300000000004</c:v>
                </c:pt>
                <c:pt idx="3">
                  <c:v>57.6126</c:v>
                </c:pt>
                <c:pt idx="4">
                  <c:v>56.748699999999999</c:v>
                </c:pt>
                <c:pt idx="5">
                  <c:v>55.990799999999993</c:v>
                </c:pt>
                <c:pt idx="6">
                  <c:v>55.292699999999996</c:v>
                </c:pt>
                <c:pt idx="7">
                  <c:v>54.523299999999999</c:v>
                </c:pt>
                <c:pt idx="8">
                  <c:v>53.795099999999998</c:v>
                </c:pt>
                <c:pt idx="9">
                  <c:v>52.981500000000004</c:v>
                </c:pt>
                <c:pt idx="10">
                  <c:v>52.126199999999997</c:v>
                </c:pt>
                <c:pt idx="11">
                  <c:v>51.244700000000002</c:v>
                </c:pt>
                <c:pt idx="12">
                  <c:v>50.414099999999998</c:v>
                </c:pt>
                <c:pt idx="13">
                  <c:v>49.49</c:v>
                </c:pt>
                <c:pt idx="14">
                  <c:v>48.670200000000001</c:v>
                </c:pt>
                <c:pt idx="15">
                  <c:v>48.076099999999997</c:v>
                </c:pt>
                <c:pt idx="16">
                  <c:v>47.581200000000003</c:v>
                </c:pt>
                <c:pt idx="17">
                  <c:v>47.034500000000001</c:v>
                </c:pt>
                <c:pt idx="18">
                  <c:v>46.4816</c:v>
                </c:pt>
                <c:pt idx="19">
                  <c:v>45.9572</c:v>
                </c:pt>
                <c:pt idx="20">
                  <c:v>45.471800000000002</c:v>
                </c:pt>
                <c:pt idx="21">
                  <c:v>44.9621</c:v>
                </c:pt>
                <c:pt idx="22">
                  <c:v>44.527499999999996</c:v>
                </c:pt>
                <c:pt idx="23">
                  <c:v>44.13</c:v>
                </c:pt>
                <c:pt idx="24">
                  <c:v>43.716200000000001</c:v>
                </c:pt>
                <c:pt idx="25">
                  <c:v>43.381300000000003</c:v>
                </c:pt>
                <c:pt idx="26">
                  <c:v>43.055599999999998</c:v>
                </c:pt>
                <c:pt idx="27">
                  <c:v>42.7545</c:v>
                </c:pt>
                <c:pt idx="28">
                  <c:v>42.463000000000001</c:v>
                </c:pt>
                <c:pt idx="29">
                  <c:v>42.224699999999999</c:v>
                </c:pt>
                <c:pt idx="30">
                  <c:v>41.986699999999999</c:v>
                </c:pt>
                <c:pt idx="31">
                  <c:v>41.7102</c:v>
                </c:pt>
                <c:pt idx="32">
                  <c:v>41.4298</c:v>
                </c:pt>
                <c:pt idx="33">
                  <c:v>41.154499999999999</c:v>
                </c:pt>
                <c:pt idx="34">
                  <c:v>40.894399999999997</c:v>
                </c:pt>
                <c:pt idx="35">
                  <c:v>40.695700000000002</c:v>
                </c:pt>
                <c:pt idx="36">
                  <c:v>40.569800000000001</c:v>
                </c:pt>
                <c:pt idx="37">
                  <c:v>40.4268</c:v>
                </c:pt>
                <c:pt idx="38">
                  <c:v>40.316899999999997</c:v>
                </c:pt>
                <c:pt idx="39">
                  <c:v>40.170999999999999</c:v>
                </c:pt>
                <c:pt idx="40">
                  <c:v>40.016200000000005</c:v>
                </c:pt>
                <c:pt idx="41">
                  <c:v>39.895499999999998</c:v>
                </c:pt>
                <c:pt idx="42">
                  <c:v>39.7913</c:v>
                </c:pt>
                <c:pt idx="43">
                  <c:v>39.684599999999996</c:v>
                </c:pt>
                <c:pt idx="44">
                  <c:v>39.601100000000002</c:v>
                </c:pt>
                <c:pt idx="45">
                  <c:v>39.491599999999998</c:v>
                </c:pt>
                <c:pt idx="46">
                  <c:v>39.387699999999995</c:v>
                </c:pt>
                <c:pt idx="47">
                  <c:v>39.246700000000004</c:v>
                </c:pt>
                <c:pt idx="48">
                  <c:v>39.100099999999998</c:v>
                </c:pt>
                <c:pt idx="49">
                  <c:v>38.906300000000002</c:v>
                </c:pt>
                <c:pt idx="50">
                  <c:v>38.728699999999996</c:v>
                </c:pt>
                <c:pt idx="51">
                  <c:v>38.5473</c:v>
                </c:pt>
                <c:pt idx="52">
                  <c:v>38.4178</c:v>
                </c:pt>
                <c:pt idx="53">
                  <c:v>38.278099999999995</c:v>
                </c:pt>
                <c:pt idx="54">
                  <c:v>38.130900000000004</c:v>
                </c:pt>
                <c:pt idx="55">
                  <c:v>38.009500000000003</c:v>
                </c:pt>
                <c:pt idx="56">
                  <c:v>37.939799999999998</c:v>
                </c:pt>
                <c:pt idx="57">
                  <c:v>37.891799999999996</c:v>
                </c:pt>
                <c:pt idx="58">
                  <c:v>37.806400000000004</c:v>
                </c:pt>
                <c:pt idx="59">
                  <c:v>37.728699999999996</c:v>
                </c:pt>
                <c:pt idx="60">
                  <c:v>37.657600000000002</c:v>
                </c:pt>
                <c:pt idx="61">
                  <c:v>37.5839</c:v>
                </c:pt>
                <c:pt idx="62">
                  <c:v>37.565300000000001</c:v>
                </c:pt>
                <c:pt idx="63">
                  <c:v>37.594100000000005</c:v>
                </c:pt>
                <c:pt idx="64">
                  <c:v>37.624600000000001</c:v>
                </c:pt>
                <c:pt idx="65">
                  <c:v>37.587199999999996</c:v>
                </c:pt>
                <c:pt idx="66">
                  <c:v>37.462200000000003</c:v>
                </c:pt>
                <c:pt idx="67">
                  <c:v>37.358899999999998</c:v>
                </c:pt>
                <c:pt idx="68">
                  <c:v>37.327100000000002</c:v>
                </c:pt>
                <c:pt idx="69">
                  <c:v>37.262499999999996</c:v>
                </c:pt>
                <c:pt idx="70">
                  <c:v>37.203099999999999</c:v>
                </c:pt>
                <c:pt idx="71">
                  <c:v>37.184400000000004</c:v>
                </c:pt>
                <c:pt idx="72">
                  <c:v>37.151200000000003</c:v>
                </c:pt>
                <c:pt idx="73">
                  <c:v>37.137900000000002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2.7559899999999997</c:v>
                </c:pt>
                <c:pt idx="1">
                  <c:v>2.7551100000000002</c:v>
                </c:pt>
                <c:pt idx="2">
                  <c:v>2.75108</c:v>
                </c:pt>
                <c:pt idx="3">
                  <c:v>2.7502399999999998</c:v>
                </c:pt>
                <c:pt idx="4">
                  <c:v>2.7506399999999998</c:v>
                </c:pt>
                <c:pt idx="5">
                  <c:v>2.7537799999999999</c:v>
                </c:pt>
                <c:pt idx="6">
                  <c:v>2.7575899999999995</c:v>
                </c:pt>
                <c:pt idx="7">
                  <c:v>2.7595199999999998</c:v>
                </c:pt>
                <c:pt idx="8">
                  <c:v>2.76058</c:v>
                </c:pt>
                <c:pt idx="9">
                  <c:v>2.7616000000000001</c:v>
                </c:pt>
                <c:pt idx="10">
                  <c:v>2.76024</c:v>
                </c:pt>
                <c:pt idx="11">
                  <c:v>2.75989</c:v>
                </c:pt>
                <c:pt idx="12">
                  <c:v>2.7606799999999998</c:v>
                </c:pt>
                <c:pt idx="13">
                  <c:v>2.7603100000000005</c:v>
                </c:pt>
                <c:pt idx="14">
                  <c:v>2.7592499999999998</c:v>
                </c:pt>
                <c:pt idx="15">
                  <c:v>2.7577699999999998</c:v>
                </c:pt>
                <c:pt idx="16">
                  <c:v>2.7558300000000004</c:v>
                </c:pt>
                <c:pt idx="17">
                  <c:v>2.7542400000000002</c:v>
                </c:pt>
                <c:pt idx="18">
                  <c:v>2.7518099999999999</c:v>
                </c:pt>
                <c:pt idx="19">
                  <c:v>2.7497700000000003</c:v>
                </c:pt>
                <c:pt idx="20">
                  <c:v>2.7488600000000001</c:v>
                </c:pt>
                <c:pt idx="21">
                  <c:v>2.7485200000000001</c:v>
                </c:pt>
                <c:pt idx="22">
                  <c:v>2.7493600000000002</c:v>
                </c:pt>
                <c:pt idx="23">
                  <c:v>2.7527900000000001</c:v>
                </c:pt>
                <c:pt idx="24">
                  <c:v>2.7577400000000001</c:v>
                </c:pt>
                <c:pt idx="25">
                  <c:v>2.7634699999999999</c:v>
                </c:pt>
                <c:pt idx="26">
                  <c:v>2.7687200000000001</c:v>
                </c:pt>
                <c:pt idx="27">
                  <c:v>2.7746599999999999</c:v>
                </c:pt>
                <c:pt idx="28">
                  <c:v>2.7793600000000001</c:v>
                </c:pt>
                <c:pt idx="29">
                  <c:v>2.7827299999999999</c:v>
                </c:pt>
                <c:pt idx="30">
                  <c:v>2.7870699999999999</c:v>
                </c:pt>
                <c:pt idx="31">
                  <c:v>2.79393</c:v>
                </c:pt>
                <c:pt idx="32">
                  <c:v>2.80267</c:v>
                </c:pt>
                <c:pt idx="33">
                  <c:v>2.8099499999999997</c:v>
                </c:pt>
                <c:pt idx="34">
                  <c:v>2.8172000000000001</c:v>
                </c:pt>
                <c:pt idx="35">
                  <c:v>2.8226200000000001</c:v>
                </c:pt>
                <c:pt idx="36">
                  <c:v>2.8278599999999998</c:v>
                </c:pt>
                <c:pt idx="37">
                  <c:v>2.8352899999999996</c:v>
                </c:pt>
                <c:pt idx="38">
                  <c:v>2.8471600000000001</c:v>
                </c:pt>
                <c:pt idx="39">
                  <c:v>2.86043</c:v>
                </c:pt>
                <c:pt idx="40">
                  <c:v>2.87277</c:v>
                </c:pt>
                <c:pt idx="41">
                  <c:v>2.8867399999999996</c:v>
                </c:pt>
                <c:pt idx="42">
                  <c:v>2.8998800000000005</c:v>
                </c:pt>
                <c:pt idx="43">
                  <c:v>2.9148299999999998</c:v>
                </c:pt>
                <c:pt idx="44">
                  <c:v>2.9316900000000001</c:v>
                </c:pt>
                <c:pt idx="45">
                  <c:v>2.9468499999999995</c:v>
                </c:pt>
                <c:pt idx="46">
                  <c:v>2.9604399999999997</c:v>
                </c:pt>
                <c:pt idx="47">
                  <c:v>2.9730699999999999</c:v>
                </c:pt>
                <c:pt idx="48">
                  <c:v>2.9843599999999997</c:v>
                </c:pt>
                <c:pt idx="49">
                  <c:v>2.9939300000000002</c:v>
                </c:pt>
                <c:pt idx="50">
                  <c:v>3.0019299999999998</c:v>
                </c:pt>
                <c:pt idx="51">
                  <c:v>3.0103799999999996</c:v>
                </c:pt>
                <c:pt idx="52">
                  <c:v>3.0179499999999999</c:v>
                </c:pt>
                <c:pt idx="53">
                  <c:v>3.0266900000000003</c:v>
                </c:pt>
                <c:pt idx="54">
                  <c:v>3.0363499999999997</c:v>
                </c:pt>
                <c:pt idx="55">
                  <c:v>3.0427</c:v>
                </c:pt>
                <c:pt idx="56">
                  <c:v>3.0460900000000004</c:v>
                </c:pt>
                <c:pt idx="57">
                  <c:v>3.04976</c:v>
                </c:pt>
                <c:pt idx="58">
                  <c:v>3.0560499999999999</c:v>
                </c:pt>
                <c:pt idx="59">
                  <c:v>3.06128</c:v>
                </c:pt>
                <c:pt idx="60">
                  <c:v>3.07002</c:v>
                </c:pt>
                <c:pt idx="61">
                  <c:v>3.0803000000000003</c:v>
                </c:pt>
                <c:pt idx="62">
                  <c:v>3.0867399999999998</c:v>
                </c:pt>
                <c:pt idx="63">
                  <c:v>3.0891400000000004</c:v>
                </c:pt>
                <c:pt idx="64">
                  <c:v>3.0915500000000002</c:v>
                </c:pt>
                <c:pt idx="65">
                  <c:v>3.0967799999999999</c:v>
                </c:pt>
                <c:pt idx="66">
                  <c:v>3.0982599999999998</c:v>
                </c:pt>
                <c:pt idx="67">
                  <c:v>3.0979700000000001</c:v>
                </c:pt>
                <c:pt idx="68">
                  <c:v>3.0925500000000001</c:v>
                </c:pt>
                <c:pt idx="69">
                  <c:v>3.0843700000000003</c:v>
                </c:pt>
                <c:pt idx="70">
                  <c:v>3.0793200000000001</c:v>
                </c:pt>
                <c:pt idx="71">
                  <c:v>3.0719000000000003</c:v>
                </c:pt>
                <c:pt idx="72">
                  <c:v>3.0693999999999999</c:v>
                </c:pt>
                <c:pt idx="73">
                  <c:v>3.0562800000000001</c:v>
                </c:pt>
                <c:pt idx="74">
                  <c:v>3.03898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37.137900000000002</c:v>
                </c:pt>
                <c:pt idx="1">
                  <c:v>37.186599999999999</c:v>
                </c:pt>
                <c:pt idx="2">
                  <c:v>37.1295</c:v>
                </c:pt>
                <c:pt idx="3">
                  <c:v>36.9863</c:v>
                </c:pt>
                <c:pt idx="4">
                  <c:v>36.823099999999997</c:v>
                </c:pt>
                <c:pt idx="5">
                  <c:v>36.627400000000002</c:v>
                </c:pt>
                <c:pt idx="6">
                  <c:v>36.406399999999998</c:v>
                </c:pt>
                <c:pt idx="7">
                  <c:v>36.247399999999999</c:v>
                </c:pt>
                <c:pt idx="8">
                  <c:v>36.085499999999996</c:v>
                </c:pt>
                <c:pt idx="9">
                  <c:v>35.886400000000002</c:v>
                </c:pt>
                <c:pt idx="10">
                  <c:v>35.707100000000004</c:v>
                </c:pt>
                <c:pt idx="11">
                  <c:v>35.468200000000003</c:v>
                </c:pt>
                <c:pt idx="12">
                  <c:v>35.199999999999996</c:v>
                </c:pt>
                <c:pt idx="13">
                  <c:v>34.888400000000004</c:v>
                </c:pt>
                <c:pt idx="14">
                  <c:v>34.619499999999995</c:v>
                </c:pt>
                <c:pt idx="15">
                  <c:v>34.324300000000001</c:v>
                </c:pt>
                <c:pt idx="16">
                  <c:v>34.029299999999999</c:v>
                </c:pt>
                <c:pt idx="17">
                  <c:v>33.689300000000003</c:v>
                </c:pt>
                <c:pt idx="18">
                  <c:v>33.387899999999995</c:v>
                </c:pt>
                <c:pt idx="19">
                  <c:v>33.092500000000001</c:v>
                </c:pt>
                <c:pt idx="20">
                  <c:v>32.7502</c:v>
                </c:pt>
                <c:pt idx="21">
                  <c:v>32.402099999999997</c:v>
                </c:pt>
                <c:pt idx="22">
                  <c:v>32.065199999999997</c:v>
                </c:pt>
                <c:pt idx="23">
                  <c:v>31.658799999999999</c:v>
                </c:pt>
                <c:pt idx="24">
                  <c:v>31.277200000000001</c:v>
                </c:pt>
                <c:pt idx="25">
                  <c:v>30.892999999999997</c:v>
                </c:pt>
                <c:pt idx="26">
                  <c:v>30.4937</c:v>
                </c:pt>
                <c:pt idx="27">
                  <c:v>30.008400000000002</c:v>
                </c:pt>
                <c:pt idx="28">
                  <c:v>29.540100000000002</c:v>
                </c:pt>
                <c:pt idx="29">
                  <c:v>29.064600000000002</c:v>
                </c:pt>
                <c:pt idx="30">
                  <c:v>28.5015</c:v>
                </c:pt>
                <c:pt idx="31">
                  <c:v>27.819899999999997</c:v>
                </c:pt>
                <c:pt idx="32">
                  <c:v>27.036500000000004</c:v>
                </c:pt>
                <c:pt idx="33">
                  <c:v>26.225100000000001</c:v>
                </c:pt>
                <c:pt idx="34">
                  <c:v>25.4297</c:v>
                </c:pt>
                <c:pt idx="35">
                  <c:v>24.6843</c:v>
                </c:pt>
                <c:pt idx="36">
                  <c:v>24.070599999999999</c:v>
                </c:pt>
                <c:pt idx="37">
                  <c:v>23.349600000000002</c:v>
                </c:pt>
                <c:pt idx="38">
                  <c:v>22.555800000000001</c:v>
                </c:pt>
                <c:pt idx="39">
                  <c:v>21.670100000000001</c:v>
                </c:pt>
                <c:pt idx="40">
                  <c:v>20.858899999999998</c:v>
                </c:pt>
                <c:pt idx="41">
                  <c:v>19.972899999999999</c:v>
                </c:pt>
                <c:pt idx="42">
                  <c:v>19.077400000000001</c:v>
                </c:pt>
                <c:pt idx="43">
                  <c:v>18.142299999999999</c:v>
                </c:pt>
                <c:pt idx="44">
                  <c:v>17.245100000000001</c:v>
                </c:pt>
                <c:pt idx="45">
                  <c:v>16.516400000000001</c:v>
                </c:pt>
                <c:pt idx="46">
                  <c:v>15.8497</c:v>
                </c:pt>
                <c:pt idx="47">
                  <c:v>15.257899999999999</c:v>
                </c:pt>
                <c:pt idx="48">
                  <c:v>14.672199999999998</c:v>
                </c:pt>
                <c:pt idx="49">
                  <c:v>14.089499999999999</c:v>
                </c:pt>
                <c:pt idx="50">
                  <c:v>13.587199999999999</c:v>
                </c:pt>
                <c:pt idx="51">
                  <c:v>13.126199999999999</c:v>
                </c:pt>
                <c:pt idx="52">
                  <c:v>12.740000000000002</c:v>
                </c:pt>
                <c:pt idx="53">
                  <c:v>12.3553</c:v>
                </c:pt>
                <c:pt idx="54">
                  <c:v>11.969200000000001</c:v>
                </c:pt>
                <c:pt idx="55">
                  <c:v>11.6145</c:v>
                </c:pt>
                <c:pt idx="56">
                  <c:v>11.336599999999999</c:v>
                </c:pt>
                <c:pt idx="57">
                  <c:v>11.091699999999999</c:v>
                </c:pt>
                <c:pt idx="58">
                  <c:v>10.895299999999999</c:v>
                </c:pt>
                <c:pt idx="59">
                  <c:v>10.716100000000001</c:v>
                </c:pt>
                <c:pt idx="60">
                  <c:v>10.517899999999999</c:v>
                </c:pt>
                <c:pt idx="61">
                  <c:v>10.1465</c:v>
                </c:pt>
                <c:pt idx="62">
                  <c:v>9.8835700000000006</c:v>
                </c:pt>
                <c:pt idx="63">
                  <c:v>9.7229899999999994</c:v>
                </c:pt>
                <c:pt idx="64">
                  <c:v>9.6569400000000005</c:v>
                </c:pt>
                <c:pt idx="65">
                  <c:v>9.5364500000000003</c:v>
                </c:pt>
                <c:pt idx="66">
                  <c:v>9.6499900000000007</c:v>
                </c:pt>
                <c:pt idx="67">
                  <c:v>9.9831799999999991</c:v>
                </c:pt>
                <c:pt idx="68">
                  <c:v>10.5319</c:v>
                </c:pt>
                <c:pt idx="69">
                  <c:v>11.1342</c:v>
                </c:pt>
                <c:pt idx="70">
                  <c:v>11.395</c:v>
                </c:pt>
                <c:pt idx="71">
                  <c:v>11.635900000000001</c:v>
                </c:pt>
                <c:pt idx="72">
                  <c:v>11.454499999999999</c:v>
                </c:pt>
                <c:pt idx="73">
                  <c:v>11.573</c:v>
                </c:pt>
                <c:pt idx="74">
                  <c:v>12.3001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1.55447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2.5638794594594589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43.224995945945935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2.8934813513513529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22.777270540540538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2.8934813513513529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22.777270540540538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0.24243203834968585</c:v>
                </c:pt>
                <c:pt idx="1">
                  <c:v>0.25135693496662675</c:v>
                </c:pt>
                <c:pt idx="2">
                  <c:v>0.50621102668368756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0.41066399999999997</c:v>
                </c:pt>
                <c:pt idx="2">
                  <c:v>0.81453900000000001</c:v>
                </c:pt>
                <c:pt idx="3">
                  <c:v>1.2194199999999999</c:v>
                </c:pt>
                <c:pt idx="4">
                  <c:v>1.6248400000000001</c:v>
                </c:pt>
                <c:pt idx="5">
                  <c:v>2.0305300000000002</c:v>
                </c:pt>
                <c:pt idx="6">
                  <c:v>2.43926</c:v>
                </c:pt>
                <c:pt idx="7">
                  <c:v>2.8451399999999998</c:v>
                </c:pt>
                <c:pt idx="8">
                  <c:v>3.25</c:v>
                </c:pt>
                <c:pt idx="9">
                  <c:v>3.65828</c:v>
                </c:pt>
                <c:pt idx="10">
                  <c:v>4.0623300000000002</c:v>
                </c:pt>
                <c:pt idx="11">
                  <c:v>4.4717399999999996</c:v>
                </c:pt>
                <c:pt idx="12">
                  <c:v>4.87676</c:v>
                </c:pt>
                <c:pt idx="13">
                  <c:v>5.2816299999999998</c:v>
                </c:pt>
                <c:pt idx="14">
                  <c:v>5.6876499999999997</c:v>
                </c:pt>
                <c:pt idx="15">
                  <c:v>6.0931300000000004</c:v>
                </c:pt>
                <c:pt idx="16">
                  <c:v>6.4990500000000004</c:v>
                </c:pt>
                <c:pt idx="17">
                  <c:v>6.9080899999999996</c:v>
                </c:pt>
                <c:pt idx="18">
                  <c:v>7.3121499999999999</c:v>
                </c:pt>
                <c:pt idx="19">
                  <c:v>7.7202200000000003</c:v>
                </c:pt>
                <c:pt idx="20">
                  <c:v>8.1249900000000004</c:v>
                </c:pt>
                <c:pt idx="21">
                  <c:v>8.5328900000000001</c:v>
                </c:pt>
                <c:pt idx="22">
                  <c:v>8.9390000000000001</c:v>
                </c:pt>
                <c:pt idx="23">
                  <c:v>9.3433299999999999</c:v>
                </c:pt>
                <c:pt idx="24">
                  <c:v>9.7476000000000003</c:v>
                </c:pt>
                <c:pt idx="25">
                  <c:v>10.1568</c:v>
                </c:pt>
                <c:pt idx="26">
                  <c:v>10.5656</c:v>
                </c:pt>
                <c:pt idx="27">
                  <c:v>10.971399999999999</c:v>
                </c:pt>
                <c:pt idx="28">
                  <c:v>11.3742</c:v>
                </c:pt>
                <c:pt idx="29">
                  <c:v>11.7789</c:v>
                </c:pt>
                <c:pt idx="30">
                  <c:v>12.1881</c:v>
                </c:pt>
                <c:pt idx="31">
                  <c:v>12.594099999999999</c:v>
                </c:pt>
                <c:pt idx="32">
                  <c:v>13.001200000000001</c:v>
                </c:pt>
                <c:pt idx="33">
                  <c:v>13.407999999999999</c:v>
                </c:pt>
                <c:pt idx="34">
                  <c:v>13.8133</c:v>
                </c:pt>
                <c:pt idx="35">
                  <c:v>14.2187</c:v>
                </c:pt>
                <c:pt idx="36">
                  <c:v>14.623900000000001</c:v>
                </c:pt>
                <c:pt idx="37">
                  <c:v>15.0313</c:v>
                </c:pt>
                <c:pt idx="38">
                  <c:v>15.4414</c:v>
                </c:pt>
                <c:pt idx="39">
                  <c:v>15.8454</c:v>
                </c:pt>
                <c:pt idx="40">
                  <c:v>16.2502</c:v>
                </c:pt>
                <c:pt idx="41">
                  <c:v>16.658899999999999</c:v>
                </c:pt>
                <c:pt idx="42">
                  <c:v>17.061299999999999</c:v>
                </c:pt>
                <c:pt idx="43">
                  <c:v>17.4678</c:v>
                </c:pt>
                <c:pt idx="44">
                  <c:v>17.876799999999999</c:v>
                </c:pt>
                <c:pt idx="45">
                  <c:v>18.2852</c:v>
                </c:pt>
                <c:pt idx="46">
                  <c:v>18.687999999999999</c:v>
                </c:pt>
                <c:pt idx="47">
                  <c:v>19.0929</c:v>
                </c:pt>
                <c:pt idx="48">
                  <c:v>19.502800000000001</c:v>
                </c:pt>
                <c:pt idx="49">
                  <c:v>19.906400000000001</c:v>
                </c:pt>
                <c:pt idx="50">
                  <c:v>20.311699999999998</c:v>
                </c:pt>
                <c:pt idx="51">
                  <c:v>20.718499999999999</c:v>
                </c:pt>
                <c:pt idx="52">
                  <c:v>21.125499999999999</c:v>
                </c:pt>
                <c:pt idx="53">
                  <c:v>21.532499999999999</c:v>
                </c:pt>
                <c:pt idx="54">
                  <c:v>21.9406</c:v>
                </c:pt>
                <c:pt idx="55">
                  <c:v>22.347200000000001</c:v>
                </c:pt>
                <c:pt idx="56">
                  <c:v>22.7483</c:v>
                </c:pt>
                <c:pt idx="57">
                  <c:v>23.1584</c:v>
                </c:pt>
                <c:pt idx="58">
                  <c:v>23.5626</c:v>
                </c:pt>
                <c:pt idx="59">
                  <c:v>23.972000000000001</c:v>
                </c:pt>
                <c:pt idx="60">
                  <c:v>24.376899999999999</c:v>
                </c:pt>
                <c:pt idx="61">
                  <c:v>24.78</c:v>
                </c:pt>
                <c:pt idx="62">
                  <c:v>25.1877</c:v>
                </c:pt>
                <c:pt idx="63">
                  <c:v>25.592700000000001</c:v>
                </c:pt>
                <c:pt idx="64">
                  <c:v>26.003399999999999</c:v>
                </c:pt>
                <c:pt idx="65">
                  <c:v>26.4053</c:v>
                </c:pt>
                <c:pt idx="66">
                  <c:v>26.811299999999999</c:v>
                </c:pt>
                <c:pt idx="67">
                  <c:v>27.222200000000001</c:v>
                </c:pt>
                <c:pt idx="68">
                  <c:v>27.627600000000001</c:v>
                </c:pt>
                <c:pt idx="69">
                  <c:v>28.0304</c:v>
                </c:pt>
                <c:pt idx="70">
                  <c:v>28.439399999999999</c:v>
                </c:pt>
                <c:pt idx="71">
                  <c:v>28.8432</c:v>
                </c:pt>
                <c:pt idx="72">
                  <c:v>29.250800000000002</c:v>
                </c:pt>
                <c:pt idx="73">
                  <c:v>29.657800000000002</c:v>
                </c:pt>
                <c:pt idx="74">
                  <c:v>30.060600000000001</c:v>
                </c:pt>
                <c:pt idx="75">
                  <c:v>30.5306</c:v>
                </c:pt>
                <c:pt idx="76">
                  <c:v>30.936599999999999</c:v>
                </c:pt>
                <c:pt idx="77">
                  <c:v>31.328499999999998</c:v>
                </c:pt>
                <c:pt idx="78">
                  <c:v>31.735199999999999</c:v>
                </c:pt>
                <c:pt idx="79">
                  <c:v>32.148000000000003</c:v>
                </c:pt>
                <c:pt idx="80">
                  <c:v>32.546999999999997</c:v>
                </c:pt>
                <c:pt idx="81">
                  <c:v>32.958799999999997</c:v>
                </c:pt>
                <c:pt idx="82">
                  <c:v>33.362699999999997</c:v>
                </c:pt>
                <c:pt idx="83">
                  <c:v>33.766800000000003</c:v>
                </c:pt>
                <c:pt idx="84">
                  <c:v>34.177599999999998</c:v>
                </c:pt>
                <c:pt idx="85">
                  <c:v>34.583500000000001</c:v>
                </c:pt>
                <c:pt idx="86">
                  <c:v>34.985599999999998</c:v>
                </c:pt>
                <c:pt idx="87">
                  <c:v>35.392600000000002</c:v>
                </c:pt>
                <c:pt idx="88">
                  <c:v>35.796199999999999</c:v>
                </c:pt>
                <c:pt idx="89">
                  <c:v>36.206499999999998</c:v>
                </c:pt>
                <c:pt idx="90">
                  <c:v>36.611400000000003</c:v>
                </c:pt>
                <c:pt idx="91">
                  <c:v>37.018900000000002</c:v>
                </c:pt>
                <c:pt idx="92">
                  <c:v>37.420900000000003</c:v>
                </c:pt>
                <c:pt idx="93">
                  <c:v>37.825299999999999</c:v>
                </c:pt>
                <c:pt idx="94">
                  <c:v>38.234999999999999</c:v>
                </c:pt>
                <c:pt idx="95">
                  <c:v>38.642600000000002</c:v>
                </c:pt>
                <c:pt idx="96">
                  <c:v>39.048499999999997</c:v>
                </c:pt>
                <c:pt idx="97">
                  <c:v>39.455500000000001</c:v>
                </c:pt>
                <c:pt idx="98">
                  <c:v>39.859200000000001</c:v>
                </c:pt>
                <c:pt idx="99">
                  <c:v>40.266500000000001</c:v>
                </c:pt>
                <c:pt idx="100">
                  <c:v>40.671100000000003</c:v>
                </c:pt>
                <c:pt idx="101">
                  <c:v>41.078200000000002</c:v>
                </c:pt>
                <c:pt idx="102">
                  <c:v>41.484099999999998</c:v>
                </c:pt>
                <c:pt idx="103">
                  <c:v>41.8902</c:v>
                </c:pt>
                <c:pt idx="104">
                  <c:v>42.2958</c:v>
                </c:pt>
                <c:pt idx="105">
                  <c:v>42.702800000000003</c:v>
                </c:pt>
                <c:pt idx="106">
                  <c:v>43.110199999999999</c:v>
                </c:pt>
                <c:pt idx="107">
                  <c:v>43.515599999999999</c:v>
                </c:pt>
                <c:pt idx="108">
                  <c:v>43.924599999999998</c:v>
                </c:pt>
                <c:pt idx="109">
                  <c:v>44.329300000000003</c:v>
                </c:pt>
                <c:pt idx="110">
                  <c:v>44.735300000000002</c:v>
                </c:pt>
                <c:pt idx="111">
                  <c:v>45.140599999999999</c:v>
                </c:pt>
                <c:pt idx="112">
                  <c:v>45.547600000000003</c:v>
                </c:pt>
                <c:pt idx="113">
                  <c:v>45.956000000000003</c:v>
                </c:pt>
                <c:pt idx="114">
                  <c:v>46.363</c:v>
                </c:pt>
                <c:pt idx="115">
                  <c:v>46.767899999999997</c:v>
                </c:pt>
                <c:pt idx="116">
                  <c:v>47.174999999999997</c:v>
                </c:pt>
                <c:pt idx="117">
                  <c:v>47.580800000000004</c:v>
                </c:pt>
                <c:pt idx="118">
                  <c:v>47.984999999999999</c:v>
                </c:pt>
                <c:pt idx="119">
                  <c:v>48.394500000000001</c:v>
                </c:pt>
                <c:pt idx="120">
                  <c:v>48.795499999999997</c:v>
                </c:pt>
                <c:pt idx="121">
                  <c:v>49.202199999999998</c:v>
                </c:pt>
                <c:pt idx="122">
                  <c:v>49.609400000000001</c:v>
                </c:pt>
                <c:pt idx="123">
                  <c:v>50.015000000000001</c:v>
                </c:pt>
                <c:pt idx="124">
                  <c:v>50.423099999999998</c:v>
                </c:pt>
                <c:pt idx="125">
                  <c:v>50.83</c:v>
                </c:pt>
                <c:pt idx="126">
                  <c:v>51.234900000000003</c:v>
                </c:pt>
                <c:pt idx="127">
                  <c:v>51.643000000000001</c:v>
                </c:pt>
                <c:pt idx="128">
                  <c:v>52.050699999999999</c:v>
                </c:pt>
                <c:pt idx="129">
                  <c:v>52.463900000000002</c:v>
                </c:pt>
                <c:pt idx="130">
                  <c:v>52.860700000000001</c:v>
                </c:pt>
                <c:pt idx="131">
                  <c:v>53.264200000000002</c:v>
                </c:pt>
                <c:pt idx="132">
                  <c:v>53.6736</c:v>
                </c:pt>
                <c:pt idx="133">
                  <c:v>54.081099999999999</c:v>
                </c:pt>
                <c:pt idx="134">
                  <c:v>54.4893</c:v>
                </c:pt>
                <c:pt idx="135">
                  <c:v>54.890599999999999</c:v>
                </c:pt>
                <c:pt idx="136">
                  <c:v>55.295699999999997</c:v>
                </c:pt>
                <c:pt idx="137">
                  <c:v>55.703899999999997</c:v>
                </c:pt>
                <c:pt idx="138">
                  <c:v>56.11</c:v>
                </c:pt>
                <c:pt idx="139">
                  <c:v>56.518999999999998</c:v>
                </c:pt>
                <c:pt idx="140">
                  <c:v>56.927900000000001</c:v>
                </c:pt>
                <c:pt idx="141">
                  <c:v>57.332799999999999</c:v>
                </c:pt>
                <c:pt idx="142">
                  <c:v>57.738700000000001</c:v>
                </c:pt>
                <c:pt idx="143">
                  <c:v>58.143599999999999</c:v>
                </c:pt>
                <c:pt idx="144">
                  <c:v>58.5441</c:v>
                </c:pt>
                <c:pt idx="145">
                  <c:v>58.959499999999998</c:v>
                </c:pt>
                <c:pt idx="146">
                  <c:v>59.358600000000003</c:v>
                </c:pt>
                <c:pt idx="147">
                  <c:v>59.766800000000003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1.55447</c:v>
                </c:pt>
                <c:pt idx="1">
                  <c:v>1.60964</c:v>
                </c:pt>
                <c:pt idx="2">
                  <c:v>1.6647400000000001</c:v>
                </c:pt>
                <c:pt idx="3">
                  <c:v>1.7183599999999999</c:v>
                </c:pt>
                <c:pt idx="4">
                  <c:v>1.7709600000000001</c:v>
                </c:pt>
                <c:pt idx="5">
                  <c:v>1.8215400000000002</c:v>
                </c:pt>
                <c:pt idx="6">
                  <c:v>1.8706200000000002</c:v>
                </c:pt>
                <c:pt idx="7">
                  <c:v>1.9209000000000001</c:v>
                </c:pt>
                <c:pt idx="8">
                  <c:v>1.9701299999999999</c:v>
                </c:pt>
                <c:pt idx="9">
                  <c:v>2.0217099999999997</c:v>
                </c:pt>
                <c:pt idx="10">
                  <c:v>2.0731999999999999</c:v>
                </c:pt>
                <c:pt idx="11">
                  <c:v>2.1233200000000001</c:v>
                </c:pt>
                <c:pt idx="12">
                  <c:v>2.1724199999999998</c:v>
                </c:pt>
                <c:pt idx="13">
                  <c:v>2.2232699999999999</c:v>
                </c:pt>
                <c:pt idx="14">
                  <c:v>2.2729499999999998</c:v>
                </c:pt>
                <c:pt idx="15">
                  <c:v>2.3189199999999999</c:v>
                </c:pt>
                <c:pt idx="16">
                  <c:v>2.3625699999999998</c:v>
                </c:pt>
                <c:pt idx="17">
                  <c:v>2.4040699999999999</c:v>
                </c:pt>
                <c:pt idx="18">
                  <c:v>2.4443999999999999</c:v>
                </c:pt>
                <c:pt idx="19">
                  <c:v>2.4820199999999999</c:v>
                </c:pt>
                <c:pt idx="20">
                  <c:v>2.5172499999999998</c:v>
                </c:pt>
                <c:pt idx="21">
                  <c:v>2.5513200000000005</c:v>
                </c:pt>
                <c:pt idx="22">
                  <c:v>2.5830900000000003</c:v>
                </c:pt>
                <c:pt idx="23">
                  <c:v>2.61226</c:v>
                </c:pt>
                <c:pt idx="24">
                  <c:v>2.6382299999999996</c:v>
                </c:pt>
                <c:pt idx="25">
                  <c:v>2.6618999999999997</c:v>
                </c:pt>
                <c:pt idx="26">
                  <c:v>2.6841200000000001</c:v>
                </c:pt>
                <c:pt idx="27">
                  <c:v>2.7047300000000001</c:v>
                </c:pt>
                <c:pt idx="28">
                  <c:v>2.7236900000000004</c:v>
                </c:pt>
                <c:pt idx="29">
                  <c:v>2.7385900000000003</c:v>
                </c:pt>
                <c:pt idx="30">
                  <c:v>2.7532299999999998</c:v>
                </c:pt>
                <c:pt idx="31">
                  <c:v>2.7678500000000001</c:v>
                </c:pt>
                <c:pt idx="32">
                  <c:v>2.78078</c:v>
                </c:pt>
                <c:pt idx="33">
                  <c:v>2.7928999999999999</c:v>
                </c:pt>
                <c:pt idx="34">
                  <c:v>2.80307</c:v>
                </c:pt>
                <c:pt idx="35">
                  <c:v>2.8090100000000002</c:v>
                </c:pt>
                <c:pt idx="36">
                  <c:v>2.81345</c:v>
                </c:pt>
                <c:pt idx="37">
                  <c:v>2.8183999999999996</c:v>
                </c:pt>
                <c:pt idx="38">
                  <c:v>2.8203299999999998</c:v>
                </c:pt>
                <c:pt idx="39">
                  <c:v>2.8234900000000001</c:v>
                </c:pt>
                <c:pt idx="40">
                  <c:v>2.8265200000000004</c:v>
                </c:pt>
                <c:pt idx="41">
                  <c:v>2.82667</c:v>
                </c:pt>
                <c:pt idx="42">
                  <c:v>2.8246599999999997</c:v>
                </c:pt>
                <c:pt idx="43">
                  <c:v>2.8225099999999999</c:v>
                </c:pt>
                <c:pt idx="44">
                  <c:v>2.8188400000000002</c:v>
                </c:pt>
                <c:pt idx="45">
                  <c:v>2.8151599999999997</c:v>
                </c:pt>
                <c:pt idx="46">
                  <c:v>2.8100399999999999</c:v>
                </c:pt>
                <c:pt idx="47">
                  <c:v>2.8053299999999997</c:v>
                </c:pt>
                <c:pt idx="48">
                  <c:v>2.7993800000000002</c:v>
                </c:pt>
                <c:pt idx="49">
                  <c:v>2.7942400000000003</c:v>
                </c:pt>
                <c:pt idx="50">
                  <c:v>2.7913100000000002</c:v>
                </c:pt>
                <c:pt idx="51">
                  <c:v>2.7868900000000001</c:v>
                </c:pt>
                <c:pt idx="52">
                  <c:v>2.7814399999999999</c:v>
                </c:pt>
                <c:pt idx="53">
                  <c:v>2.77711</c:v>
                </c:pt>
                <c:pt idx="54">
                  <c:v>2.7738400000000003</c:v>
                </c:pt>
                <c:pt idx="55">
                  <c:v>2.7716699999999999</c:v>
                </c:pt>
                <c:pt idx="56">
                  <c:v>2.7699499999999997</c:v>
                </c:pt>
                <c:pt idx="57">
                  <c:v>2.7674700000000003</c:v>
                </c:pt>
                <c:pt idx="58">
                  <c:v>2.7665699999999998</c:v>
                </c:pt>
                <c:pt idx="59">
                  <c:v>2.7660600000000004</c:v>
                </c:pt>
                <c:pt idx="60">
                  <c:v>2.7663799999999998</c:v>
                </c:pt>
                <c:pt idx="61">
                  <c:v>2.7657599999999998</c:v>
                </c:pt>
                <c:pt idx="62">
                  <c:v>2.7634300000000001</c:v>
                </c:pt>
                <c:pt idx="63">
                  <c:v>2.76105</c:v>
                </c:pt>
                <c:pt idx="64">
                  <c:v>2.7566899999999999</c:v>
                </c:pt>
                <c:pt idx="65">
                  <c:v>2.7543000000000002</c:v>
                </c:pt>
                <c:pt idx="66">
                  <c:v>2.7565299999999997</c:v>
                </c:pt>
                <c:pt idx="67">
                  <c:v>2.7589599999999996</c:v>
                </c:pt>
                <c:pt idx="68">
                  <c:v>2.7582200000000001</c:v>
                </c:pt>
                <c:pt idx="69">
                  <c:v>2.7595100000000001</c:v>
                </c:pt>
                <c:pt idx="70">
                  <c:v>2.7599600000000004</c:v>
                </c:pt>
                <c:pt idx="71">
                  <c:v>2.7596500000000002</c:v>
                </c:pt>
                <c:pt idx="72">
                  <c:v>2.7570899999999998</c:v>
                </c:pt>
                <c:pt idx="73">
                  <c:v>2.7559899999999997</c:v>
                </c:pt>
                <c:pt idx="74">
                  <c:v>2.7551100000000002</c:v>
                </c:pt>
                <c:pt idx="75">
                  <c:v>2.75108</c:v>
                </c:pt>
                <c:pt idx="76">
                  <c:v>2.7502399999999998</c:v>
                </c:pt>
                <c:pt idx="77">
                  <c:v>2.7506399999999998</c:v>
                </c:pt>
                <c:pt idx="78">
                  <c:v>2.7537799999999999</c:v>
                </c:pt>
                <c:pt idx="79">
                  <c:v>2.7575899999999995</c:v>
                </c:pt>
                <c:pt idx="80">
                  <c:v>2.7595199999999998</c:v>
                </c:pt>
                <c:pt idx="81">
                  <c:v>2.76058</c:v>
                </c:pt>
                <c:pt idx="82">
                  <c:v>2.7616000000000001</c:v>
                </c:pt>
                <c:pt idx="83">
                  <c:v>2.76024</c:v>
                </c:pt>
                <c:pt idx="84">
                  <c:v>2.75989</c:v>
                </c:pt>
                <c:pt idx="85">
                  <c:v>2.7606799999999998</c:v>
                </c:pt>
                <c:pt idx="86">
                  <c:v>2.7603100000000005</c:v>
                </c:pt>
                <c:pt idx="87">
                  <c:v>2.7592499999999998</c:v>
                </c:pt>
                <c:pt idx="88">
                  <c:v>2.7577699999999998</c:v>
                </c:pt>
                <c:pt idx="89">
                  <c:v>2.7558300000000004</c:v>
                </c:pt>
                <c:pt idx="90">
                  <c:v>2.7542400000000002</c:v>
                </c:pt>
                <c:pt idx="91">
                  <c:v>2.7518099999999999</c:v>
                </c:pt>
                <c:pt idx="92">
                  <c:v>2.7497700000000003</c:v>
                </c:pt>
                <c:pt idx="93">
                  <c:v>2.7488600000000001</c:v>
                </c:pt>
                <c:pt idx="94">
                  <c:v>2.7485200000000001</c:v>
                </c:pt>
                <c:pt idx="95">
                  <c:v>2.7493600000000002</c:v>
                </c:pt>
                <c:pt idx="96">
                  <c:v>2.7527900000000001</c:v>
                </c:pt>
                <c:pt idx="97">
                  <c:v>2.7577400000000001</c:v>
                </c:pt>
                <c:pt idx="98">
                  <c:v>2.7634699999999999</c:v>
                </c:pt>
                <c:pt idx="99">
                  <c:v>2.7687200000000001</c:v>
                </c:pt>
                <c:pt idx="100">
                  <c:v>2.7746599999999999</c:v>
                </c:pt>
                <c:pt idx="101">
                  <c:v>2.7793600000000001</c:v>
                </c:pt>
                <c:pt idx="102">
                  <c:v>2.7827299999999999</c:v>
                </c:pt>
                <c:pt idx="103">
                  <c:v>2.7870699999999999</c:v>
                </c:pt>
                <c:pt idx="104">
                  <c:v>2.79393</c:v>
                </c:pt>
                <c:pt idx="105">
                  <c:v>2.80267</c:v>
                </c:pt>
                <c:pt idx="106">
                  <c:v>2.8099499999999997</c:v>
                </c:pt>
                <c:pt idx="107">
                  <c:v>2.8172000000000001</c:v>
                </c:pt>
                <c:pt idx="108">
                  <c:v>2.8226200000000001</c:v>
                </c:pt>
                <c:pt idx="109">
                  <c:v>2.8278599999999998</c:v>
                </c:pt>
                <c:pt idx="110">
                  <c:v>2.8352899999999996</c:v>
                </c:pt>
                <c:pt idx="111">
                  <c:v>2.8471600000000001</c:v>
                </c:pt>
                <c:pt idx="112">
                  <c:v>2.86043</c:v>
                </c:pt>
                <c:pt idx="113">
                  <c:v>2.87277</c:v>
                </c:pt>
                <c:pt idx="114">
                  <c:v>2.8867399999999996</c:v>
                </c:pt>
                <c:pt idx="115">
                  <c:v>2.8998800000000005</c:v>
                </c:pt>
                <c:pt idx="116">
                  <c:v>2.9148299999999998</c:v>
                </c:pt>
                <c:pt idx="117">
                  <c:v>2.9316900000000001</c:v>
                </c:pt>
                <c:pt idx="118">
                  <c:v>2.9468499999999995</c:v>
                </c:pt>
                <c:pt idx="119">
                  <c:v>2.9604399999999997</c:v>
                </c:pt>
                <c:pt idx="120">
                  <c:v>2.9730699999999999</c:v>
                </c:pt>
                <c:pt idx="121">
                  <c:v>2.9843599999999997</c:v>
                </c:pt>
                <c:pt idx="122">
                  <c:v>2.9939300000000002</c:v>
                </c:pt>
                <c:pt idx="123">
                  <c:v>3.0019299999999998</c:v>
                </c:pt>
                <c:pt idx="124">
                  <c:v>3.0103799999999996</c:v>
                </c:pt>
                <c:pt idx="125">
                  <c:v>3.0179499999999999</c:v>
                </c:pt>
                <c:pt idx="126">
                  <c:v>3.0266900000000003</c:v>
                </c:pt>
                <c:pt idx="127">
                  <c:v>3.0363499999999997</c:v>
                </c:pt>
                <c:pt idx="128">
                  <c:v>3.0427</c:v>
                </c:pt>
                <c:pt idx="129">
                  <c:v>3.0460900000000004</c:v>
                </c:pt>
                <c:pt idx="130">
                  <c:v>3.04976</c:v>
                </c:pt>
                <c:pt idx="131">
                  <c:v>3.0560499999999999</c:v>
                </c:pt>
                <c:pt idx="132">
                  <c:v>3.06128</c:v>
                </c:pt>
                <c:pt idx="133">
                  <c:v>3.07002</c:v>
                </c:pt>
                <c:pt idx="134">
                  <c:v>3.0803000000000003</c:v>
                </c:pt>
                <c:pt idx="135">
                  <c:v>3.0867399999999998</c:v>
                </c:pt>
                <c:pt idx="136">
                  <c:v>3.0891400000000004</c:v>
                </c:pt>
                <c:pt idx="137">
                  <c:v>3.0915500000000002</c:v>
                </c:pt>
                <c:pt idx="138">
                  <c:v>3.0967799999999999</c:v>
                </c:pt>
                <c:pt idx="139">
                  <c:v>3.0982599999999998</c:v>
                </c:pt>
                <c:pt idx="140">
                  <c:v>3.0979700000000001</c:v>
                </c:pt>
                <c:pt idx="141">
                  <c:v>3.0925500000000001</c:v>
                </c:pt>
                <c:pt idx="142">
                  <c:v>3.0843700000000003</c:v>
                </c:pt>
                <c:pt idx="143">
                  <c:v>3.0793200000000001</c:v>
                </c:pt>
                <c:pt idx="144">
                  <c:v>3.0719000000000003</c:v>
                </c:pt>
                <c:pt idx="145">
                  <c:v>3.0693999999999999</c:v>
                </c:pt>
                <c:pt idx="146">
                  <c:v>3.0562800000000001</c:v>
                </c:pt>
                <c:pt idx="147">
                  <c:v>3.03898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0.41066399999999997</c:v>
                </c:pt>
                <c:pt idx="2">
                  <c:v>0.81453900000000001</c:v>
                </c:pt>
                <c:pt idx="3">
                  <c:v>1.2194199999999999</c:v>
                </c:pt>
                <c:pt idx="4">
                  <c:v>1.6248400000000001</c:v>
                </c:pt>
                <c:pt idx="5">
                  <c:v>2.0305300000000002</c:v>
                </c:pt>
                <c:pt idx="6">
                  <c:v>2.43926</c:v>
                </c:pt>
                <c:pt idx="7">
                  <c:v>2.8451399999999998</c:v>
                </c:pt>
                <c:pt idx="8">
                  <c:v>3.25</c:v>
                </c:pt>
                <c:pt idx="9">
                  <c:v>3.65828</c:v>
                </c:pt>
                <c:pt idx="10">
                  <c:v>4.0623300000000002</c:v>
                </c:pt>
                <c:pt idx="11">
                  <c:v>4.4717399999999996</c:v>
                </c:pt>
                <c:pt idx="12">
                  <c:v>4.87676</c:v>
                </c:pt>
                <c:pt idx="13">
                  <c:v>5.2816299999999998</c:v>
                </c:pt>
                <c:pt idx="14">
                  <c:v>5.6876499999999997</c:v>
                </c:pt>
                <c:pt idx="15">
                  <c:v>6.0931300000000004</c:v>
                </c:pt>
                <c:pt idx="16">
                  <c:v>6.4990500000000004</c:v>
                </c:pt>
                <c:pt idx="17">
                  <c:v>6.9080899999999996</c:v>
                </c:pt>
                <c:pt idx="18">
                  <c:v>7.3121499999999999</c:v>
                </c:pt>
                <c:pt idx="19">
                  <c:v>7.7202200000000003</c:v>
                </c:pt>
                <c:pt idx="20">
                  <c:v>8.1249900000000004</c:v>
                </c:pt>
                <c:pt idx="21">
                  <c:v>8.5328900000000001</c:v>
                </c:pt>
                <c:pt idx="22">
                  <c:v>8.9390000000000001</c:v>
                </c:pt>
                <c:pt idx="23">
                  <c:v>9.3433299999999999</c:v>
                </c:pt>
                <c:pt idx="24">
                  <c:v>9.7476000000000003</c:v>
                </c:pt>
                <c:pt idx="25">
                  <c:v>10.1568</c:v>
                </c:pt>
                <c:pt idx="26">
                  <c:v>10.5656</c:v>
                </c:pt>
                <c:pt idx="27">
                  <c:v>10.971399999999999</c:v>
                </c:pt>
                <c:pt idx="28">
                  <c:v>11.3742</c:v>
                </c:pt>
                <c:pt idx="29">
                  <c:v>11.7789</c:v>
                </c:pt>
                <c:pt idx="30">
                  <c:v>12.1881</c:v>
                </c:pt>
                <c:pt idx="31">
                  <c:v>12.594099999999999</c:v>
                </c:pt>
                <c:pt idx="32">
                  <c:v>13.001200000000001</c:v>
                </c:pt>
                <c:pt idx="33">
                  <c:v>13.407999999999999</c:v>
                </c:pt>
                <c:pt idx="34">
                  <c:v>13.8133</c:v>
                </c:pt>
                <c:pt idx="35">
                  <c:v>14.2187</c:v>
                </c:pt>
                <c:pt idx="36">
                  <c:v>14.623900000000001</c:v>
                </c:pt>
                <c:pt idx="37">
                  <c:v>15.0313</c:v>
                </c:pt>
                <c:pt idx="38">
                  <c:v>15.4414</c:v>
                </c:pt>
                <c:pt idx="39">
                  <c:v>15.8454</c:v>
                </c:pt>
                <c:pt idx="40">
                  <c:v>16.2502</c:v>
                </c:pt>
                <c:pt idx="41">
                  <c:v>16.658899999999999</c:v>
                </c:pt>
                <c:pt idx="42">
                  <c:v>17.061299999999999</c:v>
                </c:pt>
                <c:pt idx="43">
                  <c:v>17.4678</c:v>
                </c:pt>
                <c:pt idx="44">
                  <c:v>17.876799999999999</c:v>
                </c:pt>
                <c:pt idx="45">
                  <c:v>18.2852</c:v>
                </c:pt>
                <c:pt idx="46">
                  <c:v>18.687999999999999</c:v>
                </c:pt>
                <c:pt idx="47">
                  <c:v>19.0929</c:v>
                </c:pt>
                <c:pt idx="48">
                  <c:v>19.502800000000001</c:v>
                </c:pt>
                <c:pt idx="49">
                  <c:v>19.906400000000001</c:v>
                </c:pt>
                <c:pt idx="50">
                  <c:v>20.311699999999998</c:v>
                </c:pt>
                <c:pt idx="51">
                  <c:v>20.718499999999999</c:v>
                </c:pt>
                <c:pt idx="52">
                  <c:v>21.125499999999999</c:v>
                </c:pt>
                <c:pt idx="53">
                  <c:v>21.532499999999999</c:v>
                </c:pt>
                <c:pt idx="54">
                  <c:v>21.9406</c:v>
                </c:pt>
                <c:pt idx="55">
                  <c:v>22.347200000000001</c:v>
                </c:pt>
                <c:pt idx="56">
                  <c:v>22.7483</c:v>
                </c:pt>
                <c:pt idx="57">
                  <c:v>23.1584</c:v>
                </c:pt>
                <c:pt idx="58">
                  <c:v>23.5626</c:v>
                </c:pt>
                <c:pt idx="59">
                  <c:v>23.972000000000001</c:v>
                </c:pt>
                <c:pt idx="60">
                  <c:v>24.376899999999999</c:v>
                </c:pt>
                <c:pt idx="61">
                  <c:v>24.78</c:v>
                </c:pt>
                <c:pt idx="62">
                  <c:v>25.1877</c:v>
                </c:pt>
                <c:pt idx="63">
                  <c:v>25.592700000000001</c:v>
                </c:pt>
                <c:pt idx="64">
                  <c:v>26.003399999999999</c:v>
                </c:pt>
                <c:pt idx="65">
                  <c:v>26.4053</c:v>
                </c:pt>
                <c:pt idx="66">
                  <c:v>26.811299999999999</c:v>
                </c:pt>
                <c:pt idx="67">
                  <c:v>27.222200000000001</c:v>
                </c:pt>
                <c:pt idx="68">
                  <c:v>27.627600000000001</c:v>
                </c:pt>
                <c:pt idx="69">
                  <c:v>28.0304</c:v>
                </c:pt>
                <c:pt idx="70">
                  <c:v>28.439399999999999</c:v>
                </c:pt>
                <c:pt idx="71">
                  <c:v>28.8432</c:v>
                </c:pt>
                <c:pt idx="72">
                  <c:v>29.250800000000002</c:v>
                </c:pt>
                <c:pt idx="73">
                  <c:v>29.657800000000002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1.55447</c:v>
                </c:pt>
                <c:pt idx="1">
                  <c:v>1.60964</c:v>
                </c:pt>
                <c:pt idx="2">
                  <c:v>1.6647400000000001</c:v>
                </c:pt>
                <c:pt idx="3">
                  <c:v>1.7183599999999999</c:v>
                </c:pt>
                <c:pt idx="4">
                  <c:v>1.7709600000000001</c:v>
                </c:pt>
                <c:pt idx="5">
                  <c:v>1.8215400000000002</c:v>
                </c:pt>
                <c:pt idx="6">
                  <c:v>1.8706200000000002</c:v>
                </c:pt>
                <c:pt idx="7">
                  <c:v>1.9209000000000001</c:v>
                </c:pt>
                <c:pt idx="8">
                  <c:v>1.9701299999999999</c:v>
                </c:pt>
                <c:pt idx="9">
                  <c:v>2.0217099999999997</c:v>
                </c:pt>
                <c:pt idx="10">
                  <c:v>2.0731999999999999</c:v>
                </c:pt>
                <c:pt idx="11">
                  <c:v>2.1233200000000001</c:v>
                </c:pt>
                <c:pt idx="12">
                  <c:v>2.1724199999999998</c:v>
                </c:pt>
                <c:pt idx="13">
                  <c:v>2.2232699999999999</c:v>
                </c:pt>
                <c:pt idx="14">
                  <c:v>2.2729499999999998</c:v>
                </c:pt>
                <c:pt idx="15">
                  <c:v>2.3189199999999999</c:v>
                </c:pt>
                <c:pt idx="16">
                  <c:v>2.3625699999999998</c:v>
                </c:pt>
                <c:pt idx="17">
                  <c:v>2.4040699999999999</c:v>
                </c:pt>
                <c:pt idx="18">
                  <c:v>2.4443999999999999</c:v>
                </c:pt>
                <c:pt idx="19">
                  <c:v>2.4820199999999999</c:v>
                </c:pt>
                <c:pt idx="20">
                  <c:v>2.5172499999999998</c:v>
                </c:pt>
                <c:pt idx="21">
                  <c:v>2.5513200000000005</c:v>
                </c:pt>
                <c:pt idx="22">
                  <c:v>2.5830900000000003</c:v>
                </c:pt>
                <c:pt idx="23">
                  <c:v>2.61226</c:v>
                </c:pt>
                <c:pt idx="24">
                  <c:v>2.6382299999999996</c:v>
                </c:pt>
                <c:pt idx="25">
                  <c:v>2.6618999999999997</c:v>
                </c:pt>
                <c:pt idx="26">
                  <c:v>2.6841200000000001</c:v>
                </c:pt>
                <c:pt idx="27">
                  <c:v>2.7047300000000001</c:v>
                </c:pt>
                <c:pt idx="28">
                  <c:v>2.7236900000000004</c:v>
                </c:pt>
                <c:pt idx="29">
                  <c:v>2.7385900000000003</c:v>
                </c:pt>
                <c:pt idx="30">
                  <c:v>2.7532299999999998</c:v>
                </c:pt>
                <c:pt idx="31">
                  <c:v>2.7678500000000001</c:v>
                </c:pt>
                <c:pt idx="32">
                  <c:v>2.78078</c:v>
                </c:pt>
                <c:pt idx="33">
                  <c:v>2.7928999999999999</c:v>
                </c:pt>
                <c:pt idx="34">
                  <c:v>2.80307</c:v>
                </c:pt>
                <c:pt idx="35">
                  <c:v>2.8090100000000002</c:v>
                </c:pt>
                <c:pt idx="36">
                  <c:v>2.81345</c:v>
                </c:pt>
                <c:pt idx="37">
                  <c:v>2.8183999999999996</c:v>
                </c:pt>
                <c:pt idx="38">
                  <c:v>2.8203299999999998</c:v>
                </c:pt>
                <c:pt idx="39">
                  <c:v>2.8234900000000001</c:v>
                </c:pt>
                <c:pt idx="40">
                  <c:v>2.8265200000000004</c:v>
                </c:pt>
                <c:pt idx="41">
                  <c:v>2.82667</c:v>
                </c:pt>
                <c:pt idx="42">
                  <c:v>2.8246599999999997</c:v>
                </c:pt>
                <c:pt idx="43">
                  <c:v>2.8225099999999999</c:v>
                </c:pt>
                <c:pt idx="44">
                  <c:v>2.8188400000000002</c:v>
                </c:pt>
                <c:pt idx="45">
                  <c:v>2.8151599999999997</c:v>
                </c:pt>
                <c:pt idx="46">
                  <c:v>2.8100399999999999</c:v>
                </c:pt>
                <c:pt idx="47">
                  <c:v>2.8053299999999997</c:v>
                </c:pt>
                <c:pt idx="48">
                  <c:v>2.7993800000000002</c:v>
                </c:pt>
                <c:pt idx="49">
                  <c:v>2.7942400000000003</c:v>
                </c:pt>
                <c:pt idx="50">
                  <c:v>2.7913100000000002</c:v>
                </c:pt>
                <c:pt idx="51">
                  <c:v>2.7868900000000001</c:v>
                </c:pt>
                <c:pt idx="52">
                  <c:v>2.7814399999999999</c:v>
                </c:pt>
                <c:pt idx="53">
                  <c:v>2.77711</c:v>
                </c:pt>
                <c:pt idx="54">
                  <c:v>2.7738400000000003</c:v>
                </c:pt>
                <c:pt idx="55">
                  <c:v>2.7716699999999999</c:v>
                </c:pt>
                <c:pt idx="56">
                  <c:v>2.7699499999999997</c:v>
                </c:pt>
                <c:pt idx="57">
                  <c:v>2.7674700000000003</c:v>
                </c:pt>
                <c:pt idx="58">
                  <c:v>2.7665699999999998</c:v>
                </c:pt>
                <c:pt idx="59">
                  <c:v>2.7660600000000004</c:v>
                </c:pt>
                <c:pt idx="60">
                  <c:v>2.7663799999999998</c:v>
                </c:pt>
                <c:pt idx="61">
                  <c:v>2.7657599999999998</c:v>
                </c:pt>
                <c:pt idx="62">
                  <c:v>2.7634300000000001</c:v>
                </c:pt>
                <c:pt idx="63">
                  <c:v>2.76105</c:v>
                </c:pt>
                <c:pt idx="64">
                  <c:v>2.7566899999999999</c:v>
                </c:pt>
                <c:pt idx="65">
                  <c:v>2.7543000000000002</c:v>
                </c:pt>
                <c:pt idx="66">
                  <c:v>2.7565299999999997</c:v>
                </c:pt>
                <c:pt idx="67">
                  <c:v>2.7589599999999996</c:v>
                </c:pt>
                <c:pt idx="68">
                  <c:v>2.7582200000000001</c:v>
                </c:pt>
                <c:pt idx="69">
                  <c:v>2.7595100000000001</c:v>
                </c:pt>
                <c:pt idx="70">
                  <c:v>2.7599600000000004</c:v>
                </c:pt>
                <c:pt idx="71">
                  <c:v>2.7596500000000002</c:v>
                </c:pt>
                <c:pt idx="72">
                  <c:v>2.7570899999999998</c:v>
                </c:pt>
                <c:pt idx="73">
                  <c:v>2.7559899999999997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29.657800000000002</c:v>
                </c:pt>
                <c:pt idx="1">
                  <c:v>30.060600000000001</c:v>
                </c:pt>
                <c:pt idx="2">
                  <c:v>30.5306</c:v>
                </c:pt>
                <c:pt idx="3">
                  <c:v>30.936599999999999</c:v>
                </c:pt>
                <c:pt idx="4">
                  <c:v>31.328499999999998</c:v>
                </c:pt>
                <c:pt idx="5">
                  <c:v>31.735199999999999</c:v>
                </c:pt>
                <c:pt idx="6">
                  <c:v>32.148000000000003</c:v>
                </c:pt>
                <c:pt idx="7">
                  <c:v>32.546999999999997</c:v>
                </c:pt>
                <c:pt idx="8">
                  <c:v>32.958799999999997</c:v>
                </c:pt>
                <c:pt idx="9">
                  <c:v>33.362699999999997</c:v>
                </c:pt>
                <c:pt idx="10">
                  <c:v>33.766800000000003</c:v>
                </c:pt>
                <c:pt idx="11">
                  <c:v>34.177599999999998</c:v>
                </c:pt>
                <c:pt idx="12">
                  <c:v>34.583500000000001</c:v>
                </c:pt>
                <c:pt idx="13">
                  <c:v>34.985599999999998</c:v>
                </c:pt>
                <c:pt idx="14">
                  <c:v>35.392600000000002</c:v>
                </c:pt>
                <c:pt idx="15">
                  <c:v>35.796199999999999</c:v>
                </c:pt>
                <c:pt idx="16">
                  <c:v>36.206499999999998</c:v>
                </c:pt>
                <c:pt idx="17">
                  <c:v>36.611400000000003</c:v>
                </c:pt>
                <c:pt idx="18">
                  <c:v>37.018900000000002</c:v>
                </c:pt>
                <c:pt idx="19">
                  <c:v>37.420900000000003</c:v>
                </c:pt>
                <c:pt idx="20">
                  <c:v>37.825299999999999</c:v>
                </c:pt>
                <c:pt idx="21">
                  <c:v>38.234999999999999</c:v>
                </c:pt>
                <c:pt idx="22">
                  <c:v>38.642600000000002</c:v>
                </c:pt>
                <c:pt idx="23">
                  <c:v>39.048499999999997</c:v>
                </c:pt>
                <c:pt idx="24">
                  <c:v>39.455500000000001</c:v>
                </c:pt>
                <c:pt idx="25">
                  <c:v>39.859200000000001</c:v>
                </c:pt>
                <c:pt idx="26">
                  <c:v>40.266500000000001</c:v>
                </c:pt>
                <c:pt idx="27">
                  <c:v>40.671100000000003</c:v>
                </c:pt>
                <c:pt idx="28">
                  <c:v>41.078200000000002</c:v>
                </c:pt>
                <c:pt idx="29">
                  <c:v>41.484099999999998</c:v>
                </c:pt>
                <c:pt idx="30">
                  <c:v>41.8902</c:v>
                </c:pt>
                <c:pt idx="31">
                  <c:v>42.2958</c:v>
                </c:pt>
                <c:pt idx="32">
                  <c:v>42.702800000000003</c:v>
                </c:pt>
                <c:pt idx="33">
                  <c:v>43.110199999999999</c:v>
                </c:pt>
                <c:pt idx="34">
                  <c:v>43.515599999999999</c:v>
                </c:pt>
                <c:pt idx="35">
                  <c:v>43.924599999999998</c:v>
                </c:pt>
                <c:pt idx="36">
                  <c:v>44.329300000000003</c:v>
                </c:pt>
                <c:pt idx="37">
                  <c:v>44.735300000000002</c:v>
                </c:pt>
                <c:pt idx="38">
                  <c:v>45.140599999999999</c:v>
                </c:pt>
                <c:pt idx="39">
                  <c:v>45.547600000000003</c:v>
                </c:pt>
                <c:pt idx="40">
                  <c:v>45.956000000000003</c:v>
                </c:pt>
                <c:pt idx="41">
                  <c:v>46.363</c:v>
                </c:pt>
                <c:pt idx="42">
                  <c:v>46.767899999999997</c:v>
                </c:pt>
                <c:pt idx="43">
                  <c:v>47.174999999999997</c:v>
                </c:pt>
                <c:pt idx="44">
                  <c:v>47.580800000000004</c:v>
                </c:pt>
                <c:pt idx="45">
                  <c:v>47.984999999999999</c:v>
                </c:pt>
                <c:pt idx="46">
                  <c:v>48.394500000000001</c:v>
                </c:pt>
                <c:pt idx="47">
                  <c:v>48.795499999999997</c:v>
                </c:pt>
                <c:pt idx="48">
                  <c:v>49.202199999999998</c:v>
                </c:pt>
                <c:pt idx="49">
                  <c:v>49.609400000000001</c:v>
                </c:pt>
                <c:pt idx="50">
                  <c:v>50.015000000000001</c:v>
                </c:pt>
                <c:pt idx="51">
                  <c:v>50.423099999999998</c:v>
                </c:pt>
                <c:pt idx="52">
                  <c:v>50.83</c:v>
                </c:pt>
                <c:pt idx="53">
                  <c:v>51.234900000000003</c:v>
                </c:pt>
                <c:pt idx="54">
                  <c:v>51.643000000000001</c:v>
                </c:pt>
                <c:pt idx="55">
                  <c:v>52.050699999999999</c:v>
                </c:pt>
                <c:pt idx="56">
                  <c:v>52.463900000000002</c:v>
                </c:pt>
                <c:pt idx="57">
                  <c:v>52.860700000000001</c:v>
                </c:pt>
                <c:pt idx="58">
                  <c:v>53.264200000000002</c:v>
                </c:pt>
                <c:pt idx="59">
                  <c:v>53.6736</c:v>
                </c:pt>
                <c:pt idx="60">
                  <c:v>54.081099999999999</c:v>
                </c:pt>
                <c:pt idx="61">
                  <c:v>54.4893</c:v>
                </c:pt>
                <c:pt idx="62">
                  <c:v>54.890599999999999</c:v>
                </c:pt>
                <c:pt idx="63">
                  <c:v>55.295699999999997</c:v>
                </c:pt>
                <c:pt idx="64">
                  <c:v>55.703899999999997</c:v>
                </c:pt>
                <c:pt idx="65">
                  <c:v>56.11</c:v>
                </c:pt>
                <c:pt idx="66">
                  <c:v>56.518999999999998</c:v>
                </c:pt>
                <c:pt idx="67">
                  <c:v>56.927900000000001</c:v>
                </c:pt>
                <c:pt idx="68">
                  <c:v>57.332799999999999</c:v>
                </c:pt>
                <c:pt idx="69">
                  <c:v>57.738700000000001</c:v>
                </c:pt>
                <c:pt idx="70">
                  <c:v>58.143599999999999</c:v>
                </c:pt>
                <c:pt idx="71">
                  <c:v>58.5441</c:v>
                </c:pt>
                <c:pt idx="72">
                  <c:v>58.959499999999998</c:v>
                </c:pt>
                <c:pt idx="73">
                  <c:v>59.358600000000003</c:v>
                </c:pt>
                <c:pt idx="74">
                  <c:v>59.766800000000003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2.7559899999999997</c:v>
                </c:pt>
                <c:pt idx="1">
                  <c:v>2.7551100000000002</c:v>
                </c:pt>
                <c:pt idx="2">
                  <c:v>2.75108</c:v>
                </c:pt>
                <c:pt idx="3">
                  <c:v>2.7502399999999998</c:v>
                </c:pt>
                <c:pt idx="4">
                  <c:v>2.7506399999999998</c:v>
                </c:pt>
                <c:pt idx="5">
                  <c:v>2.7537799999999999</c:v>
                </c:pt>
                <c:pt idx="6">
                  <c:v>2.7575899999999995</c:v>
                </c:pt>
                <c:pt idx="7">
                  <c:v>2.7595199999999998</c:v>
                </c:pt>
                <c:pt idx="8">
                  <c:v>2.76058</c:v>
                </c:pt>
                <c:pt idx="9">
                  <c:v>2.7616000000000001</c:v>
                </c:pt>
                <c:pt idx="10">
                  <c:v>2.76024</c:v>
                </c:pt>
                <c:pt idx="11">
                  <c:v>2.75989</c:v>
                </c:pt>
                <c:pt idx="12">
                  <c:v>2.7606799999999998</c:v>
                </c:pt>
                <c:pt idx="13">
                  <c:v>2.7603100000000005</c:v>
                </c:pt>
                <c:pt idx="14">
                  <c:v>2.7592499999999998</c:v>
                </c:pt>
                <c:pt idx="15">
                  <c:v>2.7577699999999998</c:v>
                </c:pt>
                <c:pt idx="16">
                  <c:v>2.7558300000000004</c:v>
                </c:pt>
                <c:pt idx="17">
                  <c:v>2.7542400000000002</c:v>
                </c:pt>
                <c:pt idx="18">
                  <c:v>2.7518099999999999</c:v>
                </c:pt>
                <c:pt idx="19">
                  <c:v>2.7497700000000003</c:v>
                </c:pt>
                <c:pt idx="20">
                  <c:v>2.7488600000000001</c:v>
                </c:pt>
                <c:pt idx="21">
                  <c:v>2.7485200000000001</c:v>
                </c:pt>
                <c:pt idx="22">
                  <c:v>2.7493600000000002</c:v>
                </c:pt>
                <c:pt idx="23">
                  <c:v>2.7527900000000001</c:v>
                </c:pt>
                <c:pt idx="24">
                  <c:v>2.7577400000000001</c:v>
                </c:pt>
                <c:pt idx="25">
                  <c:v>2.7634699999999999</c:v>
                </c:pt>
                <c:pt idx="26">
                  <c:v>2.7687200000000001</c:v>
                </c:pt>
                <c:pt idx="27">
                  <c:v>2.7746599999999999</c:v>
                </c:pt>
                <c:pt idx="28">
                  <c:v>2.7793600000000001</c:v>
                </c:pt>
                <c:pt idx="29">
                  <c:v>2.7827299999999999</c:v>
                </c:pt>
                <c:pt idx="30">
                  <c:v>2.7870699999999999</c:v>
                </c:pt>
                <c:pt idx="31">
                  <c:v>2.79393</c:v>
                </c:pt>
                <c:pt idx="32">
                  <c:v>2.80267</c:v>
                </c:pt>
                <c:pt idx="33">
                  <c:v>2.8099499999999997</c:v>
                </c:pt>
                <c:pt idx="34">
                  <c:v>2.8172000000000001</c:v>
                </c:pt>
                <c:pt idx="35">
                  <c:v>2.8226200000000001</c:v>
                </c:pt>
                <c:pt idx="36">
                  <c:v>2.8278599999999998</c:v>
                </c:pt>
                <c:pt idx="37">
                  <c:v>2.8352899999999996</c:v>
                </c:pt>
                <c:pt idx="38">
                  <c:v>2.8471600000000001</c:v>
                </c:pt>
                <c:pt idx="39">
                  <c:v>2.86043</c:v>
                </c:pt>
                <c:pt idx="40">
                  <c:v>2.87277</c:v>
                </c:pt>
                <c:pt idx="41">
                  <c:v>2.8867399999999996</c:v>
                </c:pt>
                <c:pt idx="42">
                  <c:v>2.8998800000000005</c:v>
                </c:pt>
                <c:pt idx="43">
                  <c:v>2.9148299999999998</c:v>
                </c:pt>
                <c:pt idx="44">
                  <c:v>2.9316900000000001</c:v>
                </c:pt>
                <c:pt idx="45">
                  <c:v>2.9468499999999995</c:v>
                </c:pt>
                <c:pt idx="46">
                  <c:v>2.9604399999999997</c:v>
                </c:pt>
                <c:pt idx="47">
                  <c:v>2.9730699999999999</c:v>
                </c:pt>
                <c:pt idx="48">
                  <c:v>2.9843599999999997</c:v>
                </c:pt>
                <c:pt idx="49">
                  <c:v>2.9939300000000002</c:v>
                </c:pt>
                <c:pt idx="50">
                  <c:v>3.0019299999999998</c:v>
                </c:pt>
                <c:pt idx="51">
                  <c:v>3.0103799999999996</c:v>
                </c:pt>
                <c:pt idx="52">
                  <c:v>3.0179499999999999</c:v>
                </c:pt>
                <c:pt idx="53">
                  <c:v>3.0266900000000003</c:v>
                </c:pt>
                <c:pt idx="54">
                  <c:v>3.0363499999999997</c:v>
                </c:pt>
                <c:pt idx="55">
                  <c:v>3.0427</c:v>
                </c:pt>
                <c:pt idx="56">
                  <c:v>3.0460900000000004</c:v>
                </c:pt>
                <c:pt idx="57">
                  <c:v>3.04976</c:v>
                </c:pt>
                <c:pt idx="58">
                  <c:v>3.0560499999999999</c:v>
                </c:pt>
                <c:pt idx="59">
                  <c:v>3.06128</c:v>
                </c:pt>
                <c:pt idx="60">
                  <c:v>3.07002</c:v>
                </c:pt>
                <c:pt idx="61">
                  <c:v>3.0803000000000003</c:v>
                </c:pt>
                <c:pt idx="62">
                  <c:v>3.0867399999999998</c:v>
                </c:pt>
                <c:pt idx="63">
                  <c:v>3.0891400000000004</c:v>
                </c:pt>
                <c:pt idx="64">
                  <c:v>3.0915500000000002</c:v>
                </c:pt>
                <c:pt idx="65">
                  <c:v>3.0967799999999999</c:v>
                </c:pt>
                <c:pt idx="66">
                  <c:v>3.0982599999999998</c:v>
                </c:pt>
                <c:pt idx="67">
                  <c:v>3.0979700000000001</c:v>
                </c:pt>
                <c:pt idx="68">
                  <c:v>3.0925500000000001</c:v>
                </c:pt>
                <c:pt idx="69">
                  <c:v>3.0843700000000003</c:v>
                </c:pt>
                <c:pt idx="70">
                  <c:v>3.0793200000000001</c:v>
                </c:pt>
                <c:pt idx="71">
                  <c:v>3.0719000000000003</c:v>
                </c:pt>
                <c:pt idx="72">
                  <c:v>3.0693999999999999</c:v>
                </c:pt>
                <c:pt idx="73">
                  <c:v>3.0562800000000001</c:v>
                </c:pt>
                <c:pt idx="74">
                  <c:v>3.03898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14.941700000000001</c:v>
                </c:pt>
                <c:pt idx="1">
                  <c:v>44.825100000000006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2.5638794594594589</c:v>
                </c:pt>
                <c:pt idx="1">
                  <c:v>2.8934813513513529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0.41066399999999997</c:v>
                </c:pt>
                <c:pt idx="2">
                  <c:v>0.81453900000000001</c:v>
                </c:pt>
                <c:pt idx="3">
                  <c:v>1.2194199999999999</c:v>
                </c:pt>
                <c:pt idx="4">
                  <c:v>1.6248400000000001</c:v>
                </c:pt>
                <c:pt idx="5">
                  <c:v>2.0305300000000002</c:v>
                </c:pt>
                <c:pt idx="6">
                  <c:v>2.43926</c:v>
                </c:pt>
                <c:pt idx="7">
                  <c:v>2.8451399999999998</c:v>
                </c:pt>
                <c:pt idx="8">
                  <c:v>3.25</c:v>
                </c:pt>
                <c:pt idx="9">
                  <c:v>3.65828</c:v>
                </c:pt>
                <c:pt idx="10">
                  <c:v>4.0623300000000002</c:v>
                </c:pt>
                <c:pt idx="11">
                  <c:v>4.4717399999999996</c:v>
                </c:pt>
                <c:pt idx="12">
                  <c:v>4.87676</c:v>
                </c:pt>
                <c:pt idx="13">
                  <c:v>5.2816299999999998</c:v>
                </c:pt>
                <c:pt idx="14">
                  <c:v>5.6876499999999997</c:v>
                </c:pt>
                <c:pt idx="15">
                  <c:v>6.0931300000000004</c:v>
                </c:pt>
                <c:pt idx="16">
                  <c:v>6.4990500000000004</c:v>
                </c:pt>
                <c:pt idx="17">
                  <c:v>6.9080899999999996</c:v>
                </c:pt>
                <c:pt idx="18">
                  <c:v>7.3121499999999999</c:v>
                </c:pt>
                <c:pt idx="19">
                  <c:v>7.7202200000000003</c:v>
                </c:pt>
                <c:pt idx="20">
                  <c:v>8.1249900000000004</c:v>
                </c:pt>
                <c:pt idx="21">
                  <c:v>8.5328900000000001</c:v>
                </c:pt>
                <c:pt idx="22">
                  <c:v>8.9390000000000001</c:v>
                </c:pt>
                <c:pt idx="23">
                  <c:v>9.3433299999999999</c:v>
                </c:pt>
                <c:pt idx="24">
                  <c:v>9.7476000000000003</c:v>
                </c:pt>
                <c:pt idx="25">
                  <c:v>10.1568</c:v>
                </c:pt>
                <c:pt idx="26">
                  <c:v>10.5656</c:v>
                </c:pt>
                <c:pt idx="27">
                  <c:v>10.971399999999999</c:v>
                </c:pt>
                <c:pt idx="28">
                  <c:v>11.3742</c:v>
                </c:pt>
                <c:pt idx="29">
                  <c:v>11.7789</c:v>
                </c:pt>
                <c:pt idx="30">
                  <c:v>12.1881</c:v>
                </c:pt>
                <c:pt idx="31">
                  <c:v>12.594099999999999</c:v>
                </c:pt>
                <c:pt idx="32">
                  <c:v>13.001200000000001</c:v>
                </c:pt>
                <c:pt idx="33">
                  <c:v>13.407999999999999</c:v>
                </c:pt>
                <c:pt idx="34">
                  <c:v>13.8133</c:v>
                </c:pt>
                <c:pt idx="35">
                  <c:v>14.2187</c:v>
                </c:pt>
                <c:pt idx="36">
                  <c:v>14.623900000000001</c:v>
                </c:pt>
                <c:pt idx="37">
                  <c:v>15.0313</c:v>
                </c:pt>
                <c:pt idx="38">
                  <c:v>15.4414</c:v>
                </c:pt>
                <c:pt idx="39">
                  <c:v>15.8454</c:v>
                </c:pt>
                <c:pt idx="40">
                  <c:v>16.2502</c:v>
                </c:pt>
                <c:pt idx="41">
                  <c:v>16.658899999999999</c:v>
                </c:pt>
                <c:pt idx="42">
                  <c:v>17.061299999999999</c:v>
                </c:pt>
                <c:pt idx="43">
                  <c:v>17.4678</c:v>
                </c:pt>
                <c:pt idx="44">
                  <c:v>17.876799999999999</c:v>
                </c:pt>
                <c:pt idx="45">
                  <c:v>18.2852</c:v>
                </c:pt>
                <c:pt idx="46">
                  <c:v>18.687999999999999</c:v>
                </c:pt>
                <c:pt idx="47">
                  <c:v>19.0929</c:v>
                </c:pt>
                <c:pt idx="48">
                  <c:v>19.502800000000001</c:v>
                </c:pt>
                <c:pt idx="49">
                  <c:v>19.906400000000001</c:v>
                </c:pt>
                <c:pt idx="50">
                  <c:v>20.311699999999998</c:v>
                </c:pt>
                <c:pt idx="51">
                  <c:v>20.718499999999999</c:v>
                </c:pt>
                <c:pt idx="52">
                  <c:v>21.125499999999999</c:v>
                </c:pt>
                <c:pt idx="53">
                  <c:v>21.532499999999999</c:v>
                </c:pt>
                <c:pt idx="54">
                  <c:v>21.9406</c:v>
                </c:pt>
                <c:pt idx="55">
                  <c:v>22.347200000000001</c:v>
                </c:pt>
                <c:pt idx="56">
                  <c:v>22.7483</c:v>
                </c:pt>
                <c:pt idx="57">
                  <c:v>23.1584</c:v>
                </c:pt>
                <c:pt idx="58">
                  <c:v>23.5626</c:v>
                </c:pt>
                <c:pt idx="59">
                  <c:v>23.972000000000001</c:v>
                </c:pt>
                <c:pt idx="60">
                  <c:v>24.376899999999999</c:v>
                </c:pt>
                <c:pt idx="61">
                  <c:v>24.78</c:v>
                </c:pt>
                <c:pt idx="62">
                  <c:v>25.1877</c:v>
                </c:pt>
                <c:pt idx="63">
                  <c:v>25.592700000000001</c:v>
                </c:pt>
                <c:pt idx="64">
                  <c:v>26.003399999999999</c:v>
                </c:pt>
                <c:pt idx="65">
                  <c:v>26.4053</c:v>
                </c:pt>
                <c:pt idx="66">
                  <c:v>26.811299999999999</c:v>
                </c:pt>
                <c:pt idx="67">
                  <c:v>27.222200000000001</c:v>
                </c:pt>
                <c:pt idx="68">
                  <c:v>27.627600000000001</c:v>
                </c:pt>
                <c:pt idx="69">
                  <c:v>28.0304</c:v>
                </c:pt>
                <c:pt idx="70">
                  <c:v>28.439399999999999</c:v>
                </c:pt>
                <c:pt idx="71">
                  <c:v>28.8432</c:v>
                </c:pt>
                <c:pt idx="72">
                  <c:v>29.250800000000002</c:v>
                </c:pt>
                <c:pt idx="73">
                  <c:v>29.657800000000002</c:v>
                </c:pt>
                <c:pt idx="74">
                  <c:v>30.060600000000001</c:v>
                </c:pt>
                <c:pt idx="75">
                  <c:v>30.5306</c:v>
                </c:pt>
                <c:pt idx="76">
                  <c:v>30.936599999999999</c:v>
                </c:pt>
                <c:pt idx="77">
                  <c:v>31.328499999999998</c:v>
                </c:pt>
                <c:pt idx="78">
                  <c:v>31.735199999999999</c:v>
                </c:pt>
                <c:pt idx="79">
                  <c:v>32.148000000000003</c:v>
                </c:pt>
                <c:pt idx="80">
                  <c:v>32.546999999999997</c:v>
                </c:pt>
                <c:pt idx="81">
                  <c:v>32.958799999999997</c:v>
                </c:pt>
                <c:pt idx="82">
                  <c:v>33.362699999999997</c:v>
                </c:pt>
                <c:pt idx="83">
                  <c:v>33.766800000000003</c:v>
                </c:pt>
                <c:pt idx="84">
                  <c:v>34.177599999999998</c:v>
                </c:pt>
                <c:pt idx="85">
                  <c:v>34.583500000000001</c:v>
                </c:pt>
                <c:pt idx="86">
                  <c:v>34.985599999999998</c:v>
                </c:pt>
                <c:pt idx="87">
                  <c:v>35.392600000000002</c:v>
                </c:pt>
                <c:pt idx="88">
                  <c:v>35.796199999999999</c:v>
                </c:pt>
                <c:pt idx="89">
                  <c:v>36.206499999999998</c:v>
                </c:pt>
                <c:pt idx="90">
                  <c:v>36.611400000000003</c:v>
                </c:pt>
                <c:pt idx="91">
                  <c:v>37.018900000000002</c:v>
                </c:pt>
                <c:pt idx="92">
                  <c:v>37.420900000000003</c:v>
                </c:pt>
                <c:pt idx="93">
                  <c:v>37.825299999999999</c:v>
                </c:pt>
                <c:pt idx="94">
                  <c:v>38.234999999999999</c:v>
                </c:pt>
                <c:pt idx="95">
                  <c:v>38.642600000000002</c:v>
                </c:pt>
                <c:pt idx="96">
                  <c:v>39.048499999999997</c:v>
                </c:pt>
                <c:pt idx="97">
                  <c:v>39.455500000000001</c:v>
                </c:pt>
                <c:pt idx="98">
                  <c:v>39.859200000000001</c:v>
                </c:pt>
                <c:pt idx="99">
                  <c:v>40.266500000000001</c:v>
                </c:pt>
                <c:pt idx="100">
                  <c:v>40.671100000000003</c:v>
                </c:pt>
                <c:pt idx="101">
                  <c:v>41.078200000000002</c:v>
                </c:pt>
                <c:pt idx="102">
                  <c:v>41.484099999999998</c:v>
                </c:pt>
                <c:pt idx="103">
                  <c:v>41.8902</c:v>
                </c:pt>
                <c:pt idx="104">
                  <c:v>42.2958</c:v>
                </c:pt>
                <c:pt idx="105">
                  <c:v>42.702800000000003</c:v>
                </c:pt>
                <c:pt idx="106">
                  <c:v>43.110199999999999</c:v>
                </c:pt>
                <c:pt idx="107">
                  <c:v>43.515599999999999</c:v>
                </c:pt>
                <c:pt idx="108">
                  <c:v>43.924599999999998</c:v>
                </c:pt>
                <c:pt idx="109">
                  <c:v>44.329300000000003</c:v>
                </c:pt>
                <c:pt idx="110">
                  <c:v>44.735300000000002</c:v>
                </c:pt>
                <c:pt idx="111">
                  <c:v>45.140599999999999</c:v>
                </c:pt>
                <c:pt idx="112">
                  <c:v>45.547600000000003</c:v>
                </c:pt>
                <c:pt idx="113">
                  <c:v>45.956000000000003</c:v>
                </c:pt>
                <c:pt idx="114">
                  <c:v>46.363</c:v>
                </c:pt>
                <c:pt idx="115">
                  <c:v>46.767899999999997</c:v>
                </c:pt>
                <c:pt idx="116">
                  <c:v>47.174999999999997</c:v>
                </c:pt>
                <c:pt idx="117">
                  <c:v>47.580800000000004</c:v>
                </c:pt>
                <c:pt idx="118">
                  <c:v>47.984999999999999</c:v>
                </c:pt>
                <c:pt idx="119">
                  <c:v>48.394500000000001</c:v>
                </c:pt>
                <c:pt idx="120">
                  <c:v>48.795499999999997</c:v>
                </c:pt>
                <c:pt idx="121">
                  <c:v>49.202199999999998</c:v>
                </c:pt>
                <c:pt idx="122">
                  <c:v>49.609400000000001</c:v>
                </c:pt>
                <c:pt idx="123">
                  <c:v>50.015000000000001</c:v>
                </c:pt>
                <c:pt idx="124">
                  <c:v>50.423099999999998</c:v>
                </c:pt>
                <c:pt idx="125">
                  <c:v>50.83</c:v>
                </c:pt>
                <c:pt idx="126">
                  <c:v>51.234900000000003</c:v>
                </c:pt>
                <c:pt idx="127">
                  <c:v>51.643000000000001</c:v>
                </c:pt>
                <c:pt idx="128">
                  <c:v>52.050699999999999</c:v>
                </c:pt>
                <c:pt idx="129">
                  <c:v>52.463900000000002</c:v>
                </c:pt>
                <c:pt idx="130">
                  <c:v>52.860700000000001</c:v>
                </c:pt>
                <c:pt idx="131">
                  <c:v>53.264200000000002</c:v>
                </c:pt>
                <c:pt idx="132">
                  <c:v>53.6736</c:v>
                </c:pt>
                <c:pt idx="133">
                  <c:v>54.081099999999999</c:v>
                </c:pt>
                <c:pt idx="134">
                  <c:v>54.4893</c:v>
                </c:pt>
                <c:pt idx="135">
                  <c:v>54.890599999999999</c:v>
                </c:pt>
                <c:pt idx="136">
                  <c:v>55.295699999999997</c:v>
                </c:pt>
                <c:pt idx="137">
                  <c:v>55.703899999999997</c:v>
                </c:pt>
                <c:pt idx="138">
                  <c:v>56.11</c:v>
                </c:pt>
                <c:pt idx="139">
                  <c:v>56.518999999999998</c:v>
                </c:pt>
                <c:pt idx="140">
                  <c:v>56.927900000000001</c:v>
                </c:pt>
                <c:pt idx="141">
                  <c:v>57.332799999999999</c:v>
                </c:pt>
                <c:pt idx="142">
                  <c:v>57.738700000000001</c:v>
                </c:pt>
                <c:pt idx="143">
                  <c:v>58.143599999999999</c:v>
                </c:pt>
                <c:pt idx="144">
                  <c:v>58.5441</c:v>
                </c:pt>
                <c:pt idx="145">
                  <c:v>58.959499999999998</c:v>
                </c:pt>
                <c:pt idx="146">
                  <c:v>59.358600000000003</c:v>
                </c:pt>
                <c:pt idx="147">
                  <c:v>59.766800000000003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60.410899999999998</c:v>
                </c:pt>
                <c:pt idx="1">
                  <c:v>59.418400000000005</c:v>
                </c:pt>
                <c:pt idx="2">
                  <c:v>58.457300000000004</c:v>
                </c:pt>
                <c:pt idx="3">
                  <c:v>57.6126</c:v>
                </c:pt>
                <c:pt idx="4">
                  <c:v>56.748699999999999</c:v>
                </c:pt>
                <c:pt idx="5">
                  <c:v>55.990799999999993</c:v>
                </c:pt>
                <c:pt idx="6">
                  <c:v>55.292699999999996</c:v>
                </c:pt>
                <c:pt idx="7">
                  <c:v>54.523299999999999</c:v>
                </c:pt>
                <c:pt idx="8">
                  <c:v>53.795099999999998</c:v>
                </c:pt>
                <c:pt idx="9">
                  <c:v>52.981500000000004</c:v>
                </c:pt>
                <c:pt idx="10">
                  <c:v>52.126199999999997</c:v>
                </c:pt>
                <c:pt idx="11">
                  <c:v>51.244700000000002</c:v>
                </c:pt>
                <c:pt idx="12">
                  <c:v>50.414099999999998</c:v>
                </c:pt>
                <c:pt idx="13">
                  <c:v>49.49</c:v>
                </c:pt>
                <c:pt idx="14">
                  <c:v>48.670200000000001</c:v>
                </c:pt>
                <c:pt idx="15">
                  <c:v>48.076099999999997</c:v>
                </c:pt>
                <c:pt idx="16">
                  <c:v>47.581200000000003</c:v>
                </c:pt>
                <c:pt idx="17">
                  <c:v>47.034500000000001</c:v>
                </c:pt>
                <c:pt idx="18">
                  <c:v>46.4816</c:v>
                </c:pt>
                <c:pt idx="19">
                  <c:v>45.9572</c:v>
                </c:pt>
                <c:pt idx="20">
                  <c:v>45.471800000000002</c:v>
                </c:pt>
                <c:pt idx="21">
                  <c:v>44.9621</c:v>
                </c:pt>
                <c:pt idx="22">
                  <c:v>44.527499999999996</c:v>
                </c:pt>
                <c:pt idx="23">
                  <c:v>44.13</c:v>
                </c:pt>
                <c:pt idx="24">
                  <c:v>43.716200000000001</c:v>
                </c:pt>
                <c:pt idx="25">
                  <c:v>43.381300000000003</c:v>
                </c:pt>
                <c:pt idx="26">
                  <c:v>43.055599999999998</c:v>
                </c:pt>
                <c:pt idx="27">
                  <c:v>42.7545</c:v>
                </c:pt>
                <c:pt idx="28">
                  <c:v>42.463000000000001</c:v>
                </c:pt>
                <c:pt idx="29">
                  <c:v>42.224699999999999</c:v>
                </c:pt>
                <c:pt idx="30">
                  <c:v>41.986699999999999</c:v>
                </c:pt>
                <c:pt idx="31">
                  <c:v>41.7102</c:v>
                </c:pt>
                <c:pt idx="32">
                  <c:v>41.4298</c:v>
                </c:pt>
                <c:pt idx="33">
                  <c:v>41.154499999999999</c:v>
                </c:pt>
                <c:pt idx="34">
                  <c:v>40.894399999999997</c:v>
                </c:pt>
                <c:pt idx="35">
                  <c:v>40.695700000000002</c:v>
                </c:pt>
                <c:pt idx="36">
                  <c:v>40.569800000000001</c:v>
                </c:pt>
                <c:pt idx="37">
                  <c:v>40.4268</c:v>
                </c:pt>
                <c:pt idx="38">
                  <c:v>40.316899999999997</c:v>
                </c:pt>
                <c:pt idx="39">
                  <c:v>40.170999999999999</c:v>
                </c:pt>
                <c:pt idx="40">
                  <c:v>40.016200000000005</c:v>
                </c:pt>
                <c:pt idx="41">
                  <c:v>39.895499999999998</c:v>
                </c:pt>
                <c:pt idx="42">
                  <c:v>39.7913</c:v>
                </c:pt>
                <c:pt idx="43">
                  <c:v>39.684599999999996</c:v>
                </c:pt>
                <c:pt idx="44">
                  <c:v>39.601100000000002</c:v>
                </c:pt>
                <c:pt idx="45">
                  <c:v>39.491599999999998</c:v>
                </c:pt>
                <c:pt idx="46">
                  <c:v>39.387699999999995</c:v>
                </c:pt>
                <c:pt idx="47">
                  <c:v>39.246700000000004</c:v>
                </c:pt>
                <c:pt idx="48">
                  <c:v>39.100099999999998</c:v>
                </c:pt>
                <c:pt idx="49">
                  <c:v>38.906300000000002</c:v>
                </c:pt>
                <c:pt idx="50">
                  <c:v>38.728699999999996</c:v>
                </c:pt>
                <c:pt idx="51">
                  <c:v>38.5473</c:v>
                </c:pt>
                <c:pt idx="52">
                  <c:v>38.4178</c:v>
                </c:pt>
                <c:pt idx="53">
                  <c:v>38.278099999999995</c:v>
                </c:pt>
                <c:pt idx="54">
                  <c:v>38.130900000000004</c:v>
                </c:pt>
                <c:pt idx="55">
                  <c:v>38.009500000000003</c:v>
                </c:pt>
                <c:pt idx="56">
                  <c:v>37.939799999999998</c:v>
                </c:pt>
                <c:pt idx="57">
                  <c:v>37.891799999999996</c:v>
                </c:pt>
                <c:pt idx="58">
                  <c:v>37.806400000000004</c:v>
                </c:pt>
                <c:pt idx="59">
                  <c:v>37.728699999999996</c:v>
                </c:pt>
                <c:pt idx="60">
                  <c:v>37.657600000000002</c:v>
                </c:pt>
                <c:pt idx="61">
                  <c:v>37.5839</c:v>
                </c:pt>
                <c:pt idx="62">
                  <c:v>37.565300000000001</c:v>
                </c:pt>
                <c:pt idx="63">
                  <c:v>37.594100000000005</c:v>
                </c:pt>
                <c:pt idx="64">
                  <c:v>37.624600000000001</c:v>
                </c:pt>
                <c:pt idx="65">
                  <c:v>37.587199999999996</c:v>
                </c:pt>
                <c:pt idx="66">
                  <c:v>37.462200000000003</c:v>
                </c:pt>
                <c:pt idx="67">
                  <c:v>37.358899999999998</c:v>
                </c:pt>
                <c:pt idx="68">
                  <c:v>37.327100000000002</c:v>
                </c:pt>
                <c:pt idx="69">
                  <c:v>37.262499999999996</c:v>
                </c:pt>
                <c:pt idx="70">
                  <c:v>37.203099999999999</c:v>
                </c:pt>
                <c:pt idx="71">
                  <c:v>37.184400000000004</c:v>
                </c:pt>
                <c:pt idx="72">
                  <c:v>37.151200000000003</c:v>
                </c:pt>
                <c:pt idx="73">
                  <c:v>37.137900000000002</c:v>
                </c:pt>
                <c:pt idx="74">
                  <c:v>37.186599999999999</c:v>
                </c:pt>
                <c:pt idx="75">
                  <c:v>37.1295</c:v>
                </c:pt>
                <c:pt idx="76">
                  <c:v>36.9863</c:v>
                </c:pt>
                <c:pt idx="77">
                  <c:v>36.823099999999997</c:v>
                </c:pt>
                <c:pt idx="78">
                  <c:v>36.627400000000002</c:v>
                </c:pt>
                <c:pt idx="79">
                  <c:v>36.406399999999998</c:v>
                </c:pt>
                <c:pt idx="80">
                  <c:v>36.247399999999999</c:v>
                </c:pt>
                <c:pt idx="81">
                  <c:v>36.085499999999996</c:v>
                </c:pt>
                <c:pt idx="82">
                  <c:v>35.886400000000002</c:v>
                </c:pt>
                <c:pt idx="83">
                  <c:v>35.707100000000004</c:v>
                </c:pt>
                <c:pt idx="84">
                  <c:v>35.468200000000003</c:v>
                </c:pt>
                <c:pt idx="85">
                  <c:v>35.199999999999996</c:v>
                </c:pt>
                <c:pt idx="86">
                  <c:v>34.888400000000004</c:v>
                </c:pt>
                <c:pt idx="87">
                  <c:v>34.619499999999995</c:v>
                </c:pt>
                <c:pt idx="88">
                  <c:v>34.324300000000001</c:v>
                </c:pt>
                <c:pt idx="89">
                  <c:v>34.029299999999999</c:v>
                </c:pt>
                <c:pt idx="90">
                  <c:v>33.689300000000003</c:v>
                </c:pt>
                <c:pt idx="91">
                  <c:v>33.387899999999995</c:v>
                </c:pt>
                <c:pt idx="92">
                  <c:v>33.092500000000001</c:v>
                </c:pt>
                <c:pt idx="93">
                  <c:v>32.7502</c:v>
                </c:pt>
                <c:pt idx="94">
                  <c:v>32.402099999999997</c:v>
                </c:pt>
                <c:pt idx="95">
                  <c:v>32.065199999999997</c:v>
                </c:pt>
                <c:pt idx="96">
                  <c:v>31.658799999999999</c:v>
                </c:pt>
                <c:pt idx="97">
                  <c:v>31.277200000000001</c:v>
                </c:pt>
                <c:pt idx="98">
                  <c:v>30.892999999999997</c:v>
                </c:pt>
                <c:pt idx="99">
                  <c:v>30.4937</c:v>
                </c:pt>
                <c:pt idx="100">
                  <c:v>30.008400000000002</c:v>
                </c:pt>
                <c:pt idx="101">
                  <c:v>29.540100000000002</c:v>
                </c:pt>
                <c:pt idx="102">
                  <c:v>29.064600000000002</c:v>
                </c:pt>
                <c:pt idx="103">
                  <c:v>28.5015</c:v>
                </c:pt>
                <c:pt idx="104">
                  <c:v>27.819899999999997</c:v>
                </c:pt>
                <c:pt idx="105">
                  <c:v>27.036500000000004</c:v>
                </c:pt>
                <c:pt idx="106">
                  <c:v>26.225100000000001</c:v>
                </c:pt>
                <c:pt idx="107">
                  <c:v>25.4297</c:v>
                </c:pt>
                <c:pt idx="108">
                  <c:v>24.6843</c:v>
                </c:pt>
                <c:pt idx="109">
                  <c:v>24.070599999999999</c:v>
                </c:pt>
                <c:pt idx="110">
                  <c:v>23.349600000000002</c:v>
                </c:pt>
                <c:pt idx="111">
                  <c:v>22.555800000000001</c:v>
                </c:pt>
                <c:pt idx="112">
                  <c:v>21.670100000000001</c:v>
                </c:pt>
                <c:pt idx="113">
                  <c:v>20.858899999999998</c:v>
                </c:pt>
                <c:pt idx="114">
                  <c:v>19.972899999999999</c:v>
                </c:pt>
                <c:pt idx="115">
                  <c:v>19.077400000000001</c:v>
                </c:pt>
                <c:pt idx="116">
                  <c:v>18.142299999999999</c:v>
                </c:pt>
                <c:pt idx="117">
                  <c:v>17.245100000000001</c:v>
                </c:pt>
                <c:pt idx="118">
                  <c:v>16.516400000000001</c:v>
                </c:pt>
                <c:pt idx="119">
                  <c:v>15.8497</c:v>
                </c:pt>
                <c:pt idx="120">
                  <c:v>15.257899999999999</c:v>
                </c:pt>
                <c:pt idx="121">
                  <c:v>14.672199999999998</c:v>
                </c:pt>
                <c:pt idx="122">
                  <c:v>14.089499999999999</c:v>
                </c:pt>
                <c:pt idx="123">
                  <c:v>13.587199999999999</c:v>
                </c:pt>
                <c:pt idx="124">
                  <c:v>13.126199999999999</c:v>
                </c:pt>
                <c:pt idx="125">
                  <c:v>12.740000000000002</c:v>
                </c:pt>
                <c:pt idx="126">
                  <c:v>12.3553</c:v>
                </c:pt>
                <c:pt idx="127">
                  <c:v>11.969200000000001</c:v>
                </c:pt>
                <c:pt idx="128">
                  <c:v>11.6145</c:v>
                </c:pt>
                <c:pt idx="129">
                  <c:v>11.336599999999999</c:v>
                </c:pt>
                <c:pt idx="130">
                  <c:v>11.091699999999999</c:v>
                </c:pt>
                <c:pt idx="131">
                  <c:v>10.895299999999999</c:v>
                </c:pt>
                <c:pt idx="132">
                  <c:v>10.716100000000001</c:v>
                </c:pt>
                <c:pt idx="133">
                  <c:v>10.517899999999999</c:v>
                </c:pt>
                <c:pt idx="134">
                  <c:v>10.1465</c:v>
                </c:pt>
                <c:pt idx="135">
                  <c:v>9.8835700000000006</c:v>
                </c:pt>
                <c:pt idx="136">
                  <c:v>9.7229899999999994</c:v>
                </c:pt>
                <c:pt idx="137">
                  <c:v>9.6569400000000005</c:v>
                </c:pt>
                <c:pt idx="138">
                  <c:v>9.5364500000000003</c:v>
                </c:pt>
                <c:pt idx="139">
                  <c:v>9.6499900000000007</c:v>
                </c:pt>
                <c:pt idx="140">
                  <c:v>9.9831799999999991</c:v>
                </c:pt>
                <c:pt idx="141">
                  <c:v>10.5319</c:v>
                </c:pt>
                <c:pt idx="142">
                  <c:v>11.1342</c:v>
                </c:pt>
                <c:pt idx="143">
                  <c:v>11.395</c:v>
                </c:pt>
                <c:pt idx="144">
                  <c:v>11.635900000000001</c:v>
                </c:pt>
                <c:pt idx="145">
                  <c:v>11.454499999999999</c:v>
                </c:pt>
                <c:pt idx="146">
                  <c:v>11.573</c:v>
                </c:pt>
                <c:pt idx="147">
                  <c:v>12.3001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0.41066399999999997</c:v>
                </c:pt>
                <c:pt idx="2">
                  <c:v>0.81453900000000001</c:v>
                </c:pt>
                <c:pt idx="3">
                  <c:v>1.2194199999999999</c:v>
                </c:pt>
                <c:pt idx="4">
                  <c:v>1.6248400000000001</c:v>
                </c:pt>
                <c:pt idx="5">
                  <c:v>2.0305300000000002</c:v>
                </c:pt>
                <c:pt idx="6">
                  <c:v>2.43926</c:v>
                </c:pt>
                <c:pt idx="7">
                  <c:v>2.8451399999999998</c:v>
                </c:pt>
                <c:pt idx="8">
                  <c:v>3.25</c:v>
                </c:pt>
                <c:pt idx="9">
                  <c:v>3.65828</c:v>
                </c:pt>
                <c:pt idx="10">
                  <c:v>4.0623300000000002</c:v>
                </c:pt>
                <c:pt idx="11">
                  <c:v>4.4717399999999996</c:v>
                </c:pt>
                <c:pt idx="12">
                  <c:v>4.87676</c:v>
                </c:pt>
                <c:pt idx="13">
                  <c:v>5.2816299999999998</c:v>
                </c:pt>
                <c:pt idx="14">
                  <c:v>5.6876499999999997</c:v>
                </c:pt>
                <c:pt idx="15">
                  <c:v>6.0931300000000004</c:v>
                </c:pt>
                <c:pt idx="16">
                  <c:v>6.4990500000000004</c:v>
                </c:pt>
                <c:pt idx="17">
                  <c:v>6.9080899999999996</c:v>
                </c:pt>
                <c:pt idx="18">
                  <c:v>7.3121499999999999</c:v>
                </c:pt>
                <c:pt idx="19">
                  <c:v>7.7202200000000003</c:v>
                </c:pt>
                <c:pt idx="20">
                  <c:v>8.1249900000000004</c:v>
                </c:pt>
                <c:pt idx="21">
                  <c:v>8.5328900000000001</c:v>
                </c:pt>
                <c:pt idx="22">
                  <c:v>8.9390000000000001</c:v>
                </c:pt>
                <c:pt idx="23">
                  <c:v>9.3433299999999999</c:v>
                </c:pt>
                <c:pt idx="24">
                  <c:v>9.7476000000000003</c:v>
                </c:pt>
                <c:pt idx="25">
                  <c:v>10.1568</c:v>
                </c:pt>
                <c:pt idx="26">
                  <c:v>10.5656</c:v>
                </c:pt>
                <c:pt idx="27">
                  <c:v>10.971399999999999</c:v>
                </c:pt>
                <c:pt idx="28">
                  <c:v>11.3742</c:v>
                </c:pt>
                <c:pt idx="29">
                  <c:v>11.7789</c:v>
                </c:pt>
                <c:pt idx="30">
                  <c:v>12.1881</c:v>
                </c:pt>
                <c:pt idx="31">
                  <c:v>12.594099999999999</c:v>
                </c:pt>
                <c:pt idx="32">
                  <c:v>13.001200000000001</c:v>
                </c:pt>
                <c:pt idx="33">
                  <c:v>13.407999999999999</c:v>
                </c:pt>
                <c:pt idx="34">
                  <c:v>13.8133</c:v>
                </c:pt>
                <c:pt idx="35">
                  <c:v>14.2187</c:v>
                </c:pt>
                <c:pt idx="36">
                  <c:v>14.623900000000001</c:v>
                </c:pt>
                <c:pt idx="37">
                  <c:v>15.0313</c:v>
                </c:pt>
                <c:pt idx="38">
                  <c:v>15.4414</c:v>
                </c:pt>
                <c:pt idx="39">
                  <c:v>15.8454</c:v>
                </c:pt>
                <c:pt idx="40">
                  <c:v>16.2502</c:v>
                </c:pt>
                <c:pt idx="41">
                  <c:v>16.658899999999999</c:v>
                </c:pt>
                <c:pt idx="42">
                  <c:v>17.061299999999999</c:v>
                </c:pt>
                <c:pt idx="43">
                  <c:v>17.4678</c:v>
                </c:pt>
                <c:pt idx="44">
                  <c:v>17.876799999999999</c:v>
                </c:pt>
                <c:pt idx="45">
                  <c:v>18.2852</c:v>
                </c:pt>
                <c:pt idx="46">
                  <c:v>18.687999999999999</c:v>
                </c:pt>
                <c:pt idx="47">
                  <c:v>19.0929</c:v>
                </c:pt>
                <c:pt idx="48">
                  <c:v>19.502800000000001</c:v>
                </c:pt>
                <c:pt idx="49">
                  <c:v>19.906400000000001</c:v>
                </c:pt>
                <c:pt idx="50">
                  <c:v>20.311699999999998</c:v>
                </c:pt>
                <c:pt idx="51">
                  <c:v>20.718499999999999</c:v>
                </c:pt>
                <c:pt idx="52">
                  <c:v>21.125499999999999</c:v>
                </c:pt>
                <c:pt idx="53">
                  <c:v>21.532499999999999</c:v>
                </c:pt>
                <c:pt idx="54">
                  <c:v>21.9406</c:v>
                </c:pt>
                <c:pt idx="55">
                  <c:v>22.347200000000001</c:v>
                </c:pt>
                <c:pt idx="56">
                  <c:v>22.7483</c:v>
                </c:pt>
                <c:pt idx="57">
                  <c:v>23.1584</c:v>
                </c:pt>
                <c:pt idx="58">
                  <c:v>23.5626</c:v>
                </c:pt>
                <c:pt idx="59">
                  <c:v>23.972000000000001</c:v>
                </c:pt>
                <c:pt idx="60">
                  <c:v>24.376899999999999</c:v>
                </c:pt>
                <c:pt idx="61">
                  <c:v>24.78</c:v>
                </c:pt>
                <c:pt idx="62">
                  <c:v>25.1877</c:v>
                </c:pt>
                <c:pt idx="63">
                  <c:v>25.592700000000001</c:v>
                </c:pt>
                <c:pt idx="64">
                  <c:v>26.003399999999999</c:v>
                </c:pt>
                <c:pt idx="65">
                  <c:v>26.4053</c:v>
                </c:pt>
                <c:pt idx="66">
                  <c:v>26.811299999999999</c:v>
                </c:pt>
                <c:pt idx="67">
                  <c:v>27.222200000000001</c:v>
                </c:pt>
                <c:pt idx="68">
                  <c:v>27.627600000000001</c:v>
                </c:pt>
                <c:pt idx="69">
                  <c:v>28.0304</c:v>
                </c:pt>
                <c:pt idx="70">
                  <c:v>28.439399999999999</c:v>
                </c:pt>
                <c:pt idx="71">
                  <c:v>28.8432</c:v>
                </c:pt>
                <c:pt idx="72">
                  <c:v>29.250800000000002</c:v>
                </c:pt>
                <c:pt idx="73">
                  <c:v>29.657800000000002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60.410899999999998</c:v>
                </c:pt>
                <c:pt idx="1">
                  <c:v>59.418400000000005</c:v>
                </c:pt>
                <c:pt idx="2">
                  <c:v>58.457300000000004</c:v>
                </c:pt>
                <c:pt idx="3">
                  <c:v>57.6126</c:v>
                </c:pt>
                <c:pt idx="4">
                  <c:v>56.748699999999999</c:v>
                </c:pt>
                <c:pt idx="5">
                  <c:v>55.990799999999993</c:v>
                </c:pt>
                <c:pt idx="6">
                  <c:v>55.292699999999996</c:v>
                </c:pt>
                <c:pt idx="7">
                  <c:v>54.523299999999999</c:v>
                </c:pt>
                <c:pt idx="8">
                  <c:v>53.795099999999998</c:v>
                </c:pt>
                <c:pt idx="9">
                  <c:v>52.981500000000004</c:v>
                </c:pt>
                <c:pt idx="10">
                  <c:v>52.126199999999997</c:v>
                </c:pt>
                <c:pt idx="11">
                  <c:v>51.244700000000002</c:v>
                </c:pt>
                <c:pt idx="12">
                  <c:v>50.414099999999998</c:v>
                </c:pt>
                <c:pt idx="13">
                  <c:v>49.49</c:v>
                </c:pt>
                <c:pt idx="14">
                  <c:v>48.670200000000001</c:v>
                </c:pt>
                <c:pt idx="15">
                  <c:v>48.076099999999997</c:v>
                </c:pt>
                <c:pt idx="16">
                  <c:v>47.581200000000003</c:v>
                </c:pt>
                <c:pt idx="17">
                  <c:v>47.034500000000001</c:v>
                </c:pt>
                <c:pt idx="18">
                  <c:v>46.4816</c:v>
                </c:pt>
                <c:pt idx="19">
                  <c:v>45.9572</c:v>
                </c:pt>
                <c:pt idx="20">
                  <c:v>45.471800000000002</c:v>
                </c:pt>
                <c:pt idx="21">
                  <c:v>44.9621</c:v>
                </c:pt>
                <c:pt idx="22">
                  <c:v>44.527499999999996</c:v>
                </c:pt>
                <c:pt idx="23">
                  <c:v>44.13</c:v>
                </c:pt>
                <c:pt idx="24">
                  <c:v>43.716200000000001</c:v>
                </c:pt>
                <c:pt idx="25">
                  <c:v>43.381300000000003</c:v>
                </c:pt>
                <c:pt idx="26">
                  <c:v>43.055599999999998</c:v>
                </c:pt>
                <c:pt idx="27">
                  <c:v>42.7545</c:v>
                </c:pt>
                <c:pt idx="28">
                  <c:v>42.463000000000001</c:v>
                </c:pt>
                <c:pt idx="29">
                  <c:v>42.224699999999999</c:v>
                </c:pt>
                <c:pt idx="30">
                  <c:v>41.986699999999999</c:v>
                </c:pt>
                <c:pt idx="31">
                  <c:v>41.7102</c:v>
                </c:pt>
                <c:pt idx="32">
                  <c:v>41.4298</c:v>
                </c:pt>
                <c:pt idx="33">
                  <c:v>41.154499999999999</c:v>
                </c:pt>
                <c:pt idx="34">
                  <c:v>40.894399999999997</c:v>
                </c:pt>
                <c:pt idx="35">
                  <c:v>40.695700000000002</c:v>
                </c:pt>
                <c:pt idx="36">
                  <c:v>40.569800000000001</c:v>
                </c:pt>
                <c:pt idx="37">
                  <c:v>40.4268</c:v>
                </c:pt>
                <c:pt idx="38">
                  <c:v>40.316899999999997</c:v>
                </c:pt>
                <c:pt idx="39">
                  <c:v>40.170999999999999</c:v>
                </c:pt>
                <c:pt idx="40">
                  <c:v>40.016200000000005</c:v>
                </c:pt>
                <c:pt idx="41">
                  <c:v>39.895499999999998</c:v>
                </c:pt>
                <c:pt idx="42">
                  <c:v>39.7913</c:v>
                </c:pt>
                <c:pt idx="43">
                  <c:v>39.684599999999996</c:v>
                </c:pt>
                <c:pt idx="44">
                  <c:v>39.601100000000002</c:v>
                </c:pt>
                <c:pt idx="45">
                  <c:v>39.491599999999998</c:v>
                </c:pt>
                <c:pt idx="46">
                  <c:v>39.387699999999995</c:v>
                </c:pt>
                <c:pt idx="47">
                  <c:v>39.246700000000004</c:v>
                </c:pt>
                <c:pt idx="48">
                  <c:v>39.100099999999998</c:v>
                </c:pt>
                <c:pt idx="49">
                  <c:v>38.906300000000002</c:v>
                </c:pt>
                <c:pt idx="50">
                  <c:v>38.728699999999996</c:v>
                </c:pt>
                <c:pt idx="51">
                  <c:v>38.5473</c:v>
                </c:pt>
                <c:pt idx="52">
                  <c:v>38.4178</c:v>
                </c:pt>
                <c:pt idx="53">
                  <c:v>38.278099999999995</c:v>
                </c:pt>
                <c:pt idx="54">
                  <c:v>38.130900000000004</c:v>
                </c:pt>
                <c:pt idx="55">
                  <c:v>38.009500000000003</c:v>
                </c:pt>
                <c:pt idx="56">
                  <c:v>37.939799999999998</c:v>
                </c:pt>
                <c:pt idx="57">
                  <c:v>37.891799999999996</c:v>
                </c:pt>
                <c:pt idx="58">
                  <c:v>37.806400000000004</c:v>
                </c:pt>
                <c:pt idx="59">
                  <c:v>37.728699999999996</c:v>
                </c:pt>
                <c:pt idx="60">
                  <c:v>37.657600000000002</c:v>
                </c:pt>
                <c:pt idx="61">
                  <c:v>37.5839</c:v>
                </c:pt>
                <c:pt idx="62">
                  <c:v>37.565300000000001</c:v>
                </c:pt>
                <c:pt idx="63">
                  <c:v>37.594100000000005</c:v>
                </c:pt>
                <c:pt idx="64">
                  <c:v>37.624600000000001</c:v>
                </c:pt>
                <c:pt idx="65">
                  <c:v>37.587199999999996</c:v>
                </c:pt>
                <c:pt idx="66">
                  <c:v>37.462200000000003</c:v>
                </c:pt>
                <c:pt idx="67">
                  <c:v>37.358899999999998</c:v>
                </c:pt>
                <c:pt idx="68">
                  <c:v>37.327100000000002</c:v>
                </c:pt>
                <c:pt idx="69">
                  <c:v>37.262499999999996</c:v>
                </c:pt>
                <c:pt idx="70">
                  <c:v>37.203099999999999</c:v>
                </c:pt>
                <c:pt idx="71">
                  <c:v>37.184400000000004</c:v>
                </c:pt>
                <c:pt idx="72">
                  <c:v>37.151200000000003</c:v>
                </c:pt>
                <c:pt idx="73">
                  <c:v>37.137900000000002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29.657800000000002</c:v>
                </c:pt>
                <c:pt idx="1">
                  <c:v>30.060600000000001</c:v>
                </c:pt>
                <c:pt idx="2">
                  <c:v>30.5306</c:v>
                </c:pt>
                <c:pt idx="3">
                  <c:v>30.936599999999999</c:v>
                </c:pt>
                <c:pt idx="4">
                  <c:v>31.328499999999998</c:v>
                </c:pt>
                <c:pt idx="5">
                  <c:v>31.735199999999999</c:v>
                </c:pt>
                <c:pt idx="6">
                  <c:v>32.148000000000003</c:v>
                </c:pt>
                <c:pt idx="7">
                  <c:v>32.546999999999997</c:v>
                </c:pt>
                <c:pt idx="8">
                  <c:v>32.958799999999997</c:v>
                </c:pt>
                <c:pt idx="9">
                  <c:v>33.362699999999997</c:v>
                </c:pt>
                <c:pt idx="10">
                  <c:v>33.766800000000003</c:v>
                </c:pt>
                <c:pt idx="11">
                  <c:v>34.177599999999998</c:v>
                </c:pt>
                <c:pt idx="12">
                  <c:v>34.583500000000001</c:v>
                </c:pt>
                <c:pt idx="13">
                  <c:v>34.985599999999998</c:v>
                </c:pt>
                <c:pt idx="14">
                  <c:v>35.392600000000002</c:v>
                </c:pt>
                <c:pt idx="15">
                  <c:v>35.796199999999999</c:v>
                </c:pt>
                <c:pt idx="16">
                  <c:v>36.206499999999998</c:v>
                </c:pt>
                <c:pt idx="17">
                  <c:v>36.611400000000003</c:v>
                </c:pt>
                <c:pt idx="18">
                  <c:v>37.018900000000002</c:v>
                </c:pt>
                <c:pt idx="19">
                  <c:v>37.420900000000003</c:v>
                </c:pt>
                <c:pt idx="20">
                  <c:v>37.825299999999999</c:v>
                </c:pt>
                <c:pt idx="21">
                  <c:v>38.234999999999999</c:v>
                </c:pt>
                <c:pt idx="22">
                  <c:v>38.642600000000002</c:v>
                </c:pt>
                <c:pt idx="23">
                  <c:v>39.048499999999997</c:v>
                </c:pt>
                <c:pt idx="24">
                  <c:v>39.455500000000001</c:v>
                </c:pt>
                <c:pt idx="25">
                  <c:v>39.859200000000001</c:v>
                </c:pt>
                <c:pt idx="26">
                  <c:v>40.266500000000001</c:v>
                </c:pt>
                <c:pt idx="27">
                  <c:v>40.671100000000003</c:v>
                </c:pt>
                <c:pt idx="28">
                  <c:v>41.078200000000002</c:v>
                </c:pt>
                <c:pt idx="29">
                  <c:v>41.484099999999998</c:v>
                </c:pt>
                <c:pt idx="30">
                  <c:v>41.8902</c:v>
                </c:pt>
                <c:pt idx="31">
                  <c:v>42.2958</c:v>
                </c:pt>
                <c:pt idx="32">
                  <c:v>42.702800000000003</c:v>
                </c:pt>
                <c:pt idx="33">
                  <c:v>43.110199999999999</c:v>
                </c:pt>
                <c:pt idx="34">
                  <c:v>43.515599999999999</c:v>
                </c:pt>
                <c:pt idx="35">
                  <c:v>43.924599999999998</c:v>
                </c:pt>
                <c:pt idx="36">
                  <c:v>44.329300000000003</c:v>
                </c:pt>
                <c:pt idx="37">
                  <c:v>44.735300000000002</c:v>
                </c:pt>
                <c:pt idx="38">
                  <c:v>45.140599999999999</c:v>
                </c:pt>
                <c:pt idx="39">
                  <c:v>45.547600000000003</c:v>
                </c:pt>
                <c:pt idx="40">
                  <c:v>45.956000000000003</c:v>
                </c:pt>
                <c:pt idx="41">
                  <c:v>46.363</c:v>
                </c:pt>
                <c:pt idx="42">
                  <c:v>46.767899999999997</c:v>
                </c:pt>
                <c:pt idx="43">
                  <c:v>47.174999999999997</c:v>
                </c:pt>
                <c:pt idx="44">
                  <c:v>47.580800000000004</c:v>
                </c:pt>
                <c:pt idx="45">
                  <c:v>47.984999999999999</c:v>
                </c:pt>
                <c:pt idx="46">
                  <c:v>48.394500000000001</c:v>
                </c:pt>
                <c:pt idx="47">
                  <c:v>48.795499999999997</c:v>
                </c:pt>
                <c:pt idx="48">
                  <c:v>49.202199999999998</c:v>
                </c:pt>
                <c:pt idx="49">
                  <c:v>49.609400000000001</c:v>
                </c:pt>
                <c:pt idx="50">
                  <c:v>50.015000000000001</c:v>
                </c:pt>
                <c:pt idx="51">
                  <c:v>50.423099999999998</c:v>
                </c:pt>
                <c:pt idx="52">
                  <c:v>50.83</c:v>
                </c:pt>
                <c:pt idx="53">
                  <c:v>51.234900000000003</c:v>
                </c:pt>
                <c:pt idx="54">
                  <c:v>51.643000000000001</c:v>
                </c:pt>
                <c:pt idx="55">
                  <c:v>52.050699999999999</c:v>
                </c:pt>
                <c:pt idx="56">
                  <c:v>52.463900000000002</c:v>
                </c:pt>
                <c:pt idx="57">
                  <c:v>52.860700000000001</c:v>
                </c:pt>
                <c:pt idx="58">
                  <c:v>53.264200000000002</c:v>
                </c:pt>
                <c:pt idx="59">
                  <c:v>53.6736</c:v>
                </c:pt>
                <c:pt idx="60">
                  <c:v>54.081099999999999</c:v>
                </c:pt>
                <c:pt idx="61">
                  <c:v>54.4893</c:v>
                </c:pt>
                <c:pt idx="62">
                  <c:v>54.890599999999999</c:v>
                </c:pt>
                <c:pt idx="63">
                  <c:v>55.295699999999997</c:v>
                </c:pt>
                <c:pt idx="64">
                  <c:v>55.703899999999997</c:v>
                </c:pt>
                <c:pt idx="65">
                  <c:v>56.11</c:v>
                </c:pt>
                <c:pt idx="66">
                  <c:v>56.518999999999998</c:v>
                </c:pt>
                <c:pt idx="67">
                  <c:v>56.927900000000001</c:v>
                </c:pt>
                <c:pt idx="68">
                  <c:v>57.332799999999999</c:v>
                </c:pt>
                <c:pt idx="69">
                  <c:v>57.738700000000001</c:v>
                </c:pt>
                <c:pt idx="70">
                  <c:v>58.143599999999999</c:v>
                </c:pt>
                <c:pt idx="71">
                  <c:v>58.5441</c:v>
                </c:pt>
                <c:pt idx="72">
                  <c:v>58.959499999999998</c:v>
                </c:pt>
                <c:pt idx="73">
                  <c:v>59.358600000000003</c:v>
                </c:pt>
                <c:pt idx="74">
                  <c:v>59.766800000000003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37.137900000000002</c:v>
                </c:pt>
                <c:pt idx="1">
                  <c:v>37.186599999999999</c:v>
                </c:pt>
                <c:pt idx="2">
                  <c:v>37.1295</c:v>
                </c:pt>
                <c:pt idx="3">
                  <c:v>36.9863</c:v>
                </c:pt>
                <c:pt idx="4">
                  <c:v>36.823099999999997</c:v>
                </c:pt>
                <c:pt idx="5">
                  <c:v>36.627400000000002</c:v>
                </c:pt>
                <c:pt idx="6">
                  <c:v>36.406399999999998</c:v>
                </c:pt>
                <c:pt idx="7">
                  <c:v>36.247399999999999</c:v>
                </c:pt>
                <c:pt idx="8">
                  <c:v>36.085499999999996</c:v>
                </c:pt>
                <c:pt idx="9">
                  <c:v>35.886400000000002</c:v>
                </c:pt>
                <c:pt idx="10">
                  <c:v>35.707100000000004</c:v>
                </c:pt>
                <c:pt idx="11">
                  <c:v>35.468200000000003</c:v>
                </c:pt>
                <c:pt idx="12">
                  <c:v>35.199999999999996</c:v>
                </c:pt>
                <c:pt idx="13">
                  <c:v>34.888400000000004</c:v>
                </c:pt>
                <c:pt idx="14">
                  <c:v>34.619499999999995</c:v>
                </c:pt>
                <c:pt idx="15">
                  <c:v>34.324300000000001</c:v>
                </c:pt>
                <c:pt idx="16">
                  <c:v>34.029299999999999</c:v>
                </c:pt>
                <c:pt idx="17">
                  <c:v>33.689300000000003</c:v>
                </c:pt>
                <c:pt idx="18">
                  <c:v>33.387899999999995</c:v>
                </c:pt>
                <c:pt idx="19">
                  <c:v>33.092500000000001</c:v>
                </c:pt>
                <c:pt idx="20">
                  <c:v>32.7502</c:v>
                </c:pt>
                <c:pt idx="21">
                  <c:v>32.402099999999997</c:v>
                </c:pt>
                <c:pt idx="22">
                  <c:v>32.065199999999997</c:v>
                </c:pt>
                <c:pt idx="23">
                  <c:v>31.658799999999999</c:v>
                </c:pt>
                <c:pt idx="24">
                  <c:v>31.277200000000001</c:v>
                </c:pt>
                <c:pt idx="25">
                  <c:v>30.892999999999997</c:v>
                </c:pt>
                <c:pt idx="26">
                  <c:v>30.4937</c:v>
                </c:pt>
                <c:pt idx="27">
                  <c:v>30.008400000000002</c:v>
                </c:pt>
                <c:pt idx="28">
                  <c:v>29.540100000000002</c:v>
                </c:pt>
                <c:pt idx="29">
                  <c:v>29.064600000000002</c:v>
                </c:pt>
                <c:pt idx="30">
                  <c:v>28.5015</c:v>
                </c:pt>
                <c:pt idx="31">
                  <c:v>27.819899999999997</c:v>
                </c:pt>
                <c:pt idx="32">
                  <c:v>27.036500000000004</c:v>
                </c:pt>
                <c:pt idx="33">
                  <c:v>26.225100000000001</c:v>
                </c:pt>
                <c:pt idx="34">
                  <c:v>25.4297</c:v>
                </c:pt>
                <c:pt idx="35">
                  <c:v>24.6843</c:v>
                </c:pt>
                <c:pt idx="36">
                  <c:v>24.070599999999999</c:v>
                </c:pt>
                <c:pt idx="37">
                  <c:v>23.349600000000002</c:v>
                </c:pt>
                <c:pt idx="38">
                  <c:v>22.555800000000001</c:v>
                </c:pt>
                <c:pt idx="39">
                  <c:v>21.670100000000001</c:v>
                </c:pt>
                <c:pt idx="40">
                  <c:v>20.858899999999998</c:v>
                </c:pt>
                <c:pt idx="41">
                  <c:v>19.972899999999999</c:v>
                </c:pt>
                <c:pt idx="42">
                  <c:v>19.077400000000001</c:v>
                </c:pt>
                <c:pt idx="43">
                  <c:v>18.142299999999999</c:v>
                </c:pt>
                <c:pt idx="44">
                  <c:v>17.245100000000001</c:v>
                </c:pt>
                <c:pt idx="45">
                  <c:v>16.516400000000001</c:v>
                </c:pt>
                <c:pt idx="46">
                  <c:v>15.8497</c:v>
                </c:pt>
                <c:pt idx="47">
                  <c:v>15.257899999999999</c:v>
                </c:pt>
                <c:pt idx="48">
                  <c:v>14.672199999999998</c:v>
                </c:pt>
                <c:pt idx="49">
                  <c:v>14.089499999999999</c:v>
                </c:pt>
                <c:pt idx="50">
                  <c:v>13.587199999999999</c:v>
                </c:pt>
                <c:pt idx="51">
                  <c:v>13.126199999999999</c:v>
                </c:pt>
                <c:pt idx="52">
                  <c:v>12.740000000000002</c:v>
                </c:pt>
                <c:pt idx="53">
                  <c:v>12.3553</c:v>
                </c:pt>
                <c:pt idx="54">
                  <c:v>11.969200000000001</c:v>
                </c:pt>
                <c:pt idx="55">
                  <c:v>11.6145</c:v>
                </c:pt>
                <c:pt idx="56">
                  <c:v>11.336599999999999</c:v>
                </c:pt>
                <c:pt idx="57">
                  <c:v>11.091699999999999</c:v>
                </c:pt>
                <c:pt idx="58">
                  <c:v>10.895299999999999</c:v>
                </c:pt>
                <c:pt idx="59">
                  <c:v>10.716100000000001</c:v>
                </c:pt>
                <c:pt idx="60">
                  <c:v>10.517899999999999</c:v>
                </c:pt>
                <c:pt idx="61">
                  <c:v>10.1465</c:v>
                </c:pt>
                <c:pt idx="62">
                  <c:v>9.8835700000000006</c:v>
                </c:pt>
                <c:pt idx="63">
                  <c:v>9.7229899999999994</c:v>
                </c:pt>
                <c:pt idx="64">
                  <c:v>9.6569400000000005</c:v>
                </c:pt>
                <c:pt idx="65">
                  <c:v>9.5364500000000003</c:v>
                </c:pt>
                <c:pt idx="66">
                  <c:v>9.6499900000000007</c:v>
                </c:pt>
                <c:pt idx="67">
                  <c:v>9.9831799999999991</c:v>
                </c:pt>
                <c:pt idx="68">
                  <c:v>10.5319</c:v>
                </c:pt>
                <c:pt idx="69">
                  <c:v>11.1342</c:v>
                </c:pt>
                <c:pt idx="70">
                  <c:v>11.395</c:v>
                </c:pt>
                <c:pt idx="71">
                  <c:v>11.635900000000001</c:v>
                </c:pt>
                <c:pt idx="72">
                  <c:v>11.454499999999999</c:v>
                </c:pt>
                <c:pt idx="73">
                  <c:v>11.573</c:v>
                </c:pt>
                <c:pt idx="74">
                  <c:v>12.3001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14.941700000000001</c:v>
                </c:pt>
                <c:pt idx="1">
                  <c:v>44.825100000000006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43.224995945945935</c:v>
                </c:pt>
                <c:pt idx="1">
                  <c:v>22.777270540540538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39.346299999999999</c:v>
                </c:pt>
                <c:pt idx="1">
                  <c:v>30.209700000000002</c:v>
                </c:pt>
                <c:pt idx="2">
                  <c:v>35.792900000000003</c:v>
                </c:pt>
                <c:pt idx="3">
                  <c:v>34.887300000000003</c:v>
                </c:pt>
                <c:pt idx="4">
                  <c:v>62.768500000000003</c:v>
                </c:pt>
                <c:pt idx="5">
                  <c:v>74.764399999999995</c:v>
                </c:pt>
                <c:pt idx="6">
                  <c:v>14.9315</c:v>
                </c:pt>
                <c:pt idx="7">
                  <c:v>68.764499999999998</c:v>
                </c:pt>
                <c:pt idx="8">
                  <c:v>14.130699999999999</c:v>
                </c:pt>
                <c:pt idx="9">
                  <c:v>18.192599999999999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44.31</c:v>
                </c:pt>
                <c:pt idx="1">
                  <c:v>29.953800000000001</c:v>
                </c:pt>
                <c:pt idx="2">
                  <c:v>33.226999999999997</c:v>
                </c:pt>
                <c:pt idx="3">
                  <c:v>35.687100000000001</c:v>
                </c:pt>
                <c:pt idx="4">
                  <c:v>55.514499999999998</c:v>
                </c:pt>
                <c:pt idx="5">
                  <c:v>74.682900000000004</c:v>
                </c:pt>
                <c:pt idx="6">
                  <c:v>13.696400000000001</c:v>
                </c:pt>
                <c:pt idx="7">
                  <c:v>65.438199999999995</c:v>
                </c:pt>
                <c:pt idx="8">
                  <c:v>16.971</c:v>
                </c:pt>
                <c:pt idx="9">
                  <c:v>20.7272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0.51918053411816667</c:v>
                </c:pt>
                <c:pt idx="1">
                  <c:v>0.32910666381608389</c:v>
                </c:pt>
                <c:pt idx="2">
                  <c:v>0.15171280206574941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4435</c:v>
                </c:pt>
                <c:pt idx="7">
                  <c:v>0</c:v>
                </c:pt>
                <c:pt idx="8">
                  <c:v>10290</c:v>
                </c:pt>
                <c:pt idx="9">
                  <c:v>0</c:v>
                </c:pt>
                <c:pt idx="10">
                  <c:v>0</c:v>
                </c:pt>
                <c:pt idx="11">
                  <c:v>16017</c:v>
                </c:pt>
                <c:pt idx="12">
                  <c:v>0</c:v>
                </c:pt>
                <c:pt idx="13">
                  <c:v>20776</c:v>
                </c:pt>
                <c:pt idx="14">
                  <c:v>0</c:v>
                </c:pt>
                <c:pt idx="15">
                  <c:v>0</c:v>
                </c:pt>
                <c:pt idx="16">
                  <c:v>28999</c:v>
                </c:pt>
                <c:pt idx="17">
                  <c:v>0</c:v>
                </c:pt>
                <c:pt idx="18">
                  <c:v>0</c:v>
                </c:pt>
                <c:pt idx="19">
                  <c:v>35503</c:v>
                </c:pt>
                <c:pt idx="20">
                  <c:v>0</c:v>
                </c:pt>
                <c:pt idx="21">
                  <c:v>34207</c:v>
                </c:pt>
                <c:pt idx="22">
                  <c:v>0</c:v>
                </c:pt>
                <c:pt idx="23">
                  <c:v>0</c:v>
                </c:pt>
                <c:pt idx="24">
                  <c:v>36424</c:v>
                </c:pt>
                <c:pt idx="25">
                  <c:v>0</c:v>
                </c:pt>
                <c:pt idx="26">
                  <c:v>38973</c:v>
                </c:pt>
                <c:pt idx="27">
                  <c:v>0</c:v>
                </c:pt>
                <c:pt idx="28">
                  <c:v>0</c:v>
                </c:pt>
                <c:pt idx="29">
                  <c:v>41007</c:v>
                </c:pt>
                <c:pt idx="30">
                  <c:v>0</c:v>
                </c:pt>
                <c:pt idx="31">
                  <c:v>42051</c:v>
                </c:pt>
                <c:pt idx="32">
                  <c:v>0</c:v>
                </c:pt>
                <c:pt idx="33">
                  <c:v>0</c:v>
                </c:pt>
                <c:pt idx="34">
                  <c:v>40612</c:v>
                </c:pt>
                <c:pt idx="35">
                  <c:v>0</c:v>
                </c:pt>
                <c:pt idx="36">
                  <c:v>0</c:v>
                </c:pt>
                <c:pt idx="37">
                  <c:v>41845</c:v>
                </c:pt>
                <c:pt idx="38">
                  <c:v>0</c:v>
                </c:pt>
                <c:pt idx="39">
                  <c:v>37931</c:v>
                </c:pt>
                <c:pt idx="40">
                  <c:v>0</c:v>
                </c:pt>
                <c:pt idx="41">
                  <c:v>0</c:v>
                </c:pt>
                <c:pt idx="42">
                  <c:v>38103</c:v>
                </c:pt>
                <c:pt idx="43">
                  <c:v>0</c:v>
                </c:pt>
                <c:pt idx="44">
                  <c:v>35887</c:v>
                </c:pt>
                <c:pt idx="45">
                  <c:v>0</c:v>
                </c:pt>
                <c:pt idx="46">
                  <c:v>0</c:v>
                </c:pt>
                <c:pt idx="47">
                  <c:v>35658</c:v>
                </c:pt>
                <c:pt idx="48">
                  <c:v>0</c:v>
                </c:pt>
                <c:pt idx="49">
                  <c:v>35192</c:v>
                </c:pt>
                <c:pt idx="50">
                  <c:v>0</c:v>
                </c:pt>
                <c:pt idx="51">
                  <c:v>0</c:v>
                </c:pt>
                <c:pt idx="52">
                  <c:v>36788</c:v>
                </c:pt>
                <c:pt idx="53">
                  <c:v>0</c:v>
                </c:pt>
                <c:pt idx="54">
                  <c:v>0</c:v>
                </c:pt>
                <c:pt idx="55">
                  <c:v>33937</c:v>
                </c:pt>
                <c:pt idx="56">
                  <c:v>0</c:v>
                </c:pt>
                <c:pt idx="57">
                  <c:v>29320</c:v>
                </c:pt>
                <c:pt idx="58">
                  <c:v>0</c:v>
                </c:pt>
                <c:pt idx="59">
                  <c:v>0</c:v>
                </c:pt>
                <c:pt idx="60">
                  <c:v>31242</c:v>
                </c:pt>
                <c:pt idx="61">
                  <c:v>0</c:v>
                </c:pt>
                <c:pt idx="62">
                  <c:v>30602</c:v>
                </c:pt>
                <c:pt idx="63">
                  <c:v>0</c:v>
                </c:pt>
                <c:pt idx="64">
                  <c:v>0</c:v>
                </c:pt>
                <c:pt idx="65">
                  <c:v>31717</c:v>
                </c:pt>
                <c:pt idx="66">
                  <c:v>0</c:v>
                </c:pt>
                <c:pt idx="67">
                  <c:v>31640</c:v>
                </c:pt>
                <c:pt idx="68">
                  <c:v>0</c:v>
                </c:pt>
                <c:pt idx="69">
                  <c:v>0</c:v>
                </c:pt>
                <c:pt idx="70">
                  <c:v>34054</c:v>
                </c:pt>
                <c:pt idx="71">
                  <c:v>0</c:v>
                </c:pt>
                <c:pt idx="72">
                  <c:v>0</c:v>
                </c:pt>
                <c:pt idx="73">
                  <c:v>34191</c:v>
                </c:pt>
                <c:pt idx="74">
                  <c:v>0</c:v>
                </c:pt>
                <c:pt idx="75">
                  <c:v>34023</c:v>
                </c:pt>
                <c:pt idx="76">
                  <c:v>0</c:v>
                </c:pt>
                <c:pt idx="77">
                  <c:v>0</c:v>
                </c:pt>
                <c:pt idx="78">
                  <c:v>35361</c:v>
                </c:pt>
                <c:pt idx="79">
                  <c:v>0</c:v>
                </c:pt>
                <c:pt idx="80">
                  <c:v>37209</c:v>
                </c:pt>
                <c:pt idx="81">
                  <c:v>0</c:v>
                </c:pt>
                <c:pt idx="82">
                  <c:v>0</c:v>
                </c:pt>
                <c:pt idx="83">
                  <c:v>38716</c:v>
                </c:pt>
                <c:pt idx="84">
                  <c:v>0</c:v>
                </c:pt>
                <c:pt idx="85">
                  <c:v>0</c:v>
                </c:pt>
                <c:pt idx="86">
                  <c:v>39638</c:v>
                </c:pt>
                <c:pt idx="87">
                  <c:v>0</c:v>
                </c:pt>
                <c:pt idx="88">
                  <c:v>41240</c:v>
                </c:pt>
                <c:pt idx="89">
                  <c:v>0</c:v>
                </c:pt>
                <c:pt idx="90">
                  <c:v>0</c:v>
                </c:pt>
                <c:pt idx="91">
                  <c:v>39192</c:v>
                </c:pt>
                <c:pt idx="92">
                  <c:v>0</c:v>
                </c:pt>
                <c:pt idx="93">
                  <c:v>36156</c:v>
                </c:pt>
                <c:pt idx="94">
                  <c:v>0</c:v>
                </c:pt>
                <c:pt idx="95">
                  <c:v>0</c:v>
                </c:pt>
                <c:pt idx="96">
                  <c:v>34891</c:v>
                </c:pt>
                <c:pt idx="97">
                  <c:v>0</c:v>
                </c:pt>
                <c:pt idx="98">
                  <c:v>29057</c:v>
                </c:pt>
                <c:pt idx="99">
                  <c:v>0</c:v>
                </c:pt>
                <c:pt idx="100">
                  <c:v>0</c:v>
                </c:pt>
                <c:pt idx="101">
                  <c:v>23859</c:v>
                </c:pt>
                <c:pt idx="102">
                  <c:v>0</c:v>
                </c:pt>
                <c:pt idx="103">
                  <c:v>0</c:v>
                </c:pt>
                <c:pt idx="104">
                  <c:v>21227</c:v>
                </c:pt>
                <c:pt idx="105">
                  <c:v>0</c:v>
                </c:pt>
                <c:pt idx="106">
                  <c:v>19279</c:v>
                </c:pt>
                <c:pt idx="107">
                  <c:v>0</c:v>
                </c:pt>
                <c:pt idx="108">
                  <c:v>0</c:v>
                </c:pt>
                <c:pt idx="109">
                  <c:v>15778</c:v>
                </c:pt>
                <c:pt idx="110">
                  <c:v>0</c:v>
                </c:pt>
                <c:pt idx="111">
                  <c:v>11969</c:v>
                </c:pt>
                <c:pt idx="112">
                  <c:v>0</c:v>
                </c:pt>
                <c:pt idx="113">
                  <c:v>0</c:v>
                </c:pt>
                <c:pt idx="114">
                  <c:v>10300</c:v>
                </c:pt>
                <c:pt idx="115">
                  <c:v>0</c:v>
                </c:pt>
                <c:pt idx="116">
                  <c:v>7391</c:v>
                </c:pt>
                <c:pt idx="117">
                  <c:v>0</c:v>
                </c:pt>
                <c:pt idx="118">
                  <c:v>0</c:v>
                </c:pt>
                <c:pt idx="119">
                  <c:v>7331</c:v>
                </c:pt>
                <c:pt idx="120">
                  <c:v>0</c:v>
                </c:pt>
                <c:pt idx="121">
                  <c:v>0</c:v>
                </c:pt>
                <c:pt idx="122">
                  <c:v>5035</c:v>
                </c:pt>
                <c:pt idx="123">
                  <c:v>0</c:v>
                </c:pt>
                <c:pt idx="124">
                  <c:v>5785</c:v>
                </c:pt>
                <c:pt idx="125">
                  <c:v>0</c:v>
                </c:pt>
                <c:pt idx="126">
                  <c:v>0</c:v>
                </c:pt>
                <c:pt idx="127">
                  <c:v>4856</c:v>
                </c:pt>
                <c:pt idx="128">
                  <c:v>0</c:v>
                </c:pt>
                <c:pt idx="129">
                  <c:v>4551</c:v>
                </c:pt>
                <c:pt idx="130">
                  <c:v>0</c:v>
                </c:pt>
                <c:pt idx="131">
                  <c:v>0</c:v>
                </c:pt>
                <c:pt idx="132">
                  <c:v>2807</c:v>
                </c:pt>
                <c:pt idx="133">
                  <c:v>0</c:v>
                </c:pt>
                <c:pt idx="134">
                  <c:v>2310</c:v>
                </c:pt>
                <c:pt idx="135">
                  <c:v>0</c:v>
                </c:pt>
                <c:pt idx="136">
                  <c:v>0</c:v>
                </c:pt>
                <c:pt idx="137">
                  <c:v>3074</c:v>
                </c:pt>
                <c:pt idx="138">
                  <c:v>0</c:v>
                </c:pt>
                <c:pt idx="139">
                  <c:v>0</c:v>
                </c:pt>
                <c:pt idx="140">
                  <c:v>3151</c:v>
                </c:pt>
                <c:pt idx="141">
                  <c:v>0</c:v>
                </c:pt>
                <c:pt idx="142">
                  <c:v>1740</c:v>
                </c:pt>
                <c:pt idx="143">
                  <c:v>0</c:v>
                </c:pt>
                <c:pt idx="144">
                  <c:v>0</c:v>
                </c:pt>
                <c:pt idx="145">
                  <c:v>1314</c:v>
                </c:pt>
                <c:pt idx="146">
                  <c:v>0</c:v>
                </c:pt>
                <c:pt idx="147">
                  <c:v>400</c:v>
                </c:pt>
                <c:pt idx="148">
                  <c:v>0</c:v>
                </c:pt>
                <c:pt idx="149">
                  <c:v>0</c:v>
                </c:pt>
                <c:pt idx="150">
                  <c:v>234</c:v>
                </c:pt>
                <c:pt idx="151">
                  <c:v>0</c:v>
                </c:pt>
                <c:pt idx="152">
                  <c:v>377</c:v>
                </c:pt>
                <c:pt idx="153">
                  <c:v>0</c:v>
                </c:pt>
                <c:pt idx="154">
                  <c:v>0</c:v>
                </c:pt>
                <c:pt idx="155">
                  <c:v>566</c:v>
                </c:pt>
                <c:pt idx="156">
                  <c:v>0</c:v>
                </c:pt>
                <c:pt idx="157">
                  <c:v>0</c:v>
                </c:pt>
                <c:pt idx="158">
                  <c:v>574</c:v>
                </c:pt>
                <c:pt idx="159">
                  <c:v>0</c:v>
                </c:pt>
                <c:pt idx="160">
                  <c:v>144</c:v>
                </c:pt>
                <c:pt idx="161">
                  <c:v>0</c:v>
                </c:pt>
                <c:pt idx="162">
                  <c:v>0</c:v>
                </c:pt>
                <c:pt idx="163">
                  <c:v>49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873</c:v>
                </c:pt>
                <c:pt idx="7">
                  <c:v>0</c:v>
                </c:pt>
                <c:pt idx="8">
                  <c:v>2969</c:v>
                </c:pt>
                <c:pt idx="9">
                  <c:v>0</c:v>
                </c:pt>
                <c:pt idx="10">
                  <c:v>0</c:v>
                </c:pt>
                <c:pt idx="11">
                  <c:v>10410</c:v>
                </c:pt>
                <c:pt idx="12">
                  <c:v>0</c:v>
                </c:pt>
                <c:pt idx="13">
                  <c:v>24089</c:v>
                </c:pt>
                <c:pt idx="14">
                  <c:v>0</c:v>
                </c:pt>
                <c:pt idx="15">
                  <c:v>0</c:v>
                </c:pt>
                <c:pt idx="16">
                  <c:v>35957</c:v>
                </c:pt>
                <c:pt idx="17">
                  <c:v>0</c:v>
                </c:pt>
                <c:pt idx="18">
                  <c:v>0</c:v>
                </c:pt>
                <c:pt idx="19">
                  <c:v>34521</c:v>
                </c:pt>
                <c:pt idx="20">
                  <c:v>0</c:v>
                </c:pt>
                <c:pt idx="21">
                  <c:v>34552</c:v>
                </c:pt>
                <c:pt idx="22">
                  <c:v>0</c:v>
                </c:pt>
                <c:pt idx="23">
                  <c:v>0</c:v>
                </c:pt>
                <c:pt idx="24">
                  <c:v>35028</c:v>
                </c:pt>
                <c:pt idx="25">
                  <c:v>0</c:v>
                </c:pt>
                <c:pt idx="26">
                  <c:v>33560</c:v>
                </c:pt>
                <c:pt idx="27">
                  <c:v>0</c:v>
                </c:pt>
                <c:pt idx="28">
                  <c:v>0</c:v>
                </c:pt>
                <c:pt idx="29">
                  <c:v>31602</c:v>
                </c:pt>
                <c:pt idx="30">
                  <c:v>0</c:v>
                </c:pt>
                <c:pt idx="31">
                  <c:v>31586</c:v>
                </c:pt>
                <c:pt idx="32">
                  <c:v>0</c:v>
                </c:pt>
                <c:pt idx="33">
                  <c:v>0</c:v>
                </c:pt>
                <c:pt idx="34">
                  <c:v>30092</c:v>
                </c:pt>
                <c:pt idx="35">
                  <c:v>0</c:v>
                </c:pt>
                <c:pt idx="36">
                  <c:v>0</c:v>
                </c:pt>
                <c:pt idx="37">
                  <c:v>29909</c:v>
                </c:pt>
                <c:pt idx="38">
                  <c:v>0</c:v>
                </c:pt>
                <c:pt idx="39">
                  <c:v>28546</c:v>
                </c:pt>
                <c:pt idx="40">
                  <c:v>0</c:v>
                </c:pt>
                <c:pt idx="41">
                  <c:v>0</c:v>
                </c:pt>
                <c:pt idx="42">
                  <c:v>26303</c:v>
                </c:pt>
                <c:pt idx="43">
                  <c:v>0</c:v>
                </c:pt>
                <c:pt idx="44">
                  <c:v>25796</c:v>
                </c:pt>
                <c:pt idx="45">
                  <c:v>0</c:v>
                </c:pt>
                <c:pt idx="46">
                  <c:v>0</c:v>
                </c:pt>
                <c:pt idx="47">
                  <c:v>27718</c:v>
                </c:pt>
                <c:pt idx="48">
                  <c:v>0</c:v>
                </c:pt>
                <c:pt idx="49">
                  <c:v>28047</c:v>
                </c:pt>
                <c:pt idx="50">
                  <c:v>0</c:v>
                </c:pt>
                <c:pt idx="51">
                  <c:v>0</c:v>
                </c:pt>
                <c:pt idx="52">
                  <c:v>31324</c:v>
                </c:pt>
                <c:pt idx="53">
                  <c:v>0</c:v>
                </c:pt>
                <c:pt idx="54">
                  <c:v>0</c:v>
                </c:pt>
                <c:pt idx="55">
                  <c:v>32352</c:v>
                </c:pt>
                <c:pt idx="56">
                  <c:v>0</c:v>
                </c:pt>
                <c:pt idx="57">
                  <c:v>31267</c:v>
                </c:pt>
                <c:pt idx="58">
                  <c:v>0</c:v>
                </c:pt>
                <c:pt idx="59">
                  <c:v>0</c:v>
                </c:pt>
                <c:pt idx="60">
                  <c:v>30808</c:v>
                </c:pt>
                <c:pt idx="61">
                  <c:v>0</c:v>
                </c:pt>
                <c:pt idx="62">
                  <c:v>30919</c:v>
                </c:pt>
                <c:pt idx="63">
                  <c:v>0</c:v>
                </c:pt>
                <c:pt idx="64">
                  <c:v>0</c:v>
                </c:pt>
                <c:pt idx="65">
                  <c:v>29432</c:v>
                </c:pt>
                <c:pt idx="66">
                  <c:v>0</c:v>
                </c:pt>
                <c:pt idx="67">
                  <c:v>31052</c:v>
                </c:pt>
                <c:pt idx="68">
                  <c:v>0</c:v>
                </c:pt>
                <c:pt idx="69">
                  <c:v>0</c:v>
                </c:pt>
                <c:pt idx="70">
                  <c:v>32548</c:v>
                </c:pt>
                <c:pt idx="71">
                  <c:v>0</c:v>
                </c:pt>
                <c:pt idx="72">
                  <c:v>0</c:v>
                </c:pt>
                <c:pt idx="73">
                  <c:v>35262</c:v>
                </c:pt>
                <c:pt idx="74">
                  <c:v>0</c:v>
                </c:pt>
                <c:pt idx="75">
                  <c:v>36449</c:v>
                </c:pt>
                <c:pt idx="76">
                  <c:v>0</c:v>
                </c:pt>
                <c:pt idx="77">
                  <c:v>0</c:v>
                </c:pt>
                <c:pt idx="78">
                  <c:v>39221</c:v>
                </c:pt>
                <c:pt idx="79">
                  <c:v>0</c:v>
                </c:pt>
                <c:pt idx="80">
                  <c:v>41860</c:v>
                </c:pt>
                <c:pt idx="81">
                  <c:v>0</c:v>
                </c:pt>
                <c:pt idx="82">
                  <c:v>0</c:v>
                </c:pt>
                <c:pt idx="83">
                  <c:v>44327</c:v>
                </c:pt>
                <c:pt idx="84">
                  <c:v>0</c:v>
                </c:pt>
                <c:pt idx="85">
                  <c:v>0</c:v>
                </c:pt>
                <c:pt idx="86">
                  <c:v>43129</c:v>
                </c:pt>
                <c:pt idx="87">
                  <c:v>0</c:v>
                </c:pt>
                <c:pt idx="88">
                  <c:v>44764</c:v>
                </c:pt>
                <c:pt idx="89">
                  <c:v>0</c:v>
                </c:pt>
                <c:pt idx="90">
                  <c:v>0</c:v>
                </c:pt>
                <c:pt idx="91">
                  <c:v>42290</c:v>
                </c:pt>
                <c:pt idx="92">
                  <c:v>0</c:v>
                </c:pt>
                <c:pt idx="93">
                  <c:v>40014</c:v>
                </c:pt>
                <c:pt idx="94">
                  <c:v>0</c:v>
                </c:pt>
                <c:pt idx="95">
                  <c:v>0</c:v>
                </c:pt>
                <c:pt idx="96">
                  <c:v>38208</c:v>
                </c:pt>
                <c:pt idx="97">
                  <c:v>0</c:v>
                </c:pt>
                <c:pt idx="98">
                  <c:v>34650</c:v>
                </c:pt>
                <c:pt idx="99">
                  <c:v>0</c:v>
                </c:pt>
                <c:pt idx="100">
                  <c:v>0</c:v>
                </c:pt>
                <c:pt idx="101">
                  <c:v>30104</c:v>
                </c:pt>
                <c:pt idx="102">
                  <c:v>0</c:v>
                </c:pt>
                <c:pt idx="103">
                  <c:v>0</c:v>
                </c:pt>
                <c:pt idx="104">
                  <c:v>29683</c:v>
                </c:pt>
                <c:pt idx="105">
                  <c:v>0</c:v>
                </c:pt>
                <c:pt idx="106">
                  <c:v>25786</c:v>
                </c:pt>
                <c:pt idx="107">
                  <c:v>0</c:v>
                </c:pt>
                <c:pt idx="108">
                  <c:v>0</c:v>
                </c:pt>
                <c:pt idx="109">
                  <c:v>21679</c:v>
                </c:pt>
                <c:pt idx="110">
                  <c:v>0</c:v>
                </c:pt>
                <c:pt idx="111">
                  <c:v>17821</c:v>
                </c:pt>
                <c:pt idx="112">
                  <c:v>0</c:v>
                </c:pt>
                <c:pt idx="113">
                  <c:v>0</c:v>
                </c:pt>
                <c:pt idx="114">
                  <c:v>17525</c:v>
                </c:pt>
                <c:pt idx="115">
                  <c:v>0</c:v>
                </c:pt>
                <c:pt idx="116">
                  <c:v>13334</c:v>
                </c:pt>
                <c:pt idx="117">
                  <c:v>0</c:v>
                </c:pt>
                <c:pt idx="118">
                  <c:v>0</c:v>
                </c:pt>
                <c:pt idx="119">
                  <c:v>15489</c:v>
                </c:pt>
                <c:pt idx="120">
                  <c:v>0</c:v>
                </c:pt>
                <c:pt idx="121">
                  <c:v>0</c:v>
                </c:pt>
                <c:pt idx="122">
                  <c:v>13670</c:v>
                </c:pt>
                <c:pt idx="123">
                  <c:v>0</c:v>
                </c:pt>
                <c:pt idx="124">
                  <c:v>12838</c:v>
                </c:pt>
                <c:pt idx="125">
                  <c:v>0</c:v>
                </c:pt>
                <c:pt idx="126">
                  <c:v>0</c:v>
                </c:pt>
                <c:pt idx="127">
                  <c:v>11523</c:v>
                </c:pt>
                <c:pt idx="128">
                  <c:v>0</c:v>
                </c:pt>
                <c:pt idx="129">
                  <c:v>10689</c:v>
                </c:pt>
                <c:pt idx="130">
                  <c:v>0</c:v>
                </c:pt>
                <c:pt idx="131">
                  <c:v>0</c:v>
                </c:pt>
                <c:pt idx="132">
                  <c:v>10350</c:v>
                </c:pt>
                <c:pt idx="133">
                  <c:v>0</c:v>
                </c:pt>
                <c:pt idx="134">
                  <c:v>10585</c:v>
                </c:pt>
                <c:pt idx="135">
                  <c:v>0</c:v>
                </c:pt>
                <c:pt idx="136">
                  <c:v>0</c:v>
                </c:pt>
                <c:pt idx="137">
                  <c:v>6885</c:v>
                </c:pt>
                <c:pt idx="138">
                  <c:v>0</c:v>
                </c:pt>
                <c:pt idx="139">
                  <c:v>0</c:v>
                </c:pt>
                <c:pt idx="140">
                  <c:v>6878</c:v>
                </c:pt>
                <c:pt idx="141">
                  <c:v>0</c:v>
                </c:pt>
                <c:pt idx="142">
                  <c:v>5645</c:v>
                </c:pt>
                <c:pt idx="143">
                  <c:v>0</c:v>
                </c:pt>
                <c:pt idx="144">
                  <c:v>0</c:v>
                </c:pt>
                <c:pt idx="145">
                  <c:v>6727</c:v>
                </c:pt>
                <c:pt idx="146">
                  <c:v>0</c:v>
                </c:pt>
                <c:pt idx="147">
                  <c:v>4994</c:v>
                </c:pt>
                <c:pt idx="148">
                  <c:v>0</c:v>
                </c:pt>
                <c:pt idx="149">
                  <c:v>0</c:v>
                </c:pt>
                <c:pt idx="150">
                  <c:v>5376</c:v>
                </c:pt>
                <c:pt idx="151">
                  <c:v>0</c:v>
                </c:pt>
                <c:pt idx="152">
                  <c:v>5436</c:v>
                </c:pt>
                <c:pt idx="153">
                  <c:v>0</c:v>
                </c:pt>
                <c:pt idx="154">
                  <c:v>0</c:v>
                </c:pt>
                <c:pt idx="155">
                  <c:v>5778</c:v>
                </c:pt>
                <c:pt idx="156">
                  <c:v>0</c:v>
                </c:pt>
                <c:pt idx="157">
                  <c:v>0</c:v>
                </c:pt>
                <c:pt idx="158">
                  <c:v>4347</c:v>
                </c:pt>
                <c:pt idx="159">
                  <c:v>0</c:v>
                </c:pt>
                <c:pt idx="160">
                  <c:v>3258</c:v>
                </c:pt>
                <c:pt idx="161">
                  <c:v>0</c:v>
                </c:pt>
                <c:pt idx="162">
                  <c:v>0</c:v>
                </c:pt>
                <c:pt idx="163">
                  <c:v>2902</c:v>
                </c:pt>
                <c:pt idx="164">
                  <c:v>0</c:v>
                </c:pt>
                <c:pt idx="165">
                  <c:v>2970</c:v>
                </c:pt>
                <c:pt idx="166">
                  <c:v>0</c:v>
                </c:pt>
                <c:pt idx="167">
                  <c:v>0</c:v>
                </c:pt>
                <c:pt idx="168">
                  <c:v>3220</c:v>
                </c:pt>
                <c:pt idx="169">
                  <c:v>0</c:v>
                </c:pt>
                <c:pt idx="170">
                  <c:v>0</c:v>
                </c:pt>
                <c:pt idx="171">
                  <c:v>2751</c:v>
                </c:pt>
                <c:pt idx="172">
                  <c:v>0</c:v>
                </c:pt>
                <c:pt idx="173">
                  <c:v>3034</c:v>
                </c:pt>
                <c:pt idx="174">
                  <c:v>0</c:v>
                </c:pt>
                <c:pt idx="175">
                  <c:v>0</c:v>
                </c:pt>
                <c:pt idx="176">
                  <c:v>4766</c:v>
                </c:pt>
                <c:pt idx="177">
                  <c:v>0</c:v>
                </c:pt>
                <c:pt idx="178">
                  <c:v>4241</c:v>
                </c:pt>
                <c:pt idx="179">
                  <c:v>0</c:v>
                </c:pt>
                <c:pt idx="180">
                  <c:v>0</c:v>
                </c:pt>
                <c:pt idx="181">
                  <c:v>2287</c:v>
                </c:pt>
                <c:pt idx="182">
                  <c:v>0</c:v>
                </c:pt>
                <c:pt idx="183">
                  <c:v>263</c:v>
                </c:pt>
                <c:pt idx="184">
                  <c:v>0</c:v>
                </c:pt>
                <c:pt idx="185">
                  <c:v>0</c:v>
                </c:pt>
                <c:pt idx="186">
                  <c:v>677</c:v>
                </c:pt>
                <c:pt idx="187">
                  <c:v>0</c:v>
                </c:pt>
                <c:pt idx="188">
                  <c:v>0</c:v>
                </c:pt>
                <c:pt idx="189">
                  <c:v>696</c:v>
                </c:pt>
                <c:pt idx="190">
                  <c:v>0</c:v>
                </c:pt>
                <c:pt idx="191">
                  <c:v>141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0.26083815733969679</c:v>
                </c:pt>
                <c:pt idx="1">
                  <c:v>0.25689782028237829</c:v>
                </c:pt>
                <c:pt idx="2">
                  <c:v>0.48226402237792498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0.4892005562900103</c:v>
                </c:pt>
                <c:pt idx="1">
                  <c:v>0.33460105635275766</c:v>
                </c:pt>
                <c:pt idx="2">
                  <c:v>0.17619838735723217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5.5426899999999995</c:v>
                </c:pt>
                <c:pt idx="1">
                  <c:v>6.6109200000000001</c:v>
                </c:pt>
                <c:pt idx="2">
                  <c:v>23.928199999999997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0.41066399999999997</c:v>
                </c:pt>
                <c:pt idx="2">
                  <c:v>0.81453900000000001</c:v>
                </c:pt>
                <c:pt idx="3">
                  <c:v>1.2194199999999999</c:v>
                </c:pt>
                <c:pt idx="4">
                  <c:v>1.6248400000000001</c:v>
                </c:pt>
                <c:pt idx="5">
                  <c:v>2.0305300000000002</c:v>
                </c:pt>
                <c:pt idx="6">
                  <c:v>2.43926</c:v>
                </c:pt>
                <c:pt idx="7">
                  <c:v>2.8451399999999998</c:v>
                </c:pt>
                <c:pt idx="8">
                  <c:v>3.25</c:v>
                </c:pt>
                <c:pt idx="9">
                  <c:v>3.65828</c:v>
                </c:pt>
                <c:pt idx="10">
                  <c:v>4.0623300000000002</c:v>
                </c:pt>
                <c:pt idx="11">
                  <c:v>4.4717399999999996</c:v>
                </c:pt>
                <c:pt idx="12">
                  <c:v>4.87676</c:v>
                </c:pt>
                <c:pt idx="13">
                  <c:v>5.2816299999999998</c:v>
                </c:pt>
                <c:pt idx="14">
                  <c:v>5.6876499999999997</c:v>
                </c:pt>
                <c:pt idx="15">
                  <c:v>6.0931300000000004</c:v>
                </c:pt>
                <c:pt idx="16">
                  <c:v>6.4990500000000004</c:v>
                </c:pt>
                <c:pt idx="17">
                  <c:v>6.9080899999999996</c:v>
                </c:pt>
                <c:pt idx="18">
                  <c:v>7.3121499999999999</c:v>
                </c:pt>
                <c:pt idx="19">
                  <c:v>7.7202200000000003</c:v>
                </c:pt>
                <c:pt idx="20">
                  <c:v>8.1249900000000004</c:v>
                </c:pt>
                <c:pt idx="21">
                  <c:v>8.5328900000000001</c:v>
                </c:pt>
                <c:pt idx="22">
                  <c:v>8.9390000000000001</c:v>
                </c:pt>
                <c:pt idx="23">
                  <c:v>9.3433299999999999</c:v>
                </c:pt>
                <c:pt idx="24">
                  <c:v>9.7476000000000003</c:v>
                </c:pt>
                <c:pt idx="25">
                  <c:v>10.1568</c:v>
                </c:pt>
                <c:pt idx="26">
                  <c:v>10.5656</c:v>
                </c:pt>
                <c:pt idx="27">
                  <c:v>10.971399999999999</c:v>
                </c:pt>
                <c:pt idx="28">
                  <c:v>11.3742</c:v>
                </c:pt>
                <c:pt idx="29">
                  <c:v>11.7789</c:v>
                </c:pt>
                <c:pt idx="30">
                  <c:v>12.1881</c:v>
                </c:pt>
                <c:pt idx="31">
                  <c:v>12.594099999999999</c:v>
                </c:pt>
                <c:pt idx="32">
                  <c:v>13.001200000000001</c:v>
                </c:pt>
                <c:pt idx="33">
                  <c:v>13.407999999999999</c:v>
                </c:pt>
                <c:pt idx="34">
                  <c:v>13.8133</c:v>
                </c:pt>
                <c:pt idx="35">
                  <c:v>14.2187</c:v>
                </c:pt>
                <c:pt idx="36">
                  <c:v>14.623900000000001</c:v>
                </c:pt>
                <c:pt idx="37">
                  <c:v>15.0313</c:v>
                </c:pt>
                <c:pt idx="38">
                  <c:v>15.4414</c:v>
                </c:pt>
                <c:pt idx="39">
                  <c:v>15.8454</c:v>
                </c:pt>
                <c:pt idx="40">
                  <c:v>16.2502</c:v>
                </c:pt>
                <c:pt idx="41">
                  <c:v>16.658899999999999</c:v>
                </c:pt>
                <c:pt idx="42">
                  <c:v>17.061299999999999</c:v>
                </c:pt>
                <c:pt idx="43">
                  <c:v>17.4678</c:v>
                </c:pt>
                <c:pt idx="44">
                  <c:v>17.876799999999999</c:v>
                </c:pt>
                <c:pt idx="45">
                  <c:v>18.2852</c:v>
                </c:pt>
                <c:pt idx="46">
                  <c:v>18.687999999999999</c:v>
                </c:pt>
                <c:pt idx="47">
                  <c:v>19.0929</c:v>
                </c:pt>
                <c:pt idx="48">
                  <c:v>19.502800000000001</c:v>
                </c:pt>
                <c:pt idx="49">
                  <c:v>19.906400000000001</c:v>
                </c:pt>
                <c:pt idx="50">
                  <c:v>20.311699999999998</c:v>
                </c:pt>
                <c:pt idx="51">
                  <c:v>20.718499999999999</c:v>
                </c:pt>
                <c:pt idx="52">
                  <c:v>21.125499999999999</c:v>
                </c:pt>
                <c:pt idx="53">
                  <c:v>21.532499999999999</c:v>
                </c:pt>
                <c:pt idx="54">
                  <c:v>21.9406</c:v>
                </c:pt>
                <c:pt idx="55">
                  <c:v>22.347200000000001</c:v>
                </c:pt>
                <c:pt idx="56">
                  <c:v>22.7483</c:v>
                </c:pt>
                <c:pt idx="57">
                  <c:v>23.1584</c:v>
                </c:pt>
                <c:pt idx="58">
                  <c:v>23.5626</c:v>
                </c:pt>
                <c:pt idx="59">
                  <c:v>23.972000000000001</c:v>
                </c:pt>
                <c:pt idx="60">
                  <c:v>24.376899999999999</c:v>
                </c:pt>
                <c:pt idx="61">
                  <c:v>24.78</c:v>
                </c:pt>
                <c:pt idx="62">
                  <c:v>25.1877</c:v>
                </c:pt>
                <c:pt idx="63">
                  <c:v>25.592700000000001</c:v>
                </c:pt>
                <c:pt idx="64">
                  <c:v>26.003399999999999</c:v>
                </c:pt>
                <c:pt idx="65">
                  <c:v>26.4053</c:v>
                </c:pt>
                <c:pt idx="66">
                  <c:v>26.811299999999999</c:v>
                </c:pt>
                <c:pt idx="67">
                  <c:v>27.222200000000001</c:v>
                </c:pt>
                <c:pt idx="68">
                  <c:v>27.627600000000001</c:v>
                </c:pt>
                <c:pt idx="69">
                  <c:v>28.0304</c:v>
                </c:pt>
                <c:pt idx="70">
                  <c:v>28.439399999999999</c:v>
                </c:pt>
                <c:pt idx="71">
                  <c:v>28.8432</c:v>
                </c:pt>
                <c:pt idx="72">
                  <c:v>29.250800000000002</c:v>
                </c:pt>
                <c:pt idx="73">
                  <c:v>29.657800000000002</c:v>
                </c:pt>
                <c:pt idx="74">
                  <c:v>30.060600000000001</c:v>
                </c:pt>
                <c:pt idx="75">
                  <c:v>30.5306</c:v>
                </c:pt>
                <c:pt idx="76">
                  <c:v>30.936599999999999</c:v>
                </c:pt>
                <c:pt idx="77">
                  <c:v>31.328499999999998</c:v>
                </c:pt>
                <c:pt idx="78">
                  <c:v>31.735199999999999</c:v>
                </c:pt>
                <c:pt idx="79">
                  <c:v>32.148000000000003</c:v>
                </c:pt>
                <c:pt idx="80">
                  <c:v>32.546999999999997</c:v>
                </c:pt>
                <c:pt idx="81">
                  <c:v>32.958799999999997</c:v>
                </c:pt>
                <c:pt idx="82">
                  <c:v>33.362699999999997</c:v>
                </c:pt>
                <c:pt idx="83">
                  <c:v>33.766800000000003</c:v>
                </c:pt>
                <c:pt idx="84">
                  <c:v>34.177599999999998</c:v>
                </c:pt>
                <c:pt idx="85">
                  <c:v>34.583500000000001</c:v>
                </c:pt>
                <c:pt idx="86">
                  <c:v>34.985599999999998</c:v>
                </c:pt>
                <c:pt idx="87">
                  <c:v>35.392600000000002</c:v>
                </c:pt>
                <c:pt idx="88">
                  <c:v>35.796199999999999</c:v>
                </c:pt>
                <c:pt idx="89">
                  <c:v>36.206499999999998</c:v>
                </c:pt>
                <c:pt idx="90">
                  <c:v>36.611400000000003</c:v>
                </c:pt>
                <c:pt idx="91">
                  <c:v>37.018900000000002</c:v>
                </c:pt>
                <c:pt idx="92">
                  <c:v>37.420900000000003</c:v>
                </c:pt>
                <c:pt idx="93">
                  <c:v>37.825299999999999</c:v>
                </c:pt>
                <c:pt idx="94">
                  <c:v>38.234999999999999</c:v>
                </c:pt>
                <c:pt idx="95">
                  <c:v>38.642600000000002</c:v>
                </c:pt>
                <c:pt idx="96">
                  <c:v>39.048499999999997</c:v>
                </c:pt>
                <c:pt idx="97">
                  <c:v>39.455500000000001</c:v>
                </c:pt>
                <c:pt idx="98">
                  <c:v>39.859200000000001</c:v>
                </c:pt>
                <c:pt idx="99">
                  <c:v>40.266500000000001</c:v>
                </c:pt>
                <c:pt idx="100">
                  <c:v>40.671100000000003</c:v>
                </c:pt>
                <c:pt idx="101">
                  <c:v>41.078200000000002</c:v>
                </c:pt>
                <c:pt idx="102">
                  <c:v>41.484099999999998</c:v>
                </c:pt>
                <c:pt idx="103">
                  <c:v>41.8902</c:v>
                </c:pt>
                <c:pt idx="104">
                  <c:v>42.2958</c:v>
                </c:pt>
                <c:pt idx="105">
                  <c:v>42.702800000000003</c:v>
                </c:pt>
                <c:pt idx="106">
                  <c:v>43.110199999999999</c:v>
                </c:pt>
                <c:pt idx="107">
                  <c:v>43.515599999999999</c:v>
                </c:pt>
                <c:pt idx="108">
                  <c:v>43.924599999999998</c:v>
                </c:pt>
                <c:pt idx="109">
                  <c:v>44.329300000000003</c:v>
                </c:pt>
                <c:pt idx="110">
                  <c:v>44.735300000000002</c:v>
                </c:pt>
                <c:pt idx="111">
                  <c:v>45.140599999999999</c:v>
                </c:pt>
                <c:pt idx="112">
                  <c:v>45.547600000000003</c:v>
                </c:pt>
                <c:pt idx="113">
                  <c:v>45.956000000000003</c:v>
                </c:pt>
                <c:pt idx="114">
                  <c:v>46.363</c:v>
                </c:pt>
                <c:pt idx="115">
                  <c:v>46.767899999999997</c:v>
                </c:pt>
                <c:pt idx="116">
                  <c:v>47.174999999999997</c:v>
                </c:pt>
                <c:pt idx="117">
                  <c:v>47.580800000000004</c:v>
                </c:pt>
                <c:pt idx="118">
                  <c:v>47.984999999999999</c:v>
                </c:pt>
                <c:pt idx="119">
                  <c:v>48.394500000000001</c:v>
                </c:pt>
                <c:pt idx="120">
                  <c:v>48.795499999999997</c:v>
                </c:pt>
                <c:pt idx="121">
                  <c:v>49.202199999999998</c:v>
                </c:pt>
                <c:pt idx="122">
                  <c:v>49.609400000000001</c:v>
                </c:pt>
                <c:pt idx="123">
                  <c:v>50.015000000000001</c:v>
                </c:pt>
                <c:pt idx="124">
                  <c:v>50.423099999999998</c:v>
                </c:pt>
                <c:pt idx="125">
                  <c:v>50.83</c:v>
                </c:pt>
                <c:pt idx="126">
                  <c:v>51.234900000000003</c:v>
                </c:pt>
                <c:pt idx="127">
                  <c:v>51.643000000000001</c:v>
                </c:pt>
                <c:pt idx="128">
                  <c:v>52.050699999999999</c:v>
                </c:pt>
                <c:pt idx="129">
                  <c:v>52.463900000000002</c:v>
                </c:pt>
                <c:pt idx="130">
                  <c:v>52.860700000000001</c:v>
                </c:pt>
                <c:pt idx="131">
                  <c:v>53.264200000000002</c:v>
                </c:pt>
                <c:pt idx="132">
                  <c:v>53.6736</c:v>
                </c:pt>
                <c:pt idx="133">
                  <c:v>54.081099999999999</c:v>
                </c:pt>
                <c:pt idx="134">
                  <c:v>54.4893</c:v>
                </c:pt>
                <c:pt idx="135">
                  <c:v>54.890599999999999</c:v>
                </c:pt>
                <c:pt idx="136">
                  <c:v>55.295699999999997</c:v>
                </c:pt>
                <c:pt idx="137">
                  <c:v>55.703899999999997</c:v>
                </c:pt>
                <c:pt idx="138">
                  <c:v>56.11</c:v>
                </c:pt>
                <c:pt idx="139">
                  <c:v>56.518999999999998</c:v>
                </c:pt>
                <c:pt idx="140">
                  <c:v>56.927900000000001</c:v>
                </c:pt>
                <c:pt idx="141">
                  <c:v>57.332799999999999</c:v>
                </c:pt>
                <c:pt idx="142">
                  <c:v>57.738700000000001</c:v>
                </c:pt>
                <c:pt idx="143">
                  <c:v>58.143599999999999</c:v>
                </c:pt>
                <c:pt idx="144">
                  <c:v>58.5441</c:v>
                </c:pt>
                <c:pt idx="145">
                  <c:v>58.959499999999998</c:v>
                </c:pt>
                <c:pt idx="146">
                  <c:v>59.358600000000003</c:v>
                </c:pt>
                <c:pt idx="147">
                  <c:v>59.766800000000003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1.55447</c:v>
                </c:pt>
                <c:pt idx="1">
                  <c:v>1.60964</c:v>
                </c:pt>
                <c:pt idx="2">
                  <c:v>1.6647400000000001</c:v>
                </c:pt>
                <c:pt idx="3">
                  <c:v>1.7183599999999999</c:v>
                </c:pt>
                <c:pt idx="4">
                  <c:v>1.7709600000000001</c:v>
                </c:pt>
                <c:pt idx="5">
                  <c:v>1.8215400000000002</c:v>
                </c:pt>
                <c:pt idx="6">
                  <c:v>1.8706200000000002</c:v>
                </c:pt>
                <c:pt idx="7">
                  <c:v>1.9209000000000001</c:v>
                </c:pt>
                <c:pt idx="8">
                  <c:v>1.9701299999999999</c:v>
                </c:pt>
                <c:pt idx="9">
                  <c:v>2.0217099999999997</c:v>
                </c:pt>
                <c:pt idx="10">
                  <c:v>2.0731999999999999</c:v>
                </c:pt>
                <c:pt idx="11">
                  <c:v>2.1233200000000001</c:v>
                </c:pt>
                <c:pt idx="12">
                  <c:v>2.1724199999999998</c:v>
                </c:pt>
                <c:pt idx="13">
                  <c:v>2.2232699999999999</c:v>
                </c:pt>
                <c:pt idx="14">
                  <c:v>2.2729499999999998</c:v>
                </c:pt>
                <c:pt idx="15">
                  <c:v>2.3189199999999999</c:v>
                </c:pt>
                <c:pt idx="16">
                  <c:v>2.3625699999999998</c:v>
                </c:pt>
                <c:pt idx="17">
                  <c:v>2.4040699999999999</c:v>
                </c:pt>
                <c:pt idx="18">
                  <c:v>2.4443999999999999</c:v>
                </c:pt>
                <c:pt idx="19">
                  <c:v>2.4820199999999999</c:v>
                </c:pt>
                <c:pt idx="20">
                  <c:v>2.5172499999999998</c:v>
                </c:pt>
                <c:pt idx="21">
                  <c:v>2.5513200000000005</c:v>
                </c:pt>
                <c:pt idx="22">
                  <c:v>2.5830900000000003</c:v>
                </c:pt>
                <c:pt idx="23">
                  <c:v>2.61226</c:v>
                </c:pt>
                <c:pt idx="24">
                  <c:v>2.6382299999999996</c:v>
                </c:pt>
                <c:pt idx="25">
                  <c:v>2.6618999999999997</c:v>
                </c:pt>
                <c:pt idx="26">
                  <c:v>2.6841200000000001</c:v>
                </c:pt>
                <c:pt idx="27">
                  <c:v>2.7047300000000001</c:v>
                </c:pt>
                <c:pt idx="28">
                  <c:v>2.7236900000000004</c:v>
                </c:pt>
                <c:pt idx="29">
                  <c:v>2.7385900000000003</c:v>
                </c:pt>
                <c:pt idx="30">
                  <c:v>2.7532299999999998</c:v>
                </c:pt>
                <c:pt idx="31">
                  <c:v>2.7678500000000001</c:v>
                </c:pt>
                <c:pt idx="32">
                  <c:v>2.78078</c:v>
                </c:pt>
                <c:pt idx="33">
                  <c:v>2.7928999999999999</c:v>
                </c:pt>
                <c:pt idx="34">
                  <c:v>2.80307</c:v>
                </c:pt>
                <c:pt idx="35">
                  <c:v>2.8090100000000002</c:v>
                </c:pt>
                <c:pt idx="36">
                  <c:v>2.81345</c:v>
                </c:pt>
                <c:pt idx="37">
                  <c:v>2.8183999999999996</c:v>
                </c:pt>
                <c:pt idx="38">
                  <c:v>2.8203299999999998</c:v>
                </c:pt>
                <c:pt idx="39">
                  <c:v>2.8234900000000001</c:v>
                </c:pt>
                <c:pt idx="40">
                  <c:v>2.8265200000000004</c:v>
                </c:pt>
                <c:pt idx="41">
                  <c:v>2.82667</c:v>
                </c:pt>
                <c:pt idx="42">
                  <c:v>2.8246599999999997</c:v>
                </c:pt>
                <c:pt idx="43">
                  <c:v>2.8225099999999999</c:v>
                </c:pt>
                <c:pt idx="44">
                  <c:v>2.8188400000000002</c:v>
                </c:pt>
                <c:pt idx="45">
                  <c:v>2.8151599999999997</c:v>
                </c:pt>
                <c:pt idx="46">
                  <c:v>2.8100399999999999</c:v>
                </c:pt>
                <c:pt idx="47">
                  <c:v>2.8053299999999997</c:v>
                </c:pt>
                <c:pt idx="48">
                  <c:v>2.7993800000000002</c:v>
                </c:pt>
                <c:pt idx="49">
                  <c:v>2.7942400000000003</c:v>
                </c:pt>
                <c:pt idx="50">
                  <c:v>2.7913100000000002</c:v>
                </c:pt>
                <c:pt idx="51">
                  <c:v>2.7868900000000001</c:v>
                </c:pt>
                <c:pt idx="52">
                  <c:v>2.7814399999999999</c:v>
                </c:pt>
                <c:pt idx="53">
                  <c:v>2.77711</c:v>
                </c:pt>
                <c:pt idx="54">
                  <c:v>2.7738400000000003</c:v>
                </c:pt>
                <c:pt idx="55">
                  <c:v>2.7716699999999999</c:v>
                </c:pt>
                <c:pt idx="56">
                  <c:v>2.7699499999999997</c:v>
                </c:pt>
                <c:pt idx="57">
                  <c:v>2.7674700000000003</c:v>
                </c:pt>
                <c:pt idx="58">
                  <c:v>2.7665699999999998</c:v>
                </c:pt>
                <c:pt idx="59">
                  <c:v>2.7660600000000004</c:v>
                </c:pt>
                <c:pt idx="60">
                  <c:v>2.7663799999999998</c:v>
                </c:pt>
                <c:pt idx="61">
                  <c:v>2.7657599999999998</c:v>
                </c:pt>
                <c:pt idx="62">
                  <c:v>2.7634300000000001</c:v>
                </c:pt>
                <c:pt idx="63">
                  <c:v>2.76105</c:v>
                </c:pt>
                <c:pt idx="64">
                  <c:v>2.7566899999999999</c:v>
                </c:pt>
                <c:pt idx="65">
                  <c:v>2.7543000000000002</c:v>
                </c:pt>
                <c:pt idx="66">
                  <c:v>2.7565299999999997</c:v>
                </c:pt>
                <c:pt idx="67">
                  <c:v>2.7589599999999996</c:v>
                </c:pt>
                <c:pt idx="68">
                  <c:v>2.7582200000000001</c:v>
                </c:pt>
                <c:pt idx="69">
                  <c:v>2.7595100000000001</c:v>
                </c:pt>
                <c:pt idx="70">
                  <c:v>2.7599600000000004</c:v>
                </c:pt>
                <c:pt idx="71">
                  <c:v>2.7596500000000002</c:v>
                </c:pt>
                <c:pt idx="72">
                  <c:v>2.7570899999999998</c:v>
                </c:pt>
                <c:pt idx="73">
                  <c:v>2.7559899999999997</c:v>
                </c:pt>
                <c:pt idx="74">
                  <c:v>2.7551100000000002</c:v>
                </c:pt>
                <c:pt idx="75">
                  <c:v>2.75108</c:v>
                </c:pt>
                <c:pt idx="76">
                  <c:v>2.7502399999999998</c:v>
                </c:pt>
                <c:pt idx="77">
                  <c:v>2.7506399999999998</c:v>
                </c:pt>
                <c:pt idx="78">
                  <c:v>2.7537799999999999</c:v>
                </c:pt>
                <c:pt idx="79">
                  <c:v>2.7575899999999995</c:v>
                </c:pt>
                <c:pt idx="80">
                  <c:v>2.7595199999999998</c:v>
                </c:pt>
                <c:pt idx="81">
                  <c:v>2.76058</c:v>
                </c:pt>
                <c:pt idx="82">
                  <c:v>2.7616000000000001</c:v>
                </c:pt>
                <c:pt idx="83">
                  <c:v>2.76024</c:v>
                </c:pt>
                <c:pt idx="84">
                  <c:v>2.75989</c:v>
                </c:pt>
                <c:pt idx="85">
                  <c:v>2.7606799999999998</c:v>
                </c:pt>
                <c:pt idx="86">
                  <c:v>2.7603100000000005</c:v>
                </c:pt>
                <c:pt idx="87">
                  <c:v>2.7592499999999998</c:v>
                </c:pt>
                <c:pt idx="88">
                  <c:v>2.7577699999999998</c:v>
                </c:pt>
                <c:pt idx="89">
                  <c:v>2.7558300000000004</c:v>
                </c:pt>
                <c:pt idx="90">
                  <c:v>2.7542400000000002</c:v>
                </c:pt>
                <c:pt idx="91">
                  <c:v>2.7518099999999999</c:v>
                </c:pt>
                <c:pt idx="92">
                  <c:v>2.7497700000000003</c:v>
                </c:pt>
                <c:pt idx="93">
                  <c:v>2.7488600000000001</c:v>
                </c:pt>
                <c:pt idx="94">
                  <c:v>2.7485200000000001</c:v>
                </c:pt>
                <c:pt idx="95">
                  <c:v>2.7493600000000002</c:v>
                </c:pt>
                <c:pt idx="96">
                  <c:v>2.7527900000000001</c:v>
                </c:pt>
                <c:pt idx="97">
                  <c:v>2.7577400000000001</c:v>
                </c:pt>
                <c:pt idx="98">
                  <c:v>2.7634699999999999</c:v>
                </c:pt>
                <c:pt idx="99">
                  <c:v>2.7687200000000001</c:v>
                </c:pt>
                <c:pt idx="100">
                  <c:v>2.7746599999999999</c:v>
                </c:pt>
                <c:pt idx="101">
                  <c:v>2.7793600000000001</c:v>
                </c:pt>
                <c:pt idx="102">
                  <c:v>2.7827299999999999</c:v>
                </c:pt>
                <c:pt idx="103">
                  <c:v>2.7870699999999999</c:v>
                </c:pt>
                <c:pt idx="104">
                  <c:v>2.79393</c:v>
                </c:pt>
                <c:pt idx="105">
                  <c:v>2.80267</c:v>
                </c:pt>
                <c:pt idx="106">
                  <c:v>2.8099499999999997</c:v>
                </c:pt>
                <c:pt idx="107">
                  <c:v>2.8172000000000001</c:v>
                </c:pt>
                <c:pt idx="108">
                  <c:v>2.8226200000000001</c:v>
                </c:pt>
                <c:pt idx="109">
                  <c:v>2.8278599999999998</c:v>
                </c:pt>
                <c:pt idx="110">
                  <c:v>2.8352899999999996</c:v>
                </c:pt>
                <c:pt idx="111">
                  <c:v>2.8471600000000001</c:v>
                </c:pt>
                <c:pt idx="112">
                  <c:v>2.86043</c:v>
                </c:pt>
                <c:pt idx="113">
                  <c:v>2.87277</c:v>
                </c:pt>
                <c:pt idx="114">
                  <c:v>2.8867399999999996</c:v>
                </c:pt>
                <c:pt idx="115">
                  <c:v>2.8998800000000005</c:v>
                </c:pt>
                <c:pt idx="116">
                  <c:v>2.9148299999999998</c:v>
                </c:pt>
                <c:pt idx="117">
                  <c:v>2.9316900000000001</c:v>
                </c:pt>
                <c:pt idx="118">
                  <c:v>2.9468499999999995</c:v>
                </c:pt>
                <c:pt idx="119">
                  <c:v>2.9604399999999997</c:v>
                </c:pt>
                <c:pt idx="120">
                  <c:v>2.9730699999999999</c:v>
                </c:pt>
                <c:pt idx="121">
                  <c:v>2.9843599999999997</c:v>
                </c:pt>
                <c:pt idx="122">
                  <c:v>2.9939300000000002</c:v>
                </c:pt>
                <c:pt idx="123">
                  <c:v>3.0019299999999998</c:v>
                </c:pt>
                <c:pt idx="124">
                  <c:v>3.0103799999999996</c:v>
                </c:pt>
                <c:pt idx="125">
                  <c:v>3.0179499999999999</c:v>
                </c:pt>
                <c:pt idx="126">
                  <c:v>3.0266900000000003</c:v>
                </c:pt>
                <c:pt idx="127">
                  <c:v>3.0363499999999997</c:v>
                </c:pt>
                <c:pt idx="128">
                  <c:v>3.0427</c:v>
                </c:pt>
                <c:pt idx="129">
                  <c:v>3.0460900000000004</c:v>
                </c:pt>
                <c:pt idx="130">
                  <c:v>3.04976</c:v>
                </c:pt>
                <c:pt idx="131">
                  <c:v>3.0560499999999999</c:v>
                </c:pt>
                <c:pt idx="132">
                  <c:v>3.06128</c:v>
                </c:pt>
                <c:pt idx="133">
                  <c:v>3.07002</c:v>
                </c:pt>
                <c:pt idx="134">
                  <c:v>3.0803000000000003</c:v>
                </c:pt>
                <c:pt idx="135">
                  <c:v>3.0867399999999998</c:v>
                </c:pt>
                <c:pt idx="136">
                  <c:v>3.0891400000000004</c:v>
                </c:pt>
                <c:pt idx="137">
                  <c:v>3.0915500000000002</c:v>
                </c:pt>
                <c:pt idx="138">
                  <c:v>3.0967799999999999</c:v>
                </c:pt>
                <c:pt idx="139">
                  <c:v>3.0982599999999998</c:v>
                </c:pt>
                <c:pt idx="140">
                  <c:v>3.0979700000000001</c:v>
                </c:pt>
                <c:pt idx="141">
                  <c:v>3.0925500000000001</c:v>
                </c:pt>
                <c:pt idx="142">
                  <c:v>3.0843700000000003</c:v>
                </c:pt>
                <c:pt idx="143">
                  <c:v>3.0793200000000001</c:v>
                </c:pt>
                <c:pt idx="144">
                  <c:v>3.0719000000000003</c:v>
                </c:pt>
                <c:pt idx="145">
                  <c:v>3.0693999999999999</c:v>
                </c:pt>
                <c:pt idx="146">
                  <c:v>3.0562800000000001</c:v>
                </c:pt>
                <c:pt idx="147">
                  <c:v>3.03898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0.41066399999999997</c:v>
                </c:pt>
                <c:pt idx="2">
                  <c:v>0.81453900000000001</c:v>
                </c:pt>
                <c:pt idx="3">
                  <c:v>1.2194199999999999</c:v>
                </c:pt>
                <c:pt idx="4">
                  <c:v>1.6248400000000001</c:v>
                </c:pt>
                <c:pt idx="5">
                  <c:v>2.0305300000000002</c:v>
                </c:pt>
                <c:pt idx="6">
                  <c:v>2.43926</c:v>
                </c:pt>
                <c:pt idx="7">
                  <c:v>2.8451399999999998</c:v>
                </c:pt>
                <c:pt idx="8">
                  <c:v>3.25</c:v>
                </c:pt>
                <c:pt idx="9">
                  <c:v>3.65828</c:v>
                </c:pt>
                <c:pt idx="10">
                  <c:v>4.0623300000000002</c:v>
                </c:pt>
                <c:pt idx="11">
                  <c:v>4.4717399999999996</c:v>
                </c:pt>
                <c:pt idx="12">
                  <c:v>4.87676</c:v>
                </c:pt>
                <c:pt idx="13">
                  <c:v>5.2816299999999998</c:v>
                </c:pt>
                <c:pt idx="14">
                  <c:v>5.6876499999999997</c:v>
                </c:pt>
                <c:pt idx="15">
                  <c:v>6.0931300000000004</c:v>
                </c:pt>
                <c:pt idx="16">
                  <c:v>6.4990500000000004</c:v>
                </c:pt>
                <c:pt idx="17">
                  <c:v>6.9080899999999996</c:v>
                </c:pt>
                <c:pt idx="18">
                  <c:v>7.3121499999999999</c:v>
                </c:pt>
                <c:pt idx="19">
                  <c:v>7.7202200000000003</c:v>
                </c:pt>
                <c:pt idx="20">
                  <c:v>8.1249900000000004</c:v>
                </c:pt>
                <c:pt idx="21">
                  <c:v>8.5328900000000001</c:v>
                </c:pt>
                <c:pt idx="22">
                  <c:v>8.9390000000000001</c:v>
                </c:pt>
                <c:pt idx="23">
                  <c:v>9.3433299999999999</c:v>
                </c:pt>
                <c:pt idx="24">
                  <c:v>9.7476000000000003</c:v>
                </c:pt>
                <c:pt idx="25">
                  <c:v>10.1568</c:v>
                </c:pt>
                <c:pt idx="26">
                  <c:v>10.5656</c:v>
                </c:pt>
                <c:pt idx="27">
                  <c:v>10.971399999999999</c:v>
                </c:pt>
                <c:pt idx="28">
                  <c:v>11.3742</c:v>
                </c:pt>
                <c:pt idx="29">
                  <c:v>11.7789</c:v>
                </c:pt>
                <c:pt idx="30">
                  <c:v>12.1881</c:v>
                </c:pt>
                <c:pt idx="31">
                  <c:v>12.594099999999999</c:v>
                </c:pt>
                <c:pt idx="32">
                  <c:v>13.001200000000001</c:v>
                </c:pt>
                <c:pt idx="33">
                  <c:v>13.407999999999999</c:v>
                </c:pt>
                <c:pt idx="34">
                  <c:v>13.8133</c:v>
                </c:pt>
                <c:pt idx="35">
                  <c:v>14.2187</c:v>
                </c:pt>
                <c:pt idx="36">
                  <c:v>14.623900000000001</c:v>
                </c:pt>
                <c:pt idx="37">
                  <c:v>15.0313</c:v>
                </c:pt>
                <c:pt idx="38">
                  <c:v>15.4414</c:v>
                </c:pt>
                <c:pt idx="39">
                  <c:v>15.8454</c:v>
                </c:pt>
                <c:pt idx="40">
                  <c:v>16.2502</c:v>
                </c:pt>
                <c:pt idx="41">
                  <c:v>16.658899999999999</c:v>
                </c:pt>
                <c:pt idx="42">
                  <c:v>17.061299999999999</c:v>
                </c:pt>
                <c:pt idx="43">
                  <c:v>17.4678</c:v>
                </c:pt>
                <c:pt idx="44">
                  <c:v>17.876799999999999</c:v>
                </c:pt>
                <c:pt idx="45">
                  <c:v>18.2852</c:v>
                </c:pt>
                <c:pt idx="46">
                  <c:v>18.687999999999999</c:v>
                </c:pt>
                <c:pt idx="47">
                  <c:v>19.0929</c:v>
                </c:pt>
                <c:pt idx="48">
                  <c:v>19.502800000000001</c:v>
                </c:pt>
                <c:pt idx="49">
                  <c:v>19.906400000000001</c:v>
                </c:pt>
                <c:pt idx="50">
                  <c:v>20.311699999999998</c:v>
                </c:pt>
                <c:pt idx="51">
                  <c:v>20.718499999999999</c:v>
                </c:pt>
                <c:pt idx="52">
                  <c:v>21.125499999999999</c:v>
                </c:pt>
                <c:pt idx="53">
                  <c:v>21.532499999999999</c:v>
                </c:pt>
                <c:pt idx="54">
                  <c:v>21.9406</c:v>
                </c:pt>
                <c:pt idx="55">
                  <c:v>22.347200000000001</c:v>
                </c:pt>
                <c:pt idx="56">
                  <c:v>22.7483</c:v>
                </c:pt>
                <c:pt idx="57">
                  <c:v>23.1584</c:v>
                </c:pt>
                <c:pt idx="58">
                  <c:v>23.5626</c:v>
                </c:pt>
                <c:pt idx="59">
                  <c:v>23.972000000000001</c:v>
                </c:pt>
                <c:pt idx="60">
                  <c:v>24.376899999999999</c:v>
                </c:pt>
                <c:pt idx="61">
                  <c:v>24.78</c:v>
                </c:pt>
                <c:pt idx="62">
                  <c:v>25.1877</c:v>
                </c:pt>
                <c:pt idx="63">
                  <c:v>25.592700000000001</c:v>
                </c:pt>
                <c:pt idx="64">
                  <c:v>26.003399999999999</c:v>
                </c:pt>
                <c:pt idx="65">
                  <c:v>26.4053</c:v>
                </c:pt>
                <c:pt idx="66">
                  <c:v>26.811299999999999</c:v>
                </c:pt>
                <c:pt idx="67">
                  <c:v>27.222200000000001</c:v>
                </c:pt>
                <c:pt idx="68">
                  <c:v>27.627600000000001</c:v>
                </c:pt>
                <c:pt idx="69">
                  <c:v>28.0304</c:v>
                </c:pt>
                <c:pt idx="70">
                  <c:v>28.439399999999999</c:v>
                </c:pt>
                <c:pt idx="71">
                  <c:v>28.8432</c:v>
                </c:pt>
                <c:pt idx="72">
                  <c:v>29.250800000000002</c:v>
                </c:pt>
                <c:pt idx="73">
                  <c:v>29.657800000000002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1.55447</c:v>
                </c:pt>
                <c:pt idx="1">
                  <c:v>1.60964</c:v>
                </c:pt>
                <c:pt idx="2">
                  <c:v>1.6647400000000001</c:v>
                </c:pt>
                <c:pt idx="3">
                  <c:v>1.7183599999999999</c:v>
                </c:pt>
                <c:pt idx="4">
                  <c:v>1.7709600000000001</c:v>
                </c:pt>
                <c:pt idx="5">
                  <c:v>1.8215400000000002</c:v>
                </c:pt>
                <c:pt idx="6">
                  <c:v>1.8706200000000002</c:v>
                </c:pt>
                <c:pt idx="7">
                  <c:v>1.9209000000000001</c:v>
                </c:pt>
                <c:pt idx="8">
                  <c:v>1.9701299999999999</c:v>
                </c:pt>
                <c:pt idx="9">
                  <c:v>2.0217099999999997</c:v>
                </c:pt>
                <c:pt idx="10">
                  <c:v>2.0731999999999999</c:v>
                </c:pt>
                <c:pt idx="11">
                  <c:v>2.1233200000000001</c:v>
                </c:pt>
                <c:pt idx="12">
                  <c:v>2.1724199999999998</c:v>
                </c:pt>
                <c:pt idx="13">
                  <c:v>2.2232699999999999</c:v>
                </c:pt>
                <c:pt idx="14">
                  <c:v>2.2729499999999998</c:v>
                </c:pt>
                <c:pt idx="15">
                  <c:v>2.3189199999999999</c:v>
                </c:pt>
                <c:pt idx="16">
                  <c:v>2.3625699999999998</c:v>
                </c:pt>
                <c:pt idx="17">
                  <c:v>2.4040699999999999</c:v>
                </c:pt>
                <c:pt idx="18">
                  <c:v>2.4443999999999999</c:v>
                </c:pt>
                <c:pt idx="19">
                  <c:v>2.4820199999999999</c:v>
                </c:pt>
                <c:pt idx="20">
                  <c:v>2.5172499999999998</c:v>
                </c:pt>
                <c:pt idx="21">
                  <c:v>2.5513200000000005</c:v>
                </c:pt>
                <c:pt idx="22">
                  <c:v>2.5830900000000003</c:v>
                </c:pt>
                <c:pt idx="23">
                  <c:v>2.61226</c:v>
                </c:pt>
                <c:pt idx="24">
                  <c:v>2.6382299999999996</c:v>
                </c:pt>
                <c:pt idx="25">
                  <c:v>2.6618999999999997</c:v>
                </c:pt>
                <c:pt idx="26">
                  <c:v>2.6841200000000001</c:v>
                </c:pt>
                <c:pt idx="27">
                  <c:v>2.7047300000000001</c:v>
                </c:pt>
                <c:pt idx="28">
                  <c:v>2.7236900000000004</c:v>
                </c:pt>
                <c:pt idx="29">
                  <c:v>2.7385900000000003</c:v>
                </c:pt>
                <c:pt idx="30">
                  <c:v>2.7532299999999998</c:v>
                </c:pt>
                <c:pt idx="31">
                  <c:v>2.7678500000000001</c:v>
                </c:pt>
                <c:pt idx="32">
                  <c:v>2.78078</c:v>
                </c:pt>
                <c:pt idx="33">
                  <c:v>2.7928999999999999</c:v>
                </c:pt>
                <c:pt idx="34">
                  <c:v>2.80307</c:v>
                </c:pt>
                <c:pt idx="35">
                  <c:v>2.8090100000000002</c:v>
                </c:pt>
                <c:pt idx="36">
                  <c:v>2.81345</c:v>
                </c:pt>
                <c:pt idx="37">
                  <c:v>2.8183999999999996</c:v>
                </c:pt>
                <c:pt idx="38">
                  <c:v>2.8203299999999998</c:v>
                </c:pt>
                <c:pt idx="39">
                  <c:v>2.8234900000000001</c:v>
                </c:pt>
                <c:pt idx="40">
                  <c:v>2.8265200000000004</c:v>
                </c:pt>
                <c:pt idx="41">
                  <c:v>2.82667</c:v>
                </c:pt>
                <c:pt idx="42">
                  <c:v>2.8246599999999997</c:v>
                </c:pt>
                <c:pt idx="43">
                  <c:v>2.8225099999999999</c:v>
                </c:pt>
                <c:pt idx="44">
                  <c:v>2.8188400000000002</c:v>
                </c:pt>
                <c:pt idx="45">
                  <c:v>2.8151599999999997</c:v>
                </c:pt>
                <c:pt idx="46">
                  <c:v>2.8100399999999999</c:v>
                </c:pt>
                <c:pt idx="47">
                  <c:v>2.8053299999999997</c:v>
                </c:pt>
                <c:pt idx="48">
                  <c:v>2.7993800000000002</c:v>
                </c:pt>
                <c:pt idx="49">
                  <c:v>2.7942400000000003</c:v>
                </c:pt>
                <c:pt idx="50">
                  <c:v>2.7913100000000002</c:v>
                </c:pt>
                <c:pt idx="51">
                  <c:v>2.7868900000000001</c:v>
                </c:pt>
                <c:pt idx="52">
                  <c:v>2.7814399999999999</c:v>
                </c:pt>
                <c:pt idx="53">
                  <c:v>2.77711</c:v>
                </c:pt>
                <c:pt idx="54">
                  <c:v>2.7738400000000003</c:v>
                </c:pt>
                <c:pt idx="55">
                  <c:v>2.7716699999999999</c:v>
                </c:pt>
                <c:pt idx="56">
                  <c:v>2.7699499999999997</c:v>
                </c:pt>
                <c:pt idx="57">
                  <c:v>2.7674700000000003</c:v>
                </c:pt>
                <c:pt idx="58">
                  <c:v>2.7665699999999998</c:v>
                </c:pt>
                <c:pt idx="59">
                  <c:v>2.7660600000000004</c:v>
                </c:pt>
                <c:pt idx="60">
                  <c:v>2.7663799999999998</c:v>
                </c:pt>
                <c:pt idx="61">
                  <c:v>2.7657599999999998</c:v>
                </c:pt>
                <c:pt idx="62">
                  <c:v>2.7634300000000001</c:v>
                </c:pt>
                <c:pt idx="63">
                  <c:v>2.76105</c:v>
                </c:pt>
                <c:pt idx="64">
                  <c:v>2.7566899999999999</c:v>
                </c:pt>
                <c:pt idx="65">
                  <c:v>2.7543000000000002</c:v>
                </c:pt>
                <c:pt idx="66">
                  <c:v>2.7565299999999997</c:v>
                </c:pt>
                <c:pt idx="67">
                  <c:v>2.7589599999999996</c:v>
                </c:pt>
                <c:pt idx="68">
                  <c:v>2.7582200000000001</c:v>
                </c:pt>
                <c:pt idx="69">
                  <c:v>2.7595100000000001</c:v>
                </c:pt>
                <c:pt idx="70">
                  <c:v>2.7599600000000004</c:v>
                </c:pt>
                <c:pt idx="71">
                  <c:v>2.7596500000000002</c:v>
                </c:pt>
                <c:pt idx="72">
                  <c:v>2.7570899999999998</c:v>
                </c:pt>
                <c:pt idx="73">
                  <c:v>2.7559899999999997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29.657800000000002</c:v>
                </c:pt>
                <c:pt idx="1">
                  <c:v>30.060600000000001</c:v>
                </c:pt>
                <c:pt idx="2">
                  <c:v>30.5306</c:v>
                </c:pt>
                <c:pt idx="3">
                  <c:v>30.936599999999999</c:v>
                </c:pt>
                <c:pt idx="4">
                  <c:v>31.328499999999998</c:v>
                </c:pt>
                <c:pt idx="5">
                  <c:v>31.735199999999999</c:v>
                </c:pt>
                <c:pt idx="6">
                  <c:v>32.148000000000003</c:v>
                </c:pt>
                <c:pt idx="7">
                  <c:v>32.546999999999997</c:v>
                </c:pt>
                <c:pt idx="8">
                  <c:v>32.958799999999997</c:v>
                </c:pt>
                <c:pt idx="9">
                  <c:v>33.362699999999997</c:v>
                </c:pt>
                <c:pt idx="10">
                  <c:v>33.766800000000003</c:v>
                </c:pt>
                <c:pt idx="11">
                  <c:v>34.177599999999998</c:v>
                </c:pt>
                <c:pt idx="12">
                  <c:v>34.583500000000001</c:v>
                </c:pt>
                <c:pt idx="13">
                  <c:v>34.985599999999998</c:v>
                </c:pt>
                <c:pt idx="14">
                  <c:v>35.392600000000002</c:v>
                </c:pt>
                <c:pt idx="15">
                  <c:v>35.796199999999999</c:v>
                </c:pt>
                <c:pt idx="16">
                  <c:v>36.206499999999998</c:v>
                </c:pt>
                <c:pt idx="17">
                  <c:v>36.611400000000003</c:v>
                </c:pt>
                <c:pt idx="18">
                  <c:v>37.018900000000002</c:v>
                </c:pt>
                <c:pt idx="19">
                  <c:v>37.420900000000003</c:v>
                </c:pt>
                <c:pt idx="20">
                  <c:v>37.825299999999999</c:v>
                </c:pt>
                <c:pt idx="21">
                  <c:v>38.234999999999999</c:v>
                </c:pt>
                <c:pt idx="22">
                  <c:v>38.642600000000002</c:v>
                </c:pt>
                <c:pt idx="23">
                  <c:v>39.048499999999997</c:v>
                </c:pt>
                <c:pt idx="24">
                  <c:v>39.455500000000001</c:v>
                </c:pt>
                <c:pt idx="25">
                  <c:v>39.859200000000001</c:v>
                </c:pt>
                <c:pt idx="26">
                  <c:v>40.266500000000001</c:v>
                </c:pt>
                <c:pt idx="27">
                  <c:v>40.671100000000003</c:v>
                </c:pt>
                <c:pt idx="28">
                  <c:v>41.078200000000002</c:v>
                </c:pt>
                <c:pt idx="29">
                  <c:v>41.484099999999998</c:v>
                </c:pt>
                <c:pt idx="30">
                  <c:v>41.8902</c:v>
                </c:pt>
                <c:pt idx="31">
                  <c:v>42.2958</c:v>
                </c:pt>
                <c:pt idx="32">
                  <c:v>42.702800000000003</c:v>
                </c:pt>
                <c:pt idx="33">
                  <c:v>43.110199999999999</c:v>
                </c:pt>
                <c:pt idx="34">
                  <c:v>43.515599999999999</c:v>
                </c:pt>
                <c:pt idx="35">
                  <c:v>43.924599999999998</c:v>
                </c:pt>
                <c:pt idx="36">
                  <c:v>44.329300000000003</c:v>
                </c:pt>
                <c:pt idx="37">
                  <c:v>44.735300000000002</c:v>
                </c:pt>
                <c:pt idx="38">
                  <c:v>45.140599999999999</c:v>
                </c:pt>
                <c:pt idx="39">
                  <c:v>45.547600000000003</c:v>
                </c:pt>
                <c:pt idx="40">
                  <c:v>45.956000000000003</c:v>
                </c:pt>
                <c:pt idx="41">
                  <c:v>46.363</c:v>
                </c:pt>
                <c:pt idx="42">
                  <c:v>46.767899999999997</c:v>
                </c:pt>
                <c:pt idx="43">
                  <c:v>47.174999999999997</c:v>
                </c:pt>
                <c:pt idx="44">
                  <c:v>47.580800000000004</c:v>
                </c:pt>
                <c:pt idx="45">
                  <c:v>47.984999999999999</c:v>
                </c:pt>
                <c:pt idx="46">
                  <c:v>48.394500000000001</c:v>
                </c:pt>
                <c:pt idx="47">
                  <c:v>48.795499999999997</c:v>
                </c:pt>
                <c:pt idx="48">
                  <c:v>49.202199999999998</c:v>
                </c:pt>
                <c:pt idx="49">
                  <c:v>49.609400000000001</c:v>
                </c:pt>
                <c:pt idx="50">
                  <c:v>50.015000000000001</c:v>
                </c:pt>
                <c:pt idx="51">
                  <c:v>50.423099999999998</c:v>
                </c:pt>
                <c:pt idx="52">
                  <c:v>50.83</c:v>
                </c:pt>
                <c:pt idx="53">
                  <c:v>51.234900000000003</c:v>
                </c:pt>
                <c:pt idx="54">
                  <c:v>51.643000000000001</c:v>
                </c:pt>
                <c:pt idx="55">
                  <c:v>52.050699999999999</c:v>
                </c:pt>
                <c:pt idx="56">
                  <c:v>52.463900000000002</c:v>
                </c:pt>
                <c:pt idx="57">
                  <c:v>52.860700000000001</c:v>
                </c:pt>
                <c:pt idx="58">
                  <c:v>53.264200000000002</c:v>
                </c:pt>
                <c:pt idx="59">
                  <c:v>53.6736</c:v>
                </c:pt>
                <c:pt idx="60">
                  <c:v>54.081099999999999</c:v>
                </c:pt>
                <c:pt idx="61">
                  <c:v>54.4893</c:v>
                </c:pt>
                <c:pt idx="62">
                  <c:v>54.890599999999999</c:v>
                </c:pt>
                <c:pt idx="63">
                  <c:v>55.295699999999997</c:v>
                </c:pt>
                <c:pt idx="64">
                  <c:v>55.703899999999997</c:v>
                </c:pt>
                <c:pt idx="65">
                  <c:v>56.11</c:v>
                </c:pt>
                <c:pt idx="66">
                  <c:v>56.518999999999998</c:v>
                </c:pt>
                <c:pt idx="67">
                  <c:v>56.927900000000001</c:v>
                </c:pt>
                <c:pt idx="68">
                  <c:v>57.332799999999999</c:v>
                </c:pt>
                <c:pt idx="69">
                  <c:v>57.738700000000001</c:v>
                </c:pt>
                <c:pt idx="70">
                  <c:v>58.143599999999999</c:v>
                </c:pt>
                <c:pt idx="71">
                  <c:v>58.5441</c:v>
                </c:pt>
                <c:pt idx="72">
                  <c:v>58.959499999999998</c:v>
                </c:pt>
                <c:pt idx="73">
                  <c:v>59.358600000000003</c:v>
                </c:pt>
                <c:pt idx="74">
                  <c:v>59.766800000000003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2.7559899999999997</c:v>
                </c:pt>
                <c:pt idx="1">
                  <c:v>2.7551100000000002</c:v>
                </c:pt>
                <c:pt idx="2">
                  <c:v>2.75108</c:v>
                </c:pt>
                <c:pt idx="3">
                  <c:v>2.7502399999999998</c:v>
                </c:pt>
                <c:pt idx="4">
                  <c:v>2.7506399999999998</c:v>
                </c:pt>
                <c:pt idx="5">
                  <c:v>2.7537799999999999</c:v>
                </c:pt>
                <c:pt idx="6">
                  <c:v>2.7575899999999995</c:v>
                </c:pt>
                <c:pt idx="7">
                  <c:v>2.7595199999999998</c:v>
                </c:pt>
                <c:pt idx="8">
                  <c:v>2.76058</c:v>
                </c:pt>
                <c:pt idx="9">
                  <c:v>2.7616000000000001</c:v>
                </c:pt>
                <c:pt idx="10">
                  <c:v>2.76024</c:v>
                </c:pt>
                <c:pt idx="11">
                  <c:v>2.75989</c:v>
                </c:pt>
                <c:pt idx="12">
                  <c:v>2.7606799999999998</c:v>
                </c:pt>
                <c:pt idx="13">
                  <c:v>2.7603100000000005</c:v>
                </c:pt>
                <c:pt idx="14">
                  <c:v>2.7592499999999998</c:v>
                </c:pt>
                <c:pt idx="15">
                  <c:v>2.7577699999999998</c:v>
                </c:pt>
                <c:pt idx="16">
                  <c:v>2.7558300000000004</c:v>
                </c:pt>
                <c:pt idx="17">
                  <c:v>2.7542400000000002</c:v>
                </c:pt>
                <c:pt idx="18">
                  <c:v>2.7518099999999999</c:v>
                </c:pt>
                <c:pt idx="19">
                  <c:v>2.7497700000000003</c:v>
                </c:pt>
                <c:pt idx="20">
                  <c:v>2.7488600000000001</c:v>
                </c:pt>
                <c:pt idx="21">
                  <c:v>2.7485200000000001</c:v>
                </c:pt>
                <c:pt idx="22">
                  <c:v>2.7493600000000002</c:v>
                </c:pt>
                <c:pt idx="23">
                  <c:v>2.7527900000000001</c:v>
                </c:pt>
                <c:pt idx="24">
                  <c:v>2.7577400000000001</c:v>
                </c:pt>
                <c:pt idx="25">
                  <c:v>2.7634699999999999</c:v>
                </c:pt>
                <c:pt idx="26">
                  <c:v>2.7687200000000001</c:v>
                </c:pt>
                <c:pt idx="27">
                  <c:v>2.7746599999999999</c:v>
                </c:pt>
                <c:pt idx="28">
                  <c:v>2.7793600000000001</c:v>
                </c:pt>
                <c:pt idx="29">
                  <c:v>2.7827299999999999</c:v>
                </c:pt>
                <c:pt idx="30">
                  <c:v>2.7870699999999999</c:v>
                </c:pt>
                <c:pt idx="31">
                  <c:v>2.79393</c:v>
                </c:pt>
                <c:pt idx="32">
                  <c:v>2.80267</c:v>
                </c:pt>
                <c:pt idx="33">
                  <c:v>2.8099499999999997</c:v>
                </c:pt>
                <c:pt idx="34">
                  <c:v>2.8172000000000001</c:v>
                </c:pt>
                <c:pt idx="35">
                  <c:v>2.8226200000000001</c:v>
                </c:pt>
                <c:pt idx="36">
                  <c:v>2.8278599999999998</c:v>
                </c:pt>
                <c:pt idx="37">
                  <c:v>2.8352899999999996</c:v>
                </c:pt>
                <c:pt idx="38">
                  <c:v>2.8471600000000001</c:v>
                </c:pt>
                <c:pt idx="39">
                  <c:v>2.86043</c:v>
                </c:pt>
                <c:pt idx="40">
                  <c:v>2.87277</c:v>
                </c:pt>
                <c:pt idx="41">
                  <c:v>2.8867399999999996</c:v>
                </c:pt>
                <c:pt idx="42">
                  <c:v>2.8998800000000005</c:v>
                </c:pt>
                <c:pt idx="43">
                  <c:v>2.9148299999999998</c:v>
                </c:pt>
                <c:pt idx="44">
                  <c:v>2.9316900000000001</c:v>
                </c:pt>
                <c:pt idx="45">
                  <c:v>2.9468499999999995</c:v>
                </c:pt>
                <c:pt idx="46">
                  <c:v>2.9604399999999997</c:v>
                </c:pt>
                <c:pt idx="47">
                  <c:v>2.9730699999999999</c:v>
                </c:pt>
                <c:pt idx="48">
                  <c:v>2.9843599999999997</c:v>
                </c:pt>
                <c:pt idx="49">
                  <c:v>2.9939300000000002</c:v>
                </c:pt>
                <c:pt idx="50">
                  <c:v>3.0019299999999998</c:v>
                </c:pt>
                <c:pt idx="51">
                  <c:v>3.0103799999999996</c:v>
                </c:pt>
                <c:pt idx="52">
                  <c:v>3.0179499999999999</c:v>
                </c:pt>
                <c:pt idx="53">
                  <c:v>3.0266900000000003</c:v>
                </c:pt>
                <c:pt idx="54">
                  <c:v>3.0363499999999997</c:v>
                </c:pt>
                <c:pt idx="55">
                  <c:v>3.0427</c:v>
                </c:pt>
                <c:pt idx="56">
                  <c:v>3.0460900000000004</c:v>
                </c:pt>
                <c:pt idx="57">
                  <c:v>3.04976</c:v>
                </c:pt>
                <c:pt idx="58">
                  <c:v>3.0560499999999999</c:v>
                </c:pt>
                <c:pt idx="59">
                  <c:v>3.06128</c:v>
                </c:pt>
                <c:pt idx="60">
                  <c:v>3.07002</c:v>
                </c:pt>
                <c:pt idx="61">
                  <c:v>3.0803000000000003</c:v>
                </c:pt>
                <c:pt idx="62">
                  <c:v>3.0867399999999998</c:v>
                </c:pt>
                <c:pt idx="63">
                  <c:v>3.0891400000000004</c:v>
                </c:pt>
                <c:pt idx="64">
                  <c:v>3.0915500000000002</c:v>
                </c:pt>
                <c:pt idx="65">
                  <c:v>3.0967799999999999</c:v>
                </c:pt>
                <c:pt idx="66">
                  <c:v>3.0982599999999998</c:v>
                </c:pt>
                <c:pt idx="67">
                  <c:v>3.0979700000000001</c:v>
                </c:pt>
                <c:pt idx="68">
                  <c:v>3.0925500000000001</c:v>
                </c:pt>
                <c:pt idx="69">
                  <c:v>3.0843700000000003</c:v>
                </c:pt>
                <c:pt idx="70">
                  <c:v>3.0793200000000001</c:v>
                </c:pt>
                <c:pt idx="71">
                  <c:v>3.0719000000000003</c:v>
                </c:pt>
                <c:pt idx="72">
                  <c:v>3.0693999999999999</c:v>
                </c:pt>
                <c:pt idx="73">
                  <c:v>3.0562800000000001</c:v>
                </c:pt>
                <c:pt idx="74">
                  <c:v>3.03898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1.55447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14.941700000000001</c:v>
                </c:pt>
                <c:pt idx="1">
                  <c:v>44.825100000000006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2.5638794594594589</c:v>
                </c:pt>
                <c:pt idx="1">
                  <c:v>2.8934813513513529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0.41066399999999997</c:v>
                </c:pt>
                <c:pt idx="2">
                  <c:v>0.81453900000000001</c:v>
                </c:pt>
                <c:pt idx="3">
                  <c:v>1.2194199999999999</c:v>
                </c:pt>
                <c:pt idx="4">
                  <c:v>1.6248400000000001</c:v>
                </c:pt>
                <c:pt idx="5">
                  <c:v>2.0305300000000002</c:v>
                </c:pt>
                <c:pt idx="6">
                  <c:v>2.43926</c:v>
                </c:pt>
                <c:pt idx="7">
                  <c:v>2.8451399999999998</c:v>
                </c:pt>
                <c:pt idx="8">
                  <c:v>3.25</c:v>
                </c:pt>
                <c:pt idx="9">
                  <c:v>3.65828</c:v>
                </c:pt>
                <c:pt idx="10">
                  <c:v>4.0623300000000002</c:v>
                </c:pt>
                <c:pt idx="11">
                  <c:v>4.4717399999999996</c:v>
                </c:pt>
                <c:pt idx="12">
                  <c:v>4.87676</c:v>
                </c:pt>
                <c:pt idx="13">
                  <c:v>5.2816299999999998</c:v>
                </c:pt>
                <c:pt idx="14">
                  <c:v>5.6876499999999997</c:v>
                </c:pt>
                <c:pt idx="15">
                  <c:v>6.0931300000000004</c:v>
                </c:pt>
                <c:pt idx="16">
                  <c:v>6.4990500000000004</c:v>
                </c:pt>
                <c:pt idx="17">
                  <c:v>6.9080899999999996</c:v>
                </c:pt>
                <c:pt idx="18">
                  <c:v>7.3121499999999999</c:v>
                </c:pt>
                <c:pt idx="19">
                  <c:v>7.7202200000000003</c:v>
                </c:pt>
                <c:pt idx="20">
                  <c:v>8.1249900000000004</c:v>
                </c:pt>
                <c:pt idx="21">
                  <c:v>8.5328900000000001</c:v>
                </c:pt>
                <c:pt idx="22">
                  <c:v>8.9390000000000001</c:v>
                </c:pt>
                <c:pt idx="23">
                  <c:v>9.3433299999999999</c:v>
                </c:pt>
                <c:pt idx="24">
                  <c:v>9.7476000000000003</c:v>
                </c:pt>
                <c:pt idx="25">
                  <c:v>10.1568</c:v>
                </c:pt>
                <c:pt idx="26">
                  <c:v>10.5656</c:v>
                </c:pt>
                <c:pt idx="27">
                  <c:v>10.971399999999999</c:v>
                </c:pt>
                <c:pt idx="28">
                  <c:v>11.3742</c:v>
                </c:pt>
                <c:pt idx="29">
                  <c:v>11.7789</c:v>
                </c:pt>
                <c:pt idx="30">
                  <c:v>12.1881</c:v>
                </c:pt>
                <c:pt idx="31">
                  <c:v>12.594099999999999</c:v>
                </c:pt>
                <c:pt idx="32">
                  <c:v>13.001200000000001</c:v>
                </c:pt>
                <c:pt idx="33">
                  <c:v>13.407999999999999</c:v>
                </c:pt>
                <c:pt idx="34">
                  <c:v>13.8133</c:v>
                </c:pt>
                <c:pt idx="35">
                  <c:v>14.2187</c:v>
                </c:pt>
                <c:pt idx="36">
                  <c:v>14.623900000000001</c:v>
                </c:pt>
                <c:pt idx="37">
                  <c:v>15.0313</c:v>
                </c:pt>
                <c:pt idx="38">
                  <c:v>15.4414</c:v>
                </c:pt>
                <c:pt idx="39">
                  <c:v>15.8454</c:v>
                </c:pt>
                <c:pt idx="40">
                  <c:v>16.2502</c:v>
                </c:pt>
                <c:pt idx="41">
                  <c:v>16.658899999999999</c:v>
                </c:pt>
                <c:pt idx="42">
                  <c:v>17.061299999999999</c:v>
                </c:pt>
                <c:pt idx="43">
                  <c:v>17.4678</c:v>
                </c:pt>
                <c:pt idx="44">
                  <c:v>17.876799999999999</c:v>
                </c:pt>
                <c:pt idx="45">
                  <c:v>18.2852</c:v>
                </c:pt>
                <c:pt idx="46">
                  <c:v>18.687999999999999</c:v>
                </c:pt>
                <c:pt idx="47">
                  <c:v>19.0929</c:v>
                </c:pt>
                <c:pt idx="48">
                  <c:v>19.502800000000001</c:v>
                </c:pt>
                <c:pt idx="49">
                  <c:v>19.906400000000001</c:v>
                </c:pt>
                <c:pt idx="50">
                  <c:v>20.311699999999998</c:v>
                </c:pt>
                <c:pt idx="51">
                  <c:v>20.718499999999999</c:v>
                </c:pt>
                <c:pt idx="52">
                  <c:v>21.125499999999999</c:v>
                </c:pt>
                <c:pt idx="53">
                  <c:v>21.532499999999999</c:v>
                </c:pt>
                <c:pt idx="54">
                  <c:v>21.9406</c:v>
                </c:pt>
                <c:pt idx="55">
                  <c:v>22.347200000000001</c:v>
                </c:pt>
                <c:pt idx="56">
                  <c:v>22.7483</c:v>
                </c:pt>
                <c:pt idx="57">
                  <c:v>23.1584</c:v>
                </c:pt>
                <c:pt idx="58">
                  <c:v>23.5626</c:v>
                </c:pt>
                <c:pt idx="59">
                  <c:v>23.972000000000001</c:v>
                </c:pt>
                <c:pt idx="60">
                  <c:v>24.376899999999999</c:v>
                </c:pt>
                <c:pt idx="61">
                  <c:v>24.78</c:v>
                </c:pt>
                <c:pt idx="62">
                  <c:v>25.1877</c:v>
                </c:pt>
                <c:pt idx="63">
                  <c:v>25.592700000000001</c:v>
                </c:pt>
                <c:pt idx="64">
                  <c:v>26.003399999999999</c:v>
                </c:pt>
                <c:pt idx="65">
                  <c:v>26.4053</c:v>
                </c:pt>
                <c:pt idx="66">
                  <c:v>26.811299999999999</c:v>
                </c:pt>
                <c:pt idx="67">
                  <c:v>27.222200000000001</c:v>
                </c:pt>
                <c:pt idx="68">
                  <c:v>27.627600000000001</c:v>
                </c:pt>
                <c:pt idx="69">
                  <c:v>28.0304</c:v>
                </c:pt>
                <c:pt idx="70">
                  <c:v>28.439399999999999</c:v>
                </c:pt>
                <c:pt idx="71">
                  <c:v>28.8432</c:v>
                </c:pt>
                <c:pt idx="72">
                  <c:v>29.250800000000002</c:v>
                </c:pt>
                <c:pt idx="73">
                  <c:v>29.657800000000002</c:v>
                </c:pt>
                <c:pt idx="74">
                  <c:v>30.060600000000001</c:v>
                </c:pt>
                <c:pt idx="75">
                  <c:v>30.5306</c:v>
                </c:pt>
                <c:pt idx="76">
                  <c:v>30.936599999999999</c:v>
                </c:pt>
                <c:pt idx="77">
                  <c:v>31.328499999999998</c:v>
                </c:pt>
                <c:pt idx="78">
                  <c:v>31.735199999999999</c:v>
                </c:pt>
                <c:pt idx="79">
                  <c:v>32.148000000000003</c:v>
                </c:pt>
                <c:pt idx="80">
                  <c:v>32.546999999999997</c:v>
                </c:pt>
                <c:pt idx="81">
                  <c:v>32.958799999999997</c:v>
                </c:pt>
                <c:pt idx="82">
                  <c:v>33.362699999999997</c:v>
                </c:pt>
                <c:pt idx="83">
                  <c:v>33.766800000000003</c:v>
                </c:pt>
                <c:pt idx="84">
                  <c:v>34.177599999999998</c:v>
                </c:pt>
                <c:pt idx="85">
                  <c:v>34.583500000000001</c:v>
                </c:pt>
                <c:pt idx="86">
                  <c:v>34.985599999999998</c:v>
                </c:pt>
                <c:pt idx="87">
                  <c:v>35.392600000000002</c:v>
                </c:pt>
                <c:pt idx="88">
                  <c:v>35.796199999999999</c:v>
                </c:pt>
                <c:pt idx="89">
                  <c:v>36.206499999999998</c:v>
                </c:pt>
                <c:pt idx="90">
                  <c:v>36.611400000000003</c:v>
                </c:pt>
                <c:pt idx="91">
                  <c:v>37.018900000000002</c:v>
                </c:pt>
                <c:pt idx="92">
                  <c:v>37.420900000000003</c:v>
                </c:pt>
                <c:pt idx="93">
                  <c:v>37.825299999999999</c:v>
                </c:pt>
                <c:pt idx="94">
                  <c:v>38.234999999999999</c:v>
                </c:pt>
                <c:pt idx="95">
                  <c:v>38.642600000000002</c:v>
                </c:pt>
                <c:pt idx="96">
                  <c:v>39.048499999999997</c:v>
                </c:pt>
                <c:pt idx="97">
                  <c:v>39.455500000000001</c:v>
                </c:pt>
                <c:pt idx="98">
                  <c:v>39.859200000000001</c:v>
                </c:pt>
                <c:pt idx="99">
                  <c:v>40.266500000000001</c:v>
                </c:pt>
                <c:pt idx="100">
                  <c:v>40.671100000000003</c:v>
                </c:pt>
                <c:pt idx="101">
                  <c:v>41.078200000000002</c:v>
                </c:pt>
                <c:pt idx="102">
                  <c:v>41.484099999999998</c:v>
                </c:pt>
                <c:pt idx="103">
                  <c:v>41.8902</c:v>
                </c:pt>
                <c:pt idx="104">
                  <c:v>42.2958</c:v>
                </c:pt>
                <c:pt idx="105">
                  <c:v>42.702800000000003</c:v>
                </c:pt>
                <c:pt idx="106">
                  <c:v>43.110199999999999</c:v>
                </c:pt>
                <c:pt idx="107">
                  <c:v>43.515599999999999</c:v>
                </c:pt>
                <c:pt idx="108">
                  <c:v>43.924599999999998</c:v>
                </c:pt>
                <c:pt idx="109">
                  <c:v>44.329300000000003</c:v>
                </c:pt>
                <c:pt idx="110">
                  <c:v>44.735300000000002</c:v>
                </c:pt>
                <c:pt idx="111">
                  <c:v>45.140599999999999</c:v>
                </c:pt>
                <c:pt idx="112">
                  <c:v>45.547600000000003</c:v>
                </c:pt>
                <c:pt idx="113">
                  <c:v>45.956000000000003</c:v>
                </c:pt>
                <c:pt idx="114">
                  <c:v>46.363</c:v>
                </c:pt>
                <c:pt idx="115">
                  <c:v>46.767899999999997</c:v>
                </c:pt>
                <c:pt idx="116">
                  <c:v>47.174999999999997</c:v>
                </c:pt>
                <c:pt idx="117">
                  <c:v>47.580800000000004</c:v>
                </c:pt>
                <c:pt idx="118">
                  <c:v>47.984999999999999</c:v>
                </c:pt>
                <c:pt idx="119">
                  <c:v>48.394500000000001</c:v>
                </c:pt>
                <c:pt idx="120">
                  <c:v>48.795499999999997</c:v>
                </c:pt>
                <c:pt idx="121">
                  <c:v>49.202199999999998</c:v>
                </c:pt>
                <c:pt idx="122">
                  <c:v>49.609400000000001</c:v>
                </c:pt>
                <c:pt idx="123">
                  <c:v>50.015000000000001</c:v>
                </c:pt>
                <c:pt idx="124">
                  <c:v>50.423099999999998</c:v>
                </c:pt>
                <c:pt idx="125">
                  <c:v>50.83</c:v>
                </c:pt>
                <c:pt idx="126">
                  <c:v>51.234900000000003</c:v>
                </c:pt>
                <c:pt idx="127">
                  <c:v>51.643000000000001</c:v>
                </c:pt>
                <c:pt idx="128">
                  <c:v>52.050699999999999</c:v>
                </c:pt>
                <c:pt idx="129">
                  <c:v>52.463900000000002</c:v>
                </c:pt>
                <c:pt idx="130">
                  <c:v>52.860700000000001</c:v>
                </c:pt>
                <c:pt idx="131">
                  <c:v>53.264200000000002</c:v>
                </c:pt>
                <c:pt idx="132">
                  <c:v>53.6736</c:v>
                </c:pt>
                <c:pt idx="133">
                  <c:v>54.081099999999999</c:v>
                </c:pt>
                <c:pt idx="134">
                  <c:v>54.4893</c:v>
                </c:pt>
                <c:pt idx="135">
                  <c:v>54.890599999999999</c:v>
                </c:pt>
                <c:pt idx="136">
                  <c:v>55.295699999999997</c:v>
                </c:pt>
                <c:pt idx="137">
                  <c:v>55.703899999999997</c:v>
                </c:pt>
                <c:pt idx="138">
                  <c:v>56.11</c:v>
                </c:pt>
                <c:pt idx="139">
                  <c:v>56.518999999999998</c:v>
                </c:pt>
                <c:pt idx="140">
                  <c:v>56.927900000000001</c:v>
                </c:pt>
                <c:pt idx="141">
                  <c:v>57.332799999999999</c:v>
                </c:pt>
                <c:pt idx="142">
                  <c:v>57.738700000000001</c:v>
                </c:pt>
                <c:pt idx="143">
                  <c:v>58.143599999999999</c:v>
                </c:pt>
                <c:pt idx="144">
                  <c:v>58.5441</c:v>
                </c:pt>
                <c:pt idx="145">
                  <c:v>58.959499999999998</c:v>
                </c:pt>
                <c:pt idx="146">
                  <c:v>59.358600000000003</c:v>
                </c:pt>
                <c:pt idx="147">
                  <c:v>59.766800000000003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60.410899999999998</c:v>
                </c:pt>
                <c:pt idx="1">
                  <c:v>59.418400000000005</c:v>
                </c:pt>
                <c:pt idx="2">
                  <c:v>58.457300000000004</c:v>
                </c:pt>
                <c:pt idx="3">
                  <c:v>57.6126</c:v>
                </c:pt>
                <c:pt idx="4">
                  <c:v>56.748699999999999</c:v>
                </c:pt>
                <c:pt idx="5">
                  <c:v>55.990799999999993</c:v>
                </c:pt>
                <c:pt idx="6">
                  <c:v>55.292699999999996</c:v>
                </c:pt>
                <c:pt idx="7">
                  <c:v>54.523299999999999</c:v>
                </c:pt>
                <c:pt idx="8">
                  <c:v>53.795099999999998</c:v>
                </c:pt>
                <c:pt idx="9">
                  <c:v>52.981500000000004</c:v>
                </c:pt>
                <c:pt idx="10">
                  <c:v>52.126199999999997</c:v>
                </c:pt>
                <c:pt idx="11">
                  <c:v>51.244700000000002</c:v>
                </c:pt>
                <c:pt idx="12">
                  <c:v>50.414099999999998</c:v>
                </c:pt>
                <c:pt idx="13">
                  <c:v>49.49</c:v>
                </c:pt>
                <c:pt idx="14">
                  <c:v>48.670200000000001</c:v>
                </c:pt>
                <c:pt idx="15">
                  <c:v>48.076099999999997</c:v>
                </c:pt>
                <c:pt idx="16">
                  <c:v>47.581200000000003</c:v>
                </c:pt>
                <c:pt idx="17">
                  <c:v>47.034500000000001</c:v>
                </c:pt>
                <c:pt idx="18">
                  <c:v>46.4816</c:v>
                </c:pt>
                <c:pt idx="19">
                  <c:v>45.9572</c:v>
                </c:pt>
                <c:pt idx="20">
                  <c:v>45.471800000000002</c:v>
                </c:pt>
                <c:pt idx="21">
                  <c:v>44.9621</c:v>
                </c:pt>
                <c:pt idx="22">
                  <c:v>44.527499999999996</c:v>
                </c:pt>
                <c:pt idx="23">
                  <c:v>44.13</c:v>
                </c:pt>
                <c:pt idx="24">
                  <c:v>43.716200000000001</c:v>
                </c:pt>
                <c:pt idx="25">
                  <c:v>43.381300000000003</c:v>
                </c:pt>
                <c:pt idx="26">
                  <c:v>43.055599999999998</c:v>
                </c:pt>
                <c:pt idx="27">
                  <c:v>42.7545</c:v>
                </c:pt>
                <c:pt idx="28">
                  <c:v>42.463000000000001</c:v>
                </c:pt>
                <c:pt idx="29">
                  <c:v>42.224699999999999</c:v>
                </c:pt>
                <c:pt idx="30">
                  <c:v>41.986699999999999</c:v>
                </c:pt>
                <c:pt idx="31">
                  <c:v>41.7102</c:v>
                </c:pt>
                <c:pt idx="32">
                  <c:v>41.4298</c:v>
                </c:pt>
                <c:pt idx="33">
                  <c:v>41.154499999999999</c:v>
                </c:pt>
                <c:pt idx="34">
                  <c:v>40.894399999999997</c:v>
                </c:pt>
                <c:pt idx="35">
                  <c:v>40.695700000000002</c:v>
                </c:pt>
                <c:pt idx="36">
                  <c:v>40.569800000000001</c:v>
                </c:pt>
                <c:pt idx="37">
                  <c:v>40.4268</c:v>
                </c:pt>
                <c:pt idx="38">
                  <c:v>40.316899999999997</c:v>
                </c:pt>
                <c:pt idx="39">
                  <c:v>40.170999999999999</c:v>
                </c:pt>
                <c:pt idx="40">
                  <c:v>40.016200000000005</c:v>
                </c:pt>
                <c:pt idx="41">
                  <c:v>39.895499999999998</c:v>
                </c:pt>
                <c:pt idx="42">
                  <c:v>39.7913</c:v>
                </c:pt>
                <c:pt idx="43">
                  <c:v>39.684599999999996</c:v>
                </c:pt>
                <c:pt idx="44">
                  <c:v>39.601100000000002</c:v>
                </c:pt>
                <c:pt idx="45">
                  <c:v>39.491599999999998</c:v>
                </c:pt>
                <c:pt idx="46">
                  <c:v>39.387699999999995</c:v>
                </c:pt>
                <c:pt idx="47">
                  <c:v>39.246700000000004</c:v>
                </c:pt>
                <c:pt idx="48">
                  <c:v>39.100099999999998</c:v>
                </c:pt>
                <c:pt idx="49">
                  <c:v>38.906300000000002</c:v>
                </c:pt>
                <c:pt idx="50">
                  <c:v>38.728699999999996</c:v>
                </c:pt>
                <c:pt idx="51">
                  <c:v>38.5473</c:v>
                </c:pt>
                <c:pt idx="52">
                  <c:v>38.4178</c:v>
                </c:pt>
                <c:pt idx="53">
                  <c:v>38.278099999999995</c:v>
                </c:pt>
                <c:pt idx="54">
                  <c:v>38.130900000000004</c:v>
                </c:pt>
                <c:pt idx="55">
                  <c:v>38.009500000000003</c:v>
                </c:pt>
                <c:pt idx="56">
                  <c:v>37.939799999999998</c:v>
                </c:pt>
                <c:pt idx="57">
                  <c:v>37.891799999999996</c:v>
                </c:pt>
                <c:pt idx="58">
                  <c:v>37.806400000000004</c:v>
                </c:pt>
                <c:pt idx="59">
                  <c:v>37.728699999999996</c:v>
                </c:pt>
                <c:pt idx="60">
                  <c:v>37.657600000000002</c:v>
                </c:pt>
                <c:pt idx="61">
                  <c:v>37.5839</c:v>
                </c:pt>
                <c:pt idx="62">
                  <c:v>37.565300000000001</c:v>
                </c:pt>
                <c:pt idx="63">
                  <c:v>37.594100000000005</c:v>
                </c:pt>
                <c:pt idx="64">
                  <c:v>37.624600000000001</c:v>
                </c:pt>
                <c:pt idx="65">
                  <c:v>37.587199999999996</c:v>
                </c:pt>
                <c:pt idx="66">
                  <c:v>37.462200000000003</c:v>
                </c:pt>
                <c:pt idx="67">
                  <c:v>37.358899999999998</c:v>
                </c:pt>
                <c:pt idx="68">
                  <c:v>37.327100000000002</c:v>
                </c:pt>
                <c:pt idx="69">
                  <c:v>37.262499999999996</c:v>
                </c:pt>
                <c:pt idx="70">
                  <c:v>37.203099999999999</c:v>
                </c:pt>
                <c:pt idx="71">
                  <c:v>37.184400000000004</c:v>
                </c:pt>
                <c:pt idx="72">
                  <c:v>37.151200000000003</c:v>
                </c:pt>
                <c:pt idx="73">
                  <c:v>37.137900000000002</c:v>
                </c:pt>
                <c:pt idx="74">
                  <c:v>37.186599999999999</c:v>
                </c:pt>
                <c:pt idx="75">
                  <c:v>37.1295</c:v>
                </c:pt>
                <c:pt idx="76">
                  <c:v>36.9863</c:v>
                </c:pt>
                <c:pt idx="77">
                  <c:v>36.823099999999997</c:v>
                </c:pt>
                <c:pt idx="78">
                  <c:v>36.627400000000002</c:v>
                </c:pt>
                <c:pt idx="79">
                  <c:v>36.406399999999998</c:v>
                </c:pt>
                <c:pt idx="80">
                  <c:v>36.247399999999999</c:v>
                </c:pt>
                <c:pt idx="81">
                  <c:v>36.085499999999996</c:v>
                </c:pt>
                <c:pt idx="82">
                  <c:v>35.886400000000002</c:v>
                </c:pt>
                <c:pt idx="83">
                  <c:v>35.707100000000004</c:v>
                </c:pt>
                <c:pt idx="84">
                  <c:v>35.468200000000003</c:v>
                </c:pt>
                <c:pt idx="85">
                  <c:v>35.199999999999996</c:v>
                </c:pt>
                <c:pt idx="86">
                  <c:v>34.888400000000004</c:v>
                </c:pt>
                <c:pt idx="87">
                  <c:v>34.619499999999995</c:v>
                </c:pt>
                <c:pt idx="88">
                  <c:v>34.324300000000001</c:v>
                </c:pt>
                <c:pt idx="89">
                  <c:v>34.029299999999999</c:v>
                </c:pt>
                <c:pt idx="90">
                  <c:v>33.689300000000003</c:v>
                </c:pt>
                <c:pt idx="91">
                  <c:v>33.387899999999995</c:v>
                </c:pt>
                <c:pt idx="92">
                  <c:v>33.092500000000001</c:v>
                </c:pt>
                <c:pt idx="93">
                  <c:v>32.7502</c:v>
                </c:pt>
                <c:pt idx="94">
                  <c:v>32.402099999999997</c:v>
                </c:pt>
                <c:pt idx="95">
                  <c:v>32.065199999999997</c:v>
                </c:pt>
                <c:pt idx="96">
                  <c:v>31.658799999999999</c:v>
                </c:pt>
                <c:pt idx="97">
                  <c:v>31.277200000000001</c:v>
                </c:pt>
                <c:pt idx="98">
                  <c:v>30.892999999999997</c:v>
                </c:pt>
                <c:pt idx="99">
                  <c:v>30.4937</c:v>
                </c:pt>
                <c:pt idx="100">
                  <c:v>30.008400000000002</c:v>
                </c:pt>
                <c:pt idx="101">
                  <c:v>29.540100000000002</c:v>
                </c:pt>
                <c:pt idx="102">
                  <c:v>29.064600000000002</c:v>
                </c:pt>
                <c:pt idx="103">
                  <c:v>28.5015</c:v>
                </c:pt>
                <c:pt idx="104">
                  <c:v>27.819899999999997</c:v>
                </c:pt>
                <c:pt idx="105">
                  <c:v>27.036500000000004</c:v>
                </c:pt>
                <c:pt idx="106">
                  <c:v>26.225100000000001</c:v>
                </c:pt>
                <c:pt idx="107">
                  <c:v>25.4297</c:v>
                </c:pt>
                <c:pt idx="108">
                  <c:v>24.6843</c:v>
                </c:pt>
                <c:pt idx="109">
                  <c:v>24.070599999999999</c:v>
                </c:pt>
                <c:pt idx="110">
                  <c:v>23.349600000000002</c:v>
                </c:pt>
                <c:pt idx="111">
                  <c:v>22.555800000000001</c:v>
                </c:pt>
                <c:pt idx="112">
                  <c:v>21.670100000000001</c:v>
                </c:pt>
                <c:pt idx="113">
                  <c:v>20.858899999999998</c:v>
                </c:pt>
                <c:pt idx="114">
                  <c:v>19.972899999999999</c:v>
                </c:pt>
                <c:pt idx="115">
                  <c:v>19.077400000000001</c:v>
                </c:pt>
                <c:pt idx="116">
                  <c:v>18.142299999999999</c:v>
                </c:pt>
                <c:pt idx="117">
                  <c:v>17.245100000000001</c:v>
                </c:pt>
                <c:pt idx="118">
                  <c:v>16.516400000000001</c:v>
                </c:pt>
                <c:pt idx="119">
                  <c:v>15.8497</c:v>
                </c:pt>
                <c:pt idx="120">
                  <c:v>15.257899999999999</c:v>
                </c:pt>
                <c:pt idx="121">
                  <c:v>14.672199999999998</c:v>
                </c:pt>
                <c:pt idx="122">
                  <c:v>14.089499999999999</c:v>
                </c:pt>
                <c:pt idx="123">
                  <c:v>13.587199999999999</c:v>
                </c:pt>
                <c:pt idx="124">
                  <c:v>13.126199999999999</c:v>
                </c:pt>
                <c:pt idx="125">
                  <c:v>12.740000000000002</c:v>
                </c:pt>
                <c:pt idx="126">
                  <c:v>12.3553</c:v>
                </c:pt>
                <c:pt idx="127">
                  <c:v>11.969200000000001</c:v>
                </c:pt>
                <c:pt idx="128">
                  <c:v>11.6145</c:v>
                </c:pt>
                <c:pt idx="129">
                  <c:v>11.336599999999999</c:v>
                </c:pt>
                <c:pt idx="130">
                  <c:v>11.091699999999999</c:v>
                </c:pt>
                <c:pt idx="131">
                  <c:v>10.895299999999999</c:v>
                </c:pt>
                <c:pt idx="132">
                  <c:v>10.716100000000001</c:v>
                </c:pt>
                <c:pt idx="133">
                  <c:v>10.517899999999999</c:v>
                </c:pt>
                <c:pt idx="134">
                  <c:v>10.1465</c:v>
                </c:pt>
                <c:pt idx="135">
                  <c:v>9.8835700000000006</c:v>
                </c:pt>
                <c:pt idx="136">
                  <c:v>9.7229899999999994</c:v>
                </c:pt>
                <c:pt idx="137">
                  <c:v>9.6569400000000005</c:v>
                </c:pt>
                <c:pt idx="138">
                  <c:v>9.5364500000000003</c:v>
                </c:pt>
                <c:pt idx="139">
                  <c:v>9.6499900000000007</c:v>
                </c:pt>
                <c:pt idx="140">
                  <c:v>9.9831799999999991</c:v>
                </c:pt>
                <c:pt idx="141">
                  <c:v>10.5319</c:v>
                </c:pt>
                <c:pt idx="142">
                  <c:v>11.1342</c:v>
                </c:pt>
                <c:pt idx="143">
                  <c:v>11.395</c:v>
                </c:pt>
                <c:pt idx="144">
                  <c:v>11.635900000000001</c:v>
                </c:pt>
                <c:pt idx="145">
                  <c:v>11.454499999999999</c:v>
                </c:pt>
                <c:pt idx="146">
                  <c:v>11.573</c:v>
                </c:pt>
                <c:pt idx="147">
                  <c:v>12.3001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0.41066399999999997</c:v>
                </c:pt>
                <c:pt idx="2">
                  <c:v>0.81453900000000001</c:v>
                </c:pt>
                <c:pt idx="3">
                  <c:v>1.2194199999999999</c:v>
                </c:pt>
                <c:pt idx="4">
                  <c:v>1.6248400000000001</c:v>
                </c:pt>
                <c:pt idx="5">
                  <c:v>2.0305300000000002</c:v>
                </c:pt>
                <c:pt idx="6">
                  <c:v>2.43926</c:v>
                </c:pt>
                <c:pt idx="7">
                  <c:v>2.8451399999999998</c:v>
                </c:pt>
                <c:pt idx="8">
                  <c:v>3.25</c:v>
                </c:pt>
                <c:pt idx="9">
                  <c:v>3.65828</c:v>
                </c:pt>
                <c:pt idx="10">
                  <c:v>4.0623300000000002</c:v>
                </c:pt>
                <c:pt idx="11">
                  <c:v>4.4717399999999996</c:v>
                </c:pt>
                <c:pt idx="12">
                  <c:v>4.87676</c:v>
                </c:pt>
                <c:pt idx="13">
                  <c:v>5.2816299999999998</c:v>
                </c:pt>
                <c:pt idx="14">
                  <c:v>5.6876499999999997</c:v>
                </c:pt>
                <c:pt idx="15">
                  <c:v>6.0931300000000004</c:v>
                </c:pt>
                <c:pt idx="16">
                  <c:v>6.4990500000000004</c:v>
                </c:pt>
                <c:pt idx="17">
                  <c:v>6.9080899999999996</c:v>
                </c:pt>
                <c:pt idx="18">
                  <c:v>7.3121499999999999</c:v>
                </c:pt>
                <c:pt idx="19">
                  <c:v>7.7202200000000003</c:v>
                </c:pt>
                <c:pt idx="20">
                  <c:v>8.1249900000000004</c:v>
                </c:pt>
                <c:pt idx="21">
                  <c:v>8.5328900000000001</c:v>
                </c:pt>
                <c:pt idx="22">
                  <c:v>8.9390000000000001</c:v>
                </c:pt>
                <c:pt idx="23">
                  <c:v>9.3433299999999999</c:v>
                </c:pt>
                <c:pt idx="24">
                  <c:v>9.7476000000000003</c:v>
                </c:pt>
                <c:pt idx="25">
                  <c:v>10.1568</c:v>
                </c:pt>
                <c:pt idx="26">
                  <c:v>10.5656</c:v>
                </c:pt>
                <c:pt idx="27">
                  <c:v>10.971399999999999</c:v>
                </c:pt>
                <c:pt idx="28">
                  <c:v>11.3742</c:v>
                </c:pt>
                <c:pt idx="29">
                  <c:v>11.7789</c:v>
                </c:pt>
                <c:pt idx="30">
                  <c:v>12.1881</c:v>
                </c:pt>
                <c:pt idx="31">
                  <c:v>12.594099999999999</c:v>
                </c:pt>
                <c:pt idx="32">
                  <c:v>13.001200000000001</c:v>
                </c:pt>
                <c:pt idx="33">
                  <c:v>13.407999999999999</c:v>
                </c:pt>
                <c:pt idx="34">
                  <c:v>13.8133</c:v>
                </c:pt>
                <c:pt idx="35">
                  <c:v>14.2187</c:v>
                </c:pt>
                <c:pt idx="36">
                  <c:v>14.623900000000001</c:v>
                </c:pt>
                <c:pt idx="37">
                  <c:v>15.0313</c:v>
                </c:pt>
                <c:pt idx="38">
                  <c:v>15.4414</c:v>
                </c:pt>
                <c:pt idx="39">
                  <c:v>15.8454</c:v>
                </c:pt>
                <c:pt idx="40">
                  <c:v>16.2502</c:v>
                </c:pt>
                <c:pt idx="41">
                  <c:v>16.658899999999999</c:v>
                </c:pt>
                <c:pt idx="42">
                  <c:v>17.061299999999999</c:v>
                </c:pt>
                <c:pt idx="43">
                  <c:v>17.4678</c:v>
                </c:pt>
                <c:pt idx="44">
                  <c:v>17.876799999999999</c:v>
                </c:pt>
                <c:pt idx="45">
                  <c:v>18.2852</c:v>
                </c:pt>
                <c:pt idx="46">
                  <c:v>18.687999999999999</c:v>
                </c:pt>
                <c:pt idx="47">
                  <c:v>19.0929</c:v>
                </c:pt>
                <c:pt idx="48">
                  <c:v>19.502800000000001</c:v>
                </c:pt>
                <c:pt idx="49">
                  <c:v>19.906400000000001</c:v>
                </c:pt>
                <c:pt idx="50">
                  <c:v>20.311699999999998</c:v>
                </c:pt>
                <c:pt idx="51">
                  <c:v>20.718499999999999</c:v>
                </c:pt>
                <c:pt idx="52">
                  <c:v>21.125499999999999</c:v>
                </c:pt>
                <c:pt idx="53">
                  <c:v>21.532499999999999</c:v>
                </c:pt>
                <c:pt idx="54">
                  <c:v>21.9406</c:v>
                </c:pt>
                <c:pt idx="55">
                  <c:v>22.347200000000001</c:v>
                </c:pt>
                <c:pt idx="56">
                  <c:v>22.7483</c:v>
                </c:pt>
                <c:pt idx="57">
                  <c:v>23.1584</c:v>
                </c:pt>
                <c:pt idx="58">
                  <c:v>23.5626</c:v>
                </c:pt>
                <c:pt idx="59">
                  <c:v>23.972000000000001</c:v>
                </c:pt>
                <c:pt idx="60">
                  <c:v>24.376899999999999</c:v>
                </c:pt>
                <c:pt idx="61">
                  <c:v>24.78</c:v>
                </c:pt>
                <c:pt idx="62">
                  <c:v>25.1877</c:v>
                </c:pt>
                <c:pt idx="63">
                  <c:v>25.592700000000001</c:v>
                </c:pt>
                <c:pt idx="64">
                  <c:v>26.003399999999999</c:v>
                </c:pt>
                <c:pt idx="65">
                  <c:v>26.4053</c:v>
                </c:pt>
                <c:pt idx="66">
                  <c:v>26.811299999999999</c:v>
                </c:pt>
                <c:pt idx="67">
                  <c:v>27.222200000000001</c:v>
                </c:pt>
                <c:pt idx="68">
                  <c:v>27.627600000000001</c:v>
                </c:pt>
                <c:pt idx="69">
                  <c:v>28.0304</c:v>
                </c:pt>
                <c:pt idx="70">
                  <c:v>28.439399999999999</c:v>
                </c:pt>
                <c:pt idx="71">
                  <c:v>28.8432</c:v>
                </c:pt>
                <c:pt idx="72">
                  <c:v>29.250800000000002</c:v>
                </c:pt>
                <c:pt idx="73">
                  <c:v>29.657800000000002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60.410899999999998</c:v>
                </c:pt>
                <c:pt idx="1">
                  <c:v>59.418400000000005</c:v>
                </c:pt>
                <c:pt idx="2">
                  <c:v>58.457300000000004</c:v>
                </c:pt>
                <c:pt idx="3">
                  <c:v>57.6126</c:v>
                </c:pt>
                <c:pt idx="4">
                  <c:v>56.748699999999999</c:v>
                </c:pt>
                <c:pt idx="5">
                  <c:v>55.990799999999993</c:v>
                </c:pt>
                <c:pt idx="6">
                  <c:v>55.292699999999996</c:v>
                </c:pt>
                <c:pt idx="7">
                  <c:v>54.523299999999999</c:v>
                </c:pt>
                <c:pt idx="8">
                  <c:v>53.795099999999998</c:v>
                </c:pt>
                <c:pt idx="9">
                  <c:v>52.981500000000004</c:v>
                </c:pt>
                <c:pt idx="10">
                  <c:v>52.126199999999997</c:v>
                </c:pt>
                <c:pt idx="11">
                  <c:v>51.244700000000002</c:v>
                </c:pt>
                <c:pt idx="12">
                  <c:v>50.414099999999998</c:v>
                </c:pt>
                <c:pt idx="13">
                  <c:v>49.49</c:v>
                </c:pt>
                <c:pt idx="14">
                  <c:v>48.670200000000001</c:v>
                </c:pt>
                <c:pt idx="15">
                  <c:v>48.076099999999997</c:v>
                </c:pt>
                <c:pt idx="16">
                  <c:v>47.581200000000003</c:v>
                </c:pt>
                <c:pt idx="17">
                  <c:v>47.034500000000001</c:v>
                </c:pt>
                <c:pt idx="18">
                  <c:v>46.4816</c:v>
                </c:pt>
                <c:pt idx="19">
                  <c:v>45.9572</c:v>
                </c:pt>
                <c:pt idx="20">
                  <c:v>45.471800000000002</c:v>
                </c:pt>
                <c:pt idx="21">
                  <c:v>44.9621</c:v>
                </c:pt>
                <c:pt idx="22">
                  <c:v>44.527499999999996</c:v>
                </c:pt>
                <c:pt idx="23">
                  <c:v>44.13</c:v>
                </c:pt>
                <c:pt idx="24">
                  <c:v>43.716200000000001</c:v>
                </c:pt>
                <c:pt idx="25">
                  <c:v>43.381300000000003</c:v>
                </c:pt>
                <c:pt idx="26">
                  <c:v>43.055599999999998</c:v>
                </c:pt>
                <c:pt idx="27">
                  <c:v>42.7545</c:v>
                </c:pt>
                <c:pt idx="28">
                  <c:v>42.463000000000001</c:v>
                </c:pt>
                <c:pt idx="29">
                  <c:v>42.224699999999999</c:v>
                </c:pt>
                <c:pt idx="30">
                  <c:v>41.986699999999999</c:v>
                </c:pt>
                <c:pt idx="31">
                  <c:v>41.7102</c:v>
                </c:pt>
                <c:pt idx="32">
                  <c:v>41.4298</c:v>
                </c:pt>
                <c:pt idx="33">
                  <c:v>41.154499999999999</c:v>
                </c:pt>
                <c:pt idx="34">
                  <c:v>40.894399999999997</c:v>
                </c:pt>
                <c:pt idx="35">
                  <c:v>40.695700000000002</c:v>
                </c:pt>
                <c:pt idx="36">
                  <c:v>40.569800000000001</c:v>
                </c:pt>
                <c:pt idx="37">
                  <c:v>40.4268</c:v>
                </c:pt>
                <c:pt idx="38">
                  <c:v>40.316899999999997</c:v>
                </c:pt>
                <c:pt idx="39">
                  <c:v>40.170999999999999</c:v>
                </c:pt>
                <c:pt idx="40">
                  <c:v>40.016200000000005</c:v>
                </c:pt>
                <c:pt idx="41">
                  <c:v>39.895499999999998</c:v>
                </c:pt>
                <c:pt idx="42">
                  <c:v>39.7913</c:v>
                </c:pt>
                <c:pt idx="43">
                  <c:v>39.684599999999996</c:v>
                </c:pt>
                <c:pt idx="44">
                  <c:v>39.601100000000002</c:v>
                </c:pt>
                <c:pt idx="45">
                  <c:v>39.491599999999998</c:v>
                </c:pt>
                <c:pt idx="46">
                  <c:v>39.387699999999995</c:v>
                </c:pt>
                <c:pt idx="47">
                  <c:v>39.246700000000004</c:v>
                </c:pt>
                <c:pt idx="48">
                  <c:v>39.100099999999998</c:v>
                </c:pt>
                <c:pt idx="49">
                  <c:v>38.906300000000002</c:v>
                </c:pt>
                <c:pt idx="50">
                  <c:v>38.728699999999996</c:v>
                </c:pt>
                <c:pt idx="51">
                  <c:v>38.5473</c:v>
                </c:pt>
                <c:pt idx="52">
                  <c:v>38.4178</c:v>
                </c:pt>
                <c:pt idx="53">
                  <c:v>38.278099999999995</c:v>
                </c:pt>
                <c:pt idx="54">
                  <c:v>38.130900000000004</c:v>
                </c:pt>
                <c:pt idx="55">
                  <c:v>38.009500000000003</c:v>
                </c:pt>
                <c:pt idx="56">
                  <c:v>37.939799999999998</c:v>
                </c:pt>
                <c:pt idx="57">
                  <c:v>37.891799999999996</c:v>
                </c:pt>
                <c:pt idx="58">
                  <c:v>37.806400000000004</c:v>
                </c:pt>
                <c:pt idx="59">
                  <c:v>37.728699999999996</c:v>
                </c:pt>
                <c:pt idx="60">
                  <c:v>37.657600000000002</c:v>
                </c:pt>
                <c:pt idx="61">
                  <c:v>37.5839</c:v>
                </c:pt>
                <c:pt idx="62">
                  <c:v>37.565300000000001</c:v>
                </c:pt>
                <c:pt idx="63">
                  <c:v>37.594100000000005</c:v>
                </c:pt>
                <c:pt idx="64">
                  <c:v>37.624600000000001</c:v>
                </c:pt>
                <c:pt idx="65">
                  <c:v>37.587199999999996</c:v>
                </c:pt>
                <c:pt idx="66">
                  <c:v>37.462200000000003</c:v>
                </c:pt>
                <c:pt idx="67">
                  <c:v>37.358899999999998</c:v>
                </c:pt>
                <c:pt idx="68">
                  <c:v>37.327100000000002</c:v>
                </c:pt>
                <c:pt idx="69">
                  <c:v>37.262499999999996</c:v>
                </c:pt>
                <c:pt idx="70">
                  <c:v>37.203099999999999</c:v>
                </c:pt>
                <c:pt idx="71">
                  <c:v>37.184400000000004</c:v>
                </c:pt>
                <c:pt idx="72">
                  <c:v>37.151200000000003</c:v>
                </c:pt>
                <c:pt idx="73">
                  <c:v>37.137900000000002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29.657800000000002</c:v>
                </c:pt>
                <c:pt idx="1">
                  <c:v>30.060600000000001</c:v>
                </c:pt>
                <c:pt idx="2">
                  <c:v>30.5306</c:v>
                </c:pt>
                <c:pt idx="3">
                  <c:v>30.936599999999999</c:v>
                </c:pt>
                <c:pt idx="4">
                  <c:v>31.328499999999998</c:v>
                </c:pt>
                <c:pt idx="5">
                  <c:v>31.735199999999999</c:v>
                </c:pt>
                <c:pt idx="6">
                  <c:v>32.148000000000003</c:v>
                </c:pt>
                <c:pt idx="7">
                  <c:v>32.546999999999997</c:v>
                </c:pt>
                <c:pt idx="8">
                  <c:v>32.958799999999997</c:v>
                </c:pt>
                <c:pt idx="9">
                  <c:v>33.362699999999997</c:v>
                </c:pt>
                <c:pt idx="10">
                  <c:v>33.766800000000003</c:v>
                </c:pt>
                <c:pt idx="11">
                  <c:v>34.177599999999998</c:v>
                </c:pt>
                <c:pt idx="12">
                  <c:v>34.583500000000001</c:v>
                </c:pt>
                <c:pt idx="13">
                  <c:v>34.985599999999998</c:v>
                </c:pt>
                <c:pt idx="14">
                  <c:v>35.392600000000002</c:v>
                </c:pt>
                <c:pt idx="15">
                  <c:v>35.796199999999999</c:v>
                </c:pt>
                <c:pt idx="16">
                  <c:v>36.206499999999998</c:v>
                </c:pt>
                <c:pt idx="17">
                  <c:v>36.611400000000003</c:v>
                </c:pt>
                <c:pt idx="18">
                  <c:v>37.018900000000002</c:v>
                </c:pt>
                <c:pt idx="19">
                  <c:v>37.420900000000003</c:v>
                </c:pt>
                <c:pt idx="20">
                  <c:v>37.825299999999999</c:v>
                </c:pt>
                <c:pt idx="21">
                  <c:v>38.234999999999999</c:v>
                </c:pt>
                <c:pt idx="22">
                  <c:v>38.642600000000002</c:v>
                </c:pt>
                <c:pt idx="23">
                  <c:v>39.048499999999997</c:v>
                </c:pt>
                <c:pt idx="24">
                  <c:v>39.455500000000001</c:v>
                </c:pt>
                <c:pt idx="25">
                  <c:v>39.859200000000001</c:v>
                </c:pt>
                <c:pt idx="26">
                  <c:v>40.266500000000001</c:v>
                </c:pt>
                <c:pt idx="27">
                  <c:v>40.671100000000003</c:v>
                </c:pt>
                <c:pt idx="28">
                  <c:v>41.078200000000002</c:v>
                </c:pt>
                <c:pt idx="29">
                  <c:v>41.484099999999998</c:v>
                </c:pt>
                <c:pt idx="30">
                  <c:v>41.8902</c:v>
                </c:pt>
                <c:pt idx="31">
                  <c:v>42.2958</c:v>
                </c:pt>
                <c:pt idx="32">
                  <c:v>42.702800000000003</c:v>
                </c:pt>
                <c:pt idx="33">
                  <c:v>43.110199999999999</c:v>
                </c:pt>
                <c:pt idx="34">
                  <c:v>43.515599999999999</c:v>
                </c:pt>
                <c:pt idx="35">
                  <c:v>43.924599999999998</c:v>
                </c:pt>
                <c:pt idx="36">
                  <c:v>44.329300000000003</c:v>
                </c:pt>
                <c:pt idx="37">
                  <c:v>44.735300000000002</c:v>
                </c:pt>
                <c:pt idx="38">
                  <c:v>45.140599999999999</c:v>
                </c:pt>
                <c:pt idx="39">
                  <c:v>45.547600000000003</c:v>
                </c:pt>
                <c:pt idx="40">
                  <c:v>45.956000000000003</c:v>
                </c:pt>
                <c:pt idx="41">
                  <c:v>46.363</c:v>
                </c:pt>
                <c:pt idx="42">
                  <c:v>46.767899999999997</c:v>
                </c:pt>
                <c:pt idx="43">
                  <c:v>47.174999999999997</c:v>
                </c:pt>
                <c:pt idx="44">
                  <c:v>47.580800000000004</c:v>
                </c:pt>
                <c:pt idx="45">
                  <c:v>47.984999999999999</c:v>
                </c:pt>
                <c:pt idx="46">
                  <c:v>48.394500000000001</c:v>
                </c:pt>
                <c:pt idx="47">
                  <c:v>48.795499999999997</c:v>
                </c:pt>
                <c:pt idx="48">
                  <c:v>49.202199999999998</c:v>
                </c:pt>
                <c:pt idx="49">
                  <c:v>49.609400000000001</c:v>
                </c:pt>
                <c:pt idx="50">
                  <c:v>50.015000000000001</c:v>
                </c:pt>
                <c:pt idx="51">
                  <c:v>50.423099999999998</c:v>
                </c:pt>
                <c:pt idx="52">
                  <c:v>50.83</c:v>
                </c:pt>
                <c:pt idx="53">
                  <c:v>51.234900000000003</c:v>
                </c:pt>
                <c:pt idx="54">
                  <c:v>51.643000000000001</c:v>
                </c:pt>
                <c:pt idx="55">
                  <c:v>52.050699999999999</c:v>
                </c:pt>
                <c:pt idx="56">
                  <c:v>52.463900000000002</c:v>
                </c:pt>
                <c:pt idx="57">
                  <c:v>52.860700000000001</c:v>
                </c:pt>
                <c:pt idx="58">
                  <c:v>53.264200000000002</c:v>
                </c:pt>
                <c:pt idx="59">
                  <c:v>53.6736</c:v>
                </c:pt>
                <c:pt idx="60">
                  <c:v>54.081099999999999</c:v>
                </c:pt>
                <c:pt idx="61">
                  <c:v>54.4893</c:v>
                </c:pt>
                <c:pt idx="62">
                  <c:v>54.890599999999999</c:v>
                </c:pt>
                <c:pt idx="63">
                  <c:v>55.295699999999997</c:v>
                </c:pt>
                <c:pt idx="64">
                  <c:v>55.703899999999997</c:v>
                </c:pt>
                <c:pt idx="65">
                  <c:v>56.11</c:v>
                </c:pt>
                <c:pt idx="66">
                  <c:v>56.518999999999998</c:v>
                </c:pt>
                <c:pt idx="67">
                  <c:v>56.927900000000001</c:v>
                </c:pt>
                <c:pt idx="68">
                  <c:v>57.332799999999999</c:v>
                </c:pt>
                <c:pt idx="69">
                  <c:v>57.738700000000001</c:v>
                </c:pt>
                <c:pt idx="70">
                  <c:v>58.143599999999999</c:v>
                </c:pt>
                <c:pt idx="71">
                  <c:v>58.5441</c:v>
                </c:pt>
                <c:pt idx="72">
                  <c:v>58.959499999999998</c:v>
                </c:pt>
                <c:pt idx="73">
                  <c:v>59.358600000000003</c:v>
                </c:pt>
                <c:pt idx="74">
                  <c:v>59.766800000000003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37.137900000000002</c:v>
                </c:pt>
                <c:pt idx="1">
                  <c:v>37.186599999999999</c:v>
                </c:pt>
                <c:pt idx="2">
                  <c:v>37.1295</c:v>
                </c:pt>
                <c:pt idx="3">
                  <c:v>36.9863</c:v>
                </c:pt>
                <c:pt idx="4">
                  <c:v>36.823099999999997</c:v>
                </c:pt>
                <c:pt idx="5">
                  <c:v>36.627400000000002</c:v>
                </c:pt>
                <c:pt idx="6">
                  <c:v>36.406399999999998</c:v>
                </c:pt>
                <c:pt idx="7">
                  <c:v>36.247399999999999</c:v>
                </c:pt>
                <c:pt idx="8">
                  <c:v>36.085499999999996</c:v>
                </c:pt>
                <c:pt idx="9">
                  <c:v>35.886400000000002</c:v>
                </c:pt>
                <c:pt idx="10">
                  <c:v>35.707100000000004</c:v>
                </c:pt>
                <c:pt idx="11">
                  <c:v>35.468200000000003</c:v>
                </c:pt>
                <c:pt idx="12">
                  <c:v>35.199999999999996</c:v>
                </c:pt>
                <c:pt idx="13">
                  <c:v>34.888400000000004</c:v>
                </c:pt>
                <c:pt idx="14">
                  <c:v>34.619499999999995</c:v>
                </c:pt>
                <c:pt idx="15">
                  <c:v>34.324300000000001</c:v>
                </c:pt>
                <c:pt idx="16">
                  <c:v>34.029299999999999</c:v>
                </c:pt>
                <c:pt idx="17">
                  <c:v>33.689300000000003</c:v>
                </c:pt>
                <c:pt idx="18">
                  <c:v>33.387899999999995</c:v>
                </c:pt>
                <c:pt idx="19">
                  <c:v>33.092500000000001</c:v>
                </c:pt>
                <c:pt idx="20">
                  <c:v>32.7502</c:v>
                </c:pt>
                <c:pt idx="21">
                  <c:v>32.402099999999997</c:v>
                </c:pt>
                <c:pt idx="22">
                  <c:v>32.065199999999997</c:v>
                </c:pt>
                <c:pt idx="23">
                  <c:v>31.658799999999999</c:v>
                </c:pt>
                <c:pt idx="24">
                  <c:v>31.277200000000001</c:v>
                </c:pt>
                <c:pt idx="25">
                  <c:v>30.892999999999997</c:v>
                </c:pt>
                <c:pt idx="26">
                  <c:v>30.4937</c:v>
                </c:pt>
                <c:pt idx="27">
                  <c:v>30.008400000000002</c:v>
                </c:pt>
                <c:pt idx="28">
                  <c:v>29.540100000000002</c:v>
                </c:pt>
                <c:pt idx="29">
                  <c:v>29.064600000000002</c:v>
                </c:pt>
                <c:pt idx="30">
                  <c:v>28.5015</c:v>
                </c:pt>
                <c:pt idx="31">
                  <c:v>27.819899999999997</c:v>
                </c:pt>
                <c:pt idx="32">
                  <c:v>27.036500000000004</c:v>
                </c:pt>
                <c:pt idx="33">
                  <c:v>26.225100000000001</c:v>
                </c:pt>
                <c:pt idx="34">
                  <c:v>25.4297</c:v>
                </c:pt>
                <c:pt idx="35">
                  <c:v>24.6843</c:v>
                </c:pt>
                <c:pt idx="36">
                  <c:v>24.070599999999999</c:v>
                </c:pt>
                <c:pt idx="37">
                  <c:v>23.349600000000002</c:v>
                </c:pt>
                <c:pt idx="38">
                  <c:v>22.555800000000001</c:v>
                </c:pt>
                <c:pt idx="39">
                  <c:v>21.670100000000001</c:v>
                </c:pt>
                <c:pt idx="40">
                  <c:v>20.858899999999998</c:v>
                </c:pt>
                <c:pt idx="41">
                  <c:v>19.972899999999999</c:v>
                </c:pt>
                <c:pt idx="42">
                  <c:v>19.077400000000001</c:v>
                </c:pt>
                <c:pt idx="43">
                  <c:v>18.142299999999999</c:v>
                </c:pt>
                <c:pt idx="44">
                  <c:v>17.245100000000001</c:v>
                </c:pt>
                <c:pt idx="45">
                  <c:v>16.516400000000001</c:v>
                </c:pt>
                <c:pt idx="46">
                  <c:v>15.8497</c:v>
                </c:pt>
                <c:pt idx="47">
                  <c:v>15.257899999999999</c:v>
                </c:pt>
                <c:pt idx="48">
                  <c:v>14.672199999999998</c:v>
                </c:pt>
                <c:pt idx="49">
                  <c:v>14.089499999999999</c:v>
                </c:pt>
                <c:pt idx="50">
                  <c:v>13.587199999999999</c:v>
                </c:pt>
                <c:pt idx="51">
                  <c:v>13.126199999999999</c:v>
                </c:pt>
                <c:pt idx="52">
                  <c:v>12.740000000000002</c:v>
                </c:pt>
                <c:pt idx="53">
                  <c:v>12.3553</c:v>
                </c:pt>
                <c:pt idx="54">
                  <c:v>11.969200000000001</c:v>
                </c:pt>
                <c:pt idx="55">
                  <c:v>11.6145</c:v>
                </c:pt>
                <c:pt idx="56">
                  <c:v>11.336599999999999</c:v>
                </c:pt>
                <c:pt idx="57">
                  <c:v>11.091699999999999</c:v>
                </c:pt>
                <c:pt idx="58">
                  <c:v>10.895299999999999</c:v>
                </c:pt>
                <c:pt idx="59">
                  <c:v>10.716100000000001</c:v>
                </c:pt>
                <c:pt idx="60">
                  <c:v>10.517899999999999</c:v>
                </c:pt>
                <c:pt idx="61">
                  <c:v>10.1465</c:v>
                </c:pt>
                <c:pt idx="62">
                  <c:v>9.8835700000000006</c:v>
                </c:pt>
                <c:pt idx="63">
                  <c:v>9.7229899999999994</c:v>
                </c:pt>
                <c:pt idx="64">
                  <c:v>9.6569400000000005</c:v>
                </c:pt>
                <c:pt idx="65">
                  <c:v>9.5364500000000003</c:v>
                </c:pt>
                <c:pt idx="66">
                  <c:v>9.6499900000000007</c:v>
                </c:pt>
                <c:pt idx="67">
                  <c:v>9.9831799999999991</c:v>
                </c:pt>
                <c:pt idx="68">
                  <c:v>10.5319</c:v>
                </c:pt>
                <c:pt idx="69">
                  <c:v>11.1342</c:v>
                </c:pt>
                <c:pt idx="70">
                  <c:v>11.395</c:v>
                </c:pt>
                <c:pt idx="71">
                  <c:v>11.635900000000001</c:v>
                </c:pt>
                <c:pt idx="72">
                  <c:v>11.454499999999999</c:v>
                </c:pt>
                <c:pt idx="73">
                  <c:v>11.573</c:v>
                </c:pt>
                <c:pt idx="74">
                  <c:v>12.3001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14.941700000000001</c:v>
                </c:pt>
                <c:pt idx="1">
                  <c:v>44.825100000000006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43.224995945945935</c:v>
                </c:pt>
                <c:pt idx="1">
                  <c:v>22.777270540540538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1.55447</c:v>
                </c:pt>
                <c:pt idx="1">
                  <c:v>1.60964</c:v>
                </c:pt>
                <c:pt idx="2">
                  <c:v>1.6647400000000001</c:v>
                </c:pt>
                <c:pt idx="3">
                  <c:v>1.7183599999999999</c:v>
                </c:pt>
                <c:pt idx="4">
                  <c:v>1.7709600000000001</c:v>
                </c:pt>
                <c:pt idx="5">
                  <c:v>1.8215400000000002</c:v>
                </c:pt>
                <c:pt idx="6">
                  <c:v>1.8706200000000002</c:v>
                </c:pt>
                <c:pt idx="7">
                  <c:v>1.9209000000000001</c:v>
                </c:pt>
                <c:pt idx="8">
                  <c:v>1.9701299999999999</c:v>
                </c:pt>
                <c:pt idx="9">
                  <c:v>2.0217099999999997</c:v>
                </c:pt>
                <c:pt idx="10">
                  <c:v>2.0731999999999999</c:v>
                </c:pt>
                <c:pt idx="11">
                  <c:v>2.1233200000000001</c:v>
                </c:pt>
                <c:pt idx="12">
                  <c:v>2.1724199999999998</c:v>
                </c:pt>
                <c:pt idx="13">
                  <c:v>2.2232699999999999</c:v>
                </c:pt>
                <c:pt idx="14">
                  <c:v>2.2729499999999998</c:v>
                </c:pt>
                <c:pt idx="15">
                  <c:v>2.3189199999999999</c:v>
                </c:pt>
                <c:pt idx="16">
                  <c:v>2.3625699999999998</c:v>
                </c:pt>
                <c:pt idx="17">
                  <c:v>2.4040699999999999</c:v>
                </c:pt>
                <c:pt idx="18">
                  <c:v>2.4443999999999999</c:v>
                </c:pt>
                <c:pt idx="19">
                  <c:v>2.4820199999999999</c:v>
                </c:pt>
                <c:pt idx="20">
                  <c:v>2.5172499999999998</c:v>
                </c:pt>
                <c:pt idx="21">
                  <c:v>2.5513200000000005</c:v>
                </c:pt>
                <c:pt idx="22">
                  <c:v>2.5830900000000003</c:v>
                </c:pt>
                <c:pt idx="23">
                  <c:v>2.61226</c:v>
                </c:pt>
                <c:pt idx="24">
                  <c:v>2.6382299999999996</c:v>
                </c:pt>
                <c:pt idx="25">
                  <c:v>2.6618999999999997</c:v>
                </c:pt>
                <c:pt idx="26">
                  <c:v>2.6841200000000001</c:v>
                </c:pt>
                <c:pt idx="27">
                  <c:v>2.7047300000000001</c:v>
                </c:pt>
                <c:pt idx="28">
                  <c:v>2.7236900000000004</c:v>
                </c:pt>
                <c:pt idx="29">
                  <c:v>2.7385900000000003</c:v>
                </c:pt>
                <c:pt idx="30">
                  <c:v>2.7532299999999998</c:v>
                </c:pt>
                <c:pt idx="31">
                  <c:v>2.7678500000000001</c:v>
                </c:pt>
                <c:pt idx="32">
                  <c:v>2.78078</c:v>
                </c:pt>
                <c:pt idx="33">
                  <c:v>2.7928999999999999</c:v>
                </c:pt>
                <c:pt idx="34">
                  <c:v>2.80307</c:v>
                </c:pt>
                <c:pt idx="35">
                  <c:v>2.8090100000000002</c:v>
                </c:pt>
                <c:pt idx="36">
                  <c:v>2.81345</c:v>
                </c:pt>
                <c:pt idx="37">
                  <c:v>2.8183999999999996</c:v>
                </c:pt>
                <c:pt idx="38">
                  <c:v>2.8203299999999998</c:v>
                </c:pt>
                <c:pt idx="39">
                  <c:v>2.8234900000000001</c:v>
                </c:pt>
                <c:pt idx="40">
                  <c:v>2.8265200000000004</c:v>
                </c:pt>
                <c:pt idx="41">
                  <c:v>2.82667</c:v>
                </c:pt>
                <c:pt idx="42">
                  <c:v>2.8246599999999997</c:v>
                </c:pt>
                <c:pt idx="43">
                  <c:v>2.8225099999999999</c:v>
                </c:pt>
                <c:pt idx="44">
                  <c:v>2.8188400000000002</c:v>
                </c:pt>
                <c:pt idx="45">
                  <c:v>2.8151599999999997</c:v>
                </c:pt>
                <c:pt idx="46">
                  <c:v>2.8100399999999999</c:v>
                </c:pt>
                <c:pt idx="47">
                  <c:v>2.8053299999999997</c:v>
                </c:pt>
                <c:pt idx="48">
                  <c:v>2.7993800000000002</c:v>
                </c:pt>
                <c:pt idx="49">
                  <c:v>2.7942400000000003</c:v>
                </c:pt>
                <c:pt idx="50">
                  <c:v>2.7913100000000002</c:v>
                </c:pt>
                <c:pt idx="51">
                  <c:v>2.7868900000000001</c:v>
                </c:pt>
                <c:pt idx="52">
                  <c:v>2.7814399999999999</c:v>
                </c:pt>
                <c:pt idx="53">
                  <c:v>2.77711</c:v>
                </c:pt>
                <c:pt idx="54">
                  <c:v>2.7738400000000003</c:v>
                </c:pt>
                <c:pt idx="55">
                  <c:v>2.7716699999999999</c:v>
                </c:pt>
                <c:pt idx="56">
                  <c:v>2.7699499999999997</c:v>
                </c:pt>
                <c:pt idx="57">
                  <c:v>2.7674700000000003</c:v>
                </c:pt>
                <c:pt idx="58">
                  <c:v>2.7665699999999998</c:v>
                </c:pt>
                <c:pt idx="59">
                  <c:v>2.7660600000000004</c:v>
                </c:pt>
                <c:pt idx="60">
                  <c:v>2.7663799999999998</c:v>
                </c:pt>
                <c:pt idx="61">
                  <c:v>2.7657599999999998</c:v>
                </c:pt>
                <c:pt idx="62">
                  <c:v>2.7634300000000001</c:v>
                </c:pt>
                <c:pt idx="63">
                  <c:v>2.76105</c:v>
                </c:pt>
                <c:pt idx="64">
                  <c:v>2.7566899999999999</c:v>
                </c:pt>
                <c:pt idx="65">
                  <c:v>2.7543000000000002</c:v>
                </c:pt>
                <c:pt idx="66">
                  <c:v>2.7565299999999997</c:v>
                </c:pt>
                <c:pt idx="67">
                  <c:v>2.7589599999999996</c:v>
                </c:pt>
                <c:pt idx="68">
                  <c:v>2.7582200000000001</c:v>
                </c:pt>
                <c:pt idx="69">
                  <c:v>2.7595100000000001</c:v>
                </c:pt>
                <c:pt idx="70">
                  <c:v>2.7599600000000004</c:v>
                </c:pt>
                <c:pt idx="71">
                  <c:v>2.7596500000000002</c:v>
                </c:pt>
                <c:pt idx="72">
                  <c:v>2.7570899999999998</c:v>
                </c:pt>
                <c:pt idx="73">
                  <c:v>2.7559899999999997</c:v>
                </c:pt>
                <c:pt idx="74">
                  <c:v>2.7551100000000002</c:v>
                </c:pt>
                <c:pt idx="75">
                  <c:v>2.75108</c:v>
                </c:pt>
                <c:pt idx="76">
                  <c:v>2.7502399999999998</c:v>
                </c:pt>
                <c:pt idx="77">
                  <c:v>2.7506399999999998</c:v>
                </c:pt>
                <c:pt idx="78">
                  <c:v>2.7537799999999999</c:v>
                </c:pt>
                <c:pt idx="79">
                  <c:v>2.7575899999999995</c:v>
                </c:pt>
                <c:pt idx="80">
                  <c:v>2.7595199999999998</c:v>
                </c:pt>
                <c:pt idx="81">
                  <c:v>2.76058</c:v>
                </c:pt>
                <c:pt idx="82">
                  <c:v>2.7616000000000001</c:v>
                </c:pt>
                <c:pt idx="83">
                  <c:v>2.76024</c:v>
                </c:pt>
                <c:pt idx="84">
                  <c:v>2.75989</c:v>
                </c:pt>
                <c:pt idx="85">
                  <c:v>2.7606799999999998</c:v>
                </c:pt>
                <c:pt idx="86">
                  <c:v>2.7603100000000005</c:v>
                </c:pt>
                <c:pt idx="87">
                  <c:v>2.7592499999999998</c:v>
                </c:pt>
                <c:pt idx="88">
                  <c:v>2.7577699999999998</c:v>
                </c:pt>
                <c:pt idx="89">
                  <c:v>2.7558300000000004</c:v>
                </c:pt>
                <c:pt idx="90">
                  <c:v>2.7542400000000002</c:v>
                </c:pt>
                <c:pt idx="91">
                  <c:v>2.7518099999999999</c:v>
                </c:pt>
                <c:pt idx="92">
                  <c:v>2.7497700000000003</c:v>
                </c:pt>
                <c:pt idx="93">
                  <c:v>2.7488600000000001</c:v>
                </c:pt>
                <c:pt idx="94">
                  <c:v>2.7485200000000001</c:v>
                </c:pt>
                <c:pt idx="95">
                  <c:v>2.7493600000000002</c:v>
                </c:pt>
                <c:pt idx="96">
                  <c:v>2.7527900000000001</c:v>
                </c:pt>
                <c:pt idx="97">
                  <c:v>2.7577400000000001</c:v>
                </c:pt>
                <c:pt idx="98">
                  <c:v>2.7634699999999999</c:v>
                </c:pt>
                <c:pt idx="99">
                  <c:v>2.7687200000000001</c:v>
                </c:pt>
                <c:pt idx="100">
                  <c:v>2.7746599999999999</c:v>
                </c:pt>
                <c:pt idx="101">
                  <c:v>2.7793600000000001</c:v>
                </c:pt>
                <c:pt idx="102">
                  <c:v>2.7827299999999999</c:v>
                </c:pt>
                <c:pt idx="103">
                  <c:v>2.7870699999999999</c:v>
                </c:pt>
                <c:pt idx="104">
                  <c:v>2.79393</c:v>
                </c:pt>
                <c:pt idx="105">
                  <c:v>2.80267</c:v>
                </c:pt>
                <c:pt idx="106">
                  <c:v>2.8099499999999997</c:v>
                </c:pt>
                <c:pt idx="107">
                  <c:v>2.8172000000000001</c:v>
                </c:pt>
                <c:pt idx="108">
                  <c:v>2.8226200000000001</c:v>
                </c:pt>
                <c:pt idx="109">
                  <c:v>2.8278599999999998</c:v>
                </c:pt>
                <c:pt idx="110">
                  <c:v>2.8352899999999996</c:v>
                </c:pt>
                <c:pt idx="111">
                  <c:v>2.8471600000000001</c:v>
                </c:pt>
                <c:pt idx="112">
                  <c:v>2.86043</c:v>
                </c:pt>
                <c:pt idx="113">
                  <c:v>2.87277</c:v>
                </c:pt>
                <c:pt idx="114">
                  <c:v>2.8867399999999996</c:v>
                </c:pt>
                <c:pt idx="115">
                  <c:v>2.8998800000000005</c:v>
                </c:pt>
                <c:pt idx="116">
                  <c:v>2.9148299999999998</c:v>
                </c:pt>
                <c:pt idx="117">
                  <c:v>2.9316900000000001</c:v>
                </c:pt>
                <c:pt idx="118">
                  <c:v>2.9468499999999995</c:v>
                </c:pt>
                <c:pt idx="119">
                  <c:v>2.9604399999999997</c:v>
                </c:pt>
                <c:pt idx="120">
                  <c:v>2.9730699999999999</c:v>
                </c:pt>
                <c:pt idx="121">
                  <c:v>2.9843599999999997</c:v>
                </c:pt>
                <c:pt idx="122">
                  <c:v>2.9939300000000002</c:v>
                </c:pt>
                <c:pt idx="123">
                  <c:v>3.0019299999999998</c:v>
                </c:pt>
                <c:pt idx="124">
                  <c:v>3.0103799999999996</c:v>
                </c:pt>
                <c:pt idx="125">
                  <c:v>3.0179499999999999</c:v>
                </c:pt>
                <c:pt idx="126">
                  <c:v>3.0266900000000003</c:v>
                </c:pt>
                <c:pt idx="127">
                  <c:v>3.0363499999999997</c:v>
                </c:pt>
                <c:pt idx="128">
                  <c:v>3.0427</c:v>
                </c:pt>
                <c:pt idx="129">
                  <c:v>3.0460900000000004</c:v>
                </c:pt>
                <c:pt idx="130">
                  <c:v>3.04976</c:v>
                </c:pt>
                <c:pt idx="131">
                  <c:v>3.0560499999999999</c:v>
                </c:pt>
                <c:pt idx="132">
                  <c:v>3.06128</c:v>
                </c:pt>
                <c:pt idx="133">
                  <c:v>3.07002</c:v>
                </c:pt>
                <c:pt idx="134">
                  <c:v>3.0803000000000003</c:v>
                </c:pt>
                <c:pt idx="135">
                  <c:v>3.0867399999999998</c:v>
                </c:pt>
                <c:pt idx="136">
                  <c:v>3.0891400000000004</c:v>
                </c:pt>
                <c:pt idx="137">
                  <c:v>3.0915500000000002</c:v>
                </c:pt>
                <c:pt idx="138">
                  <c:v>3.0967799999999999</c:v>
                </c:pt>
                <c:pt idx="139">
                  <c:v>3.0982599999999998</c:v>
                </c:pt>
                <c:pt idx="140">
                  <c:v>3.0979700000000001</c:v>
                </c:pt>
                <c:pt idx="141">
                  <c:v>3.0925500000000001</c:v>
                </c:pt>
                <c:pt idx="142">
                  <c:v>3.0843700000000003</c:v>
                </c:pt>
                <c:pt idx="143">
                  <c:v>3.0793200000000001</c:v>
                </c:pt>
                <c:pt idx="144">
                  <c:v>3.0719000000000003</c:v>
                </c:pt>
                <c:pt idx="145">
                  <c:v>3.0693999999999999</c:v>
                </c:pt>
                <c:pt idx="146">
                  <c:v>3.0562800000000001</c:v>
                </c:pt>
                <c:pt idx="147">
                  <c:v>3.03898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60.410899999999998</c:v>
                </c:pt>
                <c:pt idx="1">
                  <c:v>59.418400000000005</c:v>
                </c:pt>
                <c:pt idx="2">
                  <c:v>58.457300000000004</c:v>
                </c:pt>
                <c:pt idx="3">
                  <c:v>57.6126</c:v>
                </c:pt>
                <c:pt idx="4">
                  <c:v>56.748699999999999</c:v>
                </c:pt>
                <c:pt idx="5">
                  <c:v>55.990799999999993</c:v>
                </c:pt>
                <c:pt idx="6">
                  <c:v>55.292699999999996</c:v>
                </c:pt>
                <c:pt idx="7">
                  <c:v>54.523299999999999</c:v>
                </c:pt>
                <c:pt idx="8">
                  <c:v>53.795099999999998</c:v>
                </c:pt>
                <c:pt idx="9">
                  <c:v>52.981500000000004</c:v>
                </c:pt>
                <c:pt idx="10">
                  <c:v>52.126199999999997</c:v>
                </c:pt>
                <c:pt idx="11">
                  <c:v>51.244700000000002</c:v>
                </c:pt>
                <c:pt idx="12">
                  <c:v>50.414099999999998</c:v>
                </c:pt>
                <c:pt idx="13">
                  <c:v>49.49</c:v>
                </c:pt>
                <c:pt idx="14">
                  <c:v>48.670200000000001</c:v>
                </c:pt>
                <c:pt idx="15">
                  <c:v>48.076099999999997</c:v>
                </c:pt>
                <c:pt idx="16">
                  <c:v>47.581200000000003</c:v>
                </c:pt>
                <c:pt idx="17">
                  <c:v>47.034500000000001</c:v>
                </c:pt>
                <c:pt idx="18">
                  <c:v>46.4816</c:v>
                </c:pt>
                <c:pt idx="19">
                  <c:v>45.9572</c:v>
                </c:pt>
                <c:pt idx="20">
                  <c:v>45.471800000000002</c:v>
                </c:pt>
                <c:pt idx="21">
                  <c:v>44.9621</c:v>
                </c:pt>
                <c:pt idx="22">
                  <c:v>44.527499999999996</c:v>
                </c:pt>
                <c:pt idx="23">
                  <c:v>44.13</c:v>
                </c:pt>
                <c:pt idx="24">
                  <c:v>43.716200000000001</c:v>
                </c:pt>
                <c:pt idx="25">
                  <c:v>43.381300000000003</c:v>
                </c:pt>
                <c:pt idx="26">
                  <c:v>43.055599999999998</c:v>
                </c:pt>
                <c:pt idx="27">
                  <c:v>42.7545</c:v>
                </c:pt>
                <c:pt idx="28">
                  <c:v>42.463000000000001</c:v>
                </c:pt>
                <c:pt idx="29">
                  <c:v>42.224699999999999</c:v>
                </c:pt>
                <c:pt idx="30">
                  <c:v>41.986699999999999</c:v>
                </c:pt>
                <c:pt idx="31">
                  <c:v>41.7102</c:v>
                </c:pt>
                <c:pt idx="32">
                  <c:v>41.4298</c:v>
                </c:pt>
                <c:pt idx="33">
                  <c:v>41.154499999999999</c:v>
                </c:pt>
                <c:pt idx="34">
                  <c:v>40.894399999999997</c:v>
                </c:pt>
                <c:pt idx="35">
                  <c:v>40.695700000000002</c:v>
                </c:pt>
                <c:pt idx="36">
                  <c:v>40.569800000000001</c:v>
                </c:pt>
                <c:pt idx="37">
                  <c:v>40.4268</c:v>
                </c:pt>
                <c:pt idx="38">
                  <c:v>40.316899999999997</c:v>
                </c:pt>
                <c:pt idx="39">
                  <c:v>40.170999999999999</c:v>
                </c:pt>
                <c:pt idx="40">
                  <c:v>40.016200000000005</c:v>
                </c:pt>
                <c:pt idx="41">
                  <c:v>39.895499999999998</c:v>
                </c:pt>
                <c:pt idx="42">
                  <c:v>39.7913</c:v>
                </c:pt>
                <c:pt idx="43">
                  <c:v>39.684599999999996</c:v>
                </c:pt>
                <c:pt idx="44">
                  <c:v>39.601100000000002</c:v>
                </c:pt>
                <c:pt idx="45">
                  <c:v>39.491599999999998</c:v>
                </c:pt>
                <c:pt idx="46">
                  <c:v>39.387699999999995</c:v>
                </c:pt>
                <c:pt idx="47">
                  <c:v>39.246700000000004</c:v>
                </c:pt>
                <c:pt idx="48">
                  <c:v>39.100099999999998</c:v>
                </c:pt>
                <c:pt idx="49">
                  <c:v>38.906300000000002</c:v>
                </c:pt>
                <c:pt idx="50">
                  <c:v>38.728699999999996</c:v>
                </c:pt>
                <c:pt idx="51">
                  <c:v>38.5473</c:v>
                </c:pt>
                <c:pt idx="52">
                  <c:v>38.4178</c:v>
                </c:pt>
                <c:pt idx="53">
                  <c:v>38.278099999999995</c:v>
                </c:pt>
                <c:pt idx="54">
                  <c:v>38.130900000000004</c:v>
                </c:pt>
                <c:pt idx="55">
                  <c:v>38.009500000000003</c:v>
                </c:pt>
                <c:pt idx="56">
                  <c:v>37.939799999999998</c:v>
                </c:pt>
                <c:pt idx="57">
                  <c:v>37.891799999999996</c:v>
                </c:pt>
                <c:pt idx="58">
                  <c:v>37.806400000000004</c:v>
                </c:pt>
                <c:pt idx="59">
                  <c:v>37.728699999999996</c:v>
                </c:pt>
                <c:pt idx="60">
                  <c:v>37.657600000000002</c:v>
                </c:pt>
                <c:pt idx="61">
                  <c:v>37.5839</c:v>
                </c:pt>
                <c:pt idx="62">
                  <c:v>37.565300000000001</c:v>
                </c:pt>
                <c:pt idx="63">
                  <c:v>37.594100000000005</c:v>
                </c:pt>
                <c:pt idx="64">
                  <c:v>37.624600000000001</c:v>
                </c:pt>
                <c:pt idx="65">
                  <c:v>37.587199999999996</c:v>
                </c:pt>
                <c:pt idx="66">
                  <c:v>37.462200000000003</c:v>
                </c:pt>
                <c:pt idx="67">
                  <c:v>37.358899999999998</c:v>
                </c:pt>
                <c:pt idx="68">
                  <c:v>37.327100000000002</c:v>
                </c:pt>
                <c:pt idx="69">
                  <c:v>37.262499999999996</c:v>
                </c:pt>
                <c:pt idx="70">
                  <c:v>37.203099999999999</c:v>
                </c:pt>
                <c:pt idx="71">
                  <c:v>37.184400000000004</c:v>
                </c:pt>
                <c:pt idx="72">
                  <c:v>37.151200000000003</c:v>
                </c:pt>
                <c:pt idx="73">
                  <c:v>37.137900000000002</c:v>
                </c:pt>
                <c:pt idx="74">
                  <c:v>37.186599999999999</c:v>
                </c:pt>
                <c:pt idx="75">
                  <c:v>37.1295</c:v>
                </c:pt>
                <c:pt idx="76">
                  <c:v>36.9863</c:v>
                </c:pt>
                <c:pt idx="77">
                  <c:v>36.823099999999997</c:v>
                </c:pt>
                <c:pt idx="78">
                  <c:v>36.627400000000002</c:v>
                </c:pt>
                <c:pt idx="79">
                  <c:v>36.406399999999998</c:v>
                </c:pt>
                <c:pt idx="80">
                  <c:v>36.247399999999999</c:v>
                </c:pt>
                <c:pt idx="81">
                  <c:v>36.085499999999996</c:v>
                </c:pt>
                <c:pt idx="82">
                  <c:v>35.886400000000002</c:v>
                </c:pt>
                <c:pt idx="83">
                  <c:v>35.707100000000004</c:v>
                </c:pt>
                <c:pt idx="84">
                  <c:v>35.468200000000003</c:v>
                </c:pt>
                <c:pt idx="85">
                  <c:v>35.199999999999996</c:v>
                </c:pt>
                <c:pt idx="86">
                  <c:v>34.888400000000004</c:v>
                </c:pt>
                <c:pt idx="87">
                  <c:v>34.619499999999995</c:v>
                </c:pt>
                <c:pt idx="88">
                  <c:v>34.324300000000001</c:v>
                </c:pt>
                <c:pt idx="89">
                  <c:v>34.029299999999999</c:v>
                </c:pt>
                <c:pt idx="90">
                  <c:v>33.689300000000003</c:v>
                </c:pt>
                <c:pt idx="91">
                  <c:v>33.387899999999995</c:v>
                </c:pt>
                <c:pt idx="92">
                  <c:v>33.092500000000001</c:v>
                </c:pt>
                <c:pt idx="93">
                  <c:v>32.7502</c:v>
                </c:pt>
                <c:pt idx="94">
                  <c:v>32.402099999999997</c:v>
                </c:pt>
                <c:pt idx="95">
                  <c:v>32.065199999999997</c:v>
                </c:pt>
                <c:pt idx="96">
                  <c:v>31.658799999999999</c:v>
                </c:pt>
                <c:pt idx="97">
                  <c:v>31.277200000000001</c:v>
                </c:pt>
                <c:pt idx="98">
                  <c:v>30.892999999999997</c:v>
                </c:pt>
                <c:pt idx="99">
                  <c:v>30.4937</c:v>
                </c:pt>
                <c:pt idx="100">
                  <c:v>30.008400000000002</c:v>
                </c:pt>
                <c:pt idx="101">
                  <c:v>29.540100000000002</c:v>
                </c:pt>
                <c:pt idx="102">
                  <c:v>29.064600000000002</c:v>
                </c:pt>
                <c:pt idx="103">
                  <c:v>28.5015</c:v>
                </c:pt>
                <c:pt idx="104">
                  <c:v>27.819899999999997</c:v>
                </c:pt>
                <c:pt idx="105">
                  <c:v>27.036500000000004</c:v>
                </c:pt>
                <c:pt idx="106">
                  <c:v>26.225100000000001</c:v>
                </c:pt>
                <c:pt idx="107">
                  <c:v>25.4297</c:v>
                </c:pt>
                <c:pt idx="108">
                  <c:v>24.6843</c:v>
                </c:pt>
                <c:pt idx="109">
                  <c:v>24.070599999999999</c:v>
                </c:pt>
                <c:pt idx="110">
                  <c:v>23.349600000000002</c:v>
                </c:pt>
                <c:pt idx="111">
                  <c:v>22.555800000000001</c:v>
                </c:pt>
                <c:pt idx="112">
                  <c:v>21.670100000000001</c:v>
                </c:pt>
                <c:pt idx="113">
                  <c:v>20.858899999999998</c:v>
                </c:pt>
                <c:pt idx="114">
                  <c:v>19.972899999999999</c:v>
                </c:pt>
                <c:pt idx="115">
                  <c:v>19.077400000000001</c:v>
                </c:pt>
                <c:pt idx="116">
                  <c:v>18.142299999999999</c:v>
                </c:pt>
                <c:pt idx="117">
                  <c:v>17.245100000000001</c:v>
                </c:pt>
                <c:pt idx="118">
                  <c:v>16.516400000000001</c:v>
                </c:pt>
                <c:pt idx="119">
                  <c:v>15.8497</c:v>
                </c:pt>
                <c:pt idx="120">
                  <c:v>15.257899999999999</c:v>
                </c:pt>
                <c:pt idx="121">
                  <c:v>14.672199999999998</c:v>
                </c:pt>
                <c:pt idx="122">
                  <c:v>14.089499999999999</c:v>
                </c:pt>
                <c:pt idx="123">
                  <c:v>13.587199999999999</c:v>
                </c:pt>
                <c:pt idx="124">
                  <c:v>13.126199999999999</c:v>
                </c:pt>
                <c:pt idx="125">
                  <c:v>12.740000000000002</c:v>
                </c:pt>
                <c:pt idx="126">
                  <c:v>12.3553</c:v>
                </c:pt>
                <c:pt idx="127">
                  <c:v>11.969200000000001</c:v>
                </c:pt>
                <c:pt idx="128">
                  <c:v>11.6145</c:v>
                </c:pt>
                <c:pt idx="129">
                  <c:v>11.336599999999999</c:v>
                </c:pt>
                <c:pt idx="130">
                  <c:v>11.091699999999999</c:v>
                </c:pt>
                <c:pt idx="131">
                  <c:v>10.895299999999999</c:v>
                </c:pt>
                <c:pt idx="132">
                  <c:v>10.716100000000001</c:v>
                </c:pt>
                <c:pt idx="133">
                  <c:v>10.517899999999999</c:v>
                </c:pt>
                <c:pt idx="134">
                  <c:v>10.1465</c:v>
                </c:pt>
                <c:pt idx="135">
                  <c:v>9.8835700000000006</c:v>
                </c:pt>
                <c:pt idx="136">
                  <c:v>9.7229899999999994</c:v>
                </c:pt>
                <c:pt idx="137">
                  <c:v>9.6569400000000005</c:v>
                </c:pt>
                <c:pt idx="138">
                  <c:v>9.5364500000000003</c:v>
                </c:pt>
                <c:pt idx="139">
                  <c:v>9.6499900000000007</c:v>
                </c:pt>
                <c:pt idx="140">
                  <c:v>9.9831799999999991</c:v>
                </c:pt>
                <c:pt idx="141">
                  <c:v>10.5319</c:v>
                </c:pt>
                <c:pt idx="142">
                  <c:v>11.1342</c:v>
                </c:pt>
                <c:pt idx="143">
                  <c:v>11.395</c:v>
                </c:pt>
                <c:pt idx="144">
                  <c:v>11.635900000000001</c:v>
                </c:pt>
                <c:pt idx="145">
                  <c:v>11.454499999999999</c:v>
                </c:pt>
                <c:pt idx="146">
                  <c:v>11.573</c:v>
                </c:pt>
                <c:pt idx="147">
                  <c:v>12.3001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1.55447</c:v>
                </c:pt>
                <c:pt idx="1">
                  <c:v>1.60964</c:v>
                </c:pt>
                <c:pt idx="2">
                  <c:v>1.6647400000000001</c:v>
                </c:pt>
                <c:pt idx="3">
                  <c:v>1.7183599999999999</c:v>
                </c:pt>
                <c:pt idx="4">
                  <c:v>1.7709600000000001</c:v>
                </c:pt>
                <c:pt idx="5">
                  <c:v>1.8215400000000002</c:v>
                </c:pt>
                <c:pt idx="6">
                  <c:v>1.8706200000000002</c:v>
                </c:pt>
                <c:pt idx="7">
                  <c:v>1.9209000000000001</c:v>
                </c:pt>
                <c:pt idx="8">
                  <c:v>1.9701299999999999</c:v>
                </c:pt>
                <c:pt idx="9">
                  <c:v>2.0217099999999997</c:v>
                </c:pt>
                <c:pt idx="10">
                  <c:v>2.0731999999999999</c:v>
                </c:pt>
                <c:pt idx="11">
                  <c:v>2.1233200000000001</c:v>
                </c:pt>
                <c:pt idx="12">
                  <c:v>2.1724199999999998</c:v>
                </c:pt>
                <c:pt idx="13">
                  <c:v>2.2232699999999999</c:v>
                </c:pt>
                <c:pt idx="14">
                  <c:v>2.2729499999999998</c:v>
                </c:pt>
                <c:pt idx="15">
                  <c:v>2.3189199999999999</c:v>
                </c:pt>
                <c:pt idx="16">
                  <c:v>2.3625699999999998</c:v>
                </c:pt>
                <c:pt idx="17">
                  <c:v>2.4040699999999999</c:v>
                </c:pt>
                <c:pt idx="18">
                  <c:v>2.4443999999999999</c:v>
                </c:pt>
                <c:pt idx="19">
                  <c:v>2.4820199999999999</c:v>
                </c:pt>
                <c:pt idx="20">
                  <c:v>2.5172499999999998</c:v>
                </c:pt>
                <c:pt idx="21">
                  <c:v>2.5513200000000005</c:v>
                </c:pt>
                <c:pt idx="22">
                  <c:v>2.5830900000000003</c:v>
                </c:pt>
                <c:pt idx="23">
                  <c:v>2.61226</c:v>
                </c:pt>
                <c:pt idx="24">
                  <c:v>2.6382299999999996</c:v>
                </c:pt>
                <c:pt idx="25">
                  <c:v>2.6618999999999997</c:v>
                </c:pt>
                <c:pt idx="26">
                  <c:v>2.6841200000000001</c:v>
                </c:pt>
                <c:pt idx="27">
                  <c:v>2.7047300000000001</c:v>
                </c:pt>
                <c:pt idx="28">
                  <c:v>2.7236900000000004</c:v>
                </c:pt>
                <c:pt idx="29">
                  <c:v>2.7385900000000003</c:v>
                </c:pt>
                <c:pt idx="30">
                  <c:v>2.7532299999999998</c:v>
                </c:pt>
                <c:pt idx="31">
                  <c:v>2.7678500000000001</c:v>
                </c:pt>
                <c:pt idx="32">
                  <c:v>2.78078</c:v>
                </c:pt>
                <c:pt idx="33">
                  <c:v>2.7928999999999999</c:v>
                </c:pt>
                <c:pt idx="34">
                  <c:v>2.80307</c:v>
                </c:pt>
                <c:pt idx="35">
                  <c:v>2.8090100000000002</c:v>
                </c:pt>
                <c:pt idx="36">
                  <c:v>2.81345</c:v>
                </c:pt>
                <c:pt idx="37">
                  <c:v>2.8183999999999996</c:v>
                </c:pt>
                <c:pt idx="38">
                  <c:v>2.8203299999999998</c:v>
                </c:pt>
                <c:pt idx="39">
                  <c:v>2.8234900000000001</c:v>
                </c:pt>
                <c:pt idx="40">
                  <c:v>2.8265200000000004</c:v>
                </c:pt>
                <c:pt idx="41">
                  <c:v>2.82667</c:v>
                </c:pt>
                <c:pt idx="42">
                  <c:v>2.8246599999999997</c:v>
                </c:pt>
                <c:pt idx="43">
                  <c:v>2.8225099999999999</c:v>
                </c:pt>
                <c:pt idx="44">
                  <c:v>2.8188400000000002</c:v>
                </c:pt>
                <c:pt idx="45">
                  <c:v>2.8151599999999997</c:v>
                </c:pt>
                <c:pt idx="46">
                  <c:v>2.8100399999999999</c:v>
                </c:pt>
                <c:pt idx="47">
                  <c:v>2.8053299999999997</c:v>
                </c:pt>
                <c:pt idx="48">
                  <c:v>2.7993800000000002</c:v>
                </c:pt>
                <c:pt idx="49">
                  <c:v>2.7942400000000003</c:v>
                </c:pt>
                <c:pt idx="50">
                  <c:v>2.7913100000000002</c:v>
                </c:pt>
                <c:pt idx="51">
                  <c:v>2.7868900000000001</c:v>
                </c:pt>
                <c:pt idx="52">
                  <c:v>2.7814399999999999</c:v>
                </c:pt>
                <c:pt idx="53">
                  <c:v>2.77711</c:v>
                </c:pt>
                <c:pt idx="54">
                  <c:v>2.7738400000000003</c:v>
                </c:pt>
                <c:pt idx="55">
                  <c:v>2.7716699999999999</c:v>
                </c:pt>
                <c:pt idx="56">
                  <c:v>2.7699499999999997</c:v>
                </c:pt>
                <c:pt idx="57">
                  <c:v>2.7674700000000003</c:v>
                </c:pt>
                <c:pt idx="58">
                  <c:v>2.7665699999999998</c:v>
                </c:pt>
                <c:pt idx="59">
                  <c:v>2.7660600000000004</c:v>
                </c:pt>
                <c:pt idx="60">
                  <c:v>2.7663799999999998</c:v>
                </c:pt>
                <c:pt idx="61">
                  <c:v>2.7657599999999998</c:v>
                </c:pt>
                <c:pt idx="62">
                  <c:v>2.7634300000000001</c:v>
                </c:pt>
                <c:pt idx="63">
                  <c:v>2.76105</c:v>
                </c:pt>
                <c:pt idx="64">
                  <c:v>2.7566899999999999</c:v>
                </c:pt>
                <c:pt idx="65">
                  <c:v>2.7543000000000002</c:v>
                </c:pt>
                <c:pt idx="66">
                  <c:v>2.7565299999999997</c:v>
                </c:pt>
                <c:pt idx="67">
                  <c:v>2.7589599999999996</c:v>
                </c:pt>
                <c:pt idx="68">
                  <c:v>2.7582200000000001</c:v>
                </c:pt>
                <c:pt idx="69">
                  <c:v>2.7595100000000001</c:v>
                </c:pt>
                <c:pt idx="70">
                  <c:v>2.7599600000000004</c:v>
                </c:pt>
                <c:pt idx="71">
                  <c:v>2.7596500000000002</c:v>
                </c:pt>
                <c:pt idx="72">
                  <c:v>2.7570899999999998</c:v>
                </c:pt>
                <c:pt idx="73">
                  <c:v>2.7559899999999997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60.410899999999998</c:v>
                </c:pt>
                <c:pt idx="1">
                  <c:v>59.418400000000005</c:v>
                </c:pt>
                <c:pt idx="2">
                  <c:v>58.457300000000004</c:v>
                </c:pt>
                <c:pt idx="3">
                  <c:v>57.6126</c:v>
                </c:pt>
                <c:pt idx="4">
                  <c:v>56.748699999999999</c:v>
                </c:pt>
                <c:pt idx="5">
                  <c:v>55.990799999999993</c:v>
                </c:pt>
                <c:pt idx="6">
                  <c:v>55.292699999999996</c:v>
                </c:pt>
                <c:pt idx="7">
                  <c:v>54.523299999999999</c:v>
                </c:pt>
                <c:pt idx="8">
                  <c:v>53.795099999999998</c:v>
                </c:pt>
                <c:pt idx="9">
                  <c:v>52.981500000000004</c:v>
                </c:pt>
                <c:pt idx="10">
                  <c:v>52.126199999999997</c:v>
                </c:pt>
                <c:pt idx="11">
                  <c:v>51.244700000000002</c:v>
                </c:pt>
                <c:pt idx="12">
                  <c:v>50.414099999999998</c:v>
                </c:pt>
                <c:pt idx="13">
                  <c:v>49.49</c:v>
                </c:pt>
                <c:pt idx="14">
                  <c:v>48.670200000000001</c:v>
                </c:pt>
                <c:pt idx="15">
                  <c:v>48.076099999999997</c:v>
                </c:pt>
                <c:pt idx="16">
                  <c:v>47.581200000000003</c:v>
                </c:pt>
                <c:pt idx="17">
                  <c:v>47.034500000000001</c:v>
                </c:pt>
                <c:pt idx="18">
                  <c:v>46.4816</c:v>
                </c:pt>
                <c:pt idx="19">
                  <c:v>45.9572</c:v>
                </c:pt>
                <c:pt idx="20">
                  <c:v>45.471800000000002</c:v>
                </c:pt>
                <c:pt idx="21">
                  <c:v>44.9621</c:v>
                </c:pt>
                <c:pt idx="22">
                  <c:v>44.527499999999996</c:v>
                </c:pt>
                <c:pt idx="23">
                  <c:v>44.13</c:v>
                </c:pt>
                <c:pt idx="24">
                  <c:v>43.716200000000001</c:v>
                </c:pt>
                <c:pt idx="25">
                  <c:v>43.381300000000003</c:v>
                </c:pt>
                <c:pt idx="26">
                  <c:v>43.055599999999998</c:v>
                </c:pt>
                <c:pt idx="27">
                  <c:v>42.7545</c:v>
                </c:pt>
                <c:pt idx="28">
                  <c:v>42.463000000000001</c:v>
                </c:pt>
                <c:pt idx="29">
                  <c:v>42.224699999999999</c:v>
                </c:pt>
                <c:pt idx="30">
                  <c:v>41.986699999999999</c:v>
                </c:pt>
                <c:pt idx="31">
                  <c:v>41.7102</c:v>
                </c:pt>
                <c:pt idx="32">
                  <c:v>41.4298</c:v>
                </c:pt>
                <c:pt idx="33">
                  <c:v>41.154499999999999</c:v>
                </c:pt>
                <c:pt idx="34">
                  <c:v>40.894399999999997</c:v>
                </c:pt>
                <c:pt idx="35">
                  <c:v>40.695700000000002</c:v>
                </c:pt>
                <c:pt idx="36">
                  <c:v>40.569800000000001</c:v>
                </c:pt>
                <c:pt idx="37">
                  <c:v>40.4268</c:v>
                </c:pt>
                <c:pt idx="38">
                  <c:v>40.316899999999997</c:v>
                </c:pt>
                <c:pt idx="39">
                  <c:v>40.170999999999999</c:v>
                </c:pt>
                <c:pt idx="40">
                  <c:v>40.016200000000005</c:v>
                </c:pt>
                <c:pt idx="41">
                  <c:v>39.895499999999998</c:v>
                </c:pt>
                <c:pt idx="42">
                  <c:v>39.7913</c:v>
                </c:pt>
                <c:pt idx="43">
                  <c:v>39.684599999999996</c:v>
                </c:pt>
                <c:pt idx="44">
                  <c:v>39.601100000000002</c:v>
                </c:pt>
                <c:pt idx="45">
                  <c:v>39.491599999999998</c:v>
                </c:pt>
                <c:pt idx="46">
                  <c:v>39.387699999999995</c:v>
                </c:pt>
                <c:pt idx="47">
                  <c:v>39.246700000000004</c:v>
                </c:pt>
                <c:pt idx="48">
                  <c:v>39.100099999999998</c:v>
                </c:pt>
                <c:pt idx="49">
                  <c:v>38.906300000000002</c:v>
                </c:pt>
                <c:pt idx="50">
                  <c:v>38.728699999999996</c:v>
                </c:pt>
                <c:pt idx="51">
                  <c:v>38.5473</c:v>
                </c:pt>
                <c:pt idx="52">
                  <c:v>38.4178</c:v>
                </c:pt>
                <c:pt idx="53">
                  <c:v>38.278099999999995</c:v>
                </c:pt>
                <c:pt idx="54">
                  <c:v>38.130900000000004</c:v>
                </c:pt>
                <c:pt idx="55">
                  <c:v>38.009500000000003</c:v>
                </c:pt>
                <c:pt idx="56">
                  <c:v>37.939799999999998</c:v>
                </c:pt>
                <c:pt idx="57">
                  <c:v>37.891799999999996</c:v>
                </c:pt>
                <c:pt idx="58">
                  <c:v>37.806400000000004</c:v>
                </c:pt>
                <c:pt idx="59">
                  <c:v>37.728699999999996</c:v>
                </c:pt>
                <c:pt idx="60">
                  <c:v>37.657600000000002</c:v>
                </c:pt>
                <c:pt idx="61">
                  <c:v>37.5839</c:v>
                </c:pt>
                <c:pt idx="62">
                  <c:v>37.565300000000001</c:v>
                </c:pt>
                <c:pt idx="63">
                  <c:v>37.594100000000005</c:v>
                </c:pt>
                <c:pt idx="64">
                  <c:v>37.624600000000001</c:v>
                </c:pt>
                <c:pt idx="65">
                  <c:v>37.587199999999996</c:v>
                </c:pt>
                <c:pt idx="66">
                  <c:v>37.462200000000003</c:v>
                </c:pt>
                <c:pt idx="67">
                  <c:v>37.358899999999998</c:v>
                </c:pt>
                <c:pt idx="68">
                  <c:v>37.327100000000002</c:v>
                </c:pt>
                <c:pt idx="69">
                  <c:v>37.262499999999996</c:v>
                </c:pt>
                <c:pt idx="70">
                  <c:v>37.203099999999999</c:v>
                </c:pt>
                <c:pt idx="71">
                  <c:v>37.184400000000004</c:v>
                </c:pt>
                <c:pt idx="72">
                  <c:v>37.151200000000003</c:v>
                </c:pt>
                <c:pt idx="73">
                  <c:v>37.137900000000002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2.7559899999999997</c:v>
                </c:pt>
                <c:pt idx="1">
                  <c:v>2.7551100000000002</c:v>
                </c:pt>
                <c:pt idx="2">
                  <c:v>2.75108</c:v>
                </c:pt>
                <c:pt idx="3">
                  <c:v>2.7502399999999998</c:v>
                </c:pt>
                <c:pt idx="4">
                  <c:v>2.7506399999999998</c:v>
                </c:pt>
                <c:pt idx="5">
                  <c:v>2.7537799999999999</c:v>
                </c:pt>
                <c:pt idx="6">
                  <c:v>2.7575899999999995</c:v>
                </c:pt>
                <c:pt idx="7">
                  <c:v>2.7595199999999998</c:v>
                </c:pt>
                <c:pt idx="8">
                  <c:v>2.76058</c:v>
                </c:pt>
                <c:pt idx="9">
                  <c:v>2.7616000000000001</c:v>
                </c:pt>
                <c:pt idx="10">
                  <c:v>2.76024</c:v>
                </c:pt>
                <c:pt idx="11">
                  <c:v>2.75989</c:v>
                </c:pt>
                <c:pt idx="12">
                  <c:v>2.7606799999999998</c:v>
                </c:pt>
                <c:pt idx="13">
                  <c:v>2.7603100000000005</c:v>
                </c:pt>
                <c:pt idx="14">
                  <c:v>2.7592499999999998</c:v>
                </c:pt>
                <c:pt idx="15">
                  <c:v>2.7577699999999998</c:v>
                </c:pt>
                <c:pt idx="16">
                  <c:v>2.7558300000000004</c:v>
                </c:pt>
                <c:pt idx="17">
                  <c:v>2.7542400000000002</c:v>
                </c:pt>
                <c:pt idx="18">
                  <c:v>2.7518099999999999</c:v>
                </c:pt>
                <c:pt idx="19">
                  <c:v>2.7497700000000003</c:v>
                </c:pt>
                <c:pt idx="20">
                  <c:v>2.7488600000000001</c:v>
                </c:pt>
                <c:pt idx="21">
                  <c:v>2.7485200000000001</c:v>
                </c:pt>
                <c:pt idx="22">
                  <c:v>2.7493600000000002</c:v>
                </c:pt>
                <c:pt idx="23">
                  <c:v>2.7527900000000001</c:v>
                </c:pt>
                <c:pt idx="24">
                  <c:v>2.7577400000000001</c:v>
                </c:pt>
                <c:pt idx="25">
                  <c:v>2.7634699999999999</c:v>
                </c:pt>
                <c:pt idx="26">
                  <c:v>2.7687200000000001</c:v>
                </c:pt>
                <c:pt idx="27">
                  <c:v>2.7746599999999999</c:v>
                </c:pt>
                <c:pt idx="28">
                  <c:v>2.7793600000000001</c:v>
                </c:pt>
                <c:pt idx="29">
                  <c:v>2.7827299999999999</c:v>
                </c:pt>
                <c:pt idx="30">
                  <c:v>2.7870699999999999</c:v>
                </c:pt>
                <c:pt idx="31">
                  <c:v>2.79393</c:v>
                </c:pt>
                <c:pt idx="32">
                  <c:v>2.80267</c:v>
                </c:pt>
                <c:pt idx="33">
                  <c:v>2.8099499999999997</c:v>
                </c:pt>
                <c:pt idx="34">
                  <c:v>2.8172000000000001</c:v>
                </c:pt>
                <c:pt idx="35">
                  <c:v>2.8226200000000001</c:v>
                </c:pt>
                <c:pt idx="36">
                  <c:v>2.8278599999999998</c:v>
                </c:pt>
                <c:pt idx="37">
                  <c:v>2.8352899999999996</c:v>
                </c:pt>
                <c:pt idx="38">
                  <c:v>2.8471600000000001</c:v>
                </c:pt>
                <c:pt idx="39">
                  <c:v>2.86043</c:v>
                </c:pt>
                <c:pt idx="40">
                  <c:v>2.87277</c:v>
                </c:pt>
                <c:pt idx="41">
                  <c:v>2.8867399999999996</c:v>
                </c:pt>
                <c:pt idx="42">
                  <c:v>2.8998800000000005</c:v>
                </c:pt>
                <c:pt idx="43">
                  <c:v>2.9148299999999998</c:v>
                </c:pt>
                <c:pt idx="44">
                  <c:v>2.9316900000000001</c:v>
                </c:pt>
                <c:pt idx="45">
                  <c:v>2.9468499999999995</c:v>
                </c:pt>
                <c:pt idx="46">
                  <c:v>2.9604399999999997</c:v>
                </c:pt>
                <c:pt idx="47">
                  <c:v>2.9730699999999999</c:v>
                </c:pt>
                <c:pt idx="48">
                  <c:v>2.9843599999999997</c:v>
                </c:pt>
                <c:pt idx="49">
                  <c:v>2.9939300000000002</c:v>
                </c:pt>
                <c:pt idx="50">
                  <c:v>3.0019299999999998</c:v>
                </c:pt>
                <c:pt idx="51">
                  <c:v>3.0103799999999996</c:v>
                </c:pt>
                <c:pt idx="52">
                  <c:v>3.0179499999999999</c:v>
                </c:pt>
                <c:pt idx="53">
                  <c:v>3.0266900000000003</c:v>
                </c:pt>
                <c:pt idx="54">
                  <c:v>3.0363499999999997</c:v>
                </c:pt>
                <c:pt idx="55">
                  <c:v>3.0427</c:v>
                </c:pt>
                <c:pt idx="56">
                  <c:v>3.0460900000000004</c:v>
                </c:pt>
                <c:pt idx="57">
                  <c:v>3.04976</c:v>
                </c:pt>
                <c:pt idx="58">
                  <c:v>3.0560499999999999</c:v>
                </c:pt>
                <c:pt idx="59">
                  <c:v>3.06128</c:v>
                </c:pt>
                <c:pt idx="60">
                  <c:v>3.07002</c:v>
                </c:pt>
                <c:pt idx="61">
                  <c:v>3.0803000000000003</c:v>
                </c:pt>
                <c:pt idx="62">
                  <c:v>3.0867399999999998</c:v>
                </c:pt>
                <c:pt idx="63">
                  <c:v>3.0891400000000004</c:v>
                </c:pt>
                <c:pt idx="64">
                  <c:v>3.0915500000000002</c:v>
                </c:pt>
                <c:pt idx="65">
                  <c:v>3.0967799999999999</c:v>
                </c:pt>
                <c:pt idx="66">
                  <c:v>3.0982599999999998</c:v>
                </c:pt>
                <c:pt idx="67">
                  <c:v>3.0979700000000001</c:v>
                </c:pt>
                <c:pt idx="68">
                  <c:v>3.0925500000000001</c:v>
                </c:pt>
                <c:pt idx="69">
                  <c:v>3.0843700000000003</c:v>
                </c:pt>
                <c:pt idx="70">
                  <c:v>3.0793200000000001</c:v>
                </c:pt>
                <c:pt idx="71">
                  <c:v>3.0719000000000003</c:v>
                </c:pt>
                <c:pt idx="72">
                  <c:v>3.0693999999999999</c:v>
                </c:pt>
                <c:pt idx="73">
                  <c:v>3.0562800000000001</c:v>
                </c:pt>
                <c:pt idx="74">
                  <c:v>3.03898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37.137900000000002</c:v>
                </c:pt>
                <c:pt idx="1">
                  <c:v>37.186599999999999</c:v>
                </c:pt>
                <c:pt idx="2">
                  <c:v>37.1295</c:v>
                </c:pt>
                <c:pt idx="3">
                  <c:v>36.9863</c:v>
                </c:pt>
                <c:pt idx="4">
                  <c:v>36.823099999999997</c:v>
                </c:pt>
                <c:pt idx="5">
                  <c:v>36.627400000000002</c:v>
                </c:pt>
                <c:pt idx="6">
                  <c:v>36.406399999999998</c:v>
                </c:pt>
                <c:pt idx="7">
                  <c:v>36.247399999999999</c:v>
                </c:pt>
                <c:pt idx="8">
                  <c:v>36.085499999999996</c:v>
                </c:pt>
                <c:pt idx="9">
                  <c:v>35.886400000000002</c:v>
                </c:pt>
                <c:pt idx="10">
                  <c:v>35.707100000000004</c:v>
                </c:pt>
                <c:pt idx="11">
                  <c:v>35.468200000000003</c:v>
                </c:pt>
                <c:pt idx="12">
                  <c:v>35.199999999999996</c:v>
                </c:pt>
                <c:pt idx="13">
                  <c:v>34.888400000000004</c:v>
                </c:pt>
                <c:pt idx="14">
                  <c:v>34.619499999999995</c:v>
                </c:pt>
                <c:pt idx="15">
                  <c:v>34.324300000000001</c:v>
                </c:pt>
                <c:pt idx="16">
                  <c:v>34.029299999999999</c:v>
                </c:pt>
                <c:pt idx="17">
                  <c:v>33.689300000000003</c:v>
                </c:pt>
                <c:pt idx="18">
                  <c:v>33.387899999999995</c:v>
                </c:pt>
                <c:pt idx="19">
                  <c:v>33.092500000000001</c:v>
                </c:pt>
                <c:pt idx="20">
                  <c:v>32.7502</c:v>
                </c:pt>
                <c:pt idx="21">
                  <c:v>32.402099999999997</c:v>
                </c:pt>
                <c:pt idx="22">
                  <c:v>32.065199999999997</c:v>
                </c:pt>
                <c:pt idx="23">
                  <c:v>31.658799999999999</c:v>
                </c:pt>
                <c:pt idx="24">
                  <c:v>31.277200000000001</c:v>
                </c:pt>
                <c:pt idx="25">
                  <c:v>30.892999999999997</c:v>
                </c:pt>
                <c:pt idx="26">
                  <c:v>30.4937</c:v>
                </c:pt>
                <c:pt idx="27">
                  <c:v>30.008400000000002</c:v>
                </c:pt>
                <c:pt idx="28">
                  <c:v>29.540100000000002</c:v>
                </c:pt>
                <c:pt idx="29">
                  <c:v>29.064600000000002</c:v>
                </c:pt>
                <c:pt idx="30">
                  <c:v>28.5015</c:v>
                </c:pt>
                <c:pt idx="31">
                  <c:v>27.819899999999997</c:v>
                </c:pt>
                <c:pt idx="32">
                  <c:v>27.036500000000004</c:v>
                </c:pt>
                <c:pt idx="33">
                  <c:v>26.225100000000001</c:v>
                </c:pt>
                <c:pt idx="34">
                  <c:v>25.4297</c:v>
                </c:pt>
                <c:pt idx="35">
                  <c:v>24.6843</c:v>
                </c:pt>
                <c:pt idx="36">
                  <c:v>24.070599999999999</c:v>
                </c:pt>
                <c:pt idx="37">
                  <c:v>23.349600000000002</c:v>
                </c:pt>
                <c:pt idx="38">
                  <c:v>22.555800000000001</c:v>
                </c:pt>
                <c:pt idx="39">
                  <c:v>21.670100000000001</c:v>
                </c:pt>
                <c:pt idx="40">
                  <c:v>20.858899999999998</c:v>
                </c:pt>
                <c:pt idx="41">
                  <c:v>19.972899999999999</c:v>
                </c:pt>
                <c:pt idx="42">
                  <c:v>19.077400000000001</c:v>
                </c:pt>
                <c:pt idx="43">
                  <c:v>18.142299999999999</c:v>
                </c:pt>
                <c:pt idx="44">
                  <c:v>17.245100000000001</c:v>
                </c:pt>
                <c:pt idx="45">
                  <c:v>16.516400000000001</c:v>
                </c:pt>
                <c:pt idx="46">
                  <c:v>15.8497</c:v>
                </c:pt>
                <c:pt idx="47">
                  <c:v>15.257899999999999</c:v>
                </c:pt>
                <c:pt idx="48">
                  <c:v>14.672199999999998</c:v>
                </c:pt>
                <c:pt idx="49">
                  <c:v>14.089499999999999</c:v>
                </c:pt>
                <c:pt idx="50">
                  <c:v>13.587199999999999</c:v>
                </c:pt>
                <c:pt idx="51">
                  <c:v>13.126199999999999</c:v>
                </c:pt>
                <c:pt idx="52">
                  <c:v>12.740000000000002</c:v>
                </c:pt>
                <c:pt idx="53">
                  <c:v>12.3553</c:v>
                </c:pt>
                <c:pt idx="54">
                  <c:v>11.969200000000001</c:v>
                </c:pt>
                <c:pt idx="55">
                  <c:v>11.6145</c:v>
                </c:pt>
                <c:pt idx="56">
                  <c:v>11.336599999999999</c:v>
                </c:pt>
                <c:pt idx="57">
                  <c:v>11.091699999999999</c:v>
                </c:pt>
                <c:pt idx="58">
                  <c:v>10.895299999999999</c:v>
                </c:pt>
                <c:pt idx="59">
                  <c:v>10.716100000000001</c:v>
                </c:pt>
                <c:pt idx="60">
                  <c:v>10.517899999999999</c:v>
                </c:pt>
                <c:pt idx="61">
                  <c:v>10.1465</c:v>
                </c:pt>
                <c:pt idx="62">
                  <c:v>9.8835700000000006</c:v>
                </c:pt>
                <c:pt idx="63">
                  <c:v>9.7229899999999994</c:v>
                </c:pt>
                <c:pt idx="64">
                  <c:v>9.6569400000000005</c:v>
                </c:pt>
                <c:pt idx="65">
                  <c:v>9.5364500000000003</c:v>
                </c:pt>
                <c:pt idx="66">
                  <c:v>9.6499900000000007</c:v>
                </c:pt>
                <c:pt idx="67">
                  <c:v>9.9831799999999991</c:v>
                </c:pt>
                <c:pt idx="68">
                  <c:v>10.5319</c:v>
                </c:pt>
                <c:pt idx="69">
                  <c:v>11.1342</c:v>
                </c:pt>
                <c:pt idx="70">
                  <c:v>11.395</c:v>
                </c:pt>
                <c:pt idx="71">
                  <c:v>11.635900000000001</c:v>
                </c:pt>
                <c:pt idx="72">
                  <c:v>11.454499999999999</c:v>
                </c:pt>
                <c:pt idx="73">
                  <c:v>11.573</c:v>
                </c:pt>
                <c:pt idx="74">
                  <c:v>12.3001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1.55447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60.410899999999998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2.5638794594594589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43.224995945945935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2.8934813513513529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22.777270540540538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2.8934813513513529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22.777270540540538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515</v>
      </c>
      <c r="D5" s="191"/>
      <c r="E5" s="191"/>
      <c r="F5" s="192"/>
      <c r="G5" s="48" t="str">
        <f>lang!B27</f>
        <v>编号</v>
      </c>
      <c r="H5" s="190">
        <v>15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514</v>
      </c>
      <c r="D6" s="145"/>
      <c r="E6" s="145"/>
      <c r="F6" s="146"/>
      <c r="G6" s="49" t="str">
        <f>lang!B28</f>
        <v xml:space="preserve"> 日期</v>
      </c>
      <c r="H6" s="129">
        <f>FH_info!A2</f>
        <v>43615.668854166666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28</v>
      </c>
      <c r="D7" s="148"/>
      <c r="E7" s="148"/>
      <c r="F7" s="149"/>
      <c r="G7" s="50" t="str">
        <f>lang!B29</f>
        <v>误差率（%）</v>
      </c>
      <c r="H7" s="132">
        <f>M!B17*1</f>
        <v>13.0006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42.198399999999999</v>
      </c>
      <c r="O8" s="59">
        <f>M!C5*1</f>
        <v>9.0921000000000003</v>
      </c>
      <c r="P8" s="59">
        <f>M!D5*1</f>
        <v>21.546099999999999</v>
      </c>
      <c r="Q8" s="59">
        <f>M!E5*1</f>
        <v>20</v>
      </c>
      <c r="R8" s="59">
        <f>M!F5*1</f>
        <v>12.4809</v>
      </c>
      <c r="S8" s="59">
        <f>M!G5*1</f>
        <v>50</v>
      </c>
      <c r="T8" s="59">
        <f>M!H5*1</f>
        <v>62.7027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30.112500000000001</v>
      </c>
      <c r="O9" s="59">
        <f>M!C6*1</f>
        <v>0.75701799999999997</v>
      </c>
      <c r="P9" s="59">
        <f>M!D6*1</f>
        <v>2.51396</v>
      </c>
      <c r="Q9" s="59">
        <f>M!E6*1</f>
        <v>20</v>
      </c>
      <c r="R9" s="59">
        <f>M!F6*1</f>
        <v>28.292100000000001</v>
      </c>
      <c r="S9" s="59">
        <f>M!G6*1</f>
        <v>40</v>
      </c>
      <c r="T9" s="59">
        <f>M!H6*1</f>
        <v>31.7577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12.4809</v>
      </c>
      <c r="D10" s="99">
        <f>N8</f>
        <v>42.198399999999999</v>
      </c>
      <c r="E10" s="100">
        <f>T8</f>
        <v>62.7027</v>
      </c>
      <c r="F10" s="91">
        <f>P8</f>
        <v>21.546099999999999</v>
      </c>
      <c r="G10" s="81" t="str">
        <f>CONCATENATE(M9,"
(20 ~ 40)")</f>
        <v>压力
(20 ~ 40)</v>
      </c>
      <c r="H10" s="98">
        <f>R9</f>
        <v>28.292100000000001</v>
      </c>
      <c r="I10" s="108">
        <f>N9</f>
        <v>30.112500000000001</v>
      </c>
      <c r="J10" s="98">
        <f>T9</f>
        <v>31.7577</v>
      </c>
      <c r="K10" s="92">
        <f>P9</f>
        <v>2.51396</v>
      </c>
      <c r="L10" s="6"/>
      <c r="M10" s="27" t="str">
        <f>lang!B16</f>
        <v>焦虑</v>
      </c>
      <c r="N10" s="59">
        <f>M!B7*1</f>
        <v>34.302599999999998</v>
      </c>
      <c r="O10" s="59">
        <f>M!C7*1</f>
        <v>3.375</v>
      </c>
      <c r="P10" s="59">
        <f>M!D7*1</f>
        <v>9.8389000000000006</v>
      </c>
      <c r="Q10" s="59">
        <f>M!E7*1</f>
        <v>15</v>
      </c>
      <c r="R10" s="59">
        <f>M!F7*1</f>
        <v>25.505800000000001</v>
      </c>
      <c r="S10" s="59">
        <f>M!G7*1</f>
        <v>40</v>
      </c>
      <c r="T10" s="59">
        <f>M!H7*1</f>
        <v>43.050699999999999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25.505800000000001</v>
      </c>
      <c r="D11" s="102">
        <f>N10</f>
        <v>34.302599999999998</v>
      </c>
      <c r="E11" s="103">
        <f>T10</f>
        <v>43.050699999999999</v>
      </c>
      <c r="F11" s="94">
        <f>P10</f>
        <v>9.8389000000000006</v>
      </c>
      <c r="G11" s="52" t="str">
        <f>CONCATENATE(M11,"
(20 ~ 50)")</f>
        <v>可疑
(20 ~ 50)</v>
      </c>
      <c r="H11" s="101">
        <f>R11</f>
        <v>22.9422</v>
      </c>
      <c r="I11" s="104">
        <f>N11</f>
        <v>35.475200000000001</v>
      </c>
      <c r="J11" s="101">
        <f>T11</f>
        <v>40.765000000000001</v>
      </c>
      <c r="K11" s="95">
        <f>P11</f>
        <v>9.8525799999999997</v>
      </c>
      <c r="L11" s="4"/>
      <c r="M11" s="27" t="str">
        <f>lang!B17</f>
        <v>可疑</v>
      </c>
      <c r="N11" s="59">
        <f>M!B8*1</f>
        <v>35.475200000000001</v>
      </c>
      <c r="O11" s="59">
        <f>M!C8*1</f>
        <v>3.4952200000000002</v>
      </c>
      <c r="P11" s="59">
        <f>M!D8*1</f>
        <v>9.8525799999999997</v>
      </c>
      <c r="Q11" s="59">
        <f>M!E8*1</f>
        <v>20</v>
      </c>
      <c r="R11" s="59">
        <f>M!F8*1</f>
        <v>22.9422</v>
      </c>
      <c r="S11" s="59">
        <f>M!G8*1</f>
        <v>50</v>
      </c>
      <c r="T11" s="59">
        <f>M!H8*1</f>
        <v>40.765000000000001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44.236600000000003</v>
      </c>
      <c r="D12" s="104">
        <f>N12</f>
        <v>59.346600000000002</v>
      </c>
      <c r="E12" s="101">
        <f>T12</f>
        <v>79.349699999999999</v>
      </c>
      <c r="F12" s="93">
        <f>P12</f>
        <v>11.611800000000001</v>
      </c>
      <c r="G12" s="52" t="str">
        <f>CONCATENATE(M13,"
(40 ~ 100)")</f>
        <v>自信
(40 ~ 100)</v>
      </c>
      <c r="H12" s="101">
        <f>R13</f>
        <v>47.829300000000003</v>
      </c>
      <c r="I12" s="104">
        <f>N13</f>
        <v>74.764099999999999</v>
      </c>
      <c r="J12" s="101">
        <f>T13</f>
        <v>78.329700000000003</v>
      </c>
      <c r="K12" s="95">
        <f>P13</f>
        <v>6.9904599999999997</v>
      </c>
      <c r="L12" s="4"/>
      <c r="M12" s="27" t="str">
        <f>lang!B18</f>
        <v>平衡</v>
      </c>
      <c r="N12" s="59">
        <f>M!B9*1</f>
        <v>59.346600000000002</v>
      </c>
      <c r="O12" s="59">
        <f>M!C9*1</f>
        <v>6.8912300000000002</v>
      </c>
      <c r="P12" s="59">
        <f>M!D9*1</f>
        <v>11.611800000000001</v>
      </c>
      <c r="Q12" s="59">
        <f>M!E9*1</f>
        <v>50</v>
      </c>
      <c r="R12" s="59">
        <f>M!F9*1</f>
        <v>44.236600000000003</v>
      </c>
      <c r="S12" s="59">
        <f>M!G9*1</f>
        <v>100</v>
      </c>
      <c r="T12" s="59">
        <f>M!H9*1</f>
        <v>79.349699999999999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4.3945499999999997</v>
      </c>
      <c r="D13" s="102">
        <f>N14</f>
        <v>14.1023</v>
      </c>
      <c r="E13" s="103">
        <f>T14</f>
        <v>16.886800000000001</v>
      </c>
      <c r="F13" s="94">
        <f>P14</f>
        <v>19.235600000000002</v>
      </c>
      <c r="G13" s="52" t="str">
        <f>CONCATENATE(M15,"
(50 ~ 100)")</f>
        <v>自我调节
(50 ~ 100)</v>
      </c>
      <c r="H13" s="101">
        <f>R15</f>
        <v>57.156799999999997</v>
      </c>
      <c r="I13" s="104">
        <f>N15</f>
        <v>66.753799999999998</v>
      </c>
      <c r="J13" s="101">
        <f>T15</f>
        <v>71.47</v>
      </c>
      <c r="K13" s="95">
        <f>P15</f>
        <v>4.3601999999999999</v>
      </c>
      <c r="L13" s="4"/>
      <c r="M13" s="27" t="str">
        <f>lang!B19</f>
        <v>自信</v>
      </c>
      <c r="N13" s="59">
        <f>M!B10*1</f>
        <v>74.764099999999999</v>
      </c>
      <c r="O13" s="59">
        <f>M!C10*1</f>
        <v>5.2263500000000001</v>
      </c>
      <c r="P13" s="59">
        <f>M!D10*1</f>
        <v>6.9904599999999997</v>
      </c>
      <c r="Q13" s="59">
        <f>M!E10*1</f>
        <v>40</v>
      </c>
      <c r="R13" s="59">
        <f>M!F10*1</f>
        <v>47.829300000000003</v>
      </c>
      <c r="S13" s="59">
        <f>M!G10*1</f>
        <v>100</v>
      </c>
      <c r="T13" s="59">
        <f>M!H10*1</f>
        <v>78.329700000000003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11.4381</v>
      </c>
      <c r="D14" s="106">
        <f>N16</f>
        <v>15.180199999999999</v>
      </c>
      <c r="E14" s="107">
        <f>T16</f>
        <v>21.047999999999998</v>
      </c>
      <c r="F14" s="96">
        <f>P16</f>
        <v>14.866899999999999</v>
      </c>
      <c r="G14" s="112" t="str">
        <f>CONCATENATE(M17,"
(10 ~ 50)")</f>
        <v>神经质
(10 ~ 50)</v>
      </c>
      <c r="H14" s="105">
        <f>R17</f>
        <v>1.2223200000000001</v>
      </c>
      <c r="I14" s="106">
        <f>N17</f>
        <v>22.568300000000001</v>
      </c>
      <c r="J14" s="107">
        <f>T17</f>
        <v>22.848400000000002</v>
      </c>
      <c r="K14" s="97">
        <f>P17</f>
        <v>29.189</v>
      </c>
      <c r="M14" s="27" t="str">
        <f>lang!B20</f>
        <v>活力</v>
      </c>
      <c r="N14" s="59">
        <f>M!B11*1</f>
        <v>14.1023</v>
      </c>
      <c r="O14" s="59">
        <f>M!C11*1</f>
        <v>2.71265</v>
      </c>
      <c r="P14" s="59">
        <f>M!D11*1</f>
        <v>19.235600000000002</v>
      </c>
      <c r="Q14" s="59">
        <f>M!E11*1</f>
        <v>10</v>
      </c>
      <c r="R14" s="59">
        <f>M!F11*1</f>
        <v>4.3945499999999997</v>
      </c>
      <c r="S14" s="59">
        <f>M!G11*1</f>
        <v>50</v>
      </c>
      <c r="T14" s="59">
        <f>M!H11*1</f>
        <v>16.886800000000001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66.753799999999998</v>
      </c>
      <c r="O15" s="59">
        <f>M!C12*1</f>
        <v>2.9106000000000001</v>
      </c>
      <c r="P15" s="59">
        <f>M!D12*1</f>
        <v>4.3601999999999999</v>
      </c>
      <c r="Q15" s="59">
        <f>M!E12*1</f>
        <v>50</v>
      </c>
      <c r="R15" s="59">
        <f>M!F12*1</f>
        <v>57.156799999999997</v>
      </c>
      <c r="S15" s="59">
        <f>M!G12*1</f>
        <v>100</v>
      </c>
      <c r="T15" s="59">
        <f>M!H12*1</f>
        <v>71.47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15.180199999999999</v>
      </c>
      <c r="O16" s="59">
        <f>M!C13*1</f>
        <v>2.2568299999999999</v>
      </c>
      <c r="P16" s="59">
        <f>M!D13*1</f>
        <v>14.866899999999999</v>
      </c>
      <c r="Q16" s="59">
        <f>M!E13*1</f>
        <v>10</v>
      </c>
      <c r="R16" s="59">
        <f>M!F13*1</f>
        <v>11.4381</v>
      </c>
      <c r="S16" s="59">
        <f>M!G13*1</f>
        <v>25</v>
      </c>
      <c r="T16" s="59">
        <f>M!H13*1</f>
        <v>21.047999999999998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22.568300000000001</v>
      </c>
      <c r="O17" s="59">
        <f>M!C14*1</f>
        <v>6.5874699999999997</v>
      </c>
      <c r="P17" s="59">
        <f>M!D14*1</f>
        <v>29.189</v>
      </c>
      <c r="Q17" s="59">
        <f>M!E14*1</f>
        <v>10</v>
      </c>
      <c r="R17" s="59">
        <f>M!F14*1</f>
        <v>1.2223200000000001</v>
      </c>
      <c r="S17" s="59">
        <f>M!G14*1</f>
        <v>50</v>
      </c>
      <c r="T17" s="59">
        <f>M!H14*1</f>
        <v>22.848400000000002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53.741700000000009</v>
      </c>
      <c r="O18" s="22">
        <f>N18/(N18+N19+N20)</f>
        <v>0.49697273741337755</v>
      </c>
      <c r="P18" s="65">
        <f>SUM(P12:P15)/4</f>
        <v>10.549515000000001</v>
      </c>
      <c r="Q18" s="22">
        <f>P18/(P18+P19+P20)</f>
        <v>0.24243203834968585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35.522175000000004</v>
      </c>
      <c r="O19" s="22">
        <f>N19/(N18+N19+N20)</f>
        <v>0.32848891175059675</v>
      </c>
      <c r="P19" s="18">
        <f>SUM(P8:P11)/4</f>
        <v>10.937885000000001</v>
      </c>
      <c r="Q19" s="22">
        <f>P19/(P18+P19+P20)</f>
        <v>0.25135693496662675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18.87425</v>
      </c>
      <c r="O20" s="22">
        <f>N20/(N18+N19+N20)</f>
        <v>0.17453835083602565</v>
      </c>
      <c r="P20" s="18">
        <f>(P16+P17)/2</f>
        <v>22.027950000000001</v>
      </c>
      <c r="Q20" s="22">
        <f>P20/(P18+P19+P20)</f>
        <v>0.50621102668368756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-0.2374374432432434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1.294813929173489</v>
      </c>
      <c r="D25" s="44" t="str">
        <f>lang!B11</f>
        <v>频率方差</v>
      </c>
      <c r="E25" s="182">
        <f ca="1">FH!L3</f>
        <v>0.67343775437118614</v>
      </c>
      <c r="F25" s="183"/>
      <c r="G25" s="174" t="str">
        <f>lang!B12</f>
        <v>生理变化率</v>
      </c>
      <c r="H25" s="175"/>
      <c r="I25" s="62" t="str">
        <f ca="1">CONCATENATE(info!M7,"-",info!M8)</f>
        <v>9.5-60.4</v>
      </c>
      <c r="J25" s="42" t="str">
        <f>lang!B13</f>
        <v>千卡l/分钟</v>
      </c>
      <c r="K25" s="41" t="str">
        <f ca="1">CONCATENATE(info!M5,"-",info!M6)</f>
        <v>1.6-3.1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51.711200000000005</v>
      </c>
      <c r="F28" s="121"/>
      <c r="G28" s="135" t="str">
        <f>lang!B33</f>
        <v>稳定性</v>
      </c>
      <c r="H28" s="136"/>
      <c r="I28" s="137"/>
      <c r="J28" s="138">
        <f>M!B19*100</f>
        <v>76.370699999999999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43615.668854166666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4.9637000000000029</v>
      </c>
      <c r="O7" s="59">
        <f t="shared" ref="O7:T7" si="2">AG7-X7</f>
        <v>-6.2302</v>
      </c>
      <c r="P7" s="59">
        <f t="shared" si="2"/>
        <v>-16.825410000000002</v>
      </c>
      <c r="Q7" s="59">
        <f t="shared" si="2"/>
        <v>0</v>
      </c>
      <c r="R7" s="59">
        <f t="shared" si="2"/>
        <v>19.132800000000003</v>
      </c>
      <c r="S7" s="59">
        <f t="shared" si="2"/>
        <v>0</v>
      </c>
      <c r="T7" s="59">
        <f t="shared" si="2"/>
        <v>17.950200000000002</v>
      </c>
      <c r="U7" s="14"/>
      <c r="V7" s="27" t="str">
        <f>M7</f>
        <v>攻击性</v>
      </c>
      <c r="W7" s="59">
        <f>'M1'!B5*1</f>
        <v>39.346299999999999</v>
      </c>
      <c r="X7" s="59">
        <f>'M1'!C5*1</f>
        <v>9.7115399999999994</v>
      </c>
      <c r="Y7" s="59">
        <f>'M1'!D5*1</f>
        <v>24.682200000000002</v>
      </c>
      <c r="Z7" s="59">
        <f>'M1'!E5*1</f>
        <v>20</v>
      </c>
      <c r="AA7" s="59">
        <f>'M1'!F5*1</f>
        <v>12.4809</v>
      </c>
      <c r="AB7" s="59">
        <f>'M1'!G5*1</f>
        <v>50</v>
      </c>
      <c r="AC7" s="59">
        <f>'M1'!H5*1</f>
        <v>44.752499999999998</v>
      </c>
      <c r="AE7" s="27" t="str">
        <f>V7</f>
        <v>攻击性</v>
      </c>
      <c r="AF7" s="59">
        <f>'M2'!B5*1</f>
        <v>44.31</v>
      </c>
      <c r="AG7" s="59">
        <f>'M2'!C5*1</f>
        <v>3.4813399999999999</v>
      </c>
      <c r="AH7" s="59">
        <f>'M2'!D5*1</f>
        <v>7.8567900000000002</v>
      </c>
      <c r="AI7" s="59">
        <f>'M2'!E5*1</f>
        <v>20</v>
      </c>
      <c r="AJ7" s="59">
        <f>'M2'!F5*1</f>
        <v>31.613700000000001</v>
      </c>
      <c r="AK7" s="59">
        <f>'M2'!G5*1</f>
        <v>50</v>
      </c>
      <c r="AL7" s="59">
        <f>'M2'!H5*1</f>
        <v>62.7027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-0.25590000000000046</v>
      </c>
      <c r="O8" s="59">
        <f t="shared" ref="O8:O16" si="5">AG8-X8</f>
        <v>0.40720000000000001</v>
      </c>
      <c r="P8" s="59">
        <f t="shared" ref="P8:P16" si="6">AH8-Y8</f>
        <v>1.3742500000000002</v>
      </c>
      <c r="Q8" s="59">
        <f t="shared" ref="Q8:Q16" si="7">AI8-Z8</f>
        <v>0</v>
      </c>
      <c r="R8" s="59">
        <f t="shared" ref="R8:R16" si="8">AJ8-AA8</f>
        <v>-0.45179999999999865</v>
      </c>
      <c r="S8" s="59">
        <f t="shared" ref="S8:S16" si="9">AK8-AB8</f>
        <v>0</v>
      </c>
      <c r="T8" s="59">
        <f t="shared" ref="T8:T16" si="10">AL8-AC8</f>
        <v>0.19310000000000116</v>
      </c>
      <c r="U8" s="15"/>
      <c r="V8" s="27" t="str">
        <f t="shared" ref="V8:V16" si="11">M8</f>
        <v>压力</v>
      </c>
      <c r="W8" s="59">
        <f>'M1'!B6*1</f>
        <v>30.209700000000002</v>
      </c>
      <c r="X8" s="59">
        <f>'M1'!C6*1</f>
        <v>0.52435699999999996</v>
      </c>
      <c r="Y8" s="59">
        <f>'M1'!D6*1</f>
        <v>1.73573</v>
      </c>
      <c r="Z8" s="59">
        <f>'M1'!E6*1</f>
        <v>20</v>
      </c>
      <c r="AA8" s="59">
        <f>'M1'!F6*1</f>
        <v>28.7439</v>
      </c>
      <c r="AB8" s="59">
        <f>'M1'!G6*1</f>
        <v>40</v>
      </c>
      <c r="AC8" s="59">
        <f>'M1'!H6*1</f>
        <v>31.564599999999999</v>
      </c>
      <c r="AE8" s="27" t="str">
        <f t="shared" ref="AE8:AE16" si="12">V8</f>
        <v>压力</v>
      </c>
      <c r="AF8" s="59">
        <f>'M2'!B6*1</f>
        <v>29.953800000000001</v>
      </c>
      <c r="AG8" s="59">
        <f>'M2'!C6*1</f>
        <v>0.93155699999999997</v>
      </c>
      <c r="AH8" s="59">
        <f>'M2'!D6*1</f>
        <v>3.1099800000000002</v>
      </c>
      <c r="AI8" s="59">
        <f>'M2'!E6*1</f>
        <v>20</v>
      </c>
      <c r="AJ8" s="59">
        <f>'M2'!F6*1</f>
        <v>28.292100000000001</v>
      </c>
      <c r="AK8" s="59">
        <f>'M2'!G6*1</f>
        <v>40</v>
      </c>
      <c r="AL8" s="59">
        <f>'M2'!H6*1</f>
        <v>31.7577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19.132800000000003</v>
      </c>
      <c r="D9" s="78">
        <f>N7</f>
        <v>4.9637000000000029</v>
      </c>
      <c r="E9" s="79">
        <f>T7</f>
        <v>17.950200000000002</v>
      </c>
      <c r="F9" s="79">
        <f>P7</f>
        <v>-16.825410000000002</v>
      </c>
      <c r="G9" s="80" t="str">
        <f>CONCATENATE(M8,"
(20 ~ 40)")</f>
        <v>压力
(20 ~ 40)</v>
      </c>
      <c r="H9" s="77">
        <f>R8</f>
        <v>-0.45179999999999865</v>
      </c>
      <c r="I9" s="81">
        <f>N8</f>
        <v>-0.25590000000000046</v>
      </c>
      <c r="J9" s="77">
        <f>T8</f>
        <v>0.19310000000000116</v>
      </c>
      <c r="K9" s="82">
        <f>P8</f>
        <v>1.3742500000000002</v>
      </c>
      <c r="L9" s="6"/>
      <c r="M9" s="27" t="str">
        <f>lang!B16</f>
        <v>焦虑</v>
      </c>
      <c r="N9" s="59">
        <f t="shared" si="4"/>
        <v>-2.5659000000000063</v>
      </c>
      <c r="O9" s="59">
        <f t="shared" si="5"/>
        <v>0.54622000000000037</v>
      </c>
      <c r="P9" s="59">
        <f t="shared" si="6"/>
        <v>2.2747299999999999</v>
      </c>
      <c r="Q9" s="59">
        <f t="shared" si="7"/>
        <v>0</v>
      </c>
      <c r="R9" s="59">
        <f t="shared" si="8"/>
        <v>-0.7502999999999993</v>
      </c>
      <c r="S9" s="59">
        <f t="shared" si="9"/>
        <v>0</v>
      </c>
      <c r="T9" s="59">
        <f t="shared" si="10"/>
        <v>1.3066999999999993</v>
      </c>
      <c r="U9" s="14"/>
      <c r="V9" s="27" t="str">
        <f t="shared" si="11"/>
        <v>焦虑</v>
      </c>
      <c r="W9" s="59">
        <f>'M1'!B7*1</f>
        <v>35.792900000000003</v>
      </c>
      <c r="X9" s="59">
        <f>'M1'!C7*1</f>
        <v>2.9241199999999998</v>
      </c>
      <c r="Y9" s="59">
        <f>'M1'!D7*1</f>
        <v>8.1695700000000002</v>
      </c>
      <c r="Z9" s="59">
        <f>'M1'!E7*1</f>
        <v>15</v>
      </c>
      <c r="AA9" s="59">
        <f>'M1'!F7*1</f>
        <v>26.2561</v>
      </c>
      <c r="AB9" s="59">
        <f>'M1'!G7*1</f>
        <v>40</v>
      </c>
      <c r="AC9" s="59">
        <f>'M1'!H7*1</f>
        <v>41.744</v>
      </c>
      <c r="AE9" s="27" t="str">
        <f t="shared" si="12"/>
        <v>焦虑</v>
      </c>
      <c r="AF9" s="59">
        <f>'M2'!B7*1</f>
        <v>33.226999999999997</v>
      </c>
      <c r="AG9" s="59">
        <f>'M2'!C7*1</f>
        <v>3.4703400000000002</v>
      </c>
      <c r="AH9" s="59">
        <f>'M2'!D7*1</f>
        <v>10.4443</v>
      </c>
      <c r="AI9" s="59">
        <f>'M2'!E7*1</f>
        <v>15</v>
      </c>
      <c r="AJ9" s="59">
        <f>'M2'!F7*1</f>
        <v>25.505800000000001</v>
      </c>
      <c r="AK9" s="59">
        <f>'M2'!G7*1</f>
        <v>40</v>
      </c>
      <c r="AL9" s="59">
        <f>'M2'!H7*1</f>
        <v>43.050699999999999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-0.7502999999999993</v>
      </c>
      <c r="D10" s="51">
        <f>N9</f>
        <v>-2.5659000000000063</v>
      </c>
      <c r="E10" s="53">
        <f>T9</f>
        <v>1.3066999999999993</v>
      </c>
      <c r="F10" s="53">
        <f>P9</f>
        <v>2.2747299999999999</v>
      </c>
      <c r="G10" s="73" t="str">
        <f>CONCATENATE(M10,"
(20 ~ 50)")</f>
        <v>可疑
(20 ~ 50)</v>
      </c>
      <c r="H10" s="24">
        <f>R10</f>
        <v>10.383299999999998</v>
      </c>
      <c r="I10" s="52">
        <f>N10</f>
        <v>0.79979999999999762</v>
      </c>
      <c r="J10" s="24">
        <f>T10</f>
        <v>3.1131000000000029</v>
      </c>
      <c r="K10" s="25">
        <f>P10</f>
        <v>-6.4512900000000002</v>
      </c>
      <c r="L10" s="4"/>
      <c r="M10" s="27" t="str">
        <f>lang!B17</f>
        <v>可疑</v>
      </c>
      <c r="N10" s="59">
        <f t="shared" si="4"/>
        <v>0.79979999999999762</v>
      </c>
      <c r="O10" s="59">
        <f t="shared" si="5"/>
        <v>-2.2104300000000006</v>
      </c>
      <c r="P10" s="59">
        <f t="shared" si="6"/>
        <v>-6.4512900000000002</v>
      </c>
      <c r="Q10" s="59">
        <f t="shared" si="7"/>
        <v>0</v>
      </c>
      <c r="R10" s="59">
        <f t="shared" si="8"/>
        <v>10.383299999999998</v>
      </c>
      <c r="S10" s="59">
        <f t="shared" si="9"/>
        <v>0</v>
      </c>
      <c r="T10" s="59">
        <f t="shared" si="10"/>
        <v>3.1131000000000029</v>
      </c>
      <c r="U10" s="14"/>
      <c r="V10" s="27" t="str">
        <f t="shared" si="11"/>
        <v>可疑</v>
      </c>
      <c r="W10" s="59">
        <f>'M1'!B8*1</f>
        <v>34.887300000000003</v>
      </c>
      <c r="X10" s="59">
        <f>'M1'!C8*1</f>
        <v>4.0064200000000003</v>
      </c>
      <c r="Y10" s="59">
        <f>'M1'!D8*1</f>
        <v>11.4839</v>
      </c>
      <c r="Z10" s="59">
        <f>'M1'!E8*1</f>
        <v>20</v>
      </c>
      <c r="AA10" s="59">
        <f>'M1'!F8*1</f>
        <v>22.9422</v>
      </c>
      <c r="AB10" s="59">
        <f>'M1'!G8*1</f>
        <v>50</v>
      </c>
      <c r="AC10" s="59">
        <f>'M1'!H8*1</f>
        <v>37.651899999999998</v>
      </c>
      <c r="AE10" s="27" t="str">
        <f t="shared" si="12"/>
        <v>可疑</v>
      </c>
      <c r="AF10" s="59">
        <f>'M2'!B8*1</f>
        <v>35.687100000000001</v>
      </c>
      <c r="AG10" s="59">
        <f>'M2'!C8*1</f>
        <v>1.79599</v>
      </c>
      <c r="AH10" s="59">
        <f>'M2'!D8*1</f>
        <v>5.03261</v>
      </c>
      <c r="AI10" s="59">
        <f>'M2'!E8*1</f>
        <v>20</v>
      </c>
      <c r="AJ10" s="59">
        <f>'M2'!F8*1</f>
        <v>33.325499999999998</v>
      </c>
      <c r="AK10" s="59">
        <f>'M2'!G8*1</f>
        <v>50</v>
      </c>
      <c r="AL10" s="59">
        <f>'M2'!H8*1</f>
        <v>40.765000000000001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-8.7781999999999982</v>
      </c>
      <c r="D11" s="52">
        <f>N11</f>
        <v>-7.2540000000000049</v>
      </c>
      <c r="E11" s="24">
        <f>T11</f>
        <v>-14.742800000000003</v>
      </c>
      <c r="F11" s="24">
        <f>P11</f>
        <v>-2.7004000000000001</v>
      </c>
      <c r="G11" s="73" t="str">
        <f>CONCATENATE(M12,"
(40 ~ 100)")</f>
        <v>自信
(40 ~ 100)</v>
      </c>
      <c r="H11" s="24">
        <f>R12</f>
        <v>20.429999999999993</v>
      </c>
      <c r="I11" s="52">
        <f>N12</f>
        <v>-8.1499999999991246E-2</v>
      </c>
      <c r="J11" s="24">
        <f>T12</f>
        <v>3.0000000000001137E-2</v>
      </c>
      <c r="K11" s="25">
        <f>P12</f>
        <v>-5.6162100000000006</v>
      </c>
      <c r="L11" s="4"/>
      <c r="M11" s="27" t="str">
        <f>lang!B18</f>
        <v>平衡</v>
      </c>
      <c r="N11" s="59">
        <f t="shared" si="4"/>
        <v>-7.2540000000000049</v>
      </c>
      <c r="O11" s="59">
        <f t="shared" si="5"/>
        <v>-2.2367300000000006</v>
      </c>
      <c r="P11" s="59">
        <f t="shared" si="6"/>
        <v>-2.7004000000000001</v>
      </c>
      <c r="Q11" s="59">
        <f t="shared" si="7"/>
        <v>0</v>
      </c>
      <c r="R11" s="59">
        <f t="shared" si="8"/>
        <v>-8.7781999999999982</v>
      </c>
      <c r="S11" s="59">
        <f t="shared" si="9"/>
        <v>0</v>
      </c>
      <c r="T11" s="59">
        <f t="shared" si="10"/>
        <v>-14.742800000000003</v>
      </c>
      <c r="U11" s="14"/>
      <c r="V11" s="27" t="str">
        <f t="shared" si="11"/>
        <v>平衡</v>
      </c>
      <c r="W11" s="59">
        <f>'M1'!B9*1</f>
        <v>62.768500000000003</v>
      </c>
      <c r="X11" s="59">
        <f>'M1'!C9*1</f>
        <v>6.3825500000000002</v>
      </c>
      <c r="Y11" s="59">
        <f>'M1'!D9*1</f>
        <v>10.1684</v>
      </c>
      <c r="Z11" s="59">
        <f>'M1'!E9*1</f>
        <v>50</v>
      </c>
      <c r="AA11" s="59">
        <f>'M1'!F9*1</f>
        <v>53.014800000000001</v>
      </c>
      <c r="AB11" s="59">
        <f>'M1'!G9*1</f>
        <v>100</v>
      </c>
      <c r="AC11" s="59">
        <f>'M1'!H9*1</f>
        <v>79.349699999999999</v>
      </c>
      <c r="AE11" s="27" t="str">
        <f t="shared" si="12"/>
        <v>平衡</v>
      </c>
      <c r="AF11" s="59">
        <f>'M2'!B9*1</f>
        <v>55.514499999999998</v>
      </c>
      <c r="AG11" s="59">
        <f>'M2'!C9*1</f>
        <v>4.1458199999999996</v>
      </c>
      <c r="AH11" s="59">
        <f>'M2'!D9*1</f>
        <v>7.468</v>
      </c>
      <c r="AI11" s="59">
        <f>'M2'!E9*1</f>
        <v>50</v>
      </c>
      <c r="AJ11" s="59">
        <f>'M2'!F9*1</f>
        <v>44.236600000000003</v>
      </c>
      <c r="AK11" s="59">
        <f>'M2'!G9*1</f>
        <v>100</v>
      </c>
      <c r="AL11" s="59">
        <f>'M2'!H9*1</f>
        <v>64.606899999999996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7.5721499999999997</v>
      </c>
      <c r="D12" s="51">
        <f>N13</f>
        <v>-1.2350999999999992</v>
      </c>
      <c r="E12" s="53">
        <f>T13</f>
        <v>-1.3664000000000005</v>
      </c>
      <c r="F12" s="53">
        <f>P13</f>
        <v>-17.473379999999999</v>
      </c>
      <c r="G12" s="73" t="str">
        <f>CONCATENATE(M14,"
(50 ~ 100)")</f>
        <v>自我调节
(50 ~ 100)</v>
      </c>
      <c r="H12" s="24">
        <f>R14</f>
        <v>-5.8043000000000049</v>
      </c>
      <c r="I12" s="52">
        <f>N14</f>
        <v>-3.3263000000000034</v>
      </c>
      <c r="J12" s="24">
        <f>T14</f>
        <v>-2.1191000000000031</v>
      </c>
      <c r="K12" s="25">
        <f>P14</f>
        <v>1.1827000000000001</v>
      </c>
      <c r="L12" s="4"/>
      <c r="M12" s="27" t="str">
        <f>lang!B19</f>
        <v>自信</v>
      </c>
      <c r="N12" s="59">
        <f t="shared" si="4"/>
        <v>-8.1499999999991246E-2</v>
      </c>
      <c r="O12" s="59">
        <f t="shared" si="5"/>
        <v>-4.2017499999999997</v>
      </c>
      <c r="P12" s="59">
        <f t="shared" si="6"/>
        <v>-5.6162100000000006</v>
      </c>
      <c r="Q12" s="59">
        <f t="shared" si="7"/>
        <v>0</v>
      </c>
      <c r="R12" s="59">
        <f t="shared" si="8"/>
        <v>20.429999999999993</v>
      </c>
      <c r="S12" s="59">
        <f t="shared" si="9"/>
        <v>0</v>
      </c>
      <c r="T12" s="59">
        <f t="shared" si="10"/>
        <v>3.0000000000001137E-2</v>
      </c>
      <c r="U12" s="15"/>
      <c r="V12" s="27" t="str">
        <f t="shared" si="11"/>
        <v>自信</v>
      </c>
      <c r="W12" s="59">
        <f>'M1'!B10*1</f>
        <v>74.764399999999995</v>
      </c>
      <c r="X12" s="59">
        <f>'M1'!C10*1</f>
        <v>6.7950799999999996</v>
      </c>
      <c r="Y12" s="59">
        <f>'M1'!D10*1</f>
        <v>9.0886600000000008</v>
      </c>
      <c r="Z12" s="59">
        <f>'M1'!E10*1</f>
        <v>40</v>
      </c>
      <c r="AA12" s="59">
        <f>'M1'!F10*1</f>
        <v>47.829300000000003</v>
      </c>
      <c r="AB12" s="59">
        <f>'M1'!G10*1</f>
        <v>100</v>
      </c>
      <c r="AC12" s="59">
        <f>'M1'!H10*1</f>
        <v>78.299700000000001</v>
      </c>
      <c r="AE12" s="27" t="str">
        <f t="shared" si="12"/>
        <v>自信</v>
      </c>
      <c r="AF12" s="59">
        <f>'M2'!B10*1</f>
        <v>74.682900000000004</v>
      </c>
      <c r="AG12" s="59">
        <f>'M2'!C10*1</f>
        <v>2.5933299999999999</v>
      </c>
      <c r="AH12" s="59">
        <f>'M2'!D10*1</f>
        <v>3.4724499999999998</v>
      </c>
      <c r="AI12" s="59">
        <f>'M2'!E10*1</f>
        <v>40</v>
      </c>
      <c r="AJ12" s="59">
        <f>'M2'!F10*1</f>
        <v>68.259299999999996</v>
      </c>
      <c r="AK12" s="59">
        <f>'M2'!G10*1</f>
        <v>100</v>
      </c>
      <c r="AL12" s="59">
        <f>'M2'!H10*1</f>
        <v>78.329700000000003</v>
      </c>
    </row>
    <row r="13" spans="2:38" ht="25.5" customHeight="1" thickBot="1">
      <c r="B13" s="72" t="str">
        <f>CONCATENATE(M15,"
(10 ~ 25)")</f>
        <v>抑郁
(10 ~ 25)</v>
      </c>
      <c r="C13" s="54">
        <f>R15</f>
        <v>1.0982000000000003</v>
      </c>
      <c r="D13" s="55">
        <f>N15</f>
        <v>2.8403000000000009</v>
      </c>
      <c r="E13" s="56">
        <f>T15</f>
        <v>1.3095999999999997</v>
      </c>
      <c r="F13" s="56">
        <f>P15</f>
        <v>-0.66119999999999912</v>
      </c>
      <c r="G13" s="74" t="str">
        <f>CONCATENATE(M16,"
(10 ~ 50)")</f>
        <v>神经质
(10 ~ 50)</v>
      </c>
      <c r="H13" s="54">
        <f>R16</f>
        <v>-0.26320999999999994</v>
      </c>
      <c r="I13" s="55">
        <f>N16</f>
        <v>2.5346000000000011</v>
      </c>
      <c r="J13" s="56">
        <f>T16</f>
        <v>3.9048000000000016</v>
      </c>
      <c r="K13" s="57">
        <f>P16</f>
        <v>5.2735999999999983</v>
      </c>
      <c r="M13" s="27" t="str">
        <f>lang!B20</f>
        <v>活力</v>
      </c>
      <c r="N13" s="59">
        <f t="shared" si="4"/>
        <v>-1.2350999999999992</v>
      </c>
      <c r="O13" s="59">
        <f t="shared" si="5"/>
        <v>-2.6972499999999999</v>
      </c>
      <c r="P13" s="59">
        <f t="shared" si="6"/>
        <v>-17.473379999999999</v>
      </c>
      <c r="Q13" s="59">
        <f t="shared" si="7"/>
        <v>0</v>
      </c>
      <c r="R13" s="59">
        <f t="shared" si="8"/>
        <v>7.5721499999999997</v>
      </c>
      <c r="S13" s="59">
        <f t="shared" si="9"/>
        <v>0</v>
      </c>
      <c r="T13" s="59">
        <f t="shared" si="10"/>
        <v>-1.3664000000000005</v>
      </c>
      <c r="U13" s="14"/>
      <c r="V13" s="27" t="str">
        <f t="shared" si="11"/>
        <v>活力</v>
      </c>
      <c r="W13" s="59">
        <f>'M1'!B11*1</f>
        <v>14.9315</v>
      </c>
      <c r="X13" s="59">
        <f>'M1'!C11*1</f>
        <v>3.6753499999999999</v>
      </c>
      <c r="Y13" s="59">
        <f>'M1'!D11*1</f>
        <v>24.614699999999999</v>
      </c>
      <c r="Z13" s="59">
        <f>'M1'!E11*1</f>
        <v>10</v>
      </c>
      <c r="AA13" s="59">
        <f>'M1'!F11*1</f>
        <v>4.3945499999999997</v>
      </c>
      <c r="AB13" s="59">
        <f>'M1'!G11*1</f>
        <v>50</v>
      </c>
      <c r="AC13" s="59">
        <f>'M1'!H11*1</f>
        <v>16.886800000000001</v>
      </c>
      <c r="AE13" s="27" t="str">
        <f t="shared" si="12"/>
        <v>活力</v>
      </c>
      <c r="AF13" s="59">
        <f>'M2'!B11*1</f>
        <v>13.696400000000001</v>
      </c>
      <c r="AG13" s="59">
        <f>'M2'!C11*1</f>
        <v>0.97809999999999997</v>
      </c>
      <c r="AH13" s="59">
        <f>'M2'!D11*1</f>
        <v>7.1413200000000003</v>
      </c>
      <c r="AI13" s="59">
        <f>'M2'!E11*1</f>
        <v>10</v>
      </c>
      <c r="AJ13" s="59">
        <f>'M2'!F11*1</f>
        <v>11.966699999999999</v>
      </c>
      <c r="AK13" s="59">
        <f>'M2'!G11*1</f>
        <v>50</v>
      </c>
      <c r="AL13" s="59">
        <f>'M2'!H11*1</f>
        <v>15.5204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-3.3263000000000034</v>
      </c>
      <c r="O14" s="59">
        <f t="shared" si="5"/>
        <v>0.67727999999999988</v>
      </c>
      <c r="P14" s="59">
        <f t="shared" si="6"/>
        <v>1.1827000000000001</v>
      </c>
      <c r="Q14" s="59">
        <f t="shared" si="7"/>
        <v>0</v>
      </c>
      <c r="R14" s="59">
        <f t="shared" si="8"/>
        <v>-5.8043000000000049</v>
      </c>
      <c r="S14" s="59">
        <f t="shared" si="9"/>
        <v>0</v>
      </c>
      <c r="T14" s="59">
        <f t="shared" si="10"/>
        <v>-2.1191000000000031</v>
      </c>
      <c r="U14" s="14"/>
      <c r="V14" s="27" t="str">
        <f t="shared" si="11"/>
        <v>自我调节</v>
      </c>
      <c r="W14" s="59">
        <f>'M1'!B12*1</f>
        <v>68.764499999999998</v>
      </c>
      <c r="X14" s="59">
        <f>'M1'!C12*1</f>
        <v>1.9984900000000001</v>
      </c>
      <c r="Y14" s="59">
        <f>'M1'!D12*1</f>
        <v>2.9062899999999998</v>
      </c>
      <c r="Z14" s="59">
        <f>'M1'!E12*1</f>
        <v>50</v>
      </c>
      <c r="AA14" s="59">
        <f>'M1'!F12*1</f>
        <v>62.961100000000002</v>
      </c>
      <c r="AB14" s="59">
        <f>'M1'!G12*1</f>
        <v>100</v>
      </c>
      <c r="AC14" s="59">
        <f>'M1'!H12*1</f>
        <v>71.47</v>
      </c>
      <c r="AE14" s="27" t="str">
        <f t="shared" si="12"/>
        <v>自我调节</v>
      </c>
      <c r="AF14" s="59">
        <f>'M2'!B12*1</f>
        <v>65.438199999999995</v>
      </c>
      <c r="AG14" s="59">
        <f>'M2'!C12*1</f>
        <v>2.67577</v>
      </c>
      <c r="AH14" s="59">
        <f>'M2'!D12*1</f>
        <v>4.0889899999999999</v>
      </c>
      <c r="AI14" s="59">
        <f>'M2'!E12*1</f>
        <v>50</v>
      </c>
      <c r="AJ14" s="59">
        <f>'M2'!F12*1</f>
        <v>57.156799999999997</v>
      </c>
      <c r="AK14" s="59">
        <f>'M2'!G12*1</f>
        <v>100</v>
      </c>
      <c r="AL14" s="59">
        <f>'M2'!H12*1</f>
        <v>69.350899999999996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2.8403000000000009</v>
      </c>
      <c r="O15" s="59">
        <f t="shared" si="5"/>
        <v>0.2534599999999998</v>
      </c>
      <c r="P15" s="59">
        <f t="shared" si="6"/>
        <v>-0.66119999999999912</v>
      </c>
      <c r="Q15" s="59">
        <f t="shared" si="7"/>
        <v>0</v>
      </c>
      <c r="R15" s="59">
        <f t="shared" si="8"/>
        <v>1.0982000000000003</v>
      </c>
      <c r="S15" s="59">
        <f t="shared" si="9"/>
        <v>0</v>
      </c>
      <c r="T15" s="59">
        <f t="shared" si="10"/>
        <v>1.3095999999999997</v>
      </c>
      <c r="U15" s="14"/>
      <c r="V15" s="27" t="str">
        <f t="shared" si="11"/>
        <v>抑郁</v>
      </c>
      <c r="W15" s="59">
        <f>'M1'!B13*1</f>
        <v>14.130699999999999</v>
      </c>
      <c r="X15" s="59">
        <f>'M1'!C13*1</f>
        <v>1.8192600000000001</v>
      </c>
      <c r="Y15" s="59">
        <f>'M1'!D13*1</f>
        <v>12.874499999999999</v>
      </c>
      <c r="Z15" s="59">
        <f>'M1'!E13*1</f>
        <v>10</v>
      </c>
      <c r="AA15" s="59">
        <f>'M1'!F13*1</f>
        <v>11.4381</v>
      </c>
      <c r="AB15" s="59">
        <f>'M1'!G13*1</f>
        <v>25</v>
      </c>
      <c r="AC15" s="59">
        <f>'M1'!H13*1</f>
        <v>19.738399999999999</v>
      </c>
      <c r="AE15" s="27" t="str">
        <f t="shared" si="12"/>
        <v>抑郁</v>
      </c>
      <c r="AF15" s="59">
        <f>'M2'!B13*1</f>
        <v>16.971</v>
      </c>
      <c r="AG15" s="59">
        <f>'M2'!C13*1</f>
        <v>2.0727199999999999</v>
      </c>
      <c r="AH15" s="59">
        <f>'M2'!D13*1</f>
        <v>12.2133</v>
      </c>
      <c r="AI15" s="59">
        <f>'M2'!E13*1</f>
        <v>10</v>
      </c>
      <c r="AJ15" s="59">
        <f>'M2'!F13*1</f>
        <v>12.536300000000001</v>
      </c>
      <c r="AK15" s="59">
        <f>'M2'!G13*1</f>
        <v>25</v>
      </c>
      <c r="AL15" s="59">
        <f>'M2'!H13*1</f>
        <v>21.047999999999998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2.5346000000000011</v>
      </c>
      <c r="O16" s="59">
        <f t="shared" si="5"/>
        <v>1.8628</v>
      </c>
      <c r="P16" s="59">
        <f t="shared" si="6"/>
        <v>5.2735999999999983</v>
      </c>
      <c r="Q16" s="59">
        <f t="shared" si="7"/>
        <v>0</v>
      </c>
      <c r="R16" s="59">
        <f t="shared" si="8"/>
        <v>-0.26320999999999994</v>
      </c>
      <c r="S16" s="59">
        <f t="shared" si="9"/>
        <v>0</v>
      </c>
      <c r="T16" s="59">
        <f t="shared" si="10"/>
        <v>3.9048000000000016</v>
      </c>
      <c r="U16" s="15"/>
      <c r="V16" s="27" t="str">
        <f t="shared" si="11"/>
        <v>神经质</v>
      </c>
      <c r="W16" s="59">
        <f>'M1'!B14*1</f>
        <v>18.192599999999999</v>
      </c>
      <c r="X16" s="59">
        <f>'M1'!C14*1</f>
        <v>5.5250000000000004</v>
      </c>
      <c r="Y16" s="59">
        <f>'M1'!D14*1</f>
        <v>30.369499999999999</v>
      </c>
      <c r="Z16" s="59">
        <f>'M1'!E14*1</f>
        <v>10</v>
      </c>
      <c r="AA16" s="59">
        <f>'M1'!F14*1</f>
        <v>1.48553</v>
      </c>
      <c r="AB16" s="59">
        <f>'M1'!G14*1</f>
        <v>50</v>
      </c>
      <c r="AC16" s="59">
        <f>'M1'!H14*1</f>
        <v>18.9436</v>
      </c>
      <c r="AE16" s="27" t="str">
        <f t="shared" si="12"/>
        <v>神经质</v>
      </c>
      <c r="AF16" s="59">
        <f>'M2'!B14*1</f>
        <v>20.7272</v>
      </c>
      <c r="AG16" s="59">
        <f>'M2'!C14*1</f>
        <v>7.3878000000000004</v>
      </c>
      <c r="AH16" s="59">
        <f>'M2'!D14*1</f>
        <v>35.643099999999997</v>
      </c>
      <c r="AI16" s="59">
        <f>'M2'!E14*1</f>
        <v>10</v>
      </c>
      <c r="AJ16" s="59">
        <f>'M2'!F14*1</f>
        <v>1.2223200000000001</v>
      </c>
      <c r="AK16" s="59">
        <f>'M2'!G14*1</f>
        <v>50</v>
      </c>
      <c r="AL16" s="59">
        <f>'M2'!H14*1</f>
        <v>22.848400000000002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-2.9742249999999997</v>
      </c>
      <c r="O17" s="22">
        <f>N17/(N17+N18+N19)</f>
        <v>-6.6292767190460298</v>
      </c>
      <c r="P17" s="65">
        <f>SUM(P11:P14)/4</f>
        <v>-6.1518224999999997</v>
      </c>
      <c r="Q17" s="22">
        <f>P17/(P17+P18+P19)</f>
        <v>0.70286039415359114</v>
      </c>
      <c r="R17" s="14"/>
      <c r="S17" s="14"/>
      <c r="T17" s="14"/>
      <c r="U17" s="14"/>
      <c r="V17" s="21" t="str">
        <f>M17</f>
        <v>Positive</v>
      </c>
      <c r="W17" s="65">
        <f>SUM(W11:W14)/4</f>
        <v>55.307224999999995</v>
      </c>
      <c r="X17" s="22">
        <f>W17/(W17+W18+W19)</f>
        <v>0.51918053411816667</v>
      </c>
      <c r="Y17" s="65">
        <f>SUM(Y11:Y14)/4</f>
        <v>11.6945125</v>
      </c>
      <c r="Z17" s="22">
        <f>Y17/(Y17+Y18+Y19)</f>
        <v>0.26083815733969679</v>
      </c>
      <c r="AA17" s="14"/>
      <c r="AB17" s="14"/>
      <c r="AC17" s="14"/>
      <c r="AE17" s="21" t="str">
        <f>V17</f>
        <v>Positive</v>
      </c>
      <c r="AF17" s="65">
        <f>SUM(AF11:AF14)/4</f>
        <v>52.333000000000006</v>
      </c>
      <c r="AG17" s="22">
        <f>AF17/(AF17+AF18+AF19)</f>
        <v>0.4892005562900103</v>
      </c>
      <c r="AH17" s="65">
        <f>SUM(AH11:AH14)/4</f>
        <v>5.5426899999999995</v>
      </c>
      <c r="AI17" s="22">
        <f>AH17/(AH17+AH18+AH19)</f>
        <v>0.15361452210961701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0.73542499999999844</v>
      </c>
      <c r="O18" s="22">
        <f>N18/(N17+N18+N19)</f>
        <v>1.6391953638693832</v>
      </c>
      <c r="P18" s="18">
        <f>SUM(P7:P10)/4</f>
        <v>-4.9069300000000009</v>
      </c>
      <c r="Q18" s="22">
        <f>P18/(P17+P18+P19)</f>
        <v>0.56062845667021144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35.059049999999999</v>
      </c>
      <c r="X18" s="22">
        <f>W18/(W17+W18+W19)</f>
        <v>0.32910666381608389</v>
      </c>
      <c r="Y18" s="18">
        <f>SUM(Y7:Y10)/4</f>
        <v>11.517850000000001</v>
      </c>
      <c r="Z18" s="22">
        <f>Y18/(Y17+Y18+Y19)</f>
        <v>0.25689782028237829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35.794475000000006</v>
      </c>
      <c r="AG18" s="22">
        <f>AF18/(AF17+AF18+AF19)</f>
        <v>0.33460105635275766</v>
      </c>
      <c r="AH18" s="18">
        <f>SUM(AH7:AH10)/4</f>
        <v>6.6109200000000001</v>
      </c>
      <c r="AI18" s="22">
        <f>AH18/(AH17+AH18+AH19)</f>
        <v>0.18322029853823854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2.687450000000001</v>
      </c>
      <c r="O19" s="22">
        <f>N19/(N17+N18+N19)</f>
        <v>5.9900813551766463</v>
      </c>
      <c r="P19" s="18">
        <f>(P15+P16)/2</f>
        <v>2.3061999999999996</v>
      </c>
      <c r="Q19" s="22">
        <f>P19/(P17+P18+P19)</f>
        <v>-0.26348885082380247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16.161649999999998</v>
      </c>
      <c r="X19" s="22">
        <f>W19/(W17+W18+W19)</f>
        <v>0.15171280206574941</v>
      </c>
      <c r="Y19" s="18">
        <f>(Y15+Y16)/2</f>
        <v>21.622</v>
      </c>
      <c r="Z19" s="22">
        <f>Y19/(Y17+Y18+Y19)</f>
        <v>0.48226402237792498</v>
      </c>
      <c r="AA19" s="14"/>
      <c r="AB19" s="14"/>
      <c r="AC19" s="14"/>
      <c r="AE19" s="21" t="str">
        <f t="shared" si="14"/>
        <v>Physiological</v>
      </c>
      <c r="AF19" s="18">
        <f>(AF15+AF16)/2</f>
        <v>18.8491</v>
      </c>
      <c r="AG19" s="22">
        <f>AF19/(AF17+AF18+AF19)</f>
        <v>0.17619838735723217</v>
      </c>
      <c r="AH19" s="18">
        <f>(AH15+AH16)/2</f>
        <v>23.928199999999997</v>
      </c>
      <c r="AI19" s="22">
        <f>AH19/(AH17+AH18+AH19)</f>
        <v>0.66316517935214447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1.19/1.4</v>
      </c>
      <c r="D24" s="44" t="str">
        <f>lang!B11</f>
        <v>频率方差</v>
      </c>
      <c r="E24" s="182" t="str">
        <f ca="1">CONCATENATE(ROUND('FH1'!L3,2),"/",ROUND('FH2'!L3,2))</f>
        <v>0.59/0.72</v>
      </c>
      <c r="F24" s="183"/>
      <c r="G24" s="174" t="str">
        <f>lang!B12</f>
        <v>生理变化率</v>
      </c>
      <c r="H24" s="175"/>
      <c r="I24" s="62" t="str">
        <f ca="1">CONCATENATE(info!M7,"-",info!M8)</f>
        <v>9.5-60.4</v>
      </c>
      <c r="J24" s="42" t="str">
        <f>lang!B13</f>
        <v>千卡l/分钟</v>
      </c>
      <c r="K24" s="41" t="str">
        <f ca="1">CONCATENATE(info!M5,"-",info!M6)</f>
        <v>1.6-3.1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22.767000000000003</v>
      </c>
      <c r="F27" s="121"/>
      <c r="G27" s="135" t="str">
        <f>lang!B33</f>
        <v>稳定性</v>
      </c>
      <c r="H27" s="136"/>
      <c r="I27" s="137"/>
      <c r="J27" s="138">
        <f>dM!B19*100</f>
        <v>12.494199999999999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-0.9702121436876302</v>
      </c>
      <c r="C2">
        <f t="array" aca="1" ref="C2" ca="1">CORREL(FT_E02,FT_PH02)</f>
        <v>-0.97384430519966292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1.55447</v>
      </c>
      <c r="G2" s="61">
        <f>IF(FT!B2&lt;&gt;"",FT!B2*100,"")</f>
        <v>60.410899999999998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1.60964</v>
      </c>
      <c r="G3" s="61">
        <f>IF(FT!B3&lt;&gt;"",FT!B3*100,"")</f>
        <v>59.418400000000005</v>
      </c>
      <c r="H3" s="61">
        <f t="shared" ref="H3:H66" si="1">(IF(F3&lt;&gt;"",1,""))</f>
        <v>1</v>
      </c>
      <c r="I3" t="str">
        <f>IF(FT!B3&lt;&gt;"",FT!E3,"")</f>
        <v>1 [0.410664]</v>
      </c>
      <c r="J3">
        <f>IF(FT!B3&lt;&gt;"",FT!C3,"")</f>
        <v>0.41066399999999997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0.43224995945945938</v>
      </c>
      <c r="V3">
        <f ca="1">AVERAGE(OFFSET(FT!B2,info!$L$3/2,0,info!$L$3/2,1))</f>
        <v>0.2277727054054054</v>
      </c>
      <c r="W3">
        <f ca="1">AVERAGE(OFFSET(FT!A2,0,0,info!$L$3/2,1))</f>
        <v>0.25638794594594588</v>
      </c>
      <c r="X3">
        <f ca="1">AVERAGE(OFFSET(FT!A2,info!$L$3/2,0,info!$L$3/2,1))</f>
        <v>0.2893481351351353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1.6647400000000001</v>
      </c>
      <c r="G4" s="61">
        <f>IF(FT!B4&lt;&gt;"",FT!B4*100,"")</f>
        <v>58.457300000000004</v>
      </c>
      <c r="H4" s="61">
        <f t="shared" si="1"/>
        <v>1</v>
      </c>
      <c r="I4" t="str">
        <f>IF(FT!B4&lt;&gt;"",FT!E4,"")</f>
        <v>1 [0.814539]</v>
      </c>
      <c r="J4">
        <f>IF(FT!B4&lt;&gt;"",FT!C4,"")</f>
        <v>0.81453900000000001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14.941700000000001</v>
      </c>
      <c r="V4">
        <f>U4*3</f>
        <v>44.825100000000006</v>
      </c>
      <c r="W4">
        <f>U4</f>
        <v>14.941700000000001</v>
      </c>
      <c r="X4">
        <f>V4</f>
        <v>44.825100000000006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1.7183599999999999</v>
      </c>
      <c r="G5" s="61">
        <f>IF(FT!B5&lt;&gt;"",FT!B5*100,"")</f>
        <v>57.6126</v>
      </c>
      <c r="H5" s="61">
        <f t="shared" si="1"/>
        <v>1</v>
      </c>
      <c r="I5" t="str">
        <f>IF(FT!B5&lt;&gt;"",FT!E5,"")</f>
        <v>1 [1.219423]</v>
      </c>
      <c r="J5">
        <f>IF(FT!B5&lt;&gt;"",FT!C5,"")</f>
        <v>1.2194199999999999</v>
      </c>
      <c r="K5" t="s">
        <v>53</v>
      </c>
      <c r="L5" s="63">
        <f ca="1">MIN(FT_E)</f>
        <v>1.55447</v>
      </c>
      <c r="M5" s="63">
        <f ca="1">ROUND(L5,1)</f>
        <v>1.6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43.224995945945935</v>
      </c>
      <c r="V5">
        <f ca="1">V3*100</f>
        <v>22.777270540540538</v>
      </c>
      <c r="W5">
        <f ca="1">W3*10</f>
        <v>2.5638794594594589</v>
      </c>
      <c r="X5">
        <f ca="1">X3*10</f>
        <v>2.8934813513513529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1.7709600000000001</v>
      </c>
      <c r="G6" s="61">
        <f>IF(FT!B6&lt;&gt;"",FT!B6*100,"")</f>
        <v>56.748699999999999</v>
      </c>
      <c r="H6" s="61">
        <f t="shared" si="1"/>
        <v>1</v>
      </c>
      <c r="I6" t="str">
        <f>IF(FT!B6&lt;&gt;"",FT!E6,"")</f>
        <v>1 [1.624841]</v>
      </c>
      <c r="J6">
        <f>IF(FT!B6&lt;&gt;"",FT!C6,"")</f>
        <v>1.6248400000000001</v>
      </c>
      <c r="K6" t="s">
        <v>54</v>
      </c>
      <c r="L6" s="63">
        <f ca="1">MAX(FT_E)</f>
        <v>3.0982599999999998</v>
      </c>
      <c r="M6" s="63">
        <f ca="1">ROUND(L6,1)</f>
        <v>3.1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1.8215400000000002</v>
      </c>
      <c r="G7" s="61">
        <f>IF(FT!B7&lt;&gt;"",FT!B7*100,"")</f>
        <v>55.990799999999993</v>
      </c>
      <c r="H7" s="61">
        <f t="shared" si="1"/>
        <v>1</v>
      </c>
      <c r="I7" t="str">
        <f>IF(FT!B7&lt;&gt;"",FT!E7,"")</f>
        <v>1 [2.030527]</v>
      </c>
      <c r="J7">
        <f>IF(FT!B7&lt;&gt;"",FT!C7,"")</f>
        <v>2.0305300000000002</v>
      </c>
      <c r="K7" t="s">
        <v>55</v>
      </c>
      <c r="L7" s="63">
        <f ca="1">MIN(FT_PH)</f>
        <v>9.5364500000000003</v>
      </c>
      <c r="M7" s="63">
        <f ca="1">ROUND(L7,1)</f>
        <v>9.5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5258</v>
      </c>
      <c r="D8" s="61">
        <f>FH!B8*1</f>
        <v>5258</v>
      </c>
      <c r="E8">
        <f t="shared" si="3"/>
        <v>6</v>
      </c>
      <c r="F8" s="61">
        <f>IF(FT!A8&lt;&gt;"",FT!A8*10,"")</f>
        <v>1.8706200000000002</v>
      </c>
      <c r="G8" s="61">
        <f>IF(FT!B8&lt;&gt;"",FT!B8*100,"")</f>
        <v>55.292699999999996</v>
      </c>
      <c r="H8" s="61">
        <f t="shared" si="1"/>
        <v>1</v>
      </c>
      <c r="I8" t="str">
        <f>IF(FT!B8&lt;&gt;"",FT!E8,"")</f>
        <v>1 [2.439259]</v>
      </c>
      <c r="J8">
        <f>IF(FT!B8&lt;&gt;"",FT!C8,"")</f>
        <v>2.43926</v>
      </c>
      <c r="K8" t="s">
        <v>56</v>
      </c>
      <c r="L8" s="63">
        <f ca="1">MAX(FT_PH)</f>
        <v>60.410899999999998</v>
      </c>
      <c r="M8" s="63">
        <f ca="1">ROUND(L8,1)</f>
        <v>60.4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1.9209000000000001</v>
      </c>
      <c r="G9" s="61">
        <f>IF(FT!B9&lt;&gt;"",FT!B9*100,"")</f>
        <v>54.523299999999999</v>
      </c>
      <c r="H9" s="61">
        <f t="shared" si="1"/>
        <v>1</v>
      </c>
      <c r="I9" t="str">
        <f>IF(FT!B9&lt;&gt;"",FT!E9,"")</f>
        <v>1 [2.845144]</v>
      </c>
      <c r="J9">
        <f>IF(FT!B9&lt;&gt;"",FT!C9,"")</f>
        <v>2.8451399999999998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13203</v>
      </c>
      <c r="D10" s="61">
        <f>FH!B10*1</f>
        <v>13203</v>
      </c>
      <c r="E10">
        <f t="shared" si="3"/>
        <v>8</v>
      </c>
      <c r="F10" s="61">
        <f>IF(FT!A10&lt;&gt;"",FT!A10*10,"")</f>
        <v>1.9701299999999999</v>
      </c>
      <c r="G10" s="61">
        <f>IF(FT!B10&lt;&gt;"",FT!B10*100,"")</f>
        <v>53.795099999999998</v>
      </c>
      <c r="H10" s="61">
        <f t="shared" si="1"/>
        <v>1</v>
      </c>
      <c r="I10" t="str">
        <f>IF(FT!B10&lt;&gt;"",FT!E10,"")</f>
        <v>1 [3.250004]</v>
      </c>
      <c r="J10">
        <f>IF(FT!B10&lt;&gt;"",FT!C10,"")</f>
        <v>3.25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2.0217099999999997</v>
      </c>
      <c r="G11" s="61">
        <f>IF(FT!B11&lt;&gt;"",FT!B11*100,"")</f>
        <v>52.981500000000004</v>
      </c>
      <c r="H11" s="61">
        <f t="shared" si="1"/>
        <v>1</v>
      </c>
      <c r="I11" t="str">
        <f>IF(FT!B11&lt;&gt;"",FT!E11,"")</f>
        <v>1 [3.658280]</v>
      </c>
      <c r="J11">
        <f>IF(FT!B11&lt;&gt;"",FT!C11,"")</f>
        <v>3.65828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2.0731999999999999</v>
      </c>
      <c r="G12" s="61">
        <f>IF(FT!B12&lt;&gt;"",FT!B12*100,"")</f>
        <v>52.126199999999997</v>
      </c>
      <c r="H12" s="61">
        <f t="shared" si="1"/>
        <v>1</v>
      </c>
      <c r="I12" t="str">
        <f>IF(FT!B12&lt;&gt;"",FT!E12,"")</f>
        <v>1 [4.062333]</v>
      </c>
      <c r="J12">
        <f>IF(FT!B12&lt;&gt;"",FT!C12,"")</f>
        <v>4.0623300000000002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26100</v>
      </c>
      <c r="D13" s="61">
        <f>FH!B13*1</f>
        <v>26100</v>
      </c>
      <c r="E13">
        <f t="shared" si="3"/>
        <v>11</v>
      </c>
      <c r="F13" s="61">
        <f>IF(FT!A13&lt;&gt;"",FT!A13*10,"")</f>
        <v>2.1233200000000001</v>
      </c>
      <c r="G13" s="61">
        <f>IF(FT!B13&lt;&gt;"",FT!B13*100,"")</f>
        <v>51.244700000000002</v>
      </c>
      <c r="H13" s="61">
        <f t="shared" si="1"/>
        <v>1</v>
      </c>
      <c r="I13" t="str">
        <f>IF(FT!B13&lt;&gt;"",FT!E13,"")</f>
        <v>1 [4.471737]</v>
      </c>
      <c r="J13">
        <f>IF(FT!B13&lt;&gt;"",FT!C13,"")</f>
        <v>4.4717399999999996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2.1724199999999998</v>
      </c>
      <c r="G14" s="61">
        <f>IF(FT!B14&lt;&gt;"",FT!B14*100,"")</f>
        <v>50.414099999999998</v>
      </c>
      <c r="H14" s="61">
        <f t="shared" si="1"/>
        <v>1</v>
      </c>
      <c r="I14" t="str">
        <f>IF(FT!B14&lt;&gt;"",FT!E14,"")</f>
        <v>1 [4.876762]</v>
      </c>
      <c r="J14">
        <f>IF(FT!B14&lt;&gt;"",FT!C14,"")</f>
        <v>4.87676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44239</v>
      </c>
      <c r="D15" s="61">
        <f>FH!B15*1</f>
        <v>44239</v>
      </c>
      <c r="E15">
        <f t="shared" si="3"/>
        <v>13</v>
      </c>
      <c r="F15" s="61">
        <f>IF(FT!A15&lt;&gt;"",FT!A15*10,"")</f>
        <v>2.2232699999999999</v>
      </c>
      <c r="G15" s="61">
        <f>IF(FT!B15&lt;&gt;"",FT!B15*100,"")</f>
        <v>49.49</v>
      </c>
      <c r="H15" s="61">
        <f t="shared" si="1"/>
        <v>1</v>
      </c>
      <c r="I15" t="str">
        <f>IF(FT!B15&lt;&gt;"",FT!E15,"")</f>
        <v>1 [5.281628]</v>
      </c>
      <c r="J15">
        <f>IF(FT!B15&lt;&gt;"",FT!C15,"")</f>
        <v>5.2816299999999998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2.2729499999999998</v>
      </c>
      <c r="G16" s="61">
        <f>IF(FT!B16&lt;&gt;"",FT!B16*100,"")</f>
        <v>48.670200000000001</v>
      </c>
      <c r="H16" s="61">
        <f t="shared" si="1"/>
        <v>1</v>
      </c>
      <c r="I16" t="str">
        <f>IF(FT!B16&lt;&gt;"",FT!E16,"")</f>
        <v>1 [5.687653]</v>
      </c>
      <c r="J16">
        <f>IF(FT!B16&lt;&gt;"",FT!C16,"")</f>
        <v>5.6876499999999997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2.3189199999999999</v>
      </c>
      <c r="G17" s="61">
        <f>IF(FT!B17&lt;&gt;"",FT!B17*100,"")</f>
        <v>48.076099999999997</v>
      </c>
      <c r="H17" s="61">
        <f t="shared" si="1"/>
        <v>1</v>
      </c>
      <c r="I17" t="str">
        <f>IF(FT!B17&lt;&gt;"",FT!E17,"")</f>
        <v>1 [6.093126]</v>
      </c>
      <c r="J17">
        <f>IF(FT!B17&lt;&gt;"",FT!C17,"")</f>
        <v>6.0931300000000004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63791</v>
      </c>
      <c r="D18" s="61">
        <f>FH!B18*1</f>
        <v>63791</v>
      </c>
      <c r="E18">
        <f t="shared" si="3"/>
        <v>16</v>
      </c>
      <c r="F18" s="61">
        <f>IF(FT!A18&lt;&gt;"",FT!A18*10,"")</f>
        <v>2.3625699999999998</v>
      </c>
      <c r="G18" s="61">
        <f>IF(FT!B18&lt;&gt;"",FT!B18*100,"")</f>
        <v>47.581200000000003</v>
      </c>
      <c r="H18" s="61">
        <f t="shared" si="1"/>
        <v>1</v>
      </c>
      <c r="I18" t="str">
        <f>IF(FT!B18&lt;&gt;"",FT!E18,"")</f>
        <v>1 [6.499052]</v>
      </c>
      <c r="J18">
        <f>IF(FT!B18&lt;&gt;"",FT!C18,"")</f>
        <v>6.4990500000000004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2.4040699999999999</v>
      </c>
      <c r="G19" s="61">
        <f>IF(FT!B19&lt;&gt;"",FT!B19*100,"")</f>
        <v>47.034500000000001</v>
      </c>
      <c r="H19" s="61">
        <f t="shared" si="1"/>
        <v>1</v>
      </c>
      <c r="I19" t="str">
        <f>IF(FT!B19&lt;&gt;"",FT!E19,"")</f>
        <v>1 [6.908089]</v>
      </c>
      <c r="J19">
        <f>IF(FT!B19&lt;&gt;"",FT!C19,"")</f>
        <v>6.9080899999999996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2.4443999999999999</v>
      </c>
      <c r="G20" s="61">
        <f>IF(FT!B20&lt;&gt;"",FT!B20*100,"")</f>
        <v>46.4816</v>
      </c>
      <c r="H20" s="61">
        <f t="shared" si="1"/>
        <v>1</v>
      </c>
      <c r="I20" t="str">
        <f>IF(FT!B20&lt;&gt;"",FT!E20,"")</f>
        <v>1 [7.312155]</v>
      </c>
      <c r="J20">
        <f>IF(FT!B20&lt;&gt;"",FT!C20,"")</f>
        <v>7.3121499999999999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68767</v>
      </c>
      <c r="D21" s="61">
        <f>FH!B21*1</f>
        <v>68767</v>
      </c>
      <c r="E21">
        <f t="shared" si="3"/>
        <v>19</v>
      </c>
      <c r="F21" s="61">
        <f>IF(FT!A21&lt;&gt;"",FT!A21*10,"")</f>
        <v>2.4820199999999999</v>
      </c>
      <c r="G21" s="61">
        <f>IF(FT!B21&lt;&gt;"",FT!B21*100,"")</f>
        <v>45.9572</v>
      </c>
      <c r="H21" s="61">
        <f t="shared" si="1"/>
        <v>1</v>
      </c>
      <c r="I21" t="str">
        <f>IF(FT!B21&lt;&gt;"",FT!E21,"")</f>
        <v>1 [7.720220]</v>
      </c>
      <c r="J21">
        <f>IF(FT!B21&lt;&gt;"",FT!C21,"")</f>
        <v>7.7202200000000003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2.5172499999999998</v>
      </c>
      <c r="G22" s="61">
        <f>IF(FT!B22&lt;&gt;"",FT!B22*100,"")</f>
        <v>45.471800000000002</v>
      </c>
      <c r="H22" s="61">
        <f t="shared" si="1"/>
        <v>1</v>
      </c>
      <c r="I22" t="str">
        <f>IF(FT!B22&lt;&gt;"",FT!E22,"")</f>
        <v>1 [8.124993]</v>
      </c>
      <c r="J22">
        <f>IF(FT!B22&lt;&gt;"",FT!C22,"")</f>
        <v>8.1249900000000004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67735</v>
      </c>
      <c r="D23" s="61">
        <f>FH!B23*1</f>
        <v>67735</v>
      </c>
      <c r="E23">
        <f t="shared" si="3"/>
        <v>21</v>
      </c>
      <c r="F23" s="61">
        <f>IF(FT!A23&lt;&gt;"",FT!A23*10,"")</f>
        <v>2.5513200000000005</v>
      </c>
      <c r="G23" s="61">
        <f>IF(FT!B23&lt;&gt;"",FT!B23*100,"")</f>
        <v>44.9621</v>
      </c>
      <c r="H23" s="61">
        <f t="shared" si="1"/>
        <v>1</v>
      </c>
      <c r="I23" t="str">
        <f>IF(FT!B23&lt;&gt;"",FT!E23,"")</f>
        <v>1 [8.532889]</v>
      </c>
      <c r="J23">
        <f>IF(FT!B23&lt;&gt;"",FT!C23,"")</f>
        <v>8.5328900000000001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2.5830900000000003</v>
      </c>
      <c r="G24" s="61">
        <f>IF(FT!B24&lt;&gt;"",FT!B24*100,"")</f>
        <v>44.527499999999996</v>
      </c>
      <c r="H24" s="61">
        <f t="shared" si="1"/>
        <v>1</v>
      </c>
      <c r="I24" t="str">
        <f>IF(FT!B24&lt;&gt;"",FT!E24,"")</f>
        <v>1 [8.938998]</v>
      </c>
      <c r="J24">
        <f>IF(FT!B24&lt;&gt;"",FT!C24,"")</f>
        <v>8.9390000000000001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2.61226</v>
      </c>
      <c r="G25" s="61">
        <f>IF(FT!B25&lt;&gt;"",FT!B25*100,"")</f>
        <v>44.13</v>
      </c>
      <c r="H25" s="61">
        <f t="shared" si="1"/>
        <v>1</v>
      </c>
      <c r="I25" t="str">
        <f>IF(FT!B25&lt;&gt;"",FT!E25,"")</f>
        <v>1 [9.343327]</v>
      </c>
      <c r="J25">
        <f>IF(FT!B25&lt;&gt;"",FT!C25,"")</f>
        <v>9.3433299999999999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70081</v>
      </c>
      <c r="D26" s="61">
        <f>FH!B26*1</f>
        <v>70081</v>
      </c>
      <c r="E26">
        <f t="shared" si="3"/>
        <v>24</v>
      </c>
      <c r="F26" s="61">
        <f>IF(FT!A26&lt;&gt;"",FT!A26*10,"")</f>
        <v>2.6382299999999996</v>
      </c>
      <c r="G26" s="61">
        <f>IF(FT!B26&lt;&gt;"",FT!B26*100,"")</f>
        <v>43.716200000000001</v>
      </c>
      <c r="H26" s="61">
        <f t="shared" si="1"/>
        <v>1</v>
      </c>
      <c r="I26" t="str">
        <f>IF(FT!B26&lt;&gt;"",FT!E26,"")</f>
        <v>1 [9.747600]</v>
      </c>
      <c r="J26">
        <f>IF(FT!B26&lt;&gt;"",FT!C26,"")</f>
        <v>9.7476000000000003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2.6618999999999997</v>
      </c>
      <c r="G27" s="61">
        <f>IF(FT!B27&lt;&gt;"",FT!B27*100,"")</f>
        <v>43.381300000000003</v>
      </c>
      <c r="H27" s="61">
        <f t="shared" si="1"/>
        <v>1</v>
      </c>
      <c r="I27" t="str">
        <f>IF(FT!B27&lt;&gt;"",FT!E27,"")</f>
        <v>1 [10.156821]</v>
      </c>
      <c r="J27">
        <f>IF(FT!B27&lt;&gt;"",FT!C27,"")</f>
        <v>10.1568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71534</v>
      </c>
      <c r="D28" s="61">
        <f>FH!B28*1</f>
        <v>71534</v>
      </c>
      <c r="E28">
        <f t="shared" si="3"/>
        <v>26</v>
      </c>
      <c r="F28" s="61">
        <f>IF(FT!A28&lt;&gt;"",FT!A28*10,"")</f>
        <v>2.6841200000000001</v>
      </c>
      <c r="G28" s="61">
        <f>IF(FT!B28&lt;&gt;"",FT!B28*100,"")</f>
        <v>43.055599999999998</v>
      </c>
      <c r="H28" s="61">
        <f t="shared" si="1"/>
        <v>1</v>
      </c>
      <c r="I28" t="str">
        <f>IF(FT!B28&lt;&gt;"",FT!E28,"")</f>
        <v>1 [10.565571]</v>
      </c>
      <c r="J28">
        <f>IF(FT!B28&lt;&gt;"",FT!C28,"")</f>
        <v>10.5656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2.7047300000000001</v>
      </c>
      <c r="G29" s="61">
        <f>IF(FT!B29&lt;&gt;"",FT!B29*100,"")</f>
        <v>42.7545</v>
      </c>
      <c r="H29" s="61">
        <f t="shared" si="1"/>
        <v>1</v>
      </c>
      <c r="I29" t="str">
        <f>IF(FT!B29&lt;&gt;"",FT!E29,"")</f>
        <v>1 [10.971358]</v>
      </c>
      <c r="J29">
        <f>IF(FT!B29&lt;&gt;"",FT!C29,"")</f>
        <v>10.971399999999999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2.7236900000000004</v>
      </c>
      <c r="G30" s="61">
        <f>IF(FT!B30&lt;&gt;"",FT!B30*100,"")</f>
        <v>42.463000000000001</v>
      </c>
      <c r="H30" s="61">
        <f t="shared" si="1"/>
        <v>1</v>
      </c>
      <c r="I30" t="str">
        <f>IF(FT!B30&lt;&gt;"",FT!E30,"")</f>
        <v>1 [11.374246]</v>
      </c>
      <c r="J30">
        <f>IF(FT!B30&lt;&gt;"",FT!C30,"")</f>
        <v>11.3742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71418</v>
      </c>
      <c r="D31" s="61">
        <f>FH!B31*1</f>
        <v>71418</v>
      </c>
      <c r="E31">
        <f t="shared" si="3"/>
        <v>29</v>
      </c>
      <c r="F31" s="61">
        <f>IF(FT!A31&lt;&gt;"",FT!A31*10,"")</f>
        <v>2.7385900000000003</v>
      </c>
      <c r="G31" s="61">
        <f>IF(FT!B31&lt;&gt;"",FT!B31*100,"")</f>
        <v>42.224699999999999</v>
      </c>
      <c r="H31" s="61">
        <f t="shared" si="1"/>
        <v>1</v>
      </c>
      <c r="I31" t="str">
        <f>IF(FT!B31&lt;&gt;"",FT!E31,"")</f>
        <v>1 [11.778881]</v>
      </c>
      <c r="J31">
        <f>IF(FT!B31&lt;&gt;"",FT!C31,"")</f>
        <v>11.7789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2.7532299999999998</v>
      </c>
      <c r="G32" s="61">
        <f>IF(FT!B32&lt;&gt;"",FT!B32*100,"")</f>
        <v>41.986699999999999</v>
      </c>
      <c r="H32" s="61">
        <f t="shared" si="1"/>
        <v>1</v>
      </c>
      <c r="I32" t="str">
        <f>IF(FT!B32&lt;&gt;"",FT!E32,"")</f>
        <v>1 [12.188059]</v>
      </c>
      <c r="J32">
        <f>IF(FT!B32&lt;&gt;"",FT!C32,"")</f>
        <v>12.1881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72535</v>
      </c>
      <c r="D33" s="61">
        <f>FH!B33*1</f>
        <v>72535</v>
      </c>
      <c r="E33">
        <f t="shared" si="3"/>
        <v>31</v>
      </c>
      <c r="F33" s="61">
        <f>IF(FT!A33&lt;&gt;"",FT!A33*10,"")</f>
        <v>2.7678500000000001</v>
      </c>
      <c r="G33" s="61">
        <f>IF(FT!B33&lt;&gt;"",FT!B33*100,"")</f>
        <v>41.7102</v>
      </c>
      <c r="H33" s="61">
        <f t="shared" si="1"/>
        <v>1</v>
      </c>
      <c r="I33" t="str">
        <f>IF(FT!B33&lt;&gt;"",FT!E33,"")</f>
        <v>1 [12.594071]</v>
      </c>
      <c r="J33">
        <f>IF(FT!B33&lt;&gt;"",FT!C33,"")</f>
        <v>12.594099999999999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2.78078</v>
      </c>
      <c r="G34" s="61">
        <f>IF(FT!B34&lt;&gt;"",FT!B34*100,"")</f>
        <v>41.4298</v>
      </c>
      <c r="H34" s="61">
        <f t="shared" si="1"/>
        <v>1</v>
      </c>
      <c r="I34" t="str">
        <f>IF(FT!B34&lt;&gt;"",FT!E34,"")</f>
        <v>1 [13.001208]</v>
      </c>
      <c r="J34">
        <f>IF(FT!B34&lt;&gt;"",FT!C34,"")</f>
        <v>13.001200000000001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2.7928999999999999</v>
      </c>
      <c r="G35" s="61">
        <f>IF(FT!B35&lt;&gt;"",FT!B35*100,"")</f>
        <v>41.154499999999999</v>
      </c>
      <c r="H35" s="61">
        <f t="shared" si="1"/>
        <v>1</v>
      </c>
      <c r="I35" t="str">
        <f>IF(FT!B35&lt;&gt;"",FT!E35,"")</f>
        <v>1 [13.407973]</v>
      </c>
      <c r="J35">
        <f>IF(FT!B35&lt;&gt;"",FT!C35,"")</f>
        <v>13.407999999999999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69561</v>
      </c>
      <c r="D36" s="61">
        <f>FH!B36*1</f>
        <v>69561</v>
      </c>
      <c r="E36">
        <f t="shared" si="3"/>
        <v>34</v>
      </c>
      <c r="F36" s="61">
        <f>IF(FT!A36&lt;&gt;"",FT!A36*10,"")</f>
        <v>2.80307</v>
      </c>
      <c r="G36" s="61">
        <f>IF(FT!B36&lt;&gt;"",FT!B36*100,"")</f>
        <v>40.894399999999997</v>
      </c>
      <c r="H36" s="61">
        <f t="shared" si="1"/>
        <v>1</v>
      </c>
      <c r="I36" t="str">
        <f>IF(FT!B36&lt;&gt;"",FT!E36,"")</f>
        <v>1 [13.813302]</v>
      </c>
      <c r="J36">
        <f>IF(FT!B36&lt;&gt;"",FT!C36,"")</f>
        <v>13.8133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2.8090100000000002</v>
      </c>
      <c r="G37" s="61">
        <f>IF(FT!B37&lt;&gt;"",FT!B37*100,"")</f>
        <v>40.695700000000002</v>
      </c>
      <c r="H37" s="61">
        <f t="shared" si="1"/>
        <v>1</v>
      </c>
      <c r="I37" t="str">
        <f>IF(FT!B37&lt;&gt;"",FT!E37,"")</f>
        <v>1 [14.218702]</v>
      </c>
      <c r="J37">
        <f>IF(FT!B37&lt;&gt;"",FT!C37,"")</f>
        <v>14.2187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2.81345</v>
      </c>
      <c r="G38" s="61">
        <f>IF(FT!B38&lt;&gt;"",FT!B38*100,"")</f>
        <v>40.569800000000001</v>
      </c>
      <c r="H38" s="61">
        <f t="shared" si="1"/>
        <v>1</v>
      </c>
      <c r="I38" t="str">
        <f>IF(FT!B38&lt;&gt;"",FT!E38,"")</f>
        <v>1 [14.623875]</v>
      </c>
      <c r="J38">
        <f>IF(FT!B38&lt;&gt;"",FT!C38,"")</f>
        <v>14.623900000000001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70797</v>
      </c>
      <c r="D39" s="61">
        <f>FH!B39*1</f>
        <v>70797</v>
      </c>
      <c r="E39">
        <f t="shared" si="3"/>
        <v>37</v>
      </c>
      <c r="F39" s="61">
        <f>IF(FT!A39&lt;&gt;"",FT!A39*10,"")</f>
        <v>2.8183999999999996</v>
      </c>
      <c r="G39" s="61">
        <f>IF(FT!B39&lt;&gt;"",FT!B39*100,"")</f>
        <v>40.4268</v>
      </c>
      <c r="H39" s="61">
        <f t="shared" si="1"/>
        <v>1</v>
      </c>
      <c r="I39" t="str">
        <f>IF(FT!B39&lt;&gt;"",FT!E39,"")</f>
        <v>1 [15.031349]</v>
      </c>
      <c r="J39">
        <f>IF(FT!B39&lt;&gt;"",FT!C39,"")</f>
        <v>15.0313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2.8203299999999998</v>
      </c>
      <c r="G40" s="61">
        <f>IF(FT!B40&lt;&gt;"",FT!B40*100,"")</f>
        <v>40.316899999999997</v>
      </c>
      <c r="H40" s="61">
        <f t="shared" si="1"/>
        <v>1</v>
      </c>
      <c r="I40" t="str">
        <f>IF(FT!B40&lt;&gt;"",FT!E40,"")</f>
        <v>1 [15.441417]</v>
      </c>
      <c r="J40">
        <f>IF(FT!B40&lt;&gt;"",FT!C40,"")</f>
        <v>15.4414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65782</v>
      </c>
      <c r="D41" s="61">
        <f>FH!B41*1</f>
        <v>65782</v>
      </c>
      <c r="E41">
        <f t="shared" si="3"/>
        <v>39</v>
      </c>
      <c r="F41" s="61">
        <f>IF(FT!A41&lt;&gt;"",FT!A41*10,"")</f>
        <v>2.8234900000000001</v>
      </c>
      <c r="G41" s="61">
        <f>IF(FT!B41&lt;&gt;"",FT!B41*100,"")</f>
        <v>40.170999999999999</v>
      </c>
      <c r="H41" s="61">
        <f t="shared" si="1"/>
        <v>1</v>
      </c>
      <c r="I41" t="str">
        <f>IF(FT!B41&lt;&gt;"",FT!E41,"")</f>
        <v>1 [15.845386]</v>
      </c>
      <c r="J41">
        <f>IF(FT!B41&lt;&gt;"",FT!C41,"")</f>
        <v>15.8454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2.8265200000000004</v>
      </c>
      <c r="G42" s="61">
        <f>IF(FT!B42&lt;&gt;"",FT!B42*100,"")</f>
        <v>40.016200000000005</v>
      </c>
      <c r="H42" s="61">
        <f t="shared" si="1"/>
        <v>1</v>
      </c>
      <c r="I42" t="str">
        <f>IF(FT!B42&lt;&gt;"",FT!E42,"")</f>
        <v>1 [16.250231]</v>
      </c>
      <c r="J42">
        <f>IF(FT!B42&lt;&gt;"",FT!C42,"")</f>
        <v>16.2502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2.82667</v>
      </c>
      <c r="G43" s="61">
        <f>IF(FT!B43&lt;&gt;"",FT!B43*100,"")</f>
        <v>39.895499999999998</v>
      </c>
      <c r="H43" s="61">
        <f t="shared" si="1"/>
        <v>1</v>
      </c>
      <c r="I43" t="str">
        <f>IF(FT!B43&lt;&gt;"",FT!E43,"")</f>
        <v>1 [16.658939]</v>
      </c>
      <c r="J43">
        <f>IF(FT!B43&lt;&gt;"",FT!C43,"")</f>
        <v>16.658899999999999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63495</v>
      </c>
      <c r="D44" s="61">
        <f>FH!B44*1</f>
        <v>63495</v>
      </c>
      <c r="E44">
        <f t="shared" si="3"/>
        <v>42</v>
      </c>
      <c r="F44" s="61">
        <f>IF(FT!A44&lt;&gt;"",FT!A44*10,"")</f>
        <v>2.8246599999999997</v>
      </c>
      <c r="G44" s="61">
        <f>IF(FT!B44&lt;&gt;"",FT!B44*100,"")</f>
        <v>39.7913</v>
      </c>
      <c r="H44" s="61">
        <f t="shared" si="1"/>
        <v>1</v>
      </c>
      <c r="I44" t="str">
        <f>IF(FT!B44&lt;&gt;"",FT!E44,"")</f>
        <v>1 [17.061322]</v>
      </c>
      <c r="J44">
        <f>IF(FT!B44&lt;&gt;"",FT!C44,"")</f>
        <v>17.061299999999999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2.8225099999999999</v>
      </c>
      <c r="G45" s="61">
        <f>IF(FT!B45&lt;&gt;"",FT!B45*100,"")</f>
        <v>39.684599999999996</v>
      </c>
      <c r="H45" s="61">
        <f t="shared" si="1"/>
        <v>1</v>
      </c>
      <c r="I45" t="str">
        <f>IF(FT!B45&lt;&gt;"",FT!E45,"")</f>
        <v>1 [17.467804]</v>
      </c>
      <c r="J45">
        <f>IF(FT!B45&lt;&gt;"",FT!C45,"")</f>
        <v>17.4678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60907</v>
      </c>
      <c r="D46" s="61">
        <f>FH!B46*1</f>
        <v>60907</v>
      </c>
      <c r="E46">
        <f t="shared" si="3"/>
        <v>44</v>
      </c>
      <c r="F46" s="61">
        <f>IF(FT!A46&lt;&gt;"",FT!A46*10,"")</f>
        <v>2.8188400000000002</v>
      </c>
      <c r="G46" s="61">
        <f>IF(FT!B46&lt;&gt;"",FT!B46*100,"")</f>
        <v>39.601100000000002</v>
      </c>
      <c r="H46" s="61">
        <f t="shared" si="1"/>
        <v>1</v>
      </c>
      <c r="I46" t="str">
        <f>IF(FT!B46&lt;&gt;"",FT!E46,"")</f>
        <v>1 [17.876757]</v>
      </c>
      <c r="J46">
        <f>IF(FT!B46&lt;&gt;"",FT!C46,"")</f>
        <v>17.876799999999999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2.8151599999999997</v>
      </c>
      <c r="G47" s="61">
        <f>IF(FT!B47&lt;&gt;"",FT!B47*100,"")</f>
        <v>39.491599999999998</v>
      </c>
      <c r="H47" s="61">
        <f t="shared" si="1"/>
        <v>1</v>
      </c>
      <c r="I47" t="str">
        <f>IF(FT!B47&lt;&gt;"",FT!E47,"")</f>
        <v>1 [18.285190]</v>
      </c>
      <c r="J47">
        <f>IF(FT!B47&lt;&gt;"",FT!C47,"")</f>
        <v>18.2852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2.8100399999999999</v>
      </c>
      <c r="G48" s="61">
        <f>IF(FT!B48&lt;&gt;"",FT!B48*100,"")</f>
        <v>39.387699999999995</v>
      </c>
      <c r="H48" s="61">
        <f t="shared" si="1"/>
        <v>1</v>
      </c>
      <c r="I48" t="str">
        <f>IF(FT!B48&lt;&gt;"",FT!E48,"")</f>
        <v>1 [18.687989]</v>
      </c>
      <c r="J48">
        <f>IF(FT!B48&lt;&gt;"",FT!C48,"")</f>
        <v>18.687999999999999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62622</v>
      </c>
      <c r="D49" s="61">
        <f>FH!B49*1</f>
        <v>62622</v>
      </c>
      <c r="E49">
        <f t="shared" si="3"/>
        <v>47</v>
      </c>
      <c r="F49" s="61">
        <f>IF(FT!A49&lt;&gt;"",FT!A49*10,"")</f>
        <v>2.8053299999999997</v>
      </c>
      <c r="G49" s="61">
        <f>IF(FT!B49&lt;&gt;"",FT!B49*100,"")</f>
        <v>39.246700000000004</v>
      </c>
      <c r="H49" s="61">
        <f t="shared" si="1"/>
        <v>1</v>
      </c>
      <c r="I49" t="str">
        <f>IF(FT!B49&lt;&gt;"",FT!E49,"")</f>
        <v>1 [19.092881]</v>
      </c>
      <c r="J49">
        <f>IF(FT!B49&lt;&gt;"",FT!C49,"")</f>
        <v>19.0929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2.7993800000000002</v>
      </c>
      <c r="G50" s="61">
        <f>IF(FT!B50&lt;&gt;"",FT!B50*100,"")</f>
        <v>39.100099999999998</v>
      </c>
      <c r="H50" s="61">
        <f t="shared" si="1"/>
        <v>1</v>
      </c>
      <c r="I50" t="str">
        <f>IF(FT!B50&lt;&gt;"",FT!E50,"")</f>
        <v>1 [19.502766]</v>
      </c>
      <c r="J50">
        <f>IF(FT!B50&lt;&gt;"",FT!C50,"")</f>
        <v>19.502800000000001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61969</v>
      </c>
      <c r="D51" s="61">
        <f>FH!B51*1</f>
        <v>61969</v>
      </c>
      <c r="E51">
        <f t="shared" si="3"/>
        <v>49</v>
      </c>
      <c r="F51" s="61">
        <f>IF(FT!A51&lt;&gt;"",FT!A51*10,"")</f>
        <v>2.7942400000000003</v>
      </c>
      <c r="G51" s="61">
        <f>IF(FT!B51&lt;&gt;"",FT!B51*100,"")</f>
        <v>38.906300000000002</v>
      </c>
      <c r="H51" s="61">
        <f t="shared" si="1"/>
        <v>1</v>
      </c>
      <c r="I51" t="str">
        <f>IF(FT!B51&lt;&gt;"",FT!E51,"")</f>
        <v>1 [19.906438]</v>
      </c>
      <c r="J51">
        <f>IF(FT!B51&lt;&gt;"",FT!C51,"")</f>
        <v>19.906400000000001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2.7913100000000002</v>
      </c>
      <c r="G52" s="61">
        <f>IF(FT!B52&lt;&gt;"",FT!B52*100,"")</f>
        <v>38.728699999999996</v>
      </c>
      <c r="H52" s="61">
        <f t="shared" si="1"/>
        <v>1</v>
      </c>
      <c r="I52" t="str">
        <f>IF(FT!B52&lt;&gt;"",FT!E52,"")</f>
        <v>1 [20.311677]</v>
      </c>
      <c r="J52">
        <f>IF(FT!B52&lt;&gt;"",FT!C52,"")</f>
        <v>20.311699999999998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2.7868900000000001</v>
      </c>
      <c r="G53" s="61">
        <f>IF(FT!B53&lt;&gt;"",FT!B53*100,"")</f>
        <v>38.5473</v>
      </c>
      <c r="H53" s="61">
        <f t="shared" si="1"/>
        <v>1</v>
      </c>
      <c r="I53" t="str">
        <f>IF(FT!B53&lt;&gt;"",FT!E53,"")</f>
        <v>1 [20.718520]</v>
      </c>
      <c r="J53">
        <f>IF(FT!B53&lt;&gt;"",FT!C53,"")</f>
        <v>20.718499999999999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66493</v>
      </c>
      <c r="D54" s="61">
        <f>FH!B54*1</f>
        <v>66493</v>
      </c>
      <c r="E54">
        <f t="shared" si="3"/>
        <v>52</v>
      </c>
      <c r="F54" s="61">
        <f>IF(FT!A54&lt;&gt;"",FT!A54*10,"")</f>
        <v>2.7814399999999999</v>
      </c>
      <c r="G54" s="61">
        <f>IF(FT!B54&lt;&gt;"",FT!B54*100,"")</f>
        <v>38.4178</v>
      </c>
      <c r="H54" s="61">
        <f t="shared" si="1"/>
        <v>1</v>
      </c>
      <c r="I54" t="str">
        <f>IF(FT!B54&lt;&gt;"",FT!E54,"")</f>
        <v>1 [21.125525]</v>
      </c>
      <c r="J54">
        <f>IF(FT!B54&lt;&gt;"",FT!C54,"")</f>
        <v>21.125499999999999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2.77711</v>
      </c>
      <c r="G55" s="61">
        <f>IF(FT!B55&lt;&gt;"",FT!B55*100,"")</f>
        <v>38.278099999999995</v>
      </c>
      <c r="H55" s="61">
        <f t="shared" si="1"/>
        <v>1</v>
      </c>
      <c r="I55" t="str">
        <f>IF(FT!B55&lt;&gt;"",FT!E55,"")</f>
        <v>1 [21.532464]</v>
      </c>
      <c r="J55">
        <f>IF(FT!B55&lt;&gt;"",FT!C55,"")</f>
        <v>21.532499999999999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2.7738400000000003</v>
      </c>
      <c r="G56" s="61">
        <f>IF(FT!B56&lt;&gt;"",FT!B56*100,"")</f>
        <v>38.130900000000004</v>
      </c>
      <c r="H56" s="61">
        <f t="shared" si="1"/>
        <v>1</v>
      </c>
      <c r="I56" t="str">
        <f>IF(FT!B56&lt;&gt;"",FT!E56,"")</f>
        <v>1 [21.940604]</v>
      </c>
      <c r="J56">
        <f>IF(FT!B56&lt;&gt;"",FT!C56,"")</f>
        <v>21.9406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65452</v>
      </c>
      <c r="D57" s="61">
        <f>FH!B57*1</f>
        <v>65452</v>
      </c>
      <c r="E57">
        <f t="shared" si="3"/>
        <v>55</v>
      </c>
      <c r="F57" s="61">
        <f>IF(FT!A57&lt;&gt;"",FT!A57*10,"")</f>
        <v>2.7716699999999999</v>
      </c>
      <c r="G57" s="61">
        <f>IF(FT!B57&lt;&gt;"",FT!B57*100,"")</f>
        <v>38.009500000000003</v>
      </c>
      <c r="H57" s="61">
        <f t="shared" si="1"/>
        <v>1</v>
      </c>
      <c r="I57" t="str">
        <f>IF(FT!B57&lt;&gt;"",FT!E57,"")</f>
        <v>1 [22.347204]</v>
      </c>
      <c r="J57">
        <f>IF(FT!B57&lt;&gt;"",FT!C57,"")</f>
        <v>22.347200000000001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2.7699499999999997</v>
      </c>
      <c r="G58" s="61">
        <f>IF(FT!B58&lt;&gt;"",FT!B58*100,"")</f>
        <v>37.939799999999998</v>
      </c>
      <c r="H58" s="61">
        <f t="shared" si="1"/>
        <v>1</v>
      </c>
      <c r="I58" t="str">
        <f>IF(FT!B58&lt;&gt;"",FT!E58,"")</f>
        <v>1 [22.748325]</v>
      </c>
      <c r="J58">
        <f>IF(FT!B58&lt;&gt;"",FT!C58,"")</f>
        <v>22.7483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59832</v>
      </c>
      <c r="D59" s="61">
        <f>FH!B59*1</f>
        <v>59832</v>
      </c>
      <c r="E59">
        <f t="shared" si="3"/>
        <v>57</v>
      </c>
      <c r="F59" s="61">
        <f>IF(FT!A59&lt;&gt;"",FT!A59*10,"")</f>
        <v>2.7674700000000003</v>
      </c>
      <c r="G59" s="61">
        <f>IF(FT!B59&lt;&gt;"",FT!B59*100,"")</f>
        <v>37.891799999999996</v>
      </c>
      <c r="H59" s="61">
        <f t="shared" si="1"/>
        <v>1</v>
      </c>
      <c r="I59" t="str">
        <f>IF(FT!B59&lt;&gt;"",FT!E59,"")</f>
        <v>1 [23.158381]</v>
      </c>
      <c r="J59">
        <f>IF(FT!B59&lt;&gt;"",FT!C59,"")</f>
        <v>23.1584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2.7665699999999998</v>
      </c>
      <c r="G60" s="61">
        <f>IF(FT!B60&lt;&gt;"",FT!B60*100,"")</f>
        <v>37.806400000000004</v>
      </c>
      <c r="H60" s="61">
        <f t="shared" si="1"/>
        <v>1</v>
      </c>
      <c r="I60" t="str">
        <f>IF(FT!B60&lt;&gt;"",FT!E60,"")</f>
        <v>1 [23.562639]</v>
      </c>
      <c r="J60">
        <f>IF(FT!B60&lt;&gt;"",FT!C60,"")</f>
        <v>23.5626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2.7660600000000004</v>
      </c>
      <c r="G61" s="61">
        <f>IF(FT!B61&lt;&gt;"",FT!B61*100,"")</f>
        <v>37.728699999999996</v>
      </c>
      <c r="H61" s="61">
        <f t="shared" si="1"/>
        <v>1</v>
      </c>
      <c r="I61" t="str">
        <f>IF(FT!B61&lt;&gt;"",FT!E61,"")</f>
        <v>1 [23.971963]</v>
      </c>
      <c r="J61">
        <f>IF(FT!B61&lt;&gt;"",FT!C61,"")</f>
        <v>23.972000000000001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61176</v>
      </c>
      <c r="D62" s="61">
        <f>FH!B62*1</f>
        <v>61176</v>
      </c>
      <c r="E62">
        <f t="shared" si="3"/>
        <v>60</v>
      </c>
      <c r="F62" s="61">
        <f>IF(FT!A62&lt;&gt;"",FT!A62*10,"")</f>
        <v>2.7663799999999998</v>
      </c>
      <c r="G62" s="61">
        <f>IF(FT!B62&lt;&gt;"",FT!B62*100,"")</f>
        <v>37.657600000000002</v>
      </c>
      <c r="H62" s="61">
        <f t="shared" si="1"/>
        <v>1</v>
      </c>
      <c r="I62" t="str">
        <f>IF(FT!B62&lt;&gt;"",FT!E62,"")</f>
        <v>1 [24.376892]</v>
      </c>
      <c r="J62">
        <f>IF(FT!B62&lt;&gt;"",FT!C62,"")</f>
        <v>24.376899999999999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2.7657599999999998</v>
      </c>
      <c r="G63" s="61">
        <f>IF(FT!B63&lt;&gt;"",FT!B63*100,"")</f>
        <v>37.5839</v>
      </c>
      <c r="H63" s="61">
        <f t="shared" si="1"/>
        <v>1</v>
      </c>
      <c r="I63" t="str">
        <f>IF(FT!B63&lt;&gt;"",FT!E63,"")</f>
        <v>1 [24.779978]</v>
      </c>
      <c r="J63">
        <f>IF(FT!B63&lt;&gt;"",FT!C63,"")</f>
        <v>24.78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60580</v>
      </c>
      <c r="D64" s="61">
        <f>FH!B64*1</f>
        <v>60580</v>
      </c>
      <c r="E64">
        <f t="shared" si="3"/>
        <v>62</v>
      </c>
      <c r="F64" s="61">
        <f>IF(FT!A64&lt;&gt;"",FT!A64*10,"")</f>
        <v>2.7634300000000001</v>
      </c>
      <c r="G64" s="61">
        <f>IF(FT!B64&lt;&gt;"",FT!B64*100,"")</f>
        <v>37.565300000000001</v>
      </c>
      <c r="H64" s="61">
        <f t="shared" si="1"/>
        <v>1</v>
      </c>
      <c r="I64" t="str">
        <f>IF(FT!B64&lt;&gt;"",FT!E64,"")</f>
        <v>1 [25.187663]</v>
      </c>
      <c r="J64">
        <f>IF(FT!B64&lt;&gt;"",FT!C64,"")</f>
        <v>25.1877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2.76105</v>
      </c>
      <c r="G65" s="61">
        <f>IF(FT!B65&lt;&gt;"",FT!B65*100,"")</f>
        <v>37.594100000000005</v>
      </c>
      <c r="H65" s="61">
        <f t="shared" si="1"/>
        <v>1</v>
      </c>
      <c r="I65" t="str">
        <f>IF(FT!B65&lt;&gt;"",FT!E65,"")</f>
        <v>1 [25.592686]</v>
      </c>
      <c r="J65">
        <f>IF(FT!B65&lt;&gt;"",FT!C65,"")</f>
        <v>25.592700000000001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2.7566899999999999</v>
      </c>
      <c r="G66" s="61">
        <f>IF(FT!B66&lt;&gt;"",FT!B66*100,"")</f>
        <v>37.624600000000001</v>
      </c>
      <c r="H66" s="61">
        <f t="shared" si="1"/>
        <v>1</v>
      </c>
      <c r="I66" t="str">
        <f>IF(FT!B66&lt;&gt;"",FT!E66,"")</f>
        <v>1 [26.003357]</v>
      </c>
      <c r="J66">
        <f>IF(FT!B66&lt;&gt;"",FT!C66,"")</f>
        <v>26.003399999999999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60267</v>
      </c>
      <c r="D67" s="61">
        <f>FH!B67*1</f>
        <v>60267</v>
      </c>
      <c r="E67">
        <f t="shared" si="3"/>
        <v>65</v>
      </c>
      <c r="F67" s="61">
        <f>IF(FT!A67&lt;&gt;"",FT!A67*10,"")</f>
        <v>2.7543000000000002</v>
      </c>
      <c r="G67" s="61">
        <f>IF(FT!B67&lt;&gt;"",FT!B67*100,"")</f>
        <v>37.587199999999996</v>
      </c>
      <c r="H67" s="61">
        <f t="shared" ref="H67:H130" si="9">(IF(F67&lt;&gt;"",1,""))</f>
        <v>1</v>
      </c>
      <c r="I67" t="str">
        <f>IF(FT!B67&lt;&gt;"",FT!E67,"")</f>
        <v>1 [26.405268]</v>
      </c>
      <c r="J67">
        <f>IF(FT!B67&lt;&gt;"",FT!C67,"")</f>
        <v>26.4053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2.7565299999999997</v>
      </c>
      <c r="G68" s="61">
        <f>IF(FT!B68&lt;&gt;"",FT!B68*100,"")</f>
        <v>37.462200000000003</v>
      </c>
      <c r="H68" s="61">
        <f t="shared" si="9"/>
        <v>1</v>
      </c>
      <c r="I68" t="str">
        <f>IF(FT!B68&lt;&gt;"",FT!E68,"")</f>
        <v>1 [26.811348]</v>
      </c>
      <c r="J68">
        <f>IF(FT!B68&lt;&gt;"",FT!C68,"")</f>
        <v>26.811299999999999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61929</v>
      </c>
      <c r="D69" s="61">
        <f>FH!B69*1</f>
        <v>61929</v>
      </c>
      <c r="E69">
        <f t="shared" si="11"/>
        <v>67</v>
      </c>
      <c r="F69" s="61">
        <f>IF(FT!A69&lt;&gt;"",FT!A69*10,"")</f>
        <v>2.7589599999999996</v>
      </c>
      <c r="G69" s="61">
        <f>IF(FT!B69&lt;&gt;"",FT!B69*100,"")</f>
        <v>37.358899999999998</v>
      </c>
      <c r="H69" s="61">
        <f t="shared" si="9"/>
        <v>1</v>
      </c>
      <c r="I69" t="str">
        <f>IF(FT!B69&lt;&gt;"",FT!E69,"")</f>
        <v>1 [27.222212]</v>
      </c>
      <c r="J69">
        <f>IF(FT!B69&lt;&gt;"",FT!C69,"")</f>
        <v>27.222200000000001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2.7582200000000001</v>
      </c>
      <c r="G70" s="61">
        <f>IF(FT!B70&lt;&gt;"",FT!B70*100,"")</f>
        <v>37.327100000000002</v>
      </c>
      <c r="H70" s="61">
        <f t="shared" si="9"/>
        <v>1</v>
      </c>
      <c r="I70" t="str">
        <f>IF(FT!B70&lt;&gt;"",FT!E70,"")</f>
        <v>1 [27.627593]</v>
      </c>
      <c r="J70">
        <f>IF(FT!B70&lt;&gt;"",FT!C70,"")</f>
        <v>27.627600000000001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2.7595100000000001</v>
      </c>
      <c r="G71" s="61">
        <f>IF(FT!B71&lt;&gt;"",FT!B71*100,"")</f>
        <v>37.262499999999996</v>
      </c>
      <c r="H71" s="61">
        <f t="shared" si="9"/>
        <v>1</v>
      </c>
      <c r="I71" t="str">
        <f>IF(FT!B71&lt;&gt;"",FT!E71,"")</f>
        <v>1 [28.030440]</v>
      </c>
      <c r="J71">
        <f>IF(FT!B71&lt;&gt;"",FT!C71,"")</f>
        <v>28.0304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65684</v>
      </c>
      <c r="D72" s="61">
        <f>FH!B72*1</f>
        <v>65684</v>
      </c>
      <c r="E72">
        <f t="shared" si="11"/>
        <v>70</v>
      </c>
      <c r="F72" s="61">
        <f>IF(FT!A72&lt;&gt;"",FT!A72*10,"")</f>
        <v>2.7599600000000004</v>
      </c>
      <c r="G72" s="61">
        <f>IF(FT!B72&lt;&gt;"",FT!B72*100,"")</f>
        <v>37.203099999999999</v>
      </c>
      <c r="H72" s="61">
        <f t="shared" si="9"/>
        <v>1</v>
      </c>
      <c r="I72" t="str">
        <f>IF(FT!B72&lt;&gt;"",FT!E72,"")</f>
        <v>1 [28.439399]</v>
      </c>
      <c r="J72">
        <f>IF(FT!B72&lt;&gt;"",FT!C72,"")</f>
        <v>28.439399999999999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2.7596500000000002</v>
      </c>
      <c r="G73" s="61">
        <f>IF(FT!B73&lt;&gt;"",FT!B73*100,"")</f>
        <v>37.184400000000004</v>
      </c>
      <c r="H73" s="61">
        <f t="shared" si="9"/>
        <v>1</v>
      </c>
      <c r="I73" t="str">
        <f>IF(FT!B73&lt;&gt;"",FT!E73,"")</f>
        <v>1 [28.843188]</v>
      </c>
      <c r="J73">
        <f>IF(FT!B73&lt;&gt;"",FT!C73,"")</f>
        <v>28.8432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2.7570899999999998</v>
      </c>
      <c r="G74" s="61">
        <f>IF(FT!B74&lt;&gt;"",FT!B74*100,"")</f>
        <v>37.151200000000003</v>
      </c>
      <c r="H74" s="61">
        <f t="shared" si="9"/>
        <v>1</v>
      </c>
      <c r="I74" t="str">
        <f>IF(FT!B74&lt;&gt;"",FT!E74,"")</f>
        <v>1 [29.250835]</v>
      </c>
      <c r="J74">
        <f>IF(FT!B74&lt;&gt;"",FT!C74,"")</f>
        <v>29.250800000000002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68176</v>
      </c>
      <c r="D75" s="61">
        <f>FH!B75*1</f>
        <v>68176</v>
      </c>
      <c r="E75">
        <f t="shared" si="11"/>
        <v>73</v>
      </c>
      <c r="F75" s="61">
        <f>IF(FT!A75&lt;&gt;"",FT!A75*10,"")</f>
        <v>2.7559899999999997</v>
      </c>
      <c r="G75" s="61">
        <f>IF(FT!B75&lt;&gt;"",FT!B75*100,"")</f>
        <v>37.137900000000002</v>
      </c>
      <c r="H75" s="61">
        <f t="shared" si="9"/>
        <v>1</v>
      </c>
      <c r="I75" t="str">
        <f>IF(FT!B75&lt;&gt;"",FT!E75,"")</f>
        <v>1 [29.657843]</v>
      </c>
      <c r="J75">
        <f>IF(FT!B75&lt;&gt;"",FT!C75,"")</f>
        <v>29.657800000000002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2.7551100000000002</v>
      </c>
      <c r="G76" s="61">
        <f>IF(FT!B76&lt;&gt;"",FT!B76*100,"")</f>
        <v>37.186599999999999</v>
      </c>
      <c r="H76" s="61">
        <f t="shared" si="9"/>
        <v>1</v>
      </c>
      <c r="I76" t="str">
        <f>IF(FT!B76&lt;&gt;"",FT!E76,"")</f>
        <v>2 [30.060586]</v>
      </c>
      <c r="J76">
        <f>IF(FT!B76&lt;&gt;"",FT!C76,"")</f>
        <v>30.060600000000001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69321</v>
      </c>
      <c r="D77" s="61">
        <f>FH!B77*1</f>
        <v>69321</v>
      </c>
      <c r="E77">
        <f t="shared" si="11"/>
        <v>75</v>
      </c>
      <c r="F77" s="61">
        <f>IF(FT!A77&lt;&gt;"",FT!A77*10,"")</f>
        <v>2.75108</v>
      </c>
      <c r="G77" s="61">
        <f>IF(FT!B77&lt;&gt;"",FT!B77*100,"")</f>
        <v>37.1295</v>
      </c>
      <c r="H77" s="61">
        <f t="shared" si="9"/>
        <v>1</v>
      </c>
      <c r="I77" t="str">
        <f>IF(FT!B77&lt;&gt;"",FT!E77,"")</f>
        <v>2 [30.530633]</v>
      </c>
      <c r="J77">
        <f>IF(FT!B77&lt;&gt;"",FT!C77,"")</f>
        <v>30.5306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2.7502399999999998</v>
      </c>
      <c r="G78" s="61">
        <f>IF(FT!B78&lt;&gt;"",FT!B78*100,"")</f>
        <v>36.9863</v>
      </c>
      <c r="H78" s="61">
        <f t="shared" si="9"/>
        <v>1</v>
      </c>
      <c r="I78" t="str">
        <f>IF(FT!B78&lt;&gt;"",FT!E78,"")</f>
        <v>2 [30.936611]</v>
      </c>
      <c r="J78">
        <f>IF(FT!B78&lt;&gt;"",FT!C78,"")</f>
        <v>30.936599999999999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2.7506399999999998</v>
      </c>
      <c r="G79" s="61">
        <f>IF(FT!B79&lt;&gt;"",FT!B79*100,"")</f>
        <v>36.823099999999997</v>
      </c>
      <c r="H79" s="61">
        <f t="shared" si="9"/>
        <v>1</v>
      </c>
      <c r="I79" t="str">
        <f>IF(FT!B79&lt;&gt;"",FT!E79,"")</f>
        <v>2 [31.328486]</v>
      </c>
      <c r="J79">
        <f>IF(FT!B79&lt;&gt;"",FT!C79,"")</f>
        <v>31.328499999999998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73051</v>
      </c>
      <c r="D80" s="61">
        <f>FH!B80*1</f>
        <v>73051</v>
      </c>
      <c r="E80">
        <f t="shared" si="11"/>
        <v>78</v>
      </c>
      <c r="F80" s="61">
        <f>IF(FT!A80&lt;&gt;"",FT!A80*10,"")</f>
        <v>2.7537799999999999</v>
      </c>
      <c r="G80" s="61">
        <f>IF(FT!B80&lt;&gt;"",FT!B80*100,"")</f>
        <v>36.627400000000002</v>
      </c>
      <c r="H80" s="61">
        <f t="shared" si="9"/>
        <v>1</v>
      </c>
      <c r="I80" t="str">
        <f>IF(FT!B80&lt;&gt;"",FT!E80,"")</f>
        <v>2 [31.735168]</v>
      </c>
      <c r="J80">
        <f>IF(FT!B80&lt;&gt;"",FT!C80,"")</f>
        <v>31.735199999999999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2.7575899999999995</v>
      </c>
      <c r="G81" s="61">
        <f>IF(FT!B81&lt;&gt;"",FT!B81*100,"")</f>
        <v>36.406399999999998</v>
      </c>
      <c r="H81" s="61">
        <f t="shared" si="9"/>
        <v>1</v>
      </c>
      <c r="I81" t="str">
        <f>IF(FT!B81&lt;&gt;"",FT!E81,"")</f>
        <v>2 [32.147987]</v>
      </c>
      <c r="J81">
        <f>IF(FT!B81&lt;&gt;"",FT!C81,"")</f>
        <v>32.148000000000003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77526</v>
      </c>
      <c r="D82" s="61">
        <f>FH!B82*1</f>
        <v>77526</v>
      </c>
      <c r="E82">
        <f t="shared" si="11"/>
        <v>80</v>
      </c>
      <c r="F82" s="61">
        <f>IF(FT!A82&lt;&gt;"",FT!A82*10,"")</f>
        <v>2.7595199999999998</v>
      </c>
      <c r="G82" s="61">
        <f>IF(FT!B82&lt;&gt;"",FT!B82*100,"")</f>
        <v>36.247399999999999</v>
      </c>
      <c r="H82" s="61">
        <f t="shared" si="9"/>
        <v>1</v>
      </c>
      <c r="I82" t="str">
        <f>IF(FT!B82&lt;&gt;"",FT!E82,"")</f>
        <v>2 [32.547049]</v>
      </c>
      <c r="J82">
        <f>IF(FT!B82&lt;&gt;"",FT!C82,"")</f>
        <v>32.546999999999997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2.76058</v>
      </c>
      <c r="G83" s="61">
        <f>IF(FT!B83&lt;&gt;"",FT!B83*100,"")</f>
        <v>36.085499999999996</v>
      </c>
      <c r="H83" s="61">
        <f t="shared" si="9"/>
        <v>1</v>
      </c>
      <c r="I83" t="str">
        <f>IF(FT!B83&lt;&gt;"",FT!E83,"")</f>
        <v>2 [32.958820]</v>
      </c>
      <c r="J83">
        <f>IF(FT!B83&lt;&gt;"",FT!C83,"")</f>
        <v>32.958799999999997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2.7616000000000001</v>
      </c>
      <c r="G84" s="61">
        <f>IF(FT!B84&lt;&gt;"",FT!B84*100,"")</f>
        <v>35.886400000000002</v>
      </c>
      <c r="H84" s="61">
        <f t="shared" si="9"/>
        <v>1</v>
      </c>
      <c r="I84" t="str">
        <f>IF(FT!B84&lt;&gt;"",FT!E84,"")</f>
        <v>2 [33.362735]</v>
      </c>
      <c r="J84">
        <f>IF(FT!B84&lt;&gt;"",FT!C84,"")</f>
        <v>33.362699999999997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81344</v>
      </c>
      <c r="D85" s="61">
        <f>FH!B85*1</f>
        <v>81344</v>
      </c>
      <c r="E85">
        <f t="shared" si="11"/>
        <v>83</v>
      </c>
      <c r="F85" s="61">
        <f>IF(FT!A85&lt;&gt;"",FT!A85*10,"")</f>
        <v>2.76024</v>
      </c>
      <c r="G85" s="61">
        <f>IF(FT!B85&lt;&gt;"",FT!B85*100,"")</f>
        <v>35.707100000000004</v>
      </c>
      <c r="H85" s="61">
        <f t="shared" si="9"/>
        <v>1</v>
      </c>
      <c r="I85" t="str">
        <f>IF(FT!B85&lt;&gt;"",FT!E85,"")</f>
        <v>2 [33.766823]</v>
      </c>
      <c r="J85">
        <f>IF(FT!B85&lt;&gt;"",FT!C85,"")</f>
        <v>33.766800000000003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2.75989</v>
      </c>
      <c r="G86" s="61">
        <f>IF(FT!B86&lt;&gt;"",FT!B86*100,"")</f>
        <v>35.468200000000003</v>
      </c>
      <c r="H86" s="61">
        <f t="shared" si="9"/>
        <v>1</v>
      </c>
      <c r="I86" t="str">
        <f>IF(FT!B86&lt;&gt;"",FT!E86,"")</f>
        <v>2 [34.177584]</v>
      </c>
      <c r="J86">
        <f>IF(FT!B86&lt;&gt;"",FT!C86,"")</f>
        <v>34.177599999999998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2.7606799999999998</v>
      </c>
      <c r="G87" s="61">
        <f>IF(FT!B87&lt;&gt;"",FT!B87*100,"")</f>
        <v>35.199999999999996</v>
      </c>
      <c r="H87" s="61">
        <f t="shared" si="9"/>
        <v>1</v>
      </c>
      <c r="I87" t="str">
        <f>IF(FT!B87&lt;&gt;"",FT!E87,"")</f>
        <v>2 [34.583456]</v>
      </c>
      <c r="J87">
        <f>IF(FT!B87&lt;&gt;"",FT!C87,"")</f>
        <v>34.583500000000001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81137</v>
      </c>
      <c r="D88" s="61">
        <f>FH!B88*1</f>
        <v>81137</v>
      </c>
      <c r="E88">
        <f t="shared" si="11"/>
        <v>86</v>
      </c>
      <c r="F88" s="61">
        <f>IF(FT!A88&lt;&gt;"",FT!A88*10,"")</f>
        <v>2.7603100000000005</v>
      </c>
      <c r="G88" s="61">
        <f>IF(FT!B88&lt;&gt;"",FT!B88*100,"")</f>
        <v>34.888400000000004</v>
      </c>
      <c r="H88" s="61">
        <f t="shared" si="9"/>
        <v>1</v>
      </c>
      <c r="I88" t="str">
        <f>IF(FT!B88&lt;&gt;"",FT!E88,"")</f>
        <v>2 [34.985564]</v>
      </c>
      <c r="J88">
        <f>IF(FT!B88&lt;&gt;"",FT!C88,"")</f>
        <v>34.985599999999998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2.7592499999999998</v>
      </c>
      <c r="G89" s="61">
        <f>IF(FT!B89&lt;&gt;"",FT!B89*100,"")</f>
        <v>34.619499999999995</v>
      </c>
      <c r="H89" s="61">
        <f t="shared" si="9"/>
        <v>1</v>
      </c>
      <c r="I89" t="str">
        <f>IF(FT!B89&lt;&gt;"",FT!E89,"")</f>
        <v>2 [35.392578]</v>
      </c>
      <c r="J89">
        <f>IF(FT!B89&lt;&gt;"",FT!C89,"")</f>
        <v>35.392600000000002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84062</v>
      </c>
      <c r="D90" s="61">
        <f>FH!B90*1</f>
        <v>84062</v>
      </c>
      <c r="E90">
        <f t="shared" si="11"/>
        <v>88</v>
      </c>
      <c r="F90" s="61">
        <f>IF(FT!A90&lt;&gt;"",FT!A90*10,"")</f>
        <v>2.7577699999999998</v>
      </c>
      <c r="G90" s="61">
        <f>IF(FT!B90&lt;&gt;"",FT!B90*100,"")</f>
        <v>34.324300000000001</v>
      </c>
      <c r="H90" s="61">
        <f t="shared" si="9"/>
        <v>1</v>
      </c>
      <c r="I90" t="str">
        <f>IF(FT!B90&lt;&gt;"",FT!E90,"")</f>
        <v>2 [35.796229]</v>
      </c>
      <c r="J90">
        <f>IF(FT!B90&lt;&gt;"",FT!C90,"")</f>
        <v>35.796199999999999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2.7558300000000004</v>
      </c>
      <c r="G91" s="61">
        <f>IF(FT!B91&lt;&gt;"",FT!B91*100,"")</f>
        <v>34.029299999999999</v>
      </c>
      <c r="H91" s="61">
        <f t="shared" si="9"/>
        <v>1</v>
      </c>
      <c r="I91" t="str">
        <f>IF(FT!B91&lt;&gt;"",FT!E91,"")</f>
        <v>2 [36.206514]</v>
      </c>
      <c r="J91">
        <f>IF(FT!B91&lt;&gt;"",FT!C91,"")</f>
        <v>36.206499999999998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2.7542400000000002</v>
      </c>
      <c r="G92" s="61">
        <f>IF(FT!B92&lt;&gt;"",FT!B92*100,"")</f>
        <v>33.689300000000003</v>
      </c>
      <c r="H92" s="61">
        <f t="shared" si="9"/>
        <v>1</v>
      </c>
      <c r="I92" t="str">
        <f>IF(FT!B92&lt;&gt;"",FT!E92,"")</f>
        <v>2 [36.611394]</v>
      </c>
      <c r="J92">
        <f>IF(FT!B92&lt;&gt;"",FT!C92,"")</f>
        <v>36.611400000000003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79528</v>
      </c>
      <c r="D93" s="61">
        <f>FH!B93*1</f>
        <v>79528</v>
      </c>
      <c r="E93">
        <f t="shared" si="11"/>
        <v>91</v>
      </c>
      <c r="F93" s="61">
        <f>IF(FT!A93&lt;&gt;"",FT!A93*10,"")</f>
        <v>2.7518099999999999</v>
      </c>
      <c r="G93" s="61">
        <f>IF(FT!B93&lt;&gt;"",FT!B93*100,"")</f>
        <v>33.387899999999995</v>
      </c>
      <c r="H93" s="61">
        <f t="shared" si="9"/>
        <v>1</v>
      </c>
      <c r="I93" t="str">
        <f>IF(FT!B93&lt;&gt;"",FT!E93,"")</f>
        <v>2 [37.018892]</v>
      </c>
      <c r="J93">
        <f>IF(FT!B93&lt;&gt;"",FT!C93,"")</f>
        <v>37.018900000000002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2.7497700000000003</v>
      </c>
      <c r="G94" s="61">
        <f>IF(FT!B94&lt;&gt;"",FT!B94*100,"")</f>
        <v>33.092500000000001</v>
      </c>
      <c r="H94" s="61">
        <f t="shared" si="9"/>
        <v>1</v>
      </c>
      <c r="I94" t="str">
        <f>IF(FT!B94&lt;&gt;"",FT!E94,"")</f>
        <v>2 [37.420901]</v>
      </c>
      <c r="J94">
        <f>IF(FT!B94&lt;&gt;"",FT!C94,"")</f>
        <v>37.420900000000003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74139</v>
      </c>
      <c r="D95" s="61">
        <f>FH!B95*1</f>
        <v>74139</v>
      </c>
      <c r="E95">
        <f t="shared" si="11"/>
        <v>93</v>
      </c>
      <c r="F95" s="61">
        <f>IF(FT!A95&lt;&gt;"",FT!A95*10,"")</f>
        <v>2.7488600000000001</v>
      </c>
      <c r="G95" s="61">
        <f>IF(FT!B95&lt;&gt;"",FT!B95*100,"")</f>
        <v>32.7502</v>
      </c>
      <c r="H95" s="61">
        <f t="shared" si="9"/>
        <v>1</v>
      </c>
      <c r="I95" t="str">
        <f>IF(FT!B95&lt;&gt;"",FT!E95,"")</f>
        <v>2 [37.825258]</v>
      </c>
      <c r="J95">
        <f>IF(FT!B95&lt;&gt;"",FT!C95,"")</f>
        <v>37.825299999999999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2.7485200000000001</v>
      </c>
      <c r="G96" s="61">
        <f>IF(FT!B96&lt;&gt;"",FT!B96*100,"")</f>
        <v>32.402099999999997</v>
      </c>
      <c r="H96" s="61">
        <f t="shared" si="9"/>
        <v>1</v>
      </c>
      <c r="I96" t="str">
        <f>IF(FT!B96&lt;&gt;"",FT!E96,"")</f>
        <v>2 [38.235046]</v>
      </c>
      <c r="J96">
        <f>IF(FT!B96&lt;&gt;"",FT!C96,"")</f>
        <v>38.234999999999999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2.7493600000000002</v>
      </c>
      <c r="G97" s="61">
        <f>IF(FT!B97&lt;&gt;"",FT!B97*100,"")</f>
        <v>32.065199999999997</v>
      </c>
      <c r="H97" s="61">
        <f t="shared" si="9"/>
        <v>1</v>
      </c>
      <c r="I97" t="str">
        <f>IF(FT!B97&lt;&gt;"",FT!E97,"")</f>
        <v>2 [38.642647]</v>
      </c>
      <c r="J97">
        <f>IF(FT!B97&lt;&gt;"",FT!C97,"")</f>
        <v>38.642600000000002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71339</v>
      </c>
      <c r="D98" s="61">
        <f>FH!B98*1</f>
        <v>71339</v>
      </c>
      <c r="E98">
        <f t="shared" si="11"/>
        <v>96</v>
      </c>
      <c r="F98" s="61">
        <f>IF(FT!A98&lt;&gt;"",FT!A98*10,"")</f>
        <v>2.7527900000000001</v>
      </c>
      <c r="G98" s="61">
        <f>IF(FT!B98&lt;&gt;"",FT!B98*100,"")</f>
        <v>31.658799999999999</v>
      </c>
      <c r="H98" s="61">
        <f t="shared" si="9"/>
        <v>1</v>
      </c>
      <c r="I98" t="str">
        <f>IF(FT!B98&lt;&gt;"",FT!E98,"")</f>
        <v>2 [39.048512]</v>
      </c>
      <c r="J98">
        <f>IF(FT!B98&lt;&gt;"",FT!C98,"")</f>
        <v>39.048499999999997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2.7577400000000001</v>
      </c>
      <c r="G99" s="61">
        <f>IF(FT!B99&lt;&gt;"",FT!B99*100,"")</f>
        <v>31.277200000000001</v>
      </c>
      <c r="H99" s="61">
        <f t="shared" si="9"/>
        <v>1</v>
      </c>
      <c r="I99" t="str">
        <f>IF(FT!B99&lt;&gt;"",FT!E99,"")</f>
        <v>2 [39.455539]</v>
      </c>
      <c r="J99">
        <f>IF(FT!B99&lt;&gt;"",FT!C99,"")</f>
        <v>39.455500000000001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62040</v>
      </c>
      <c r="D100" s="61">
        <f>FH!B100*1</f>
        <v>62040</v>
      </c>
      <c r="E100">
        <f t="shared" si="11"/>
        <v>98</v>
      </c>
      <c r="F100" s="61">
        <f>IF(FT!A100&lt;&gt;"",FT!A100*10,"")</f>
        <v>2.7634699999999999</v>
      </c>
      <c r="G100" s="61">
        <f>IF(FT!B100&lt;&gt;"",FT!B100*100,"")</f>
        <v>30.892999999999997</v>
      </c>
      <c r="H100" s="61">
        <f t="shared" si="9"/>
        <v>1</v>
      </c>
      <c r="I100" t="str">
        <f>IF(FT!B100&lt;&gt;"",FT!E100,"")</f>
        <v>2 [39.859153]</v>
      </c>
      <c r="J100">
        <f>IF(FT!B100&lt;&gt;"",FT!C100,"")</f>
        <v>39.859200000000001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2.7687200000000001</v>
      </c>
      <c r="G101" s="61">
        <f>IF(FT!B101&lt;&gt;"",FT!B101*100,"")</f>
        <v>30.4937</v>
      </c>
      <c r="H101" s="61">
        <f t="shared" si="9"/>
        <v>1</v>
      </c>
      <c r="I101" t="str">
        <f>IF(FT!B101&lt;&gt;"",FT!E101,"")</f>
        <v>2 [40.266459]</v>
      </c>
      <c r="J101">
        <f>IF(FT!B101&lt;&gt;"",FT!C101,"")</f>
        <v>40.266500000000001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2.7746599999999999</v>
      </c>
      <c r="G102" s="61">
        <f>IF(FT!B102&lt;&gt;"",FT!B102*100,"")</f>
        <v>30.008400000000002</v>
      </c>
      <c r="H102" s="61">
        <f t="shared" si="9"/>
        <v>1</v>
      </c>
      <c r="I102" t="str">
        <f>IF(FT!B102&lt;&gt;"",FT!E102,"")</f>
        <v>2 [40.671055]</v>
      </c>
      <c r="J102">
        <f>IF(FT!B102&lt;&gt;"",FT!C102,"")</f>
        <v>40.671100000000003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52709</v>
      </c>
      <c r="D103" s="61">
        <f>FH!B103*1</f>
        <v>52709</v>
      </c>
      <c r="E103">
        <f t="shared" si="11"/>
        <v>101</v>
      </c>
      <c r="F103" s="61">
        <f>IF(FT!A103&lt;&gt;"",FT!A103*10,"")</f>
        <v>2.7793600000000001</v>
      </c>
      <c r="G103" s="61">
        <f>IF(FT!B103&lt;&gt;"",FT!B103*100,"")</f>
        <v>29.540100000000002</v>
      </c>
      <c r="H103" s="61">
        <f t="shared" si="9"/>
        <v>1</v>
      </c>
      <c r="I103" t="str">
        <f>IF(FT!B103&lt;&gt;"",FT!E103,"")</f>
        <v>2 [41.078230]</v>
      </c>
      <c r="J103">
        <f>IF(FT!B103&lt;&gt;"",FT!C103,"")</f>
        <v>41.078200000000002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2.7827299999999999</v>
      </c>
      <c r="G104" s="61">
        <f>IF(FT!B104&lt;&gt;"",FT!B104*100,"")</f>
        <v>29.064600000000002</v>
      </c>
      <c r="H104" s="61">
        <f t="shared" si="9"/>
        <v>1</v>
      </c>
      <c r="I104" t="str">
        <f>IF(FT!B104&lt;&gt;"",FT!E104,"")</f>
        <v>2 [41.484134]</v>
      </c>
      <c r="J104">
        <f>IF(FT!B104&lt;&gt;"",FT!C104,"")</f>
        <v>41.484099999999998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2.7870699999999999</v>
      </c>
      <c r="G105" s="61">
        <f>IF(FT!B105&lt;&gt;"",FT!B105*100,"")</f>
        <v>28.5015</v>
      </c>
      <c r="H105" s="61">
        <f t="shared" si="9"/>
        <v>1</v>
      </c>
      <c r="I105" t="str">
        <f>IF(FT!B105&lt;&gt;"",FT!E105,"")</f>
        <v>2 [41.890182]</v>
      </c>
      <c r="J105">
        <f>IF(FT!B105&lt;&gt;"",FT!C105,"")</f>
        <v>41.8902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49677</v>
      </c>
      <c r="D106" s="61">
        <f>FH!B106*1</f>
        <v>49677</v>
      </c>
      <c r="E106">
        <f t="shared" si="11"/>
        <v>104</v>
      </c>
      <c r="F106" s="61">
        <f>IF(FT!A106&lt;&gt;"",FT!A106*10,"")</f>
        <v>2.79393</v>
      </c>
      <c r="G106" s="61">
        <f>IF(FT!B106&lt;&gt;"",FT!B106*100,"")</f>
        <v>27.819899999999997</v>
      </c>
      <c r="H106" s="61">
        <f t="shared" si="9"/>
        <v>1</v>
      </c>
      <c r="I106" t="str">
        <f>IF(FT!B106&lt;&gt;"",FT!E106,"")</f>
        <v>2 [42.295763]</v>
      </c>
      <c r="J106">
        <f>IF(FT!B106&lt;&gt;"",FT!C106,"")</f>
        <v>42.2958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2.80267</v>
      </c>
      <c r="G107" s="61">
        <f>IF(FT!B107&lt;&gt;"",FT!B107*100,"")</f>
        <v>27.036500000000004</v>
      </c>
      <c r="H107" s="61">
        <f t="shared" si="9"/>
        <v>1</v>
      </c>
      <c r="I107" t="str">
        <f>IF(FT!B107&lt;&gt;"",FT!E107,"")</f>
        <v>2 [42.702832]</v>
      </c>
      <c r="J107">
        <f>IF(FT!B107&lt;&gt;"",FT!C107,"")</f>
        <v>42.702800000000003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44474</v>
      </c>
      <c r="D108" s="61">
        <f>FH!B108*1</f>
        <v>44474</v>
      </c>
      <c r="E108">
        <f t="shared" si="11"/>
        <v>106</v>
      </c>
      <c r="F108" s="61">
        <f>IF(FT!A108&lt;&gt;"",FT!A108*10,"")</f>
        <v>2.8099499999999997</v>
      </c>
      <c r="G108" s="61">
        <f>IF(FT!B108&lt;&gt;"",FT!B108*100,"")</f>
        <v>26.225100000000001</v>
      </c>
      <c r="H108" s="61">
        <f t="shared" si="9"/>
        <v>1</v>
      </c>
      <c r="I108" t="str">
        <f>IF(FT!B108&lt;&gt;"",FT!E108,"")</f>
        <v>2 [43.110226]</v>
      </c>
      <c r="J108">
        <f>IF(FT!B108&lt;&gt;"",FT!C108,"")</f>
        <v>43.110199999999999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2.8172000000000001</v>
      </c>
      <c r="G109" s="61">
        <f>IF(FT!B109&lt;&gt;"",FT!B109*100,"")</f>
        <v>25.4297</v>
      </c>
      <c r="H109" s="61">
        <f t="shared" si="9"/>
        <v>1</v>
      </c>
      <c r="I109" t="str">
        <f>IF(FT!B109&lt;&gt;"",FT!E109,"")</f>
        <v>2 [43.515584]</v>
      </c>
      <c r="J109">
        <f>IF(FT!B109&lt;&gt;"",FT!C109,"")</f>
        <v>43.515599999999999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2.8226200000000001</v>
      </c>
      <c r="G110" s="61">
        <f>IF(FT!B110&lt;&gt;"",FT!B110*100,"")</f>
        <v>24.6843</v>
      </c>
      <c r="H110" s="61">
        <f t="shared" si="9"/>
        <v>1</v>
      </c>
      <c r="I110" t="str">
        <f>IF(FT!B110&lt;&gt;"",FT!E110,"")</f>
        <v>2 [43.924638]</v>
      </c>
      <c r="J110">
        <f>IF(FT!B110&lt;&gt;"",FT!C110,"")</f>
        <v>43.924599999999998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36993</v>
      </c>
      <c r="D111" s="61">
        <f>FH!B111*1</f>
        <v>36993</v>
      </c>
      <c r="E111">
        <f t="shared" si="11"/>
        <v>109</v>
      </c>
      <c r="F111" s="61">
        <f>IF(FT!A111&lt;&gt;"",FT!A111*10,"")</f>
        <v>2.8278599999999998</v>
      </c>
      <c r="G111" s="61">
        <f>IF(FT!B111&lt;&gt;"",FT!B111*100,"")</f>
        <v>24.070599999999999</v>
      </c>
      <c r="H111" s="61">
        <f t="shared" si="9"/>
        <v>1</v>
      </c>
      <c r="I111" t="str">
        <f>IF(FT!B111&lt;&gt;"",FT!E111,"")</f>
        <v>2 [44.329332]</v>
      </c>
      <c r="J111">
        <f>IF(FT!B111&lt;&gt;"",FT!C111,"")</f>
        <v>44.329300000000003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2.8352899999999996</v>
      </c>
      <c r="G112" s="61">
        <f>IF(FT!B112&lt;&gt;"",FT!B112*100,"")</f>
        <v>23.349600000000002</v>
      </c>
      <c r="H112" s="61">
        <f t="shared" si="9"/>
        <v>1</v>
      </c>
      <c r="I112" t="str">
        <f>IF(FT!B112&lt;&gt;"",FT!E112,"")</f>
        <v>2 [44.735336]</v>
      </c>
      <c r="J112">
        <f>IF(FT!B112&lt;&gt;"",FT!C112,"")</f>
        <v>44.735300000000002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29148</v>
      </c>
      <c r="D113" s="61">
        <f>FH!B113*1</f>
        <v>29148</v>
      </c>
      <c r="E113">
        <f t="shared" si="11"/>
        <v>111</v>
      </c>
      <c r="F113" s="61">
        <f>IF(FT!A113&lt;&gt;"",FT!A113*10,"")</f>
        <v>2.8471600000000001</v>
      </c>
      <c r="G113" s="61">
        <f>IF(FT!B113&lt;&gt;"",FT!B113*100,"")</f>
        <v>22.555800000000001</v>
      </c>
      <c r="H113" s="61">
        <f t="shared" si="9"/>
        <v>1</v>
      </c>
      <c r="I113" t="str">
        <f>IF(FT!B113&lt;&gt;"",FT!E113,"")</f>
        <v>2 [45.140562]</v>
      </c>
      <c r="J113">
        <f>IF(FT!B113&lt;&gt;"",FT!C113,"")</f>
        <v>45.140599999999999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2.86043</v>
      </c>
      <c r="G114" s="61">
        <f>IF(FT!B114&lt;&gt;"",FT!B114*100,"")</f>
        <v>21.670100000000001</v>
      </c>
      <c r="H114" s="61">
        <f t="shared" si="9"/>
        <v>1</v>
      </c>
      <c r="I114" t="str">
        <f>IF(FT!B114&lt;&gt;"",FT!E114,"")</f>
        <v>2 [45.547582]</v>
      </c>
      <c r="J114">
        <f>IF(FT!B114&lt;&gt;"",FT!C114,"")</f>
        <v>45.547600000000003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2.87277</v>
      </c>
      <c r="G115" s="61">
        <f>IF(FT!B115&lt;&gt;"",FT!B115*100,"")</f>
        <v>20.858899999999998</v>
      </c>
      <c r="H115" s="61">
        <f t="shared" si="9"/>
        <v>1</v>
      </c>
      <c r="I115" t="str">
        <f>IF(FT!B115&lt;&gt;"",FT!E115,"")</f>
        <v>2 [45.955994]</v>
      </c>
      <c r="J115">
        <f>IF(FT!B115&lt;&gt;"",FT!C115,"")</f>
        <v>45.956000000000003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27177</v>
      </c>
      <c r="D116" s="61">
        <f>FH!B116*1</f>
        <v>27177</v>
      </c>
      <c r="E116">
        <f t="shared" si="11"/>
        <v>114</v>
      </c>
      <c r="F116" s="61">
        <f>IF(FT!A116&lt;&gt;"",FT!A116*10,"")</f>
        <v>2.8867399999999996</v>
      </c>
      <c r="G116" s="61">
        <f>IF(FT!B116&lt;&gt;"",FT!B116*100,"")</f>
        <v>19.972899999999999</v>
      </c>
      <c r="H116" s="61">
        <f t="shared" si="9"/>
        <v>1</v>
      </c>
      <c r="I116" t="str">
        <f>IF(FT!B116&lt;&gt;"",FT!E116,"")</f>
        <v>2 [46.362973]</v>
      </c>
      <c r="J116">
        <f>IF(FT!B116&lt;&gt;"",FT!C116,"")</f>
        <v>46.363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2.8998800000000005</v>
      </c>
      <c r="G117" s="61">
        <f>IF(FT!B117&lt;&gt;"",FT!B117*100,"")</f>
        <v>19.077400000000001</v>
      </c>
      <c r="H117" s="61">
        <f t="shared" si="9"/>
        <v>1</v>
      </c>
      <c r="I117" t="str">
        <f>IF(FT!B117&lt;&gt;"",FT!E117,"")</f>
        <v>2 [46.767944]</v>
      </c>
      <c r="J117">
        <f>IF(FT!B117&lt;&gt;"",FT!C117,"")</f>
        <v>46.767899999999997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20209</v>
      </c>
      <c r="D118" s="61">
        <f>FH!B118*1</f>
        <v>20209</v>
      </c>
      <c r="E118">
        <f t="shared" si="11"/>
        <v>116</v>
      </c>
      <c r="F118" s="61">
        <f>IF(FT!A118&lt;&gt;"",FT!A118*10,"")</f>
        <v>2.9148299999999998</v>
      </c>
      <c r="G118" s="61">
        <f>IF(FT!B118&lt;&gt;"",FT!B118*100,"")</f>
        <v>18.142299999999999</v>
      </c>
      <c r="H118" s="61">
        <f t="shared" si="9"/>
        <v>1</v>
      </c>
      <c r="I118" t="str">
        <f>IF(FT!B118&lt;&gt;"",FT!E118,"")</f>
        <v>2 [47.174975]</v>
      </c>
      <c r="J118">
        <f>IF(FT!B118&lt;&gt;"",FT!C118,"")</f>
        <v>47.174999999999997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2.9316900000000001</v>
      </c>
      <c r="G119" s="61">
        <f>IF(FT!B119&lt;&gt;"",FT!B119*100,"")</f>
        <v>17.245100000000001</v>
      </c>
      <c r="H119" s="61">
        <f t="shared" si="9"/>
        <v>1</v>
      </c>
      <c r="I119" t="str">
        <f>IF(FT!B119&lt;&gt;"",FT!E119,"")</f>
        <v>2 [47.580788]</v>
      </c>
      <c r="J119">
        <f>IF(FT!B119&lt;&gt;"",FT!C119,"")</f>
        <v>47.580800000000004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2.9468499999999995</v>
      </c>
      <c r="G120" s="61">
        <f>IF(FT!B120&lt;&gt;"",FT!B120*100,"")</f>
        <v>16.516400000000001</v>
      </c>
      <c r="H120" s="61">
        <f t="shared" si="9"/>
        <v>1</v>
      </c>
      <c r="I120" t="str">
        <f>IF(FT!B120&lt;&gt;"",FT!E120,"")</f>
        <v>2 [47.985001]</v>
      </c>
      <c r="J120">
        <f>IF(FT!B120&lt;&gt;"",FT!C120,"")</f>
        <v>47.984999999999999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22391</v>
      </c>
      <c r="D121" s="61">
        <f>FH!B121*1</f>
        <v>22391</v>
      </c>
      <c r="E121">
        <f t="shared" si="11"/>
        <v>119</v>
      </c>
      <c r="F121" s="61">
        <f>IF(FT!A121&lt;&gt;"",FT!A121*10,"")</f>
        <v>2.9604399999999997</v>
      </c>
      <c r="G121" s="61">
        <f>IF(FT!B121&lt;&gt;"",FT!B121*100,"")</f>
        <v>15.8497</v>
      </c>
      <c r="H121" s="61">
        <f t="shared" si="9"/>
        <v>1</v>
      </c>
      <c r="I121" t="str">
        <f>IF(FT!B121&lt;&gt;"",FT!E121,"")</f>
        <v>2 [48.394526]</v>
      </c>
      <c r="J121">
        <f>IF(FT!B121&lt;&gt;"",FT!C121,"")</f>
        <v>48.394500000000001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2.9730699999999999</v>
      </c>
      <c r="G122" s="61">
        <f>IF(FT!B122&lt;&gt;"",FT!B122*100,"")</f>
        <v>15.257899999999999</v>
      </c>
      <c r="H122" s="61">
        <f t="shared" si="9"/>
        <v>1</v>
      </c>
      <c r="I122" t="str">
        <f>IF(FT!B122&lt;&gt;"",FT!E122,"")</f>
        <v>2 [48.795542]</v>
      </c>
      <c r="J122">
        <f>IF(FT!B122&lt;&gt;"",FT!C122,"")</f>
        <v>48.795499999999997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2.9843599999999997</v>
      </c>
      <c r="G123" s="61">
        <f>IF(FT!B123&lt;&gt;"",FT!B123*100,"")</f>
        <v>14.672199999999998</v>
      </c>
      <c r="H123" s="61">
        <f t="shared" si="9"/>
        <v>1</v>
      </c>
      <c r="I123" t="str">
        <f>IF(FT!B123&lt;&gt;"",FT!E123,"")</f>
        <v>2 [49.202189]</v>
      </c>
      <c r="J123">
        <f>IF(FT!B123&lt;&gt;"",FT!C123,"")</f>
        <v>49.202199999999998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18555</v>
      </c>
      <c r="D124" s="61">
        <f>FH!B124*1</f>
        <v>18555</v>
      </c>
      <c r="E124">
        <f t="shared" si="11"/>
        <v>122</v>
      </c>
      <c r="F124" s="61">
        <f>IF(FT!A124&lt;&gt;"",FT!A124*10,"")</f>
        <v>2.9939300000000002</v>
      </c>
      <c r="G124" s="61">
        <f>IF(FT!B124&lt;&gt;"",FT!B124*100,"")</f>
        <v>14.089499999999999</v>
      </c>
      <c r="H124" s="61">
        <f t="shared" si="9"/>
        <v>1</v>
      </c>
      <c r="I124" t="str">
        <f>IF(FT!B124&lt;&gt;"",FT!E124,"")</f>
        <v>2 [49.609415]</v>
      </c>
      <c r="J124">
        <f>IF(FT!B124&lt;&gt;"",FT!C124,"")</f>
        <v>49.609400000000001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3.0019299999999998</v>
      </c>
      <c r="G125" s="61">
        <f>IF(FT!B125&lt;&gt;"",FT!B125*100,"")</f>
        <v>13.587199999999999</v>
      </c>
      <c r="H125" s="61">
        <f t="shared" si="9"/>
        <v>1</v>
      </c>
      <c r="I125" t="str">
        <f>IF(FT!B125&lt;&gt;"",FT!E125,"")</f>
        <v>2 [50.015032]</v>
      </c>
      <c r="J125">
        <f>IF(FT!B125&lt;&gt;"",FT!C125,"")</f>
        <v>50.015000000000001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18536</v>
      </c>
      <c r="D126" s="61">
        <f>FH!B126*1</f>
        <v>18536</v>
      </c>
      <c r="E126">
        <f t="shared" si="11"/>
        <v>124</v>
      </c>
      <c r="F126" s="61">
        <f>IF(FT!A126&lt;&gt;"",FT!A126*10,"")</f>
        <v>3.0103799999999996</v>
      </c>
      <c r="G126" s="61">
        <f>IF(FT!B126&lt;&gt;"",FT!B126*100,"")</f>
        <v>13.126199999999999</v>
      </c>
      <c r="H126" s="61">
        <f t="shared" si="9"/>
        <v>1</v>
      </c>
      <c r="I126" t="str">
        <f>IF(FT!B126&lt;&gt;"",FT!E126,"")</f>
        <v>2 [50.423139]</v>
      </c>
      <c r="J126">
        <f>IF(FT!B126&lt;&gt;"",FT!C126,"")</f>
        <v>50.423099999999998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3.0179499999999999</v>
      </c>
      <c r="G127" s="61">
        <f>IF(FT!B127&lt;&gt;"",FT!B127*100,"")</f>
        <v>12.740000000000002</v>
      </c>
      <c r="H127" s="61">
        <f t="shared" si="9"/>
        <v>1</v>
      </c>
      <c r="I127" t="str">
        <f>IF(FT!B127&lt;&gt;"",FT!E127,"")</f>
        <v>2 [50.829988]</v>
      </c>
      <c r="J127">
        <f>IF(FT!B127&lt;&gt;"",FT!C127,"")</f>
        <v>50.83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3.0266900000000003</v>
      </c>
      <c r="G128" s="61">
        <f>IF(FT!B128&lt;&gt;"",FT!B128*100,"")</f>
        <v>12.3553</v>
      </c>
      <c r="H128" s="61">
        <f t="shared" si="9"/>
        <v>1</v>
      </c>
      <c r="I128" t="str">
        <f>IF(FT!B128&lt;&gt;"",FT!E128,"")</f>
        <v>2 [51.234924]</v>
      </c>
      <c r="J128">
        <f>IF(FT!B128&lt;&gt;"",FT!C128,"")</f>
        <v>51.234900000000003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16206</v>
      </c>
      <c r="D129" s="61">
        <f>FH!B129*1</f>
        <v>16206</v>
      </c>
      <c r="E129">
        <f t="shared" si="11"/>
        <v>127</v>
      </c>
      <c r="F129" s="61">
        <f>IF(FT!A129&lt;&gt;"",FT!A129*10,"")</f>
        <v>3.0363499999999997</v>
      </c>
      <c r="G129" s="61">
        <f>IF(FT!B129&lt;&gt;"",FT!B129*100,"")</f>
        <v>11.969200000000001</v>
      </c>
      <c r="H129" s="61">
        <f t="shared" si="9"/>
        <v>1</v>
      </c>
      <c r="I129" t="str">
        <f>IF(FT!B129&lt;&gt;"",FT!E129,"")</f>
        <v>2 [51.643022]</v>
      </c>
      <c r="J129">
        <f>IF(FT!B129&lt;&gt;"",FT!C129,"")</f>
        <v>51.643000000000001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3.0427</v>
      </c>
      <c r="G130" s="61">
        <f>IF(FT!B130&lt;&gt;"",FT!B130*100,"")</f>
        <v>11.6145</v>
      </c>
      <c r="H130" s="61">
        <f t="shared" si="9"/>
        <v>1</v>
      </c>
      <c r="I130" t="str">
        <f>IF(FT!B130&lt;&gt;"",FT!E130,"")</f>
        <v>2 [52.050730]</v>
      </c>
      <c r="J130">
        <f>IF(FT!B130&lt;&gt;"",FT!C130,"")</f>
        <v>52.050699999999999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15069</v>
      </c>
      <c r="D131" s="61">
        <f>FH!B131*1</f>
        <v>15069</v>
      </c>
      <c r="E131">
        <f t="shared" si="11"/>
        <v>129</v>
      </c>
      <c r="F131" s="61">
        <f>IF(FT!A131&lt;&gt;"",FT!A131*10,"")</f>
        <v>3.0460900000000004</v>
      </c>
      <c r="G131" s="61">
        <f>IF(FT!B131&lt;&gt;"",FT!B131*100,"")</f>
        <v>11.336599999999999</v>
      </c>
      <c r="H131" s="61">
        <f t="shared" ref="H131:H194" si="13">(IF(F131&lt;&gt;"",1,""))</f>
        <v>1</v>
      </c>
      <c r="I131" t="str">
        <f>IF(FT!B131&lt;&gt;"",FT!E131,"")</f>
        <v>2 [52.463866]</v>
      </c>
      <c r="J131">
        <f>IF(FT!B131&lt;&gt;"",FT!C131,"")</f>
        <v>52.463900000000002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3.04976</v>
      </c>
      <c r="G132" s="61">
        <f>IF(FT!B132&lt;&gt;"",FT!B132*100,"")</f>
        <v>11.091699999999999</v>
      </c>
      <c r="H132" s="61">
        <f t="shared" si="13"/>
        <v>1</v>
      </c>
      <c r="I132" t="str">
        <f>IF(FT!B132&lt;&gt;"",FT!E132,"")</f>
        <v>2 [52.860726]</v>
      </c>
      <c r="J132">
        <f>IF(FT!B132&lt;&gt;"",FT!C132,"")</f>
        <v>52.860700000000001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3.0560499999999999</v>
      </c>
      <c r="G133" s="61">
        <f>IF(FT!B133&lt;&gt;"",FT!B133*100,"")</f>
        <v>10.895299999999999</v>
      </c>
      <c r="H133" s="61">
        <f t="shared" si="13"/>
        <v>1</v>
      </c>
      <c r="I133" t="str">
        <f>IF(FT!B133&lt;&gt;"",FT!E133,"")</f>
        <v>2 [53.264229]</v>
      </c>
      <c r="J133">
        <f>IF(FT!B133&lt;&gt;"",FT!C133,"")</f>
        <v>53.264200000000002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12982</v>
      </c>
      <c r="D134" s="61">
        <f>FH!B134*1</f>
        <v>12982</v>
      </c>
      <c r="E134">
        <f t="shared" si="15"/>
        <v>132</v>
      </c>
      <c r="F134" s="61">
        <f>IF(FT!A134&lt;&gt;"",FT!A134*10,"")</f>
        <v>3.06128</v>
      </c>
      <c r="G134" s="61">
        <f>IF(FT!B134&lt;&gt;"",FT!B134*100,"")</f>
        <v>10.716100000000001</v>
      </c>
      <c r="H134" s="61">
        <f t="shared" si="13"/>
        <v>1</v>
      </c>
      <c r="I134" t="str">
        <f>IF(FT!B134&lt;&gt;"",FT!E134,"")</f>
        <v>2 [53.673566]</v>
      </c>
      <c r="J134">
        <f>IF(FT!B134&lt;&gt;"",FT!C134,"")</f>
        <v>53.6736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3.07002</v>
      </c>
      <c r="G135" s="61">
        <f>IF(FT!B135&lt;&gt;"",FT!B135*100,"")</f>
        <v>10.517899999999999</v>
      </c>
      <c r="H135" s="61">
        <f t="shared" si="13"/>
        <v>1</v>
      </c>
      <c r="I135" t="str">
        <f>IF(FT!B135&lt;&gt;"",FT!E135,"")</f>
        <v>2 [54.081054]</v>
      </c>
      <c r="J135">
        <f>IF(FT!B135&lt;&gt;"",FT!C135,"")</f>
        <v>54.081099999999999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12562</v>
      </c>
      <c r="D136" s="61">
        <f>FH!B136*1</f>
        <v>12562</v>
      </c>
      <c r="E136">
        <f t="shared" si="15"/>
        <v>134</v>
      </c>
      <c r="F136" s="61">
        <f>IF(FT!A136&lt;&gt;"",FT!A136*10,"")</f>
        <v>3.0803000000000003</v>
      </c>
      <c r="G136" s="61">
        <f>IF(FT!B136&lt;&gt;"",FT!B136*100,"")</f>
        <v>10.1465</v>
      </c>
      <c r="H136" s="61">
        <f t="shared" si="13"/>
        <v>1</v>
      </c>
      <c r="I136" t="str">
        <f>IF(FT!B136&lt;&gt;"",FT!E136,"")</f>
        <v>2 [54.489342]</v>
      </c>
      <c r="J136">
        <f>IF(FT!B136&lt;&gt;"",FT!C136,"")</f>
        <v>54.4893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3.0867399999999998</v>
      </c>
      <c r="G137" s="61">
        <f>IF(FT!B137&lt;&gt;"",FT!B137*100,"")</f>
        <v>9.8835700000000006</v>
      </c>
      <c r="H137" s="61">
        <f t="shared" si="13"/>
        <v>1</v>
      </c>
      <c r="I137" t="str">
        <f>IF(FT!B137&lt;&gt;"",FT!E137,"")</f>
        <v>2 [54.890605]</v>
      </c>
      <c r="J137">
        <f>IF(FT!B137&lt;&gt;"",FT!C137,"")</f>
        <v>54.890599999999999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3.0891400000000004</v>
      </c>
      <c r="G138" s="61">
        <f>IF(FT!B138&lt;&gt;"",FT!B138*100,"")</f>
        <v>9.7229899999999994</v>
      </c>
      <c r="H138" s="61">
        <f t="shared" si="13"/>
        <v>1</v>
      </c>
      <c r="I138" t="str">
        <f>IF(FT!B138&lt;&gt;"",FT!E138,"")</f>
        <v>2 [55.295673]</v>
      </c>
      <c r="J138">
        <f>IF(FT!B138&lt;&gt;"",FT!C138,"")</f>
        <v>55.295699999999997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9662</v>
      </c>
      <c r="D139" s="61">
        <f>FH!B139*1</f>
        <v>9662</v>
      </c>
      <c r="E139">
        <f t="shared" si="15"/>
        <v>137</v>
      </c>
      <c r="F139" s="61">
        <f>IF(FT!A139&lt;&gt;"",FT!A139*10,"")</f>
        <v>3.0915500000000002</v>
      </c>
      <c r="G139" s="61">
        <f>IF(FT!B139&lt;&gt;"",FT!B139*100,"")</f>
        <v>9.6569400000000005</v>
      </c>
      <c r="H139" s="61">
        <f t="shared" si="13"/>
        <v>1</v>
      </c>
      <c r="I139" t="str">
        <f>IF(FT!B139&lt;&gt;"",FT!E139,"")</f>
        <v>2 [55.703900]</v>
      </c>
      <c r="J139">
        <f>IF(FT!B139&lt;&gt;"",FT!C139,"")</f>
        <v>55.703899999999997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3.0967799999999999</v>
      </c>
      <c r="G140" s="61">
        <f>IF(FT!B140&lt;&gt;"",FT!B140*100,"")</f>
        <v>9.5364500000000003</v>
      </c>
      <c r="H140" s="61">
        <f t="shared" si="13"/>
        <v>1</v>
      </c>
      <c r="I140" t="str">
        <f>IF(FT!B140&lt;&gt;"",FT!E140,"")</f>
        <v>2 [56.109989]</v>
      </c>
      <c r="J140">
        <f>IF(FT!B140&lt;&gt;"",FT!C140,"")</f>
        <v>56.11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3.0982599999999998</v>
      </c>
      <c r="G141" s="61">
        <f>IF(FT!B141&lt;&gt;"",FT!B141*100,"")</f>
        <v>9.6499900000000007</v>
      </c>
      <c r="H141" s="61">
        <f t="shared" si="13"/>
        <v>1</v>
      </c>
      <c r="I141" t="str">
        <f>IF(FT!B141&lt;&gt;"",FT!E141,"")</f>
        <v>2 [56.519025]</v>
      </c>
      <c r="J141">
        <f>IF(FT!B141&lt;&gt;"",FT!C141,"")</f>
        <v>56.518999999999998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9620</v>
      </c>
      <c r="D142" s="61">
        <f>FH!B142*1</f>
        <v>9620</v>
      </c>
      <c r="E142">
        <f t="shared" si="15"/>
        <v>140</v>
      </c>
      <c r="F142" s="61">
        <f>IF(FT!A142&lt;&gt;"",FT!A142*10,"")</f>
        <v>3.0979700000000001</v>
      </c>
      <c r="G142" s="61">
        <f>IF(FT!B142&lt;&gt;"",FT!B142*100,"")</f>
        <v>9.9831799999999991</v>
      </c>
      <c r="H142" s="61">
        <f t="shared" si="13"/>
        <v>1</v>
      </c>
      <c r="I142" t="str">
        <f>IF(FT!B142&lt;&gt;"",FT!E142,"")</f>
        <v>2 [56.927935]</v>
      </c>
      <c r="J142">
        <f>IF(FT!B142&lt;&gt;"",FT!C142,"")</f>
        <v>56.927900000000001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3.0925500000000001</v>
      </c>
      <c r="G143" s="61">
        <f>IF(FT!B143&lt;&gt;"",FT!B143*100,"")</f>
        <v>10.5319</v>
      </c>
      <c r="H143" s="61">
        <f t="shared" si="13"/>
        <v>1</v>
      </c>
      <c r="I143" t="str">
        <f>IF(FT!B143&lt;&gt;"",FT!E143,"")</f>
        <v>2 [57.332818]</v>
      </c>
      <c r="J143">
        <f>IF(FT!B143&lt;&gt;"",FT!C143,"")</f>
        <v>57.332799999999999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7232</v>
      </c>
      <c r="D144" s="61">
        <f>FH!B144*1</f>
        <v>7232</v>
      </c>
      <c r="E144">
        <f t="shared" si="15"/>
        <v>142</v>
      </c>
      <c r="F144" s="61">
        <f>IF(FT!A144&lt;&gt;"",FT!A144*10,"")</f>
        <v>3.0843700000000003</v>
      </c>
      <c r="G144" s="61">
        <f>IF(FT!B144&lt;&gt;"",FT!B144*100,"")</f>
        <v>11.1342</v>
      </c>
      <c r="H144" s="61">
        <f t="shared" si="13"/>
        <v>1</v>
      </c>
      <c r="I144" t="str">
        <f>IF(FT!B144&lt;&gt;"",FT!E144,"")</f>
        <v>2 [57.738718]</v>
      </c>
      <c r="J144">
        <f>IF(FT!B144&lt;&gt;"",FT!C144,"")</f>
        <v>57.738700000000001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3.0793200000000001</v>
      </c>
      <c r="G145" s="61">
        <f>IF(FT!B145&lt;&gt;"",FT!B145*100,"")</f>
        <v>11.395</v>
      </c>
      <c r="H145" s="61">
        <f t="shared" si="13"/>
        <v>1</v>
      </c>
      <c r="I145" t="str">
        <f>IF(FT!B145&lt;&gt;"",FT!E145,"")</f>
        <v>2 [58.143564]</v>
      </c>
      <c r="J145">
        <f>IF(FT!B145&lt;&gt;"",FT!C145,"")</f>
        <v>58.143599999999999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3.0719000000000003</v>
      </c>
      <c r="G146" s="61">
        <f>IF(FT!B146&lt;&gt;"",FT!B146*100,"")</f>
        <v>11.635900000000001</v>
      </c>
      <c r="H146" s="61">
        <f t="shared" si="13"/>
        <v>1</v>
      </c>
      <c r="I146" t="str">
        <f>IF(FT!B146&lt;&gt;"",FT!E146,"")</f>
        <v>2 [58.544076]</v>
      </c>
      <c r="J146">
        <f>IF(FT!B146&lt;&gt;"",FT!C146,"")</f>
        <v>58.5441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7989</v>
      </c>
      <c r="D147" s="61">
        <f>FH!B147*1</f>
        <v>7989</v>
      </c>
      <c r="E147">
        <f t="shared" si="15"/>
        <v>145</v>
      </c>
      <c r="F147" s="61">
        <f>IF(FT!A147&lt;&gt;"",FT!A147*10,"")</f>
        <v>3.0693999999999999</v>
      </c>
      <c r="G147" s="61">
        <f>IF(FT!B147&lt;&gt;"",FT!B147*100,"")</f>
        <v>11.454499999999999</v>
      </c>
      <c r="H147" s="61">
        <f t="shared" si="13"/>
        <v>1</v>
      </c>
      <c r="I147" t="str">
        <f>IF(FT!B147&lt;&gt;"",FT!E147,"")</f>
        <v>2 [58.959454]</v>
      </c>
      <c r="J147">
        <f>IF(FT!B147&lt;&gt;"",FT!C147,"")</f>
        <v>58.959499999999998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3.0562800000000001</v>
      </c>
      <c r="G148" s="61">
        <f>IF(FT!B148&lt;&gt;"",FT!B148*100,"")</f>
        <v>11.573</v>
      </c>
      <c r="H148" s="61">
        <f t="shared" si="13"/>
        <v>1</v>
      </c>
      <c r="I148" t="str">
        <f>IF(FT!B148&lt;&gt;"",FT!E148,"")</f>
        <v>2 [59.358573]</v>
      </c>
      <c r="J148">
        <f>IF(FT!B148&lt;&gt;"",FT!C148,"")</f>
        <v>59.358600000000003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5394</v>
      </c>
      <c r="D149" s="61">
        <f>FH!B149*1</f>
        <v>5394</v>
      </c>
      <c r="E149">
        <f t="shared" si="15"/>
        <v>147</v>
      </c>
      <c r="F149" s="61">
        <f>IF(FT!A149&lt;&gt;"",FT!A149*10,"")</f>
        <v>3.03898</v>
      </c>
      <c r="G149" s="61">
        <f>IF(FT!B149&lt;&gt;"",FT!B149*100,"")</f>
        <v>12.3001</v>
      </c>
      <c r="H149" s="61">
        <f t="shared" si="13"/>
        <v>1</v>
      </c>
      <c r="I149" t="str">
        <f>IF(FT!B149&lt;&gt;"",FT!E149,"")</f>
        <v>2 [59.766751]</v>
      </c>
      <c r="J149">
        <f>IF(FT!B149&lt;&gt;"",FT!C149,"")</f>
        <v>59.766800000000003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5562</v>
      </c>
      <c r="D152" s="61">
        <f>FH!B152*1</f>
        <v>5562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5716</v>
      </c>
      <c r="D154" s="61">
        <f>FH!B154*1</f>
        <v>5716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6294</v>
      </c>
      <c r="D157" s="61">
        <f>FH!B157*1</f>
        <v>6294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4871</v>
      </c>
      <c r="D160" s="61">
        <f>FH!B160*1</f>
        <v>4871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3402</v>
      </c>
      <c r="D162" s="61">
        <f>FH!B162*1</f>
        <v>3402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2951</v>
      </c>
      <c r="D165" s="61">
        <f>FH!B165*1</f>
        <v>2951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2970</v>
      </c>
      <c r="D167" s="61">
        <f>FH!B167*1</f>
        <v>2970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3220</v>
      </c>
      <c r="D170" s="61">
        <f>FH!B170*1</f>
        <v>3220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2751</v>
      </c>
      <c r="D173" s="61">
        <f>FH!B173*1</f>
        <v>2751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3034</v>
      </c>
      <c r="D175" s="61">
        <f>FH!B175*1</f>
        <v>3034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4766</v>
      </c>
      <c r="D178" s="61">
        <f>FH!B178*1</f>
        <v>4766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4241</v>
      </c>
      <c r="D180" s="61">
        <f>FH!B180*1</f>
        <v>4241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2287</v>
      </c>
      <c r="D183" s="61">
        <f>FH!B183*1</f>
        <v>2287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263</v>
      </c>
      <c r="D185" s="61">
        <f>FH!B185*1</f>
        <v>263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677</v>
      </c>
      <c r="D188" s="61">
        <f>FH!B188*1</f>
        <v>677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696</v>
      </c>
      <c r="D191" s="61">
        <f>FH!B191*1</f>
        <v>696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141</v>
      </c>
      <c r="D193" s="61">
        <f>FH!B193*1</f>
        <v>141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42.198399999999999</v>
      </c>
      <c r="C5" s="66">
        <v>9.0921000000000003</v>
      </c>
      <c r="D5" s="66">
        <v>21.546099999999999</v>
      </c>
      <c r="E5" s="66">
        <v>20</v>
      </c>
      <c r="F5" s="66">
        <v>12.4809</v>
      </c>
      <c r="G5" s="66">
        <v>50</v>
      </c>
      <c r="H5" s="66">
        <v>62.7027</v>
      </c>
    </row>
    <row r="6" spans="1:8">
      <c r="A6" s="58" t="s">
        <v>303</v>
      </c>
      <c r="B6" s="66">
        <v>30.112500000000001</v>
      </c>
      <c r="C6" s="66">
        <v>0.75701799999999997</v>
      </c>
      <c r="D6" s="66">
        <v>2.51396</v>
      </c>
      <c r="E6" s="66">
        <v>20</v>
      </c>
      <c r="F6" s="66">
        <v>28.292100000000001</v>
      </c>
      <c r="G6" s="66">
        <v>40</v>
      </c>
      <c r="H6" s="66">
        <v>31.7577</v>
      </c>
    </row>
    <row r="7" spans="1:8">
      <c r="A7" s="58" t="s">
        <v>304</v>
      </c>
      <c r="B7" s="66">
        <v>34.302599999999998</v>
      </c>
      <c r="C7" s="66">
        <v>3.375</v>
      </c>
      <c r="D7" s="66">
        <v>9.8389000000000006</v>
      </c>
      <c r="E7" s="66">
        <v>15</v>
      </c>
      <c r="F7" s="66">
        <v>25.505800000000001</v>
      </c>
      <c r="G7" s="66">
        <v>40</v>
      </c>
      <c r="H7" s="66">
        <v>43.050699999999999</v>
      </c>
    </row>
    <row r="8" spans="1:8">
      <c r="A8" s="58" t="s">
        <v>305</v>
      </c>
      <c r="B8" s="66">
        <v>35.475200000000001</v>
      </c>
      <c r="C8" s="66">
        <v>3.4952200000000002</v>
      </c>
      <c r="D8" s="66">
        <v>9.8525799999999997</v>
      </c>
      <c r="E8" s="66">
        <v>20</v>
      </c>
      <c r="F8" s="66">
        <v>22.9422</v>
      </c>
      <c r="G8" s="66">
        <v>50</v>
      </c>
      <c r="H8" s="66">
        <v>40.765000000000001</v>
      </c>
    </row>
    <row r="9" spans="1:8">
      <c r="A9" s="58" t="s">
        <v>306</v>
      </c>
      <c r="B9" s="66">
        <v>59.346600000000002</v>
      </c>
      <c r="C9" s="66">
        <v>6.8912300000000002</v>
      </c>
      <c r="D9" s="66">
        <v>11.611800000000001</v>
      </c>
      <c r="E9" s="66">
        <v>50</v>
      </c>
      <c r="F9" s="66">
        <v>44.236600000000003</v>
      </c>
      <c r="G9" s="66">
        <v>100</v>
      </c>
      <c r="H9" s="66">
        <v>79.349699999999999</v>
      </c>
    </row>
    <row r="10" spans="1:8">
      <c r="A10" s="58" t="s">
        <v>307</v>
      </c>
      <c r="B10" s="66">
        <v>74.764099999999999</v>
      </c>
      <c r="C10" s="66">
        <v>5.2263500000000001</v>
      </c>
      <c r="D10" s="66">
        <v>6.9904599999999997</v>
      </c>
      <c r="E10" s="66">
        <v>40</v>
      </c>
      <c r="F10" s="66">
        <v>47.829300000000003</v>
      </c>
      <c r="G10" s="66">
        <v>100</v>
      </c>
      <c r="H10" s="66">
        <v>78.329700000000003</v>
      </c>
    </row>
    <row r="11" spans="1:8">
      <c r="A11" s="58" t="s">
        <v>308</v>
      </c>
      <c r="B11" s="66">
        <v>14.1023</v>
      </c>
      <c r="C11" s="66">
        <v>2.71265</v>
      </c>
      <c r="D11" s="66">
        <v>19.235600000000002</v>
      </c>
      <c r="E11" s="66">
        <v>10</v>
      </c>
      <c r="F11" s="66">
        <v>4.3945499999999997</v>
      </c>
      <c r="G11" s="66">
        <v>50</v>
      </c>
      <c r="H11" s="66">
        <v>16.886800000000001</v>
      </c>
    </row>
    <row r="12" spans="1:8">
      <c r="A12" s="58" t="s">
        <v>309</v>
      </c>
      <c r="B12" s="66">
        <v>66.753799999999998</v>
      </c>
      <c r="C12" s="66">
        <v>2.9106000000000001</v>
      </c>
      <c r="D12" s="66">
        <v>4.3601999999999999</v>
      </c>
      <c r="E12" s="66">
        <v>50</v>
      </c>
      <c r="F12" s="66">
        <v>57.156799999999997</v>
      </c>
      <c r="G12" s="66">
        <v>100</v>
      </c>
      <c r="H12" s="66">
        <v>71.47</v>
      </c>
    </row>
    <row r="13" spans="1:8">
      <c r="A13" s="58" t="s">
        <v>310</v>
      </c>
      <c r="B13" s="66">
        <v>15.180199999999999</v>
      </c>
      <c r="C13" s="66">
        <v>2.2568299999999999</v>
      </c>
      <c r="D13" s="66">
        <v>14.866899999999999</v>
      </c>
      <c r="E13" s="66">
        <v>10</v>
      </c>
      <c r="F13" s="66">
        <v>11.4381</v>
      </c>
      <c r="G13" s="66">
        <v>25</v>
      </c>
      <c r="H13" s="66">
        <v>21.047999999999998</v>
      </c>
    </row>
    <row r="14" spans="1:8">
      <c r="A14" s="58" t="s">
        <v>311</v>
      </c>
      <c r="B14" s="66">
        <v>22.568300000000001</v>
      </c>
      <c r="C14" s="66">
        <v>6.5874699999999997</v>
      </c>
      <c r="D14" s="66">
        <v>29.189</v>
      </c>
      <c r="E14" s="66">
        <v>10</v>
      </c>
      <c r="F14" s="66">
        <v>1.2223200000000001</v>
      </c>
      <c r="G14" s="66">
        <v>50</v>
      </c>
      <c r="H14" s="66">
        <v>22.848400000000002</v>
      </c>
    </row>
    <row r="15" spans="1:8">
      <c r="A15" s="58" t="s">
        <v>312</v>
      </c>
      <c r="B15" s="66">
        <v>-1.0770999999999999E-2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-1.49354E-2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13.0006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0.51711200000000002</v>
      </c>
      <c r="C18" s="66">
        <v>2.1850600000000001E-2</v>
      </c>
      <c r="D18" s="66">
        <v>4.2255000000000001E-2</v>
      </c>
      <c r="E18" s="66">
        <v>0</v>
      </c>
      <c r="F18" s="66">
        <v>0.49526199999999998</v>
      </c>
      <c r="G18" s="66">
        <v>0</v>
      </c>
      <c r="H18" s="66">
        <v>0.53896299999999997</v>
      </c>
    </row>
    <row r="19" spans="1:8">
      <c r="A19" s="58" t="s">
        <v>316</v>
      </c>
      <c r="B19" s="66">
        <v>0.76370700000000002</v>
      </c>
      <c r="C19" s="66">
        <v>8.4332000000000004E-2</v>
      </c>
      <c r="D19" s="66">
        <v>0.110425</v>
      </c>
      <c r="E19" s="66">
        <v>0</v>
      </c>
      <c r="F19" s="66">
        <v>0.67937499999999995</v>
      </c>
      <c r="G19" s="66">
        <v>0</v>
      </c>
      <c r="H19" s="66">
        <v>0.84803899999999999</v>
      </c>
    </row>
    <row r="20" spans="1:8">
      <c r="A20" s="58" t="s">
        <v>317</v>
      </c>
      <c r="B20" s="66">
        <v>2.4993999999999999E-2</v>
      </c>
      <c r="C20" s="66">
        <v>1.0798800000000001E-2</v>
      </c>
      <c r="D20" s="66">
        <v>0.43205399999999999</v>
      </c>
      <c r="E20" s="66">
        <v>0</v>
      </c>
      <c r="F20" s="66">
        <v>1.9476500000000001E-2</v>
      </c>
      <c r="G20" s="66">
        <v>0</v>
      </c>
      <c r="H20" s="66">
        <v>0.121431</v>
      </c>
    </row>
    <row r="21" spans="1:8">
      <c r="A21" s="58" t="s">
        <v>318</v>
      </c>
      <c r="B21" s="66">
        <v>6.18176E-2</v>
      </c>
      <c r="C21" s="66">
        <v>4.1875599999999999E-2</v>
      </c>
      <c r="D21" s="66">
        <v>0.67740500000000003</v>
      </c>
      <c r="E21" s="66">
        <v>0</v>
      </c>
      <c r="F21" s="66">
        <v>2.2204000000000002E-2</v>
      </c>
      <c r="G21" s="66">
        <v>0</v>
      </c>
      <c r="H21" s="66">
        <v>0.226496</v>
      </c>
    </row>
    <row r="22" spans="1:8">
      <c r="A22" s="58" t="s">
        <v>319</v>
      </c>
      <c r="B22" s="66">
        <v>29.789000000000001</v>
      </c>
      <c r="C22" s="66">
        <v>15.998699999999999</v>
      </c>
      <c r="D22" s="66">
        <v>0.53706699999999996</v>
      </c>
      <c r="E22" s="66">
        <v>0</v>
      </c>
      <c r="F22" s="66">
        <v>13.552899999999999</v>
      </c>
      <c r="G22" s="66">
        <v>0</v>
      </c>
      <c r="H22" s="66">
        <v>112.149</v>
      </c>
    </row>
    <row r="23" spans="1:8">
      <c r="A23" s="58" t="s">
        <v>320</v>
      </c>
      <c r="B23" s="66">
        <v>10.2454</v>
      </c>
      <c r="C23" s="66">
        <v>1.71262</v>
      </c>
      <c r="D23" s="66">
        <v>0.167159</v>
      </c>
      <c r="E23" s="66">
        <v>0</v>
      </c>
      <c r="F23" s="66">
        <v>8.9187600000000007</v>
      </c>
      <c r="G23" s="66">
        <v>0</v>
      </c>
      <c r="H23" s="66">
        <v>15.0405</v>
      </c>
    </row>
    <row r="24" spans="1:8">
      <c r="A24" s="58" t="s">
        <v>321</v>
      </c>
      <c r="B24" s="66">
        <v>2.6150400000000001E-2</v>
      </c>
      <c r="C24" s="66">
        <v>5.7548900000000004E-3</v>
      </c>
      <c r="D24" s="66">
        <v>0.22006899999999999</v>
      </c>
      <c r="E24" s="66">
        <v>0</v>
      </c>
      <c r="F24" s="66">
        <v>2.2033899999999999E-2</v>
      </c>
      <c r="G24" s="66">
        <v>0</v>
      </c>
      <c r="H24" s="66">
        <v>4.6321899999999999E-2</v>
      </c>
    </row>
    <row r="25" spans="1:8">
      <c r="A25" s="58" t="s">
        <v>322</v>
      </c>
      <c r="B25" s="66">
        <v>7.3143E-2</v>
      </c>
      <c r="C25" s="66">
        <v>1.5613200000000001E-2</v>
      </c>
      <c r="D25" s="66">
        <v>0.21346200000000001</v>
      </c>
      <c r="E25" s="66">
        <v>0</v>
      </c>
      <c r="F25" s="66">
        <v>3.7157599999999999E-2</v>
      </c>
      <c r="G25" s="66">
        <v>0</v>
      </c>
      <c r="H25" s="66">
        <v>0.12859200000000001</v>
      </c>
    </row>
    <row r="26" spans="1:8">
      <c r="A26" s="58" t="s">
        <v>323</v>
      </c>
      <c r="B26" s="66">
        <v>3.9489199999999999E-3</v>
      </c>
      <c r="C26" s="66">
        <v>8.9411299999999998E-4</v>
      </c>
      <c r="D26" s="66">
        <v>0.22641900000000001</v>
      </c>
      <c r="E26" s="66">
        <v>0</v>
      </c>
      <c r="F26" s="66">
        <v>3.1578299999999999E-3</v>
      </c>
      <c r="G26" s="66">
        <v>0</v>
      </c>
      <c r="H26" s="66">
        <v>1.13051E-2</v>
      </c>
    </row>
    <row r="27" spans="1:8">
      <c r="A27" s="58" t="s">
        <v>324</v>
      </c>
      <c r="B27" s="196">
        <v>-3.2825399999999999E-5</v>
      </c>
      <c r="C27" s="66">
        <v>8.1970299999999997E-4</v>
      </c>
      <c r="D27" s="66">
        <v>-24.971599999999999</v>
      </c>
      <c r="E27" s="66">
        <v>0</v>
      </c>
      <c r="F27" s="66">
        <v>-4.78926E-3</v>
      </c>
      <c r="G27" s="66">
        <v>0</v>
      </c>
      <c r="H27" s="66">
        <v>7.9864800000000007E-3</v>
      </c>
    </row>
    <row r="28" spans="1:8">
      <c r="A28" s="58" t="s">
        <v>325</v>
      </c>
      <c r="B28" s="66">
        <v>9.5475300000000003E-3</v>
      </c>
      <c r="C28" s="66">
        <v>5.4145299999999999E-3</v>
      </c>
      <c r="D28" s="66">
        <v>0.56711299999999998</v>
      </c>
      <c r="E28" s="66">
        <v>0</v>
      </c>
      <c r="F28" s="66">
        <v>3.5123699999999999E-3</v>
      </c>
      <c r="G28" s="66">
        <v>0</v>
      </c>
      <c r="H28" s="66">
        <v>3.9254600000000001E-2</v>
      </c>
    </row>
    <row r="29" spans="1:8">
      <c r="A29" s="58" t="s">
        <v>326</v>
      </c>
      <c r="B29" s="66">
        <v>56.516399999999997</v>
      </c>
      <c r="C29" s="66">
        <v>8.3574400000000004</v>
      </c>
      <c r="D29" s="66">
        <v>0.14787700000000001</v>
      </c>
      <c r="E29" s="66">
        <v>0</v>
      </c>
      <c r="F29" s="66">
        <v>42.103400000000001</v>
      </c>
      <c r="G29" s="66">
        <v>0</v>
      </c>
      <c r="H29" s="66">
        <v>94.926699999999997</v>
      </c>
    </row>
    <row r="30" spans="1:8">
      <c r="A30" s="58" t="s">
        <v>327</v>
      </c>
      <c r="B30" s="66">
        <v>13.8855</v>
      </c>
      <c r="C30" s="66">
        <v>1.3912500000000001</v>
      </c>
      <c r="D30" s="66">
        <v>0.10019400000000001</v>
      </c>
      <c r="E30" s="66">
        <v>0</v>
      </c>
      <c r="F30" s="66">
        <v>8.4617299999999993</v>
      </c>
      <c r="G30" s="66">
        <v>0</v>
      </c>
      <c r="H30" s="66">
        <v>14.8752</v>
      </c>
    </row>
    <row r="31" spans="1:8">
      <c r="A31" s="58" t="s">
        <v>328</v>
      </c>
      <c r="B31" s="66">
        <v>198.304</v>
      </c>
      <c r="C31" s="66">
        <v>77.998000000000005</v>
      </c>
      <c r="D31" s="66">
        <v>0.39332600000000001</v>
      </c>
      <c r="E31" s="66">
        <v>0</v>
      </c>
      <c r="F31" s="66">
        <v>82.53</v>
      </c>
      <c r="G31" s="66">
        <v>0</v>
      </c>
      <c r="H31" s="66">
        <v>380.62700000000001</v>
      </c>
    </row>
    <row r="32" spans="1:8">
      <c r="A32" s="58" t="s">
        <v>329</v>
      </c>
      <c r="B32" s="66">
        <v>0.343026</v>
      </c>
      <c r="C32" s="66">
        <v>3.3750000000000002E-2</v>
      </c>
      <c r="D32" s="66">
        <v>9.8389000000000004E-2</v>
      </c>
      <c r="E32" s="66">
        <v>0.15</v>
      </c>
      <c r="F32" s="66">
        <v>0.25505800000000001</v>
      </c>
      <c r="G32" s="66">
        <v>0.4</v>
      </c>
      <c r="H32" s="66">
        <v>0.43050699999999997</v>
      </c>
    </row>
    <row r="33" spans="1:8">
      <c r="A33" s="58" t="s">
        <v>330</v>
      </c>
      <c r="B33" s="66">
        <v>0.38588899999999998</v>
      </c>
      <c r="C33" s="66">
        <v>3.0605199999999999E-2</v>
      </c>
      <c r="D33" s="66">
        <v>7.9310900000000004E-2</v>
      </c>
      <c r="E33" s="66">
        <v>0</v>
      </c>
      <c r="F33" s="66">
        <v>0.30727500000000002</v>
      </c>
      <c r="G33" s="66">
        <v>0</v>
      </c>
      <c r="H33" s="66">
        <v>0.46270600000000001</v>
      </c>
    </row>
    <row r="34" spans="1:8">
      <c r="A34" s="58" t="s">
        <v>331</v>
      </c>
      <c r="B34" s="66">
        <v>0.15180199999999999</v>
      </c>
      <c r="C34" s="66">
        <v>2.2568299999999999E-2</v>
      </c>
      <c r="D34" s="66">
        <v>0.148669</v>
      </c>
      <c r="E34" s="66">
        <v>0.1</v>
      </c>
      <c r="F34" s="66">
        <v>0.114381</v>
      </c>
      <c r="G34" s="66">
        <v>0.25</v>
      </c>
      <c r="H34" s="66">
        <v>0.21048</v>
      </c>
    </row>
    <row r="35" spans="1:8">
      <c r="A35" s="58" t="s">
        <v>332</v>
      </c>
      <c r="B35" s="66">
        <v>6.7651199999999995E-2</v>
      </c>
      <c r="C35" s="66">
        <v>1.89292E-2</v>
      </c>
      <c r="D35" s="66">
        <v>0.279806</v>
      </c>
      <c r="E35" s="66">
        <v>0</v>
      </c>
      <c r="F35" s="66">
        <v>2.9899800000000001E-2</v>
      </c>
      <c r="G35" s="66">
        <v>0</v>
      </c>
      <c r="H35" s="66">
        <v>0.12651499999999999</v>
      </c>
    </row>
    <row r="36" spans="1:8">
      <c r="A36" s="58" t="s">
        <v>333</v>
      </c>
      <c r="B36" s="66">
        <v>0.14183599999999999</v>
      </c>
      <c r="C36" s="66">
        <v>7.4209300000000006E-2</v>
      </c>
      <c r="D36" s="66">
        <v>0.52320599999999995</v>
      </c>
      <c r="E36" s="66">
        <v>0</v>
      </c>
      <c r="F36" s="66">
        <v>3.8144499999999998E-2</v>
      </c>
      <c r="G36" s="66">
        <v>0</v>
      </c>
      <c r="H36" s="66">
        <v>0.47059400000000001</v>
      </c>
    </row>
    <row r="37" spans="1:8">
      <c r="A37" s="58" t="s">
        <v>334</v>
      </c>
      <c r="B37" s="66">
        <v>0.22568299999999999</v>
      </c>
      <c r="C37" s="66">
        <v>6.5874699999999994E-2</v>
      </c>
      <c r="D37" s="66">
        <v>0.29188999999999998</v>
      </c>
      <c r="E37" s="66">
        <v>0.1</v>
      </c>
      <c r="F37" s="66">
        <v>1.22232E-2</v>
      </c>
      <c r="G37" s="66">
        <v>0.5</v>
      </c>
      <c r="H37" s="66">
        <v>0.22848399999999999</v>
      </c>
    </row>
    <row r="38" spans="1:8">
      <c r="A38" s="58" t="s">
        <v>335</v>
      </c>
      <c r="B38" s="66">
        <v>13.109400000000001</v>
      </c>
      <c r="C38" s="66">
        <v>49.541200000000003</v>
      </c>
      <c r="D38" s="66">
        <v>3.7790499999999998</v>
      </c>
      <c r="E38" s="66">
        <v>0</v>
      </c>
      <c r="F38" s="66">
        <v>-259.392</v>
      </c>
      <c r="G38" s="66">
        <v>0</v>
      </c>
      <c r="H38" s="66">
        <v>144.69499999999999</v>
      </c>
    </row>
    <row r="39" spans="1:8">
      <c r="A39" s="58" t="s">
        <v>336</v>
      </c>
      <c r="B39" s="66">
        <v>2.2866399999999998</v>
      </c>
      <c r="C39" s="66">
        <v>8.4798299999999998</v>
      </c>
      <c r="D39" s="66">
        <v>3.7084199999999998</v>
      </c>
      <c r="E39" s="66">
        <v>0</v>
      </c>
      <c r="F39" s="66">
        <v>-96.600200000000001</v>
      </c>
      <c r="G39" s="66">
        <v>0</v>
      </c>
      <c r="H39" s="66">
        <v>8.0546299999999995</v>
      </c>
    </row>
    <row r="40" spans="1:8">
      <c r="A40" s="58" t="s">
        <v>337</v>
      </c>
      <c r="B40" s="66">
        <v>0.48936099999999999</v>
      </c>
      <c r="C40" s="66">
        <v>0.40763300000000002</v>
      </c>
      <c r="D40" s="66">
        <v>0.83299000000000001</v>
      </c>
      <c r="E40" s="66">
        <v>0</v>
      </c>
      <c r="F40" s="66">
        <v>-0.202436</v>
      </c>
      <c r="G40" s="66">
        <v>0</v>
      </c>
      <c r="H40" s="66">
        <v>1.7907599999999999</v>
      </c>
    </row>
    <row r="41" spans="1:8">
      <c r="A41" s="58" t="s">
        <v>338</v>
      </c>
      <c r="B41" s="66">
        <v>9.0909100000000007E-2</v>
      </c>
      <c r="C41" s="66">
        <v>0.32231500000000002</v>
      </c>
      <c r="D41" s="66">
        <v>3.5454599999999998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9.4350400000000001E-2</v>
      </c>
      <c r="C42" s="66">
        <v>0.11991400000000001</v>
      </c>
      <c r="D42" s="66">
        <v>1.27095</v>
      </c>
      <c r="E42" s="66">
        <v>0</v>
      </c>
      <c r="F42" s="66">
        <v>-0.25220500000000001</v>
      </c>
      <c r="G42" s="66">
        <v>0</v>
      </c>
      <c r="H42" s="66">
        <v>0.35679100000000002</v>
      </c>
    </row>
    <row r="43" spans="1:8">
      <c r="A43" s="58" t="s">
        <v>340</v>
      </c>
      <c r="B43" s="66">
        <v>-6.8326000000000003E-3</v>
      </c>
      <c r="C43" s="66">
        <v>7.9654699999999995E-2</v>
      </c>
      <c r="D43" s="66">
        <v>-11.657999999999999</v>
      </c>
      <c r="E43" s="66">
        <v>0</v>
      </c>
      <c r="F43" s="66">
        <v>-0.10420699999999999</v>
      </c>
      <c r="G43" s="66">
        <v>0</v>
      </c>
      <c r="H43" s="66">
        <v>0.30560100000000001</v>
      </c>
    </row>
    <row r="44" spans="1:8">
      <c r="A44" s="58" t="s">
        <v>341</v>
      </c>
      <c r="B44" s="66">
        <v>-2.7905700000000002</v>
      </c>
      <c r="C44" s="66">
        <v>6.4196999999999997</v>
      </c>
      <c r="D44" s="66">
        <v>-2.3004899999999999</v>
      </c>
      <c r="E44" s="66">
        <v>0</v>
      </c>
      <c r="F44" s="66">
        <v>-19.165099999999999</v>
      </c>
      <c r="G44" s="66">
        <v>0</v>
      </c>
      <c r="H44" s="66">
        <v>9.2591599999999996</v>
      </c>
    </row>
    <row r="45" spans="1:8">
      <c r="A45" s="58" t="s">
        <v>342</v>
      </c>
      <c r="B45" s="66">
        <v>48.5246</v>
      </c>
      <c r="C45" s="66">
        <v>5.3730900000000004</v>
      </c>
      <c r="D45" s="66">
        <v>0.11072899999999999</v>
      </c>
      <c r="E45" s="66">
        <v>0</v>
      </c>
      <c r="F45" s="66">
        <v>37.728299999999997</v>
      </c>
      <c r="G45" s="66">
        <v>0</v>
      </c>
      <c r="H45" s="66">
        <v>63.564799999999998</v>
      </c>
    </row>
    <row r="46" spans="1:8">
      <c r="A46" s="58" t="s">
        <v>343</v>
      </c>
      <c r="B46" s="66">
        <v>31.5336</v>
      </c>
      <c r="C46" s="66">
        <v>6.40177</v>
      </c>
      <c r="D46" s="66">
        <v>0.203014</v>
      </c>
      <c r="E46" s="66">
        <v>0</v>
      </c>
      <c r="F46" s="66">
        <v>9.5899800000000006</v>
      </c>
      <c r="G46" s="66">
        <v>0</v>
      </c>
      <c r="H46" s="66">
        <v>36.113900000000001</v>
      </c>
    </row>
    <row r="47" spans="1:8">
      <c r="A47" s="58" t="s">
        <v>344</v>
      </c>
      <c r="B47" s="66">
        <v>0.50390999999999997</v>
      </c>
      <c r="C47" s="66">
        <v>0.119952</v>
      </c>
      <c r="D47" s="66">
        <v>0.238043</v>
      </c>
      <c r="E47" s="66">
        <v>0</v>
      </c>
      <c r="F47" s="66">
        <v>0.26593499999999998</v>
      </c>
      <c r="G47" s="66">
        <v>0</v>
      </c>
      <c r="H47" s="66">
        <v>0.88088299999999997</v>
      </c>
    </row>
    <row r="48" spans="1:8">
      <c r="A48" s="58" t="s">
        <v>345</v>
      </c>
      <c r="B48" s="66">
        <v>0.61382800000000004</v>
      </c>
      <c r="C48" s="66">
        <v>0.11382100000000001</v>
      </c>
      <c r="D48" s="66">
        <v>0.18542900000000001</v>
      </c>
      <c r="E48" s="66">
        <v>0</v>
      </c>
      <c r="F48" s="66">
        <v>0.391594</v>
      </c>
      <c r="G48" s="66">
        <v>0</v>
      </c>
      <c r="H48" s="66">
        <v>0.79820100000000005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4.9637000000000029</v>
      </c>
      <c r="C5" s="66">
        <f>'M2'!C5-'M1'!C5</f>
        <v>-6.2302</v>
      </c>
      <c r="D5" s="66">
        <f>'M2'!D5-'M1'!D5</f>
        <v>-16.825410000000002</v>
      </c>
      <c r="E5" s="66">
        <f>'M2'!E5-'M1'!E5</f>
        <v>0</v>
      </c>
      <c r="F5" s="66">
        <f>'M2'!F5-'M1'!F5</f>
        <v>19.132800000000003</v>
      </c>
      <c r="G5" s="66">
        <f>'M2'!G5-'M1'!G5</f>
        <v>0</v>
      </c>
      <c r="H5" s="66">
        <f>'M2'!H5-'M1'!H5</f>
        <v>17.950200000000002</v>
      </c>
    </row>
    <row r="6" spans="1:8">
      <c r="A6" s="66" t="s">
        <v>244</v>
      </c>
      <c r="B6" s="66">
        <f>'M2'!B6-'M1'!B6</f>
        <v>-0.25590000000000046</v>
      </c>
      <c r="C6" s="66">
        <f>'M2'!C6-'M1'!C6</f>
        <v>0.40720000000000001</v>
      </c>
      <c r="D6" s="66">
        <f>'M2'!D6-'M1'!D6</f>
        <v>1.3742500000000002</v>
      </c>
      <c r="E6" s="66">
        <f>'M2'!E6-'M1'!E6</f>
        <v>0</v>
      </c>
      <c r="F6" s="66">
        <f>'M2'!F6-'M1'!F6</f>
        <v>-0.45179999999999865</v>
      </c>
      <c r="G6" s="66">
        <f>'M2'!G6-'M1'!G6</f>
        <v>0</v>
      </c>
      <c r="H6" s="66">
        <f>'M2'!H6-'M1'!H6</f>
        <v>0.19310000000000116</v>
      </c>
    </row>
    <row r="7" spans="1:8">
      <c r="A7" s="66" t="s">
        <v>245</v>
      </c>
      <c r="B7" s="66">
        <f>'M2'!B7-'M1'!B7</f>
        <v>-2.5659000000000063</v>
      </c>
      <c r="C7" s="66">
        <f>'M2'!C7-'M1'!C7</f>
        <v>0.54622000000000037</v>
      </c>
      <c r="D7" s="66">
        <f>'M2'!D7-'M1'!D7</f>
        <v>2.2747299999999999</v>
      </c>
      <c r="E7" s="66">
        <f>'M2'!E7-'M1'!E7</f>
        <v>0</v>
      </c>
      <c r="F7" s="66">
        <f>'M2'!F7-'M1'!F7</f>
        <v>-0.7502999999999993</v>
      </c>
      <c r="G7" s="66">
        <f>'M2'!G7-'M1'!G7</f>
        <v>0</v>
      </c>
      <c r="H7" s="66">
        <f>'M2'!H7-'M1'!H7</f>
        <v>1.3066999999999993</v>
      </c>
    </row>
    <row r="8" spans="1:8">
      <c r="A8" s="66" t="s">
        <v>246</v>
      </c>
      <c r="B8" s="66">
        <f>'M2'!B8-'M1'!B8</f>
        <v>0.79979999999999762</v>
      </c>
      <c r="C8" s="66">
        <f>'M2'!C8-'M1'!C8</f>
        <v>-2.2104300000000006</v>
      </c>
      <c r="D8" s="66">
        <f>'M2'!D8-'M1'!D8</f>
        <v>-6.4512900000000002</v>
      </c>
      <c r="E8" s="66">
        <f>'M2'!E8-'M1'!E8</f>
        <v>0</v>
      </c>
      <c r="F8" s="66">
        <f>'M2'!F8-'M1'!F8</f>
        <v>10.383299999999998</v>
      </c>
      <c r="G8" s="66">
        <f>'M2'!G8-'M1'!G8</f>
        <v>0</v>
      </c>
      <c r="H8" s="66">
        <f>'M2'!H8-'M1'!H8</f>
        <v>3.1131000000000029</v>
      </c>
    </row>
    <row r="9" spans="1:8">
      <c r="A9" s="66" t="s">
        <v>247</v>
      </c>
      <c r="B9" s="66">
        <f>'M2'!B9-'M1'!B9</f>
        <v>-7.2540000000000049</v>
      </c>
      <c r="C9" s="66">
        <f>'M2'!C9-'M1'!C9</f>
        <v>-2.2367300000000006</v>
      </c>
      <c r="D9" s="66">
        <f>'M2'!D9-'M1'!D9</f>
        <v>-2.7004000000000001</v>
      </c>
      <c r="E9" s="66">
        <f>'M2'!E9-'M1'!E9</f>
        <v>0</v>
      </c>
      <c r="F9" s="66">
        <f>'M2'!F9-'M1'!F9</f>
        <v>-8.7781999999999982</v>
      </c>
      <c r="G9" s="66">
        <f>'M2'!G9-'M1'!G9</f>
        <v>0</v>
      </c>
      <c r="H9" s="66">
        <f>'M2'!H9-'M1'!H9</f>
        <v>-14.742800000000003</v>
      </c>
    </row>
    <row r="10" spans="1:8">
      <c r="A10" s="66" t="s">
        <v>248</v>
      </c>
      <c r="B10" s="66">
        <f>'M2'!B10-'M1'!B10</f>
        <v>-8.1499999999991246E-2</v>
      </c>
      <c r="C10" s="66">
        <f>'M2'!C10-'M1'!C10</f>
        <v>-4.2017499999999997</v>
      </c>
      <c r="D10" s="66">
        <f>'M2'!D10-'M1'!D10</f>
        <v>-5.6162100000000006</v>
      </c>
      <c r="E10" s="66">
        <f>'M2'!E10-'M1'!E10</f>
        <v>0</v>
      </c>
      <c r="F10" s="66">
        <f>'M2'!F10-'M1'!F10</f>
        <v>20.429999999999993</v>
      </c>
      <c r="G10" s="66">
        <f>'M2'!G10-'M1'!G10</f>
        <v>0</v>
      </c>
      <c r="H10" s="66">
        <f>'M2'!H10-'M1'!H10</f>
        <v>3.0000000000001137E-2</v>
      </c>
    </row>
    <row r="11" spans="1:8">
      <c r="A11" s="66" t="s">
        <v>249</v>
      </c>
      <c r="B11" s="66">
        <f>'M2'!B11-'M1'!B11</f>
        <v>-1.2350999999999992</v>
      </c>
      <c r="C11" s="66">
        <f>'M2'!C11-'M1'!C11</f>
        <v>-2.6972499999999999</v>
      </c>
      <c r="D11" s="66">
        <f>'M2'!D11-'M1'!D11</f>
        <v>-17.473379999999999</v>
      </c>
      <c r="E11" s="66">
        <f>'M2'!E11-'M1'!E11</f>
        <v>0</v>
      </c>
      <c r="F11" s="66">
        <f>'M2'!F11-'M1'!F11</f>
        <v>7.5721499999999997</v>
      </c>
      <c r="G11" s="66">
        <f>'M2'!G11-'M1'!G11</f>
        <v>0</v>
      </c>
      <c r="H11" s="66">
        <f>'M2'!H11-'M1'!H11</f>
        <v>-1.3664000000000005</v>
      </c>
    </row>
    <row r="12" spans="1:8">
      <c r="A12" s="66" t="s">
        <v>250</v>
      </c>
      <c r="B12" s="66">
        <f>'M2'!B12-'M1'!B12</f>
        <v>-3.3263000000000034</v>
      </c>
      <c r="C12" s="66">
        <f>'M2'!C12-'M1'!C12</f>
        <v>0.67727999999999988</v>
      </c>
      <c r="D12" s="66">
        <f>'M2'!D12-'M1'!D12</f>
        <v>1.1827000000000001</v>
      </c>
      <c r="E12" s="66">
        <f>'M2'!E12-'M1'!E12</f>
        <v>0</v>
      </c>
      <c r="F12" s="66">
        <f>'M2'!F12-'M1'!F12</f>
        <v>-5.8043000000000049</v>
      </c>
      <c r="G12" s="66">
        <f>'M2'!G12-'M1'!G12</f>
        <v>0</v>
      </c>
      <c r="H12" s="66">
        <f>'M2'!H12-'M1'!H12</f>
        <v>-2.1191000000000031</v>
      </c>
    </row>
    <row r="13" spans="1:8">
      <c r="A13" s="66" t="s">
        <v>251</v>
      </c>
      <c r="B13" s="66">
        <f>'M2'!B13-'M1'!B13</f>
        <v>2.8403000000000009</v>
      </c>
      <c r="C13" s="66">
        <f>'M2'!C13-'M1'!C13</f>
        <v>0.2534599999999998</v>
      </c>
      <c r="D13" s="66">
        <f>'M2'!D13-'M1'!D13</f>
        <v>-0.66119999999999912</v>
      </c>
      <c r="E13" s="66">
        <f>'M2'!E13-'M1'!E13</f>
        <v>0</v>
      </c>
      <c r="F13" s="66">
        <f>'M2'!F13-'M1'!F13</f>
        <v>1.0982000000000003</v>
      </c>
      <c r="G13" s="66">
        <f>'M2'!G13-'M1'!G13</f>
        <v>0</v>
      </c>
      <c r="H13" s="66">
        <f>'M2'!H13-'M1'!H13</f>
        <v>1.3095999999999997</v>
      </c>
    </row>
    <row r="14" spans="1:8">
      <c r="A14" s="66" t="s">
        <v>252</v>
      </c>
      <c r="B14" s="66">
        <f>'M2'!B14-'M1'!B14</f>
        <v>2.5346000000000011</v>
      </c>
      <c r="C14" s="66">
        <f>'M2'!C14-'M1'!C14</f>
        <v>1.8628</v>
      </c>
      <c r="D14" s="66">
        <f>'M2'!D14-'M1'!D14</f>
        <v>5.2735999999999983</v>
      </c>
      <c r="E14" s="66">
        <f>'M2'!E14-'M1'!E14</f>
        <v>0</v>
      </c>
      <c r="F14" s="66">
        <f>'M2'!F14-'M1'!F14</f>
        <v>-0.26320999999999994</v>
      </c>
      <c r="G14" s="66">
        <f>'M2'!G14-'M1'!G14</f>
        <v>0</v>
      </c>
      <c r="H14" s="66">
        <f>'M2'!H14-'M1'!H14</f>
        <v>3.9048000000000016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0.22767000000000004</v>
      </c>
      <c r="C18" s="66">
        <f>'M2'!C18-'M1'!C18</f>
        <v>2.1850600000000001E-2</v>
      </c>
      <c r="D18" s="66">
        <f>'M2'!D18-'M1'!D18</f>
        <v>4.2255000000000001E-2</v>
      </c>
      <c r="E18" s="66">
        <f>'M2'!E18-'M1'!E18</f>
        <v>0</v>
      </c>
      <c r="F18" s="66">
        <f>'M2'!F18-'M1'!F18</f>
        <v>0.49526199999999998</v>
      </c>
      <c r="G18" s="66">
        <f>'M2'!G18-'M1'!G18</f>
        <v>0</v>
      </c>
      <c r="H18" s="66">
        <f>'M2'!H18-'M1'!H18</f>
        <v>0.53896299999999997</v>
      </c>
    </row>
    <row r="19" spans="1:8">
      <c r="A19" s="66" t="s">
        <v>256</v>
      </c>
      <c r="B19" s="66">
        <f>'M2'!B19-'M1'!B19</f>
        <v>0.124942</v>
      </c>
      <c r="C19" s="66">
        <f>'M2'!C19-'M1'!C19</f>
        <v>8.4332000000000004E-2</v>
      </c>
      <c r="D19" s="66">
        <f>'M2'!D19-'M1'!D19</f>
        <v>0.110425</v>
      </c>
      <c r="E19" s="66">
        <f>'M2'!E19-'M1'!E19</f>
        <v>0</v>
      </c>
      <c r="F19" s="66">
        <f>'M2'!F19-'M1'!F19</f>
        <v>0.67937499999999995</v>
      </c>
      <c r="G19" s="66">
        <f>'M2'!G19-'M1'!G19</f>
        <v>0</v>
      </c>
      <c r="H19" s="66">
        <f>'M2'!H19-'M1'!H19</f>
        <v>0.84803899999999999</v>
      </c>
    </row>
    <row r="20" spans="1:8">
      <c r="A20" s="66" t="s">
        <v>63</v>
      </c>
      <c r="B20" s="66">
        <f>'M2'!B20-'M1'!B20</f>
        <v>1.9330000000000042E-4</v>
      </c>
      <c r="C20" s="66">
        <f>'M2'!C20-'M1'!C20</f>
        <v>3.596160000000001E-3</v>
      </c>
      <c r="D20" s="66">
        <f>'M2'!D20-'M1'!D20</f>
        <v>0.14047999999999999</v>
      </c>
      <c r="E20" s="66">
        <f>'M2'!E20-'M1'!E20</f>
        <v>0</v>
      </c>
      <c r="F20" s="66">
        <f>'M2'!F20-'M1'!F20</f>
        <v>-4.5270000000000032E-4</v>
      </c>
      <c r="G20" s="66">
        <f>'M2'!G20-'M1'!G20</f>
        <v>0</v>
      </c>
      <c r="H20" s="66">
        <f>'M2'!H20-'M1'!H20</f>
        <v>3.2015399999999999E-2</v>
      </c>
    </row>
    <row r="21" spans="1:8">
      <c r="A21" s="66" t="s">
        <v>64</v>
      </c>
      <c r="B21" s="66">
        <f>'M2'!B21-'M1'!B21</f>
        <v>1.3243000000000005E-2</v>
      </c>
      <c r="C21" s="66">
        <f>'M2'!C21-'M1'!C21</f>
        <v>4.3802999999999967E-3</v>
      </c>
      <c r="D21" s="66">
        <f>'M2'!D21-'M1'!D21</f>
        <v>-7.2440999999999978E-2</v>
      </c>
      <c r="E21" s="66">
        <f>'M2'!E21-'M1'!E21</f>
        <v>0</v>
      </c>
      <c r="F21" s="66">
        <f>'M2'!F21-'M1'!F21</f>
        <v>-2.6979999999999713E-4</v>
      </c>
      <c r="G21" s="66">
        <f>'M2'!G21-'M1'!G21</f>
        <v>0</v>
      </c>
      <c r="H21" s="66">
        <f>'M2'!H21-'M1'!H21</f>
        <v>-3.9573999999999998E-2</v>
      </c>
    </row>
    <row r="22" spans="1:8">
      <c r="A22" s="66" t="s">
        <v>65</v>
      </c>
      <c r="B22" s="66">
        <f>'M2'!B22-'M1'!B22</f>
        <v>13.1495</v>
      </c>
      <c r="C22" s="66">
        <f>'M2'!C22-'M1'!C22</f>
        <v>13.52901</v>
      </c>
      <c r="D22" s="66">
        <f>'M2'!D22-'M1'!D22</f>
        <v>0.27370799999999995</v>
      </c>
      <c r="E22" s="66">
        <f>'M2'!E22-'M1'!E22</f>
        <v>0</v>
      </c>
      <c r="F22" s="66">
        <f>'M2'!F22-'M1'!F22</f>
        <v>-2.1804000000000006</v>
      </c>
      <c r="G22" s="66">
        <f>'M2'!G22-'M1'!G22</f>
        <v>0</v>
      </c>
      <c r="H22" s="66">
        <f>'M2'!H22-'M1'!H22</f>
        <v>68.146500000000003</v>
      </c>
    </row>
    <row r="23" spans="1:8">
      <c r="A23" s="66" t="s">
        <v>66</v>
      </c>
      <c r="B23" s="66">
        <f>'M2'!B23-'M1'!B23</f>
        <v>1.5282999999999998</v>
      </c>
      <c r="C23" s="66">
        <f>'M2'!C23-'M1'!C23</f>
        <v>1.4553879999999999</v>
      </c>
      <c r="D23" s="66">
        <f>'M2'!D23-'M1'!D23</f>
        <v>0.1200039</v>
      </c>
      <c r="E23" s="66">
        <f>'M2'!E23-'M1'!E23</f>
        <v>0</v>
      </c>
      <c r="F23" s="66">
        <f>'M2'!F23-'M1'!F23</f>
        <v>0.78096999999999994</v>
      </c>
      <c r="G23" s="66">
        <f>'M2'!G23-'M1'!G23</f>
        <v>0</v>
      </c>
      <c r="H23" s="66">
        <f>'M2'!H23-'M1'!H23</f>
        <v>3.6694999999999993</v>
      </c>
    </row>
    <row r="24" spans="1:8">
      <c r="A24" s="66" t="s">
        <v>67</v>
      </c>
      <c r="B24" s="66">
        <f>'M2'!B24-'M1'!B24</f>
        <v>3.7566999999999982E-3</v>
      </c>
      <c r="C24" s="66">
        <f>'M2'!C24-'M1'!C24</f>
        <v>1.5313899999999997E-3</v>
      </c>
      <c r="D24" s="66">
        <f>'M2'!D24-'M1'!D24</f>
        <v>2.8162999999999994E-2</v>
      </c>
      <c r="E24" s="66">
        <f>'M2'!E24-'M1'!E24</f>
        <v>0</v>
      </c>
      <c r="F24" s="66">
        <f>'M2'!F24-'M1'!F24</f>
        <v>-7.455000000000031E-4</v>
      </c>
      <c r="G24" s="66">
        <f>'M2'!G24-'M1'!G24</f>
        <v>0</v>
      </c>
      <c r="H24" s="66">
        <f>'M2'!H24-'M1'!H24</f>
        <v>1.5830000000000011E-3</v>
      </c>
    </row>
    <row r="25" spans="1:8">
      <c r="A25" s="66" t="s">
        <v>68</v>
      </c>
      <c r="B25" s="66">
        <f>'M2'!B25-'M1'!B25</f>
        <v>5.8715000000000017E-3</v>
      </c>
      <c r="C25" s="66">
        <f>'M2'!C25-'M1'!C25</f>
        <v>3.421200000000001E-3</v>
      </c>
      <c r="D25" s="66">
        <f>'M2'!D25-'M1'!D25</f>
        <v>3.0160999999999993E-2</v>
      </c>
      <c r="E25" s="66">
        <f>'M2'!E25-'M1'!E25</f>
        <v>0</v>
      </c>
      <c r="F25" s="66">
        <f>'M2'!F25-'M1'!F25</f>
        <v>-2.5425000000000031E-3</v>
      </c>
      <c r="G25" s="66">
        <f>'M2'!G25-'M1'!G25</f>
        <v>0</v>
      </c>
      <c r="H25" s="66">
        <f>'M2'!H25-'M1'!H25</f>
        <v>2.5100000000000122E-3</v>
      </c>
    </row>
    <row r="26" spans="1:8">
      <c r="A26" s="66" t="s">
        <v>69</v>
      </c>
      <c r="B26" s="66">
        <f>'M2'!B26-'M1'!B26</f>
        <v>1.3130000000000086E-5</v>
      </c>
      <c r="C26" s="66">
        <f>'M2'!C26-'M1'!C26</f>
        <v>2.2215999999999989E-4</v>
      </c>
      <c r="D26" s="66">
        <f>'M2'!D26-'M1'!D26</f>
        <v>5.5515000000000009E-2</v>
      </c>
      <c r="E26" s="66">
        <f>'M2'!E26-'M1'!E26</f>
        <v>0</v>
      </c>
      <c r="F26" s="66">
        <f>'M2'!F26-'M1'!F26</f>
        <v>-3.6100000000000281E-5</v>
      </c>
      <c r="G26" s="66">
        <f>'M2'!G26-'M1'!G26</f>
        <v>0</v>
      </c>
      <c r="H26" s="66">
        <f>'M2'!H26-'M1'!H26</f>
        <v>3.0231900000000003E-3</v>
      </c>
    </row>
    <row r="27" spans="1:8">
      <c r="A27" s="66" t="s">
        <v>70</v>
      </c>
      <c r="B27" s="66">
        <f>'M2'!B27-'M1'!B27</f>
        <v>1.6411000000000003E-6</v>
      </c>
      <c r="C27" s="66">
        <f>'M2'!C27-'M1'!C27</f>
        <v>2.1310100000000005E-4</v>
      </c>
      <c r="D27" s="66">
        <f>'M2'!D27-'M1'!D27</f>
        <v>-7.9659999999999975</v>
      </c>
      <c r="E27" s="66">
        <f>'M2'!E27-'M1'!E27</f>
        <v>0</v>
      </c>
      <c r="F27" s="66">
        <f>'M2'!F27-'M1'!F27</f>
        <v>-1.6347200000000001E-3</v>
      </c>
      <c r="G27" s="66">
        <f>'M2'!G27-'M1'!G27</f>
        <v>0</v>
      </c>
      <c r="H27" s="66">
        <f>'M2'!H27-'M1'!H27</f>
        <v>3.9850400000000005E-3</v>
      </c>
    </row>
    <row r="28" spans="1:8">
      <c r="A28" s="66" t="s">
        <v>71</v>
      </c>
      <c r="B28" s="66">
        <f>'M2'!B28-'M1'!B28</f>
        <v>4.8990999999999965E-4</v>
      </c>
      <c r="C28" s="66">
        <f>'M2'!C28-'M1'!C28</f>
        <v>-1.0195399999999993E-3</v>
      </c>
      <c r="D28" s="66">
        <f>'M2'!D28-'M1'!D28</f>
        <v>-0.13319899999999996</v>
      </c>
      <c r="E28" s="66">
        <f>'M2'!E28-'M1'!E28</f>
        <v>0</v>
      </c>
      <c r="F28" s="66">
        <f>'M2'!F28-'M1'!F28</f>
        <v>9.1149999999999912E-5</v>
      </c>
      <c r="G28" s="66">
        <f>'M2'!G28-'M1'!G28</f>
        <v>0</v>
      </c>
      <c r="H28" s="66">
        <f>'M2'!H28-'M1'!H28</f>
        <v>-9.1830000000000002E-3</v>
      </c>
    </row>
    <row r="29" spans="1:8">
      <c r="A29" s="66" t="s">
        <v>72</v>
      </c>
      <c r="B29" s="66">
        <f>'M2'!B29-'M1'!B29</f>
        <v>5.6219999999999999</v>
      </c>
      <c r="C29" s="66">
        <f>'M2'!C29-'M1'!C29</f>
        <v>4.484259999999999</v>
      </c>
      <c r="D29" s="66">
        <f>'M2'!D29-'M1'!D29</f>
        <v>6.6370899999999997E-2</v>
      </c>
      <c r="E29" s="66">
        <f>'M2'!E29-'M1'!E29</f>
        <v>0</v>
      </c>
      <c r="F29" s="66">
        <f>'M2'!F29-'M1'!F29</f>
        <v>-0.53569999999999851</v>
      </c>
      <c r="G29" s="66">
        <f>'M2'!G29-'M1'!G29</f>
        <v>0</v>
      </c>
      <c r="H29" s="66">
        <f>'M2'!H29-'M1'!H29</f>
        <v>26.5047</v>
      </c>
    </row>
    <row r="30" spans="1:8">
      <c r="A30" s="66" t="s">
        <v>73</v>
      </c>
      <c r="B30" s="66">
        <f>'M2'!B30-'M1'!B30</f>
        <v>-6.1600000000000321E-2</v>
      </c>
      <c r="C30" s="66">
        <f>'M2'!C30-'M1'!C30</f>
        <v>-1.5887120000000001</v>
      </c>
      <c r="D30" s="66">
        <f>'M2'!D30-'M1'!D30</f>
        <v>-0.11392669999999999</v>
      </c>
      <c r="E30" s="66">
        <f>'M2'!E30-'M1'!E30</f>
        <v>0</v>
      </c>
      <c r="F30" s="66">
        <f>'M2'!F30-'M1'!F30</f>
        <v>4.9647700000000015</v>
      </c>
      <c r="G30" s="66">
        <f>'M2'!G30-'M1'!G30</f>
        <v>0</v>
      </c>
      <c r="H30" s="66">
        <f>'M2'!H30-'M1'!H30</f>
        <v>-0.35629999999999917</v>
      </c>
    </row>
    <row r="31" spans="1:8">
      <c r="A31" s="66" t="s">
        <v>74</v>
      </c>
      <c r="B31" s="66">
        <f>'M2'!B31-'M1'!B31</f>
        <v>73.316000000000003</v>
      </c>
      <c r="C31" s="66">
        <f>'M2'!C31-'M1'!C31</f>
        <v>23.017399999999995</v>
      </c>
      <c r="D31" s="66">
        <f>'M2'!D31-'M1'!D31</f>
        <v>2.0948000000000022E-2</v>
      </c>
      <c r="E31" s="66">
        <f>'M2'!E31-'M1'!E31</f>
        <v>0</v>
      </c>
      <c r="F31" s="66">
        <f>'M2'!F31-'M1'!F31</f>
        <v>95.072000000000003</v>
      </c>
      <c r="G31" s="66">
        <f>'M2'!G31-'M1'!G31</f>
        <v>0</v>
      </c>
      <c r="H31" s="66">
        <f>'M2'!H31-'M1'!H31</f>
        <v>155.49900000000002</v>
      </c>
    </row>
    <row r="32" spans="1:8">
      <c r="A32" s="66" t="s">
        <v>75</v>
      </c>
      <c r="B32" s="66">
        <f>'M2'!B32-'M1'!B32</f>
        <v>-2.5658999999999987E-2</v>
      </c>
      <c r="C32" s="66">
        <f>'M2'!C32-'M1'!C32</f>
        <v>5.4622000000000039E-3</v>
      </c>
      <c r="D32" s="66">
        <f>'M2'!D32-'M1'!D32</f>
        <v>2.2747299999999998E-2</v>
      </c>
      <c r="E32" s="66">
        <f>'M2'!E32-'M1'!E32</f>
        <v>0</v>
      </c>
      <c r="F32" s="66">
        <f>'M2'!F32-'M1'!F32</f>
        <v>-7.5029999999999819E-3</v>
      </c>
      <c r="G32" s="66">
        <f>'M2'!G32-'M1'!G32</f>
        <v>0</v>
      </c>
      <c r="H32" s="66">
        <f>'M2'!H32-'M1'!H32</f>
        <v>1.3066999999999995E-2</v>
      </c>
    </row>
    <row r="33" spans="1:8">
      <c r="A33" s="66" t="s">
        <v>76</v>
      </c>
      <c r="B33" s="66">
        <f>'M2'!B33-'M1'!B33</f>
        <v>4.0079999999999949E-2</v>
      </c>
      <c r="C33" s="66">
        <f>'M2'!C33-'M1'!C33</f>
        <v>3.5023999999999993E-3</v>
      </c>
      <c r="D33" s="66">
        <f>'M2'!D33-'M1'!D33</f>
        <v>2.2592000000000029E-3</v>
      </c>
      <c r="E33" s="66">
        <f>'M2'!E33-'M1'!E33</f>
        <v>0</v>
      </c>
      <c r="F33" s="66">
        <f>'M2'!F33-'M1'!F33</f>
        <v>4.9391999999999991E-2</v>
      </c>
      <c r="G33" s="66">
        <f>'M2'!G33-'M1'!G33</f>
        <v>0</v>
      </c>
      <c r="H33" s="66">
        <f>'M2'!H33-'M1'!H33</f>
        <v>3.6233000000000015E-2</v>
      </c>
    </row>
    <row r="34" spans="1:8">
      <c r="A34" s="66" t="s">
        <v>77</v>
      </c>
      <c r="B34" s="66">
        <f>'M2'!B34-'M1'!B34</f>
        <v>2.8403000000000012E-2</v>
      </c>
      <c r="C34" s="66">
        <f>'M2'!C34-'M1'!C34</f>
        <v>2.5346000000000014E-3</v>
      </c>
      <c r="D34" s="66">
        <f>'M2'!D34-'M1'!D34</f>
        <v>-6.6119999999999929E-3</v>
      </c>
      <c r="E34" s="66">
        <f>'M2'!E34-'M1'!E34</f>
        <v>0</v>
      </c>
      <c r="F34" s="66">
        <f>'M2'!F34-'M1'!F34</f>
        <v>1.0982000000000006E-2</v>
      </c>
      <c r="G34" s="66">
        <f>'M2'!G34-'M1'!G34</f>
        <v>0</v>
      </c>
      <c r="H34" s="66">
        <f>'M2'!H34-'M1'!H34</f>
        <v>1.3095999999999997E-2</v>
      </c>
    </row>
    <row r="35" spans="1:8">
      <c r="A35" s="66" t="s">
        <v>78</v>
      </c>
      <c r="B35" s="66">
        <f>'M2'!B35-'M1'!B35</f>
        <v>3.6684000000000022E-3</v>
      </c>
      <c r="C35" s="66">
        <f>'M2'!C35-'M1'!C35</f>
        <v>6.7837999999999996E-3</v>
      </c>
      <c r="D35" s="66">
        <f>'M2'!D35-'M1'!D35</f>
        <v>8.5359999999999991E-2</v>
      </c>
      <c r="E35" s="66">
        <f>'M2'!E35-'M1'!E35</f>
        <v>0</v>
      </c>
      <c r="F35" s="66">
        <f>'M2'!F35-'M1'!F35</f>
        <v>1.7072999999999984E-3</v>
      </c>
      <c r="G35" s="66">
        <f>'M2'!G35-'M1'!G35</f>
        <v>0</v>
      </c>
      <c r="H35" s="66">
        <f>'M2'!H35-'M1'!H35</f>
        <v>1.6775999999999985E-2</v>
      </c>
    </row>
    <row r="36" spans="1:8">
      <c r="A36" s="66" t="s">
        <v>79</v>
      </c>
      <c r="B36" s="66">
        <f>'M2'!B36-'M1'!B36</f>
        <v>2.1647E-2</v>
      </c>
      <c r="C36" s="66">
        <f>'M2'!C36-'M1'!C36</f>
        <v>6.2032999999999949E-3</v>
      </c>
      <c r="D36" s="66">
        <f>'M2'!D36-'M1'!D36</f>
        <v>-3.5904999999999965E-2</v>
      </c>
      <c r="E36" s="66">
        <f>'M2'!E36-'M1'!E36</f>
        <v>0</v>
      </c>
      <c r="F36" s="66">
        <f>'M2'!F36-'M1'!F36</f>
        <v>2.2579000000000002E-3</v>
      </c>
      <c r="G36" s="66">
        <f>'M2'!G36-'M1'!G36</f>
        <v>0</v>
      </c>
      <c r="H36" s="66">
        <f>'M2'!H36-'M1'!H36</f>
        <v>9.9219000000000002E-2</v>
      </c>
    </row>
    <row r="37" spans="1:8">
      <c r="A37" s="66" t="s">
        <v>80</v>
      </c>
      <c r="B37" s="66">
        <f>'M2'!B37-'M1'!B37</f>
        <v>2.5346000000000007E-2</v>
      </c>
      <c r="C37" s="66">
        <f>'M2'!C37-'M1'!C37</f>
        <v>1.8627999999999999E-2</v>
      </c>
      <c r="D37" s="66">
        <f>'M2'!D37-'M1'!D37</f>
        <v>5.2736000000000005E-2</v>
      </c>
      <c r="E37" s="66">
        <f>'M2'!E37-'M1'!E37</f>
        <v>0</v>
      </c>
      <c r="F37" s="66">
        <f>'M2'!F37-'M1'!F37</f>
        <v>-2.6321000000000001E-3</v>
      </c>
      <c r="G37" s="66">
        <f>'M2'!G37-'M1'!G37</f>
        <v>0</v>
      </c>
      <c r="H37" s="66">
        <f>'M2'!H37-'M1'!H37</f>
        <v>3.9047999999999999E-2</v>
      </c>
    </row>
    <row r="38" spans="1:8">
      <c r="A38" s="66" t="s">
        <v>81</v>
      </c>
      <c r="B38" s="66">
        <f>'M2'!B38-'M1'!B38</f>
        <v>-6.5630199999999999</v>
      </c>
      <c r="C38" s="66">
        <f>'M2'!C38-'M1'!C38</f>
        <v>18.732399999999998</v>
      </c>
      <c r="D38" s="66">
        <f>'M2'!D38-'M1'!D38</f>
        <v>3.8480099999999999</v>
      </c>
      <c r="E38" s="66">
        <f>'M2'!E38-'M1'!E38</f>
        <v>0</v>
      </c>
      <c r="F38" s="66">
        <f>'M2'!F38-'M1'!F38</f>
        <v>-89.143000000000001</v>
      </c>
      <c r="G38" s="66">
        <f>'M2'!G38-'M1'!G38</f>
        <v>0</v>
      </c>
      <c r="H38" s="66">
        <f>'M2'!H38-'M1'!H38</f>
        <v>36.286999999999992</v>
      </c>
    </row>
    <row r="39" spans="1:8">
      <c r="A39" s="66" t="s">
        <v>82</v>
      </c>
      <c r="B39" s="66">
        <f>'M2'!B39-'M1'!B39</f>
        <v>0.27616000000000041</v>
      </c>
      <c r="C39" s="66">
        <f>'M2'!C39-'M1'!C39</f>
        <v>9.7831799999999998</v>
      </c>
      <c r="D39" s="66">
        <f>'M2'!D39-'M1'!D39</f>
        <v>3.8987339999999997</v>
      </c>
      <c r="E39" s="66">
        <f>'M2'!E39-'M1'!E39</f>
        <v>0</v>
      </c>
      <c r="F39" s="66">
        <f>'M2'!F39-'M1'!F39</f>
        <v>-92.568489999999997</v>
      </c>
      <c r="G39" s="66">
        <f>'M2'!G39-'M1'!G39</f>
        <v>0</v>
      </c>
      <c r="H39" s="66">
        <f>'M2'!H39-'M1'!H39</f>
        <v>1.7545699999999993</v>
      </c>
    </row>
    <row r="40" spans="1:8">
      <c r="A40" s="66" t="s">
        <v>83</v>
      </c>
      <c r="B40" s="66">
        <f>'M2'!B40-'M1'!B40</f>
        <v>-0.24765100000000001</v>
      </c>
      <c r="C40" s="66">
        <f>'M2'!C40-'M1'!C40</f>
        <v>-0.201539</v>
      </c>
      <c r="D40" s="66">
        <f>'M2'!D40-'M1'!D40</f>
        <v>-7.5339999999999963E-2</v>
      </c>
      <c r="E40" s="66">
        <f>'M2'!E40-'M1'!E40</f>
        <v>0</v>
      </c>
      <c r="F40" s="66">
        <f>'M2'!F40-'M1'!F40</f>
        <v>-0.1247814</v>
      </c>
      <c r="G40" s="66">
        <f>'M2'!G40-'M1'!G40</f>
        <v>0</v>
      </c>
      <c r="H40" s="66">
        <f>'M2'!H40-'M1'!H40</f>
        <v>-1.017128</v>
      </c>
    </row>
    <row r="41" spans="1:8">
      <c r="A41" s="66" t="s">
        <v>84</v>
      </c>
      <c r="B41" s="66">
        <f>'M2'!B41-'M1'!B41</f>
        <v>-4.79686E-2</v>
      </c>
      <c r="C41" s="66">
        <f>'M2'!C41-'M1'!C41</f>
        <v>3.4314999999999984E-2</v>
      </c>
      <c r="D41" s="66">
        <f>'M2'!D41-'M1'!D41</f>
        <v>2.62337</v>
      </c>
      <c r="E41" s="66">
        <f>'M2'!E41-'M1'!E41</f>
        <v>0</v>
      </c>
      <c r="F41" s="66">
        <f>'M2'!F41-'M1'!F41</f>
        <v>-0.29302300000000003</v>
      </c>
      <c r="G41" s="66">
        <f>'M2'!G41-'M1'!G41</f>
        <v>0</v>
      </c>
      <c r="H41" s="66">
        <f>'M2'!H41-'M1'!H41</f>
        <v>0.14432999999999996</v>
      </c>
    </row>
    <row r="42" spans="1:8">
      <c r="A42" s="66" t="s">
        <v>85</v>
      </c>
      <c r="B42" s="66">
        <f>'M2'!B42-'M1'!B42</f>
        <v>4.10436E-2</v>
      </c>
      <c r="C42" s="66">
        <f>'M2'!C42-'M1'!C42</f>
        <v>2.9206999999999997E-2</v>
      </c>
      <c r="D42" s="66">
        <f>'M2'!D42-'M1'!D42</f>
        <v>-0.24500000000000011</v>
      </c>
      <c r="E42" s="66">
        <f>'M2'!E42-'M1'!E42</f>
        <v>0</v>
      </c>
      <c r="F42" s="66">
        <f>'M2'!F42-'M1'!F42</f>
        <v>-6.6633999999999999E-2</v>
      </c>
      <c r="G42" s="66">
        <f>'M2'!G42-'M1'!G42</f>
        <v>0</v>
      </c>
      <c r="H42" s="66">
        <f>'M2'!H42-'M1'!H42</f>
        <v>4.1232000000000046E-2</v>
      </c>
    </row>
    <row r="43" spans="1:8">
      <c r="A43" s="66" t="s">
        <v>86</v>
      </c>
      <c r="B43" s="66">
        <f>'M2'!B43-'M1'!B43</f>
        <v>-2.7242700000000002E-2</v>
      </c>
      <c r="C43" s="66">
        <f>'M2'!C43-'M1'!C43</f>
        <v>-6.09344E-2</v>
      </c>
      <c r="D43" s="66">
        <f>'M2'!D43-'M1'!D43</f>
        <v>-10.51253</v>
      </c>
      <c r="E43" s="66">
        <f>'M2'!E43-'M1'!E43</f>
        <v>0</v>
      </c>
      <c r="F43" s="66">
        <f>'M2'!F43-'M1'!F43</f>
        <v>-9.0645999999999921E-3</v>
      </c>
      <c r="G43" s="66">
        <f>'M2'!G43-'M1'!G43</f>
        <v>0</v>
      </c>
      <c r="H43" s="66">
        <f>'M2'!H43-'M1'!H43</f>
        <v>-0.2637815</v>
      </c>
    </row>
    <row r="44" spans="1:8">
      <c r="A44" s="66" t="s">
        <v>87</v>
      </c>
      <c r="B44" s="66">
        <f>'M2'!B44-'M1'!B44</f>
        <v>-4.9577304999999994</v>
      </c>
      <c r="C44" s="66">
        <f>'M2'!C44-'M1'!C44</f>
        <v>-1.3435899999999998</v>
      </c>
      <c r="D44" s="66">
        <f>'M2'!D44-'M1'!D44</f>
        <v>-185.77437</v>
      </c>
      <c r="E44" s="66">
        <f>'M2'!E44-'M1'!E44</f>
        <v>0</v>
      </c>
      <c r="F44" s="66">
        <f>'M2'!F44-'M1'!F44</f>
        <v>5.3668999999999993</v>
      </c>
      <c r="G44" s="66">
        <f>'M2'!G44-'M1'!G44</f>
        <v>0</v>
      </c>
      <c r="H44" s="66">
        <f>'M2'!H44-'M1'!H44</f>
        <v>2.1657799999999998</v>
      </c>
    </row>
    <row r="45" spans="1:8">
      <c r="A45" s="66" t="s">
        <v>88</v>
      </c>
      <c r="B45" s="66">
        <f>'M2'!B45-'M1'!B45</f>
        <v>2.7603000000000009</v>
      </c>
      <c r="C45" s="66">
        <f>'M2'!C45-'M1'!C45</f>
        <v>0.10221000000000036</v>
      </c>
      <c r="D45" s="66">
        <f>'M2'!D45-'M1'!D45</f>
        <v>-4.0420000000000039E-3</v>
      </c>
      <c r="E45" s="66">
        <f>'M2'!E45-'M1'!E45</f>
        <v>0</v>
      </c>
      <c r="F45" s="66">
        <f>'M2'!F45-'M1'!F45</f>
        <v>1.8263999999999996</v>
      </c>
      <c r="G45" s="66">
        <f>'M2'!G45-'M1'!G45</f>
        <v>0</v>
      </c>
      <c r="H45" s="66">
        <f>'M2'!H45-'M1'!H45</f>
        <v>1.046599999999998</v>
      </c>
    </row>
    <row r="46" spans="1:8">
      <c r="A46" s="66" t="s">
        <v>89</v>
      </c>
      <c r="B46" s="66">
        <f>'M2'!B46-'M1'!B46</f>
        <v>3.2551000000000023</v>
      </c>
      <c r="C46" s="66">
        <f>'M2'!C46-'M1'!C46</f>
        <v>-5.7952099999999991</v>
      </c>
      <c r="D46" s="66">
        <f>'M2'!D46-'M1'!D46</f>
        <v>-0.20168000000000003</v>
      </c>
      <c r="E46" s="66">
        <f>'M2'!E46-'M1'!E46</f>
        <v>0</v>
      </c>
      <c r="F46" s="66">
        <f>'M2'!F46-'M1'!F46</f>
        <v>21.782219999999999</v>
      </c>
      <c r="G46" s="66">
        <f>'M2'!G46-'M1'!G46</f>
        <v>0</v>
      </c>
      <c r="H46" s="66">
        <f>'M2'!H46-'M1'!H46</f>
        <v>4.1456000000000017</v>
      </c>
    </row>
    <row r="47" spans="1:8">
      <c r="A47" s="66" t="s">
        <v>90</v>
      </c>
      <c r="B47" s="66">
        <f>'M2'!B47-'M1'!B47</f>
        <v>-8.1159000000000037E-2</v>
      </c>
      <c r="C47" s="66">
        <f>'M2'!C47-'M1'!C47</f>
        <v>-2.1519999999999997E-2</v>
      </c>
      <c r="D47" s="66">
        <f>'M2'!D47-'M1'!D47</f>
        <v>-7.2099999999999942E-3</v>
      </c>
      <c r="E47" s="66">
        <f>'M2'!E47-'M1'!E47</f>
        <v>0</v>
      </c>
      <c r="F47" s="66">
        <f>'M2'!F47-'M1'!F47</f>
        <v>1.3950000000000351E-3</v>
      </c>
      <c r="G47" s="66">
        <f>'M2'!G47-'M1'!G47</f>
        <v>0</v>
      </c>
      <c r="H47" s="66">
        <f>'M2'!H47-'M1'!H47</f>
        <v>-7.7211999999999947E-2</v>
      </c>
    </row>
    <row r="48" spans="1:8">
      <c r="A48" s="66" t="s">
        <v>91</v>
      </c>
      <c r="B48" s="66">
        <f>'M2'!B48-'M1'!B48</f>
        <v>-0.18221100000000001</v>
      </c>
      <c r="C48" s="66">
        <f>'M2'!C48-'M1'!C48</f>
        <v>2.9552099999999998E-2</v>
      </c>
      <c r="D48" s="66">
        <f>'M2'!D48-'M1'!D48</f>
        <v>9.1738999999999987E-2</v>
      </c>
      <c r="E48" s="66">
        <f>'M2'!E48-'M1'!E48</f>
        <v>0</v>
      </c>
      <c r="F48" s="66">
        <f>'M2'!F48-'M1'!F48</f>
        <v>-0.15093000000000001</v>
      </c>
      <c r="G48" s="66">
        <f>'M2'!G48-'M1'!G48</f>
        <v>0</v>
      </c>
      <c r="H48" s="66">
        <f>'M2'!H48-'M1'!H48</f>
        <v>-7.8933000000000031E-2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39.346299999999999</v>
      </c>
      <c r="C5" s="66">
        <v>9.7115399999999994</v>
      </c>
      <c r="D5" s="66">
        <v>24.682200000000002</v>
      </c>
      <c r="E5" s="66">
        <v>20</v>
      </c>
      <c r="F5" s="66">
        <v>12.4809</v>
      </c>
      <c r="G5" s="66">
        <v>50</v>
      </c>
      <c r="H5" s="66">
        <v>44.752499999999998</v>
      </c>
    </row>
    <row r="6" spans="1:8">
      <c r="A6" s="66" t="s">
        <v>303</v>
      </c>
      <c r="B6" s="66">
        <v>30.209700000000002</v>
      </c>
      <c r="C6" s="66">
        <v>0.52435699999999996</v>
      </c>
      <c r="D6" s="66">
        <v>1.73573</v>
      </c>
      <c r="E6" s="66">
        <v>20</v>
      </c>
      <c r="F6" s="66">
        <v>28.7439</v>
      </c>
      <c r="G6" s="66">
        <v>40</v>
      </c>
      <c r="H6" s="66">
        <v>31.564599999999999</v>
      </c>
    </row>
    <row r="7" spans="1:8">
      <c r="A7" s="66" t="s">
        <v>304</v>
      </c>
      <c r="B7" s="66">
        <v>35.792900000000003</v>
      </c>
      <c r="C7" s="66">
        <v>2.9241199999999998</v>
      </c>
      <c r="D7" s="66">
        <v>8.1695700000000002</v>
      </c>
      <c r="E7" s="66">
        <v>15</v>
      </c>
      <c r="F7" s="66">
        <v>26.2561</v>
      </c>
      <c r="G7" s="66">
        <v>40</v>
      </c>
      <c r="H7" s="66">
        <v>41.744</v>
      </c>
    </row>
    <row r="8" spans="1:8">
      <c r="A8" s="66" t="s">
        <v>305</v>
      </c>
      <c r="B8" s="66">
        <v>34.887300000000003</v>
      </c>
      <c r="C8" s="66">
        <v>4.0064200000000003</v>
      </c>
      <c r="D8" s="66">
        <v>11.4839</v>
      </c>
      <c r="E8" s="66">
        <v>20</v>
      </c>
      <c r="F8" s="66">
        <v>22.9422</v>
      </c>
      <c r="G8" s="66">
        <v>50</v>
      </c>
      <c r="H8" s="66">
        <v>37.651899999999998</v>
      </c>
    </row>
    <row r="9" spans="1:8">
      <c r="A9" s="66" t="s">
        <v>306</v>
      </c>
      <c r="B9" s="66">
        <v>62.768500000000003</v>
      </c>
      <c r="C9" s="66">
        <v>6.3825500000000002</v>
      </c>
      <c r="D9" s="66">
        <v>10.1684</v>
      </c>
      <c r="E9" s="66">
        <v>50</v>
      </c>
      <c r="F9" s="66">
        <v>53.014800000000001</v>
      </c>
      <c r="G9" s="66">
        <v>100</v>
      </c>
      <c r="H9" s="66">
        <v>79.349699999999999</v>
      </c>
    </row>
    <row r="10" spans="1:8">
      <c r="A10" s="66" t="s">
        <v>307</v>
      </c>
      <c r="B10" s="66">
        <v>74.764399999999995</v>
      </c>
      <c r="C10" s="66">
        <v>6.7950799999999996</v>
      </c>
      <c r="D10" s="66">
        <v>9.0886600000000008</v>
      </c>
      <c r="E10" s="66">
        <v>40</v>
      </c>
      <c r="F10" s="66">
        <v>47.829300000000003</v>
      </c>
      <c r="G10" s="66">
        <v>100</v>
      </c>
      <c r="H10" s="66">
        <v>78.299700000000001</v>
      </c>
    </row>
    <row r="11" spans="1:8">
      <c r="A11" s="66" t="s">
        <v>308</v>
      </c>
      <c r="B11" s="66">
        <v>14.9315</v>
      </c>
      <c r="C11" s="66">
        <v>3.6753499999999999</v>
      </c>
      <c r="D11" s="66">
        <v>24.614699999999999</v>
      </c>
      <c r="E11" s="66">
        <v>10</v>
      </c>
      <c r="F11" s="66">
        <v>4.3945499999999997</v>
      </c>
      <c r="G11" s="66">
        <v>50</v>
      </c>
      <c r="H11" s="66">
        <v>16.886800000000001</v>
      </c>
    </row>
    <row r="12" spans="1:8">
      <c r="A12" s="66" t="s">
        <v>309</v>
      </c>
      <c r="B12" s="66">
        <v>68.764499999999998</v>
      </c>
      <c r="C12" s="66">
        <v>1.9984900000000001</v>
      </c>
      <c r="D12" s="66">
        <v>2.9062899999999998</v>
      </c>
      <c r="E12" s="66">
        <v>50</v>
      </c>
      <c r="F12" s="66">
        <v>62.961100000000002</v>
      </c>
      <c r="G12" s="66">
        <v>100</v>
      </c>
      <c r="H12" s="66">
        <v>71.47</v>
      </c>
    </row>
    <row r="13" spans="1:8">
      <c r="A13" s="66" t="s">
        <v>310</v>
      </c>
      <c r="B13" s="66">
        <v>14.130699999999999</v>
      </c>
      <c r="C13" s="66">
        <v>1.8192600000000001</v>
      </c>
      <c r="D13" s="66">
        <v>12.874499999999999</v>
      </c>
      <c r="E13" s="66">
        <v>10</v>
      </c>
      <c r="F13" s="66">
        <v>11.4381</v>
      </c>
      <c r="G13" s="66">
        <v>25</v>
      </c>
      <c r="H13" s="66">
        <v>19.738399999999999</v>
      </c>
    </row>
    <row r="14" spans="1:8">
      <c r="A14" s="66" t="s">
        <v>311</v>
      </c>
      <c r="B14" s="66">
        <v>18.192599999999999</v>
      </c>
      <c r="C14" s="66">
        <v>5.5250000000000004</v>
      </c>
      <c r="D14" s="66">
        <v>30.369499999999999</v>
      </c>
      <c r="E14" s="66">
        <v>10</v>
      </c>
      <c r="F14" s="66">
        <v>1.48553</v>
      </c>
      <c r="G14" s="66">
        <v>50</v>
      </c>
      <c r="H14" s="66">
        <v>18.9436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0.28944199999999998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0.63876500000000003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2.4921200000000001E-2</v>
      </c>
      <c r="C20" s="66">
        <v>8.7733399999999993E-3</v>
      </c>
      <c r="D20" s="66">
        <v>0.35204400000000002</v>
      </c>
      <c r="E20" s="66">
        <v>0</v>
      </c>
      <c r="F20" s="66">
        <v>1.9929200000000001E-2</v>
      </c>
      <c r="G20" s="66">
        <v>0</v>
      </c>
      <c r="H20" s="66">
        <v>8.9415599999999998E-2</v>
      </c>
    </row>
    <row r="21" spans="1:8">
      <c r="A21" s="66" t="s">
        <v>318</v>
      </c>
      <c r="B21" s="66">
        <v>5.5699600000000002E-2</v>
      </c>
      <c r="C21" s="66">
        <v>3.9429400000000003E-2</v>
      </c>
      <c r="D21" s="66">
        <v>0.70789400000000002</v>
      </c>
      <c r="E21" s="66">
        <v>0</v>
      </c>
      <c r="F21" s="66">
        <v>2.2473799999999999E-2</v>
      </c>
      <c r="G21" s="66">
        <v>0</v>
      </c>
      <c r="H21" s="66">
        <v>0.226496</v>
      </c>
    </row>
    <row r="22" spans="1:8">
      <c r="A22" s="66" t="s">
        <v>319</v>
      </c>
      <c r="B22" s="66">
        <v>25.978100000000001</v>
      </c>
      <c r="C22" s="66">
        <v>5.5701900000000002</v>
      </c>
      <c r="D22" s="66">
        <v>0.214419</v>
      </c>
      <c r="E22" s="66">
        <v>0</v>
      </c>
      <c r="F22" s="66">
        <v>15.7333</v>
      </c>
      <c r="G22" s="66">
        <v>0</v>
      </c>
      <c r="H22" s="66">
        <v>44.002499999999998</v>
      </c>
    </row>
    <row r="23" spans="1:8">
      <c r="A23" s="66" t="s">
        <v>320</v>
      </c>
      <c r="B23" s="66">
        <v>10.065300000000001</v>
      </c>
      <c r="C23" s="66">
        <v>0.42224200000000001</v>
      </c>
      <c r="D23" s="66">
        <v>4.1950099999999997E-2</v>
      </c>
      <c r="E23" s="66">
        <v>0</v>
      </c>
      <c r="F23" s="66">
        <v>8.9187600000000007</v>
      </c>
      <c r="G23" s="66">
        <v>0</v>
      </c>
      <c r="H23" s="66">
        <v>11.371</v>
      </c>
    </row>
    <row r="24" spans="1:8">
      <c r="A24" s="66" t="s">
        <v>321</v>
      </c>
      <c r="B24" s="66">
        <v>2.5440500000000001E-2</v>
      </c>
      <c r="C24" s="66">
        <v>4.8021299999999999E-3</v>
      </c>
      <c r="D24" s="66">
        <v>0.18875900000000001</v>
      </c>
      <c r="E24" s="66">
        <v>0</v>
      </c>
      <c r="F24" s="66">
        <v>2.2779400000000002E-2</v>
      </c>
      <c r="G24" s="66">
        <v>0</v>
      </c>
      <c r="H24" s="66">
        <v>4.4738899999999998E-2</v>
      </c>
    </row>
    <row r="25" spans="1:8">
      <c r="A25" s="66" t="s">
        <v>322</v>
      </c>
      <c r="B25" s="66">
        <v>7.0558800000000005E-2</v>
      </c>
      <c r="C25" s="66">
        <v>1.34117E-2</v>
      </c>
      <c r="D25" s="66">
        <v>0.190078</v>
      </c>
      <c r="E25" s="66">
        <v>0</v>
      </c>
      <c r="F25" s="66">
        <v>3.9700100000000002E-2</v>
      </c>
      <c r="G25" s="66">
        <v>0</v>
      </c>
      <c r="H25" s="66">
        <v>0.126082</v>
      </c>
    </row>
    <row r="26" spans="1:8">
      <c r="A26" s="66" t="s">
        <v>323</v>
      </c>
      <c r="B26" s="66">
        <v>3.9423599999999998E-3</v>
      </c>
      <c r="C26" s="66">
        <v>7.7282200000000005E-4</v>
      </c>
      <c r="D26" s="66">
        <v>0.19603000000000001</v>
      </c>
      <c r="E26" s="66">
        <v>0</v>
      </c>
      <c r="F26" s="66">
        <v>3.1939300000000002E-3</v>
      </c>
      <c r="G26" s="66">
        <v>0</v>
      </c>
      <c r="H26" s="66">
        <v>8.28191E-3</v>
      </c>
    </row>
    <row r="27" spans="1:8">
      <c r="A27" s="66" t="s">
        <v>324</v>
      </c>
      <c r="B27" s="196">
        <v>-3.2825399999999999E-5</v>
      </c>
      <c r="C27" s="66">
        <v>7.0637499999999997E-4</v>
      </c>
      <c r="D27" s="66">
        <v>-21.519200000000001</v>
      </c>
      <c r="E27" s="66">
        <v>0</v>
      </c>
      <c r="F27" s="66">
        <v>-3.1545399999999999E-3</v>
      </c>
      <c r="G27" s="66">
        <v>0</v>
      </c>
      <c r="H27" s="66">
        <v>4.0014400000000002E-3</v>
      </c>
    </row>
    <row r="28" spans="1:8">
      <c r="A28" s="66" t="s">
        <v>325</v>
      </c>
      <c r="B28" s="66">
        <v>9.4547499999999996E-3</v>
      </c>
      <c r="C28" s="66">
        <v>5.8877499999999998E-3</v>
      </c>
      <c r="D28" s="66">
        <v>0.62272899999999998</v>
      </c>
      <c r="E28" s="66">
        <v>0</v>
      </c>
      <c r="F28" s="66">
        <v>3.5123699999999999E-3</v>
      </c>
      <c r="G28" s="66">
        <v>0</v>
      </c>
      <c r="H28" s="66">
        <v>3.9254600000000001E-2</v>
      </c>
    </row>
    <row r="29" spans="1:8">
      <c r="A29" s="66" t="s">
        <v>326</v>
      </c>
      <c r="B29" s="66">
        <v>53.999400000000001</v>
      </c>
      <c r="C29" s="66">
        <v>5.0628200000000003</v>
      </c>
      <c r="D29" s="66">
        <v>9.3757099999999996E-2</v>
      </c>
      <c r="E29" s="66">
        <v>0</v>
      </c>
      <c r="F29" s="66">
        <v>42.639099999999999</v>
      </c>
      <c r="G29" s="66">
        <v>0</v>
      </c>
      <c r="H29" s="66">
        <v>68.421999999999997</v>
      </c>
    </row>
    <row r="30" spans="1:8">
      <c r="A30" s="66" t="s">
        <v>327</v>
      </c>
      <c r="B30" s="66">
        <v>13.9352</v>
      </c>
      <c r="C30" s="66">
        <v>1.8397300000000001</v>
      </c>
      <c r="D30" s="66">
        <v>0.13202</v>
      </c>
      <c r="E30" s="66">
        <v>0</v>
      </c>
      <c r="F30" s="66">
        <v>8.4617299999999993</v>
      </c>
      <c r="G30" s="66">
        <v>0</v>
      </c>
      <c r="H30" s="66">
        <v>14.8752</v>
      </c>
    </row>
    <row r="31" spans="1:8">
      <c r="A31" s="66" t="s">
        <v>328</v>
      </c>
      <c r="B31" s="66">
        <v>181.821</v>
      </c>
      <c r="C31" s="66">
        <v>43.828800000000001</v>
      </c>
      <c r="D31" s="66">
        <v>0.24105399999999999</v>
      </c>
      <c r="E31" s="66">
        <v>0</v>
      </c>
      <c r="F31" s="66">
        <v>82.53</v>
      </c>
      <c r="G31" s="66">
        <v>0</v>
      </c>
      <c r="H31" s="66">
        <v>225.12799999999999</v>
      </c>
    </row>
    <row r="32" spans="1:8">
      <c r="A32" s="66" t="s">
        <v>329</v>
      </c>
      <c r="B32" s="66">
        <v>0.357929</v>
      </c>
      <c r="C32" s="66">
        <v>2.9241199999999998E-2</v>
      </c>
      <c r="D32" s="66">
        <v>8.1695699999999996E-2</v>
      </c>
      <c r="E32" s="66">
        <v>0.15</v>
      </c>
      <c r="F32" s="66">
        <v>0.26256099999999999</v>
      </c>
      <c r="G32" s="66">
        <v>0.4</v>
      </c>
      <c r="H32" s="66">
        <v>0.41743999999999998</v>
      </c>
    </row>
    <row r="33" spans="1:8">
      <c r="A33" s="66" t="s">
        <v>330</v>
      </c>
      <c r="B33" s="66">
        <v>0.36922300000000002</v>
      </c>
      <c r="C33" s="66">
        <v>2.3746400000000001E-2</v>
      </c>
      <c r="D33" s="66">
        <v>6.4314499999999997E-2</v>
      </c>
      <c r="E33" s="66">
        <v>0</v>
      </c>
      <c r="F33" s="66">
        <v>0.30727500000000002</v>
      </c>
      <c r="G33" s="66">
        <v>0</v>
      </c>
      <c r="H33" s="66">
        <v>0.42647299999999999</v>
      </c>
    </row>
    <row r="34" spans="1:8">
      <c r="A34" s="66" t="s">
        <v>331</v>
      </c>
      <c r="B34" s="66">
        <v>0.14130699999999999</v>
      </c>
      <c r="C34" s="66">
        <v>1.81926E-2</v>
      </c>
      <c r="D34" s="66">
        <v>0.128745</v>
      </c>
      <c r="E34" s="66">
        <v>0.1</v>
      </c>
      <c r="F34" s="66">
        <v>0.114381</v>
      </c>
      <c r="G34" s="66">
        <v>0.25</v>
      </c>
      <c r="H34" s="66">
        <v>0.197384</v>
      </c>
    </row>
    <row r="35" spans="1:8">
      <c r="A35" s="66" t="s">
        <v>332</v>
      </c>
      <c r="B35" s="66">
        <v>6.5846299999999996E-2</v>
      </c>
      <c r="C35" s="66">
        <v>1.5257400000000001E-2</v>
      </c>
      <c r="D35" s="66">
        <v>0.231713</v>
      </c>
      <c r="E35" s="66">
        <v>0</v>
      </c>
      <c r="F35" s="66">
        <v>2.9899800000000001E-2</v>
      </c>
      <c r="G35" s="66">
        <v>0</v>
      </c>
      <c r="H35" s="66">
        <v>0.109739</v>
      </c>
    </row>
    <row r="36" spans="1:8">
      <c r="A36" s="66" t="s">
        <v>333</v>
      </c>
      <c r="B36" s="66">
        <v>0.13058400000000001</v>
      </c>
      <c r="C36" s="66">
        <v>7.0392800000000005E-2</v>
      </c>
      <c r="D36" s="66">
        <v>0.53906299999999996</v>
      </c>
      <c r="E36" s="66">
        <v>0</v>
      </c>
      <c r="F36" s="66">
        <v>3.8144499999999998E-2</v>
      </c>
      <c r="G36" s="66">
        <v>0</v>
      </c>
      <c r="H36" s="66">
        <v>0.37137500000000001</v>
      </c>
    </row>
    <row r="37" spans="1:8">
      <c r="A37" s="66" t="s">
        <v>334</v>
      </c>
      <c r="B37" s="66">
        <v>0.181926</v>
      </c>
      <c r="C37" s="66">
        <v>5.525E-2</v>
      </c>
      <c r="D37" s="66">
        <v>0.30369499999999999</v>
      </c>
      <c r="E37" s="66">
        <v>0.1</v>
      </c>
      <c r="F37" s="66">
        <v>1.48553E-2</v>
      </c>
      <c r="G37" s="66">
        <v>0.5</v>
      </c>
      <c r="H37" s="66">
        <v>0.18943599999999999</v>
      </c>
    </row>
    <row r="38" spans="1:8">
      <c r="A38" s="66" t="s">
        <v>335</v>
      </c>
      <c r="B38" s="66">
        <v>15.69</v>
      </c>
      <c r="C38" s="66">
        <v>39.178899999999999</v>
      </c>
      <c r="D38" s="66">
        <v>2.4970599999999998</v>
      </c>
      <c r="E38" s="66">
        <v>0</v>
      </c>
      <c r="F38" s="66">
        <v>-170.249</v>
      </c>
      <c r="G38" s="66">
        <v>0</v>
      </c>
      <c r="H38" s="66">
        <v>108.408</v>
      </c>
    </row>
    <row r="39" spans="1:8">
      <c r="A39" s="66" t="s">
        <v>336</v>
      </c>
      <c r="B39" s="66">
        <v>2.1680799999999998</v>
      </c>
      <c r="C39" s="66">
        <v>1.9919199999999999</v>
      </c>
      <c r="D39" s="66">
        <v>0.91874599999999995</v>
      </c>
      <c r="E39" s="66">
        <v>0</v>
      </c>
      <c r="F39" s="66">
        <v>-4.0317100000000003</v>
      </c>
      <c r="G39" s="66">
        <v>0</v>
      </c>
      <c r="H39" s="66">
        <v>6.3000600000000002</v>
      </c>
    </row>
    <row r="40" spans="1:8">
      <c r="A40" s="66" t="s">
        <v>337</v>
      </c>
      <c r="B40" s="66">
        <v>0.6512</v>
      </c>
      <c r="C40" s="66">
        <v>0.45000099999999998</v>
      </c>
      <c r="D40" s="66">
        <v>0.69103300000000001</v>
      </c>
      <c r="E40" s="66">
        <v>0</v>
      </c>
      <c r="F40" s="66">
        <v>-7.7654600000000004E-2</v>
      </c>
      <c r="G40" s="66">
        <v>0</v>
      </c>
      <c r="H40" s="66">
        <v>1.7907599999999999</v>
      </c>
    </row>
    <row r="41" spans="1:8">
      <c r="A41" s="66" t="s">
        <v>338</v>
      </c>
      <c r="B41" s="66">
        <v>0.111111</v>
      </c>
      <c r="C41" s="66">
        <v>0.304205</v>
      </c>
      <c r="D41" s="66">
        <v>2.7378399999999998</v>
      </c>
      <c r="E41" s="66">
        <v>0</v>
      </c>
      <c r="F41" s="66">
        <v>-0.70697699999999997</v>
      </c>
      <c r="G41" s="66">
        <v>0</v>
      </c>
      <c r="H41" s="66">
        <v>0.85567000000000004</v>
      </c>
    </row>
    <row r="42" spans="1:8">
      <c r="A42" s="66" t="s">
        <v>339</v>
      </c>
      <c r="B42" s="66">
        <v>7.40754E-2</v>
      </c>
      <c r="C42" s="66">
        <v>0.103615</v>
      </c>
      <c r="D42" s="66">
        <v>1.3987700000000001</v>
      </c>
      <c r="E42" s="66">
        <v>0</v>
      </c>
      <c r="F42" s="66">
        <v>-0.18557100000000001</v>
      </c>
      <c r="G42" s="66">
        <v>0</v>
      </c>
      <c r="H42" s="66">
        <v>0.31555899999999998</v>
      </c>
    </row>
    <row r="43" spans="1:8">
      <c r="A43" s="66" t="s">
        <v>340</v>
      </c>
      <c r="B43" s="66">
        <v>1.19609E-2</v>
      </c>
      <c r="C43" s="66">
        <v>9.7286600000000001E-2</v>
      </c>
      <c r="D43" s="66">
        <v>8.1337399999999995</v>
      </c>
      <c r="E43" s="66">
        <v>0</v>
      </c>
      <c r="F43" s="66">
        <v>-9.5142400000000002E-2</v>
      </c>
      <c r="G43" s="66">
        <v>0</v>
      </c>
      <c r="H43" s="66">
        <v>0.30560100000000001</v>
      </c>
    </row>
    <row r="44" spans="1:8">
      <c r="A44" s="66" t="s">
        <v>341</v>
      </c>
      <c r="B44" s="66">
        <v>3.58505E-2</v>
      </c>
      <c r="C44" s="66">
        <v>6.6216799999999996</v>
      </c>
      <c r="D44" s="66">
        <v>184.702</v>
      </c>
      <c r="E44" s="66">
        <v>0</v>
      </c>
      <c r="F44" s="66">
        <v>-19.165099999999999</v>
      </c>
      <c r="G44" s="66">
        <v>0</v>
      </c>
      <c r="H44" s="66">
        <v>7.0933799999999998</v>
      </c>
    </row>
    <row r="45" spans="1:8">
      <c r="A45" s="66" t="s">
        <v>342</v>
      </c>
      <c r="B45" s="66">
        <v>46.959800000000001</v>
      </c>
      <c r="C45" s="66">
        <v>5.1577500000000001</v>
      </c>
      <c r="D45" s="66">
        <v>0.109833</v>
      </c>
      <c r="E45" s="66">
        <v>0</v>
      </c>
      <c r="F45" s="66">
        <v>37.728299999999997</v>
      </c>
      <c r="G45" s="66">
        <v>0</v>
      </c>
      <c r="H45" s="66">
        <v>62.5182</v>
      </c>
    </row>
    <row r="46" spans="1:8">
      <c r="A46" s="66" t="s">
        <v>343</v>
      </c>
      <c r="B46" s="66">
        <v>29.3383</v>
      </c>
      <c r="C46" s="66">
        <v>7.0140399999999996</v>
      </c>
      <c r="D46" s="66">
        <v>0.23907500000000001</v>
      </c>
      <c r="E46" s="66">
        <v>0</v>
      </c>
      <c r="F46" s="66">
        <v>9.5899800000000006</v>
      </c>
      <c r="G46" s="66">
        <v>0</v>
      </c>
      <c r="H46" s="66">
        <v>31.968299999999999</v>
      </c>
    </row>
    <row r="47" spans="1:8">
      <c r="A47" s="66" t="s">
        <v>344</v>
      </c>
      <c r="B47" s="66">
        <v>0.54517400000000005</v>
      </c>
      <c r="C47" s="66">
        <v>0.122082</v>
      </c>
      <c r="D47" s="66">
        <v>0.22393199999999999</v>
      </c>
      <c r="E47" s="66">
        <v>0</v>
      </c>
      <c r="F47" s="66">
        <v>0.26593499999999998</v>
      </c>
      <c r="G47" s="66">
        <v>0</v>
      </c>
      <c r="H47" s="66">
        <v>0.88088299999999997</v>
      </c>
    </row>
    <row r="48" spans="1:8">
      <c r="A48" s="66" t="s">
        <v>345</v>
      </c>
      <c r="B48" s="66">
        <v>0.70609100000000002</v>
      </c>
      <c r="C48" s="66">
        <v>7.1722900000000006E-2</v>
      </c>
      <c r="D48" s="66">
        <v>0.101577</v>
      </c>
      <c r="E48" s="66">
        <v>0</v>
      </c>
      <c r="F48" s="66">
        <v>0.54252400000000001</v>
      </c>
      <c r="G48" s="66">
        <v>0</v>
      </c>
      <c r="H48" s="66">
        <v>0.79820100000000005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44.31</v>
      </c>
      <c r="C5" s="66">
        <v>3.4813399999999999</v>
      </c>
      <c r="D5" s="66">
        <v>7.8567900000000002</v>
      </c>
      <c r="E5" s="66">
        <v>20</v>
      </c>
      <c r="F5" s="66">
        <v>31.613700000000001</v>
      </c>
      <c r="G5" s="66">
        <v>50</v>
      </c>
      <c r="H5" s="66">
        <v>62.7027</v>
      </c>
    </row>
    <row r="6" spans="1:8">
      <c r="A6" s="66" t="s">
        <v>303</v>
      </c>
      <c r="B6" s="66">
        <v>29.953800000000001</v>
      </c>
      <c r="C6" s="66">
        <v>0.93155699999999997</v>
      </c>
      <c r="D6" s="66">
        <v>3.1099800000000002</v>
      </c>
      <c r="E6" s="66">
        <v>20</v>
      </c>
      <c r="F6" s="66">
        <v>28.292100000000001</v>
      </c>
      <c r="G6" s="66">
        <v>40</v>
      </c>
      <c r="H6" s="66">
        <v>31.7577</v>
      </c>
    </row>
    <row r="7" spans="1:8">
      <c r="A7" s="66" t="s">
        <v>304</v>
      </c>
      <c r="B7" s="66">
        <v>33.226999999999997</v>
      </c>
      <c r="C7" s="66">
        <v>3.4703400000000002</v>
      </c>
      <c r="D7" s="66">
        <v>10.4443</v>
      </c>
      <c r="E7" s="66">
        <v>15</v>
      </c>
      <c r="F7" s="66">
        <v>25.505800000000001</v>
      </c>
      <c r="G7" s="66">
        <v>40</v>
      </c>
      <c r="H7" s="66">
        <v>43.050699999999999</v>
      </c>
    </row>
    <row r="8" spans="1:8">
      <c r="A8" s="66" t="s">
        <v>305</v>
      </c>
      <c r="B8" s="66">
        <v>35.687100000000001</v>
      </c>
      <c r="C8" s="66">
        <v>1.79599</v>
      </c>
      <c r="D8" s="66">
        <v>5.03261</v>
      </c>
      <c r="E8" s="66">
        <v>20</v>
      </c>
      <c r="F8" s="66">
        <v>33.325499999999998</v>
      </c>
      <c r="G8" s="66">
        <v>50</v>
      </c>
      <c r="H8" s="66">
        <v>40.765000000000001</v>
      </c>
    </row>
    <row r="9" spans="1:8">
      <c r="A9" s="66" t="s">
        <v>306</v>
      </c>
      <c r="B9" s="66">
        <v>55.514499999999998</v>
      </c>
      <c r="C9" s="66">
        <v>4.1458199999999996</v>
      </c>
      <c r="D9" s="66">
        <v>7.468</v>
      </c>
      <c r="E9" s="66">
        <v>50</v>
      </c>
      <c r="F9" s="66">
        <v>44.236600000000003</v>
      </c>
      <c r="G9" s="66">
        <v>100</v>
      </c>
      <c r="H9" s="66">
        <v>64.606899999999996</v>
      </c>
    </row>
    <row r="10" spans="1:8">
      <c r="A10" s="66" t="s">
        <v>307</v>
      </c>
      <c r="B10" s="66">
        <v>74.682900000000004</v>
      </c>
      <c r="C10" s="66">
        <v>2.5933299999999999</v>
      </c>
      <c r="D10" s="66">
        <v>3.4724499999999998</v>
      </c>
      <c r="E10" s="66">
        <v>40</v>
      </c>
      <c r="F10" s="66">
        <v>68.259299999999996</v>
      </c>
      <c r="G10" s="66">
        <v>100</v>
      </c>
      <c r="H10" s="66">
        <v>78.329700000000003</v>
      </c>
    </row>
    <row r="11" spans="1:8">
      <c r="A11" s="66" t="s">
        <v>308</v>
      </c>
      <c r="B11" s="66">
        <v>13.696400000000001</v>
      </c>
      <c r="C11" s="66">
        <v>0.97809999999999997</v>
      </c>
      <c r="D11" s="66">
        <v>7.1413200000000003</v>
      </c>
      <c r="E11" s="66">
        <v>10</v>
      </c>
      <c r="F11" s="66">
        <v>11.966699999999999</v>
      </c>
      <c r="G11" s="66">
        <v>50</v>
      </c>
      <c r="H11" s="66">
        <v>15.5204</v>
      </c>
    </row>
    <row r="12" spans="1:8">
      <c r="A12" s="66" t="s">
        <v>309</v>
      </c>
      <c r="B12" s="66">
        <v>65.438199999999995</v>
      </c>
      <c r="C12" s="66">
        <v>2.67577</v>
      </c>
      <c r="D12" s="66">
        <v>4.0889899999999999</v>
      </c>
      <c r="E12" s="66">
        <v>50</v>
      </c>
      <c r="F12" s="66">
        <v>57.156799999999997</v>
      </c>
      <c r="G12" s="66">
        <v>100</v>
      </c>
      <c r="H12" s="66">
        <v>69.350899999999996</v>
      </c>
    </row>
    <row r="13" spans="1:8">
      <c r="A13" s="66" t="s">
        <v>310</v>
      </c>
      <c r="B13" s="66">
        <v>16.971</v>
      </c>
      <c r="C13" s="66">
        <v>2.0727199999999999</v>
      </c>
      <c r="D13" s="66">
        <v>12.2133</v>
      </c>
      <c r="E13" s="66">
        <v>10</v>
      </c>
      <c r="F13" s="66">
        <v>12.536300000000001</v>
      </c>
      <c r="G13" s="66">
        <v>25</v>
      </c>
      <c r="H13" s="66">
        <v>21.047999999999998</v>
      </c>
    </row>
    <row r="14" spans="1:8">
      <c r="A14" s="66" t="s">
        <v>311</v>
      </c>
      <c r="B14" s="66">
        <v>20.7272</v>
      </c>
      <c r="C14" s="66">
        <v>7.3878000000000004</v>
      </c>
      <c r="D14" s="66">
        <v>35.643099999999997</v>
      </c>
      <c r="E14" s="66">
        <v>10</v>
      </c>
      <c r="F14" s="66">
        <v>1.2223200000000001</v>
      </c>
      <c r="G14" s="66">
        <v>50</v>
      </c>
      <c r="H14" s="66">
        <v>22.848400000000002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0.51711200000000002</v>
      </c>
      <c r="C18" s="66">
        <v>2.1850600000000001E-2</v>
      </c>
      <c r="D18" s="66">
        <v>4.2255000000000001E-2</v>
      </c>
      <c r="E18" s="66">
        <v>0</v>
      </c>
      <c r="F18" s="66">
        <v>0.49526199999999998</v>
      </c>
      <c r="G18" s="66">
        <v>0</v>
      </c>
      <c r="H18" s="66">
        <v>0.53896299999999997</v>
      </c>
    </row>
    <row r="19" spans="1:8">
      <c r="A19" s="66" t="s">
        <v>316</v>
      </c>
      <c r="B19" s="66">
        <v>0.76370700000000002</v>
      </c>
      <c r="C19" s="66">
        <v>8.4332000000000004E-2</v>
      </c>
      <c r="D19" s="66">
        <v>0.110425</v>
      </c>
      <c r="E19" s="66">
        <v>0</v>
      </c>
      <c r="F19" s="66">
        <v>0.67937499999999995</v>
      </c>
      <c r="G19" s="66">
        <v>0</v>
      </c>
      <c r="H19" s="66">
        <v>0.84803899999999999</v>
      </c>
    </row>
    <row r="20" spans="1:8">
      <c r="A20" s="66" t="s">
        <v>317</v>
      </c>
      <c r="B20" s="66">
        <v>2.5114500000000001E-2</v>
      </c>
      <c r="C20" s="66">
        <v>1.23695E-2</v>
      </c>
      <c r="D20" s="66">
        <v>0.49252400000000002</v>
      </c>
      <c r="E20" s="66">
        <v>0</v>
      </c>
      <c r="F20" s="66">
        <v>1.9476500000000001E-2</v>
      </c>
      <c r="G20" s="66">
        <v>0</v>
      </c>
      <c r="H20" s="66">
        <v>0.121431</v>
      </c>
    </row>
    <row r="21" spans="1:8">
      <c r="A21" s="66" t="s">
        <v>318</v>
      </c>
      <c r="B21" s="66">
        <v>6.8942600000000007E-2</v>
      </c>
      <c r="C21" s="66">
        <v>4.38097E-2</v>
      </c>
      <c r="D21" s="66">
        <v>0.63545300000000005</v>
      </c>
      <c r="E21" s="66">
        <v>0</v>
      </c>
      <c r="F21" s="66">
        <v>2.2204000000000002E-2</v>
      </c>
      <c r="G21" s="66">
        <v>0</v>
      </c>
      <c r="H21" s="66">
        <v>0.186922</v>
      </c>
    </row>
    <row r="22" spans="1:8">
      <c r="A22" s="66" t="s">
        <v>319</v>
      </c>
      <c r="B22" s="66">
        <v>39.127600000000001</v>
      </c>
      <c r="C22" s="66">
        <v>19.0992</v>
      </c>
      <c r="D22" s="66">
        <v>0.48812699999999998</v>
      </c>
      <c r="E22" s="66">
        <v>0</v>
      </c>
      <c r="F22" s="66">
        <v>13.552899999999999</v>
      </c>
      <c r="G22" s="66">
        <v>0</v>
      </c>
      <c r="H22" s="66">
        <v>112.149</v>
      </c>
    </row>
    <row r="23" spans="1:8">
      <c r="A23" s="66" t="s">
        <v>320</v>
      </c>
      <c r="B23" s="66">
        <v>11.5936</v>
      </c>
      <c r="C23" s="66">
        <v>1.8776299999999999</v>
      </c>
      <c r="D23" s="66">
        <v>0.16195399999999999</v>
      </c>
      <c r="E23" s="66">
        <v>0</v>
      </c>
      <c r="F23" s="66">
        <v>9.6997300000000006</v>
      </c>
      <c r="G23" s="66">
        <v>0</v>
      </c>
      <c r="H23" s="66">
        <v>15.0405</v>
      </c>
    </row>
    <row r="24" spans="1:8">
      <c r="A24" s="66" t="s">
        <v>321</v>
      </c>
      <c r="B24" s="66">
        <v>2.91972E-2</v>
      </c>
      <c r="C24" s="66">
        <v>6.3335199999999996E-3</v>
      </c>
      <c r="D24" s="66">
        <v>0.216922</v>
      </c>
      <c r="E24" s="66">
        <v>0</v>
      </c>
      <c r="F24" s="66">
        <v>2.2033899999999999E-2</v>
      </c>
      <c r="G24" s="66">
        <v>0</v>
      </c>
      <c r="H24" s="66">
        <v>4.6321899999999999E-2</v>
      </c>
    </row>
    <row r="25" spans="1:8">
      <c r="A25" s="66" t="s">
        <v>322</v>
      </c>
      <c r="B25" s="66">
        <v>7.6430300000000007E-2</v>
      </c>
      <c r="C25" s="66">
        <v>1.6832900000000001E-2</v>
      </c>
      <c r="D25" s="66">
        <v>0.22023899999999999</v>
      </c>
      <c r="E25" s="66">
        <v>0</v>
      </c>
      <c r="F25" s="66">
        <v>3.7157599999999999E-2</v>
      </c>
      <c r="G25" s="66">
        <v>0</v>
      </c>
      <c r="H25" s="66">
        <v>0.12859200000000001</v>
      </c>
    </row>
    <row r="26" spans="1:8">
      <c r="A26" s="66" t="s">
        <v>323</v>
      </c>
      <c r="B26" s="66">
        <v>3.9554899999999999E-3</v>
      </c>
      <c r="C26" s="66">
        <v>9.9498199999999994E-4</v>
      </c>
      <c r="D26" s="66">
        <v>0.25154500000000002</v>
      </c>
      <c r="E26" s="66">
        <v>0</v>
      </c>
      <c r="F26" s="66">
        <v>3.1578299999999999E-3</v>
      </c>
      <c r="G26" s="66">
        <v>0</v>
      </c>
      <c r="H26" s="66">
        <v>1.13051E-2</v>
      </c>
    </row>
    <row r="27" spans="1:8">
      <c r="A27" s="66" t="s">
        <v>324</v>
      </c>
      <c r="B27" s="196">
        <v>-3.1184299999999999E-5</v>
      </c>
      <c r="C27" s="66">
        <v>9.1947600000000002E-4</v>
      </c>
      <c r="D27" s="66">
        <v>-29.485199999999999</v>
      </c>
      <c r="E27" s="66">
        <v>0</v>
      </c>
      <c r="F27" s="66">
        <v>-4.78926E-3</v>
      </c>
      <c r="G27" s="66">
        <v>0</v>
      </c>
      <c r="H27" s="66">
        <v>7.9864800000000007E-3</v>
      </c>
    </row>
    <row r="28" spans="1:8">
      <c r="A28" s="66" t="s">
        <v>325</v>
      </c>
      <c r="B28" s="66">
        <v>9.9446599999999993E-3</v>
      </c>
      <c r="C28" s="66">
        <v>4.8682100000000004E-3</v>
      </c>
      <c r="D28" s="66">
        <v>0.48953000000000002</v>
      </c>
      <c r="E28" s="66">
        <v>0</v>
      </c>
      <c r="F28" s="66">
        <v>3.6035199999999998E-3</v>
      </c>
      <c r="G28" s="66">
        <v>0</v>
      </c>
      <c r="H28" s="66">
        <v>3.00716E-2</v>
      </c>
    </row>
    <row r="29" spans="1:8">
      <c r="A29" s="66" t="s">
        <v>326</v>
      </c>
      <c r="B29" s="66">
        <v>59.621400000000001</v>
      </c>
      <c r="C29" s="66">
        <v>9.5470799999999993</v>
      </c>
      <c r="D29" s="66">
        <v>0.16012799999999999</v>
      </c>
      <c r="E29" s="66">
        <v>0</v>
      </c>
      <c r="F29" s="66">
        <v>42.103400000000001</v>
      </c>
      <c r="G29" s="66">
        <v>0</v>
      </c>
      <c r="H29" s="66">
        <v>94.926699999999997</v>
      </c>
    </row>
    <row r="30" spans="1:8">
      <c r="A30" s="66" t="s">
        <v>327</v>
      </c>
      <c r="B30" s="66">
        <v>13.8736</v>
      </c>
      <c r="C30" s="66">
        <v>0.25101800000000002</v>
      </c>
      <c r="D30" s="66">
        <v>1.80933E-2</v>
      </c>
      <c r="E30" s="66">
        <v>0</v>
      </c>
      <c r="F30" s="66">
        <v>13.426500000000001</v>
      </c>
      <c r="G30" s="66">
        <v>0</v>
      </c>
      <c r="H30" s="66">
        <v>14.5189</v>
      </c>
    </row>
    <row r="31" spans="1:8">
      <c r="A31" s="66" t="s">
        <v>328</v>
      </c>
      <c r="B31" s="66">
        <v>255.137</v>
      </c>
      <c r="C31" s="66">
        <v>66.846199999999996</v>
      </c>
      <c r="D31" s="66">
        <v>0.26200200000000001</v>
      </c>
      <c r="E31" s="66">
        <v>0</v>
      </c>
      <c r="F31" s="66">
        <v>177.602</v>
      </c>
      <c r="G31" s="66">
        <v>0</v>
      </c>
      <c r="H31" s="66">
        <v>380.62700000000001</v>
      </c>
    </row>
    <row r="32" spans="1:8">
      <c r="A32" s="66" t="s">
        <v>329</v>
      </c>
      <c r="B32" s="66">
        <v>0.33227000000000001</v>
      </c>
      <c r="C32" s="66">
        <v>3.4703400000000002E-2</v>
      </c>
      <c r="D32" s="66">
        <v>0.10444299999999999</v>
      </c>
      <c r="E32" s="66">
        <v>0.15</v>
      </c>
      <c r="F32" s="66">
        <v>0.25505800000000001</v>
      </c>
      <c r="G32" s="66">
        <v>0.4</v>
      </c>
      <c r="H32" s="66">
        <v>0.43050699999999997</v>
      </c>
    </row>
    <row r="33" spans="1:8">
      <c r="A33" s="66" t="s">
        <v>330</v>
      </c>
      <c r="B33" s="66">
        <v>0.40930299999999997</v>
      </c>
      <c r="C33" s="66">
        <v>2.72488E-2</v>
      </c>
      <c r="D33" s="66">
        <v>6.65737E-2</v>
      </c>
      <c r="E33" s="66">
        <v>0</v>
      </c>
      <c r="F33" s="66">
        <v>0.35666700000000001</v>
      </c>
      <c r="G33" s="66">
        <v>0</v>
      </c>
      <c r="H33" s="66">
        <v>0.46270600000000001</v>
      </c>
    </row>
    <row r="34" spans="1:8">
      <c r="A34" s="66" t="s">
        <v>331</v>
      </c>
      <c r="B34" s="66">
        <v>0.16971</v>
      </c>
      <c r="C34" s="66">
        <v>2.0727200000000001E-2</v>
      </c>
      <c r="D34" s="66">
        <v>0.12213300000000001</v>
      </c>
      <c r="E34" s="66">
        <v>0.1</v>
      </c>
      <c r="F34" s="66">
        <v>0.125363</v>
      </c>
      <c r="G34" s="66">
        <v>0.25</v>
      </c>
      <c r="H34" s="66">
        <v>0.21048</v>
      </c>
    </row>
    <row r="35" spans="1:8">
      <c r="A35" s="66" t="s">
        <v>332</v>
      </c>
      <c r="B35" s="66">
        <v>6.9514699999999999E-2</v>
      </c>
      <c r="C35" s="66">
        <v>2.20412E-2</v>
      </c>
      <c r="D35" s="66">
        <v>0.31707299999999999</v>
      </c>
      <c r="E35" s="66">
        <v>0</v>
      </c>
      <c r="F35" s="66">
        <v>3.1607099999999999E-2</v>
      </c>
      <c r="G35" s="66">
        <v>0</v>
      </c>
      <c r="H35" s="66">
        <v>0.12651499999999999</v>
      </c>
    </row>
    <row r="36" spans="1:8">
      <c r="A36" s="66" t="s">
        <v>333</v>
      </c>
      <c r="B36" s="66">
        <v>0.15223100000000001</v>
      </c>
      <c r="C36" s="66">
        <v>7.65961E-2</v>
      </c>
      <c r="D36" s="66">
        <v>0.50315799999999999</v>
      </c>
      <c r="E36" s="66">
        <v>0</v>
      </c>
      <c r="F36" s="66">
        <v>4.0402399999999998E-2</v>
      </c>
      <c r="G36" s="66">
        <v>0</v>
      </c>
      <c r="H36" s="66">
        <v>0.47059400000000001</v>
      </c>
    </row>
    <row r="37" spans="1:8">
      <c r="A37" s="66" t="s">
        <v>334</v>
      </c>
      <c r="B37" s="66">
        <v>0.20727200000000001</v>
      </c>
      <c r="C37" s="66">
        <v>7.3877999999999999E-2</v>
      </c>
      <c r="D37" s="66">
        <v>0.356431</v>
      </c>
      <c r="E37" s="66">
        <v>0.1</v>
      </c>
      <c r="F37" s="66">
        <v>1.22232E-2</v>
      </c>
      <c r="G37" s="66">
        <v>0.5</v>
      </c>
      <c r="H37" s="66">
        <v>0.22848399999999999</v>
      </c>
    </row>
    <row r="38" spans="1:8">
      <c r="A38" s="66" t="s">
        <v>335</v>
      </c>
      <c r="B38" s="66">
        <v>9.1269799999999996</v>
      </c>
      <c r="C38" s="66">
        <v>57.911299999999997</v>
      </c>
      <c r="D38" s="66">
        <v>6.3450699999999998</v>
      </c>
      <c r="E38" s="66">
        <v>0</v>
      </c>
      <c r="F38" s="66">
        <v>-259.392</v>
      </c>
      <c r="G38" s="66">
        <v>0</v>
      </c>
      <c r="H38" s="66">
        <v>144.69499999999999</v>
      </c>
    </row>
    <row r="39" spans="1:8">
      <c r="A39" s="66" t="s">
        <v>336</v>
      </c>
      <c r="B39" s="66">
        <v>2.4442400000000002</v>
      </c>
      <c r="C39" s="66">
        <v>11.7751</v>
      </c>
      <c r="D39" s="66">
        <v>4.8174799999999998</v>
      </c>
      <c r="E39" s="66">
        <v>0</v>
      </c>
      <c r="F39" s="66">
        <v>-96.600200000000001</v>
      </c>
      <c r="G39" s="66">
        <v>0</v>
      </c>
      <c r="H39" s="66">
        <v>8.0546299999999995</v>
      </c>
    </row>
    <row r="40" spans="1:8">
      <c r="A40" s="66" t="s">
        <v>337</v>
      </c>
      <c r="B40" s="66">
        <v>0.40354899999999999</v>
      </c>
      <c r="C40" s="66">
        <v>0.24846199999999999</v>
      </c>
      <c r="D40" s="66">
        <v>0.61569300000000005</v>
      </c>
      <c r="E40" s="66">
        <v>0</v>
      </c>
      <c r="F40" s="66">
        <v>-0.202436</v>
      </c>
      <c r="G40" s="66">
        <v>0</v>
      </c>
      <c r="H40" s="66">
        <v>0.77363199999999999</v>
      </c>
    </row>
    <row r="41" spans="1:8">
      <c r="A41" s="66" t="s">
        <v>338</v>
      </c>
      <c r="B41" s="66">
        <v>6.3142400000000001E-2</v>
      </c>
      <c r="C41" s="66">
        <v>0.33851999999999999</v>
      </c>
      <c r="D41" s="66">
        <v>5.3612099999999998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0.115119</v>
      </c>
      <c r="C42" s="66">
        <v>0.132822</v>
      </c>
      <c r="D42" s="66">
        <v>1.15377</v>
      </c>
      <c r="E42" s="66">
        <v>0</v>
      </c>
      <c r="F42" s="66">
        <v>-0.25220500000000001</v>
      </c>
      <c r="G42" s="66">
        <v>0</v>
      </c>
      <c r="H42" s="66">
        <v>0.35679100000000002</v>
      </c>
    </row>
    <row r="43" spans="1:8">
      <c r="A43" s="66" t="s">
        <v>340</v>
      </c>
      <c r="B43" s="66">
        <v>-1.52818E-2</v>
      </c>
      <c r="C43" s="66">
        <v>3.6352200000000001E-2</v>
      </c>
      <c r="D43" s="66">
        <v>-2.37879</v>
      </c>
      <c r="E43" s="66">
        <v>0</v>
      </c>
      <c r="F43" s="66">
        <v>-0.10420699999999999</v>
      </c>
      <c r="G43" s="66">
        <v>0</v>
      </c>
      <c r="H43" s="66">
        <v>4.1819500000000003E-2</v>
      </c>
    </row>
    <row r="44" spans="1:8">
      <c r="A44" s="66" t="s">
        <v>341</v>
      </c>
      <c r="B44" s="66">
        <v>-4.9218799999999998</v>
      </c>
      <c r="C44" s="66">
        <v>5.2780899999999997</v>
      </c>
      <c r="D44" s="66">
        <v>-1.07237</v>
      </c>
      <c r="E44" s="66">
        <v>0</v>
      </c>
      <c r="F44" s="66">
        <v>-13.7982</v>
      </c>
      <c r="G44" s="66">
        <v>0</v>
      </c>
      <c r="H44" s="66">
        <v>9.2591599999999996</v>
      </c>
    </row>
    <row r="45" spans="1:8">
      <c r="A45" s="66" t="s">
        <v>342</v>
      </c>
      <c r="B45" s="66">
        <v>49.720100000000002</v>
      </c>
      <c r="C45" s="66">
        <v>5.2599600000000004</v>
      </c>
      <c r="D45" s="66">
        <v>0.105791</v>
      </c>
      <c r="E45" s="66">
        <v>0</v>
      </c>
      <c r="F45" s="66">
        <v>39.554699999999997</v>
      </c>
      <c r="G45" s="66">
        <v>0</v>
      </c>
      <c r="H45" s="66">
        <v>63.564799999999998</v>
      </c>
    </row>
    <row r="46" spans="1:8">
      <c r="A46" s="66" t="s">
        <v>343</v>
      </c>
      <c r="B46" s="66">
        <v>32.593400000000003</v>
      </c>
      <c r="C46" s="66">
        <v>1.2188300000000001</v>
      </c>
      <c r="D46" s="66">
        <v>3.7394999999999998E-2</v>
      </c>
      <c r="E46" s="66">
        <v>0</v>
      </c>
      <c r="F46" s="66">
        <v>31.372199999999999</v>
      </c>
      <c r="G46" s="66">
        <v>0</v>
      </c>
      <c r="H46" s="66">
        <v>36.113900000000001</v>
      </c>
    </row>
    <row r="47" spans="1:8">
      <c r="A47" s="66" t="s">
        <v>344</v>
      </c>
      <c r="B47" s="66">
        <v>0.46401500000000001</v>
      </c>
      <c r="C47" s="66">
        <v>0.100562</v>
      </c>
      <c r="D47" s="66">
        <v>0.216722</v>
      </c>
      <c r="E47" s="66">
        <v>0</v>
      </c>
      <c r="F47" s="66">
        <v>0.26733000000000001</v>
      </c>
      <c r="G47" s="66">
        <v>0</v>
      </c>
      <c r="H47" s="66">
        <v>0.80367100000000002</v>
      </c>
    </row>
    <row r="48" spans="1:8">
      <c r="A48" s="66" t="s">
        <v>345</v>
      </c>
      <c r="B48" s="66">
        <v>0.52388000000000001</v>
      </c>
      <c r="C48" s="66">
        <v>0.101275</v>
      </c>
      <c r="D48" s="66">
        <v>0.19331599999999999</v>
      </c>
      <c r="E48" s="66">
        <v>0</v>
      </c>
      <c r="F48" s="66">
        <v>0.391594</v>
      </c>
      <c r="G48" s="66">
        <v>0</v>
      </c>
      <c r="H48" s="66">
        <v>0.71926800000000002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346</v>
      </c>
      <c r="B1" s="60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67.062778021582545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1.294813929173489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0.67343775437118614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5258</v>
      </c>
      <c r="B8" s="66">
        <v>5258</v>
      </c>
      <c r="D8">
        <f t="shared" si="0"/>
        <v>6.2549070923841932E-2</v>
      </c>
      <c r="E8">
        <f t="shared" si="0"/>
        <v>6.2549070923841932E-2</v>
      </c>
      <c r="G8">
        <f t="shared" ca="1" si="1"/>
        <v>6</v>
      </c>
      <c r="H8">
        <f t="shared" ca="1" si="2"/>
        <v>0.37529442554305159</v>
      </c>
      <c r="I8">
        <f t="shared" ca="1" si="3"/>
        <v>233.22439766328773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13203</v>
      </c>
      <c r="B10" s="66">
        <v>13203</v>
      </c>
      <c r="D10">
        <f t="shared" si="0"/>
        <v>0.15706264423877614</v>
      </c>
      <c r="E10">
        <f t="shared" si="0"/>
        <v>0.15706264423877614</v>
      </c>
      <c r="G10">
        <f t="shared" ca="1" si="1"/>
        <v>8</v>
      </c>
      <c r="H10">
        <f t="shared" ca="1" si="2"/>
        <v>1.2565011539102091</v>
      </c>
      <c r="I10">
        <f t="shared" ca="1" si="3"/>
        <v>547.89917327586511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26100</v>
      </c>
      <c r="B13" s="66">
        <v>26100</v>
      </c>
      <c r="D13">
        <f t="shared" si="0"/>
        <v>0.31048511812709667</v>
      </c>
      <c r="E13">
        <f t="shared" si="0"/>
        <v>0.31048511812709667</v>
      </c>
      <c r="G13">
        <f t="shared" ca="1" si="1"/>
        <v>11</v>
      </c>
      <c r="H13">
        <f t="shared" ca="1" si="2"/>
        <v>3.4153362993980636</v>
      </c>
      <c r="I13">
        <f t="shared" ca="1" si="3"/>
        <v>975.86561793530882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44239</v>
      </c>
      <c r="B15" s="66">
        <v>44239</v>
      </c>
      <c r="D15">
        <f t="shared" si="0"/>
        <v>0.52626632723466016</v>
      </c>
      <c r="E15">
        <f t="shared" si="0"/>
        <v>0.52626632723466016</v>
      </c>
      <c r="G15">
        <f t="shared" ca="1" si="1"/>
        <v>13</v>
      </c>
      <c r="H15">
        <f t="shared" ca="1" si="2"/>
        <v>6.8414622540505823</v>
      </c>
      <c r="I15">
        <f t="shared" ca="1" si="3"/>
        <v>1538.1627838296874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63791</v>
      </c>
      <c r="B18" s="66">
        <v>63791</v>
      </c>
      <c r="D18">
        <f t="shared" si="0"/>
        <v>0.75885655825462162</v>
      </c>
      <c r="E18">
        <f t="shared" si="0"/>
        <v>0.75885655825462162</v>
      </c>
      <c r="G18">
        <f t="shared" ca="1" si="1"/>
        <v>16</v>
      </c>
      <c r="H18">
        <f t="shared" ca="1" si="2"/>
        <v>12.141704932073946</v>
      </c>
      <c r="I18">
        <f t="shared" ca="1" si="3"/>
        <v>1978.6481291006717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68767</v>
      </c>
      <c r="B21" s="66">
        <v>68767</v>
      </c>
      <c r="D21">
        <f t="shared" si="0"/>
        <v>0.81805096238490638</v>
      </c>
      <c r="E21">
        <f t="shared" si="0"/>
        <v>0.81805096238490638</v>
      </c>
      <c r="G21">
        <f t="shared" ca="1" si="1"/>
        <v>19</v>
      </c>
      <c r="H21">
        <f t="shared" ca="1" si="2"/>
        <v>15.542968285313222</v>
      </c>
      <c r="I21">
        <f t="shared" ca="1" si="3"/>
        <v>1889.7227809524393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67735</v>
      </c>
      <c r="B23" s="66">
        <v>67735</v>
      </c>
      <c r="D23">
        <f t="shared" si="0"/>
        <v>0.80577430943827177</v>
      </c>
      <c r="E23">
        <f t="shared" si="0"/>
        <v>0.80577430943827177</v>
      </c>
      <c r="G23">
        <f t="shared" ca="1" si="1"/>
        <v>21</v>
      </c>
      <c r="H23">
        <f t="shared" ca="1" si="2"/>
        <v>16.921260498203708</v>
      </c>
      <c r="I23">
        <f t="shared" ca="1" si="3"/>
        <v>1709.6754267553424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70081</v>
      </c>
      <c r="B26" s="66">
        <v>70081</v>
      </c>
      <c r="D26">
        <f t="shared" si="0"/>
        <v>0.8336822821250981</v>
      </c>
      <c r="E26">
        <f t="shared" si="0"/>
        <v>0.8336822821250981</v>
      </c>
      <c r="G26">
        <f t="shared" ca="1" si="1"/>
        <v>24</v>
      </c>
      <c r="H26">
        <f t="shared" ca="1" si="2"/>
        <v>20.008374771002355</v>
      </c>
      <c r="I26">
        <f t="shared" ca="1" si="3"/>
        <v>1545.9828007476899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71534</v>
      </c>
      <c r="B28" s="66">
        <v>71534</v>
      </c>
      <c r="D28">
        <f t="shared" si="0"/>
        <v>0.85096714329899359</v>
      </c>
      <c r="E28">
        <f t="shared" si="0"/>
        <v>0.85096714329899359</v>
      </c>
      <c r="G28">
        <f t="shared" ca="1" si="1"/>
        <v>26</v>
      </c>
      <c r="H28">
        <f t="shared" ca="1" si="2"/>
        <v>22.125145725773834</v>
      </c>
      <c r="I28">
        <f t="shared" ca="1" si="3"/>
        <v>1434.859728377613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71418</v>
      </c>
      <c r="B31" s="66">
        <v>71418</v>
      </c>
      <c r="D31">
        <f t="shared" si="0"/>
        <v>0.84958720944065091</v>
      </c>
      <c r="E31">
        <f t="shared" si="0"/>
        <v>0.84958720944065091</v>
      </c>
      <c r="G31">
        <f t="shared" ca="1" si="1"/>
        <v>29</v>
      </c>
      <c r="H31">
        <f t="shared" ca="1" si="2"/>
        <v>24.638029073778878</v>
      </c>
      <c r="I31">
        <f t="shared" ca="1" si="3"/>
        <v>1230.8607694404134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72535</v>
      </c>
      <c r="B33" s="66">
        <v>72535</v>
      </c>
      <c r="D33">
        <f t="shared" si="0"/>
        <v>0.86287502081796774</v>
      </c>
      <c r="E33">
        <f t="shared" si="0"/>
        <v>0.86287502081796774</v>
      </c>
      <c r="G33">
        <f t="shared" ca="1" si="1"/>
        <v>31</v>
      </c>
      <c r="H33">
        <f t="shared" ca="1" si="2"/>
        <v>26.749125645357001</v>
      </c>
      <c r="I33">
        <f t="shared" ca="1" si="3"/>
        <v>1122.1896378805243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69561</v>
      </c>
      <c r="B36" s="66">
        <v>69561</v>
      </c>
      <c r="D36">
        <f t="shared" si="0"/>
        <v>0.82749637172563106</v>
      </c>
      <c r="E36">
        <f t="shared" si="0"/>
        <v>0.82749637172563106</v>
      </c>
      <c r="G36">
        <f t="shared" ca="1" si="1"/>
        <v>34</v>
      </c>
      <c r="H36">
        <f t="shared" ca="1" si="2"/>
        <v>28.134876638671457</v>
      </c>
      <c r="I36">
        <f t="shared" ca="1" si="3"/>
        <v>904.57541665412998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70797</v>
      </c>
      <c r="B39" s="66">
        <v>70797</v>
      </c>
      <c r="D39">
        <f t="shared" si="0"/>
        <v>0.84219980490590274</v>
      </c>
      <c r="E39">
        <f t="shared" si="0"/>
        <v>0.84219980490590274</v>
      </c>
      <c r="G39">
        <f t="shared" ca="1" si="1"/>
        <v>37</v>
      </c>
      <c r="H39">
        <f t="shared" ca="1" si="2"/>
        <v>31.161392781518401</v>
      </c>
      <c r="I39">
        <f t="shared" ca="1" si="3"/>
        <v>761.15544184386636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65782</v>
      </c>
      <c r="B41" s="66">
        <v>65782</v>
      </c>
      <c r="D41">
        <f t="shared" si="0"/>
        <v>0.78254145749565795</v>
      </c>
      <c r="E41">
        <f t="shared" si="0"/>
        <v>0.78254145749565795</v>
      </c>
      <c r="G41">
        <f t="shared" ca="1" si="1"/>
        <v>39</v>
      </c>
      <c r="H41">
        <f t="shared" ca="1" si="2"/>
        <v>30.519116842330661</v>
      </c>
      <c r="I41">
        <f t="shared" ca="1" si="3"/>
        <v>616.26666538752067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63495</v>
      </c>
      <c r="B44" s="66">
        <v>63495</v>
      </c>
      <c r="D44">
        <f t="shared" si="0"/>
        <v>0.75533534771954036</v>
      </c>
      <c r="E44">
        <f t="shared" si="0"/>
        <v>0.75533534771954036</v>
      </c>
      <c r="G44">
        <f t="shared" ca="1" si="1"/>
        <v>42</v>
      </c>
      <c r="H44">
        <f t="shared" ca="1" si="2"/>
        <v>31.724084604220696</v>
      </c>
      <c r="I44">
        <f t="shared" ca="1" si="3"/>
        <v>474.45849209980008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60907</v>
      </c>
      <c r="B46" s="66">
        <v>60907</v>
      </c>
      <c r="D46">
        <f t="shared" si="0"/>
        <v>0.72454854750065423</v>
      </c>
      <c r="E46">
        <f t="shared" si="0"/>
        <v>0.72454854750065423</v>
      </c>
      <c r="G46">
        <f t="shared" ca="1" si="1"/>
        <v>44</v>
      </c>
      <c r="H46">
        <f t="shared" ca="1" si="2"/>
        <v>31.880136090028785</v>
      </c>
      <c r="I46">
        <f t="shared" ca="1" si="3"/>
        <v>385.3813804518507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62622</v>
      </c>
      <c r="B49" s="66">
        <v>62622</v>
      </c>
      <c r="D49">
        <f t="shared" si="0"/>
        <v>0.74495015583735813</v>
      </c>
      <c r="E49">
        <f t="shared" si="0"/>
        <v>0.74495015583735813</v>
      </c>
      <c r="G49">
        <f t="shared" ca="1" si="1"/>
        <v>47</v>
      </c>
      <c r="H49">
        <f t="shared" ca="1" si="2"/>
        <v>35.012657324355835</v>
      </c>
      <c r="I49">
        <f t="shared" ca="1" si="3"/>
        <v>299.85365812154191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61969</v>
      </c>
      <c r="B51" s="66">
        <v>61969</v>
      </c>
      <c r="D51">
        <f t="shared" si="0"/>
        <v>0.737182079893412</v>
      </c>
      <c r="E51">
        <f t="shared" si="0"/>
        <v>0.737182079893412</v>
      </c>
      <c r="G51">
        <f t="shared" ca="1" si="1"/>
        <v>49</v>
      </c>
      <c r="H51">
        <f t="shared" ca="1" si="2"/>
        <v>36.121921914777189</v>
      </c>
      <c r="I51">
        <f t="shared" ca="1" si="3"/>
        <v>240.51593714979765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66493</v>
      </c>
      <c r="B54" s="66">
        <v>66493</v>
      </c>
      <c r="D54">
        <f t="shared" si="0"/>
        <v>0.79099950036877542</v>
      </c>
      <c r="E54">
        <f t="shared" si="0"/>
        <v>0.79099950036877542</v>
      </c>
      <c r="G54">
        <f t="shared" ca="1" si="1"/>
        <v>52</v>
      </c>
      <c r="H54">
        <f t="shared" ca="1" si="2"/>
        <v>41.131974019176319</v>
      </c>
      <c r="I54">
        <f t="shared" ca="1" si="3"/>
        <v>179.4677264864585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65452</v>
      </c>
      <c r="B57" s="66">
        <v>65452</v>
      </c>
      <c r="D57">
        <f t="shared" si="0"/>
        <v>0.77861578358830386</v>
      </c>
      <c r="E57">
        <f t="shared" si="0"/>
        <v>0.77861578358830386</v>
      </c>
      <c r="G57">
        <f t="shared" ca="1" si="1"/>
        <v>55</v>
      </c>
      <c r="H57">
        <f t="shared" ca="1" si="2"/>
        <v>42.823868097356709</v>
      </c>
      <c r="I57">
        <f t="shared" ca="1" si="3"/>
        <v>113.29686042700213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59832</v>
      </c>
      <c r="B59" s="66">
        <v>59832</v>
      </c>
      <c r="D59">
        <f t="shared" si="0"/>
        <v>0.71176036734790993</v>
      </c>
      <c r="E59">
        <f t="shared" si="0"/>
        <v>0.71176036734790993</v>
      </c>
      <c r="G59">
        <f t="shared" ca="1" si="1"/>
        <v>57</v>
      </c>
      <c r="H59">
        <f t="shared" ca="1" si="2"/>
        <v>40.570340938830867</v>
      </c>
      <c r="I59">
        <f t="shared" ca="1" si="3"/>
        <v>72.072499993394487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61176</v>
      </c>
      <c r="B62" s="66">
        <v>61176</v>
      </c>
      <c r="D62">
        <f t="shared" si="0"/>
        <v>0.72774856653422471</v>
      </c>
      <c r="E62">
        <f t="shared" si="0"/>
        <v>0.72774856653422471</v>
      </c>
      <c r="G62">
        <f t="shared" ca="1" si="1"/>
        <v>60</v>
      </c>
      <c r="H62">
        <f t="shared" ca="1" si="2"/>
        <v>43.664913992053485</v>
      </c>
      <c r="I62">
        <f t="shared" ca="1" si="3"/>
        <v>36.302160488524834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60580</v>
      </c>
      <c r="B64" s="66">
        <v>60580</v>
      </c>
      <c r="D64">
        <f t="shared" si="0"/>
        <v>0.72065856153791252</v>
      </c>
      <c r="E64">
        <f t="shared" si="0"/>
        <v>0.72065856153791252</v>
      </c>
      <c r="G64">
        <f t="shared" ca="1" si="1"/>
        <v>62</v>
      </c>
      <c r="H64">
        <f t="shared" ca="1" si="2"/>
        <v>44.680830815350575</v>
      </c>
      <c r="I64">
        <f t="shared" ca="1" si="3"/>
        <v>18.471719398785794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60267</v>
      </c>
      <c r="B67" s="66">
        <v>60267</v>
      </c>
      <c r="D67">
        <f t="shared" ref="D67:E130" si="4">IFERROR( A67/MAX(A$2:A$257), 0 )</f>
        <v>0.71693511931669485</v>
      </c>
      <c r="E67">
        <f t="shared" si="4"/>
        <v>0.71693511931669485</v>
      </c>
      <c r="G67">
        <f t="shared" ref="G67:G130" ca="1" si="5">CELL("row",D67)-2</f>
        <v>65</v>
      </c>
      <c r="H67">
        <f t="shared" ref="H67:H130" ca="1" si="6">D67*G67</f>
        <v>46.600782755585165</v>
      </c>
      <c r="I67">
        <f t="shared" ref="I67:I130" ca="1" si="7">D67*((G67-$L$1)^2)</f>
        <v>3.0505970494973771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61929</v>
      </c>
      <c r="B69" s="66">
        <v>61929</v>
      </c>
      <c r="D69">
        <f t="shared" si="4"/>
        <v>0.73670624063191459</v>
      </c>
      <c r="E69">
        <f t="shared" si="4"/>
        <v>0.73670624063191459</v>
      </c>
      <c r="G69">
        <f t="shared" ca="1" si="5"/>
        <v>67</v>
      </c>
      <c r="H69">
        <f t="shared" ca="1" si="6"/>
        <v>49.35931812233828</v>
      </c>
      <c r="I69">
        <f t="shared" ca="1" si="7"/>
        <v>2.903418226275694E-3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65684</v>
      </c>
      <c r="B72" s="66">
        <v>65684</v>
      </c>
      <c r="D72">
        <f t="shared" si="4"/>
        <v>0.7813756513049892</v>
      </c>
      <c r="E72">
        <f t="shared" si="4"/>
        <v>0.7813756513049892</v>
      </c>
      <c r="G72">
        <f t="shared" ca="1" si="5"/>
        <v>70</v>
      </c>
      <c r="H72">
        <f t="shared" ca="1" si="6"/>
        <v>54.696295591349241</v>
      </c>
      <c r="I72">
        <f t="shared" ca="1" si="7"/>
        <v>6.7411410206817184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68176</v>
      </c>
      <c r="B75" s="66">
        <v>68176</v>
      </c>
      <c r="D75">
        <f t="shared" si="4"/>
        <v>0.81102043729628137</v>
      </c>
      <c r="E75">
        <f t="shared" si="4"/>
        <v>0.81102043729628137</v>
      </c>
      <c r="G75">
        <f t="shared" ca="1" si="5"/>
        <v>73</v>
      </c>
      <c r="H75">
        <f t="shared" ca="1" si="6"/>
        <v>59.204491922628542</v>
      </c>
      <c r="I75">
        <f t="shared" ca="1" si="7"/>
        <v>28.588960936888476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69321</v>
      </c>
      <c r="B77" s="66">
        <v>69321</v>
      </c>
      <c r="D77">
        <f t="shared" si="4"/>
        <v>0.82464133615664625</v>
      </c>
      <c r="E77">
        <f t="shared" si="4"/>
        <v>0.82464133615664625</v>
      </c>
      <c r="G77">
        <f t="shared" ca="1" si="5"/>
        <v>75</v>
      </c>
      <c r="H77">
        <f t="shared" ca="1" si="6"/>
        <v>61.848100211748466</v>
      </c>
      <c r="I77">
        <f t="shared" ca="1" si="7"/>
        <v>51.951985865911745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73051</v>
      </c>
      <c r="B80" s="66">
        <v>73051</v>
      </c>
      <c r="D80">
        <f t="shared" si="4"/>
        <v>0.86901334729128499</v>
      </c>
      <c r="E80">
        <f t="shared" si="4"/>
        <v>0.86901334729128499</v>
      </c>
      <c r="G80">
        <f t="shared" ca="1" si="5"/>
        <v>78</v>
      </c>
      <c r="H80">
        <f t="shared" ca="1" si="6"/>
        <v>67.783041088720225</v>
      </c>
      <c r="I80">
        <f t="shared" ca="1" si="7"/>
        <v>103.95383122258387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77526</v>
      </c>
      <c r="B82" s="66">
        <v>77526</v>
      </c>
      <c r="D82">
        <f t="shared" si="4"/>
        <v>0.92224786467131403</v>
      </c>
      <c r="E82">
        <f t="shared" si="4"/>
        <v>0.92224786467131403</v>
      </c>
      <c r="G82">
        <f t="shared" ca="1" si="5"/>
        <v>80</v>
      </c>
      <c r="H82">
        <f t="shared" ca="1" si="6"/>
        <v>73.779829173705124</v>
      </c>
      <c r="I82">
        <f t="shared" ca="1" si="7"/>
        <v>154.35820447688826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81344</v>
      </c>
      <c r="B85" s="66">
        <v>81344</v>
      </c>
      <c r="D85">
        <f t="shared" si="4"/>
        <v>0.96766672218124716</v>
      </c>
      <c r="E85">
        <f t="shared" si="4"/>
        <v>0.96766672218124716</v>
      </c>
      <c r="G85">
        <f t="shared" ca="1" si="5"/>
        <v>83</v>
      </c>
      <c r="H85">
        <f t="shared" ca="1" si="6"/>
        <v>80.316337941043514</v>
      </c>
      <c r="I85">
        <f t="shared" ca="1" si="7"/>
        <v>245.78255205452496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81137</v>
      </c>
      <c r="B88" s="66">
        <v>81137</v>
      </c>
      <c r="D88">
        <f t="shared" si="4"/>
        <v>0.96520425400299781</v>
      </c>
      <c r="E88">
        <f t="shared" si="4"/>
        <v>0.96520425400299781</v>
      </c>
      <c r="G88">
        <f t="shared" ca="1" si="5"/>
        <v>86</v>
      </c>
      <c r="H88">
        <f t="shared" ca="1" si="6"/>
        <v>83.007565844257812</v>
      </c>
      <c r="I88">
        <f t="shared" ca="1" si="7"/>
        <v>346.13998232966173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84062</v>
      </c>
      <c r="B90" s="66">
        <v>84062</v>
      </c>
      <c r="D90">
        <f t="shared" si="4"/>
        <v>1</v>
      </c>
      <c r="E90">
        <f t="shared" si="4"/>
        <v>1</v>
      </c>
      <c r="G90">
        <f t="shared" ca="1" si="5"/>
        <v>88</v>
      </c>
      <c r="H90">
        <f t="shared" ca="1" si="6"/>
        <v>88</v>
      </c>
      <c r="I90">
        <f t="shared" ca="1" si="7"/>
        <v>438.36726417352691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79528</v>
      </c>
      <c r="B93" s="66">
        <v>79528</v>
      </c>
      <c r="D93">
        <f t="shared" si="4"/>
        <v>0.94606361970926223</v>
      </c>
      <c r="E93">
        <f t="shared" si="4"/>
        <v>0.94606361970926223</v>
      </c>
      <c r="G93">
        <f t="shared" ca="1" si="5"/>
        <v>91</v>
      </c>
      <c r="H93">
        <f t="shared" ca="1" si="6"/>
        <v>86.091789393542868</v>
      </c>
      <c r="I93">
        <f t="shared" ca="1" si="7"/>
        <v>542.08555735278424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74139</v>
      </c>
      <c r="B95" s="66">
        <v>74139</v>
      </c>
      <c r="D95">
        <f t="shared" si="4"/>
        <v>0.88195617520401604</v>
      </c>
      <c r="E95">
        <f t="shared" si="4"/>
        <v>0.88195617520401604</v>
      </c>
      <c r="G95">
        <f t="shared" ca="1" si="5"/>
        <v>93</v>
      </c>
      <c r="H95">
        <f t="shared" ca="1" si="6"/>
        <v>82.021924293973498</v>
      </c>
      <c r="I95">
        <f t="shared" ca="1" si="7"/>
        <v>593.32674218005798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71339</v>
      </c>
      <c r="B98" s="66">
        <v>71339</v>
      </c>
      <c r="D98">
        <f t="shared" si="4"/>
        <v>0.84864742689919348</v>
      </c>
      <c r="E98">
        <f t="shared" si="4"/>
        <v>0.84864742689919348</v>
      </c>
      <c r="G98">
        <f t="shared" ca="1" si="5"/>
        <v>96</v>
      </c>
      <c r="H98">
        <f t="shared" ca="1" si="6"/>
        <v>81.470152982322574</v>
      </c>
      <c r="I98">
        <f t="shared" ca="1" si="7"/>
        <v>710.62579903367043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62040</v>
      </c>
      <c r="B100" s="66">
        <v>62040</v>
      </c>
      <c r="D100">
        <f t="shared" si="4"/>
        <v>0.73802669458256998</v>
      </c>
      <c r="E100">
        <f t="shared" si="4"/>
        <v>0.73802669458256998</v>
      </c>
      <c r="G100">
        <f t="shared" ca="1" si="5"/>
        <v>98</v>
      </c>
      <c r="H100">
        <f t="shared" ca="1" si="6"/>
        <v>72.326616069091855</v>
      </c>
      <c r="I100">
        <f t="shared" ca="1" si="7"/>
        <v>706.37398705890871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52709</v>
      </c>
      <c r="B103" s="66">
        <v>52709</v>
      </c>
      <c r="D103">
        <f t="shared" si="4"/>
        <v>0.62702529085674863</v>
      </c>
      <c r="E103">
        <f t="shared" si="4"/>
        <v>0.62702529085674863</v>
      </c>
      <c r="G103">
        <f t="shared" ca="1" si="5"/>
        <v>101</v>
      </c>
      <c r="H103">
        <f t="shared" ca="1" si="6"/>
        <v>63.329554376531611</v>
      </c>
      <c r="I103">
        <f t="shared" ca="1" si="7"/>
        <v>722.16699569476077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49677</v>
      </c>
      <c r="B106" s="66">
        <v>49677</v>
      </c>
      <c r="D106">
        <f t="shared" si="4"/>
        <v>0.59095667483524061</v>
      </c>
      <c r="E106">
        <f t="shared" si="4"/>
        <v>0.59095667483524061</v>
      </c>
      <c r="G106">
        <f t="shared" ca="1" si="5"/>
        <v>104</v>
      </c>
      <c r="H106">
        <f t="shared" ca="1" si="6"/>
        <v>61.459494182865022</v>
      </c>
      <c r="I106">
        <f t="shared" ca="1" si="7"/>
        <v>806.27668413132335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44474</v>
      </c>
      <c r="B108" s="66">
        <v>44474</v>
      </c>
      <c r="D108">
        <f t="shared" si="4"/>
        <v>0.52906188289595779</v>
      </c>
      <c r="E108">
        <f t="shared" si="4"/>
        <v>0.52906188289595779</v>
      </c>
      <c r="G108">
        <f t="shared" ca="1" si="5"/>
        <v>106</v>
      </c>
      <c r="H108">
        <f t="shared" ca="1" si="6"/>
        <v>56.080559586971525</v>
      </c>
      <c r="I108">
        <f t="shared" ca="1" si="7"/>
        <v>802.11455921232425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36993</v>
      </c>
      <c r="B111" s="66">
        <v>36993</v>
      </c>
      <c r="D111">
        <f t="shared" si="4"/>
        <v>0.44006804501439412</v>
      </c>
      <c r="E111">
        <f t="shared" si="4"/>
        <v>0.44006804501439412</v>
      </c>
      <c r="G111">
        <f t="shared" ca="1" si="5"/>
        <v>109</v>
      </c>
      <c r="H111">
        <f t="shared" ca="1" si="6"/>
        <v>47.967416906568957</v>
      </c>
      <c r="I111">
        <f t="shared" ca="1" si="7"/>
        <v>773.96113124563237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29148</v>
      </c>
      <c r="B113" s="66">
        <v>29148</v>
      </c>
      <c r="D113">
        <f t="shared" si="4"/>
        <v>0.34674406985320361</v>
      </c>
      <c r="E113">
        <f t="shared" si="4"/>
        <v>0.34674406985320361</v>
      </c>
      <c r="G113">
        <f t="shared" ca="1" si="5"/>
        <v>111</v>
      </c>
      <c r="H113">
        <f t="shared" ca="1" si="6"/>
        <v>38.488591753705599</v>
      </c>
      <c r="I113">
        <f t="shared" ca="1" si="7"/>
        <v>669.38230999224288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27177</v>
      </c>
      <c r="B116" s="66">
        <v>27177</v>
      </c>
      <c r="D116">
        <f t="shared" si="4"/>
        <v>0.32329709024291592</v>
      </c>
      <c r="E116">
        <f t="shared" si="4"/>
        <v>0.32329709024291592</v>
      </c>
      <c r="G116">
        <f t="shared" ca="1" si="5"/>
        <v>114</v>
      </c>
      <c r="H116">
        <f t="shared" ca="1" si="6"/>
        <v>36.855868287692417</v>
      </c>
      <c r="I116">
        <f t="shared" ca="1" si="7"/>
        <v>712.25672702566442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20209</v>
      </c>
      <c r="B118" s="66">
        <v>20209</v>
      </c>
      <c r="D118">
        <f t="shared" si="4"/>
        <v>0.24040589089005734</v>
      </c>
      <c r="E118">
        <f t="shared" si="4"/>
        <v>0.24040589089005734</v>
      </c>
      <c r="G118">
        <f t="shared" ca="1" si="5"/>
        <v>116</v>
      </c>
      <c r="H118">
        <f t="shared" ca="1" si="6"/>
        <v>27.887083343246651</v>
      </c>
      <c r="I118">
        <f t="shared" ca="1" si="7"/>
        <v>575.73645527760164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22391</v>
      </c>
      <c r="B121" s="66">
        <v>22391</v>
      </c>
      <c r="D121">
        <f t="shared" si="4"/>
        <v>0.26636292260474409</v>
      </c>
      <c r="E121">
        <f t="shared" si="4"/>
        <v>0.26636292260474409</v>
      </c>
      <c r="G121">
        <f t="shared" ca="1" si="5"/>
        <v>119</v>
      </c>
      <c r="H121">
        <f t="shared" ca="1" si="6"/>
        <v>31.697187789964548</v>
      </c>
      <c r="I121">
        <f t="shared" ca="1" si="7"/>
        <v>718.50733180119005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18555</v>
      </c>
      <c r="B124" s="66">
        <v>18555</v>
      </c>
      <c r="D124">
        <f t="shared" si="4"/>
        <v>0.22072993742713712</v>
      </c>
      <c r="E124">
        <f t="shared" si="4"/>
        <v>0.22072993742713712</v>
      </c>
      <c r="G124">
        <f t="shared" ca="1" si="5"/>
        <v>122</v>
      </c>
      <c r="H124">
        <f t="shared" ca="1" si="6"/>
        <v>26.929052366110728</v>
      </c>
      <c r="I124">
        <f t="shared" ca="1" si="7"/>
        <v>666.18466186610169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18536</v>
      </c>
      <c r="B126" s="66">
        <v>18536</v>
      </c>
      <c r="D126">
        <f t="shared" si="4"/>
        <v>0.2205039137779258</v>
      </c>
      <c r="E126">
        <f t="shared" si="4"/>
        <v>0.2205039137779258</v>
      </c>
      <c r="G126">
        <f t="shared" ca="1" si="5"/>
        <v>124</v>
      </c>
      <c r="H126">
        <f t="shared" ca="1" si="6"/>
        <v>27.342485308462798</v>
      </c>
      <c r="I126">
        <f t="shared" ca="1" si="7"/>
        <v>714.84000574981076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16206</v>
      </c>
      <c r="B129" s="66">
        <v>16206</v>
      </c>
      <c r="D129">
        <f t="shared" si="4"/>
        <v>0.1927862767956984</v>
      </c>
      <c r="E129">
        <f t="shared" si="4"/>
        <v>0.1927862767956984</v>
      </c>
      <c r="G129">
        <f t="shared" ca="1" si="5"/>
        <v>127</v>
      </c>
      <c r="H129">
        <f t="shared" ca="1" si="6"/>
        <v>24.483857153053698</v>
      </c>
      <c r="I129">
        <f t="shared" ca="1" si="7"/>
        <v>692.5790273251929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15069</v>
      </c>
      <c r="B131" s="66">
        <v>15069</v>
      </c>
      <c r="D131">
        <f t="shared" ref="D131:E194" si="8">IFERROR( A131/MAX(A$2:A$257), 0 )</f>
        <v>0.17926054578763292</v>
      </c>
      <c r="E131">
        <f t="shared" si="8"/>
        <v>0.17926054578763292</v>
      </c>
      <c r="G131">
        <f t="shared" ref="G131:G194" ca="1" si="9">CELL("row",D131)-2</f>
        <v>129</v>
      </c>
      <c r="H131">
        <f t="shared" ref="H131:H194" ca="1" si="10">D131*G131</f>
        <v>23.124610406604646</v>
      </c>
      <c r="I131">
        <f t="shared" ref="I131:I194" ca="1" si="11">D131*((G131-$L$1)^2)</f>
        <v>687.68279530867972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12982</v>
      </c>
      <c r="B134" s="66">
        <v>12982</v>
      </c>
      <c r="D134">
        <f t="shared" si="8"/>
        <v>0.15443363231900264</v>
      </c>
      <c r="E134">
        <f t="shared" si="8"/>
        <v>0.15443363231900264</v>
      </c>
      <c r="G134">
        <f t="shared" ca="1" si="9"/>
        <v>132</v>
      </c>
      <c r="H134">
        <f t="shared" ca="1" si="10"/>
        <v>20.385239466108349</v>
      </c>
      <c r="I134">
        <f t="shared" ca="1" si="11"/>
        <v>651.22235025572184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12562</v>
      </c>
      <c r="B136" s="66">
        <v>12562</v>
      </c>
      <c r="D136">
        <f t="shared" si="8"/>
        <v>0.14943732007327926</v>
      </c>
      <c r="E136">
        <f t="shared" si="8"/>
        <v>0.14943732007327926</v>
      </c>
      <c r="G136">
        <f t="shared" ca="1" si="9"/>
        <v>134</v>
      </c>
      <c r="H136">
        <f t="shared" ca="1" si="10"/>
        <v>20.024600889819421</v>
      </c>
      <c r="I136">
        <f t="shared" ca="1" si="11"/>
        <v>669.56761392654016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9662</v>
      </c>
      <c r="B139" s="66">
        <v>9662</v>
      </c>
      <c r="D139">
        <f t="shared" si="8"/>
        <v>0.11493897361471295</v>
      </c>
      <c r="E139">
        <f t="shared" si="8"/>
        <v>0.11493897361471295</v>
      </c>
      <c r="G139">
        <f t="shared" ca="1" si="9"/>
        <v>137</v>
      </c>
      <c r="H139">
        <f t="shared" ca="1" si="10"/>
        <v>15.746639385215675</v>
      </c>
      <c r="I139">
        <f t="shared" ca="1" si="11"/>
        <v>562.19123390450648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9620</v>
      </c>
      <c r="B142" s="66">
        <v>9620</v>
      </c>
      <c r="D142">
        <f t="shared" si="8"/>
        <v>0.11443934239014061</v>
      </c>
      <c r="E142">
        <f t="shared" si="8"/>
        <v>0.11443934239014061</v>
      </c>
      <c r="G142">
        <f t="shared" ca="1" si="9"/>
        <v>140</v>
      </c>
      <c r="H142">
        <f t="shared" ca="1" si="10"/>
        <v>16.021507934619684</v>
      </c>
      <c r="I142">
        <f t="shared" ca="1" si="11"/>
        <v>608.79880238771887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7232</v>
      </c>
      <c r="B144" s="66">
        <v>7232</v>
      </c>
      <c r="D144">
        <f t="shared" si="8"/>
        <v>8.6031738478741876E-2</v>
      </c>
      <c r="E144">
        <f t="shared" si="8"/>
        <v>8.6031738478741876E-2</v>
      </c>
      <c r="G144">
        <f t="shared" ca="1" si="9"/>
        <v>142</v>
      </c>
      <c r="H144">
        <f t="shared" ca="1" si="10"/>
        <v>12.216506863981346</v>
      </c>
      <c r="I144">
        <f t="shared" ca="1" si="11"/>
        <v>483.11873265063605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7989</v>
      </c>
      <c r="B147" s="66">
        <v>7989</v>
      </c>
      <c r="D147">
        <f t="shared" si="8"/>
        <v>9.5036996502581433E-2</v>
      </c>
      <c r="E147">
        <f t="shared" si="8"/>
        <v>9.5036996502581433E-2</v>
      </c>
      <c r="G147">
        <f t="shared" ca="1" si="9"/>
        <v>145</v>
      </c>
      <c r="H147">
        <f t="shared" ca="1" si="10"/>
        <v>13.780364492874307</v>
      </c>
      <c r="I147">
        <f t="shared" ca="1" si="11"/>
        <v>577.27472866976859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5394</v>
      </c>
      <c r="B149" s="66">
        <v>5394</v>
      </c>
      <c r="D149">
        <f t="shared" si="8"/>
        <v>6.4166924412933313E-2</v>
      </c>
      <c r="E149">
        <f t="shared" si="8"/>
        <v>6.4166924412933313E-2</v>
      </c>
      <c r="G149">
        <f t="shared" ca="1" si="9"/>
        <v>147</v>
      </c>
      <c r="H149">
        <f t="shared" ca="1" si="10"/>
        <v>9.4325378887011961</v>
      </c>
      <c r="I149">
        <f t="shared" ca="1" si="11"/>
        <v>410.02404551924633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5562</v>
      </c>
      <c r="B152" s="66">
        <v>5562</v>
      </c>
      <c r="D152">
        <f t="shared" si="8"/>
        <v>6.6165449311222674E-2</v>
      </c>
      <c r="E152">
        <f t="shared" si="8"/>
        <v>6.6165449311222674E-2</v>
      </c>
      <c r="G152">
        <f t="shared" ca="1" si="9"/>
        <v>150</v>
      </c>
      <c r="H152">
        <f t="shared" ca="1" si="10"/>
        <v>9.9248173966834017</v>
      </c>
      <c r="I152">
        <f t="shared" ca="1" si="11"/>
        <v>455.12452089153174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5716</v>
      </c>
      <c r="B154" s="66">
        <v>5716</v>
      </c>
      <c r="D154">
        <f t="shared" si="8"/>
        <v>6.799743046798791E-2</v>
      </c>
      <c r="E154">
        <f t="shared" si="8"/>
        <v>6.799743046798791E-2</v>
      </c>
      <c r="G154">
        <f t="shared" ca="1" si="9"/>
        <v>152</v>
      </c>
      <c r="H154">
        <f t="shared" ca="1" si="10"/>
        <v>10.335609431134163</v>
      </c>
      <c r="I154">
        <f t="shared" ca="1" si="11"/>
        <v>490.55601660775437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6294</v>
      </c>
      <c r="B157" s="66">
        <v>6294</v>
      </c>
      <c r="D157">
        <f t="shared" si="8"/>
        <v>7.4873307796626293E-2</v>
      </c>
      <c r="E157">
        <f t="shared" si="8"/>
        <v>7.4873307796626293E-2</v>
      </c>
      <c r="G157">
        <f t="shared" ca="1" si="9"/>
        <v>155</v>
      </c>
      <c r="H157">
        <f t="shared" ca="1" si="10"/>
        <v>11.605362708477076</v>
      </c>
      <c r="I157">
        <f t="shared" ca="1" si="11"/>
        <v>578.99192058739436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4871</v>
      </c>
      <c r="B160" s="66">
        <v>4871</v>
      </c>
      <c r="D160">
        <f t="shared" si="8"/>
        <v>5.7945326068853942E-2</v>
      </c>
      <c r="E160">
        <f t="shared" si="8"/>
        <v>5.7945326068853942E-2</v>
      </c>
      <c r="G160">
        <f t="shared" ca="1" si="9"/>
        <v>158</v>
      </c>
      <c r="H160">
        <f t="shared" ca="1" si="10"/>
        <v>9.155361518878923</v>
      </c>
      <c r="I160">
        <f t="shared" ca="1" si="11"/>
        <v>479.18341342998326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3402</v>
      </c>
      <c r="B162" s="66">
        <v>3402</v>
      </c>
      <c r="D162">
        <f t="shared" si="8"/>
        <v>4.04701291903595E-2</v>
      </c>
      <c r="E162">
        <f t="shared" si="8"/>
        <v>4.04701291903595E-2</v>
      </c>
      <c r="G162">
        <f t="shared" ca="1" si="9"/>
        <v>160</v>
      </c>
      <c r="H162">
        <f t="shared" ca="1" si="10"/>
        <v>6.4752206704575199</v>
      </c>
      <c r="I162">
        <f t="shared" ca="1" si="11"/>
        <v>349.5537488196963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2951</v>
      </c>
      <c r="B165" s="66">
        <v>2951</v>
      </c>
      <c r="D165">
        <f t="shared" si="8"/>
        <v>3.5105041516975563E-2</v>
      </c>
      <c r="E165">
        <f t="shared" si="8"/>
        <v>3.5105041516975563E-2</v>
      </c>
      <c r="G165">
        <f t="shared" ca="1" si="9"/>
        <v>163</v>
      </c>
      <c r="H165">
        <f t="shared" ca="1" si="10"/>
        <v>5.7221217672670166</v>
      </c>
      <c r="I165">
        <f t="shared" ca="1" si="11"/>
        <v>323.1050665618539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2970</v>
      </c>
      <c r="B167" s="66">
        <v>2970</v>
      </c>
      <c r="D167">
        <f t="shared" si="8"/>
        <v>3.5331065166186865E-2</v>
      </c>
      <c r="E167">
        <f t="shared" si="8"/>
        <v>3.5331065166186865E-2</v>
      </c>
      <c r="G167">
        <f t="shared" ca="1" si="9"/>
        <v>165</v>
      </c>
      <c r="H167">
        <f t="shared" ca="1" si="10"/>
        <v>5.8296257524208324</v>
      </c>
      <c r="I167">
        <f t="shared" ca="1" si="11"/>
        <v>338.88495828179146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3220</v>
      </c>
      <c r="B170" s="66">
        <v>3220</v>
      </c>
      <c r="D170">
        <f t="shared" si="8"/>
        <v>3.8305060550546027E-2</v>
      </c>
      <c r="E170">
        <f t="shared" si="8"/>
        <v>3.8305060550546027E-2</v>
      </c>
      <c r="G170">
        <f t="shared" ca="1" si="9"/>
        <v>168</v>
      </c>
      <c r="H170">
        <f t="shared" ca="1" si="10"/>
        <v>6.4352501724917328</v>
      </c>
      <c r="I170">
        <f t="shared" ca="1" si="11"/>
        <v>390.26432102399934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2751</v>
      </c>
      <c r="B173" s="66">
        <v>2751</v>
      </c>
      <c r="D173">
        <f t="shared" si="8"/>
        <v>3.2725845209488236E-2</v>
      </c>
      <c r="E173">
        <f t="shared" si="8"/>
        <v>3.2725845209488236E-2</v>
      </c>
      <c r="G173">
        <f t="shared" ca="1" si="9"/>
        <v>171</v>
      </c>
      <c r="H173">
        <f t="shared" ca="1" si="10"/>
        <v>5.596119530822488</v>
      </c>
      <c r="I173">
        <f t="shared" ca="1" si="11"/>
        <v>353.53554228708998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3034</v>
      </c>
      <c r="B175" s="66">
        <v>3034</v>
      </c>
      <c r="D175">
        <f t="shared" si="8"/>
        <v>3.6092407984582811E-2</v>
      </c>
      <c r="E175">
        <f t="shared" si="8"/>
        <v>3.6092407984582811E-2</v>
      </c>
      <c r="G175">
        <f t="shared" ca="1" si="9"/>
        <v>173</v>
      </c>
      <c r="H175">
        <f t="shared" ca="1" si="10"/>
        <v>6.2439865813328259</v>
      </c>
      <c r="I175">
        <f t="shared" ca="1" si="11"/>
        <v>405.05408664474601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4766</v>
      </c>
      <c r="B178" s="66">
        <v>4766</v>
      </c>
      <c r="D178">
        <f t="shared" si="8"/>
        <v>5.6696248007423095E-2</v>
      </c>
      <c r="E178">
        <f t="shared" si="8"/>
        <v>5.6696248007423095E-2</v>
      </c>
      <c r="G178">
        <f t="shared" ca="1" si="9"/>
        <v>176</v>
      </c>
      <c r="H178">
        <f t="shared" ca="1" si="10"/>
        <v>9.9785396493064642</v>
      </c>
      <c r="I178">
        <f t="shared" ca="1" si="11"/>
        <v>672.83242335537159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4241</v>
      </c>
      <c r="B180" s="66">
        <v>4241</v>
      </c>
      <c r="D180">
        <f t="shared" si="8"/>
        <v>5.0450857700268852E-2</v>
      </c>
      <c r="E180">
        <f t="shared" si="8"/>
        <v>5.0450857700268852E-2</v>
      </c>
      <c r="G180">
        <f t="shared" ca="1" si="9"/>
        <v>178</v>
      </c>
      <c r="H180">
        <f t="shared" ca="1" si="10"/>
        <v>8.9802526706478556</v>
      </c>
      <c r="I180">
        <f t="shared" ca="1" si="11"/>
        <v>620.90209703842697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2287</v>
      </c>
      <c r="B183" s="66">
        <v>2287</v>
      </c>
      <c r="D183">
        <f t="shared" si="8"/>
        <v>2.7206109776117628E-2</v>
      </c>
      <c r="E183">
        <f t="shared" si="8"/>
        <v>2.7206109776117628E-2</v>
      </c>
      <c r="G183">
        <f t="shared" ca="1" si="9"/>
        <v>181</v>
      </c>
      <c r="H183">
        <f t="shared" ca="1" si="10"/>
        <v>4.9243058694772905</v>
      </c>
      <c r="I183">
        <f t="shared" ca="1" si="11"/>
        <v>353.18129824163157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263</v>
      </c>
      <c r="B185" s="66">
        <v>263</v>
      </c>
      <c r="D185">
        <f t="shared" si="8"/>
        <v>3.1286431443458399E-3</v>
      </c>
      <c r="E185">
        <f t="shared" si="8"/>
        <v>3.1286431443458399E-3</v>
      </c>
      <c r="G185">
        <f t="shared" ca="1" si="9"/>
        <v>183</v>
      </c>
      <c r="H185">
        <f t="shared" ca="1" si="10"/>
        <v>0.57254169541528865</v>
      </c>
      <c r="I185">
        <f t="shared" ca="1" si="11"/>
        <v>42.053467354323686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677</v>
      </c>
      <c r="B188" s="66">
        <v>677</v>
      </c>
      <c r="D188">
        <f t="shared" si="8"/>
        <v>8.053579500844614E-3</v>
      </c>
      <c r="E188">
        <f t="shared" si="8"/>
        <v>8.053579500844614E-3</v>
      </c>
      <c r="G188">
        <f t="shared" ca="1" si="9"/>
        <v>186</v>
      </c>
      <c r="H188">
        <f t="shared" ca="1" si="10"/>
        <v>1.4979657871570982</v>
      </c>
      <c r="I188">
        <f t="shared" ca="1" si="11"/>
        <v>113.9264411577841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696</v>
      </c>
      <c r="B191" s="66">
        <v>696</v>
      </c>
      <c r="D191">
        <f t="shared" si="8"/>
        <v>8.2796031500559104E-3</v>
      </c>
      <c r="E191">
        <f t="shared" si="8"/>
        <v>8.2796031500559104E-3</v>
      </c>
      <c r="G191">
        <f t="shared" ca="1" si="9"/>
        <v>189</v>
      </c>
      <c r="H191">
        <f t="shared" ca="1" si="10"/>
        <v>1.564844995360567</v>
      </c>
      <c r="I191">
        <f t="shared" ca="1" si="11"/>
        <v>123.10682030232971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141</v>
      </c>
      <c r="B193" s="66">
        <v>141</v>
      </c>
      <c r="D193">
        <f t="shared" si="8"/>
        <v>1.6773333967785682E-3</v>
      </c>
      <c r="E193">
        <f t="shared" si="8"/>
        <v>1.6773333967785682E-3</v>
      </c>
      <c r="G193">
        <f t="shared" ca="1" si="9"/>
        <v>191</v>
      </c>
      <c r="H193">
        <f t="shared" ca="1" si="10"/>
        <v>0.32037067878470654</v>
      </c>
      <c r="I193">
        <f t="shared" ca="1" si="11"/>
        <v>25.764570600670705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346</v>
      </c>
      <c r="B1" s="66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61.44089373713485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1.1862694534680276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0.5938045437093562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4435</v>
      </c>
      <c r="B8" s="66">
        <v>4435</v>
      </c>
      <c r="D8">
        <f t="shared" si="0"/>
        <v>10.546717081638961</v>
      </c>
      <c r="E8">
        <f t="shared" si="1"/>
        <v>10.546717081638961</v>
      </c>
      <c r="G8">
        <f t="shared" ca="1" si="2"/>
        <v>6</v>
      </c>
      <c r="H8">
        <f t="shared" ca="1" si="3"/>
        <v>63.280302489833772</v>
      </c>
      <c r="I8">
        <f t="shared" ca="1" si="4"/>
        <v>32417.367285631859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10290</v>
      </c>
      <c r="B10" s="66">
        <v>10290</v>
      </c>
      <c r="D10">
        <f t="shared" si="0"/>
        <v>24.47028608118713</v>
      </c>
      <c r="E10">
        <f t="shared" si="1"/>
        <v>24.47028608118713</v>
      </c>
      <c r="G10">
        <f t="shared" ca="1" si="2"/>
        <v>8</v>
      </c>
      <c r="H10">
        <f t="shared" ca="1" si="3"/>
        <v>195.76228864949704</v>
      </c>
      <c r="I10">
        <f t="shared" ca="1" si="4"/>
        <v>69885.402677772872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16017</v>
      </c>
      <c r="B13" s="66">
        <v>16017</v>
      </c>
      <c r="D13">
        <f t="shared" si="0"/>
        <v>38.089462795177283</v>
      </c>
      <c r="E13">
        <f t="shared" si="1"/>
        <v>38.089462795177283</v>
      </c>
      <c r="G13">
        <f t="shared" ca="1" si="2"/>
        <v>11</v>
      </c>
      <c r="H13">
        <f t="shared" ca="1" si="3"/>
        <v>418.98409074695013</v>
      </c>
      <c r="I13">
        <f t="shared" ca="1" si="4"/>
        <v>96910.401655018635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20776</v>
      </c>
      <c r="B15" s="66">
        <v>20776</v>
      </c>
      <c r="D15">
        <f t="shared" si="0"/>
        <v>49.406672849634965</v>
      </c>
      <c r="E15">
        <f t="shared" si="1"/>
        <v>49.406672849634965</v>
      </c>
      <c r="G15">
        <f t="shared" ca="1" si="2"/>
        <v>13</v>
      </c>
      <c r="H15">
        <f t="shared" ca="1" si="3"/>
        <v>642.28674704525451</v>
      </c>
      <c r="I15">
        <f t="shared" ca="1" si="4"/>
        <v>115933.75516735502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28999</v>
      </c>
      <c r="B18" s="66">
        <v>28999</v>
      </c>
      <c r="D18">
        <f t="shared" si="0"/>
        <v>68.961499132006367</v>
      </c>
      <c r="E18">
        <f t="shared" si="1"/>
        <v>68.961499132006367</v>
      </c>
      <c r="G18">
        <f t="shared" ca="1" si="2"/>
        <v>16</v>
      </c>
      <c r="H18">
        <f t="shared" ca="1" si="3"/>
        <v>1103.3839861121019</v>
      </c>
      <c r="I18">
        <f t="shared" ca="1" si="4"/>
        <v>142396.86335743318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35503</v>
      </c>
      <c r="B21" s="66">
        <v>35503</v>
      </c>
      <c r="D21">
        <f t="shared" si="0"/>
        <v>84.428432141922897</v>
      </c>
      <c r="E21">
        <f t="shared" si="1"/>
        <v>84.428432141922897</v>
      </c>
      <c r="G21">
        <f t="shared" ca="1" si="2"/>
        <v>19</v>
      </c>
      <c r="H21">
        <f t="shared" ca="1" si="3"/>
        <v>1604.140210696535</v>
      </c>
      <c r="I21">
        <f t="shared" ca="1" si="4"/>
        <v>152074.97933752832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34207</v>
      </c>
      <c r="B23" s="66">
        <v>34207</v>
      </c>
      <c r="D23">
        <f t="shared" si="0"/>
        <v>81.346460250648022</v>
      </c>
      <c r="E23">
        <f t="shared" si="1"/>
        <v>81.346460250648022</v>
      </c>
      <c r="G23">
        <f t="shared" ca="1" si="2"/>
        <v>21</v>
      </c>
      <c r="H23">
        <f t="shared" ca="1" si="3"/>
        <v>1708.2756652636085</v>
      </c>
      <c r="I23">
        <f t="shared" ca="1" si="4"/>
        <v>133039.36070779618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36424</v>
      </c>
      <c r="B26" s="66">
        <v>36424</v>
      </c>
      <c r="D26">
        <f t="shared" si="0"/>
        <v>86.618629759102049</v>
      </c>
      <c r="E26">
        <f t="shared" si="1"/>
        <v>86.618629759102049</v>
      </c>
      <c r="G26">
        <f t="shared" ca="1" si="2"/>
        <v>24</v>
      </c>
      <c r="H26">
        <f t="shared" ca="1" si="3"/>
        <v>2078.847114218449</v>
      </c>
      <c r="I26">
        <f t="shared" ca="1" si="4"/>
        <v>121423.77294281106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38973</v>
      </c>
      <c r="B28" s="66">
        <v>38973</v>
      </c>
      <c r="D28">
        <f t="shared" si="0"/>
        <v>92.680316758222162</v>
      </c>
      <c r="E28">
        <f t="shared" si="1"/>
        <v>92.680316758222162</v>
      </c>
      <c r="G28">
        <f t="shared" ca="1" si="2"/>
        <v>26</v>
      </c>
      <c r="H28">
        <f t="shared" ca="1" si="3"/>
        <v>2409.6882357137761</v>
      </c>
      <c r="I28">
        <f t="shared" ca="1" si="4"/>
        <v>116411.75588920248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41007</v>
      </c>
      <c r="B31" s="66">
        <v>41007</v>
      </c>
      <c r="D31">
        <f t="shared" si="0"/>
        <v>97.517300420917451</v>
      </c>
      <c r="E31">
        <f t="shared" si="1"/>
        <v>97.517300420917451</v>
      </c>
      <c r="G31">
        <f t="shared" ca="1" si="2"/>
        <v>29</v>
      </c>
      <c r="H31">
        <f t="shared" ca="1" si="3"/>
        <v>2828.001712206606</v>
      </c>
      <c r="I31">
        <f t="shared" ca="1" si="4"/>
        <v>102628.33684367155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42051</v>
      </c>
      <c r="B33" s="66">
        <v>42051</v>
      </c>
      <c r="D33">
        <f t="shared" si="0"/>
        <v>100</v>
      </c>
      <c r="E33">
        <f t="shared" si="1"/>
        <v>100</v>
      </c>
      <c r="G33">
        <f t="shared" ca="1" si="2"/>
        <v>31</v>
      </c>
      <c r="H33">
        <f t="shared" ca="1" si="3"/>
        <v>3100</v>
      </c>
      <c r="I33">
        <f t="shared" ca="1" si="4"/>
        <v>92664.801151553576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40612</v>
      </c>
      <c r="B36" s="66">
        <v>40612</v>
      </c>
      <c r="D36">
        <f t="shared" si="0"/>
        <v>96.57796485220328</v>
      </c>
      <c r="E36">
        <f t="shared" si="1"/>
        <v>96.57796485220328</v>
      </c>
      <c r="G36">
        <f t="shared" ca="1" si="2"/>
        <v>34</v>
      </c>
      <c r="H36">
        <f t="shared" ca="1" si="3"/>
        <v>3283.6508049749114</v>
      </c>
      <c r="I36">
        <f t="shared" ca="1" si="4"/>
        <v>72723.463377693319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41845</v>
      </c>
      <c r="B39" s="66">
        <v>41845</v>
      </c>
      <c r="D39">
        <f t="shared" si="0"/>
        <v>99.51011866543007</v>
      </c>
      <c r="E39">
        <f t="shared" si="1"/>
        <v>99.51011866543007</v>
      </c>
      <c r="G39">
        <f t="shared" ca="1" si="2"/>
        <v>37</v>
      </c>
      <c r="H39">
        <f t="shared" ca="1" si="3"/>
        <v>3681.8743906209124</v>
      </c>
      <c r="I39">
        <f t="shared" ca="1" si="4"/>
        <v>59443.094482182831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37931</v>
      </c>
      <c r="B41" s="66">
        <v>37931</v>
      </c>
      <c r="D41">
        <f t="shared" si="0"/>
        <v>90.202373308601466</v>
      </c>
      <c r="E41">
        <f t="shared" si="1"/>
        <v>90.202373308601466</v>
      </c>
      <c r="G41">
        <f t="shared" ca="1" si="2"/>
        <v>39</v>
      </c>
      <c r="H41">
        <f t="shared" ca="1" si="3"/>
        <v>3517.892559035457</v>
      </c>
      <c r="I41">
        <f t="shared" ca="1" si="4"/>
        <v>45425.347980555984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38103</v>
      </c>
      <c r="B44" s="66">
        <v>38103</v>
      </c>
      <c r="D44">
        <f t="shared" si="0"/>
        <v>90.611400442320047</v>
      </c>
      <c r="E44">
        <f t="shared" si="1"/>
        <v>90.611400442320047</v>
      </c>
      <c r="G44">
        <f t="shared" ca="1" si="2"/>
        <v>42</v>
      </c>
      <c r="H44">
        <f t="shared" ca="1" si="3"/>
        <v>3805.6788185774421</v>
      </c>
      <c r="I44">
        <f t="shared" ca="1" si="4"/>
        <v>34246.429224806488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35887</v>
      </c>
      <c r="B46" s="66">
        <v>35887</v>
      </c>
      <c r="D46">
        <f t="shared" si="0"/>
        <v>85.341608998596939</v>
      </c>
      <c r="E46">
        <f t="shared" si="1"/>
        <v>85.341608998596939</v>
      </c>
      <c r="G46">
        <f t="shared" ca="1" si="2"/>
        <v>44</v>
      </c>
      <c r="H46">
        <f t="shared" ca="1" si="3"/>
        <v>3755.0307959382653</v>
      </c>
      <c r="I46">
        <f t="shared" ca="1" si="4"/>
        <v>25959.618075906666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35658</v>
      </c>
      <c r="B49" s="66">
        <v>35658</v>
      </c>
      <c r="D49">
        <f t="shared" si="0"/>
        <v>84.797032175215804</v>
      </c>
      <c r="E49">
        <f t="shared" si="1"/>
        <v>84.797032175215804</v>
      </c>
      <c r="G49">
        <f t="shared" ca="1" si="2"/>
        <v>47</v>
      </c>
      <c r="H49">
        <f t="shared" ca="1" si="3"/>
        <v>3985.4605122351427</v>
      </c>
      <c r="I49">
        <f t="shared" ca="1" si="4"/>
        <v>17683.523222993103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35192</v>
      </c>
      <c r="B51" s="66">
        <v>35192</v>
      </c>
      <c r="D51">
        <f t="shared" si="0"/>
        <v>83.688854010606164</v>
      </c>
      <c r="E51">
        <f t="shared" si="1"/>
        <v>83.688854010606164</v>
      </c>
      <c r="G51">
        <f t="shared" ca="1" si="2"/>
        <v>49</v>
      </c>
      <c r="H51">
        <f t="shared" ca="1" si="3"/>
        <v>4100.7538465197022</v>
      </c>
      <c r="I51">
        <f t="shared" ca="1" si="4"/>
        <v>12953.012425278224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36788</v>
      </c>
      <c r="B54" s="66">
        <v>36788</v>
      </c>
      <c r="D54">
        <f t="shared" si="0"/>
        <v>87.484245321157644</v>
      </c>
      <c r="E54">
        <f t="shared" si="1"/>
        <v>87.484245321157644</v>
      </c>
      <c r="G54">
        <f t="shared" ca="1" si="2"/>
        <v>52</v>
      </c>
      <c r="H54">
        <f t="shared" ca="1" si="3"/>
        <v>4549.1807567001979</v>
      </c>
      <c r="I54">
        <f t="shared" ca="1" si="4"/>
        <v>7797.512301637109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33937</v>
      </c>
      <c r="B57" s="66">
        <v>33937</v>
      </c>
      <c r="D57">
        <f t="shared" si="0"/>
        <v>80.704382773299088</v>
      </c>
      <c r="E57">
        <f t="shared" si="1"/>
        <v>80.704382773299088</v>
      </c>
      <c r="G57">
        <f t="shared" ca="1" si="2"/>
        <v>55</v>
      </c>
      <c r="H57">
        <f t="shared" ca="1" si="3"/>
        <v>4438.7410525314499</v>
      </c>
      <c r="I57">
        <f t="shared" ca="1" si="4"/>
        <v>3348.0303689799453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29320</v>
      </c>
      <c r="B59" s="66">
        <v>29320</v>
      </c>
      <c r="D59">
        <f t="shared" si="0"/>
        <v>69.724857910632323</v>
      </c>
      <c r="E59">
        <f t="shared" si="1"/>
        <v>69.724857910632323</v>
      </c>
      <c r="G59">
        <f t="shared" ca="1" si="2"/>
        <v>57</v>
      </c>
      <c r="H59">
        <f t="shared" ca="1" si="3"/>
        <v>3974.3169009060425</v>
      </c>
      <c r="I59">
        <f t="shared" ca="1" si="4"/>
        <v>1375.0813779701552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31242</v>
      </c>
      <c r="B62" s="66">
        <v>31242</v>
      </c>
      <c r="D62">
        <f t="shared" si="0"/>
        <v>74.295498323464358</v>
      </c>
      <c r="E62">
        <f t="shared" si="1"/>
        <v>74.295498323464358</v>
      </c>
      <c r="G62">
        <f t="shared" ca="1" si="2"/>
        <v>60</v>
      </c>
      <c r="H62">
        <f t="shared" ca="1" si="3"/>
        <v>4457.729899407861</v>
      </c>
      <c r="I62">
        <f t="shared" ca="1" si="4"/>
        <v>154.25043852817376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30602</v>
      </c>
      <c r="B64" s="66">
        <v>30602</v>
      </c>
      <c r="D64">
        <f t="shared" si="0"/>
        <v>72.773536895674297</v>
      </c>
      <c r="E64">
        <f t="shared" si="1"/>
        <v>72.773536895674297</v>
      </c>
      <c r="G64">
        <f t="shared" ca="1" si="2"/>
        <v>62</v>
      </c>
      <c r="H64">
        <f t="shared" ca="1" si="3"/>
        <v>4511.9592875318067</v>
      </c>
      <c r="I64">
        <f t="shared" ca="1" si="4"/>
        <v>22.74899403767424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31717</v>
      </c>
      <c r="B67" s="66">
        <v>31717</v>
      </c>
      <c r="D67">
        <f t="shared" ref="D67:D130" si="5">IFERROR( 100*A67/MAX(A$2:A$257), 0 )</f>
        <v>75.425079070652302</v>
      </c>
      <c r="E67">
        <f t="shared" ref="E67:E130" si="6">IFERROR( 100*B67/MAX(B$2:B$257), 0 )</f>
        <v>75.425079070652302</v>
      </c>
      <c r="G67">
        <f t="shared" ref="G67:G130" ca="1" si="7">CELL("row",D67)-2</f>
        <v>65</v>
      </c>
      <c r="H67">
        <f t="shared" ref="H67:H130" ca="1" si="8">D67*G67</f>
        <v>4902.6301395923992</v>
      </c>
      <c r="I67">
        <f t="shared" ref="I67:I130" ca="1" si="9">D67*((G67-$L$1)^2)</f>
        <v>955.42738177507385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31640</v>
      </c>
      <c r="B69" s="66">
        <v>31640</v>
      </c>
      <c r="D69">
        <f t="shared" si="5"/>
        <v>75.241968086371315</v>
      </c>
      <c r="E69">
        <f t="shared" si="6"/>
        <v>75.241968086371315</v>
      </c>
      <c r="G69">
        <f t="shared" ca="1" si="7"/>
        <v>67</v>
      </c>
      <c r="H69">
        <f t="shared" ca="1" si="8"/>
        <v>5041.2118617868782</v>
      </c>
      <c r="I69">
        <f t="shared" ca="1" si="9"/>
        <v>2325.2523831999038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34054</v>
      </c>
      <c r="B72" s="66">
        <v>34054</v>
      </c>
      <c r="D72">
        <f t="shared" si="5"/>
        <v>80.982616346816954</v>
      </c>
      <c r="E72">
        <f t="shared" si="6"/>
        <v>80.982616346816954</v>
      </c>
      <c r="G72">
        <f t="shared" ca="1" si="7"/>
        <v>70</v>
      </c>
      <c r="H72">
        <f t="shared" ca="1" si="8"/>
        <v>5668.7831442771867</v>
      </c>
      <c r="I72">
        <f t="shared" ca="1" si="9"/>
        <v>5932.6488046601025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34191</v>
      </c>
      <c r="B75" s="66">
        <v>34191</v>
      </c>
      <c r="D75">
        <f t="shared" si="5"/>
        <v>81.308411214953267</v>
      </c>
      <c r="E75">
        <f t="shared" si="6"/>
        <v>81.308411214953267</v>
      </c>
      <c r="G75">
        <f t="shared" ca="1" si="7"/>
        <v>73</v>
      </c>
      <c r="H75">
        <f t="shared" ca="1" si="8"/>
        <v>5935.5140186915887</v>
      </c>
      <c r="I75">
        <f t="shared" ca="1" si="9"/>
        <v>10863.855673710395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34023</v>
      </c>
      <c r="B77" s="66">
        <v>34023</v>
      </c>
      <c r="D77">
        <f t="shared" si="5"/>
        <v>80.908896340158378</v>
      </c>
      <c r="E77">
        <f t="shared" si="6"/>
        <v>80.908896340158378</v>
      </c>
      <c r="G77">
        <f t="shared" ca="1" si="7"/>
        <v>75</v>
      </c>
      <c r="H77">
        <f t="shared" ca="1" si="8"/>
        <v>6068.1672255118783</v>
      </c>
      <c r="I77">
        <f t="shared" ca="1" si="9"/>
        <v>14875.049024664431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35361</v>
      </c>
      <c r="B80" s="66">
        <v>35361</v>
      </c>
      <c r="D80">
        <f t="shared" si="5"/>
        <v>84.090746950131987</v>
      </c>
      <c r="E80">
        <f t="shared" si="6"/>
        <v>84.090746950131987</v>
      </c>
      <c r="G80">
        <f t="shared" ca="1" si="7"/>
        <v>78</v>
      </c>
      <c r="H80">
        <f t="shared" ca="1" si="8"/>
        <v>6559.0782621102953</v>
      </c>
      <c r="I80">
        <f t="shared" ca="1" si="9"/>
        <v>23058.019195622623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37209</v>
      </c>
      <c r="B82" s="66">
        <v>37209</v>
      </c>
      <c r="D82">
        <f t="shared" si="5"/>
        <v>88.485410572875793</v>
      </c>
      <c r="E82">
        <f t="shared" si="6"/>
        <v>88.485410572875793</v>
      </c>
      <c r="G82">
        <f t="shared" ca="1" si="7"/>
        <v>80</v>
      </c>
      <c r="H82">
        <f t="shared" ca="1" si="8"/>
        <v>7078.8328458300639</v>
      </c>
      <c r="I82">
        <f t="shared" ca="1" si="9"/>
        <v>30477.952448471158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38716</v>
      </c>
      <c r="B85" s="66">
        <v>38716</v>
      </c>
      <c r="D85">
        <f t="shared" si="5"/>
        <v>92.06915412237521</v>
      </c>
      <c r="E85">
        <f t="shared" si="6"/>
        <v>92.06915412237521</v>
      </c>
      <c r="G85">
        <f t="shared" ca="1" si="7"/>
        <v>83</v>
      </c>
      <c r="H85">
        <f t="shared" ca="1" si="8"/>
        <v>7641.7397921571428</v>
      </c>
      <c r="I85">
        <f t="shared" ca="1" si="9"/>
        <v>42793.28827717901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39638</v>
      </c>
      <c r="B88" s="66">
        <v>39638</v>
      </c>
      <c r="D88">
        <f t="shared" si="5"/>
        <v>94.261729804285267</v>
      </c>
      <c r="E88">
        <f t="shared" si="6"/>
        <v>94.261729804285267</v>
      </c>
      <c r="G88">
        <f t="shared" ca="1" si="7"/>
        <v>86</v>
      </c>
      <c r="H88">
        <f t="shared" ca="1" si="8"/>
        <v>8106.5087631685328</v>
      </c>
      <c r="I88">
        <f t="shared" ca="1" si="9"/>
        <v>56853.934093534452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41240</v>
      </c>
      <c r="B90" s="66">
        <v>41240</v>
      </c>
      <c r="D90">
        <f t="shared" si="5"/>
        <v>98.071389503222278</v>
      </c>
      <c r="E90">
        <f t="shared" si="6"/>
        <v>98.071389503222278</v>
      </c>
      <c r="G90">
        <f t="shared" ca="1" si="7"/>
        <v>88</v>
      </c>
      <c r="H90">
        <f t="shared" ca="1" si="8"/>
        <v>8630.2822762835603</v>
      </c>
      <c r="I90">
        <f t="shared" ca="1" si="9"/>
        <v>69178.197462330019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39192</v>
      </c>
      <c r="B93" s="66">
        <v>39192</v>
      </c>
      <c r="D93">
        <f t="shared" si="5"/>
        <v>93.201112934294073</v>
      </c>
      <c r="E93">
        <f t="shared" si="6"/>
        <v>93.201112934294073</v>
      </c>
      <c r="G93">
        <f t="shared" ca="1" si="7"/>
        <v>91</v>
      </c>
      <c r="H93">
        <f t="shared" ca="1" si="8"/>
        <v>8481.3012770207606</v>
      </c>
      <c r="I93">
        <f t="shared" ca="1" si="9"/>
        <v>81433.611533191113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36156</v>
      </c>
      <c r="B95" s="66">
        <v>36156</v>
      </c>
      <c r="D95">
        <f t="shared" si="5"/>
        <v>85.981308411214954</v>
      </c>
      <c r="E95">
        <f t="shared" si="6"/>
        <v>85.981308411214954</v>
      </c>
      <c r="G95">
        <f t="shared" ca="1" si="7"/>
        <v>93</v>
      </c>
      <c r="H95">
        <f t="shared" ca="1" si="8"/>
        <v>7996.2616822429909</v>
      </c>
      <c r="I95">
        <f t="shared" ca="1" si="9"/>
        <v>85635.421781490586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34891</v>
      </c>
      <c r="B98" s="66">
        <v>34891</v>
      </c>
      <c r="D98">
        <f t="shared" si="5"/>
        <v>82.973056526598654</v>
      </c>
      <c r="E98">
        <f t="shared" si="6"/>
        <v>82.973056526598654</v>
      </c>
      <c r="G98">
        <f t="shared" ca="1" si="7"/>
        <v>96</v>
      </c>
      <c r="H98">
        <f t="shared" ca="1" si="8"/>
        <v>7965.4134265534703</v>
      </c>
      <c r="I98">
        <f t="shared" ca="1" si="9"/>
        <v>99097.362084326625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29057</v>
      </c>
      <c r="B100" s="66">
        <v>29057</v>
      </c>
      <c r="D100">
        <f t="shared" si="5"/>
        <v>69.099426886399854</v>
      </c>
      <c r="E100">
        <f t="shared" si="6"/>
        <v>69.099426886399854</v>
      </c>
      <c r="G100">
        <f t="shared" ca="1" si="7"/>
        <v>98</v>
      </c>
      <c r="H100">
        <f t="shared" ca="1" si="8"/>
        <v>6771.7438348671858</v>
      </c>
      <c r="I100">
        <f t="shared" ca="1" si="9"/>
        <v>92356.100120655072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23859</v>
      </c>
      <c r="B103" s="66">
        <v>23859</v>
      </c>
      <c r="D103">
        <f t="shared" si="5"/>
        <v>56.738246415067415</v>
      </c>
      <c r="E103">
        <f t="shared" si="6"/>
        <v>56.738246415067415</v>
      </c>
      <c r="G103">
        <f t="shared" ca="1" si="7"/>
        <v>101</v>
      </c>
      <c r="H103">
        <f t="shared" ca="1" si="8"/>
        <v>5730.5628879218093</v>
      </c>
      <c r="I103">
        <f t="shared" ca="1" si="9"/>
        <v>88790.980457889498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21227</v>
      </c>
      <c r="B106" s="66">
        <v>21227</v>
      </c>
      <c r="D106">
        <f t="shared" si="5"/>
        <v>50.479180043280778</v>
      </c>
      <c r="E106">
        <f t="shared" si="6"/>
        <v>50.479180043280778</v>
      </c>
      <c r="G106">
        <f t="shared" ca="1" si="7"/>
        <v>104</v>
      </c>
      <c r="H106">
        <f t="shared" ca="1" si="8"/>
        <v>5249.834724501201</v>
      </c>
      <c r="I106">
        <f t="shared" ca="1" si="9"/>
        <v>91431.8043379437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19279</v>
      </c>
      <c r="B108" s="66">
        <v>19279</v>
      </c>
      <c r="D108">
        <f t="shared" si="5"/>
        <v>45.846709947444772</v>
      </c>
      <c r="E108">
        <f t="shared" si="6"/>
        <v>45.846709947444772</v>
      </c>
      <c r="G108">
        <f t="shared" ca="1" si="7"/>
        <v>106</v>
      </c>
      <c r="H108">
        <f t="shared" ca="1" si="8"/>
        <v>4859.7512544291458</v>
      </c>
      <c r="I108">
        <f t="shared" ca="1" si="9"/>
        <v>91029.282205594631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15778</v>
      </c>
      <c r="B111" s="66">
        <v>15778</v>
      </c>
      <c r="D111">
        <f t="shared" si="5"/>
        <v>37.521105324486932</v>
      </c>
      <c r="E111">
        <f t="shared" si="6"/>
        <v>37.521105324486932</v>
      </c>
      <c r="G111">
        <f t="shared" ca="1" si="7"/>
        <v>109</v>
      </c>
      <c r="H111">
        <f t="shared" ca="1" si="8"/>
        <v>4089.8004803690756</v>
      </c>
      <c r="I111">
        <f t="shared" ca="1" si="9"/>
        <v>84867.809540101283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11969</v>
      </c>
      <c r="B113" s="66">
        <v>11969</v>
      </c>
      <c r="D113">
        <f t="shared" si="5"/>
        <v>28.463056764405128</v>
      </c>
      <c r="E113">
        <f t="shared" si="6"/>
        <v>28.463056764405128</v>
      </c>
      <c r="G113">
        <f t="shared" ca="1" si="7"/>
        <v>111</v>
      </c>
      <c r="H113">
        <f t="shared" ca="1" si="8"/>
        <v>3159.3993008489692</v>
      </c>
      <c r="I113">
        <f t="shared" ca="1" si="9"/>
        <v>69908.256420695645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10300</v>
      </c>
      <c r="B116" s="66">
        <v>10300</v>
      </c>
      <c r="D116">
        <f t="shared" si="5"/>
        <v>24.49406672849635</v>
      </c>
      <c r="E116">
        <f t="shared" si="6"/>
        <v>24.49406672849635</v>
      </c>
      <c r="G116">
        <f t="shared" ca="1" si="7"/>
        <v>114</v>
      </c>
      <c r="H116">
        <f t="shared" ca="1" si="8"/>
        <v>2792.3236070485837</v>
      </c>
      <c r="I116">
        <f t="shared" ca="1" si="9"/>
        <v>67663.871030075024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7391</v>
      </c>
      <c r="B118" s="66">
        <v>7391</v>
      </c>
      <c r="D118">
        <f t="shared" si="5"/>
        <v>17.576276426244323</v>
      </c>
      <c r="E118">
        <f t="shared" si="6"/>
        <v>17.576276426244323</v>
      </c>
      <c r="G118">
        <f t="shared" ca="1" si="7"/>
        <v>116</v>
      </c>
      <c r="H118">
        <f t="shared" ca="1" si="8"/>
        <v>2038.8480654443415</v>
      </c>
      <c r="I118">
        <f t="shared" ca="1" si="9"/>
        <v>52319.233072253926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7331</v>
      </c>
      <c r="B121" s="66">
        <v>7331</v>
      </c>
      <c r="D121">
        <f t="shared" si="5"/>
        <v>17.433592542389004</v>
      </c>
      <c r="E121">
        <f t="shared" si="6"/>
        <v>17.433592542389004</v>
      </c>
      <c r="G121">
        <f t="shared" ca="1" si="7"/>
        <v>119</v>
      </c>
      <c r="H121">
        <f t="shared" ca="1" si="8"/>
        <v>2074.5975125442915</v>
      </c>
      <c r="I121">
        <f t="shared" ca="1" si="9"/>
        <v>57758.376216308126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5035</v>
      </c>
      <c r="B124" s="66">
        <v>5035</v>
      </c>
      <c r="D124">
        <f t="shared" si="5"/>
        <v>11.973555920192148</v>
      </c>
      <c r="E124">
        <f t="shared" si="6"/>
        <v>11.973555920192148</v>
      </c>
      <c r="G124">
        <f t="shared" ca="1" si="7"/>
        <v>122</v>
      </c>
      <c r="H124">
        <f t="shared" ca="1" si="8"/>
        <v>1460.7738222634421</v>
      </c>
      <c r="I124">
        <f t="shared" ca="1" si="9"/>
        <v>43911.883056484883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5785</v>
      </c>
      <c r="B126" s="66">
        <v>5785</v>
      </c>
      <c r="D126">
        <f t="shared" si="5"/>
        <v>13.757104468383629</v>
      </c>
      <c r="E126">
        <f t="shared" si="6"/>
        <v>13.757104468383629</v>
      </c>
      <c r="G126">
        <f t="shared" ca="1" si="7"/>
        <v>124</v>
      </c>
      <c r="H126">
        <f t="shared" ca="1" si="8"/>
        <v>1705.8809540795701</v>
      </c>
      <c r="I126">
        <f t="shared" ca="1" si="9"/>
        <v>53840.37876988158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4856</v>
      </c>
      <c r="B129" s="66">
        <v>4856</v>
      </c>
      <c r="D129">
        <f t="shared" si="5"/>
        <v>11.547882333357114</v>
      </c>
      <c r="E129">
        <f t="shared" si="6"/>
        <v>11.547882333357114</v>
      </c>
      <c r="G129">
        <f t="shared" ca="1" si="7"/>
        <v>127</v>
      </c>
      <c r="H129">
        <f t="shared" ca="1" si="8"/>
        <v>1466.5810563363534</v>
      </c>
      <c r="I129">
        <f t="shared" ca="1" si="9"/>
        <v>49632.756857897068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4551</v>
      </c>
      <c r="B131" s="66">
        <v>4551</v>
      </c>
      <c r="D131">
        <f t="shared" ref="D131:D194" si="10">IFERROR( 100*A131/MAX(A$2:A$257), 0 )</f>
        <v>10.822572590425912</v>
      </c>
      <c r="E131">
        <f t="shared" ref="E131:E194" si="11">IFERROR( 100*B131/MAX(B$2:B$257), 0 )</f>
        <v>10.822572590425912</v>
      </c>
      <c r="G131">
        <f t="shared" ref="G131:G194" ca="1" si="12">CELL("row",D131)-2</f>
        <v>129</v>
      </c>
      <c r="H131">
        <f t="shared" ref="H131:H194" ca="1" si="13">D131*G131</f>
        <v>1396.1118641649425</v>
      </c>
      <c r="I131">
        <f t="shared" ref="I131:I194" ca="1" si="14">D131*((G131-$L$1)^2)</f>
        <v>49396.741220084827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2807</v>
      </c>
      <c r="B134" s="66">
        <v>2807</v>
      </c>
      <c r="D134">
        <f t="shared" si="10"/>
        <v>6.6752276996979854</v>
      </c>
      <c r="E134">
        <f t="shared" si="11"/>
        <v>6.6752276996979854</v>
      </c>
      <c r="G134">
        <f t="shared" ca="1" si="12"/>
        <v>132</v>
      </c>
      <c r="H134">
        <f t="shared" ca="1" si="13"/>
        <v>881.13005636013406</v>
      </c>
      <c r="I134">
        <f t="shared" ca="1" si="14"/>
        <v>33233.205029265249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2310</v>
      </c>
      <c r="B136" s="66">
        <v>2310</v>
      </c>
      <c r="D136">
        <f t="shared" si="10"/>
        <v>5.4933295284297641</v>
      </c>
      <c r="E136">
        <f t="shared" si="11"/>
        <v>5.4933295284297641</v>
      </c>
      <c r="G136">
        <f t="shared" ca="1" si="12"/>
        <v>134</v>
      </c>
      <c r="H136">
        <f t="shared" ca="1" si="13"/>
        <v>736.10615680958836</v>
      </c>
      <c r="I136">
        <f t="shared" ca="1" si="14"/>
        <v>28921.412601003311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3074</v>
      </c>
      <c r="B139" s="66">
        <v>3074</v>
      </c>
      <c r="D139">
        <f t="shared" si="10"/>
        <v>7.310170982854153</v>
      </c>
      <c r="E139">
        <f t="shared" si="11"/>
        <v>7.310170982854153</v>
      </c>
      <c r="G139">
        <f t="shared" ca="1" si="12"/>
        <v>137</v>
      </c>
      <c r="H139">
        <f t="shared" ca="1" si="13"/>
        <v>1001.4934246510189</v>
      </c>
      <c r="I139">
        <f t="shared" ca="1" si="14"/>
        <v>41735.071293507463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3151</v>
      </c>
      <c r="B142" s="66">
        <v>3151</v>
      </c>
      <c r="D142">
        <f t="shared" si="10"/>
        <v>7.4932819671351458</v>
      </c>
      <c r="E142">
        <f t="shared" si="11"/>
        <v>7.4932819671351458</v>
      </c>
      <c r="G142">
        <f t="shared" ca="1" si="12"/>
        <v>140</v>
      </c>
      <c r="H142">
        <f t="shared" ca="1" si="13"/>
        <v>1049.0594753989203</v>
      </c>
      <c r="I142">
        <f t="shared" ca="1" si="14"/>
        <v>46245.038263442628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1740</v>
      </c>
      <c r="B144" s="66">
        <v>1740</v>
      </c>
      <c r="D144">
        <f t="shared" si="10"/>
        <v>4.1378326318042378</v>
      </c>
      <c r="E144">
        <f t="shared" si="11"/>
        <v>4.1378326318042378</v>
      </c>
      <c r="G144">
        <f t="shared" ca="1" si="12"/>
        <v>142</v>
      </c>
      <c r="H144">
        <f t="shared" ca="1" si="13"/>
        <v>587.57223371620171</v>
      </c>
      <c r="I144">
        <f t="shared" ca="1" si="14"/>
        <v>26853.580431515504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1314</v>
      </c>
      <c r="B147" s="66">
        <v>1314</v>
      </c>
      <c r="D147">
        <f t="shared" si="10"/>
        <v>3.1247770564314759</v>
      </c>
      <c r="E147">
        <f t="shared" si="11"/>
        <v>3.1247770564314759</v>
      </c>
      <c r="G147">
        <f t="shared" ca="1" si="12"/>
        <v>145</v>
      </c>
      <c r="H147">
        <f t="shared" ca="1" si="13"/>
        <v>453.092673182564</v>
      </c>
      <c r="I147">
        <f t="shared" ca="1" si="14"/>
        <v>21817.581628583648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400</v>
      </c>
      <c r="B149" s="66">
        <v>400</v>
      </c>
      <c r="D149">
        <f t="shared" si="10"/>
        <v>0.95122589236879029</v>
      </c>
      <c r="E149">
        <f t="shared" si="11"/>
        <v>0.95122589236879029</v>
      </c>
      <c r="G149">
        <f t="shared" ca="1" si="12"/>
        <v>147</v>
      </c>
      <c r="H149">
        <f t="shared" ca="1" si="13"/>
        <v>139.83020617821217</v>
      </c>
      <c r="I149">
        <f t="shared" ca="1" si="14"/>
        <v>6963.3166055506426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234</v>
      </c>
      <c r="B152" s="66">
        <v>234</v>
      </c>
      <c r="D152">
        <f t="shared" si="10"/>
        <v>0.55646714703574229</v>
      </c>
      <c r="E152">
        <f t="shared" si="11"/>
        <v>0.55646714703574229</v>
      </c>
      <c r="G152">
        <f t="shared" ca="1" si="12"/>
        <v>150</v>
      </c>
      <c r="H152">
        <f t="shared" ca="1" si="13"/>
        <v>83.470072055361342</v>
      </c>
      <c r="I152">
        <f t="shared" ca="1" si="14"/>
        <v>4364.2134091605949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377</v>
      </c>
      <c r="B154" s="66">
        <v>377</v>
      </c>
      <c r="D154">
        <f t="shared" si="10"/>
        <v>0.89653040355758484</v>
      </c>
      <c r="E154">
        <f t="shared" si="11"/>
        <v>0.89653040355758484</v>
      </c>
      <c r="G154">
        <f t="shared" ca="1" si="12"/>
        <v>152</v>
      </c>
      <c r="H154">
        <f t="shared" ca="1" si="13"/>
        <v>136.27262134075289</v>
      </c>
      <c r="I154">
        <f t="shared" ca="1" si="14"/>
        <v>7352.402561479149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566</v>
      </c>
      <c r="B157" s="66">
        <v>566</v>
      </c>
      <c r="D157">
        <f t="shared" si="10"/>
        <v>1.3459846377018383</v>
      </c>
      <c r="E157">
        <f t="shared" si="11"/>
        <v>1.3459846377018383</v>
      </c>
      <c r="G157">
        <f t="shared" ca="1" si="12"/>
        <v>155</v>
      </c>
      <c r="H157">
        <f t="shared" ca="1" si="13"/>
        <v>208.62761884378494</v>
      </c>
      <c r="I157">
        <f t="shared" ca="1" si="14"/>
        <v>11781.815895992126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574</v>
      </c>
      <c r="B160" s="66">
        <v>574</v>
      </c>
      <c r="D160">
        <f t="shared" si="10"/>
        <v>1.3650091555492141</v>
      </c>
      <c r="E160">
        <f t="shared" si="11"/>
        <v>1.3650091555492141</v>
      </c>
      <c r="G160">
        <f t="shared" ca="1" si="12"/>
        <v>158</v>
      </c>
      <c r="H160">
        <f t="shared" ca="1" si="13"/>
        <v>215.67144657677582</v>
      </c>
      <c r="I160">
        <f t="shared" ca="1" si="14"/>
        <v>12726.882631353845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144</v>
      </c>
      <c r="B162" s="66">
        <v>144</v>
      </c>
      <c r="D162">
        <f t="shared" si="10"/>
        <v>0.3424413212527645</v>
      </c>
      <c r="E162">
        <f t="shared" si="11"/>
        <v>0.3424413212527645</v>
      </c>
      <c r="G162">
        <f t="shared" ca="1" si="12"/>
        <v>160</v>
      </c>
      <c r="H162">
        <f t="shared" ca="1" si="13"/>
        <v>54.790611400442316</v>
      </c>
      <c r="I162">
        <f t="shared" ca="1" si="14"/>
        <v>3326.4398695303407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49</v>
      </c>
      <c r="B165" s="66">
        <v>49</v>
      </c>
      <c r="D165">
        <f t="shared" si="10"/>
        <v>0.11652517181517681</v>
      </c>
      <c r="E165">
        <f t="shared" si="11"/>
        <v>0.11652517181517681</v>
      </c>
      <c r="G165">
        <f t="shared" ca="1" si="12"/>
        <v>163</v>
      </c>
      <c r="H165">
        <f t="shared" ca="1" si="13"/>
        <v>18.993603005873819</v>
      </c>
      <c r="I165">
        <f t="shared" ca="1" si="14"/>
        <v>1201.8699940089055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346</v>
      </c>
      <c r="B1" s="66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72.390263174543762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1.397674296534041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0.72402829515648248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873</v>
      </c>
      <c r="B8" s="66">
        <v>873</v>
      </c>
      <c r="D8">
        <f t="shared" si="0"/>
        <v>1.9502278616745599</v>
      </c>
      <c r="E8">
        <f t="shared" si="1"/>
        <v>1.9502278616745599</v>
      </c>
      <c r="G8">
        <f t="shared" ca="1" si="2"/>
        <v>6</v>
      </c>
      <c r="H8">
        <f t="shared" ca="1" si="3"/>
        <v>11.701367170047359</v>
      </c>
      <c r="I8">
        <f t="shared" ca="1" si="4"/>
        <v>8595.9550749447408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2969</v>
      </c>
      <c r="B10" s="66">
        <v>2969</v>
      </c>
      <c r="D10">
        <f t="shared" si="0"/>
        <v>6.6325618800822088</v>
      </c>
      <c r="E10">
        <f t="shared" si="1"/>
        <v>6.6325618800822088</v>
      </c>
      <c r="G10">
        <f t="shared" ca="1" si="2"/>
        <v>8</v>
      </c>
      <c r="H10">
        <f t="shared" ca="1" si="3"/>
        <v>53.060495040657671</v>
      </c>
      <c r="I10">
        <f t="shared" ca="1" si="4"/>
        <v>27499.30455124368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10410</v>
      </c>
      <c r="B13" s="66">
        <v>10410</v>
      </c>
      <c r="D13">
        <f t="shared" si="0"/>
        <v>23.255294433026538</v>
      </c>
      <c r="E13">
        <f t="shared" si="1"/>
        <v>23.255294433026538</v>
      </c>
      <c r="G13">
        <f t="shared" ca="1" si="2"/>
        <v>11</v>
      </c>
      <c r="H13">
        <f t="shared" ca="1" si="3"/>
        <v>255.80823876329191</v>
      </c>
      <c r="I13">
        <f t="shared" ca="1" si="4"/>
        <v>87643.726064649571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24089</v>
      </c>
      <c r="B15" s="66">
        <v>24089</v>
      </c>
      <c r="D15">
        <f t="shared" si="0"/>
        <v>53.813332141899743</v>
      </c>
      <c r="E15">
        <f t="shared" si="1"/>
        <v>53.813332141899743</v>
      </c>
      <c r="G15">
        <f t="shared" ca="1" si="2"/>
        <v>13</v>
      </c>
      <c r="H15">
        <f t="shared" ca="1" si="3"/>
        <v>699.5733178446967</v>
      </c>
      <c r="I15">
        <f t="shared" ca="1" si="4"/>
        <v>189810.56594056039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35957</v>
      </c>
      <c r="B18" s="66">
        <v>35957</v>
      </c>
      <c r="D18">
        <f t="shared" si="0"/>
        <v>80.325708158341527</v>
      </c>
      <c r="E18">
        <f t="shared" si="1"/>
        <v>80.325708158341527</v>
      </c>
      <c r="G18">
        <f t="shared" ca="1" si="2"/>
        <v>16</v>
      </c>
      <c r="H18">
        <f t="shared" ca="1" si="3"/>
        <v>1285.2113305334644</v>
      </c>
      <c r="I18">
        <f t="shared" ca="1" si="4"/>
        <v>255424.6493959802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34521</v>
      </c>
      <c r="B21" s="66">
        <v>34521</v>
      </c>
      <c r="D21">
        <f t="shared" si="0"/>
        <v>77.117773210615667</v>
      </c>
      <c r="E21">
        <f t="shared" si="1"/>
        <v>77.117773210615667</v>
      </c>
      <c r="G21">
        <f t="shared" ca="1" si="2"/>
        <v>19</v>
      </c>
      <c r="H21">
        <f t="shared" ca="1" si="3"/>
        <v>1465.2376910016976</v>
      </c>
      <c r="I21">
        <f t="shared" ca="1" si="4"/>
        <v>219825.7704583187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34552</v>
      </c>
      <c r="B23" s="66">
        <v>34552</v>
      </c>
      <c r="D23">
        <f t="shared" si="0"/>
        <v>77.187025288178006</v>
      </c>
      <c r="E23">
        <f t="shared" si="1"/>
        <v>77.187025288178006</v>
      </c>
      <c r="G23">
        <f t="shared" ca="1" si="2"/>
        <v>21</v>
      </c>
      <c r="H23">
        <f t="shared" ca="1" si="3"/>
        <v>1620.9275310517382</v>
      </c>
      <c r="I23">
        <f t="shared" ca="1" si="4"/>
        <v>203847.7806303988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35028</v>
      </c>
      <c r="B26" s="66">
        <v>35028</v>
      </c>
      <c r="D26">
        <f t="shared" si="0"/>
        <v>78.250379769457595</v>
      </c>
      <c r="E26">
        <f t="shared" si="1"/>
        <v>78.250379769457595</v>
      </c>
      <c r="G26">
        <f t="shared" ca="1" si="2"/>
        <v>24</v>
      </c>
      <c r="H26">
        <f t="shared" ca="1" si="3"/>
        <v>1878.0091144669823</v>
      </c>
      <c r="I26">
        <f t="shared" ca="1" si="4"/>
        <v>183232.46413528515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33560</v>
      </c>
      <c r="B28" s="66">
        <v>33560</v>
      </c>
      <c r="D28">
        <f t="shared" si="0"/>
        <v>74.970958806183546</v>
      </c>
      <c r="E28">
        <f t="shared" si="1"/>
        <v>74.970958806183546</v>
      </c>
      <c r="G28">
        <f t="shared" ca="1" si="2"/>
        <v>26</v>
      </c>
      <c r="H28">
        <f t="shared" ca="1" si="3"/>
        <v>1949.2449289607721</v>
      </c>
      <c r="I28">
        <f t="shared" ca="1" si="4"/>
        <v>161341.74051483144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31602</v>
      </c>
      <c r="B31" s="66">
        <v>31602</v>
      </c>
      <c r="D31">
        <f t="shared" si="0"/>
        <v>70.596908229827534</v>
      </c>
      <c r="E31">
        <f t="shared" si="1"/>
        <v>70.596908229827534</v>
      </c>
      <c r="G31">
        <f t="shared" ca="1" si="2"/>
        <v>29</v>
      </c>
      <c r="H31">
        <f t="shared" ca="1" si="3"/>
        <v>2047.3103386649984</v>
      </c>
      <c r="I31">
        <f t="shared" ca="1" si="4"/>
        <v>132913.85372605582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31586</v>
      </c>
      <c r="B33" s="66">
        <v>31586</v>
      </c>
      <c r="D33">
        <f t="shared" si="0"/>
        <v>70.561165222053432</v>
      </c>
      <c r="E33">
        <f t="shared" si="1"/>
        <v>70.561165222053432</v>
      </c>
      <c r="G33">
        <f t="shared" ca="1" si="2"/>
        <v>31</v>
      </c>
      <c r="H33">
        <f t="shared" ca="1" si="3"/>
        <v>2187.3961218836566</v>
      </c>
      <c r="I33">
        <f t="shared" ca="1" si="4"/>
        <v>120882.13437671651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30092</v>
      </c>
      <c r="B36" s="66">
        <v>30092</v>
      </c>
      <c r="D36">
        <f t="shared" si="0"/>
        <v>67.223661871146462</v>
      </c>
      <c r="E36">
        <f t="shared" si="1"/>
        <v>67.223661871146462</v>
      </c>
      <c r="G36">
        <f t="shared" ca="1" si="2"/>
        <v>34</v>
      </c>
      <c r="H36">
        <f t="shared" ca="1" si="3"/>
        <v>2285.6045036189798</v>
      </c>
      <c r="I36">
        <f t="shared" ca="1" si="4"/>
        <v>99075.060161134214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29909</v>
      </c>
      <c r="B39" s="66">
        <v>29909</v>
      </c>
      <c r="D39">
        <f t="shared" si="0"/>
        <v>66.814851219730144</v>
      </c>
      <c r="E39">
        <f t="shared" si="1"/>
        <v>66.814851219730144</v>
      </c>
      <c r="G39">
        <f t="shared" ca="1" si="2"/>
        <v>37</v>
      </c>
      <c r="H39">
        <f t="shared" ca="1" si="3"/>
        <v>2472.1494951300156</v>
      </c>
      <c r="I39">
        <f t="shared" ca="1" si="4"/>
        <v>83683.645319220304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28546</v>
      </c>
      <c r="B41" s="66">
        <v>28546</v>
      </c>
      <c r="D41">
        <f t="shared" si="0"/>
        <v>63.76999374497364</v>
      </c>
      <c r="E41">
        <f t="shared" si="1"/>
        <v>63.76999374497364</v>
      </c>
      <c r="G41">
        <f t="shared" ca="1" si="2"/>
        <v>39</v>
      </c>
      <c r="H41">
        <f t="shared" ca="1" si="3"/>
        <v>2487.0297560539721</v>
      </c>
      <c r="I41">
        <f t="shared" ca="1" si="4"/>
        <v>71097.782992370339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26303</v>
      </c>
      <c r="B44" s="66">
        <v>26303</v>
      </c>
      <c r="D44">
        <f t="shared" si="0"/>
        <v>58.759270842641406</v>
      </c>
      <c r="E44">
        <f t="shared" si="1"/>
        <v>58.759270842641406</v>
      </c>
      <c r="G44">
        <f t="shared" ca="1" si="2"/>
        <v>42</v>
      </c>
      <c r="H44">
        <f t="shared" ca="1" si="3"/>
        <v>2467.8893753909392</v>
      </c>
      <c r="I44">
        <f t="shared" ca="1" si="4"/>
        <v>54268.187883794257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25796</v>
      </c>
      <c r="B46" s="66">
        <v>25796</v>
      </c>
      <c r="D46">
        <f t="shared" si="0"/>
        <v>57.626664283799485</v>
      </c>
      <c r="E46">
        <f t="shared" si="1"/>
        <v>57.626664283799485</v>
      </c>
      <c r="G46">
        <f t="shared" ca="1" si="2"/>
        <v>44</v>
      </c>
      <c r="H46">
        <f t="shared" ca="1" si="3"/>
        <v>2535.5732284871774</v>
      </c>
      <c r="I46">
        <f t="shared" ca="1" si="4"/>
        <v>46447.497284245816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27718</v>
      </c>
      <c r="B49" s="66">
        <v>27718</v>
      </c>
      <c r="D49">
        <f t="shared" si="0"/>
        <v>61.920293092663748</v>
      </c>
      <c r="E49">
        <f t="shared" si="1"/>
        <v>61.920293092663748</v>
      </c>
      <c r="G49">
        <f t="shared" ca="1" si="2"/>
        <v>47</v>
      </c>
      <c r="H49">
        <f t="shared" ca="1" si="3"/>
        <v>2910.253775355196</v>
      </c>
      <c r="I49">
        <f t="shared" ca="1" si="4"/>
        <v>39917.874482093051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28047</v>
      </c>
      <c r="B51" s="66">
        <v>28047</v>
      </c>
      <c r="D51">
        <f t="shared" si="0"/>
        <v>62.655258690018762</v>
      </c>
      <c r="E51">
        <f t="shared" si="1"/>
        <v>62.655258690018762</v>
      </c>
      <c r="G51">
        <f t="shared" ca="1" si="2"/>
        <v>49</v>
      </c>
      <c r="H51">
        <f t="shared" ca="1" si="3"/>
        <v>3070.1076758109193</v>
      </c>
      <c r="I51">
        <f t="shared" ca="1" si="4"/>
        <v>34278.968425114603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31324</v>
      </c>
      <c r="B54" s="66">
        <v>31324</v>
      </c>
      <c r="D54">
        <f t="shared" si="0"/>
        <v>69.975873469752486</v>
      </c>
      <c r="E54">
        <f t="shared" si="1"/>
        <v>69.975873469752486</v>
      </c>
      <c r="G54">
        <f t="shared" ca="1" si="2"/>
        <v>52</v>
      </c>
      <c r="H54">
        <f t="shared" ca="1" si="3"/>
        <v>3638.7454204271294</v>
      </c>
      <c r="I54">
        <f t="shared" ca="1" si="4"/>
        <v>29093.367348350945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32352</v>
      </c>
      <c r="B57" s="66">
        <v>32352</v>
      </c>
      <c r="D57">
        <f t="shared" si="0"/>
        <v>72.272361719238674</v>
      </c>
      <c r="E57">
        <f t="shared" si="1"/>
        <v>72.272361719238674</v>
      </c>
      <c r="G57">
        <f t="shared" ca="1" si="2"/>
        <v>55</v>
      </c>
      <c r="H57">
        <f t="shared" ca="1" si="3"/>
        <v>3974.9798945581269</v>
      </c>
      <c r="I57">
        <f t="shared" ca="1" si="4"/>
        <v>21856.698208629914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31267</v>
      </c>
      <c r="B59" s="66">
        <v>31267</v>
      </c>
      <c r="D59">
        <f t="shared" si="0"/>
        <v>69.848539004557239</v>
      </c>
      <c r="E59">
        <f t="shared" si="1"/>
        <v>69.848539004557239</v>
      </c>
      <c r="G59">
        <f t="shared" ca="1" si="2"/>
        <v>57</v>
      </c>
      <c r="H59">
        <f t="shared" ca="1" si="3"/>
        <v>3981.3667232597627</v>
      </c>
      <c r="I59">
        <f t="shared" ca="1" si="4"/>
        <v>16544.338958959368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30808</v>
      </c>
      <c r="B62" s="66">
        <v>30808</v>
      </c>
      <c r="D62">
        <f t="shared" si="0"/>
        <v>68.823161469037615</v>
      </c>
      <c r="E62">
        <f t="shared" si="1"/>
        <v>68.823161469037615</v>
      </c>
      <c r="G62">
        <f t="shared" ca="1" si="2"/>
        <v>60</v>
      </c>
      <c r="H62">
        <f t="shared" ca="1" si="3"/>
        <v>4129.389688142257</v>
      </c>
      <c r="I62">
        <f t="shared" ca="1" si="4"/>
        <v>10565.636878369889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30919</v>
      </c>
      <c r="B64" s="66">
        <v>30919</v>
      </c>
      <c r="D64">
        <f t="shared" si="0"/>
        <v>69.071128585470461</v>
      </c>
      <c r="E64">
        <f t="shared" si="1"/>
        <v>69.071128585470461</v>
      </c>
      <c r="G64">
        <f t="shared" ca="1" si="2"/>
        <v>62</v>
      </c>
      <c r="H64">
        <f t="shared" ca="1" si="3"/>
        <v>4282.4099722991687</v>
      </c>
      <c r="I64">
        <f t="shared" ca="1" si="4"/>
        <v>7456.7511188654889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29432</v>
      </c>
      <c r="B67" s="66">
        <v>29432</v>
      </c>
      <c r="D67">
        <f t="shared" ref="D67:D130" si="5">IFERROR(100*A67/MAX(A$2:A$257), 0 )</f>
        <v>65.749262800464663</v>
      </c>
      <c r="E67">
        <f t="shared" ref="E67:E130" si="6">IFERROR(100*B67/MAX(B$2:B$257), 0 )</f>
        <v>65.749262800464663</v>
      </c>
      <c r="G67">
        <f t="shared" ref="G67:G130" ca="1" si="7">CELL("row",D67)-2</f>
        <v>65</v>
      </c>
      <c r="H67">
        <f t="shared" ref="H67:H130" ca="1" si="8">D67*G67</f>
        <v>4273.7020820302032</v>
      </c>
      <c r="I67">
        <f t="shared" ref="I67:I130" ca="1" si="9">D67*((G67-$L$1)^2)</f>
        <v>3590.9610657456155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31052</v>
      </c>
      <c r="B69" s="66">
        <v>31052</v>
      </c>
      <c r="D69">
        <f t="shared" si="5"/>
        <v>69.368242337592704</v>
      </c>
      <c r="E69">
        <f t="shared" si="6"/>
        <v>69.368242337592704</v>
      </c>
      <c r="G69">
        <f t="shared" ca="1" si="7"/>
        <v>67</v>
      </c>
      <c r="H69">
        <f t="shared" ca="1" si="8"/>
        <v>4647.6722366187114</v>
      </c>
      <c r="I69">
        <f t="shared" ca="1" si="9"/>
        <v>2015.4899172210798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32548</v>
      </c>
      <c r="B72" s="66">
        <v>32548</v>
      </c>
      <c r="D72">
        <f t="shared" si="5"/>
        <v>72.710213564471445</v>
      </c>
      <c r="E72">
        <f t="shared" si="6"/>
        <v>72.710213564471445</v>
      </c>
      <c r="G72">
        <f t="shared" ca="1" si="7"/>
        <v>70</v>
      </c>
      <c r="H72">
        <f t="shared" ca="1" si="8"/>
        <v>5089.7149495130016</v>
      </c>
      <c r="I72">
        <f t="shared" ca="1" si="9"/>
        <v>415.41948351899413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35262</v>
      </c>
      <c r="B75" s="66">
        <v>35262</v>
      </c>
      <c r="D75">
        <f t="shared" si="5"/>
        <v>78.773121258153878</v>
      </c>
      <c r="E75">
        <f t="shared" si="6"/>
        <v>78.773121258153878</v>
      </c>
      <c r="G75">
        <f t="shared" ca="1" si="7"/>
        <v>73</v>
      </c>
      <c r="H75">
        <f t="shared" ca="1" si="8"/>
        <v>5750.4378518452331</v>
      </c>
      <c r="I75">
        <f t="shared" ca="1" si="9"/>
        <v>29.286191958149328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36449</v>
      </c>
      <c r="B77" s="66">
        <v>36449</v>
      </c>
      <c r="D77">
        <f t="shared" si="5"/>
        <v>81.424805647395232</v>
      </c>
      <c r="E77">
        <f t="shared" si="6"/>
        <v>81.424805647395232</v>
      </c>
      <c r="G77">
        <f t="shared" ca="1" si="7"/>
        <v>75</v>
      </c>
      <c r="H77">
        <f t="shared" ca="1" si="8"/>
        <v>6106.8604235546427</v>
      </c>
      <c r="I77">
        <f t="shared" ca="1" si="9"/>
        <v>554.56206514384894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39221</v>
      </c>
      <c r="B80" s="66">
        <v>39221</v>
      </c>
      <c r="D80">
        <f t="shared" si="5"/>
        <v>87.617281744258776</v>
      </c>
      <c r="E80">
        <f t="shared" si="6"/>
        <v>87.617281744258776</v>
      </c>
      <c r="G80">
        <f t="shared" ca="1" si="7"/>
        <v>78</v>
      </c>
      <c r="H80">
        <f t="shared" ca="1" si="8"/>
        <v>6834.1479760521843</v>
      </c>
      <c r="I80">
        <f t="shared" ca="1" si="9"/>
        <v>2757.2411409319052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41860</v>
      </c>
      <c r="B82" s="66">
        <v>41860</v>
      </c>
      <c r="D82">
        <f t="shared" si="5"/>
        <v>93.512644089000091</v>
      </c>
      <c r="E82">
        <f t="shared" si="6"/>
        <v>93.512644089000091</v>
      </c>
      <c r="G82">
        <f t="shared" ca="1" si="7"/>
        <v>80</v>
      </c>
      <c r="H82">
        <f t="shared" ca="1" si="8"/>
        <v>7481.0115271200075</v>
      </c>
      <c r="I82">
        <f t="shared" ca="1" si="9"/>
        <v>5415.1390357792479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44327</v>
      </c>
      <c r="B85" s="66">
        <v>44327</v>
      </c>
      <c r="D85">
        <f t="shared" si="5"/>
        <v>99.023769100169773</v>
      </c>
      <c r="E85">
        <f t="shared" si="6"/>
        <v>99.023769100169773</v>
      </c>
      <c r="G85">
        <f t="shared" ca="1" si="7"/>
        <v>83</v>
      </c>
      <c r="H85">
        <f t="shared" ca="1" si="8"/>
        <v>8218.9728353140908</v>
      </c>
      <c r="I85">
        <f t="shared" ca="1" si="9"/>
        <v>11146.76063982159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43129</v>
      </c>
      <c r="B88" s="66">
        <v>43129</v>
      </c>
      <c r="D88">
        <f t="shared" si="5"/>
        <v>96.347511393083721</v>
      </c>
      <c r="E88">
        <f t="shared" si="6"/>
        <v>96.347511393083721</v>
      </c>
      <c r="G88">
        <f t="shared" ca="1" si="7"/>
        <v>86</v>
      </c>
      <c r="H88">
        <f t="shared" ca="1" si="8"/>
        <v>8285.8859798051999</v>
      </c>
      <c r="I88">
        <f t="shared" ca="1" si="9"/>
        <v>17845.961675687671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44764</v>
      </c>
      <c r="B90" s="66">
        <v>44764</v>
      </c>
      <c r="D90">
        <f t="shared" si="5"/>
        <v>100</v>
      </c>
      <c r="E90">
        <f t="shared" si="6"/>
        <v>100</v>
      </c>
      <c r="G90">
        <f t="shared" ca="1" si="7"/>
        <v>88</v>
      </c>
      <c r="H90">
        <f t="shared" ca="1" si="8"/>
        <v>8800</v>
      </c>
      <c r="I90">
        <f t="shared" ca="1" si="9"/>
        <v>24366.388376000461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42290</v>
      </c>
      <c r="B93" s="66">
        <v>42290</v>
      </c>
      <c r="D93">
        <f t="shared" si="5"/>
        <v>94.473237422929145</v>
      </c>
      <c r="E93">
        <f t="shared" si="6"/>
        <v>94.473237422929145</v>
      </c>
      <c r="G93">
        <f t="shared" ca="1" si="7"/>
        <v>91</v>
      </c>
      <c r="H93">
        <f t="shared" ca="1" si="8"/>
        <v>8597.064605486552</v>
      </c>
      <c r="I93">
        <f t="shared" ca="1" si="9"/>
        <v>32718.189317982891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40014</v>
      </c>
      <c r="B95" s="66">
        <v>40014</v>
      </c>
      <c r="D95">
        <f t="shared" si="5"/>
        <v>89.388794567062817</v>
      </c>
      <c r="E95">
        <f t="shared" si="6"/>
        <v>89.388794567062817</v>
      </c>
      <c r="G95">
        <f t="shared" ca="1" si="7"/>
        <v>93</v>
      </c>
      <c r="H95">
        <f t="shared" ca="1" si="8"/>
        <v>8313.1578947368416</v>
      </c>
      <c r="I95">
        <f t="shared" ca="1" si="9"/>
        <v>37968.896296378523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38208</v>
      </c>
      <c r="B98" s="66">
        <v>38208</v>
      </c>
      <c r="D98">
        <f t="shared" si="5"/>
        <v>85.354302564560811</v>
      </c>
      <c r="E98">
        <f t="shared" si="6"/>
        <v>85.354302564560811</v>
      </c>
      <c r="G98">
        <f t="shared" ca="1" si="7"/>
        <v>96</v>
      </c>
      <c r="H98">
        <f t="shared" ca="1" si="8"/>
        <v>8194.013046197837</v>
      </c>
      <c r="I98">
        <f t="shared" ca="1" si="9"/>
        <v>47578.167421889841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34650</v>
      </c>
      <c r="B100" s="66">
        <v>34650</v>
      </c>
      <c r="D100">
        <f t="shared" si="5"/>
        <v>77.405951210794385</v>
      </c>
      <c r="E100">
        <f t="shared" si="6"/>
        <v>77.405951210794385</v>
      </c>
      <c r="G100">
        <f t="shared" ca="1" si="7"/>
        <v>98</v>
      </c>
      <c r="H100">
        <f t="shared" ca="1" si="8"/>
        <v>7585.7832186578498</v>
      </c>
      <c r="I100">
        <f t="shared" ca="1" si="9"/>
        <v>50767.360361731146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30104</v>
      </c>
      <c r="B103" s="66">
        <v>30104</v>
      </c>
      <c r="D103">
        <f t="shared" si="5"/>
        <v>67.250469126977038</v>
      </c>
      <c r="E103">
        <f t="shared" si="6"/>
        <v>67.250469126977038</v>
      </c>
      <c r="G103">
        <f t="shared" ca="1" si="7"/>
        <v>101</v>
      </c>
      <c r="H103">
        <f t="shared" ca="1" si="8"/>
        <v>6792.297381824681</v>
      </c>
      <c r="I103">
        <f t="shared" ca="1" si="9"/>
        <v>55045.655010595743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29683</v>
      </c>
      <c r="B106" s="66">
        <v>29683</v>
      </c>
      <c r="D106">
        <f t="shared" si="5"/>
        <v>66.309981234920912</v>
      </c>
      <c r="E106">
        <f t="shared" si="6"/>
        <v>66.309981234920912</v>
      </c>
      <c r="G106">
        <f t="shared" ca="1" si="7"/>
        <v>104</v>
      </c>
      <c r="H106">
        <f t="shared" ca="1" si="8"/>
        <v>6896.2380484317746</v>
      </c>
      <c r="I106">
        <f t="shared" ca="1" si="9"/>
        <v>66255.306147191441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25786</v>
      </c>
      <c r="B108" s="66">
        <v>25786</v>
      </c>
      <c r="D108">
        <f t="shared" si="5"/>
        <v>57.604324903940665</v>
      </c>
      <c r="E108">
        <f t="shared" si="6"/>
        <v>57.604324903940665</v>
      </c>
      <c r="G108">
        <f t="shared" ca="1" si="7"/>
        <v>106</v>
      </c>
      <c r="H108">
        <f t="shared" ca="1" si="8"/>
        <v>6106.0584398177107</v>
      </c>
      <c r="I108">
        <f t="shared" ca="1" si="9"/>
        <v>65070.675459653299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21679</v>
      </c>
      <c r="B111" s="66">
        <v>21679</v>
      </c>
      <c r="D111">
        <f t="shared" si="5"/>
        <v>48.429541595925301</v>
      </c>
      <c r="E111">
        <f t="shared" si="6"/>
        <v>48.429541595925301</v>
      </c>
      <c r="G111">
        <f t="shared" ca="1" si="7"/>
        <v>109</v>
      </c>
      <c r="H111">
        <f t="shared" ca="1" si="8"/>
        <v>5278.820033955858</v>
      </c>
      <c r="I111">
        <f t="shared" ca="1" si="9"/>
        <v>64908.79879115786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17821</v>
      </c>
      <c r="B113" s="66">
        <v>17821</v>
      </c>
      <c r="D113">
        <f t="shared" si="5"/>
        <v>39.811008846394422</v>
      </c>
      <c r="E113">
        <f t="shared" si="6"/>
        <v>39.811008846394422</v>
      </c>
      <c r="G113">
        <f t="shared" ca="1" si="7"/>
        <v>111</v>
      </c>
      <c r="H113">
        <f t="shared" ca="1" si="8"/>
        <v>4419.0219819497806</v>
      </c>
      <c r="I113">
        <f t="shared" ca="1" si="9"/>
        <v>59346.739770672859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17525</v>
      </c>
      <c r="B116" s="66">
        <v>17525</v>
      </c>
      <c r="D116">
        <f t="shared" si="5"/>
        <v>39.149763202573496</v>
      </c>
      <c r="E116">
        <f t="shared" si="6"/>
        <v>39.149763202573496</v>
      </c>
      <c r="G116">
        <f t="shared" ca="1" si="7"/>
        <v>114</v>
      </c>
      <c r="H116">
        <f t="shared" ca="1" si="8"/>
        <v>4463.0730050933789</v>
      </c>
      <c r="I116">
        <f t="shared" ca="1" si="9"/>
        <v>67782.733294460617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13334</v>
      </c>
      <c r="B118" s="66">
        <v>13334</v>
      </c>
      <c r="D118">
        <f t="shared" si="5"/>
        <v>29.787329103744081</v>
      </c>
      <c r="E118">
        <f t="shared" si="6"/>
        <v>29.787329103744081</v>
      </c>
      <c r="G118">
        <f t="shared" ca="1" si="7"/>
        <v>116</v>
      </c>
      <c r="H118">
        <f t="shared" ca="1" si="8"/>
        <v>3455.3301760343134</v>
      </c>
      <c r="I118">
        <f t="shared" ca="1" si="9"/>
        <v>56649.814923982165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15489</v>
      </c>
      <c r="B121" s="66">
        <v>15489</v>
      </c>
      <c r="D121">
        <f t="shared" si="5"/>
        <v>34.601465463318739</v>
      </c>
      <c r="E121">
        <f t="shared" si="6"/>
        <v>34.601465463318739</v>
      </c>
      <c r="G121">
        <f t="shared" ca="1" si="7"/>
        <v>119</v>
      </c>
      <c r="H121">
        <f t="shared" ca="1" si="8"/>
        <v>4117.5743901349297</v>
      </c>
      <c r="I121">
        <f t="shared" ca="1" si="9"/>
        <v>75170.561487595376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13670</v>
      </c>
      <c r="B124" s="66">
        <v>13670</v>
      </c>
      <c r="D124">
        <f t="shared" si="5"/>
        <v>30.537932267000269</v>
      </c>
      <c r="E124">
        <f t="shared" si="6"/>
        <v>30.537932267000269</v>
      </c>
      <c r="G124">
        <f t="shared" ca="1" si="7"/>
        <v>122</v>
      </c>
      <c r="H124">
        <f t="shared" ca="1" si="8"/>
        <v>3725.627736574033</v>
      </c>
      <c r="I124">
        <f t="shared" ca="1" si="9"/>
        <v>75157.698718770363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12838</v>
      </c>
      <c r="B126" s="66">
        <v>12838</v>
      </c>
      <c r="D126">
        <f t="shared" si="5"/>
        <v>28.679295862746851</v>
      </c>
      <c r="E126">
        <f t="shared" si="6"/>
        <v>28.679295862746851</v>
      </c>
      <c r="G126">
        <f t="shared" ca="1" si="7"/>
        <v>124</v>
      </c>
      <c r="H126">
        <f t="shared" ca="1" si="8"/>
        <v>3556.2326869806097</v>
      </c>
      <c r="I126">
        <f t="shared" ca="1" si="9"/>
        <v>76389.166826033994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11523</v>
      </c>
      <c r="B129" s="66">
        <v>11523</v>
      </c>
      <c r="D129">
        <f t="shared" si="5"/>
        <v>25.741667411312662</v>
      </c>
      <c r="E129">
        <f t="shared" si="6"/>
        <v>25.741667411312662</v>
      </c>
      <c r="G129">
        <f t="shared" ca="1" si="7"/>
        <v>127</v>
      </c>
      <c r="H129">
        <f t="shared" ca="1" si="8"/>
        <v>3269.1917612367079</v>
      </c>
      <c r="I129">
        <f t="shared" ca="1" si="9"/>
        <v>76767.40178014843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10689</v>
      </c>
      <c r="B131" s="66">
        <v>10689</v>
      </c>
      <c r="D131">
        <f t="shared" ref="D131:D194" si="10">IFERROR(100*A131/MAX(A$2:A$257), 0 )</f>
        <v>23.878563131087482</v>
      </c>
      <c r="E131">
        <f t="shared" ref="E131:E194" si="11">IFERROR(100*B131/MAX(B$2:B$257), 0 )</f>
        <v>23.878563131087482</v>
      </c>
      <c r="G131">
        <f t="shared" ref="G131:G194" ca="1" si="12">CELL("row",D131)-2</f>
        <v>129</v>
      </c>
      <c r="H131">
        <f t="shared" ref="H131:H194" ca="1" si="13">D131*G131</f>
        <v>3080.3346439102852</v>
      </c>
      <c r="I131">
        <f t="shared" ref="I131:I194" ca="1" si="14">D131*((G131-$L$1)^2)</f>
        <v>76522.73112668535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10350</v>
      </c>
      <c r="B134" s="66">
        <v>10350</v>
      </c>
      <c r="D134">
        <f t="shared" si="10"/>
        <v>23.121258153873647</v>
      </c>
      <c r="E134">
        <f t="shared" si="11"/>
        <v>23.121258153873647</v>
      </c>
      <c r="G134">
        <f t="shared" ca="1" si="12"/>
        <v>132</v>
      </c>
      <c r="H134">
        <f t="shared" ca="1" si="13"/>
        <v>3052.0060763113215</v>
      </c>
      <c r="I134">
        <f t="shared" ca="1" si="14"/>
        <v>82157.245772365262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10585</v>
      </c>
      <c r="B136" s="66">
        <v>10585</v>
      </c>
      <c r="D136">
        <f t="shared" si="10"/>
        <v>23.646233580555805</v>
      </c>
      <c r="E136">
        <f t="shared" si="11"/>
        <v>23.646233580555805</v>
      </c>
      <c r="G136">
        <f t="shared" ca="1" si="12"/>
        <v>134</v>
      </c>
      <c r="H136">
        <f t="shared" ca="1" si="13"/>
        <v>3168.5952997944778</v>
      </c>
      <c r="I136">
        <f t="shared" ca="1" si="14"/>
        <v>89755.419812718814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6885</v>
      </c>
      <c r="B139" s="66">
        <v>6885</v>
      </c>
      <c r="D139">
        <f t="shared" si="10"/>
        <v>15.38066303279421</v>
      </c>
      <c r="E139">
        <f t="shared" si="11"/>
        <v>15.38066303279421</v>
      </c>
      <c r="G139">
        <f t="shared" ca="1" si="12"/>
        <v>137</v>
      </c>
      <c r="H139">
        <f t="shared" ca="1" si="13"/>
        <v>2107.1508354928069</v>
      </c>
      <c r="I139">
        <f t="shared" ca="1" si="14"/>
        <v>64205.318041121704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6878</v>
      </c>
      <c r="B142" s="66">
        <v>6878</v>
      </c>
      <c r="D142">
        <f t="shared" si="10"/>
        <v>15.365025466893039</v>
      </c>
      <c r="E142">
        <f t="shared" si="11"/>
        <v>15.365025466893039</v>
      </c>
      <c r="G142">
        <f t="shared" ca="1" si="12"/>
        <v>140</v>
      </c>
      <c r="H142">
        <f t="shared" ca="1" si="13"/>
        <v>2151.1035653650256</v>
      </c>
      <c r="I142">
        <f t="shared" ca="1" si="14"/>
        <v>70234.707042695169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5645</v>
      </c>
      <c r="B144" s="66">
        <v>5645</v>
      </c>
      <c r="D144">
        <f t="shared" si="10"/>
        <v>12.610579930301135</v>
      </c>
      <c r="E144">
        <f t="shared" si="11"/>
        <v>12.610579930301135</v>
      </c>
      <c r="G144">
        <f t="shared" ca="1" si="12"/>
        <v>142</v>
      </c>
      <c r="H144">
        <f t="shared" ca="1" si="13"/>
        <v>1790.7023501027611</v>
      </c>
      <c r="I144">
        <f t="shared" ca="1" si="14"/>
        <v>61104.760023306408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6727</v>
      </c>
      <c r="B147" s="66">
        <v>6727</v>
      </c>
      <c r="D147">
        <f t="shared" si="10"/>
        <v>15.02770083102493</v>
      </c>
      <c r="E147">
        <f t="shared" si="11"/>
        <v>15.02770083102493</v>
      </c>
      <c r="G147">
        <f t="shared" ca="1" si="12"/>
        <v>145</v>
      </c>
      <c r="H147">
        <f t="shared" ca="1" si="13"/>
        <v>2179.0166204986149</v>
      </c>
      <c r="I147">
        <f t="shared" ca="1" si="14"/>
        <v>79228.651825765744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4994</v>
      </c>
      <c r="B149" s="66">
        <v>4994</v>
      </c>
      <c r="D149">
        <f t="shared" si="10"/>
        <v>11.156286301492271</v>
      </c>
      <c r="E149">
        <f t="shared" si="11"/>
        <v>11.156286301492271</v>
      </c>
      <c r="G149">
        <f t="shared" ca="1" si="12"/>
        <v>147</v>
      </c>
      <c r="H149">
        <f t="shared" ca="1" si="13"/>
        <v>1639.9740863193638</v>
      </c>
      <c r="I149">
        <f t="shared" ca="1" si="14"/>
        <v>62102.726451711693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5376</v>
      </c>
      <c r="B152" s="66">
        <v>5376</v>
      </c>
      <c r="D152">
        <f t="shared" si="10"/>
        <v>12.009650612099009</v>
      </c>
      <c r="E152">
        <f t="shared" si="11"/>
        <v>12.009650612099009</v>
      </c>
      <c r="G152">
        <f t="shared" ca="1" si="12"/>
        <v>150</v>
      </c>
      <c r="H152">
        <f t="shared" ca="1" si="13"/>
        <v>1801.4475918148512</v>
      </c>
      <c r="I152">
        <f t="shared" ca="1" si="14"/>
        <v>72337.383255800916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5436</v>
      </c>
      <c r="B154" s="66">
        <v>5436</v>
      </c>
      <c r="D154">
        <f t="shared" si="10"/>
        <v>12.1436868912519</v>
      </c>
      <c r="E154">
        <f t="shared" si="11"/>
        <v>12.1436868912519</v>
      </c>
      <c r="G154">
        <f t="shared" ca="1" si="12"/>
        <v>152</v>
      </c>
      <c r="H154">
        <f t="shared" ca="1" si="13"/>
        <v>1845.8404074702887</v>
      </c>
      <c r="I154">
        <f t="shared" ca="1" si="14"/>
        <v>76963.168244943357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5778</v>
      </c>
      <c r="B157" s="66">
        <v>5778</v>
      </c>
      <c r="D157">
        <f t="shared" si="10"/>
        <v>12.907693682423377</v>
      </c>
      <c r="E157">
        <f t="shared" si="11"/>
        <v>12.907693682423377</v>
      </c>
      <c r="G157">
        <f t="shared" ca="1" si="12"/>
        <v>155</v>
      </c>
      <c r="H157">
        <f t="shared" ca="1" si="13"/>
        <v>2000.6925207756233</v>
      </c>
      <c r="I157">
        <f t="shared" ca="1" si="14"/>
        <v>88086.859701877518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4347</v>
      </c>
      <c r="B160" s="66">
        <v>4347</v>
      </c>
      <c r="D160">
        <f t="shared" si="10"/>
        <v>9.7109284246269318</v>
      </c>
      <c r="E160">
        <f t="shared" si="11"/>
        <v>9.7109284246269318</v>
      </c>
      <c r="G160">
        <f t="shared" ca="1" si="12"/>
        <v>158</v>
      </c>
      <c r="H160">
        <f t="shared" ca="1" si="13"/>
        <v>1534.3266910910552</v>
      </c>
      <c r="I160">
        <f t="shared" ca="1" si="14"/>
        <v>71171.657001029613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3258</v>
      </c>
      <c r="B162" s="66">
        <v>3258</v>
      </c>
      <c r="D162">
        <f t="shared" si="10"/>
        <v>7.2781699580019659</v>
      </c>
      <c r="E162">
        <f t="shared" si="11"/>
        <v>7.2781699580019659</v>
      </c>
      <c r="G162">
        <f t="shared" ca="1" si="12"/>
        <v>160</v>
      </c>
      <c r="H162">
        <f t="shared" ca="1" si="13"/>
        <v>1164.5071932803146</v>
      </c>
      <c r="I162">
        <f t="shared" ca="1" si="14"/>
        <v>55863.345957525104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2902</v>
      </c>
      <c r="B165" s="66">
        <v>2902</v>
      </c>
      <c r="D165">
        <f t="shared" si="10"/>
        <v>6.4828880350281475</v>
      </c>
      <c r="E165">
        <f t="shared" si="11"/>
        <v>6.4828880350281475</v>
      </c>
      <c r="G165">
        <f t="shared" ca="1" si="12"/>
        <v>163</v>
      </c>
      <c r="H165">
        <f t="shared" ca="1" si="13"/>
        <v>1056.7107497095881</v>
      </c>
      <c r="I165">
        <f t="shared" ca="1" si="14"/>
        <v>53225.317287982827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2970</v>
      </c>
      <c r="B167" s="66">
        <v>2970</v>
      </c>
      <c r="D167">
        <f t="shared" si="10"/>
        <v>6.6347958180680902</v>
      </c>
      <c r="E167">
        <f t="shared" si="11"/>
        <v>6.6347958180680902</v>
      </c>
      <c r="G167">
        <f t="shared" ca="1" si="12"/>
        <v>165</v>
      </c>
      <c r="H167">
        <f t="shared" ca="1" si="13"/>
        <v>1094.741309981235</v>
      </c>
      <c r="I167">
        <f t="shared" ca="1" si="14"/>
        <v>56903.746680355616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3220</v>
      </c>
      <c r="B170" s="66">
        <v>3220</v>
      </c>
      <c r="D170">
        <f t="shared" si="10"/>
        <v>7.1932803145384687</v>
      </c>
      <c r="E170">
        <f t="shared" si="11"/>
        <v>7.1932803145384687</v>
      </c>
      <c r="G170">
        <f t="shared" ca="1" si="12"/>
        <v>168</v>
      </c>
      <c r="H170">
        <f t="shared" ca="1" si="13"/>
        <v>1208.4710928424627</v>
      </c>
      <c r="I170">
        <f t="shared" ca="1" si="14"/>
        <v>65755.370650929923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2751</v>
      </c>
      <c r="B173" s="66">
        <v>2751</v>
      </c>
      <c r="D173">
        <f t="shared" si="10"/>
        <v>6.1455633991600394</v>
      </c>
      <c r="E173">
        <f t="shared" si="11"/>
        <v>6.1455633991600394</v>
      </c>
      <c r="G173">
        <f t="shared" ca="1" si="12"/>
        <v>171</v>
      </c>
      <c r="H173">
        <f t="shared" ca="1" si="13"/>
        <v>1050.8913412563668</v>
      </c>
      <c r="I173">
        <f t="shared" ca="1" si="14"/>
        <v>59758.722235183566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3034</v>
      </c>
      <c r="B175" s="66">
        <v>3034</v>
      </c>
      <c r="D175">
        <f t="shared" si="10"/>
        <v>6.7777678491645075</v>
      </c>
      <c r="E175">
        <f t="shared" si="11"/>
        <v>6.7777678491645075</v>
      </c>
      <c r="G175">
        <f t="shared" ca="1" si="12"/>
        <v>173</v>
      </c>
      <c r="H175">
        <f t="shared" ca="1" si="13"/>
        <v>1172.5538379054599</v>
      </c>
      <c r="I175">
        <f t="shared" ca="1" si="14"/>
        <v>68606.729253779093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4766</v>
      </c>
      <c r="B178" s="66">
        <v>4766</v>
      </c>
      <c r="D178">
        <f t="shared" si="10"/>
        <v>10.646948440711286</v>
      </c>
      <c r="E178">
        <f t="shared" si="11"/>
        <v>10.646948440711286</v>
      </c>
      <c r="G178">
        <f t="shared" ca="1" si="12"/>
        <v>176</v>
      </c>
      <c r="H178">
        <f t="shared" ca="1" si="13"/>
        <v>1873.8629255651863</v>
      </c>
      <c r="I178">
        <f t="shared" ca="1" si="14"/>
        <v>114294.75264717649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4241</v>
      </c>
      <c r="B180" s="66">
        <v>4241</v>
      </c>
      <c r="D180">
        <f t="shared" si="10"/>
        <v>9.474130998123492</v>
      </c>
      <c r="E180">
        <f t="shared" si="11"/>
        <v>9.474130998123492</v>
      </c>
      <c r="G180">
        <f t="shared" ca="1" si="12"/>
        <v>178</v>
      </c>
      <c r="H180">
        <f t="shared" ca="1" si="13"/>
        <v>1686.3953176659816</v>
      </c>
      <c r="I180">
        <f t="shared" ca="1" si="14"/>
        <v>105668.92911456297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2287</v>
      </c>
      <c r="B183" s="66">
        <v>2287</v>
      </c>
      <c r="D183">
        <f t="shared" si="10"/>
        <v>5.1090161737110176</v>
      </c>
      <c r="E183">
        <f t="shared" si="11"/>
        <v>5.1090161737110176</v>
      </c>
      <c r="G183">
        <f t="shared" ca="1" si="12"/>
        <v>181</v>
      </c>
      <c r="H183">
        <f t="shared" ca="1" si="13"/>
        <v>924.73192744169421</v>
      </c>
      <c r="I183">
        <f t="shared" ca="1" si="14"/>
        <v>60266.337620510581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263</v>
      </c>
      <c r="B185" s="66">
        <v>263</v>
      </c>
      <c r="D185">
        <f t="shared" si="10"/>
        <v>0.58752569028683765</v>
      </c>
      <c r="E185">
        <f t="shared" si="11"/>
        <v>0.58752569028683765</v>
      </c>
      <c r="G185">
        <f t="shared" ca="1" si="12"/>
        <v>183</v>
      </c>
      <c r="H185">
        <f t="shared" ca="1" si="13"/>
        <v>107.51720132249129</v>
      </c>
      <c r="I185">
        <f t="shared" ca="1" si="14"/>
        <v>7188.0912130214665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677</v>
      </c>
      <c r="B188" s="66">
        <v>677</v>
      </c>
      <c r="D188">
        <f t="shared" si="10"/>
        <v>1.5123760164417837</v>
      </c>
      <c r="E188">
        <f t="shared" si="11"/>
        <v>1.5123760164417837</v>
      </c>
      <c r="G188">
        <f t="shared" ca="1" si="12"/>
        <v>186</v>
      </c>
      <c r="H188">
        <f t="shared" ca="1" si="13"/>
        <v>281.30193905817174</v>
      </c>
      <c r="I188">
        <f t="shared" ca="1" si="14"/>
        <v>19520.497828945052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696</v>
      </c>
      <c r="B191" s="66">
        <v>696</v>
      </c>
      <c r="D191">
        <f t="shared" si="10"/>
        <v>1.5548208381735322</v>
      </c>
      <c r="E191">
        <f t="shared" si="11"/>
        <v>1.5548208381735322</v>
      </c>
      <c r="G191">
        <f t="shared" ca="1" si="12"/>
        <v>189</v>
      </c>
      <c r="H191">
        <f t="shared" ca="1" si="13"/>
        <v>293.86113841479761</v>
      </c>
      <c r="I191">
        <f t="shared" ca="1" si="14"/>
        <v>21142.190561302625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141</v>
      </c>
      <c r="B193" s="66">
        <v>141</v>
      </c>
      <c r="D193">
        <f t="shared" si="10"/>
        <v>0.31498525600929317</v>
      </c>
      <c r="E193">
        <f t="shared" si="11"/>
        <v>0.31498525600929317</v>
      </c>
      <c r="G193">
        <f t="shared" ca="1" si="12"/>
        <v>191</v>
      </c>
      <c r="H193">
        <f t="shared" ca="1" si="13"/>
        <v>60.162183897774995</v>
      </c>
      <c r="I193">
        <f t="shared" ca="1" si="14"/>
        <v>4431.2975235509839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348</v>
      </c>
      <c r="B1" s="68" t="s">
        <v>349</v>
      </c>
      <c r="C1" s="32" t="s">
        <v>350</v>
      </c>
      <c r="D1" s="32" t="s">
        <v>351</v>
      </c>
      <c r="E1" s="32" t="s">
        <v>352</v>
      </c>
    </row>
    <row r="2" spans="1:5">
      <c r="A2" s="68">
        <v>0.155447</v>
      </c>
      <c r="B2" s="68">
        <v>0.60410900000000001</v>
      </c>
      <c r="C2" s="68">
        <v>0</v>
      </c>
      <c r="D2" s="68">
        <v>1</v>
      </c>
      <c r="E2" s="68" t="s">
        <v>353</v>
      </c>
    </row>
    <row r="3" spans="1:5">
      <c r="A3" s="68">
        <v>0.160964</v>
      </c>
      <c r="B3" s="68">
        <v>0.59418400000000005</v>
      </c>
      <c r="C3" s="68">
        <v>0.41066399999999997</v>
      </c>
      <c r="D3" s="89">
        <v>1</v>
      </c>
      <c r="E3" s="68" t="s">
        <v>354</v>
      </c>
    </row>
    <row r="4" spans="1:5">
      <c r="A4" s="68">
        <v>0.16647400000000001</v>
      </c>
      <c r="B4" s="68">
        <v>0.58457300000000001</v>
      </c>
      <c r="C4" s="68">
        <v>0.81453900000000001</v>
      </c>
      <c r="D4" s="89">
        <v>1</v>
      </c>
      <c r="E4" s="68" t="s">
        <v>355</v>
      </c>
    </row>
    <row r="5" spans="1:5">
      <c r="A5" s="89">
        <v>0.17183599999999999</v>
      </c>
      <c r="B5" s="89">
        <v>0.57612600000000003</v>
      </c>
      <c r="C5" s="89">
        <v>1.2194199999999999</v>
      </c>
      <c r="D5" s="89">
        <v>1</v>
      </c>
      <c r="E5" s="68" t="s">
        <v>356</v>
      </c>
    </row>
    <row r="6" spans="1:5">
      <c r="A6" s="68">
        <v>0.177096</v>
      </c>
      <c r="B6" s="68">
        <v>0.56748699999999996</v>
      </c>
      <c r="C6" s="68">
        <v>1.6248400000000001</v>
      </c>
      <c r="D6" s="68">
        <v>1</v>
      </c>
      <c r="E6" s="68" t="s">
        <v>357</v>
      </c>
    </row>
    <row r="7" spans="1:5">
      <c r="A7" s="68">
        <v>0.18215400000000001</v>
      </c>
      <c r="B7" s="68">
        <v>0.55990799999999996</v>
      </c>
      <c r="C7" s="68">
        <v>2.0305300000000002</v>
      </c>
      <c r="D7" s="68">
        <v>1</v>
      </c>
      <c r="E7" s="68" t="s">
        <v>358</v>
      </c>
    </row>
    <row r="8" spans="1:5">
      <c r="A8" s="68">
        <v>0.18706200000000001</v>
      </c>
      <c r="B8" s="68">
        <v>0.55292699999999995</v>
      </c>
      <c r="C8" s="68">
        <v>2.43926</v>
      </c>
      <c r="D8" s="68">
        <v>1</v>
      </c>
      <c r="E8" s="68" t="s">
        <v>359</v>
      </c>
    </row>
    <row r="9" spans="1:5">
      <c r="A9" s="68">
        <v>0.19209000000000001</v>
      </c>
      <c r="B9" s="68">
        <v>0.54523299999999997</v>
      </c>
      <c r="C9" s="68">
        <v>2.8451399999999998</v>
      </c>
      <c r="D9" s="68">
        <v>1</v>
      </c>
      <c r="E9" s="68" t="s">
        <v>360</v>
      </c>
    </row>
    <row r="10" spans="1:5">
      <c r="A10" s="68">
        <v>0.19701299999999999</v>
      </c>
      <c r="B10" s="68">
        <v>0.53795099999999996</v>
      </c>
      <c r="C10" s="68">
        <v>3.25</v>
      </c>
      <c r="D10" s="68">
        <v>1</v>
      </c>
      <c r="E10" s="68" t="s">
        <v>361</v>
      </c>
    </row>
    <row r="11" spans="1:5">
      <c r="A11" s="68">
        <v>0.20217099999999999</v>
      </c>
      <c r="B11" s="68">
        <v>0.52981500000000004</v>
      </c>
      <c r="C11" s="68">
        <v>3.65828</v>
      </c>
      <c r="D11" s="68">
        <v>1</v>
      </c>
      <c r="E11" s="68" t="s">
        <v>362</v>
      </c>
    </row>
    <row r="12" spans="1:5">
      <c r="A12" s="68">
        <v>0.20732</v>
      </c>
      <c r="B12" s="68">
        <v>0.521262</v>
      </c>
      <c r="C12" s="68">
        <v>4.0623300000000002</v>
      </c>
      <c r="D12" s="68">
        <v>1</v>
      </c>
      <c r="E12" s="68" t="s">
        <v>363</v>
      </c>
    </row>
    <row r="13" spans="1:5">
      <c r="A13" s="68">
        <v>0.21233199999999999</v>
      </c>
      <c r="B13" s="68">
        <v>0.51244699999999999</v>
      </c>
      <c r="C13" s="68">
        <v>4.4717399999999996</v>
      </c>
      <c r="D13" s="68">
        <v>1</v>
      </c>
      <c r="E13" s="68" t="s">
        <v>364</v>
      </c>
    </row>
    <row r="14" spans="1:5">
      <c r="A14" s="68">
        <v>0.21724199999999999</v>
      </c>
      <c r="B14" s="68">
        <v>0.50414099999999995</v>
      </c>
      <c r="C14" s="68">
        <v>4.87676</v>
      </c>
      <c r="D14" s="68">
        <v>1</v>
      </c>
      <c r="E14" s="68" t="s">
        <v>365</v>
      </c>
    </row>
    <row r="15" spans="1:5">
      <c r="A15" s="68">
        <v>0.222327</v>
      </c>
      <c r="B15" s="68">
        <v>0.49490000000000001</v>
      </c>
      <c r="C15" s="68">
        <v>5.2816299999999998</v>
      </c>
      <c r="D15" s="68">
        <v>1</v>
      </c>
      <c r="E15" s="68" t="s">
        <v>366</v>
      </c>
    </row>
    <row r="16" spans="1:5">
      <c r="A16" s="68">
        <v>0.227295</v>
      </c>
      <c r="B16" s="68">
        <v>0.48670200000000002</v>
      </c>
      <c r="C16" s="68">
        <v>5.6876499999999997</v>
      </c>
      <c r="D16" s="68">
        <v>1</v>
      </c>
      <c r="E16" s="68" t="s">
        <v>367</v>
      </c>
    </row>
    <row r="17" spans="1:5">
      <c r="A17" s="68">
        <v>0.23189199999999999</v>
      </c>
      <c r="B17" s="68">
        <v>0.48076099999999999</v>
      </c>
      <c r="C17" s="68">
        <v>6.0931300000000004</v>
      </c>
      <c r="D17" s="68">
        <v>1</v>
      </c>
      <c r="E17" s="68" t="s">
        <v>368</v>
      </c>
    </row>
    <row r="18" spans="1:5">
      <c r="A18" s="68">
        <v>0.23625699999999999</v>
      </c>
      <c r="B18" s="68">
        <v>0.47581200000000001</v>
      </c>
      <c r="C18" s="68">
        <v>6.4990500000000004</v>
      </c>
      <c r="D18" s="68">
        <v>1</v>
      </c>
      <c r="E18" s="68" t="s">
        <v>369</v>
      </c>
    </row>
    <row r="19" spans="1:5">
      <c r="A19" s="68">
        <v>0.24040700000000001</v>
      </c>
      <c r="B19" s="68">
        <v>0.47034500000000001</v>
      </c>
      <c r="C19" s="68">
        <v>6.9080899999999996</v>
      </c>
      <c r="D19" s="68">
        <v>1</v>
      </c>
      <c r="E19" s="68" t="s">
        <v>370</v>
      </c>
    </row>
    <row r="20" spans="1:5">
      <c r="A20" s="68">
        <v>0.24443999999999999</v>
      </c>
      <c r="B20" s="68">
        <v>0.46481600000000001</v>
      </c>
      <c r="C20" s="68">
        <v>7.3121499999999999</v>
      </c>
      <c r="D20" s="68">
        <v>1</v>
      </c>
      <c r="E20" s="68" t="s">
        <v>371</v>
      </c>
    </row>
    <row r="21" spans="1:5">
      <c r="A21" s="68">
        <v>0.24820200000000001</v>
      </c>
      <c r="B21" s="68">
        <v>0.45957199999999998</v>
      </c>
      <c r="C21" s="68">
        <v>7.7202200000000003</v>
      </c>
      <c r="D21" s="68">
        <v>1</v>
      </c>
      <c r="E21" s="68" t="s">
        <v>372</v>
      </c>
    </row>
    <row r="22" spans="1:5">
      <c r="A22" s="68">
        <v>0.25172499999999998</v>
      </c>
      <c r="B22" s="68">
        <v>0.45471800000000001</v>
      </c>
      <c r="C22" s="68">
        <v>8.1249900000000004</v>
      </c>
      <c r="D22" s="68">
        <v>1</v>
      </c>
      <c r="E22" s="68" t="s">
        <v>373</v>
      </c>
    </row>
    <row r="23" spans="1:5">
      <c r="A23" s="68">
        <v>0.25513200000000003</v>
      </c>
      <c r="B23" s="68">
        <v>0.44962099999999999</v>
      </c>
      <c r="C23" s="68">
        <v>8.5328900000000001</v>
      </c>
      <c r="D23" s="68">
        <v>1</v>
      </c>
      <c r="E23" s="68" t="s">
        <v>374</v>
      </c>
    </row>
    <row r="24" spans="1:5">
      <c r="A24" s="68">
        <v>0.25830900000000001</v>
      </c>
      <c r="B24" s="68">
        <v>0.44527499999999998</v>
      </c>
      <c r="C24" s="68">
        <v>8.9390000000000001</v>
      </c>
      <c r="D24" s="68">
        <v>1</v>
      </c>
      <c r="E24" s="68" t="s">
        <v>375</v>
      </c>
    </row>
    <row r="25" spans="1:5">
      <c r="A25" s="68">
        <v>0.26122600000000001</v>
      </c>
      <c r="B25" s="68">
        <v>0.44130000000000003</v>
      </c>
      <c r="C25" s="68">
        <v>9.3433299999999999</v>
      </c>
      <c r="D25" s="68">
        <v>1</v>
      </c>
      <c r="E25" s="68" t="s">
        <v>376</v>
      </c>
    </row>
    <row r="26" spans="1:5">
      <c r="A26" s="68">
        <v>0.26382299999999997</v>
      </c>
      <c r="B26" s="68">
        <v>0.437162</v>
      </c>
      <c r="C26" s="68">
        <v>9.7476000000000003</v>
      </c>
      <c r="D26" s="68">
        <v>1</v>
      </c>
      <c r="E26" s="68" t="s">
        <v>377</v>
      </c>
    </row>
    <row r="27" spans="1:5">
      <c r="A27" s="68">
        <v>0.26618999999999998</v>
      </c>
      <c r="B27" s="68">
        <v>0.433813</v>
      </c>
      <c r="C27" s="68">
        <v>10.1568</v>
      </c>
      <c r="D27" s="68">
        <v>1</v>
      </c>
      <c r="E27" s="68" t="s">
        <v>378</v>
      </c>
    </row>
    <row r="28" spans="1:5">
      <c r="A28" s="68">
        <v>0.26841199999999998</v>
      </c>
      <c r="B28" s="68">
        <v>0.43055599999999999</v>
      </c>
      <c r="C28" s="68">
        <v>10.5656</v>
      </c>
      <c r="D28" s="68">
        <v>1</v>
      </c>
      <c r="E28" s="68" t="s">
        <v>379</v>
      </c>
    </row>
    <row r="29" spans="1:5">
      <c r="A29" s="68">
        <v>0.27047300000000002</v>
      </c>
      <c r="B29" s="68">
        <v>0.42754500000000001</v>
      </c>
      <c r="C29" s="68">
        <v>10.971399999999999</v>
      </c>
      <c r="D29" s="68">
        <v>1</v>
      </c>
      <c r="E29" s="68" t="s">
        <v>380</v>
      </c>
    </row>
    <row r="30" spans="1:5">
      <c r="A30" s="68">
        <v>0.27236900000000003</v>
      </c>
      <c r="B30" s="68">
        <v>0.42463000000000001</v>
      </c>
      <c r="C30" s="68">
        <v>11.3742</v>
      </c>
      <c r="D30" s="68">
        <v>1</v>
      </c>
      <c r="E30" s="68" t="s">
        <v>381</v>
      </c>
    </row>
    <row r="31" spans="1:5">
      <c r="A31" s="68">
        <v>0.27385900000000002</v>
      </c>
      <c r="B31" s="68">
        <v>0.42224699999999998</v>
      </c>
      <c r="C31" s="68">
        <v>11.7789</v>
      </c>
      <c r="D31" s="68">
        <v>1</v>
      </c>
      <c r="E31" s="68" t="s">
        <v>382</v>
      </c>
    </row>
    <row r="32" spans="1:5">
      <c r="A32" s="68">
        <v>0.27532299999999998</v>
      </c>
      <c r="B32" s="68">
        <v>0.41986699999999999</v>
      </c>
      <c r="C32" s="68">
        <v>12.1881</v>
      </c>
      <c r="D32" s="68">
        <v>1</v>
      </c>
      <c r="E32" s="68" t="s">
        <v>383</v>
      </c>
    </row>
    <row r="33" spans="1:5">
      <c r="A33" s="68">
        <v>0.276785</v>
      </c>
      <c r="B33" s="68">
        <v>0.41710199999999997</v>
      </c>
      <c r="C33" s="68">
        <v>12.594099999999999</v>
      </c>
      <c r="D33" s="68">
        <v>1</v>
      </c>
      <c r="E33" s="68" t="s">
        <v>384</v>
      </c>
    </row>
    <row r="34" spans="1:5">
      <c r="A34" s="68">
        <v>0.27807799999999999</v>
      </c>
      <c r="B34" s="68">
        <v>0.414298</v>
      </c>
      <c r="C34" s="68">
        <v>13.001200000000001</v>
      </c>
      <c r="D34" s="68">
        <v>1</v>
      </c>
      <c r="E34" s="68" t="s">
        <v>385</v>
      </c>
    </row>
    <row r="35" spans="1:5">
      <c r="A35" s="68">
        <v>0.27928999999999998</v>
      </c>
      <c r="B35" s="68">
        <v>0.41154499999999999</v>
      </c>
      <c r="C35" s="68">
        <v>13.407999999999999</v>
      </c>
      <c r="D35" s="68">
        <v>1</v>
      </c>
      <c r="E35" s="68" t="s">
        <v>386</v>
      </c>
    </row>
    <row r="36" spans="1:5">
      <c r="A36" s="68">
        <v>0.28030699999999997</v>
      </c>
      <c r="B36" s="68">
        <v>0.40894399999999997</v>
      </c>
      <c r="C36" s="68">
        <v>13.8133</v>
      </c>
      <c r="D36" s="68">
        <v>1</v>
      </c>
      <c r="E36" s="68" t="s">
        <v>387</v>
      </c>
    </row>
    <row r="37" spans="1:5">
      <c r="A37" s="68">
        <v>0.28090100000000001</v>
      </c>
      <c r="B37" s="68">
        <v>0.40695700000000001</v>
      </c>
      <c r="C37" s="68">
        <v>14.2187</v>
      </c>
      <c r="D37" s="68">
        <v>1</v>
      </c>
      <c r="E37" s="68" t="s">
        <v>388</v>
      </c>
    </row>
    <row r="38" spans="1:5">
      <c r="A38" s="68">
        <v>0.28134500000000001</v>
      </c>
      <c r="B38" s="68">
        <v>0.405698</v>
      </c>
      <c r="C38" s="68">
        <v>14.623900000000001</v>
      </c>
      <c r="D38" s="68">
        <v>1</v>
      </c>
      <c r="E38" s="68" t="s">
        <v>389</v>
      </c>
    </row>
    <row r="39" spans="1:5">
      <c r="A39" s="68">
        <v>0.28183999999999998</v>
      </c>
      <c r="B39" s="68">
        <v>0.40426800000000002</v>
      </c>
      <c r="C39" s="68">
        <v>15.0313</v>
      </c>
      <c r="D39" s="68">
        <v>1</v>
      </c>
      <c r="E39" s="68" t="s">
        <v>390</v>
      </c>
    </row>
    <row r="40" spans="1:5">
      <c r="A40" s="68">
        <v>0.28203299999999998</v>
      </c>
      <c r="B40" s="68">
        <v>0.403169</v>
      </c>
      <c r="C40" s="68">
        <v>15.4414</v>
      </c>
      <c r="D40" s="68">
        <v>1</v>
      </c>
      <c r="E40" s="68" t="s">
        <v>391</v>
      </c>
    </row>
    <row r="41" spans="1:5">
      <c r="A41" s="68">
        <v>0.28234900000000002</v>
      </c>
      <c r="B41" s="68">
        <v>0.40171000000000001</v>
      </c>
      <c r="C41" s="68">
        <v>15.8454</v>
      </c>
      <c r="D41" s="68">
        <v>1</v>
      </c>
      <c r="E41" s="68" t="s">
        <v>392</v>
      </c>
    </row>
    <row r="42" spans="1:5">
      <c r="A42" s="68">
        <v>0.28265200000000001</v>
      </c>
      <c r="B42" s="68">
        <v>0.40016200000000002</v>
      </c>
      <c r="C42" s="68">
        <v>16.2502</v>
      </c>
      <c r="D42" s="68">
        <v>1</v>
      </c>
      <c r="E42" s="68" t="s">
        <v>393</v>
      </c>
    </row>
    <row r="43" spans="1:5">
      <c r="A43" s="68">
        <v>0.282667</v>
      </c>
      <c r="B43" s="68">
        <v>0.398955</v>
      </c>
      <c r="C43" s="68">
        <v>16.658899999999999</v>
      </c>
      <c r="D43" s="68">
        <v>1</v>
      </c>
      <c r="E43" s="68" t="s">
        <v>394</v>
      </c>
    </row>
    <row r="44" spans="1:5">
      <c r="A44" s="68">
        <v>0.28246599999999999</v>
      </c>
      <c r="B44" s="68">
        <v>0.39791300000000002</v>
      </c>
      <c r="C44" s="68">
        <v>17.061299999999999</v>
      </c>
      <c r="D44" s="68">
        <v>1</v>
      </c>
      <c r="E44" s="68" t="s">
        <v>395</v>
      </c>
    </row>
    <row r="45" spans="1:5">
      <c r="A45" s="68">
        <v>0.28225099999999997</v>
      </c>
      <c r="B45" s="68">
        <v>0.39684599999999998</v>
      </c>
      <c r="C45" s="68">
        <v>17.4678</v>
      </c>
      <c r="D45" s="68">
        <v>1</v>
      </c>
      <c r="E45" s="68" t="s">
        <v>396</v>
      </c>
    </row>
    <row r="46" spans="1:5">
      <c r="A46" s="68">
        <v>0.28188400000000002</v>
      </c>
      <c r="B46" s="68">
        <v>0.396011</v>
      </c>
      <c r="C46" s="68">
        <v>17.876799999999999</v>
      </c>
      <c r="D46" s="68">
        <v>1</v>
      </c>
      <c r="E46" s="68" t="s">
        <v>397</v>
      </c>
    </row>
    <row r="47" spans="1:5">
      <c r="A47" s="68">
        <v>0.28151599999999999</v>
      </c>
      <c r="B47" s="68">
        <v>0.39491599999999999</v>
      </c>
      <c r="C47" s="68">
        <v>18.2852</v>
      </c>
      <c r="D47" s="68">
        <v>1</v>
      </c>
      <c r="E47" s="68" t="s">
        <v>398</v>
      </c>
    </row>
    <row r="48" spans="1:5">
      <c r="A48" s="68">
        <v>0.28100399999999998</v>
      </c>
      <c r="B48" s="68">
        <v>0.39387699999999998</v>
      </c>
      <c r="C48" s="68">
        <v>18.687999999999999</v>
      </c>
      <c r="D48" s="68">
        <v>1</v>
      </c>
      <c r="E48" s="68" t="s">
        <v>399</v>
      </c>
    </row>
    <row r="49" spans="1:5">
      <c r="A49" s="68">
        <v>0.28053299999999998</v>
      </c>
      <c r="B49" s="68">
        <v>0.39246700000000001</v>
      </c>
      <c r="C49" s="68">
        <v>19.0929</v>
      </c>
      <c r="D49" s="68">
        <v>1</v>
      </c>
      <c r="E49" s="68" t="s">
        <v>400</v>
      </c>
    </row>
    <row r="50" spans="1:5">
      <c r="A50" s="68">
        <v>0.27993800000000002</v>
      </c>
      <c r="B50" s="68">
        <v>0.39100099999999999</v>
      </c>
      <c r="C50" s="68">
        <v>19.502800000000001</v>
      </c>
      <c r="D50" s="68">
        <v>1</v>
      </c>
      <c r="E50" s="68" t="s">
        <v>401</v>
      </c>
    </row>
    <row r="51" spans="1:5">
      <c r="A51" s="68">
        <v>0.27942400000000001</v>
      </c>
      <c r="B51" s="68">
        <v>0.38906299999999999</v>
      </c>
      <c r="C51" s="68">
        <v>19.906400000000001</v>
      </c>
      <c r="D51" s="68">
        <v>1</v>
      </c>
      <c r="E51" s="68" t="s">
        <v>402</v>
      </c>
    </row>
    <row r="52" spans="1:5">
      <c r="A52" s="68">
        <v>0.27913100000000002</v>
      </c>
      <c r="B52" s="68">
        <v>0.38728699999999999</v>
      </c>
      <c r="C52" s="68">
        <v>20.311699999999998</v>
      </c>
      <c r="D52" s="68">
        <v>1</v>
      </c>
      <c r="E52" s="68" t="s">
        <v>403</v>
      </c>
    </row>
    <row r="53" spans="1:5">
      <c r="A53" s="68">
        <v>0.27868900000000002</v>
      </c>
      <c r="B53" s="68">
        <v>0.38547300000000001</v>
      </c>
      <c r="C53" s="68">
        <v>20.718499999999999</v>
      </c>
      <c r="D53" s="68">
        <v>1</v>
      </c>
      <c r="E53" s="68" t="s">
        <v>404</v>
      </c>
    </row>
    <row r="54" spans="1:5">
      <c r="A54" s="68">
        <v>0.278144</v>
      </c>
      <c r="B54" s="68">
        <v>0.38417800000000002</v>
      </c>
      <c r="C54" s="68">
        <v>21.125499999999999</v>
      </c>
      <c r="D54" s="68">
        <v>1</v>
      </c>
      <c r="E54" s="68" t="s">
        <v>405</v>
      </c>
    </row>
    <row r="55" spans="1:5">
      <c r="A55" s="68">
        <v>0.27771099999999999</v>
      </c>
      <c r="B55" s="68">
        <v>0.38278099999999998</v>
      </c>
      <c r="C55" s="68">
        <v>21.532499999999999</v>
      </c>
      <c r="D55" s="68">
        <v>1</v>
      </c>
      <c r="E55" s="68" t="s">
        <v>406</v>
      </c>
    </row>
    <row r="56" spans="1:5">
      <c r="A56" s="68">
        <v>0.27738400000000002</v>
      </c>
      <c r="B56" s="68">
        <v>0.38130900000000001</v>
      </c>
      <c r="C56" s="68">
        <v>21.9406</v>
      </c>
      <c r="D56" s="68">
        <v>1</v>
      </c>
      <c r="E56" s="68" t="s">
        <v>407</v>
      </c>
    </row>
    <row r="57" spans="1:5">
      <c r="A57" s="68">
        <v>0.277167</v>
      </c>
      <c r="B57" s="68">
        <v>0.38009500000000002</v>
      </c>
      <c r="C57" s="68">
        <v>22.347200000000001</v>
      </c>
      <c r="D57" s="68">
        <v>1</v>
      </c>
      <c r="E57" s="68" t="s">
        <v>408</v>
      </c>
    </row>
    <row r="58" spans="1:5">
      <c r="A58" s="68">
        <v>0.27699499999999999</v>
      </c>
      <c r="B58" s="68">
        <v>0.37939800000000001</v>
      </c>
      <c r="C58" s="68">
        <v>22.7483</v>
      </c>
      <c r="D58" s="68">
        <v>1</v>
      </c>
      <c r="E58" s="68" t="s">
        <v>409</v>
      </c>
    </row>
    <row r="59" spans="1:5">
      <c r="A59" s="68">
        <v>0.27674700000000002</v>
      </c>
      <c r="B59" s="68">
        <v>0.37891799999999998</v>
      </c>
      <c r="C59" s="68">
        <v>23.1584</v>
      </c>
      <c r="D59" s="68">
        <v>1</v>
      </c>
      <c r="E59" s="68" t="s">
        <v>410</v>
      </c>
    </row>
    <row r="60" spans="1:5">
      <c r="A60" s="68">
        <v>0.27665699999999999</v>
      </c>
      <c r="B60" s="68">
        <v>0.37806400000000001</v>
      </c>
      <c r="C60" s="68">
        <v>23.5626</v>
      </c>
      <c r="D60" s="68">
        <v>1</v>
      </c>
      <c r="E60" s="68" t="s">
        <v>411</v>
      </c>
    </row>
    <row r="61" spans="1:5">
      <c r="A61" s="68">
        <v>0.27660600000000002</v>
      </c>
      <c r="B61" s="68">
        <v>0.37728699999999998</v>
      </c>
      <c r="C61" s="68">
        <v>23.972000000000001</v>
      </c>
      <c r="D61" s="68">
        <v>1</v>
      </c>
      <c r="E61" s="68" t="s">
        <v>412</v>
      </c>
    </row>
    <row r="62" spans="1:5">
      <c r="A62" s="68">
        <v>0.276638</v>
      </c>
      <c r="B62" s="68">
        <v>0.37657600000000002</v>
      </c>
      <c r="C62" s="68">
        <v>24.376899999999999</v>
      </c>
      <c r="D62" s="68">
        <v>1</v>
      </c>
      <c r="E62" s="68" t="s">
        <v>413</v>
      </c>
    </row>
    <row r="63" spans="1:5">
      <c r="A63" s="68">
        <v>0.27657599999999999</v>
      </c>
      <c r="B63" s="68">
        <v>0.37583899999999998</v>
      </c>
      <c r="C63" s="68">
        <v>24.78</v>
      </c>
      <c r="D63" s="68">
        <v>1</v>
      </c>
      <c r="E63" s="68" t="s">
        <v>414</v>
      </c>
    </row>
    <row r="64" spans="1:5">
      <c r="A64" s="68">
        <v>0.27634300000000001</v>
      </c>
      <c r="B64" s="68">
        <v>0.37565300000000001</v>
      </c>
      <c r="C64" s="68">
        <v>25.1877</v>
      </c>
      <c r="D64" s="68">
        <v>1</v>
      </c>
      <c r="E64" s="68" t="s">
        <v>415</v>
      </c>
    </row>
    <row r="65" spans="1:5">
      <c r="A65" s="68">
        <v>0.27610499999999999</v>
      </c>
      <c r="B65" s="68">
        <v>0.37594100000000003</v>
      </c>
      <c r="C65" s="68">
        <v>25.592700000000001</v>
      </c>
      <c r="D65" s="68">
        <v>1</v>
      </c>
      <c r="E65" s="68" t="s">
        <v>416</v>
      </c>
    </row>
    <row r="66" spans="1:5">
      <c r="A66" s="68">
        <v>0.275669</v>
      </c>
      <c r="B66" s="68">
        <v>0.37624600000000002</v>
      </c>
      <c r="C66" s="68">
        <v>26.003399999999999</v>
      </c>
      <c r="D66" s="68">
        <v>1</v>
      </c>
      <c r="E66" s="68" t="s">
        <v>417</v>
      </c>
    </row>
    <row r="67" spans="1:5">
      <c r="A67" s="68">
        <v>0.27543000000000001</v>
      </c>
      <c r="B67" s="68">
        <v>0.37587199999999998</v>
      </c>
      <c r="C67" s="68">
        <v>26.4053</v>
      </c>
      <c r="D67" s="68">
        <v>1</v>
      </c>
      <c r="E67" s="68" t="s">
        <v>418</v>
      </c>
    </row>
    <row r="68" spans="1:5">
      <c r="A68" s="68">
        <v>0.27565299999999998</v>
      </c>
      <c r="B68" s="68">
        <v>0.37462200000000001</v>
      </c>
      <c r="C68" s="68">
        <v>26.811299999999999</v>
      </c>
      <c r="D68" s="68">
        <v>1</v>
      </c>
      <c r="E68" s="68" t="s">
        <v>419</v>
      </c>
    </row>
    <row r="69" spans="1:5">
      <c r="A69" s="68">
        <v>0.27589599999999997</v>
      </c>
      <c r="B69" s="68">
        <v>0.373589</v>
      </c>
      <c r="C69" s="68">
        <v>27.222200000000001</v>
      </c>
      <c r="D69" s="68">
        <v>1</v>
      </c>
      <c r="E69" s="68" t="s">
        <v>420</v>
      </c>
    </row>
    <row r="70" spans="1:5">
      <c r="A70" s="68">
        <v>0.27582200000000001</v>
      </c>
      <c r="B70" s="68">
        <v>0.37327100000000002</v>
      </c>
      <c r="C70" s="68">
        <v>27.627600000000001</v>
      </c>
      <c r="D70" s="68">
        <v>1</v>
      </c>
      <c r="E70" s="68" t="s">
        <v>421</v>
      </c>
    </row>
    <row r="71" spans="1:5">
      <c r="A71" s="68">
        <v>0.275951</v>
      </c>
      <c r="B71" s="68">
        <v>0.37262499999999998</v>
      </c>
      <c r="C71" s="68">
        <v>28.0304</v>
      </c>
      <c r="D71" s="68">
        <v>1</v>
      </c>
      <c r="E71" s="68" t="s">
        <v>422</v>
      </c>
    </row>
    <row r="72" spans="1:5">
      <c r="A72" s="68">
        <v>0.27599600000000002</v>
      </c>
      <c r="B72" s="68">
        <v>0.372031</v>
      </c>
      <c r="C72" s="68">
        <v>28.439399999999999</v>
      </c>
      <c r="D72" s="68">
        <v>1</v>
      </c>
      <c r="E72" s="68" t="s">
        <v>423</v>
      </c>
    </row>
    <row r="73" spans="1:5">
      <c r="A73" s="68">
        <v>0.27596500000000002</v>
      </c>
      <c r="B73" s="68">
        <v>0.37184400000000001</v>
      </c>
      <c r="C73" s="68">
        <v>28.8432</v>
      </c>
      <c r="D73" s="68">
        <v>1</v>
      </c>
      <c r="E73" s="68" t="s">
        <v>424</v>
      </c>
    </row>
    <row r="74" spans="1:5">
      <c r="A74" s="68">
        <v>0.27570899999999998</v>
      </c>
      <c r="B74" s="68">
        <v>0.37151200000000001</v>
      </c>
      <c r="C74" s="68">
        <v>29.250800000000002</v>
      </c>
      <c r="D74" s="68">
        <v>1</v>
      </c>
      <c r="E74" s="68" t="s">
        <v>425</v>
      </c>
    </row>
    <row r="75" spans="1:5">
      <c r="A75" s="68">
        <v>0.27559899999999998</v>
      </c>
      <c r="B75" s="68">
        <v>0.37137900000000001</v>
      </c>
      <c r="C75" s="68">
        <v>29.657800000000002</v>
      </c>
      <c r="D75" s="68">
        <v>1</v>
      </c>
      <c r="E75" s="68" t="s">
        <v>426</v>
      </c>
    </row>
    <row r="76" spans="1:5">
      <c r="A76" s="68">
        <v>0.27551100000000001</v>
      </c>
      <c r="B76" s="68">
        <v>0.37186599999999997</v>
      </c>
      <c r="C76" s="68">
        <v>30.060600000000001</v>
      </c>
      <c r="D76" s="68">
        <v>2</v>
      </c>
      <c r="E76" s="68" t="s">
        <v>427</v>
      </c>
    </row>
    <row r="77" spans="1:5">
      <c r="A77" s="68">
        <v>0.27510800000000002</v>
      </c>
      <c r="B77" s="68">
        <v>0.37129499999999999</v>
      </c>
      <c r="C77" s="68">
        <v>30.5306</v>
      </c>
      <c r="D77" s="68">
        <v>2</v>
      </c>
      <c r="E77" s="68" t="s">
        <v>428</v>
      </c>
    </row>
    <row r="78" spans="1:5">
      <c r="A78" s="68">
        <v>0.27502399999999999</v>
      </c>
      <c r="B78" s="68">
        <v>0.369863</v>
      </c>
      <c r="C78" s="68">
        <v>30.936599999999999</v>
      </c>
      <c r="D78" s="68">
        <v>2</v>
      </c>
      <c r="E78" s="68" t="s">
        <v>429</v>
      </c>
    </row>
    <row r="79" spans="1:5">
      <c r="A79" s="68">
        <v>0.27506399999999998</v>
      </c>
      <c r="B79" s="68">
        <v>0.36823099999999998</v>
      </c>
      <c r="C79" s="68">
        <v>31.328499999999998</v>
      </c>
      <c r="D79" s="68">
        <v>2</v>
      </c>
      <c r="E79" s="68" t="s">
        <v>430</v>
      </c>
    </row>
    <row r="80" spans="1:5">
      <c r="A80" s="68">
        <v>0.27537800000000001</v>
      </c>
      <c r="B80" s="68">
        <v>0.36627399999999999</v>
      </c>
      <c r="C80" s="68">
        <v>31.735199999999999</v>
      </c>
      <c r="D80" s="68">
        <v>2</v>
      </c>
      <c r="E80" s="68" t="s">
        <v>431</v>
      </c>
    </row>
    <row r="81" spans="1:5">
      <c r="A81" s="68">
        <v>0.27575899999999998</v>
      </c>
      <c r="B81" s="68">
        <v>0.364064</v>
      </c>
      <c r="C81" s="68">
        <v>32.148000000000003</v>
      </c>
      <c r="D81" s="68">
        <v>2</v>
      </c>
      <c r="E81" s="68" t="s">
        <v>432</v>
      </c>
    </row>
    <row r="82" spans="1:5">
      <c r="A82" s="68">
        <v>0.27595199999999998</v>
      </c>
      <c r="B82" s="68">
        <v>0.36247400000000002</v>
      </c>
      <c r="C82" s="68">
        <v>32.546999999999997</v>
      </c>
      <c r="D82" s="68">
        <v>2</v>
      </c>
      <c r="E82" s="68" t="s">
        <v>433</v>
      </c>
    </row>
    <row r="83" spans="1:5">
      <c r="A83" s="68">
        <v>0.27605800000000003</v>
      </c>
      <c r="B83" s="68">
        <v>0.36085499999999998</v>
      </c>
      <c r="C83" s="68">
        <v>32.958799999999997</v>
      </c>
      <c r="D83" s="68">
        <v>2</v>
      </c>
      <c r="E83" s="68" t="s">
        <v>434</v>
      </c>
    </row>
    <row r="84" spans="1:5">
      <c r="A84" s="68">
        <v>0.27616000000000002</v>
      </c>
      <c r="B84" s="68">
        <v>0.35886400000000002</v>
      </c>
      <c r="C84" s="68">
        <v>33.362699999999997</v>
      </c>
      <c r="D84" s="68">
        <v>2</v>
      </c>
      <c r="E84" s="68" t="s">
        <v>435</v>
      </c>
    </row>
    <row r="85" spans="1:5">
      <c r="A85" s="68">
        <v>0.27602399999999999</v>
      </c>
      <c r="B85" s="68">
        <v>0.35707100000000003</v>
      </c>
      <c r="C85" s="68">
        <v>33.766800000000003</v>
      </c>
      <c r="D85" s="68">
        <v>2</v>
      </c>
      <c r="E85" s="68" t="s">
        <v>436</v>
      </c>
    </row>
    <row r="86" spans="1:5">
      <c r="A86" s="68">
        <v>0.27598899999999998</v>
      </c>
      <c r="B86" s="68">
        <v>0.354682</v>
      </c>
      <c r="C86" s="68">
        <v>34.177599999999998</v>
      </c>
      <c r="D86" s="68">
        <v>2</v>
      </c>
      <c r="E86" s="68" t="s">
        <v>437</v>
      </c>
    </row>
    <row r="87" spans="1:5">
      <c r="A87" s="68">
        <v>0.27606799999999998</v>
      </c>
      <c r="B87" s="68">
        <v>0.35199999999999998</v>
      </c>
      <c r="C87" s="68">
        <v>34.583500000000001</v>
      </c>
      <c r="D87" s="68">
        <v>2</v>
      </c>
      <c r="E87" s="68" t="s">
        <v>438</v>
      </c>
    </row>
    <row r="88" spans="1:5">
      <c r="A88" s="68">
        <v>0.27603100000000003</v>
      </c>
      <c r="B88" s="68">
        <v>0.34888400000000003</v>
      </c>
      <c r="C88" s="68">
        <v>34.985599999999998</v>
      </c>
      <c r="D88" s="68">
        <v>2</v>
      </c>
      <c r="E88" s="68" t="s">
        <v>439</v>
      </c>
    </row>
    <row r="89" spans="1:5">
      <c r="A89" s="68">
        <v>0.27592499999999998</v>
      </c>
      <c r="B89" s="68">
        <v>0.34619499999999997</v>
      </c>
      <c r="C89" s="68">
        <v>35.392600000000002</v>
      </c>
      <c r="D89" s="68">
        <v>2</v>
      </c>
      <c r="E89" s="68" t="s">
        <v>440</v>
      </c>
    </row>
    <row r="90" spans="1:5">
      <c r="A90" s="68">
        <v>0.27577699999999999</v>
      </c>
      <c r="B90" s="68">
        <v>0.34324300000000002</v>
      </c>
      <c r="C90" s="68">
        <v>35.796199999999999</v>
      </c>
      <c r="D90" s="68">
        <v>2</v>
      </c>
      <c r="E90" s="68" t="s">
        <v>441</v>
      </c>
    </row>
    <row r="91" spans="1:5">
      <c r="A91" s="68">
        <v>0.27558300000000002</v>
      </c>
      <c r="B91" s="68">
        <v>0.34029300000000001</v>
      </c>
      <c r="C91" s="68">
        <v>36.206499999999998</v>
      </c>
      <c r="D91" s="68">
        <v>2</v>
      </c>
      <c r="E91" s="68" t="s">
        <v>442</v>
      </c>
    </row>
    <row r="92" spans="1:5">
      <c r="A92" s="68">
        <v>0.275424</v>
      </c>
      <c r="B92" s="68">
        <v>0.336893</v>
      </c>
      <c r="C92" s="68">
        <v>36.611400000000003</v>
      </c>
      <c r="D92" s="68">
        <v>2</v>
      </c>
      <c r="E92" s="68" t="s">
        <v>443</v>
      </c>
    </row>
    <row r="93" spans="1:5">
      <c r="A93" s="68">
        <v>0.27518100000000001</v>
      </c>
      <c r="B93" s="68">
        <v>0.33387899999999998</v>
      </c>
      <c r="C93" s="68">
        <v>37.018900000000002</v>
      </c>
      <c r="D93" s="68">
        <v>2</v>
      </c>
      <c r="E93" s="68" t="s">
        <v>444</v>
      </c>
    </row>
    <row r="94" spans="1:5">
      <c r="A94" s="68">
        <v>0.27497700000000003</v>
      </c>
      <c r="B94" s="68">
        <v>0.33092500000000002</v>
      </c>
      <c r="C94" s="68">
        <v>37.420900000000003</v>
      </c>
      <c r="D94" s="68">
        <v>2</v>
      </c>
      <c r="E94" s="68" t="s">
        <v>445</v>
      </c>
    </row>
    <row r="95" spans="1:5">
      <c r="A95" s="68">
        <v>0.27488600000000002</v>
      </c>
      <c r="B95" s="68">
        <v>0.32750200000000002</v>
      </c>
      <c r="C95" s="68">
        <v>37.825299999999999</v>
      </c>
      <c r="D95" s="68">
        <v>2</v>
      </c>
      <c r="E95" s="68" t="s">
        <v>446</v>
      </c>
    </row>
    <row r="96" spans="1:5">
      <c r="A96" s="68">
        <v>0.27485199999999999</v>
      </c>
      <c r="B96" s="68">
        <v>0.324021</v>
      </c>
      <c r="C96" s="68">
        <v>38.234999999999999</v>
      </c>
      <c r="D96" s="68">
        <v>2</v>
      </c>
      <c r="E96" s="68" t="s">
        <v>447</v>
      </c>
    </row>
    <row r="97" spans="1:5">
      <c r="A97" s="68">
        <v>0.27493600000000001</v>
      </c>
      <c r="B97" s="68">
        <v>0.32065199999999999</v>
      </c>
      <c r="C97" s="68">
        <v>38.642600000000002</v>
      </c>
      <c r="D97" s="68">
        <v>2</v>
      </c>
      <c r="E97" s="68" t="s">
        <v>448</v>
      </c>
    </row>
    <row r="98" spans="1:5">
      <c r="A98" s="68">
        <v>0.275279</v>
      </c>
      <c r="B98" s="68">
        <v>0.31658799999999998</v>
      </c>
      <c r="C98" s="68">
        <v>39.048499999999997</v>
      </c>
      <c r="D98" s="68">
        <v>2</v>
      </c>
      <c r="E98" s="68" t="s">
        <v>449</v>
      </c>
    </row>
    <row r="99" spans="1:5">
      <c r="A99" s="68">
        <v>0.27577400000000002</v>
      </c>
      <c r="B99" s="68">
        <v>0.31277199999999999</v>
      </c>
      <c r="C99" s="68">
        <v>39.455500000000001</v>
      </c>
      <c r="D99" s="68">
        <v>2</v>
      </c>
      <c r="E99" s="68" t="s">
        <v>450</v>
      </c>
    </row>
    <row r="100" spans="1:5">
      <c r="A100" s="68">
        <v>0.27634700000000001</v>
      </c>
      <c r="B100" s="68">
        <v>0.30892999999999998</v>
      </c>
      <c r="C100" s="68">
        <v>39.859200000000001</v>
      </c>
      <c r="D100" s="68">
        <v>2</v>
      </c>
      <c r="E100" s="68" t="s">
        <v>451</v>
      </c>
    </row>
    <row r="101" spans="1:5">
      <c r="A101" s="68">
        <v>0.27687200000000001</v>
      </c>
      <c r="B101" s="68">
        <v>0.30493700000000001</v>
      </c>
      <c r="C101" s="68">
        <v>40.266500000000001</v>
      </c>
      <c r="D101" s="68">
        <v>2</v>
      </c>
      <c r="E101" s="68" t="s">
        <v>452</v>
      </c>
    </row>
    <row r="102" spans="1:5">
      <c r="A102" s="68">
        <v>0.27746599999999999</v>
      </c>
      <c r="B102" s="68">
        <v>0.30008400000000002</v>
      </c>
      <c r="C102" s="68">
        <v>40.671100000000003</v>
      </c>
      <c r="D102" s="68">
        <v>2</v>
      </c>
      <c r="E102" s="68" t="s">
        <v>453</v>
      </c>
    </row>
    <row r="103" spans="1:5">
      <c r="A103" s="68">
        <v>0.27793600000000002</v>
      </c>
      <c r="B103" s="68">
        <v>0.29540100000000002</v>
      </c>
      <c r="C103" s="68">
        <v>41.078200000000002</v>
      </c>
      <c r="D103" s="68">
        <v>2</v>
      </c>
      <c r="E103" s="68" t="s">
        <v>454</v>
      </c>
    </row>
    <row r="104" spans="1:5">
      <c r="A104" s="68">
        <v>0.27827299999999999</v>
      </c>
      <c r="B104" s="68">
        <v>0.29064600000000002</v>
      </c>
      <c r="C104" s="68">
        <v>41.484099999999998</v>
      </c>
      <c r="D104" s="68">
        <v>2</v>
      </c>
      <c r="E104" s="68" t="s">
        <v>455</v>
      </c>
    </row>
    <row r="105" spans="1:5">
      <c r="A105" s="68">
        <v>0.27870699999999998</v>
      </c>
      <c r="B105" s="68">
        <v>0.28501500000000002</v>
      </c>
      <c r="C105" s="68">
        <v>41.8902</v>
      </c>
      <c r="D105" s="68">
        <v>2</v>
      </c>
      <c r="E105" s="68" t="s">
        <v>456</v>
      </c>
    </row>
    <row r="106" spans="1:5">
      <c r="A106" s="68">
        <v>0.279393</v>
      </c>
      <c r="B106" s="68">
        <v>0.27819899999999997</v>
      </c>
      <c r="C106" s="68">
        <v>42.2958</v>
      </c>
      <c r="D106" s="68">
        <v>2</v>
      </c>
      <c r="E106" s="68" t="s">
        <v>457</v>
      </c>
    </row>
    <row r="107" spans="1:5">
      <c r="A107" s="68">
        <v>0.28026699999999999</v>
      </c>
      <c r="B107" s="68">
        <v>0.27036500000000002</v>
      </c>
      <c r="C107" s="68">
        <v>42.702800000000003</v>
      </c>
      <c r="D107" s="68">
        <v>2</v>
      </c>
      <c r="E107" s="68" t="s">
        <v>458</v>
      </c>
    </row>
    <row r="108" spans="1:5">
      <c r="A108" s="68">
        <v>0.28099499999999999</v>
      </c>
      <c r="B108" s="68">
        <v>0.26225100000000001</v>
      </c>
      <c r="C108" s="68">
        <v>43.110199999999999</v>
      </c>
      <c r="D108" s="68">
        <v>2</v>
      </c>
      <c r="E108" s="68" t="s">
        <v>459</v>
      </c>
    </row>
    <row r="109" spans="1:5">
      <c r="A109" s="68">
        <v>0.28172000000000003</v>
      </c>
      <c r="B109" s="68">
        <v>0.254297</v>
      </c>
      <c r="C109" s="68">
        <v>43.515599999999999</v>
      </c>
      <c r="D109" s="68">
        <v>2</v>
      </c>
      <c r="E109" s="68" t="s">
        <v>460</v>
      </c>
    </row>
    <row r="110" spans="1:5">
      <c r="A110" s="68">
        <v>0.28226200000000001</v>
      </c>
      <c r="B110" s="68">
        <v>0.24684300000000001</v>
      </c>
      <c r="C110" s="68">
        <v>43.924599999999998</v>
      </c>
      <c r="D110" s="68">
        <v>2</v>
      </c>
      <c r="E110" s="68" t="s">
        <v>461</v>
      </c>
    </row>
    <row r="111" spans="1:5">
      <c r="A111" s="68">
        <v>0.28278599999999998</v>
      </c>
      <c r="B111" s="68">
        <v>0.240706</v>
      </c>
      <c r="C111" s="68">
        <v>44.329300000000003</v>
      </c>
      <c r="D111" s="68">
        <v>2</v>
      </c>
      <c r="E111" s="68" t="s">
        <v>462</v>
      </c>
    </row>
    <row r="112" spans="1:5">
      <c r="A112" s="68">
        <v>0.28352899999999998</v>
      </c>
      <c r="B112" s="68">
        <v>0.23349600000000001</v>
      </c>
      <c r="C112" s="68">
        <v>44.735300000000002</v>
      </c>
      <c r="D112" s="68">
        <v>2</v>
      </c>
      <c r="E112" s="68" t="s">
        <v>463</v>
      </c>
    </row>
    <row r="113" spans="1:5">
      <c r="A113" s="68">
        <v>0.28471600000000002</v>
      </c>
      <c r="B113" s="68">
        <v>0.22555800000000001</v>
      </c>
      <c r="C113" s="68">
        <v>45.140599999999999</v>
      </c>
      <c r="D113" s="68">
        <v>2</v>
      </c>
      <c r="E113" s="68" t="s">
        <v>464</v>
      </c>
    </row>
    <row r="114" spans="1:5">
      <c r="A114" s="68">
        <v>0.28604299999999999</v>
      </c>
      <c r="B114" s="68">
        <v>0.216701</v>
      </c>
      <c r="C114" s="68">
        <v>45.547600000000003</v>
      </c>
      <c r="D114" s="68">
        <v>2</v>
      </c>
      <c r="E114" s="68" t="s">
        <v>465</v>
      </c>
    </row>
    <row r="115" spans="1:5">
      <c r="A115" s="68">
        <v>0.287277</v>
      </c>
      <c r="B115" s="68">
        <v>0.208589</v>
      </c>
      <c r="C115" s="68">
        <v>45.956000000000003</v>
      </c>
      <c r="D115" s="68">
        <v>2</v>
      </c>
      <c r="E115" s="68" t="s">
        <v>466</v>
      </c>
    </row>
    <row r="116" spans="1:5">
      <c r="A116" s="68">
        <v>0.28867399999999999</v>
      </c>
      <c r="B116" s="68">
        <v>0.19972899999999999</v>
      </c>
      <c r="C116" s="68">
        <v>46.363</v>
      </c>
      <c r="D116" s="68">
        <v>2</v>
      </c>
      <c r="E116" s="68" t="s">
        <v>467</v>
      </c>
    </row>
    <row r="117" spans="1:5">
      <c r="A117" s="68">
        <v>0.28998800000000002</v>
      </c>
      <c r="B117" s="68">
        <v>0.190774</v>
      </c>
      <c r="C117" s="68">
        <v>46.767899999999997</v>
      </c>
      <c r="D117" s="68">
        <v>2</v>
      </c>
      <c r="E117" s="68" t="s">
        <v>468</v>
      </c>
    </row>
    <row r="118" spans="1:5">
      <c r="A118" s="68">
        <v>0.29148299999999999</v>
      </c>
      <c r="B118" s="68">
        <v>0.181423</v>
      </c>
      <c r="C118" s="68">
        <v>47.174999999999997</v>
      </c>
      <c r="D118" s="68">
        <v>2</v>
      </c>
      <c r="E118" s="68" t="s">
        <v>469</v>
      </c>
    </row>
    <row r="119" spans="1:5">
      <c r="A119" s="68">
        <v>0.29316900000000001</v>
      </c>
      <c r="B119" s="68">
        <v>0.17245099999999999</v>
      </c>
      <c r="C119" s="68">
        <v>47.580800000000004</v>
      </c>
      <c r="D119" s="68">
        <v>2</v>
      </c>
      <c r="E119" s="68" t="s">
        <v>470</v>
      </c>
    </row>
    <row r="120" spans="1:5">
      <c r="A120" s="68">
        <v>0.29468499999999997</v>
      </c>
      <c r="B120" s="68">
        <v>0.16516400000000001</v>
      </c>
      <c r="C120" s="68">
        <v>47.984999999999999</v>
      </c>
      <c r="D120" s="68">
        <v>2</v>
      </c>
      <c r="E120" s="68" t="s">
        <v>471</v>
      </c>
    </row>
    <row r="121" spans="1:5">
      <c r="A121" s="68">
        <v>0.29604399999999997</v>
      </c>
      <c r="B121" s="68">
        <v>0.158497</v>
      </c>
      <c r="C121" s="68">
        <v>48.394500000000001</v>
      </c>
      <c r="D121" s="68">
        <v>2</v>
      </c>
      <c r="E121" s="68" t="s">
        <v>472</v>
      </c>
    </row>
    <row r="122" spans="1:5">
      <c r="A122" s="68">
        <v>0.29730699999999999</v>
      </c>
      <c r="B122" s="68">
        <v>0.15257899999999999</v>
      </c>
      <c r="C122" s="68">
        <v>48.795499999999997</v>
      </c>
      <c r="D122" s="68">
        <v>2</v>
      </c>
      <c r="E122" s="68" t="s">
        <v>473</v>
      </c>
    </row>
    <row r="123" spans="1:5">
      <c r="A123" s="68">
        <v>0.29843599999999998</v>
      </c>
      <c r="B123" s="68">
        <v>0.14672199999999999</v>
      </c>
      <c r="C123" s="68">
        <v>49.202199999999998</v>
      </c>
      <c r="D123" s="68">
        <v>2</v>
      </c>
      <c r="E123" s="68" t="s">
        <v>474</v>
      </c>
    </row>
    <row r="124" spans="1:5">
      <c r="A124" s="68">
        <v>0.29939300000000002</v>
      </c>
      <c r="B124" s="68">
        <v>0.14089499999999999</v>
      </c>
      <c r="C124" s="68">
        <v>49.609400000000001</v>
      </c>
      <c r="D124" s="68">
        <v>2</v>
      </c>
      <c r="E124" s="68" t="s">
        <v>475</v>
      </c>
    </row>
    <row r="125" spans="1:5">
      <c r="A125" s="68">
        <v>0.30019299999999999</v>
      </c>
      <c r="B125" s="68">
        <v>0.13587199999999999</v>
      </c>
      <c r="C125" s="68">
        <v>50.015000000000001</v>
      </c>
      <c r="D125" s="68">
        <v>2</v>
      </c>
      <c r="E125" s="68" t="s">
        <v>476</v>
      </c>
    </row>
    <row r="126" spans="1:5">
      <c r="A126" s="68">
        <v>0.30103799999999997</v>
      </c>
      <c r="B126" s="68">
        <v>0.13126199999999999</v>
      </c>
      <c r="C126" s="68">
        <v>50.423099999999998</v>
      </c>
      <c r="D126" s="68">
        <v>2</v>
      </c>
      <c r="E126" s="68" t="s">
        <v>477</v>
      </c>
    </row>
    <row r="127" spans="1:5">
      <c r="A127" s="68">
        <v>0.30179499999999998</v>
      </c>
      <c r="B127" s="68">
        <v>0.12740000000000001</v>
      </c>
      <c r="C127" s="68">
        <v>50.83</v>
      </c>
      <c r="D127" s="68">
        <v>2</v>
      </c>
      <c r="E127" s="68" t="s">
        <v>478</v>
      </c>
    </row>
    <row r="128" spans="1:5">
      <c r="A128" s="68">
        <v>0.30266900000000002</v>
      </c>
      <c r="B128" s="68">
        <v>0.123553</v>
      </c>
      <c r="C128" s="68">
        <v>51.234900000000003</v>
      </c>
      <c r="D128" s="68">
        <v>2</v>
      </c>
      <c r="E128" s="68" t="s">
        <v>479</v>
      </c>
    </row>
    <row r="129" spans="1:5">
      <c r="A129" s="68">
        <v>0.30363499999999999</v>
      </c>
      <c r="B129" s="68">
        <v>0.11969200000000001</v>
      </c>
      <c r="C129" s="68">
        <v>51.643000000000001</v>
      </c>
      <c r="D129" s="68">
        <v>2</v>
      </c>
      <c r="E129" s="68" t="s">
        <v>480</v>
      </c>
    </row>
    <row r="130" spans="1:5">
      <c r="A130" s="68">
        <v>0.30426999999999998</v>
      </c>
      <c r="B130" s="68">
        <v>0.116145</v>
      </c>
      <c r="C130" s="68">
        <v>52.050699999999999</v>
      </c>
      <c r="D130" s="68">
        <v>2</v>
      </c>
      <c r="E130" s="68" t="s">
        <v>481</v>
      </c>
    </row>
    <row r="131" spans="1:5">
      <c r="A131" s="68">
        <v>0.30460900000000002</v>
      </c>
      <c r="B131" s="68">
        <v>0.11336599999999999</v>
      </c>
      <c r="C131" s="68">
        <v>52.463900000000002</v>
      </c>
      <c r="D131" s="68">
        <v>2</v>
      </c>
      <c r="E131" s="68" t="s">
        <v>482</v>
      </c>
    </row>
    <row r="132" spans="1:5">
      <c r="A132" s="68">
        <v>0.30497600000000002</v>
      </c>
      <c r="B132" s="68">
        <v>0.110917</v>
      </c>
      <c r="C132" s="68">
        <v>52.860700000000001</v>
      </c>
      <c r="D132" s="68">
        <v>2</v>
      </c>
      <c r="E132" s="68" t="s">
        <v>483</v>
      </c>
    </row>
    <row r="133" spans="1:5">
      <c r="A133" s="68">
        <v>0.30560500000000002</v>
      </c>
      <c r="B133" s="68">
        <v>0.10895299999999999</v>
      </c>
      <c r="C133" s="68">
        <v>53.264200000000002</v>
      </c>
      <c r="D133" s="68">
        <v>2</v>
      </c>
      <c r="E133" s="68" t="s">
        <v>484</v>
      </c>
    </row>
    <row r="134" spans="1:5">
      <c r="A134" s="68">
        <v>0.30612800000000001</v>
      </c>
      <c r="B134" s="68">
        <v>0.10716100000000001</v>
      </c>
      <c r="C134" s="68">
        <v>53.6736</v>
      </c>
      <c r="D134" s="68">
        <v>2</v>
      </c>
      <c r="E134" s="68" t="s">
        <v>485</v>
      </c>
    </row>
    <row r="135" spans="1:5">
      <c r="A135" s="68">
        <v>0.307002</v>
      </c>
      <c r="B135" s="68">
        <v>0.10517899999999999</v>
      </c>
      <c r="C135" s="68">
        <v>54.081099999999999</v>
      </c>
      <c r="D135" s="68">
        <v>2</v>
      </c>
      <c r="E135" s="68" t="s">
        <v>486</v>
      </c>
    </row>
    <row r="136" spans="1:5">
      <c r="A136" s="68">
        <v>0.30803000000000003</v>
      </c>
      <c r="B136" s="68">
        <v>0.101465</v>
      </c>
      <c r="C136" s="68">
        <v>54.4893</v>
      </c>
      <c r="D136" s="68">
        <v>2</v>
      </c>
      <c r="E136" s="68" t="s">
        <v>487</v>
      </c>
    </row>
    <row r="137" spans="1:5">
      <c r="A137" s="68">
        <v>0.308674</v>
      </c>
      <c r="B137" s="68">
        <v>9.8835699999999999E-2</v>
      </c>
      <c r="C137" s="68">
        <v>54.890599999999999</v>
      </c>
      <c r="D137" s="68">
        <v>2</v>
      </c>
      <c r="E137" s="68" t="s">
        <v>488</v>
      </c>
    </row>
    <row r="138" spans="1:5">
      <c r="A138" s="68">
        <v>0.30891400000000002</v>
      </c>
      <c r="B138" s="68">
        <v>9.7229899999999994E-2</v>
      </c>
      <c r="C138" s="68">
        <v>55.295699999999997</v>
      </c>
      <c r="D138" s="68">
        <v>2</v>
      </c>
      <c r="E138" s="68" t="s">
        <v>489</v>
      </c>
    </row>
    <row r="139" spans="1:5">
      <c r="A139" s="68">
        <v>0.30915500000000001</v>
      </c>
      <c r="B139" s="68">
        <v>9.65694E-2</v>
      </c>
      <c r="C139" s="68">
        <v>55.703899999999997</v>
      </c>
      <c r="D139" s="68">
        <v>2</v>
      </c>
      <c r="E139" s="68" t="s">
        <v>490</v>
      </c>
    </row>
    <row r="140" spans="1:5">
      <c r="A140" s="68">
        <v>0.30967800000000001</v>
      </c>
      <c r="B140" s="68">
        <v>9.5364500000000005E-2</v>
      </c>
      <c r="C140" s="68">
        <v>56.11</v>
      </c>
      <c r="D140" s="68">
        <v>2</v>
      </c>
      <c r="E140" s="68" t="s">
        <v>491</v>
      </c>
    </row>
    <row r="141" spans="1:5">
      <c r="A141" s="68">
        <v>0.30982599999999999</v>
      </c>
      <c r="B141" s="68">
        <v>9.64999E-2</v>
      </c>
      <c r="C141" s="68">
        <v>56.518999999999998</v>
      </c>
      <c r="D141" s="68">
        <v>2</v>
      </c>
      <c r="E141" s="68" t="s">
        <v>492</v>
      </c>
    </row>
    <row r="142" spans="1:5">
      <c r="A142" s="68">
        <v>0.30979699999999999</v>
      </c>
      <c r="B142" s="68">
        <v>9.9831799999999998E-2</v>
      </c>
      <c r="C142" s="68">
        <v>56.927900000000001</v>
      </c>
      <c r="D142" s="68">
        <v>2</v>
      </c>
      <c r="E142" s="68" t="s">
        <v>493</v>
      </c>
    </row>
    <row r="143" spans="1:5">
      <c r="A143" s="68">
        <v>0.309255</v>
      </c>
      <c r="B143" s="68">
        <v>0.105319</v>
      </c>
      <c r="C143" s="68">
        <v>57.332799999999999</v>
      </c>
      <c r="D143" s="68">
        <v>2</v>
      </c>
      <c r="E143" s="68" t="s">
        <v>494</v>
      </c>
    </row>
    <row r="144" spans="1:5">
      <c r="A144" s="68">
        <v>0.30843700000000002</v>
      </c>
      <c r="B144" s="68">
        <v>0.111342</v>
      </c>
      <c r="C144" s="68">
        <v>57.738700000000001</v>
      </c>
      <c r="D144" s="68">
        <v>2</v>
      </c>
      <c r="E144" s="68" t="s">
        <v>495</v>
      </c>
    </row>
    <row r="145" spans="1:5">
      <c r="A145" s="68">
        <v>0.30793199999999998</v>
      </c>
      <c r="B145" s="68">
        <v>0.11395</v>
      </c>
      <c r="C145" s="68">
        <v>58.143599999999999</v>
      </c>
      <c r="D145" s="68">
        <v>2</v>
      </c>
      <c r="E145" s="68" t="s">
        <v>496</v>
      </c>
    </row>
    <row r="146" spans="1:5">
      <c r="A146" s="68">
        <v>0.30719000000000002</v>
      </c>
      <c r="B146" s="68">
        <v>0.116359</v>
      </c>
      <c r="C146" s="68">
        <v>58.5441</v>
      </c>
      <c r="D146" s="68">
        <v>2</v>
      </c>
      <c r="E146" s="68" t="s">
        <v>497</v>
      </c>
    </row>
    <row r="147" spans="1:5">
      <c r="A147" s="68">
        <v>0.30693999999999999</v>
      </c>
      <c r="B147" s="68">
        <v>0.11454499999999999</v>
      </c>
      <c r="C147" s="68">
        <v>58.959499999999998</v>
      </c>
      <c r="D147" s="68">
        <v>2</v>
      </c>
      <c r="E147" s="68" t="s">
        <v>498</v>
      </c>
    </row>
    <row r="148" spans="1:5">
      <c r="A148" s="68">
        <v>0.30562800000000001</v>
      </c>
      <c r="B148" s="68">
        <v>0.11573</v>
      </c>
      <c r="C148" s="68">
        <v>59.358600000000003</v>
      </c>
      <c r="D148" s="68">
        <v>2</v>
      </c>
      <c r="E148" s="68" t="s">
        <v>499</v>
      </c>
    </row>
    <row r="149" spans="1:5">
      <c r="A149" s="68">
        <v>0.303898</v>
      </c>
      <c r="B149" s="68">
        <v>0.123001</v>
      </c>
      <c r="C149" s="68">
        <v>59.766800000000003</v>
      </c>
      <c r="D149" s="68">
        <v>2</v>
      </c>
      <c r="E149" s="68" t="s">
        <v>500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501</v>
      </c>
      <c r="B1" s="66" t="s">
        <v>502</v>
      </c>
      <c r="C1" s="66" t="s">
        <v>504</v>
      </c>
      <c r="D1" s="66" t="s">
        <v>505</v>
      </c>
      <c r="E1" s="66" t="s">
        <v>506</v>
      </c>
      <c r="F1" s="66" t="s">
        <v>293</v>
      </c>
      <c r="G1" s="66" t="s">
        <v>294</v>
      </c>
      <c r="H1" s="66" t="s">
        <v>507</v>
      </c>
      <c r="I1" s="66" t="s">
        <v>508</v>
      </c>
      <c r="J1" s="66" t="s">
        <v>509</v>
      </c>
      <c r="K1" s="66" t="s">
        <v>510</v>
      </c>
      <c r="L1" s="66" t="s">
        <v>511</v>
      </c>
      <c r="M1" s="66" t="s">
        <v>512</v>
      </c>
      <c r="N1" s="66"/>
    </row>
    <row r="2" spans="1:14">
      <c r="A2" s="75">
        <v>43615.668854166666</v>
      </c>
      <c r="B2" s="66" t="s">
        <v>503</v>
      </c>
      <c r="C2" s="66"/>
      <c r="D2" s="66"/>
      <c r="E2" s="66">
        <v>4.9234099999999996</v>
      </c>
      <c r="F2" s="66">
        <v>1.39751</v>
      </c>
      <c r="G2" s="66">
        <v>0.72413700000000003</v>
      </c>
      <c r="H2" s="66">
        <v>0</v>
      </c>
      <c r="I2" s="66">
        <v>44764</v>
      </c>
      <c r="J2" s="66">
        <v>88</v>
      </c>
      <c r="K2" s="66">
        <v>88</v>
      </c>
      <c r="L2" s="66">
        <v>0</v>
      </c>
      <c r="M2" s="66" t="s">
        <v>513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2019-05-30T08:03:39Z</cp:lastPrinted>
  <dcterms:created xsi:type="dcterms:W3CDTF">2010-10-29T12:53:05Z</dcterms:created>
  <dcterms:modified xsi:type="dcterms:W3CDTF">2019-05-30T08:03:47Z</dcterms:modified>
</cp:coreProperties>
</file>