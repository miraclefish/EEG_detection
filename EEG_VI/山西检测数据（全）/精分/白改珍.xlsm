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<sst xmlns="http://schemas.openxmlformats.org/spreadsheetml/2006/main" count="701" uniqueCount="570">
  <si>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</si>
  <si>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</si>
  <si>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</si>
  <si>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</si>
  <si>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</si>
  <si>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</si>
  <si>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</si>
  <si>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</si>
  <si>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</si>
  <si>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</si>
  <si>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</si>
  <si>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</si>
  <si>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</si>
  <si>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</si>
  <si>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</si>
  <si>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</si>
  <si>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</si>
  <si>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</si>
  <si>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</si>
  <si>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</si>
  <si>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</si>
  <si>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</si>
  <si>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</si>
  <si>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</si>
  <si>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</si>
  <si>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</si>
  <si>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</si>
  <si>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</si>
  <si>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</si>
  <si>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</si>
  <si>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</si>
  <si>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</si>
  <si>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</si>
  <si>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</si>
  <si>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</si>
  <si>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</si>
  <si>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</si>
  <si>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</si>
  <si>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</si>
  <si>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</si>
  <si>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</si>
  <si>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</si>
  <si>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</si>
  <si>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</si>
  <si>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</si>
  <si>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</si>
  <si>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</si>
  <si>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</si>
  <si>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</si>
  <si>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</si>
  <si>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</si>
  <si>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</si>
  <si>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</si>
  <si>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</si>
  <si>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</si>
  <si>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</si>
  <si>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</si>
  <si>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</si>
  <si>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</si>
  <si>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</si>
  <si>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</si>
  <si>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</si>
  <si>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</si>
  <si>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</si>
  <si>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</si>
  <si>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</si>
  <si>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</si>
  <si>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</si>
  <si>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</si>
  <si>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</si>
  <si>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</si>
  <si>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</si>
  <si>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</si>
  <si>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</si>
  <si>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</si>
  <si>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</si>
  <si>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</si>
  <si>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</si>
  <si>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</si>
  <si>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</si>
  <si>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</si>
  <si>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</si>
  <si>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</si>
  <si>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</si>
  <si>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</si>
  <si>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</si>
  <si>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</si>
  <si>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</si>
  <si>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</si>
  <si>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</si>
  <si>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</si>
  <si>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</si>
  <si>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</si>
  <si>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</si>
  <si>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</si>
  <si>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</si>
  <si>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</si>
  <si>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</si>
  <si>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</si>
  <si>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</si>
  <si>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</si>
  <si>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</si>
  <si>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</si>
  <si>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</si>
  <si>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</si>
  <si>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</si>
  <si>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</si>
  <si>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</si>
  <si>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</si>
  <si>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</si>
  <si>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</si>
  <si>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</si>
  <si>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</si>
  <si>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</si>
  <si>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</si>
  <si>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</si>
  <si>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</si>
  <si>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</si>
  <si>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</si>
  <si>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</si>
  <si>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</si>
  <si>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</si>
  <si>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</si>
  <si>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</si>
  <si>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</si>
  <si>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</si>
  <si>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</si>
  <si>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</si>
  <si>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</si>
  <si>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</si>
  <si>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</si>
  <si>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</si>
  <si>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</si>
  <si>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</si>
  <si>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</si>
  <si>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</si>
  <si>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</si>
  <si>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</si>
  <si>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</si>
  <si>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</si>
  <si>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</si>
  <si>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</si>
  <si>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</si>
  <si>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</si>
  <si>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</si>
  <si>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</si>
  <si>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</si>
  <si>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</si>
  <si>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</si>
  <si>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</si>
  <si>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</si>
  <si>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</si>
  <si>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</si>
  <si>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</si>
  <si>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</si>
  <si>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</si>
  <si>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</si>
  <si>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</si>
  <si>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</si>
  <si>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</si>
  <si>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</si>
  <si>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</si>
  <si>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</si>
  <si>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</si>
  <si>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</si>
  <si>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</si>
  <si>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</si>
  <si>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</si>
  <si>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</si>
  <si>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</si>
  <si>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</si>
  <si>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</si>
  <si>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</si>
  <si>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</si>
  <si>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</si>
  <si>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</si>
  <si>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</si>
  <si>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</si>
  <si>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</si>
  <si>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</si>
  <si>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</si>
  <si>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</si>
  <si>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</si>
  <si>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</si>
  <si>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</si>
  <si>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</si>
  <si>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</si>
  <si>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</si>
  <si>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</si>
  <si>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</si>
  <si>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</si>
  <si>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</si>
  <si>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</si>
  <si>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</si>
  <si>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</si>
  <si>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</si>
  <si>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</si>
  <si>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</si>
  <si>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</si>
  <si>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</si>
  <si>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</si>
  <si>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</si>
  <si>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</si>
  <si>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</si>
  <si>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</si>
  <si>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</si>
  <si>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</si>
  <si>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</si>
  <si>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</si>
  <si>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</si>
  <si>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</si>
  <si>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</si>
  <si>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</si>
  <si>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</si>
  <si>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</si>
  <si>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</si>
  <si>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</si>
  <si>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</si>
  <si>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</si>
  <si>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</si>
  <si>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</si>
  <si>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</si>
  <si>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</si>
  <si>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</si>
  <si>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</si>
  <si>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</si>
  <si>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</si>
  <si>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</si>
  <si>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</si>
  <si>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</si>
  <si>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</si>
  <si>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</si>
  <si>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</si>
  <si>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</si>
  <si>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</si>
  <si>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</si>
  <si>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</si>
  <si>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</si>
  <si>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</si>
  <si>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</si>
  <si>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</si>
  <si>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</si>
  <si>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</si>
  <si>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</si>
  <si>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</si>
  <si>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</si>
  <si>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</si>
  <si>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</si>
  <si>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</si>
  <si>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</si>
  <si>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</si>
  <si>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</si>
  <si>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</si>
  <si>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</si>
  <si>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</si>
  <si>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</si>
  <si>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</si>
  <si>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</si>
  <si>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</si>
  <si>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</si>
  <si>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</si>
  <si>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</si>
  <si>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</si>
  <si>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</si>
  <si>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</si>
  <si>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</si>
  <si>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</si>
  <si>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</si>
  <si>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</si>
  <si>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</si>
  <si>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</si>
  <si>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</si>
  <si>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</si>
  <si>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</si>
  <si>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</si>
  <si>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</si>
  <si>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</si>
  <si>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</si>
  <si>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</si>
  <si>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</si>
  <si>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</si>
  <si>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</si>
  <si>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</si>
  <si>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</si>
  <si>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</si>
  <si>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</si>
  <si>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</si>
  <si>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</si>
  <si>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</si>
  <si>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</si>
  <si>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</si>
  <si>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</si>
  <si>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</si>
  <si>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</si>
  <si>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</si>
  <si>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</si>
  <si>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</si>
  <si>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</si>
  <si>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</si>
  <si>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</si>
  <si>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</si>
  <si>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</si>
  <si>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</si>
  <si>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</si>
  <si>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</si>
  <si>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</si>
  <si>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</si>
  <si>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</si>
  <si>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</si>
  <si>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</si>
  <si>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</si>
  <si>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</si>
  <si>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</si>
  <si>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</si>
  <si>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</si>
  <si>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</si>
  <si>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</si>
  <si>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</si>
  <si>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</si>
  <si>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</si>
  <si>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</si>
  <si>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</si>
  <si>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</si>
  <si>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</si>
  <si>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</si>
  <si>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</si>
  <si>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</si>
  <si>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</si>
  <si>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</si>
  <si>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</si>
  <si>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</si>
  <si>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</si>
  <si>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</si>
  <si>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</si>
  <si>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</si>
  <si>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</si>
  <si>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</si>
  <si>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</si>
  <si>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</si>
  <si>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</si>
  <si>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</si>
  <si>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</si>
  <si>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</si>
  <si>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</si>
  <si>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</si>
  <si>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</si>
  <si>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</si>
  <si>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</si>
  <si>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</si>
  <si>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</si>
  <si>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</si>
  <si>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</si>
  <si>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</si>
  <si>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</si>
  <si>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</si>
  <si>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</si>
  <si>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</si>
  <si>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</si>
  <si>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</si>
  <si>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</si>
  <si>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</si>
  <si>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</si>
  <si>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</si>
  <si>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</si>
  <si>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</si>
  <si>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</si>
  <si>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</si>
  <si>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</si>
  <si>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</si>
  <si>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</si>
  <si>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</si>
  <si>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</si>
  <si>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</si>
  <si>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</si>
  <si>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</si>
  <si>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</si>
  <si>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</si>
  <si>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</si>
  <si>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</si>
  <si>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</si>
  <si>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</si>
  <si>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</si>
  <si>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</si>
  <si>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</si>
  <si>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</si>
  <si>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</si>
  <si>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</si>
  <si>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</si>
  <si>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</si>
  <si>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</si>
  <si>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</si>
  <si>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</si>
  <si>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</si>
  <si>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</si>
  <si>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</si>
  <si>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</si>
  <si>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</si>
  <si>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</si>
  <si>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</si>
  <si>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</si>
  <si>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</si>
  <si>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</si>
  <si>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</si>
  <si>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</si>
  <si>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</si>
  <si>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</si>
  <si>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</si>
  <si>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</si>
  <si>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</si>
  <si>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[0.408137]</t>
  </si>
  <si>
    <t>1 [0.815993]</t>
  </si>
  <si>
    <t>1 [1.221126]</t>
  </si>
  <si>
    <t>1 [1.626320]</t>
  </si>
  <si>
    <t>1 [2.032565]</t>
  </si>
  <si>
    <t>1 [2.438326]</t>
  </si>
  <si>
    <t>1 [2.844245]</t>
  </si>
  <si>
    <t>1 [3.252707]</t>
  </si>
  <si>
    <t>1 [3.661466]</t>
  </si>
  <si>
    <t>1 [4.066159]</t>
  </si>
  <si>
    <t>1 [4.471917]</t>
  </si>
  <si>
    <t>1 [4.879136]</t>
  </si>
  <si>
    <t>1 [5.284172]</t>
  </si>
  <si>
    <t>1 [5.688696]</t>
  </si>
  <si>
    <t>1 [6.095279]</t>
  </si>
  <si>
    <t>1 [6.502869]</t>
  </si>
  <si>
    <t>1 [6.912425]</t>
  </si>
  <si>
    <t>1 [7.312480]</t>
  </si>
  <si>
    <t>1 [7.719951]</t>
  </si>
  <si>
    <t>1 [8.126770]</t>
  </si>
  <si>
    <t>1 [8.534954]</t>
  </si>
  <si>
    <t>1 [8.940586]</t>
  </si>
  <si>
    <t>1 [9.344337]</t>
  </si>
  <si>
    <t>1 [9.753140]</t>
  </si>
  <si>
    <t>1 [10.155621]</t>
  </si>
  <si>
    <t>1 [10.564719]</t>
  </si>
  <si>
    <t>1 [10.970488]</t>
  </si>
  <si>
    <t>1 [11.374361]</t>
  </si>
  <si>
    <t>1 [11.782446]</t>
  </si>
  <si>
    <t>1 [12.190722]</t>
  </si>
  <si>
    <t>1 [12.592846]</t>
  </si>
  <si>
    <t>1 [12.999111]</t>
  </si>
  <si>
    <t>1 [13.409762]</t>
  </si>
  <si>
    <t>1 [13.814438]</t>
  </si>
  <si>
    <t>1 [14.220729]</t>
  </si>
  <si>
    <t>1 [14.627786]</t>
  </si>
  <si>
    <t>1 [15.030879]</t>
  </si>
  <si>
    <t>1 [15.440084]</t>
  </si>
  <si>
    <t>1 [15.846229]</t>
  </si>
  <si>
    <t>1 [16.252731]</t>
  </si>
  <si>
    <t>1 [16.655843]</t>
  </si>
  <si>
    <t>1 [17.063606]</t>
  </si>
  <si>
    <t>1 [17.472282]</t>
  </si>
  <si>
    <t>1 [17.876467]</t>
  </si>
  <si>
    <t>1 [18.284493]</t>
  </si>
  <si>
    <t>1 [18.689067]</t>
  </si>
  <si>
    <t>1 [19.098367]</t>
  </si>
  <si>
    <t>1 [19.504062]</t>
  </si>
  <si>
    <t>1 [19.909836]</t>
  </si>
  <si>
    <t>1 [20.314621]</t>
  </si>
  <si>
    <t>1 [20.718726]</t>
  </si>
  <si>
    <t>1 [21.126225]</t>
  </si>
  <si>
    <t>1 [21.531005]</t>
  </si>
  <si>
    <t>1 [21.938533]</t>
  </si>
  <si>
    <t>1 [22.344976]</t>
  </si>
  <si>
    <t>1 [22.753566]</t>
  </si>
  <si>
    <t>1 [23.158965]</t>
  </si>
  <si>
    <t>1 [23.566095]</t>
  </si>
  <si>
    <t>1 [23.973842]</t>
  </si>
  <si>
    <t>1 [24.381861]</t>
  </si>
  <si>
    <t>1 [24.783805]</t>
  </si>
  <si>
    <t>1 [25.189735]</t>
  </si>
  <si>
    <t>1 [25.597294]</t>
  </si>
  <si>
    <t>1 [26.003200]</t>
  </si>
  <si>
    <t>1 [26.407179]</t>
  </si>
  <si>
    <t>1 [26.815629]</t>
  </si>
  <si>
    <t>1 [27.223227]</t>
  </si>
  <si>
    <t>1 [27.629826]</t>
  </si>
  <si>
    <t>1 [28.034771]</t>
  </si>
  <si>
    <t>1 [28.440349]</t>
  </si>
  <si>
    <t>1 [28.844544]</t>
  </si>
  <si>
    <t>1 [29.252157]</t>
  </si>
  <si>
    <t>1 [29.661650]</t>
  </si>
  <si>
    <t>2 [30.066166]</t>
  </si>
  <si>
    <t>2 [30.470856]</t>
  </si>
  <si>
    <t>2 [30.879040]</t>
  </si>
  <si>
    <t>2 [31.281246]</t>
  </si>
  <si>
    <t>2 [31.687868]</t>
  </si>
  <si>
    <t>2 [32.097091]</t>
  </si>
  <si>
    <t>2 [32.504868]</t>
  </si>
  <si>
    <t>2 [32.906116]</t>
  </si>
  <si>
    <t>2 [33.312396]</t>
  </si>
  <si>
    <t>2 [33.719255]</t>
  </si>
  <si>
    <t>2 [34.127569]</t>
  </si>
  <si>
    <t>2 [34.534322]</t>
  </si>
  <si>
    <t>2 [34.939187]</t>
  </si>
  <si>
    <t>2 [35.345497]</t>
  </si>
  <si>
    <t>2 [35.753121]</t>
  </si>
  <si>
    <t>2 [36.158301]</t>
  </si>
  <si>
    <t>2 [36.566399]</t>
  </si>
  <si>
    <t>2 [36.971088]</t>
  </si>
  <si>
    <t>2 [37.377321]</t>
  </si>
  <si>
    <t>2 [37.782703]</t>
  </si>
  <si>
    <t>2 [38.191009]</t>
  </si>
  <si>
    <t>2 [38.597100]</t>
  </si>
  <si>
    <t>2 [39.004299]</t>
  </si>
  <si>
    <t>2 [39.407757]</t>
  </si>
  <si>
    <t>2 [39.815229]</t>
  </si>
  <si>
    <t>2 [40.222488]</t>
  </si>
  <si>
    <t>2 [40.630688]</t>
  </si>
  <si>
    <t>2 [41.031097]</t>
  </si>
  <si>
    <t>2 [41.440617]</t>
  </si>
  <si>
    <t>2 [41.846451]</t>
  </si>
  <si>
    <t>2 [42.251116]</t>
  </si>
  <si>
    <t>2 [42.660383]</t>
  </si>
  <si>
    <t>2 [43.063293]</t>
  </si>
  <si>
    <t>2 [43.470419]</t>
  </si>
  <si>
    <t>2 [43.877990]</t>
  </si>
  <si>
    <t>2 [44.284672]</t>
  </si>
  <si>
    <t>2 [44.688465]</t>
  </si>
  <si>
    <t>2 [45.095491]</t>
  </si>
  <si>
    <t>2 [45.500950]</t>
  </si>
  <si>
    <t>2 [45.906295]</t>
  </si>
  <si>
    <t>2 [46.314845]</t>
  </si>
  <si>
    <t>2 [46.718807]</t>
  </si>
  <si>
    <t>2 [47.126870]</t>
  </si>
  <si>
    <t>2 [47.535822]</t>
  </si>
  <si>
    <t>2 [47.941117]</t>
  </si>
  <si>
    <t>2 [48.345394]</t>
  </si>
  <si>
    <t>2 [48.752912]</t>
  </si>
  <si>
    <t>2 [49.156342]</t>
  </si>
  <si>
    <t>2 [49.565838]</t>
  </si>
  <si>
    <t>2 [49.970461]</t>
  </si>
  <si>
    <t>2 [50.378004]</t>
  </si>
  <si>
    <t>2 [50.783927]</t>
  </si>
  <si>
    <t>2 [51.190170]</t>
  </si>
  <si>
    <t>2 [51.597427]</t>
  </si>
  <si>
    <t>2 [52.000817]</t>
  </si>
  <si>
    <t>2 [52.407183]</t>
  </si>
  <si>
    <t>2 [52.813638]</t>
  </si>
  <si>
    <t>2 [53.223280]</t>
  </si>
  <si>
    <t>2 [53.628960]</t>
  </si>
  <si>
    <t>2 [54.032643]</t>
  </si>
  <si>
    <t>2 [54.440087]</t>
  </si>
  <si>
    <t>2 [54.846770]</t>
  </si>
  <si>
    <t>2 [55.254186]</t>
  </si>
  <si>
    <t>2 [55.659658]</t>
  </si>
  <si>
    <t>2 [56.063348]</t>
  </si>
  <si>
    <t>2 [56.471848]</t>
  </si>
  <si>
    <t>2 [56.877905]</t>
  </si>
  <si>
    <t>2 [57.283501]</t>
  </si>
  <si>
    <t>2 [57.689484]</t>
  </si>
  <si>
    <t>2 [58.095378]</t>
  </si>
  <si>
    <t>2 [58.502738]</t>
  </si>
  <si>
    <t>2 [58.912695]</t>
  </si>
  <si>
    <t>2 [59.317004]</t>
  </si>
  <si>
    <t>2 [59.724413]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</si>
  <si>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</si>
  <si>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</si>
  <si>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</si>
  <si>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</si>
  <si>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</si>
  <si>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</si>
  <si>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</si>
  <si>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</si>
  <si>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</si>
  <si>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</si>
  <si>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</si>
  <si>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</si>
  <si>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</si>
  <si>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白改珍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</si>
</sst>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25.196899999999999</c:v>
                </c:pt>
                <c:pt idx="1">
                  <c:v>31.175699999999999</c:v>
                </c:pt>
                <c:pt idx="2">
                  <c:v>23.1173</c:v>
                </c:pt>
                <c:pt idx="3">
                  <c:v>27.880400000000002</c:v>
                </c:pt>
                <c:pt idx="4">
                  <c:v>73.269099999999995</c:v>
                </c:pt>
                <c:pt idx="5">
                  <c:v>68.380600000000001</c:v>
                </c:pt>
                <c:pt idx="6">
                  <c:v>9.3372399999999995</c:v>
                </c:pt>
                <c:pt idx="7">
                  <c:v>69.876800000000003</c:v>
                </c:pt>
                <c:pt idx="8">
                  <c:v>19.369599999999998</c:v>
                </c:pt>
                <c:pt idx="9">
                  <c:v>26.715299999999999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0.52536090060452345</c:v>
                </c:pt>
                <c:pt idx="1">
                  <c:v>0.25539800017050274</c:v>
                </c:pt>
                <c:pt idx="2">
                  <c:v>0.21924109922497373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17503</c:v>
                </c:pt>
                <c:pt idx="7">
                  <c:v>0</c:v>
                </c:pt>
                <c:pt idx="8">
                  <c:v>32277</c:v>
                </c:pt>
                <c:pt idx="9">
                  <c:v>0</c:v>
                </c:pt>
                <c:pt idx="10">
                  <c:v>0</c:v>
                </c:pt>
                <c:pt idx="11">
                  <c:v>44895</c:v>
                </c:pt>
                <c:pt idx="12">
                  <c:v>0</c:v>
                </c:pt>
                <c:pt idx="13">
                  <c:v>74124</c:v>
                </c:pt>
                <c:pt idx="14">
                  <c:v>0</c:v>
                </c:pt>
                <c:pt idx="15">
                  <c:v>0</c:v>
                </c:pt>
                <c:pt idx="16">
                  <c:v>76331</c:v>
                </c:pt>
                <c:pt idx="17">
                  <c:v>0</c:v>
                </c:pt>
                <c:pt idx="18">
                  <c:v>0</c:v>
                </c:pt>
                <c:pt idx="19">
                  <c:v>86470</c:v>
                </c:pt>
                <c:pt idx="20">
                  <c:v>0</c:v>
                </c:pt>
                <c:pt idx="21">
                  <c:v>90984</c:v>
                </c:pt>
                <c:pt idx="22">
                  <c:v>0</c:v>
                </c:pt>
                <c:pt idx="23">
                  <c:v>0</c:v>
                </c:pt>
                <c:pt idx="24">
                  <c:v>97947</c:v>
                </c:pt>
                <c:pt idx="25">
                  <c:v>0</c:v>
                </c:pt>
                <c:pt idx="26">
                  <c:v>109985</c:v>
                </c:pt>
                <c:pt idx="27">
                  <c:v>0</c:v>
                </c:pt>
                <c:pt idx="28">
                  <c:v>0</c:v>
                </c:pt>
                <c:pt idx="29">
                  <c:v>120326</c:v>
                </c:pt>
                <c:pt idx="30">
                  <c:v>0</c:v>
                </c:pt>
                <c:pt idx="31">
                  <c:v>120069</c:v>
                </c:pt>
                <c:pt idx="32">
                  <c:v>0</c:v>
                </c:pt>
                <c:pt idx="33">
                  <c:v>0</c:v>
                </c:pt>
                <c:pt idx="34">
                  <c:v>132088</c:v>
                </c:pt>
                <c:pt idx="35">
                  <c:v>0</c:v>
                </c:pt>
                <c:pt idx="36">
                  <c:v>0</c:v>
                </c:pt>
                <c:pt idx="37">
                  <c:v>130449</c:v>
                </c:pt>
                <c:pt idx="38">
                  <c:v>0</c:v>
                </c:pt>
                <c:pt idx="39">
                  <c:v>133502</c:v>
                </c:pt>
                <c:pt idx="40">
                  <c:v>0</c:v>
                </c:pt>
                <c:pt idx="41">
                  <c:v>0</c:v>
                </c:pt>
                <c:pt idx="42">
                  <c:v>118374</c:v>
                </c:pt>
                <c:pt idx="43">
                  <c:v>0</c:v>
                </c:pt>
                <c:pt idx="44">
                  <c:v>120776</c:v>
                </c:pt>
                <c:pt idx="45">
                  <c:v>0</c:v>
                </c:pt>
                <c:pt idx="46">
                  <c:v>0</c:v>
                </c:pt>
                <c:pt idx="47">
                  <c:v>113469</c:v>
                </c:pt>
                <c:pt idx="48">
                  <c:v>0</c:v>
                </c:pt>
                <c:pt idx="49">
                  <c:v>114862</c:v>
                </c:pt>
                <c:pt idx="50">
                  <c:v>0</c:v>
                </c:pt>
                <c:pt idx="51">
                  <c:v>0</c:v>
                </c:pt>
                <c:pt idx="52">
                  <c:v>111271</c:v>
                </c:pt>
                <c:pt idx="53">
                  <c:v>0</c:v>
                </c:pt>
                <c:pt idx="54">
                  <c:v>0</c:v>
                </c:pt>
                <c:pt idx="55">
                  <c:v>111050</c:v>
                </c:pt>
                <c:pt idx="56">
                  <c:v>0</c:v>
                </c:pt>
                <c:pt idx="57">
                  <c:v>96251</c:v>
                </c:pt>
                <c:pt idx="58">
                  <c:v>0</c:v>
                </c:pt>
                <c:pt idx="59">
                  <c:v>0</c:v>
                </c:pt>
                <c:pt idx="60">
                  <c:v>100021</c:v>
                </c:pt>
                <c:pt idx="61">
                  <c:v>0</c:v>
                </c:pt>
                <c:pt idx="62">
                  <c:v>91957</c:v>
                </c:pt>
                <c:pt idx="63">
                  <c:v>0</c:v>
                </c:pt>
                <c:pt idx="64">
                  <c:v>0</c:v>
                </c:pt>
                <c:pt idx="65">
                  <c:v>84510</c:v>
                </c:pt>
                <c:pt idx="66">
                  <c:v>0</c:v>
                </c:pt>
                <c:pt idx="67">
                  <c:v>76483</c:v>
                </c:pt>
                <c:pt idx="68">
                  <c:v>0</c:v>
                </c:pt>
                <c:pt idx="69">
                  <c:v>0</c:v>
                </c:pt>
                <c:pt idx="70">
                  <c:v>69244</c:v>
                </c:pt>
                <c:pt idx="71">
                  <c:v>0</c:v>
                </c:pt>
                <c:pt idx="72">
                  <c:v>0</c:v>
                </c:pt>
                <c:pt idx="73">
                  <c:v>58678</c:v>
                </c:pt>
                <c:pt idx="74">
                  <c:v>0</c:v>
                </c:pt>
                <c:pt idx="75">
                  <c:v>55427</c:v>
                </c:pt>
                <c:pt idx="76">
                  <c:v>0</c:v>
                </c:pt>
                <c:pt idx="77">
                  <c:v>0</c:v>
                </c:pt>
                <c:pt idx="78">
                  <c:v>51278</c:v>
                </c:pt>
                <c:pt idx="79">
                  <c:v>0</c:v>
                </c:pt>
                <c:pt idx="80">
                  <c:v>43684</c:v>
                </c:pt>
                <c:pt idx="81">
                  <c:v>0</c:v>
                </c:pt>
                <c:pt idx="82">
                  <c:v>0</c:v>
                </c:pt>
                <c:pt idx="83">
                  <c:v>36519</c:v>
                </c:pt>
                <c:pt idx="84">
                  <c:v>0</c:v>
                </c:pt>
                <c:pt idx="85">
                  <c:v>0</c:v>
                </c:pt>
                <c:pt idx="86">
                  <c:v>31561</c:v>
                </c:pt>
                <c:pt idx="87">
                  <c:v>0</c:v>
                </c:pt>
                <c:pt idx="88">
                  <c:v>28971</c:v>
                </c:pt>
                <c:pt idx="89">
                  <c:v>0</c:v>
                </c:pt>
                <c:pt idx="90">
                  <c:v>0</c:v>
                </c:pt>
                <c:pt idx="91">
                  <c:v>28185</c:v>
                </c:pt>
                <c:pt idx="92">
                  <c:v>0</c:v>
                </c:pt>
                <c:pt idx="93">
                  <c:v>22681</c:v>
                </c:pt>
                <c:pt idx="94">
                  <c:v>0</c:v>
                </c:pt>
                <c:pt idx="95">
                  <c:v>0</c:v>
                </c:pt>
                <c:pt idx="96">
                  <c:v>19157</c:v>
                </c:pt>
                <c:pt idx="97">
                  <c:v>0</c:v>
                </c:pt>
                <c:pt idx="98">
                  <c:v>14858</c:v>
                </c:pt>
                <c:pt idx="99">
                  <c:v>0</c:v>
                </c:pt>
                <c:pt idx="100">
                  <c:v>0</c:v>
                </c:pt>
                <c:pt idx="101">
                  <c:v>14405</c:v>
                </c:pt>
                <c:pt idx="102">
                  <c:v>0</c:v>
                </c:pt>
                <c:pt idx="103">
                  <c:v>0</c:v>
                </c:pt>
                <c:pt idx="104">
                  <c:v>14057</c:v>
                </c:pt>
                <c:pt idx="105">
                  <c:v>0</c:v>
                </c:pt>
                <c:pt idx="106">
                  <c:v>12456</c:v>
                </c:pt>
                <c:pt idx="107">
                  <c:v>0</c:v>
                </c:pt>
                <c:pt idx="108">
                  <c:v>0</c:v>
                </c:pt>
                <c:pt idx="109">
                  <c:v>12756</c:v>
                </c:pt>
                <c:pt idx="110">
                  <c:v>0</c:v>
                </c:pt>
                <c:pt idx="111">
                  <c:v>11212</c:v>
                </c:pt>
                <c:pt idx="112">
                  <c:v>0</c:v>
                </c:pt>
                <c:pt idx="113">
                  <c:v>0</c:v>
                </c:pt>
                <c:pt idx="114">
                  <c:v>10349</c:v>
                </c:pt>
                <c:pt idx="115">
                  <c:v>0</c:v>
                </c:pt>
                <c:pt idx="116">
                  <c:v>7149</c:v>
                </c:pt>
                <c:pt idx="117">
                  <c:v>0</c:v>
                </c:pt>
                <c:pt idx="118">
                  <c:v>0</c:v>
                </c:pt>
                <c:pt idx="119">
                  <c:v>5486</c:v>
                </c:pt>
                <c:pt idx="120">
                  <c:v>0</c:v>
                </c:pt>
                <c:pt idx="121">
                  <c:v>0</c:v>
                </c:pt>
                <c:pt idx="122">
                  <c:v>4897</c:v>
                </c:pt>
                <c:pt idx="123">
                  <c:v>0</c:v>
                </c:pt>
                <c:pt idx="124">
                  <c:v>4710</c:v>
                </c:pt>
                <c:pt idx="125">
                  <c:v>0</c:v>
                </c:pt>
                <c:pt idx="126">
                  <c:v>0</c:v>
                </c:pt>
                <c:pt idx="127">
                  <c:v>3092</c:v>
                </c:pt>
                <c:pt idx="128">
                  <c:v>0</c:v>
                </c:pt>
                <c:pt idx="129">
                  <c:v>2068</c:v>
                </c:pt>
                <c:pt idx="130">
                  <c:v>0</c:v>
                </c:pt>
                <c:pt idx="131">
                  <c:v>0</c:v>
                </c:pt>
                <c:pt idx="132">
                  <c:v>1143</c:v>
                </c:pt>
                <c:pt idx="133">
                  <c:v>0</c:v>
                </c:pt>
                <c:pt idx="134">
                  <c:v>1436</c:v>
                </c:pt>
                <c:pt idx="135">
                  <c:v>0</c:v>
                </c:pt>
                <c:pt idx="136">
                  <c:v>0</c:v>
                </c:pt>
                <c:pt idx="137">
                  <c:v>1067</c:v>
                </c:pt>
                <c:pt idx="138">
                  <c:v>0</c:v>
                </c:pt>
                <c:pt idx="139">
                  <c:v>0</c:v>
                </c:pt>
                <c:pt idx="140">
                  <c:v>969</c:v>
                </c:pt>
                <c:pt idx="141">
                  <c:v>0</c:v>
                </c:pt>
                <c:pt idx="142">
                  <c:v>903</c:v>
                </c:pt>
                <c:pt idx="143">
                  <c:v>0</c:v>
                </c:pt>
                <c:pt idx="144">
                  <c:v>0</c:v>
                </c:pt>
                <c:pt idx="145">
                  <c:v>664</c:v>
                </c:pt>
                <c:pt idx="146">
                  <c:v>0</c:v>
                </c:pt>
                <c:pt idx="147">
                  <c:v>463</c:v>
                </c:pt>
                <c:pt idx="148">
                  <c:v>0</c:v>
                </c:pt>
                <c:pt idx="149">
                  <c:v>0</c:v>
                </c:pt>
                <c:pt idx="150">
                  <c:v>42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  <c:pt idx="74">
                  <c:v>1.8412600000000001</c:v>
                </c:pt>
                <c:pt idx="75">
                  <c:v>1.8414600000000001</c:v>
                </c:pt>
                <c:pt idx="76">
                  <c:v>1.8418200000000002</c:v>
                </c:pt>
                <c:pt idx="77">
                  <c:v>1.8430800000000001</c:v>
                </c:pt>
                <c:pt idx="78">
                  <c:v>1.84399</c:v>
                </c:pt>
                <c:pt idx="79">
                  <c:v>1.8444199999999999</c:v>
                </c:pt>
                <c:pt idx="80">
                  <c:v>1.84348</c:v>
                </c:pt>
                <c:pt idx="81">
                  <c:v>1.8414200000000001</c:v>
                </c:pt>
                <c:pt idx="82">
                  <c:v>1.84084</c:v>
                </c:pt>
                <c:pt idx="83">
                  <c:v>1.8407100000000001</c:v>
                </c:pt>
                <c:pt idx="84">
                  <c:v>1.8434600000000001</c:v>
                </c:pt>
                <c:pt idx="85">
                  <c:v>1.8537300000000001</c:v>
                </c:pt>
                <c:pt idx="86">
                  <c:v>1.8696199999999998</c:v>
                </c:pt>
                <c:pt idx="87">
                  <c:v>1.8911500000000001</c:v>
                </c:pt>
                <c:pt idx="88">
                  <c:v>1.9111199999999999</c:v>
                </c:pt>
                <c:pt idx="89">
                  <c:v>1.9323599999999999</c:v>
                </c:pt>
                <c:pt idx="90">
                  <c:v>1.9565399999999999</c:v>
                </c:pt>
                <c:pt idx="91">
                  <c:v>1.98132</c:v>
                </c:pt>
                <c:pt idx="92">
                  <c:v>2.0085899999999999</c:v>
                </c:pt>
                <c:pt idx="93">
                  <c:v>2.0361599999999997</c:v>
                </c:pt>
                <c:pt idx="94">
                  <c:v>2.0631499999999998</c:v>
                </c:pt>
                <c:pt idx="95">
                  <c:v>2.0896300000000001</c:v>
                </c:pt>
                <c:pt idx="96">
                  <c:v>2.1140699999999999</c:v>
                </c:pt>
                <c:pt idx="97">
                  <c:v>2.1381399999999999</c:v>
                </c:pt>
                <c:pt idx="98">
                  <c:v>2.16275</c:v>
                </c:pt>
                <c:pt idx="99">
                  <c:v>2.18757</c:v>
                </c:pt>
                <c:pt idx="100">
                  <c:v>2.2111800000000001</c:v>
                </c:pt>
                <c:pt idx="101">
                  <c:v>2.2356599999999998</c:v>
                </c:pt>
                <c:pt idx="102">
                  <c:v>2.2571699999999999</c:v>
                </c:pt>
                <c:pt idx="103">
                  <c:v>2.2752500000000002</c:v>
                </c:pt>
                <c:pt idx="104">
                  <c:v>2.2904</c:v>
                </c:pt>
                <c:pt idx="105">
                  <c:v>2.3025100000000003</c:v>
                </c:pt>
                <c:pt idx="106">
                  <c:v>2.31501</c:v>
                </c:pt>
                <c:pt idx="107">
                  <c:v>2.3273799999999998</c:v>
                </c:pt>
                <c:pt idx="108">
                  <c:v>2.3399399999999999</c:v>
                </c:pt>
                <c:pt idx="109">
                  <c:v>2.35182</c:v>
                </c:pt>
                <c:pt idx="110">
                  <c:v>2.3607</c:v>
                </c:pt>
                <c:pt idx="111">
                  <c:v>2.36633</c:v>
                </c:pt>
                <c:pt idx="112">
                  <c:v>2.3675199999999998</c:v>
                </c:pt>
                <c:pt idx="113">
                  <c:v>2.3681999999999999</c:v>
                </c:pt>
                <c:pt idx="114">
                  <c:v>2.3686199999999999</c:v>
                </c:pt>
                <c:pt idx="115">
                  <c:v>2.3647</c:v>
                </c:pt>
                <c:pt idx="116">
                  <c:v>2.3594499999999998</c:v>
                </c:pt>
                <c:pt idx="117">
                  <c:v>2.3514900000000001</c:v>
                </c:pt>
                <c:pt idx="118">
                  <c:v>2.3409399999999998</c:v>
                </c:pt>
                <c:pt idx="119">
                  <c:v>2.3305799999999999</c:v>
                </c:pt>
                <c:pt idx="120">
                  <c:v>2.31996</c:v>
                </c:pt>
                <c:pt idx="121">
                  <c:v>2.30823</c:v>
                </c:pt>
                <c:pt idx="122">
                  <c:v>2.2964200000000003</c:v>
                </c:pt>
                <c:pt idx="123">
                  <c:v>2.2831099999999998</c:v>
                </c:pt>
                <c:pt idx="124">
                  <c:v>2.2742299999999998</c:v>
                </c:pt>
                <c:pt idx="125">
                  <c:v>2.2648099999999998</c:v>
                </c:pt>
                <c:pt idx="126">
                  <c:v>2.2534799999999997</c:v>
                </c:pt>
                <c:pt idx="127">
                  <c:v>2.2433900000000002</c:v>
                </c:pt>
                <c:pt idx="128">
                  <c:v>2.2364700000000002</c:v>
                </c:pt>
                <c:pt idx="129">
                  <c:v>2.2325500000000003</c:v>
                </c:pt>
                <c:pt idx="130">
                  <c:v>2.2319599999999999</c:v>
                </c:pt>
                <c:pt idx="131">
                  <c:v>2.2300400000000002</c:v>
                </c:pt>
                <c:pt idx="132">
                  <c:v>2.2269600000000001</c:v>
                </c:pt>
                <c:pt idx="133">
                  <c:v>2.22315</c:v>
                </c:pt>
                <c:pt idx="134">
                  <c:v>2.2189200000000002</c:v>
                </c:pt>
                <c:pt idx="135">
                  <c:v>2.2139500000000001</c:v>
                </c:pt>
                <c:pt idx="136">
                  <c:v>2.2084200000000003</c:v>
                </c:pt>
                <c:pt idx="137">
                  <c:v>2.2036899999999999</c:v>
                </c:pt>
                <c:pt idx="138">
                  <c:v>2.1987100000000002</c:v>
                </c:pt>
                <c:pt idx="139">
                  <c:v>2.19184</c:v>
                </c:pt>
                <c:pt idx="140">
                  <c:v>2.18614</c:v>
                </c:pt>
                <c:pt idx="141">
                  <c:v>2.1778900000000001</c:v>
                </c:pt>
                <c:pt idx="142">
                  <c:v>2.1682899999999998</c:v>
                </c:pt>
                <c:pt idx="143">
                  <c:v>2.1590100000000003</c:v>
                </c:pt>
                <c:pt idx="144">
                  <c:v>2.1497299999999999</c:v>
                </c:pt>
                <c:pt idx="145">
                  <c:v>2.1381399999999999</c:v>
                </c:pt>
                <c:pt idx="146">
                  <c:v>2.12975</c:v>
                </c:pt>
                <c:pt idx="147">
                  <c:v>2.12202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  <c:pt idx="74">
                  <c:v>54.377200000000002</c:v>
                </c:pt>
                <c:pt idx="75">
                  <c:v>54.680199999999999</c:v>
                </c:pt>
                <c:pt idx="76">
                  <c:v>54.947500000000005</c:v>
                </c:pt>
                <c:pt idx="77">
                  <c:v>55.181100000000008</c:v>
                </c:pt>
                <c:pt idx="78">
                  <c:v>55.419499999999999</c:v>
                </c:pt>
                <c:pt idx="79">
                  <c:v>55.677</c:v>
                </c:pt>
                <c:pt idx="80">
                  <c:v>55.923699999999997</c:v>
                </c:pt>
                <c:pt idx="81">
                  <c:v>56.188700000000004</c:v>
                </c:pt>
                <c:pt idx="82">
                  <c:v>56.420099999999998</c:v>
                </c:pt>
                <c:pt idx="83">
                  <c:v>56.607799999999997</c:v>
                </c:pt>
                <c:pt idx="84">
                  <c:v>56.756300000000003</c:v>
                </c:pt>
                <c:pt idx="85">
                  <c:v>56.804000000000002</c:v>
                </c:pt>
                <c:pt idx="86">
                  <c:v>56.762500000000003</c:v>
                </c:pt>
                <c:pt idx="87">
                  <c:v>56.611999999999995</c:v>
                </c:pt>
                <c:pt idx="88">
                  <c:v>56.500700000000002</c:v>
                </c:pt>
                <c:pt idx="89">
                  <c:v>56.361499999999999</c:v>
                </c:pt>
                <c:pt idx="90">
                  <c:v>56.049400000000006</c:v>
                </c:pt>
                <c:pt idx="91">
                  <c:v>55.605099999999993</c:v>
                </c:pt>
                <c:pt idx="92">
                  <c:v>55.074800000000003</c:v>
                </c:pt>
                <c:pt idx="93">
                  <c:v>54.480499999999999</c:v>
                </c:pt>
                <c:pt idx="94">
                  <c:v>53.976300000000002</c:v>
                </c:pt>
                <c:pt idx="95">
                  <c:v>53.495199999999997</c:v>
                </c:pt>
                <c:pt idx="96">
                  <c:v>53.009700000000002</c:v>
                </c:pt>
                <c:pt idx="97">
                  <c:v>52.590400000000002</c:v>
                </c:pt>
                <c:pt idx="98">
                  <c:v>52.112199999999994</c:v>
                </c:pt>
                <c:pt idx="99">
                  <c:v>51.64</c:v>
                </c:pt>
                <c:pt idx="100">
                  <c:v>51.224400000000003</c:v>
                </c:pt>
                <c:pt idx="101">
                  <c:v>50.802199999999999</c:v>
                </c:pt>
                <c:pt idx="102">
                  <c:v>50.463499999999996</c:v>
                </c:pt>
                <c:pt idx="103">
                  <c:v>50.239100000000001</c:v>
                </c:pt>
                <c:pt idx="104">
                  <c:v>50.040700000000001</c:v>
                </c:pt>
                <c:pt idx="105">
                  <c:v>49.793799999999997</c:v>
                </c:pt>
                <c:pt idx="106">
                  <c:v>49.47</c:v>
                </c:pt>
                <c:pt idx="107">
                  <c:v>49.153300000000002</c:v>
                </c:pt>
                <c:pt idx="108">
                  <c:v>48.8628</c:v>
                </c:pt>
                <c:pt idx="109">
                  <c:v>48.599699999999999</c:v>
                </c:pt>
                <c:pt idx="110">
                  <c:v>48.295200000000001</c:v>
                </c:pt>
                <c:pt idx="111">
                  <c:v>47.972999999999999</c:v>
                </c:pt>
                <c:pt idx="112">
                  <c:v>47.675800000000002</c:v>
                </c:pt>
                <c:pt idx="113">
                  <c:v>47.387900000000002</c:v>
                </c:pt>
                <c:pt idx="114">
                  <c:v>47.113799999999998</c:v>
                </c:pt>
                <c:pt idx="115">
                  <c:v>46.965899999999998</c:v>
                </c:pt>
                <c:pt idx="116">
                  <c:v>46.889099999999999</c:v>
                </c:pt>
                <c:pt idx="117">
                  <c:v>46.863399999999999</c:v>
                </c:pt>
                <c:pt idx="118">
                  <c:v>46.858600000000003</c:v>
                </c:pt>
                <c:pt idx="119">
                  <c:v>46.800399999999996</c:v>
                </c:pt>
                <c:pt idx="120">
                  <c:v>46.738900000000001</c:v>
                </c:pt>
                <c:pt idx="121">
                  <c:v>46.720299999999995</c:v>
                </c:pt>
                <c:pt idx="122">
                  <c:v>46.7014</c:v>
                </c:pt>
                <c:pt idx="123">
                  <c:v>46.748100000000001</c:v>
                </c:pt>
                <c:pt idx="124">
                  <c:v>46.7742</c:v>
                </c:pt>
                <c:pt idx="125">
                  <c:v>46.794499999999999</c:v>
                </c:pt>
                <c:pt idx="126">
                  <c:v>46.874099999999999</c:v>
                </c:pt>
                <c:pt idx="127">
                  <c:v>46.917900000000003</c:v>
                </c:pt>
                <c:pt idx="128">
                  <c:v>46.879599999999996</c:v>
                </c:pt>
                <c:pt idx="129">
                  <c:v>46.788400000000003</c:v>
                </c:pt>
                <c:pt idx="130">
                  <c:v>46.771700000000003</c:v>
                </c:pt>
                <c:pt idx="131">
                  <c:v>46.881799999999998</c:v>
                </c:pt>
                <c:pt idx="132">
                  <c:v>47.0139</c:v>
                </c:pt>
                <c:pt idx="133">
                  <c:v>47.139600000000002</c:v>
                </c:pt>
                <c:pt idx="134">
                  <c:v>47.258899999999997</c:v>
                </c:pt>
                <c:pt idx="135">
                  <c:v>47.408200000000001</c:v>
                </c:pt>
                <c:pt idx="136">
                  <c:v>47.550199999999997</c:v>
                </c:pt>
                <c:pt idx="137">
                  <c:v>47.5961</c:v>
                </c:pt>
                <c:pt idx="138">
                  <c:v>47.611599999999996</c:v>
                </c:pt>
                <c:pt idx="139">
                  <c:v>47.677399999999999</c:v>
                </c:pt>
                <c:pt idx="140">
                  <c:v>47.5518</c:v>
                </c:pt>
                <c:pt idx="141">
                  <c:v>47.534799999999997</c:v>
                </c:pt>
                <c:pt idx="142">
                  <c:v>47.497699999999995</c:v>
                </c:pt>
                <c:pt idx="143">
                  <c:v>47.558799999999998</c:v>
                </c:pt>
                <c:pt idx="144">
                  <c:v>47.811900000000001</c:v>
                </c:pt>
                <c:pt idx="145">
                  <c:v>48.204099999999997</c:v>
                </c:pt>
                <c:pt idx="146">
                  <c:v>48.468000000000004</c:v>
                </c:pt>
                <c:pt idx="147">
                  <c:v>48.758899999999997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1.8421299999999998</c:v>
                </c:pt>
                <c:pt idx="1">
                  <c:v>1.8412600000000001</c:v>
                </c:pt>
                <c:pt idx="2">
                  <c:v>1.8414600000000001</c:v>
                </c:pt>
                <c:pt idx="3">
                  <c:v>1.8418200000000002</c:v>
                </c:pt>
                <c:pt idx="4">
                  <c:v>1.8430800000000001</c:v>
                </c:pt>
                <c:pt idx="5">
                  <c:v>1.84399</c:v>
                </c:pt>
                <c:pt idx="6">
                  <c:v>1.8444199999999999</c:v>
                </c:pt>
                <c:pt idx="7">
                  <c:v>1.84348</c:v>
                </c:pt>
                <c:pt idx="8">
                  <c:v>1.8414200000000001</c:v>
                </c:pt>
                <c:pt idx="9">
                  <c:v>1.84084</c:v>
                </c:pt>
                <c:pt idx="10">
                  <c:v>1.8407100000000001</c:v>
                </c:pt>
                <c:pt idx="11">
                  <c:v>1.8434600000000001</c:v>
                </c:pt>
                <c:pt idx="12">
                  <c:v>1.8537300000000001</c:v>
                </c:pt>
                <c:pt idx="13">
                  <c:v>1.8696199999999998</c:v>
                </c:pt>
                <c:pt idx="14">
                  <c:v>1.8911500000000001</c:v>
                </c:pt>
                <c:pt idx="15">
                  <c:v>1.9111199999999999</c:v>
                </c:pt>
                <c:pt idx="16">
                  <c:v>1.9323599999999999</c:v>
                </c:pt>
                <c:pt idx="17">
                  <c:v>1.9565399999999999</c:v>
                </c:pt>
                <c:pt idx="18">
                  <c:v>1.98132</c:v>
                </c:pt>
                <c:pt idx="19">
                  <c:v>2.0085899999999999</c:v>
                </c:pt>
                <c:pt idx="20">
                  <c:v>2.0361599999999997</c:v>
                </c:pt>
                <c:pt idx="21">
                  <c:v>2.0631499999999998</c:v>
                </c:pt>
                <c:pt idx="22">
                  <c:v>2.0896300000000001</c:v>
                </c:pt>
                <c:pt idx="23">
                  <c:v>2.1140699999999999</c:v>
                </c:pt>
                <c:pt idx="24">
                  <c:v>2.1381399999999999</c:v>
                </c:pt>
                <c:pt idx="25">
                  <c:v>2.16275</c:v>
                </c:pt>
                <c:pt idx="26">
                  <c:v>2.18757</c:v>
                </c:pt>
                <c:pt idx="27">
                  <c:v>2.2111800000000001</c:v>
                </c:pt>
                <c:pt idx="28">
                  <c:v>2.2356599999999998</c:v>
                </c:pt>
                <c:pt idx="29">
                  <c:v>2.2571699999999999</c:v>
                </c:pt>
                <c:pt idx="30">
                  <c:v>2.2752500000000002</c:v>
                </c:pt>
                <c:pt idx="31">
                  <c:v>2.2904</c:v>
                </c:pt>
                <c:pt idx="32">
                  <c:v>2.3025100000000003</c:v>
                </c:pt>
                <c:pt idx="33">
                  <c:v>2.31501</c:v>
                </c:pt>
                <c:pt idx="34">
                  <c:v>2.3273799999999998</c:v>
                </c:pt>
                <c:pt idx="35">
                  <c:v>2.3399399999999999</c:v>
                </c:pt>
                <c:pt idx="36">
                  <c:v>2.35182</c:v>
                </c:pt>
                <c:pt idx="37">
                  <c:v>2.3607</c:v>
                </c:pt>
                <c:pt idx="38">
                  <c:v>2.36633</c:v>
                </c:pt>
                <c:pt idx="39">
                  <c:v>2.3675199999999998</c:v>
                </c:pt>
                <c:pt idx="40">
                  <c:v>2.3681999999999999</c:v>
                </c:pt>
                <c:pt idx="41">
                  <c:v>2.3686199999999999</c:v>
                </c:pt>
                <c:pt idx="42">
                  <c:v>2.3647</c:v>
                </c:pt>
                <c:pt idx="43">
                  <c:v>2.3594499999999998</c:v>
                </c:pt>
                <c:pt idx="44">
                  <c:v>2.3514900000000001</c:v>
                </c:pt>
                <c:pt idx="45">
                  <c:v>2.3409399999999998</c:v>
                </c:pt>
                <c:pt idx="46">
                  <c:v>2.3305799999999999</c:v>
                </c:pt>
                <c:pt idx="47">
                  <c:v>2.31996</c:v>
                </c:pt>
                <c:pt idx="48">
                  <c:v>2.30823</c:v>
                </c:pt>
                <c:pt idx="49">
                  <c:v>2.2964200000000003</c:v>
                </c:pt>
                <c:pt idx="50">
                  <c:v>2.2831099999999998</c:v>
                </c:pt>
                <c:pt idx="51">
                  <c:v>2.2742299999999998</c:v>
                </c:pt>
                <c:pt idx="52">
                  <c:v>2.2648099999999998</c:v>
                </c:pt>
                <c:pt idx="53">
                  <c:v>2.2534799999999997</c:v>
                </c:pt>
                <c:pt idx="54">
                  <c:v>2.2433900000000002</c:v>
                </c:pt>
                <c:pt idx="55">
                  <c:v>2.2364700000000002</c:v>
                </c:pt>
                <c:pt idx="56">
                  <c:v>2.2325500000000003</c:v>
                </c:pt>
                <c:pt idx="57">
                  <c:v>2.2319599999999999</c:v>
                </c:pt>
                <c:pt idx="58">
                  <c:v>2.2300400000000002</c:v>
                </c:pt>
                <c:pt idx="59">
                  <c:v>2.2269600000000001</c:v>
                </c:pt>
                <c:pt idx="60">
                  <c:v>2.22315</c:v>
                </c:pt>
                <c:pt idx="61">
                  <c:v>2.2189200000000002</c:v>
                </c:pt>
                <c:pt idx="62">
                  <c:v>2.2139500000000001</c:v>
                </c:pt>
                <c:pt idx="63">
                  <c:v>2.2084200000000003</c:v>
                </c:pt>
                <c:pt idx="64">
                  <c:v>2.2036899999999999</c:v>
                </c:pt>
                <c:pt idx="65">
                  <c:v>2.1987100000000002</c:v>
                </c:pt>
                <c:pt idx="66">
                  <c:v>2.19184</c:v>
                </c:pt>
                <c:pt idx="67">
                  <c:v>2.18614</c:v>
                </c:pt>
                <c:pt idx="68">
                  <c:v>2.1778900000000001</c:v>
                </c:pt>
                <c:pt idx="69">
                  <c:v>2.1682899999999998</c:v>
                </c:pt>
                <c:pt idx="70">
                  <c:v>2.1590100000000003</c:v>
                </c:pt>
                <c:pt idx="71">
                  <c:v>2.1497299999999999</c:v>
                </c:pt>
                <c:pt idx="72">
                  <c:v>2.1381399999999999</c:v>
                </c:pt>
                <c:pt idx="73">
                  <c:v>2.12975</c:v>
                </c:pt>
                <c:pt idx="74">
                  <c:v>2.12202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54.054299999999998</c:v>
                </c:pt>
                <c:pt idx="1">
                  <c:v>54.377200000000002</c:v>
                </c:pt>
                <c:pt idx="2">
                  <c:v>54.680199999999999</c:v>
                </c:pt>
                <c:pt idx="3">
                  <c:v>54.947500000000005</c:v>
                </c:pt>
                <c:pt idx="4">
                  <c:v>55.181100000000008</c:v>
                </c:pt>
                <c:pt idx="5">
                  <c:v>55.419499999999999</c:v>
                </c:pt>
                <c:pt idx="6">
                  <c:v>55.677</c:v>
                </c:pt>
                <c:pt idx="7">
                  <c:v>55.923699999999997</c:v>
                </c:pt>
                <c:pt idx="8">
                  <c:v>56.188700000000004</c:v>
                </c:pt>
                <c:pt idx="9">
                  <c:v>56.420099999999998</c:v>
                </c:pt>
                <c:pt idx="10">
                  <c:v>56.607799999999997</c:v>
                </c:pt>
                <c:pt idx="11">
                  <c:v>56.756300000000003</c:v>
                </c:pt>
                <c:pt idx="12">
                  <c:v>56.804000000000002</c:v>
                </c:pt>
                <c:pt idx="13">
                  <c:v>56.762500000000003</c:v>
                </c:pt>
                <c:pt idx="14">
                  <c:v>56.611999999999995</c:v>
                </c:pt>
                <c:pt idx="15">
                  <c:v>56.500700000000002</c:v>
                </c:pt>
                <c:pt idx="16">
                  <c:v>56.361499999999999</c:v>
                </c:pt>
                <c:pt idx="17">
                  <c:v>56.049400000000006</c:v>
                </c:pt>
                <c:pt idx="18">
                  <c:v>55.605099999999993</c:v>
                </c:pt>
                <c:pt idx="19">
                  <c:v>55.074800000000003</c:v>
                </c:pt>
                <c:pt idx="20">
                  <c:v>54.480499999999999</c:v>
                </c:pt>
                <c:pt idx="21">
                  <c:v>53.976300000000002</c:v>
                </c:pt>
                <c:pt idx="22">
                  <c:v>53.495199999999997</c:v>
                </c:pt>
                <c:pt idx="23">
                  <c:v>53.009700000000002</c:v>
                </c:pt>
                <c:pt idx="24">
                  <c:v>52.590400000000002</c:v>
                </c:pt>
                <c:pt idx="25">
                  <c:v>52.112199999999994</c:v>
                </c:pt>
                <c:pt idx="26">
                  <c:v>51.64</c:v>
                </c:pt>
                <c:pt idx="27">
                  <c:v>51.224400000000003</c:v>
                </c:pt>
                <c:pt idx="28">
                  <c:v>50.802199999999999</c:v>
                </c:pt>
                <c:pt idx="29">
                  <c:v>50.463499999999996</c:v>
                </c:pt>
                <c:pt idx="30">
                  <c:v>50.239100000000001</c:v>
                </c:pt>
                <c:pt idx="31">
                  <c:v>50.040700000000001</c:v>
                </c:pt>
                <c:pt idx="32">
                  <c:v>49.793799999999997</c:v>
                </c:pt>
                <c:pt idx="33">
                  <c:v>49.47</c:v>
                </c:pt>
                <c:pt idx="34">
                  <c:v>49.153300000000002</c:v>
                </c:pt>
                <c:pt idx="35">
                  <c:v>48.8628</c:v>
                </c:pt>
                <c:pt idx="36">
                  <c:v>48.599699999999999</c:v>
                </c:pt>
                <c:pt idx="37">
                  <c:v>48.295200000000001</c:v>
                </c:pt>
                <c:pt idx="38">
                  <c:v>47.972999999999999</c:v>
                </c:pt>
                <c:pt idx="39">
                  <c:v>47.675800000000002</c:v>
                </c:pt>
                <c:pt idx="40">
                  <c:v>47.387900000000002</c:v>
                </c:pt>
                <c:pt idx="41">
                  <c:v>47.113799999999998</c:v>
                </c:pt>
                <c:pt idx="42">
                  <c:v>46.965899999999998</c:v>
                </c:pt>
                <c:pt idx="43">
                  <c:v>46.889099999999999</c:v>
                </c:pt>
                <c:pt idx="44">
                  <c:v>46.863399999999999</c:v>
                </c:pt>
                <c:pt idx="45">
                  <c:v>46.858600000000003</c:v>
                </c:pt>
                <c:pt idx="46">
                  <c:v>46.800399999999996</c:v>
                </c:pt>
                <c:pt idx="47">
                  <c:v>46.738900000000001</c:v>
                </c:pt>
                <c:pt idx="48">
                  <c:v>46.720299999999995</c:v>
                </c:pt>
                <c:pt idx="49">
                  <c:v>46.7014</c:v>
                </c:pt>
                <c:pt idx="50">
                  <c:v>46.748100000000001</c:v>
                </c:pt>
                <c:pt idx="51">
                  <c:v>46.7742</c:v>
                </c:pt>
                <c:pt idx="52">
                  <c:v>46.794499999999999</c:v>
                </c:pt>
                <c:pt idx="53">
                  <c:v>46.874099999999999</c:v>
                </c:pt>
                <c:pt idx="54">
                  <c:v>46.917900000000003</c:v>
                </c:pt>
                <c:pt idx="55">
                  <c:v>46.879599999999996</c:v>
                </c:pt>
                <c:pt idx="56">
                  <c:v>46.788400000000003</c:v>
                </c:pt>
                <c:pt idx="57">
                  <c:v>46.771700000000003</c:v>
                </c:pt>
                <c:pt idx="58">
                  <c:v>46.881799999999998</c:v>
                </c:pt>
                <c:pt idx="59">
                  <c:v>47.0139</c:v>
                </c:pt>
                <c:pt idx="60">
                  <c:v>47.139600000000002</c:v>
                </c:pt>
                <c:pt idx="61">
                  <c:v>47.258899999999997</c:v>
                </c:pt>
                <c:pt idx="62">
                  <c:v>47.408200000000001</c:v>
                </c:pt>
                <c:pt idx="63">
                  <c:v>47.550199999999997</c:v>
                </c:pt>
                <c:pt idx="64">
                  <c:v>47.5961</c:v>
                </c:pt>
                <c:pt idx="65">
                  <c:v>47.611599999999996</c:v>
                </c:pt>
                <c:pt idx="66">
                  <c:v>47.677399999999999</c:v>
                </c:pt>
                <c:pt idx="67">
                  <c:v>47.5518</c:v>
                </c:pt>
                <c:pt idx="68">
                  <c:v>47.534799999999997</c:v>
                </c:pt>
                <c:pt idx="69">
                  <c:v>47.497699999999995</c:v>
                </c:pt>
                <c:pt idx="70">
                  <c:v>47.558799999999998</c:v>
                </c:pt>
                <c:pt idx="71">
                  <c:v>47.811900000000001</c:v>
                </c:pt>
                <c:pt idx="72">
                  <c:v>48.204099999999997</c:v>
                </c:pt>
                <c:pt idx="73">
                  <c:v>48.468000000000004</c:v>
                </c:pt>
                <c:pt idx="74">
                  <c:v>48.758899999999997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1.6856852702702705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59.239728378378352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2.1491614864864865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50.391335135135151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2.1491614864864865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50.391335135135151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0.17743023644897946</c:v>
                </c:pt>
                <c:pt idx="1">
                  <c:v>0.42885572993015014</c:v>
                </c:pt>
                <c:pt idx="2">
                  <c:v>0.39371403362087048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  <c:pt idx="74">
                  <c:v>30.066199999999998</c:v>
                </c:pt>
                <c:pt idx="75">
                  <c:v>30.4709</c:v>
                </c:pt>
                <c:pt idx="76">
                  <c:v>30.879000000000001</c:v>
                </c:pt>
                <c:pt idx="77">
                  <c:v>31.281199999999998</c:v>
                </c:pt>
                <c:pt idx="78">
                  <c:v>31.687899999999999</c:v>
                </c:pt>
                <c:pt idx="79">
                  <c:v>32.097099999999998</c:v>
                </c:pt>
                <c:pt idx="80">
                  <c:v>32.504899999999999</c:v>
                </c:pt>
                <c:pt idx="81">
                  <c:v>32.906100000000002</c:v>
                </c:pt>
                <c:pt idx="82">
                  <c:v>33.312399999999997</c:v>
                </c:pt>
                <c:pt idx="83">
                  <c:v>33.719299999999997</c:v>
                </c:pt>
                <c:pt idx="84">
                  <c:v>34.127600000000001</c:v>
                </c:pt>
                <c:pt idx="85">
                  <c:v>34.534300000000002</c:v>
                </c:pt>
                <c:pt idx="86">
                  <c:v>34.9392</c:v>
                </c:pt>
                <c:pt idx="87">
                  <c:v>35.345500000000001</c:v>
                </c:pt>
                <c:pt idx="88">
                  <c:v>35.753100000000003</c:v>
                </c:pt>
                <c:pt idx="89">
                  <c:v>36.158299999999997</c:v>
                </c:pt>
                <c:pt idx="90">
                  <c:v>36.566400000000002</c:v>
                </c:pt>
                <c:pt idx="91">
                  <c:v>36.9711</c:v>
                </c:pt>
                <c:pt idx="92">
                  <c:v>37.377299999999998</c:v>
                </c:pt>
                <c:pt idx="93">
                  <c:v>37.782699999999998</c:v>
                </c:pt>
                <c:pt idx="94">
                  <c:v>38.191000000000003</c:v>
                </c:pt>
                <c:pt idx="95">
                  <c:v>38.597099999999998</c:v>
                </c:pt>
                <c:pt idx="96">
                  <c:v>39.004300000000001</c:v>
                </c:pt>
                <c:pt idx="97">
                  <c:v>39.407800000000002</c:v>
                </c:pt>
                <c:pt idx="98">
                  <c:v>39.815199999999997</c:v>
                </c:pt>
                <c:pt idx="99">
                  <c:v>40.222499999999997</c:v>
                </c:pt>
                <c:pt idx="100">
                  <c:v>40.630699999999997</c:v>
                </c:pt>
                <c:pt idx="101">
                  <c:v>41.031100000000002</c:v>
                </c:pt>
                <c:pt idx="102">
                  <c:v>41.440600000000003</c:v>
                </c:pt>
                <c:pt idx="103">
                  <c:v>41.846499999999999</c:v>
                </c:pt>
                <c:pt idx="104">
                  <c:v>42.251100000000001</c:v>
                </c:pt>
                <c:pt idx="105">
                  <c:v>42.660400000000003</c:v>
                </c:pt>
                <c:pt idx="106">
                  <c:v>43.063299999999998</c:v>
                </c:pt>
                <c:pt idx="107">
                  <c:v>43.470399999999998</c:v>
                </c:pt>
                <c:pt idx="108">
                  <c:v>43.878</c:v>
                </c:pt>
                <c:pt idx="109">
                  <c:v>44.284700000000001</c:v>
                </c:pt>
                <c:pt idx="110">
                  <c:v>44.688499999999998</c:v>
                </c:pt>
                <c:pt idx="111">
                  <c:v>45.095500000000001</c:v>
                </c:pt>
                <c:pt idx="112">
                  <c:v>45.500999999999998</c:v>
                </c:pt>
                <c:pt idx="113">
                  <c:v>45.906300000000002</c:v>
                </c:pt>
                <c:pt idx="114">
                  <c:v>46.314799999999998</c:v>
                </c:pt>
                <c:pt idx="115">
                  <c:v>46.718800000000002</c:v>
                </c:pt>
                <c:pt idx="116">
                  <c:v>47.126899999999999</c:v>
                </c:pt>
                <c:pt idx="117">
                  <c:v>47.535800000000002</c:v>
                </c:pt>
                <c:pt idx="118">
                  <c:v>47.941099999999999</c:v>
                </c:pt>
                <c:pt idx="119">
                  <c:v>48.345399999999998</c:v>
                </c:pt>
                <c:pt idx="120">
                  <c:v>48.752899999999997</c:v>
                </c:pt>
                <c:pt idx="121">
                  <c:v>49.156300000000002</c:v>
                </c:pt>
                <c:pt idx="122">
                  <c:v>49.565800000000003</c:v>
                </c:pt>
                <c:pt idx="123">
                  <c:v>49.970500000000001</c:v>
                </c:pt>
                <c:pt idx="124">
                  <c:v>50.378</c:v>
                </c:pt>
                <c:pt idx="125">
                  <c:v>50.783900000000003</c:v>
                </c:pt>
                <c:pt idx="126">
                  <c:v>51.190199999999997</c:v>
                </c:pt>
                <c:pt idx="127">
                  <c:v>51.5974</c:v>
                </c:pt>
                <c:pt idx="128">
                  <c:v>52.000799999999998</c:v>
                </c:pt>
                <c:pt idx="129">
                  <c:v>52.407200000000003</c:v>
                </c:pt>
                <c:pt idx="130">
                  <c:v>52.813600000000001</c:v>
                </c:pt>
                <c:pt idx="131">
                  <c:v>53.223300000000002</c:v>
                </c:pt>
                <c:pt idx="132">
                  <c:v>53.628999999999998</c:v>
                </c:pt>
                <c:pt idx="133">
                  <c:v>54.032600000000002</c:v>
                </c:pt>
                <c:pt idx="134">
                  <c:v>54.440100000000001</c:v>
                </c:pt>
                <c:pt idx="135">
                  <c:v>54.846800000000002</c:v>
                </c:pt>
                <c:pt idx="136">
                  <c:v>55.254199999999997</c:v>
                </c:pt>
                <c:pt idx="137">
                  <c:v>55.659700000000001</c:v>
                </c:pt>
                <c:pt idx="138">
                  <c:v>56.063299999999998</c:v>
                </c:pt>
                <c:pt idx="139">
                  <c:v>56.471800000000002</c:v>
                </c:pt>
                <c:pt idx="140">
                  <c:v>56.877899999999997</c:v>
                </c:pt>
                <c:pt idx="141">
                  <c:v>57.283499999999997</c:v>
                </c:pt>
                <c:pt idx="142">
                  <c:v>57.689500000000002</c:v>
                </c:pt>
                <c:pt idx="143">
                  <c:v>58.095399999999998</c:v>
                </c:pt>
                <c:pt idx="144">
                  <c:v>58.502699999999997</c:v>
                </c:pt>
                <c:pt idx="145">
                  <c:v>58.912700000000001</c:v>
                </c:pt>
                <c:pt idx="146">
                  <c:v>59.317</c:v>
                </c:pt>
                <c:pt idx="147">
                  <c:v>59.724400000000003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  <c:pt idx="74">
                  <c:v>1.8412600000000001</c:v>
                </c:pt>
                <c:pt idx="75">
                  <c:v>1.8414600000000001</c:v>
                </c:pt>
                <c:pt idx="76">
                  <c:v>1.8418200000000002</c:v>
                </c:pt>
                <c:pt idx="77">
                  <c:v>1.8430800000000001</c:v>
                </c:pt>
                <c:pt idx="78">
                  <c:v>1.84399</c:v>
                </c:pt>
                <c:pt idx="79">
                  <c:v>1.8444199999999999</c:v>
                </c:pt>
                <c:pt idx="80">
                  <c:v>1.84348</c:v>
                </c:pt>
                <c:pt idx="81">
                  <c:v>1.8414200000000001</c:v>
                </c:pt>
                <c:pt idx="82">
                  <c:v>1.84084</c:v>
                </c:pt>
                <c:pt idx="83">
                  <c:v>1.8407100000000001</c:v>
                </c:pt>
                <c:pt idx="84">
                  <c:v>1.8434600000000001</c:v>
                </c:pt>
                <c:pt idx="85">
                  <c:v>1.8537300000000001</c:v>
                </c:pt>
                <c:pt idx="86">
                  <c:v>1.8696199999999998</c:v>
                </c:pt>
                <c:pt idx="87">
                  <c:v>1.8911500000000001</c:v>
                </c:pt>
                <c:pt idx="88">
                  <c:v>1.9111199999999999</c:v>
                </c:pt>
                <c:pt idx="89">
                  <c:v>1.9323599999999999</c:v>
                </c:pt>
                <c:pt idx="90">
                  <c:v>1.9565399999999999</c:v>
                </c:pt>
                <c:pt idx="91">
                  <c:v>1.98132</c:v>
                </c:pt>
                <c:pt idx="92">
                  <c:v>2.0085899999999999</c:v>
                </c:pt>
                <c:pt idx="93">
                  <c:v>2.0361599999999997</c:v>
                </c:pt>
                <c:pt idx="94">
                  <c:v>2.0631499999999998</c:v>
                </c:pt>
                <c:pt idx="95">
                  <c:v>2.0896300000000001</c:v>
                </c:pt>
                <c:pt idx="96">
                  <c:v>2.1140699999999999</c:v>
                </c:pt>
                <c:pt idx="97">
                  <c:v>2.1381399999999999</c:v>
                </c:pt>
                <c:pt idx="98">
                  <c:v>2.16275</c:v>
                </c:pt>
                <c:pt idx="99">
                  <c:v>2.18757</c:v>
                </c:pt>
                <c:pt idx="100">
                  <c:v>2.2111800000000001</c:v>
                </c:pt>
                <c:pt idx="101">
                  <c:v>2.2356599999999998</c:v>
                </c:pt>
                <c:pt idx="102">
                  <c:v>2.2571699999999999</c:v>
                </c:pt>
                <c:pt idx="103">
                  <c:v>2.2752500000000002</c:v>
                </c:pt>
                <c:pt idx="104">
                  <c:v>2.2904</c:v>
                </c:pt>
                <c:pt idx="105">
                  <c:v>2.3025100000000003</c:v>
                </c:pt>
                <c:pt idx="106">
                  <c:v>2.31501</c:v>
                </c:pt>
                <c:pt idx="107">
                  <c:v>2.3273799999999998</c:v>
                </c:pt>
                <c:pt idx="108">
                  <c:v>2.3399399999999999</c:v>
                </c:pt>
                <c:pt idx="109">
                  <c:v>2.35182</c:v>
                </c:pt>
                <c:pt idx="110">
                  <c:v>2.3607</c:v>
                </c:pt>
                <c:pt idx="111">
                  <c:v>2.36633</c:v>
                </c:pt>
                <c:pt idx="112">
                  <c:v>2.3675199999999998</c:v>
                </c:pt>
                <c:pt idx="113">
                  <c:v>2.3681999999999999</c:v>
                </c:pt>
                <c:pt idx="114">
                  <c:v>2.3686199999999999</c:v>
                </c:pt>
                <c:pt idx="115">
                  <c:v>2.3647</c:v>
                </c:pt>
                <c:pt idx="116">
                  <c:v>2.3594499999999998</c:v>
                </c:pt>
                <c:pt idx="117">
                  <c:v>2.3514900000000001</c:v>
                </c:pt>
                <c:pt idx="118">
                  <c:v>2.3409399999999998</c:v>
                </c:pt>
                <c:pt idx="119">
                  <c:v>2.3305799999999999</c:v>
                </c:pt>
                <c:pt idx="120">
                  <c:v>2.31996</c:v>
                </c:pt>
                <c:pt idx="121">
                  <c:v>2.30823</c:v>
                </c:pt>
                <c:pt idx="122">
                  <c:v>2.2964200000000003</c:v>
                </c:pt>
                <c:pt idx="123">
                  <c:v>2.2831099999999998</c:v>
                </c:pt>
                <c:pt idx="124">
                  <c:v>2.2742299999999998</c:v>
                </c:pt>
                <c:pt idx="125">
                  <c:v>2.2648099999999998</c:v>
                </c:pt>
                <c:pt idx="126">
                  <c:v>2.2534799999999997</c:v>
                </c:pt>
                <c:pt idx="127">
                  <c:v>2.2433900000000002</c:v>
                </c:pt>
                <c:pt idx="128">
                  <c:v>2.2364700000000002</c:v>
                </c:pt>
                <c:pt idx="129">
                  <c:v>2.2325500000000003</c:v>
                </c:pt>
                <c:pt idx="130">
                  <c:v>2.2319599999999999</c:v>
                </c:pt>
                <c:pt idx="131">
                  <c:v>2.2300400000000002</c:v>
                </c:pt>
                <c:pt idx="132">
                  <c:v>2.2269600000000001</c:v>
                </c:pt>
                <c:pt idx="133">
                  <c:v>2.22315</c:v>
                </c:pt>
                <c:pt idx="134">
                  <c:v>2.2189200000000002</c:v>
                </c:pt>
                <c:pt idx="135">
                  <c:v>2.2139500000000001</c:v>
                </c:pt>
                <c:pt idx="136">
                  <c:v>2.2084200000000003</c:v>
                </c:pt>
                <c:pt idx="137">
                  <c:v>2.2036899999999999</c:v>
                </c:pt>
                <c:pt idx="138">
                  <c:v>2.1987100000000002</c:v>
                </c:pt>
                <c:pt idx="139">
                  <c:v>2.19184</c:v>
                </c:pt>
                <c:pt idx="140">
                  <c:v>2.18614</c:v>
                </c:pt>
                <c:pt idx="141">
                  <c:v>2.1778900000000001</c:v>
                </c:pt>
                <c:pt idx="142">
                  <c:v>2.1682899999999998</c:v>
                </c:pt>
                <c:pt idx="143">
                  <c:v>2.1590100000000003</c:v>
                </c:pt>
                <c:pt idx="144">
                  <c:v>2.1497299999999999</c:v>
                </c:pt>
                <c:pt idx="145">
                  <c:v>2.1381399999999999</c:v>
                </c:pt>
                <c:pt idx="146">
                  <c:v>2.12975</c:v>
                </c:pt>
                <c:pt idx="147">
                  <c:v>2.12202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30.066199999999998</c:v>
                </c:pt>
                <c:pt idx="2">
                  <c:v>30.4709</c:v>
                </c:pt>
                <c:pt idx="3">
                  <c:v>30.879000000000001</c:v>
                </c:pt>
                <c:pt idx="4">
                  <c:v>31.281199999999998</c:v>
                </c:pt>
                <c:pt idx="5">
                  <c:v>31.687899999999999</c:v>
                </c:pt>
                <c:pt idx="6">
                  <c:v>32.097099999999998</c:v>
                </c:pt>
                <c:pt idx="7">
                  <c:v>32.504899999999999</c:v>
                </c:pt>
                <c:pt idx="8">
                  <c:v>32.906100000000002</c:v>
                </c:pt>
                <c:pt idx="9">
                  <c:v>33.312399999999997</c:v>
                </c:pt>
                <c:pt idx="10">
                  <c:v>33.719299999999997</c:v>
                </c:pt>
                <c:pt idx="11">
                  <c:v>34.127600000000001</c:v>
                </c:pt>
                <c:pt idx="12">
                  <c:v>34.534300000000002</c:v>
                </c:pt>
                <c:pt idx="13">
                  <c:v>34.9392</c:v>
                </c:pt>
                <c:pt idx="14">
                  <c:v>35.345500000000001</c:v>
                </c:pt>
                <c:pt idx="15">
                  <c:v>35.753100000000003</c:v>
                </c:pt>
                <c:pt idx="16">
                  <c:v>36.158299999999997</c:v>
                </c:pt>
                <c:pt idx="17">
                  <c:v>36.566400000000002</c:v>
                </c:pt>
                <c:pt idx="18">
                  <c:v>36.9711</c:v>
                </c:pt>
                <c:pt idx="19">
                  <c:v>37.377299999999998</c:v>
                </c:pt>
                <c:pt idx="20">
                  <c:v>37.782699999999998</c:v>
                </c:pt>
                <c:pt idx="21">
                  <c:v>38.191000000000003</c:v>
                </c:pt>
                <c:pt idx="22">
                  <c:v>38.597099999999998</c:v>
                </c:pt>
                <c:pt idx="23">
                  <c:v>39.004300000000001</c:v>
                </c:pt>
                <c:pt idx="24">
                  <c:v>39.407800000000002</c:v>
                </c:pt>
                <c:pt idx="25">
                  <c:v>39.815199999999997</c:v>
                </c:pt>
                <c:pt idx="26">
                  <c:v>40.222499999999997</c:v>
                </c:pt>
                <c:pt idx="27">
                  <c:v>40.630699999999997</c:v>
                </c:pt>
                <c:pt idx="28">
                  <c:v>41.031100000000002</c:v>
                </c:pt>
                <c:pt idx="29">
                  <c:v>41.440600000000003</c:v>
                </c:pt>
                <c:pt idx="30">
                  <c:v>41.846499999999999</c:v>
                </c:pt>
                <c:pt idx="31">
                  <c:v>42.251100000000001</c:v>
                </c:pt>
                <c:pt idx="32">
                  <c:v>42.660400000000003</c:v>
                </c:pt>
                <c:pt idx="33">
                  <c:v>43.063299999999998</c:v>
                </c:pt>
                <c:pt idx="34">
                  <c:v>43.470399999999998</c:v>
                </c:pt>
                <c:pt idx="35">
                  <c:v>43.878</c:v>
                </c:pt>
                <c:pt idx="36">
                  <c:v>44.284700000000001</c:v>
                </c:pt>
                <c:pt idx="37">
                  <c:v>44.688499999999998</c:v>
                </c:pt>
                <c:pt idx="38">
                  <c:v>45.095500000000001</c:v>
                </c:pt>
                <c:pt idx="39">
                  <c:v>45.500999999999998</c:v>
                </c:pt>
                <c:pt idx="40">
                  <c:v>45.906300000000002</c:v>
                </c:pt>
                <c:pt idx="41">
                  <c:v>46.314799999999998</c:v>
                </c:pt>
                <c:pt idx="42">
                  <c:v>46.718800000000002</c:v>
                </c:pt>
                <c:pt idx="43">
                  <c:v>47.126899999999999</c:v>
                </c:pt>
                <c:pt idx="44">
                  <c:v>47.535800000000002</c:v>
                </c:pt>
                <c:pt idx="45">
                  <c:v>47.941099999999999</c:v>
                </c:pt>
                <c:pt idx="46">
                  <c:v>48.345399999999998</c:v>
                </c:pt>
                <c:pt idx="47">
                  <c:v>48.752899999999997</c:v>
                </c:pt>
                <c:pt idx="48">
                  <c:v>49.156300000000002</c:v>
                </c:pt>
                <c:pt idx="49">
                  <c:v>49.565800000000003</c:v>
                </c:pt>
                <c:pt idx="50">
                  <c:v>49.970500000000001</c:v>
                </c:pt>
                <c:pt idx="51">
                  <c:v>50.378</c:v>
                </c:pt>
                <c:pt idx="52">
                  <c:v>50.783900000000003</c:v>
                </c:pt>
                <c:pt idx="53">
                  <c:v>51.190199999999997</c:v>
                </c:pt>
                <c:pt idx="54">
                  <c:v>51.5974</c:v>
                </c:pt>
                <c:pt idx="55">
                  <c:v>52.000799999999998</c:v>
                </c:pt>
                <c:pt idx="56">
                  <c:v>52.407200000000003</c:v>
                </c:pt>
                <c:pt idx="57">
                  <c:v>52.813600000000001</c:v>
                </c:pt>
                <c:pt idx="58">
                  <c:v>53.223300000000002</c:v>
                </c:pt>
                <c:pt idx="59">
                  <c:v>53.628999999999998</c:v>
                </c:pt>
                <c:pt idx="60">
                  <c:v>54.032600000000002</c:v>
                </c:pt>
                <c:pt idx="61">
                  <c:v>54.440100000000001</c:v>
                </c:pt>
                <c:pt idx="62">
                  <c:v>54.846800000000002</c:v>
                </c:pt>
                <c:pt idx="63">
                  <c:v>55.254199999999997</c:v>
                </c:pt>
                <c:pt idx="64">
                  <c:v>55.659700000000001</c:v>
                </c:pt>
                <c:pt idx="65">
                  <c:v>56.063299999999998</c:v>
                </c:pt>
                <c:pt idx="66">
                  <c:v>56.471800000000002</c:v>
                </c:pt>
                <c:pt idx="67">
                  <c:v>56.877899999999997</c:v>
                </c:pt>
                <c:pt idx="68">
                  <c:v>57.283499999999997</c:v>
                </c:pt>
                <c:pt idx="69">
                  <c:v>57.689500000000002</c:v>
                </c:pt>
                <c:pt idx="70">
                  <c:v>58.095399999999998</c:v>
                </c:pt>
                <c:pt idx="71">
                  <c:v>58.502699999999997</c:v>
                </c:pt>
                <c:pt idx="72">
                  <c:v>58.912700000000001</c:v>
                </c:pt>
                <c:pt idx="73">
                  <c:v>59.317</c:v>
                </c:pt>
                <c:pt idx="74">
                  <c:v>59.724400000000003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1.8421299999999998</c:v>
                </c:pt>
                <c:pt idx="1">
                  <c:v>1.8412600000000001</c:v>
                </c:pt>
                <c:pt idx="2">
                  <c:v>1.8414600000000001</c:v>
                </c:pt>
                <c:pt idx="3">
                  <c:v>1.8418200000000002</c:v>
                </c:pt>
                <c:pt idx="4">
                  <c:v>1.8430800000000001</c:v>
                </c:pt>
                <c:pt idx="5">
                  <c:v>1.84399</c:v>
                </c:pt>
                <c:pt idx="6">
                  <c:v>1.8444199999999999</c:v>
                </c:pt>
                <c:pt idx="7">
                  <c:v>1.84348</c:v>
                </c:pt>
                <c:pt idx="8">
                  <c:v>1.8414200000000001</c:v>
                </c:pt>
                <c:pt idx="9">
                  <c:v>1.84084</c:v>
                </c:pt>
                <c:pt idx="10">
                  <c:v>1.8407100000000001</c:v>
                </c:pt>
                <c:pt idx="11">
                  <c:v>1.8434600000000001</c:v>
                </c:pt>
                <c:pt idx="12">
                  <c:v>1.8537300000000001</c:v>
                </c:pt>
                <c:pt idx="13">
                  <c:v>1.8696199999999998</c:v>
                </c:pt>
                <c:pt idx="14">
                  <c:v>1.8911500000000001</c:v>
                </c:pt>
                <c:pt idx="15">
                  <c:v>1.9111199999999999</c:v>
                </c:pt>
                <c:pt idx="16">
                  <c:v>1.9323599999999999</c:v>
                </c:pt>
                <c:pt idx="17">
                  <c:v>1.9565399999999999</c:v>
                </c:pt>
                <c:pt idx="18">
                  <c:v>1.98132</c:v>
                </c:pt>
                <c:pt idx="19">
                  <c:v>2.0085899999999999</c:v>
                </c:pt>
                <c:pt idx="20">
                  <c:v>2.0361599999999997</c:v>
                </c:pt>
                <c:pt idx="21">
                  <c:v>2.0631499999999998</c:v>
                </c:pt>
                <c:pt idx="22">
                  <c:v>2.0896300000000001</c:v>
                </c:pt>
                <c:pt idx="23">
                  <c:v>2.1140699999999999</c:v>
                </c:pt>
                <c:pt idx="24">
                  <c:v>2.1381399999999999</c:v>
                </c:pt>
                <c:pt idx="25">
                  <c:v>2.16275</c:v>
                </c:pt>
                <c:pt idx="26">
                  <c:v>2.18757</c:v>
                </c:pt>
                <c:pt idx="27">
                  <c:v>2.2111800000000001</c:v>
                </c:pt>
                <c:pt idx="28">
                  <c:v>2.2356599999999998</c:v>
                </c:pt>
                <c:pt idx="29">
                  <c:v>2.2571699999999999</c:v>
                </c:pt>
                <c:pt idx="30">
                  <c:v>2.2752500000000002</c:v>
                </c:pt>
                <c:pt idx="31">
                  <c:v>2.2904</c:v>
                </c:pt>
                <c:pt idx="32">
                  <c:v>2.3025100000000003</c:v>
                </c:pt>
                <c:pt idx="33">
                  <c:v>2.31501</c:v>
                </c:pt>
                <c:pt idx="34">
                  <c:v>2.3273799999999998</c:v>
                </c:pt>
                <c:pt idx="35">
                  <c:v>2.3399399999999999</c:v>
                </c:pt>
                <c:pt idx="36">
                  <c:v>2.35182</c:v>
                </c:pt>
                <c:pt idx="37">
                  <c:v>2.3607</c:v>
                </c:pt>
                <c:pt idx="38">
                  <c:v>2.36633</c:v>
                </c:pt>
                <c:pt idx="39">
                  <c:v>2.3675199999999998</c:v>
                </c:pt>
                <c:pt idx="40">
                  <c:v>2.3681999999999999</c:v>
                </c:pt>
                <c:pt idx="41">
                  <c:v>2.3686199999999999</c:v>
                </c:pt>
                <c:pt idx="42">
                  <c:v>2.3647</c:v>
                </c:pt>
                <c:pt idx="43">
                  <c:v>2.3594499999999998</c:v>
                </c:pt>
                <c:pt idx="44">
                  <c:v>2.3514900000000001</c:v>
                </c:pt>
                <c:pt idx="45">
                  <c:v>2.3409399999999998</c:v>
                </c:pt>
                <c:pt idx="46">
                  <c:v>2.3305799999999999</c:v>
                </c:pt>
                <c:pt idx="47">
                  <c:v>2.31996</c:v>
                </c:pt>
                <c:pt idx="48">
                  <c:v>2.30823</c:v>
                </c:pt>
                <c:pt idx="49">
                  <c:v>2.2964200000000003</c:v>
                </c:pt>
                <c:pt idx="50">
                  <c:v>2.2831099999999998</c:v>
                </c:pt>
                <c:pt idx="51">
                  <c:v>2.2742299999999998</c:v>
                </c:pt>
                <c:pt idx="52">
                  <c:v>2.2648099999999998</c:v>
                </c:pt>
                <c:pt idx="53">
                  <c:v>2.2534799999999997</c:v>
                </c:pt>
                <c:pt idx="54">
                  <c:v>2.2433900000000002</c:v>
                </c:pt>
                <c:pt idx="55">
                  <c:v>2.2364700000000002</c:v>
                </c:pt>
                <c:pt idx="56">
                  <c:v>2.2325500000000003</c:v>
                </c:pt>
                <c:pt idx="57">
                  <c:v>2.2319599999999999</c:v>
                </c:pt>
                <c:pt idx="58">
                  <c:v>2.2300400000000002</c:v>
                </c:pt>
                <c:pt idx="59">
                  <c:v>2.2269600000000001</c:v>
                </c:pt>
                <c:pt idx="60">
                  <c:v>2.22315</c:v>
                </c:pt>
                <c:pt idx="61">
                  <c:v>2.2189200000000002</c:v>
                </c:pt>
                <c:pt idx="62">
                  <c:v>2.2139500000000001</c:v>
                </c:pt>
                <c:pt idx="63">
                  <c:v>2.2084200000000003</c:v>
                </c:pt>
                <c:pt idx="64">
                  <c:v>2.2036899999999999</c:v>
                </c:pt>
                <c:pt idx="65">
                  <c:v>2.1987100000000002</c:v>
                </c:pt>
                <c:pt idx="66">
                  <c:v>2.19184</c:v>
                </c:pt>
                <c:pt idx="67">
                  <c:v>2.18614</c:v>
                </c:pt>
                <c:pt idx="68">
                  <c:v>2.1778900000000001</c:v>
                </c:pt>
                <c:pt idx="69">
                  <c:v>2.1682899999999998</c:v>
                </c:pt>
                <c:pt idx="70">
                  <c:v>2.1590100000000003</c:v>
                </c:pt>
                <c:pt idx="71">
                  <c:v>2.1497299999999999</c:v>
                </c:pt>
                <c:pt idx="72">
                  <c:v>2.1381399999999999</c:v>
                </c:pt>
                <c:pt idx="73">
                  <c:v>2.12975</c:v>
                </c:pt>
                <c:pt idx="74">
                  <c:v>2.12202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14.931100000000001</c:v>
                </c:pt>
                <c:pt idx="1">
                  <c:v>44.793300000000002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1.6856852702702705</c:v>
                </c:pt>
                <c:pt idx="1">
                  <c:v>2.1491614864864865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  <c:pt idx="74">
                  <c:v>30.066199999999998</c:v>
                </c:pt>
                <c:pt idx="75">
                  <c:v>30.4709</c:v>
                </c:pt>
                <c:pt idx="76">
                  <c:v>30.879000000000001</c:v>
                </c:pt>
                <c:pt idx="77">
                  <c:v>31.281199999999998</c:v>
                </c:pt>
                <c:pt idx="78">
                  <c:v>31.687899999999999</c:v>
                </c:pt>
                <c:pt idx="79">
                  <c:v>32.097099999999998</c:v>
                </c:pt>
                <c:pt idx="80">
                  <c:v>32.504899999999999</c:v>
                </c:pt>
                <c:pt idx="81">
                  <c:v>32.906100000000002</c:v>
                </c:pt>
                <c:pt idx="82">
                  <c:v>33.312399999999997</c:v>
                </c:pt>
                <c:pt idx="83">
                  <c:v>33.719299999999997</c:v>
                </c:pt>
                <c:pt idx="84">
                  <c:v>34.127600000000001</c:v>
                </c:pt>
                <c:pt idx="85">
                  <c:v>34.534300000000002</c:v>
                </c:pt>
                <c:pt idx="86">
                  <c:v>34.9392</c:v>
                </c:pt>
                <c:pt idx="87">
                  <c:v>35.345500000000001</c:v>
                </c:pt>
                <c:pt idx="88">
                  <c:v>35.753100000000003</c:v>
                </c:pt>
                <c:pt idx="89">
                  <c:v>36.158299999999997</c:v>
                </c:pt>
                <c:pt idx="90">
                  <c:v>36.566400000000002</c:v>
                </c:pt>
                <c:pt idx="91">
                  <c:v>36.9711</c:v>
                </c:pt>
                <c:pt idx="92">
                  <c:v>37.377299999999998</c:v>
                </c:pt>
                <c:pt idx="93">
                  <c:v>37.782699999999998</c:v>
                </c:pt>
                <c:pt idx="94">
                  <c:v>38.191000000000003</c:v>
                </c:pt>
                <c:pt idx="95">
                  <c:v>38.597099999999998</c:v>
                </c:pt>
                <c:pt idx="96">
                  <c:v>39.004300000000001</c:v>
                </c:pt>
                <c:pt idx="97">
                  <c:v>39.407800000000002</c:v>
                </c:pt>
                <c:pt idx="98">
                  <c:v>39.815199999999997</c:v>
                </c:pt>
                <c:pt idx="99">
                  <c:v>40.222499999999997</c:v>
                </c:pt>
                <c:pt idx="100">
                  <c:v>40.630699999999997</c:v>
                </c:pt>
                <c:pt idx="101">
                  <c:v>41.031100000000002</c:v>
                </c:pt>
                <c:pt idx="102">
                  <c:v>41.440600000000003</c:v>
                </c:pt>
                <c:pt idx="103">
                  <c:v>41.846499999999999</c:v>
                </c:pt>
                <c:pt idx="104">
                  <c:v>42.251100000000001</c:v>
                </c:pt>
                <c:pt idx="105">
                  <c:v>42.660400000000003</c:v>
                </c:pt>
                <c:pt idx="106">
                  <c:v>43.063299999999998</c:v>
                </c:pt>
                <c:pt idx="107">
                  <c:v>43.470399999999998</c:v>
                </c:pt>
                <c:pt idx="108">
                  <c:v>43.878</c:v>
                </c:pt>
                <c:pt idx="109">
                  <c:v>44.284700000000001</c:v>
                </c:pt>
                <c:pt idx="110">
                  <c:v>44.688499999999998</c:v>
                </c:pt>
                <c:pt idx="111">
                  <c:v>45.095500000000001</c:v>
                </c:pt>
                <c:pt idx="112">
                  <c:v>45.500999999999998</c:v>
                </c:pt>
                <c:pt idx="113">
                  <c:v>45.906300000000002</c:v>
                </c:pt>
                <c:pt idx="114">
                  <c:v>46.314799999999998</c:v>
                </c:pt>
                <c:pt idx="115">
                  <c:v>46.718800000000002</c:v>
                </c:pt>
                <c:pt idx="116">
                  <c:v>47.126899999999999</c:v>
                </c:pt>
                <c:pt idx="117">
                  <c:v>47.535800000000002</c:v>
                </c:pt>
                <c:pt idx="118">
                  <c:v>47.941099999999999</c:v>
                </c:pt>
                <c:pt idx="119">
                  <c:v>48.345399999999998</c:v>
                </c:pt>
                <c:pt idx="120">
                  <c:v>48.752899999999997</c:v>
                </c:pt>
                <c:pt idx="121">
                  <c:v>49.156300000000002</c:v>
                </c:pt>
                <c:pt idx="122">
                  <c:v>49.565800000000003</c:v>
                </c:pt>
                <c:pt idx="123">
                  <c:v>49.970500000000001</c:v>
                </c:pt>
                <c:pt idx="124">
                  <c:v>50.378</c:v>
                </c:pt>
                <c:pt idx="125">
                  <c:v>50.783900000000003</c:v>
                </c:pt>
                <c:pt idx="126">
                  <c:v>51.190199999999997</c:v>
                </c:pt>
                <c:pt idx="127">
                  <c:v>51.5974</c:v>
                </c:pt>
                <c:pt idx="128">
                  <c:v>52.000799999999998</c:v>
                </c:pt>
                <c:pt idx="129">
                  <c:v>52.407200000000003</c:v>
                </c:pt>
                <c:pt idx="130">
                  <c:v>52.813600000000001</c:v>
                </c:pt>
                <c:pt idx="131">
                  <c:v>53.223300000000002</c:v>
                </c:pt>
                <c:pt idx="132">
                  <c:v>53.628999999999998</c:v>
                </c:pt>
                <c:pt idx="133">
                  <c:v>54.032600000000002</c:v>
                </c:pt>
                <c:pt idx="134">
                  <c:v>54.440100000000001</c:v>
                </c:pt>
                <c:pt idx="135">
                  <c:v>54.846800000000002</c:v>
                </c:pt>
                <c:pt idx="136">
                  <c:v>55.254199999999997</c:v>
                </c:pt>
                <c:pt idx="137">
                  <c:v>55.659700000000001</c:v>
                </c:pt>
                <c:pt idx="138">
                  <c:v>56.063299999999998</c:v>
                </c:pt>
                <c:pt idx="139">
                  <c:v>56.471800000000002</c:v>
                </c:pt>
                <c:pt idx="140">
                  <c:v>56.877899999999997</c:v>
                </c:pt>
                <c:pt idx="141">
                  <c:v>57.283499999999997</c:v>
                </c:pt>
                <c:pt idx="142">
                  <c:v>57.689500000000002</c:v>
                </c:pt>
                <c:pt idx="143">
                  <c:v>58.095399999999998</c:v>
                </c:pt>
                <c:pt idx="144">
                  <c:v>58.502699999999997</c:v>
                </c:pt>
                <c:pt idx="145">
                  <c:v>58.912700000000001</c:v>
                </c:pt>
                <c:pt idx="146">
                  <c:v>59.317</c:v>
                </c:pt>
                <c:pt idx="147">
                  <c:v>59.724400000000003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  <c:pt idx="74">
                  <c:v>54.377200000000002</c:v>
                </c:pt>
                <c:pt idx="75">
                  <c:v>54.680199999999999</c:v>
                </c:pt>
                <c:pt idx="76">
                  <c:v>54.947500000000005</c:v>
                </c:pt>
                <c:pt idx="77">
                  <c:v>55.181100000000008</c:v>
                </c:pt>
                <c:pt idx="78">
                  <c:v>55.419499999999999</c:v>
                </c:pt>
                <c:pt idx="79">
                  <c:v>55.677</c:v>
                </c:pt>
                <c:pt idx="80">
                  <c:v>55.923699999999997</c:v>
                </c:pt>
                <c:pt idx="81">
                  <c:v>56.188700000000004</c:v>
                </c:pt>
                <c:pt idx="82">
                  <c:v>56.420099999999998</c:v>
                </c:pt>
                <c:pt idx="83">
                  <c:v>56.607799999999997</c:v>
                </c:pt>
                <c:pt idx="84">
                  <c:v>56.756300000000003</c:v>
                </c:pt>
                <c:pt idx="85">
                  <c:v>56.804000000000002</c:v>
                </c:pt>
                <c:pt idx="86">
                  <c:v>56.762500000000003</c:v>
                </c:pt>
                <c:pt idx="87">
                  <c:v>56.611999999999995</c:v>
                </c:pt>
                <c:pt idx="88">
                  <c:v>56.500700000000002</c:v>
                </c:pt>
                <c:pt idx="89">
                  <c:v>56.361499999999999</c:v>
                </c:pt>
                <c:pt idx="90">
                  <c:v>56.049400000000006</c:v>
                </c:pt>
                <c:pt idx="91">
                  <c:v>55.605099999999993</c:v>
                </c:pt>
                <c:pt idx="92">
                  <c:v>55.074800000000003</c:v>
                </c:pt>
                <c:pt idx="93">
                  <c:v>54.480499999999999</c:v>
                </c:pt>
                <c:pt idx="94">
                  <c:v>53.976300000000002</c:v>
                </c:pt>
                <c:pt idx="95">
                  <c:v>53.495199999999997</c:v>
                </c:pt>
                <c:pt idx="96">
                  <c:v>53.009700000000002</c:v>
                </c:pt>
                <c:pt idx="97">
                  <c:v>52.590400000000002</c:v>
                </c:pt>
                <c:pt idx="98">
                  <c:v>52.112199999999994</c:v>
                </c:pt>
                <c:pt idx="99">
                  <c:v>51.64</c:v>
                </c:pt>
                <c:pt idx="100">
                  <c:v>51.224400000000003</c:v>
                </c:pt>
                <c:pt idx="101">
                  <c:v>50.802199999999999</c:v>
                </c:pt>
                <c:pt idx="102">
                  <c:v>50.463499999999996</c:v>
                </c:pt>
                <c:pt idx="103">
                  <c:v>50.239100000000001</c:v>
                </c:pt>
                <c:pt idx="104">
                  <c:v>50.040700000000001</c:v>
                </c:pt>
                <c:pt idx="105">
                  <c:v>49.793799999999997</c:v>
                </c:pt>
                <c:pt idx="106">
                  <c:v>49.47</c:v>
                </c:pt>
                <c:pt idx="107">
                  <c:v>49.153300000000002</c:v>
                </c:pt>
                <c:pt idx="108">
                  <c:v>48.8628</c:v>
                </c:pt>
                <c:pt idx="109">
                  <c:v>48.599699999999999</c:v>
                </c:pt>
                <c:pt idx="110">
                  <c:v>48.295200000000001</c:v>
                </c:pt>
                <c:pt idx="111">
                  <c:v>47.972999999999999</c:v>
                </c:pt>
                <c:pt idx="112">
                  <c:v>47.675800000000002</c:v>
                </c:pt>
                <c:pt idx="113">
                  <c:v>47.387900000000002</c:v>
                </c:pt>
                <c:pt idx="114">
                  <c:v>47.113799999999998</c:v>
                </c:pt>
                <c:pt idx="115">
                  <c:v>46.965899999999998</c:v>
                </c:pt>
                <c:pt idx="116">
                  <c:v>46.889099999999999</c:v>
                </c:pt>
                <c:pt idx="117">
                  <c:v>46.863399999999999</c:v>
                </c:pt>
                <c:pt idx="118">
                  <c:v>46.858600000000003</c:v>
                </c:pt>
                <c:pt idx="119">
                  <c:v>46.800399999999996</c:v>
                </c:pt>
                <c:pt idx="120">
                  <c:v>46.738900000000001</c:v>
                </c:pt>
                <c:pt idx="121">
                  <c:v>46.720299999999995</c:v>
                </c:pt>
                <c:pt idx="122">
                  <c:v>46.7014</c:v>
                </c:pt>
                <c:pt idx="123">
                  <c:v>46.748100000000001</c:v>
                </c:pt>
                <c:pt idx="124">
                  <c:v>46.7742</c:v>
                </c:pt>
                <c:pt idx="125">
                  <c:v>46.794499999999999</c:v>
                </c:pt>
                <c:pt idx="126">
                  <c:v>46.874099999999999</c:v>
                </c:pt>
                <c:pt idx="127">
                  <c:v>46.917900000000003</c:v>
                </c:pt>
                <c:pt idx="128">
                  <c:v>46.879599999999996</c:v>
                </c:pt>
                <c:pt idx="129">
                  <c:v>46.788400000000003</c:v>
                </c:pt>
                <c:pt idx="130">
                  <c:v>46.771700000000003</c:v>
                </c:pt>
                <c:pt idx="131">
                  <c:v>46.881799999999998</c:v>
                </c:pt>
                <c:pt idx="132">
                  <c:v>47.0139</c:v>
                </c:pt>
                <c:pt idx="133">
                  <c:v>47.139600000000002</c:v>
                </c:pt>
                <c:pt idx="134">
                  <c:v>47.258899999999997</c:v>
                </c:pt>
                <c:pt idx="135">
                  <c:v>47.408200000000001</c:v>
                </c:pt>
                <c:pt idx="136">
                  <c:v>47.550199999999997</c:v>
                </c:pt>
                <c:pt idx="137">
                  <c:v>47.5961</c:v>
                </c:pt>
                <c:pt idx="138">
                  <c:v>47.611599999999996</c:v>
                </c:pt>
                <c:pt idx="139">
                  <c:v>47.677399999999999</c:v>
                </c:pt>
                <c:pt idx="140">
                  <c:v>47.5518</c:v>
                </c:pt>
                <c:pt idx="141">
                  <c:v>47.534799999999997</c:v>
                </c:pt>
                <c:pt idx="142">
                  <c:v>47.497699999999995</c:v>
                </c:pt>
                <c:pt idx="143">
                  <c:v>47.558799999999998</c:v>
                </c:pt>
                <c:pt idx="144">
                  <c:v>47.811900000000001</c:v>
                </c:pt>
                <c:pt idx="145">
                  <c:v>48.204099999999997</c:v>
                </c:pt>
                <c:pt idx="146">
                  <c:v>48.468000000000004</c:v>
                </c:pt>
                <c:pt idx="147">
                  <c:v>48.758899999999997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30.066199999999998</c:v>
                </c:pt>
                <c:pt idx="2">
                  <c:v>30.4709</c:v>
                </c:pt>
                <c:pt idx="3">
                  <c:v>30.879000000000001</c:v>
                </c:pt>
                <c:pt idx="4">
                  <c:v>31.281199999999998</c:v>
                </c:pt>
                <c:pt idx="5">
                  <c:v>31.687899999999999</c:v>
                </c:pt>
                <c:pt idx="6">
                  <c:v>32.097099999999998</c:v>
                </c:pt>
                <c:pt idx="7">
                  <c:v>32.504899999999999</c:v>
                </c:pt>
                <c:pt idx="8">
                  <c:v>32.906100000000002</c:v>
                </c:pt>
                <c:pt idx="9">
                  <c:v>33.312399999999997</c:v>
                </c:pt>
                <c:pt idx="10">
                  <c:v>33.719299999999997</c:v>
                </c:pt>
                <c:pt idx="11">
                  <c:v>34.127600000000001</c:v>
                </c:pt>
                <c:pt idx="12">
                  <c:v>34.534300000000002</c:v>
                </c:pt>
                <c:pt idx="13">
                  <c:v>34.9392</c:v>
                </c:pt>
                <c:pt idx="14">
                  <c:v>35.345500000000001</c:v>
                </c:pt>
                <c:pt idx="15">
                  <c:v>35.753100000000003</c:v>
                </c:pt>
                <c:pt idx="16">
                  <c:v>36.158299999999997</c:v>
                </c:pt>
                <c:pt idx="17">
                  <c:v>36.566400000000002</c:v>
                </c:pt>
                <c:pt idx="18">
                  <c:v>36.9711</c:v>
                </c:pt>
                <c:pt idx="19">
                  <c:v>37.377299999999998</c:v>
                </c:pt>
                <c:pt idx="20">
                  <c:v>37.782699999999998</c:v>
                </c:pt>
                <c:pt idx="21">
                  <c:v>38.191000000000003</c:v>
                </c:pt>
                <c:pt idx="22">
                  <c:v>38.597099999999998</c:v>
                </c:pt>
                <c:pt idx="23">
                  <c:v>39.004300000000001</c:v>
                </c:pt>
                <c:pt idx="24">
                  <c:v>39.407800000000002</c:v>
                </c:pt>
                <c:pt idx="25">
                  <c:v>39.815199999999997</c:v>
                </c:pt>
                <c:pt idx="26">
                  <c:v>40.222499999999997</c:v>
                </c:pt>
                <c:pt idx="27">
                  <c:v>40.630699999999997</c:v>
                </c:pt>
                <c:pt idx="28">
                  <c:v>41.031100000000002</c:v>
                </c:pt>
                <c:pt idx="29">
                  <c:v>41.440600000000003</c:v>
                </c:pt>
                <c:pt idx="30">
                  <c:v>41.846499999999999</c:v>
                </c:pt>
                <c:pt idx="31">
                  <c:v>42.251100000000001</c:v>
                </c:pt>
                <c:pt idx="32">
                  <c:v>42.660400000000003</c:v>
                </c:pt>
                <c:pt idx="33">
                  <c:v>43.063299999999998</c:v>
                </c:pt>
                <c:pt idx="34">
                  <c:v>43.470399999999998</c:v>
                </c:pt>
                <c:pt idx="35">
                  <c:v>43.878</c:v>
                </c:pt>
                <c:pt idx="36">
                  <c:v>44.284700000000001</c:v>
                </c:pt>
                <c:pt idx="37">
                  <c:v>44.688499999999998</c:v>
                </c:pt>
                <c:pt idx="38">
                  <c:v>45.095500000000001</c:v>
                </c:pt>
                <c:pt idx="39">
                  <c:v>45.500999999999998</c:v>
                </c:pt>
                <c:pt idx="40">
                  <c:v>45.906300000000002</c:v>
                </c:pt>
                <c:pt idx="41">
                  <c:v>46.314799999999998</c:v>
                </c:pt>
                <c:pt idx="42">
                  <c:v>46.718800000000002</c:v>
                </c:pt>
                <c:pt idx="43">
                  <c:v>47.126899999999999</c:v>
                </c:pt>
                <c:pt idx="44">
                  <c:v>47.535800000000002</c:v>
                </c:pt>
                <c:pt idx="45">
                  <c:v>47.941099999999999</c:v>
                </c:pt>
                <c:pt idx="46">
                  <c:v>48.345399999999998</c:v>
                </c:pt>
                <c:pt idx="47">
                  <c:v>48.752899999999997</c:v>
                </c:pt>
                <c:pt idx="48">
                  <c:v>49.156300000000002</c:v>
                </c:pt>
                <c:pt idx="49">
                  <c:v>49.565800000000003</c:v>
                </c:pt>
                <c:pt idx="50">
                  <c:v>49.970500000000001</c:v>
                </c:pt>
                <c:pt idx="51">
                  <c:v>50.378</c:v>
                </c:pt>
                <c:pt idx="52">
                  <c:v>50.783900000000003</c:v>
                </c:pt>
                <c:pt idx="53">
                  <c:v>51.190199999999997</c:v>
                </c:pt>
                <c:pt idx="54">
                  <c:v>51.5974</c:v>
                </c:pt>
                <c:pt idx="55">
                  <c:v>52.000799999999998</c:v>
                </c:pt>
                <c:pt idx="56">
                  <c:v>52.407200000000003</c:v>
                </c:pt>
                <c:pt idx="57">
                  <c:v>52.813600000000001</c:v>
                </c:pt>
                <c:pt idx="58">
                  <c:v>53.223300000000002</c:v>
                </c:pt>
                <c:pt idx="59">
                  <c:v>53.628999999999998</c:v>
                </c:pt>
                <c:pt idx="60">
                  <c:v>54.032600000000002</c:v>
                </c:pt>
                <c:pt idx="61">
                  <c:v>54.440100000000001</c:v>
                </c:pt>
                <c:pt idx="62">
                  <c:v>54.846800000000002</c:v>
                </c:pt>
                <c:pt idx="63">
                  <c:v>55.254199999999997</c:v>
                </c:pt>
                <c:pt idx="64">
                  <c:v>55.659700000000001</c:v>
                </c:pt>
                <c:pt idx="65">
                  <c:v>56.063299999999998</c:v>
                </c:pt>
                <c:pt idx="66">
                  <c:v>56.471800000000002</c:v>
                </c:pt>
                <c:pt idx="67">
                  <c:v>56.877899999999997</c:v>
                </c:pt>
                <c:pt idx="68">
                  <c:v>57.283499999999997</c:v>
                </c:pt>
                <c:pt idx="69">
                  <c:v>57.689500000000002</c:v>
                </c:pt>
                <c:pt idx="70">
                  <c:v>58.095399999999998</c:v>
                </c:pt>
                <c:pt idx="71">
                  <c:v>58.502699999999997</c:v>
                </c:pt>
                <c:pt idx="72">
                  <c:v>58.912700000000001</c:v>
                </c:pt>
                <c:pt idx="73">
                  <c:v>59.317</c:v>
                </c:pt>
                <c:pt idx="74">
                  <c:v>59.724400000000003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54.054299999999998</c:v>
                </c:pt>
                <c:pt idx="1">
                  <c:v>54.377200000000002</c:v>
                </c:pt>
                <c:pt idx="2">
                  <c:v>54.680199999999999</c:v>
                </c:pt>
                <c:pt idx="3">
                  <c:v>54.947500000000005</c:v>
                </c:pt>
                <c:pt idx="4">
                  <c:v>55.181100000000008</c:v>
                </c:pt>
                <c:pt idx="5">
                  <c:v>55.419499999999999</c:v>
                </c:pt>
                <c:pt idx="6">
                  <c:v>55.677</c:v>
                </c:pt>
                <c:pt idx="7">
                  <c:v>55.923699999999997</c:v>
                </c:pt>
                <c:pt idx="8">
                  <c:v>56.188700000000004</c:v>
                </c:pt>
                <c:pt idx="9">
                  <c:v>56.420099999999998</c:v>
                </c:pt>
                <c:pt idx="10">
                  <c:v>56.607799999999997</c:v>
                </c:pt>
                <c:pt idx="11">
                  <c:v>56.756300000000003</c:v>
                </c:pt>
                <c:pt idx="12">
                  <c:v>56.804000000000002</c:v>
                </c:pt>
                <c:pt idx="13">
                  <c:v>56.762500000000003</c:v>
                </c:pt>
                <c:pt idx="14">
                  <c:v>56.611999999999995</c:v>
                </c:pt>
                <c:pt idx="15">
                  <c:v>56.500700000000002</c:v>
                </c:pt>
                <c:pt idx="16">
                  <c:v>56.361499999999999</c:v>
                </c:pt>
                <c:pt idx="17">
                  <c:v>56.049400000000006</c:v>
                </c:pt>
                <c:pt idx="18">
                  <c:v>55.605099999999993</c:v>
                </c:pt>
                <c:pt idx="19">
                  <c:v>55.074800000000003</c:v>
                </c:pt>
                <c:pt idx="20">
                  <c:v>54.480499999999999</c:v>
                </c:pt>
                <c:pt idx="21">
                  <c:v>53.976300000000002</c:v>
                </c:pt>
                <c:pt idx="22">
                  <c:v>53.495199999999997</c:v>
                </c:pt>
                <c:pt idx="23">
                  <c:v>53.009700000000002</c:v>
                </c:pt>
                <c:pt idx="24">
                  <c:v>52.590400000000002</c:v>
                </c:pt>
                <c:pt idx="25">
                  <c:v>52.112199999999994</c:v>
                </c:pt>
                <c:pt idx="26">
                  <c:v>51.64</c:v>
                </c:pt>
                <c:pt idx="27">
                  <c:v>51.224400000000003</c:v>
                </c:pt>
                <c:pt idx="28">
                  <c:v>50.802199999999999</c:v>
                </c:pt>
                <c:pt idx="29">
                  <c:v>50.463499999999996</c:v>
                </c:pt>
                <c:pt idx="30">
                  <c:v>50.239100000000001</c:v>
                </c:pt>
                <c:pt idx="31">
                  <c:v>50.040700000000001</c:v>
                </c:pt>
                <c:pt idx="32">
                  <c:v>49.793799999999997</c:v>
                </c:pt>
                <c:pt idx="33">
                  <c:v>49.47</c:v>
                </c:pt>
                <c:pt idx="34">
                  <c:v>49.153300000000002</c:v>
                </c:pt>
                <c:pt idx="35">
                  <c:v>48.8628</c:v>
                </c:pt>
                <c:pt idx="36">
                  <c:v>48.599699999999999</c:v>
                </c:pt>
                <c:pt idx="37">
                  <c:v>48.295200000000001</c:v>
                </c:pt>
                <c:pt idx="38">
                  <c:v>47.972999999999999</c:v>
                </c:pt>
                <c:pt idx="39">
                  <c:v>47.675800000000002</c:v>
                </c:pt>
                <c:pt idx="40">
                  <c:v>47.387900000000002</c:v>
                </c:pt>
                <c:pt idx="41">
                  <c:v>47.113799999999998</c:v>
                </c:pt>
                <c:pt idx="42">
                  <c:v>46.965899999999998</c:v>
                </c:pt>
                <c:pt idx="43">
                  <c:v>46.889099999999999</c:v>
                </c:pt>
                <c:pt idx="44">
                  <c:v>46.863399999999999</c:v>
                </c:pt>
                <c:pt idx="45">
                  <c:v>46.858600000000003</c:v>
                </c:pt>
                <c:pt idx="46">
                  <c:v>46.800399999999996</c:v>
                </c:pt>
                <c:pt idx="47">
                  <c:v>46.738900000000001</c:v>
                </c:pt>
                <c:pt idx="48">
                  <c:v>46.720299999999995</c:v>
                </c:pt>
                <c:pt idx="49">
                  <c:v>46.7014</c:v>
                </c:pt>
                <c:pt idx="50">
                  <c:v>46.748100000000001</c:v>
                </c:pt>
                <c:pt idx="51">
                  <c:v>46.7742</c:v>
                </c:pt>
                <c:pt idx="52">
                  <c:v>46.794499999999999</c:v>
                </c:pt>
                <c:pt idx="53">
                  <c:v>46.874099999999999</c:v>
                </c:pt>
                <c:pt idx="54">
                  <c:v>46.917900000000003</c:v>
                </c:pt>
                <c:pt idx="55">
                  <c:v>46.879599999999996</c:v>
                </c:pt>
                <c:pt idx="56">
                  <c:v>46.788400000000003</c:v>
                </c:pt>
                <c:pt idx="57">
                  <c:v>46.771700000000003</c:v>
                </c:pt>
                <c:pt idx="58">
                  <c:v>46.881799999999998</c:v>
                </c:pt>
                <c:pt idx="59">
                  <c:v>47.0139</c:v>
                </c:pt>
                <c:pt idx="60">
                  <c:v>47.139600000000002</c:v>
                </c:pt>
                <c:pt idx="61">
                  <c:v>47.258899999999997</c:v>
                </c:pt>
                <c:pt idx="62">
                  <c:v>47.408200000000001</c:v>
                </c:pt>
                <c:pt idx="63">
                  <c:v>47.550199999999997</c:v>
                </c:pt>
                <c:pt idx="64">
                  <c:v>47.5961</c:v>
                </c:pt>
                <c:pt idx="65">
                  <c:v>47.611599999999996</c:v>
                </c:pt>
                <c:pt idx="66">
                  <c:v>47.677399999999999</c:v>
                </c:pt>
                <c:pt idx="67">
                  <c:v>47.5518</c:v>
                </c:pt>
                <c:pt idx="68">
                  <c:v>47.534799999999997</c:v>
                </c:pt>
                <c:pt idx="69">
                  <c:v>47.497699999999995</c:v>
                </c:pt>
                <c:pt idx="70">
                  <c:v>47.558799999999998</c:v>
                </c:pt>
                <c:pt idx="71">
                  <c:v>47.811900000000001</c:v>
                </c:pt>
                <c:pt idx="72">
                  <c:v>48.204099999999997</c:v>
                </c:pt>
                <c:pt idx="73">
                  <c:v>48.468000000000004</c:v>
                </c:pt>
                <c:pt idx="74">
                  <c:v>48.758899999999997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14.931100000000001</c:v>
                </c:pt>
                <c:pt idx="1">
                  <c:v>44.793300000000002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59.239728378378352</c:v>
                </c:pt>
                <c:pt idx="1">
                  <c:v>50.391335135135151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22.1311</c:v>
                </c:pt>
                <c:pt idx="1">
                  <c:v>26.349499999999999</c:v>
                </c:pt>
                <c:pt idx="2">
                  <c:v>24.978000000000002</c:v>
                </c:pt>
                <c:pt idx="3">
                  <c:v>26.052099999999999</c:v>
                </c:pt>
                <c:pt idx="4">
                  <c:v>74.810400000000001</c:v>
                </c:pt>
                <c:pt idx="5">
                  <c:v>70.559299999999993</c:v>
                </c:pt>
                <c:pt idx="6">
                  <c:v>8.7413500000000006</c:v>
                </c:pt>
                <c:pt idx="7">
                  <c:v>73.357500000000002</c:v>
                </c:pt>
                <c:pt idx="8">
                  <c:v>18.540700000000001</c:v>
                </c:pt>
                <c:pt idx="9">
                  <c:v>22.838999999999999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28.8123</c:v>
                </c:pt>
                <c:pt idx="1">
                  <c:v>32.018099999999997</c:v>
                </c:pt>
                <c:pt idx="2">
                  <c:v>22.0517</c:v>
                </c:pt>
                <c:pt idx="3">
                  <c:v>28.837199999999999</c:v>
                </c:pt>
                <c:pt idx="4">
                  <c:v>70.327399999999997</c:v>
                </c:pt>
                <c:pt idx="5">
                  <c:v>66.940899999999999</c:v>
                </c:pt>
                <c:pt idx="6">
                  <c:v>11.0341</c:v>
                </c:pt>
                <c:pt idx="7">
                  <c:v>68.727199999999996</c:v>
                </c:pt>
                <c:pt idx="8">
                  <c:v>20.358799999999999</c:v>
                </c:pt>
                <c:pt idx="9">
                  <c:v>28.067900000000002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0.55515521906464027</c:v>
                </c:pt>
                <c:pt idx="1">
                  <c:v>0.24286383527646216</c:v>
                </c:pt>
                <c:pt idx="2">
                  <c:v>0.20198094565889743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9944</c:v>
                </c:pt>
                <c:pt idx="7">
                  <c:v>0</c:v>
                </c:pt>
                <c:pt idx="8">
                  <c:v>18826</c:v>
                </c:pt>
                <c:pt idx="9">
                  <c:v>0</c:v>
                </c:pt>
                <c:pt idx="10">
                  <c:v>0</c:v>
                </c:pt>
                <c:pt idx="11">
                  <c:v>23708</c:v>
                </c:pt>
                <c:pt idx="12">
                  <c:v>0</c:v>
                </c:pt>
                <c:pt idx="13">
                  <c:v>44633</c:v>
                </c:pt>
                <c:pt idx="14">
                  <c:v>0</c:v>
                </c:pt>
                <c:pt idx="15">
                  <c:v>0</c:v>
                </c:pt>
                <c:pt idx="16">
                  <c:v>43618</c:v>
                </c:pt>
                <c:pt idx="17">
                  <c:v>0</c:v>
                </c:pt>
                <c:pt idx="18">
                  <c:v>0</c:v>
                </c:pt>
                <c:pt idx="19">
                  <c:v>53538</c:v>
                </c:pt>
                <c:pt idx="20">
                  <c:v>0</c:v>
                </c:pt>
                <c:pt idx="21">
                  <c:v>54024</c:v>
                </c:pt>
                <c:pt idx="22">
                  <c:v>0</c:v>
                </c:pt>
                <c:pt idx="23">
                  <c:v>0</c:v>
                </c:pt>
                <c:pt idx="24">
                  <c:v>59318</c:v>
                </c:pt>
                <c:pt idx="25">
                  <c:v>0</c:v>
                </c:pt>
                <c:pt idx="26">
                  <c:v>63546</c:v>
                </c:pt>
                <c:pt idx="27">
                  <c:v>0</c:v>
                </c:pt>
                <c:pt idx="28">
                  <c:v>0</c:v>
                </c:pt>
                <c:pt idx="29">
                  <c:v>73399</c:v>
                </c:pt>
                <c:pt idx="30">
                  <c:v>0</c:v>
                </c:pt>
                <c:pt idx="31">
                  <c:v>73541</c:v>
                </c:pt>
                <c:pt idx="32">
                  <c:v>0</c:v>
                </c:pt>
                <c:pt idx="33">
                  <c:v>0</c:v>
                </c:pt>
                <c:pt idx="34">
                  <c:v>75105</c:v>
                </c:pt>
                <c:pt idx="35">
                  <c:v>0</c:v>
                </c:pt>
                <c:pt idx="36">
                  <c:v>0</c:v>
                </c:pt>
                <c:pt idx="37">
                  <c:v>65517</c:v>
                </c:pt>
                <c:pt idx="38">
                  <c:v>0</c:v>
                </c:pt>
                <c:pt idx="39">
                  <c:v>66777</c:v>
                </c:pt>
                <c:pt idx="40">
                  <c:v>0</c:v>
                </c:pt>
                <c:pt idx="41">
                  <c:v>0</c:v>
                </c:pt>
                <c:pt idx="42">
                  <c:v>63209</c:v>
                </c:pt>
                <c:pt idx="43">
                  <c:v>0</c:v>
                </c:pt>
                <c:pt idx="44">
                  <c:v>59251</c:v>
                </c:pt>
                <c:pt idx="45">
                  <c:v>0</c:v>
                </c:pt>
                <c:pt idx="46">
                  <c:v>0</c:v>
                </c:pt>
                <c:pt idx="47">
                  <c:v>52465</c:v>
                </c:pt>
                <c:pt idx="48">
                  <c:v>0</c:v>
                </c:pt>
                <c:pt idx="49">
                  <c:v>49815</c:v>
                </c:pt>
                <c:pt idx="50">
                  <c:v>0</c:v>
                </c:pt>
                <c:pt idx="51">
                  <c:v>0</c:v>
                </c:pt>
                <c:pt idx="52">
                  <c:v>44984</c:v>
                </c:pt>
                <c:pt idx="53">
                  <c:v>0</c:v>
                </c:pt>
                <c:pt idx="54">
                  <c:v>0</c:v>
                </c:pt>
                <c:pt idx="55">
                  <c:v>42855</c:v>
                </c:pt>
                <c:pt idx="56">
                  <c:v>0</c:v>
                </c:pt>
                <c:pt idx="57">
                  <c:v>33864</c:v>
                </c:pt>
                <c:pt idx="58">
                  <c:v>0</c:v>
                </c:pt>
                <c:pt idx="59">
                  <c:v>0</c:v>
                </c:pt>
                <c:pt idx="60">
                  <c:v>37632</c:v>
                </c:pt>
                <c:pt idx="61">
                  <c:v>0</c:v>
                </c:pt>
                <c:pt idx="62">
                  <c:v>29121</c:v>
                </c:pt>
                <c:pt idx="63">
                  <c:v>0</c:v>
                </c:pt>
                <c:pt idx="64">
                  <c:v>0</c:v>
                </c:pt>
                <c:pt idx="65">
                  <c:v>24040</c:v>
                </c:pt>
                <c:pt idx="66">
                  <c:v>0</c:v>
                </c:pt>
                <c:pt idx="67">
                  <c:v>21394</c:v>
                </c:pt>
                <c:pt idx="68">
                  <c:v>0</c:v>
                </c:pt>
                <c:pt idx="69">
                  <c:v>0</c:v>
                </c:pt>
                <c:pt idx="70">
                  <c:v>15211</c:v>
                </c:pt>
                <c:pt idx="71">
                  <c:v>0</c:v>
                </c:pt>
                <c:pt idx="72">
                  <c:v>0</c:v>
                </c:pt>
                <c:pt idx="73">
                  <c:v>14930</c:v>
                </c:pt>
                <c:pt idx="74">
                  <c:v>0</c:v>
                </c:pt>
                <c:pt idx="75">
                  <c:v>13093</c:v>
                </c:pt>
                <c:pt idx="76">
                  <c:v>0</c:v>
                </c:pt>
                <c:pt idx="77">
                  <c:v>0</c:v>
                </c:pt>
                <c:pt idx="78">
                  <c:v>12989</c:v>
                </c:pt>
                <c:pt idx="79">
                  <c:v>0</c:v>
                </c:pt>
                <c:pt idx="80">
                  <c:v>12040</c:v>
                </c:pt>
                <c:pt idx="81">
                  <c:v>0</c:v>
                </c:pt>
                <c:pt idx="82">
                  <c:v>0</c:v>
                </c:pt>
                <c:pt idx="83">
                  <c:v>12383</c:v>
                </c:pt>
                <c:pt idx="84">
                  <c:v>0</c:v>
                </c:pt>
                <c:pt idx="85">
                  <c:v>0</c:v>
                </c:pt>
                <c:pt idx="86">
                  <c:v>8904</c:v>
                </c:pt>
                <c:pt idx="87">
                  <c:v>0</c:v>
                </c:pt>
                <c:pt idx="88">
                  <c:v>9607</c:v>
                </c:pt>
                <c:pt idx="89">
                  <c:v>0</c:v>
                </c:pt>
                <c:pt idx="90">
                  <c:v>0</c:v>
                </c:pt>
                <c:pt idx="91">
                  <c:v>8727</c:v>
                </c:pt>
                <c:pt idx="92">
                  <c:v>0</c:v>
                </c:pt>
                <c:pt idx="93">
                  <c:v>5264</c:v>
                </c:pt>
                <c:pt idx="94">
                  <c:v>0</c:v>
                </c:pt>
                <c:pt idx="95">
                  <c:v>0</c:v>
                </c:pt>
                <c:pt idx="96">
                  <c:v>5204</c:v>
                </c:pt>
                <c:pt idx="97">
                  <c:v>0</c:v>
                </c:pt>
                <c:pt idx="98">
                  <c:v>2828</c:v>
                </c:pt>
                <c:pt idx="99">
                  <c:v>0</c:v>
                </c:pt>
                <c:pt idx="100">
                  <c:v>0</c:v>
                </c:pt>
                <c:pt idx="101">
                  <c:v>1649</c:v>
                </c:pt>
                <c:pt idx="102">
                  <c:v>0</c:v>
                </c:pt>
                <c:pt idx="103">
                  <c:v>0</c:v>
                </c:pt>
                <c:pt idx="104">
                  <c:v>1508</c:v>
                </c:pt>
                <c:pt idx="105">
                  <c:v>0</c:v>
                </c:pt>
                <c:pt idx="106">
                  <c:v>1487</c:v>
                </c:pt>
                <c:pt idx="107">
                  <c:v>0</c:v>
                </c:pt>
                <c:pt idx="108">
                  <c:v>0</c:v>
                </c:pt>
                <c:pt idx="109">
                  <c:v>1192</c:v>
                </c:pt>
                <c:pt idx="110">
                  <c:v>0</c:v>
                </c:pt>
                <c:pt idx="111">
                  <c:v>2004</c:v>
                </c:pt>
                <c:pt idx="112">
                  <c:v>0</c:v>
                </c:pt>
                <c:pt idx="113">
                  <c:v>0</c:v>
                </c:pt>
                <c:pt idx="114">
                  <c:v>1615</c:v>
                </c:pt>
                <c:pt idx="115">
                  <c:v>0</c:v>
                </c:pt>
                <c:pt idx="116">
                  <c:v>655</c:v>
                </c:pt>
                <c:pt idx="117">
                  <c:v>0</c:v>
                </c:pt>
                <c:pt idx="118">
                  <c:v>0</c:v>
                </c:pt>
                <c:pt idx="119">
                  <c:v>953</c:v>
                </c:pt>
                <c:pt idx="120">
                  <c:v>0</c:v>
                </c:pt>
                <c:pt idx="121">
                  <c:v>0</c:v>
                </c:pt>
                <c:pt idx="122">
                  <c:v>868</c:v>
                </c:pt>
                <c:pt idx="123">
                  <c:v>0</c:v>
                </c:pt>
                <c:pt idx="124">
                  <c:v>667</c:v>
                </c:pt>
                <c:pt idx="125">
                  <c:v>0</c:v>
                </c:pt>
                <c:pt idx="126">
                  <c:v>0</c:v>
                </c:pt>
                <c:pt idx="127">
                  <c:v>263</c:v>
                </c:pt>
                <c:pt idx="128">
                  <c:v>0</c:v>
                </c:pt>
                <c:pt idx="129">
                  <c:v>273</c:v>
                </c:pt>
                <c:pt idx="130">
                  <c:v>0</c:v>
                </c:pt>
                <c:pt idx="131">
                  <c:v>0</c:v>
                </c:pt>
                <c:pt idx="132">
                  <c:v>157</c:v>
                </c:pt>
                <c:pt idx="133">
                  <c:v>0</c:v>
                </c:pt>
                <c:pt idx="134">
                  <c:v>358</c:v>
                </c:pt>
                <c:pt idx="135">
                  <c:v>0</c:v>
                </c:pt>
                <c:pt idx="136">
                  <c:v>0</c:v>
                </c:pt>
                <c:pt idx="137">
                  <c:v>118</c:v>
                </c:pt>
                <c:pt idx="138">
                  <c:v>0</c:v>
                </c:pt>
                <c:pt idx="139">
                  <c:v>0</c:v>
                </c:pt>
                <c:pt idx="140">
                  <c:v>80</c:v>
                </c:pt>
                <c:pt idx="141">
                  <c:v>0</c:v>
                </c:pt>
                <c:pt idx="142">
                  <c:v>370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7827</c:v>
                </c:pt>
                <c:pt idx="7">
                  <c:v>0</c:v>
                </c:pt>
                <c:pt idx="8">
                  <c:v>13999</c:v>
                </c:pt>
                <c:pt idx="9">
                  <c:v>0</c:v>
                </c:pt>
                <c:pt idx="10">
                  <c:v>0</c:v>
                </c:pt>
                <c:pt idx="11">
                  <c:v>22147</c:v>
                </c:pt>
                <c:pt idx="12">
                  <c:v>0</c:v>
                </c:pt>
                <c:pt idx="13">
                  <c:v>30788</c:v>
                </c:pt>
                <c:pt idx="14">
                  <c:v>0</c:v>
                </c:pt>
                <c:pt idx="15">
                  <c:v>0</c:v>
                </c:pt>
                <c:pt idx="16">
                  <c:v>34380</c:v>
                </c:pt>
                <c:pt idx="17">
                  <c:v>0</c:v>
                </c:pt>
                <c:pt idx="18">
                  <c:v>0</c:v>
                </c:pt>
                <c:pt idx="19">
                  <c:v>34800</c:v>
                </c:pt>
                <c:pt idx="20">
                  <c:v>0</c:v>
                </c:pt>
                <c:pt idx="21">
                  <c:v>38626</c:v>
                </c:pt>
                <c:pt idx="22">
                  <c:v>0</c:v>
                </c:pt>
                <c:pt idx="23">
                  <c:v>0</c:v>
                </c:pt>
                <c:pt idx="24">
                  <c:v>40905</c:v>
                </c:pt>
                <c:pt idx="25">
                  <c:v>0</c:v>
                </c:pt>
                <c:pt idx="26">
                  <c:v>49018</c:v>
                </c:pt>
                <c:pt idx="27">
                  <c:v>0</c:v>
                </c:pt>
                <c:pt idx="28">
                  <c:v>0</c:v>
                </c:pt>
                <c:pt idx="29">
                  <c:v>49830</c:v>
                </c:pt>
                <c:pt idx="30">
                  <c:v>0</c:v>
                </c:pt>
                <c:pt idx="31">
                  <c:v>48633</c:v>
                </c:pt>
                <c:pt idx="32">
                  <c:v>0</c:v>
                </c:pt>
                <c:pt idx="33">
                  <c:v>0</c:v>
                </c:pt>
                <c:pt idx="34">
                  <c:v>59296</c:v>
                </c:pt>
                <c:pt idx="35">
                  <c:v>0</c:v>
                </c:pt>
                <c:pt idx="36">
                  <c:v>0</c:v>
                </c:pt>
                <c:pt idx="37">
                  <c:v>67622</c:v>
                </c:pt>
                <c:pt idx="38">
                  <c:v>0</c:v>
                </c:pt>
                <c:pt idx="39">
                  <c:v>69721</c:v>
                </c:pt>
                <c:pt idx="40">
                  <c:v>0</c:v>
                </c:pt>
                <c:pt idx="41">
                  <c:v>0</c:v>
                </c:pt>
                <c:pt idx="42">
                  <c:v>56814</c:v>
                </c:pt>
                <c:pt idx="43">
                  <c:v>0</c:v>
                </c:pt>
                <c:pt idx="44">
                  <c:v>64025</c:v>
                </c:pt>
                <c:pt idx="45">
                  <c:v>0</c:v>
                </c:pt>
                <c:pt idx="46">
                  <c:v>0</c:v>
                </c:pt>
                <c:pt idx="47">
                  <c:v>63013</c:v>
                </c:pt>
                <c:pt idx="48">
                  <c:v>0</c:v>
                </c:pt>
                <c:pt idx="49">
                  <c:v>67750</c:v>
                </c:pt>
                <c:pt idx="50">
                  <c:v>0</c:v>
                </c:pt>
                <c:pt idx="51">
                  <c:v>0</c:v>
                </c:pt>
                <c:pt idx="52">
                  <c:v>68579</c:v>
                </c:pt>
                <c:pt idx="53">
                  <c:v>0</c:v>
                </c:pt>
                <c:pt idx="54">
                  <c:v>0</c:v>
                </c:pt>
                <c:pt idx="55">
                  <c:v>69988</c:v>
                </c:pt>
                <c:pt idx="56">
                  <c:v>0</c:v>
                </c:pt>
                <c:pt idx="57">
                  <c:v>63762</c:v>
                </c:pt>
                <c:pt idx="58">
                  <c:v>0</c:v>
                </c:pt>
                <c:pt idx="59">
                  <c:v>0</c:v>
                </c:pt>
                <c:pt idx="60">
                  <c:v>63996</c:v>
                </c:pt>
                <c:pt idx="61">
                  <c:v>0</c:v>
                </c:pt>
                <c:pt idx="62">
                  <c:v>64853</c:v>
                </c:pt>
                <c:pt idx="63">
                  <c:v>0</c:v>
                </c:pt>
                <c:pt idx="64">
                  <c:v>0</c:v>
                </c:pt>
                <c:pt idx="65">
                  <c:v>62724</c:v>
                </c:pt>
                <c:pt idx="66">
                  <c:v>0</c:v>
                </c:pt>
                <c:pt idx="67">
                  <c:v>56688</c:v>
                </c:pt>
                <c:pt idx="68">
                  <c:v>0</c:v>
                </c:pt>
                <c:pt idx="69">
                  <c:v>0</c:v>
                </c:pt>
                <c:pt idx="70">
                  <c:v>54660</c:v>
                </c:pt>
                <c:pt idx="71">
                  <c:v>0</c:v>
                </c:pt>
                <c:pt idx="72">
                  <c:v>0</c:v>
                </c:pt>
                <c:pt idx="73">
                  <c:v>44503</c:v>
                </c:pt>
                <c:pt idx="74">
                  <c:v>0</c:v>
                </c:pt>
                <c:pt idx="75">
                  <c:v>43317</c:v>
                </c:pt>
                <c:pt idx="76">
                  <c:v>0</c:v>
                </c:pt>
                <c:pt idx="77">
                  <c:v>0</c:v>
                </c:pt>
                <c:pt idx="78">
                  <c:v>39066</c:v>
                </c:pt>
                <c:pt idx="79">
                  <c:v>0</c:v>
                </c:pt>
                <c:pt idx="80">
                  <c:v>32511</c:v>
                </c:pt>
                <c:pt idx="81">
                  <c:v>0</c:v>
                </c:pt>
                <c:pt idx="82">
                  <c:v>0</c:v>
                </c:pt>
                <c:pt idx="83">
                  <c:v>25314</c:v>
                </c:pt>
                <c:pt idx="84">
                  <c:v>0</c:v>
                </c:pt>
                <c:pt idx="85">
                  <c:v>0</c:v>
                </c:pt>
                <c:pt idx="86">
                  <c:v>23267</c:v>
                </c:pt>
                <c:pt idx="87">
                  <c:v>0</c:v>
                </c:pt>
                <c:pt idx="88">
                  <c:v>21028</c:v>
                </c:pt>
                <c:pt idx="89">
                  <c:v>0</c:v>
                </c:pt>
                <c:pt idx="90">
                  <c:v>0</c:v>
                </c:pt>
                <c:pt idx="91">
                  <c:v>20465</c:v>
                </c:pt>
                <c:pt idx="92">
                  <c:v>0</c:v>
                </c:pt>
                <c:pt idx="93">
                  <c:v>17515</c:v>
                </c:pt>
                <c:pt idx="94">
                  <c:v>0</c:v>
                </c:pt>
                <c:pt idx="95">
                  <c:v>0</c:v>
                </c:pt>
                <c:pt idx="96">
                  <c:v>14483</c:v>
                </c:pt>
                <c:pt idx="97">
                  <c:v>0</c:v>
                </c:pt>
                <c:pt idx="98">
                  <c:v>12612</c:v>
                </c:pt>
                <c:pt idx="99">
                  <c:v>0</c:v>
                </c:pt>
                <c:pt idx="100">
                  <c:v>0</c:v>
                </c:pt>
                <c:pt idx="101">
                  <c:v>12823</c:v>
                </c:pt>
                <c:pt idx="102">
                  <c:v>0</c:v>
                </c:pt>
                <c:pt idx="103">
                  <c:v>0</c:v>
                </c:pt>
                <c:pt idx="104">
                  <c:v>12681</c:v>
                </c:pt>
                <c:pt idx="105">
                  <c:v>0</c:v>
                </c:pt>
                <c:pt idx="106">
                  <c:v>11033</c:v>
                </c:pt>
                <c:pt idx="107">
                  <c:v>0</c:v>
                </c:pt>
                <c:pt idx="108">
                  <c:v>0</c:v>
                </c:pt>
                <c:pt idx="109">
                  <c:v>11564</c:v>
                </c:pt>
                <c:pt idx="110">
                  <c:v>0</c:v>
                </c:pt>
                <c:pt idx="111">
                  <c:v>9429</c:v>
                </c:pt>
                <c:pt idx="112">
                  <c:v>0</c:v>
                </c:pt>
                <c:pt idx="113">
                  <c:v>0</c:v>
                </c:pt>
                <c:pt idx="114">
                  <c:v>8918</c:v>
                </c:pt>
                <c:pt idx="115">
                  <c:v>0</c:v>
                </c:pt>
                <c:pt idx="116">
                  <c:v>6667</c:v>
                </c:pt>
                <c:pt idx="117">
                  <c:v>0</c:v>
                </c:pt>
                <c:pt idx="118">
                  <c:v>0</c:v>
                </c:pt>
                <c:pt idx="119">
                  <c:v>4762</c:v>
                </c:pt>
                <c:pt idx="120">
                  <c:v>0</c:v>
                </c:pt>
                <c:pt idx="121">
                  <c:v>0</c:v>
                </c:pt>
                <c:pt idx="122">
                  <c:v>4029</c:v>
                </c:pt>
                <c:pt idx="123">
                  <c:v>0</c:v>
                </c:pt>
                <c:pt idx="124">
                  <c:v>4156</c:v>
                </c:pt>
                <c:pt idx="125">
                  <c:v>0</c:v>
                </c:pt>
                <c:pt idx="126">
                  <c:v>0</c:v>
                </c:pt>
                <c:pt idx="127">
                  <c:v>2942</c:v>
                </c:pt>
                <c:pt idx="128">
                  <c:v>0</c:v>
                </c:pt>
                <c:pt idx="129">
                  <c:v>1795</c:v>
                </c:pt>
                <c:pt idx="130">
                  <c:v>0</c:v>
                </c:pt>
                <c:pt idx="131">
                  <c:v>0</c:v>
                </c:pt>
                <c:pt idx="132">
                  <c:v>1025</c:v>
                </c:pt>
                <c:pt idx="133">
                  <c:v>0</c:v>
                </c:pt>
                <c:pt idx="134">
                  <c:v>1278</c:v>
                </c:pt>
                <c:pt idx="135">
                  <c:v>0</c:v>
                </c:pt>
                <c:pt idx="136">
                  <c:v>0</c:v>
                </c:pt>
                <c:pt idx="137">
                  <c:v>949</c:v>
                </c:pt>
                <c:pt idx="138">
                  <c:v>0</c:v>
                </c:pt>
                <c:pt idx="139">
                  <c:v>0</c:v>
                </c:pt>
                <c:pt idx="140">
                  <c:v>889</c:v>
                </c:pt>
                <c:pt idx="141">
                  <c:v>0</c:v>
                </c:pt>
                <c:pt idx="142">
                  <c:v>533</c:v>
                </c:pt>
                <c:pt idx="143">
                  <c:v>0</c:v>
                </c:pt>
                <c:pt idx="144">
                  <c:v>0</c:v>
                </c:pt>
                <c:pt idx="145">
                  <c:v>664</c:v>
                </c:pt>
                <c:pt idx="146">
                  <c:v>0</c:v>
                </c:pt>
                <c:pt idx="147">
                  <c:v>463</c:v>
                </c:pt>
                <c:pt idx="148">
                  <c:v>0</c:v>
                </c:pt>
                <c:pt idx="149">
                  <c:v>0</c:v>
                </c:pt>
                <c:pt idx="150">
                  <c:v>42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0.1413091072687859</c:v>
                </c:pt>
                <c:pt idx="1">
                  <c:v>0.44524417841337821</c:v>
                </c:pt>
                <c:pt idx="2">
                  <c:v>0.41344671431783597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0.50993521416590093</c:v>
                </c:pt>
                <c:pt idx="1">
                  <c:v>0.26249693669418606</c:v>
                </c:pt>
                <c:pt idx="2">
                  <c:v>0.22756784913991299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7.6190425000000008</c:v>
                </c:pt>
                <c:pt idx="1">
                  <c:v>19.047735000000003</c:v>
                </c:pt>
                <c:pt idx="2">
                  <c:v>21.765999999999998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  <c:pt idx="74">
                  <c:v>30.066199999999998</c:v>
                </c:pt>
                <c:pt idx="75">
                  <c:v>30.4709</c:v>
                </c:pt>
                <c:pt idx="76">
                  <c:v>30.879000000000001</c:v>
                </c:pt>
                <c:pt idx="77">
                  <c:v>31.281199999999998</c:v>
                </c:pt>
                <c:pt idx="78">
                  <c:v>31.687899999999999</c:v>
                </c:pt>
                <c:pt idx="79">
                  <c:v>32.097099999999998</c:v>
                </c:pt>
                <c:pt idx="80">
                  <c:v>32.504899999999999</c:v>
                </c:pt>
                <c:pt idx="81">
                  <c:v>32.906100000000002</c:v>
                </c:pt>
                <c:pt idx="82">
                  <c:v>33.312399999999997</c:v>
                </c:pt>
                <c:pt idx="83">
                  <c:v>33.719299999999997</c:v>
                </c:pt>
                <c:pt idx="84">
                  <c:v>34.127600000000001</c:v>
                </c:pt>
                <c:pt idx="85">
                  <c:v>34.534300000000002</c:v>
                </c:pt>
                <c:pt idx="86">
                  <c:v>34.9392</c:v>
                </c:pt>
                <c:pt idx="87">
                  <c:v>35.345500000000001</c:v>
                </c:pt>
                <c:pt idx="88">
                  <c:v>35.753100000000003</c:v>
                </c:pt>
                <c:pt idx="89">
                  <c:v>36.158299999999997</c:v>
                </c:pt>
                <c:pt idx="90">
                  <c:v>36.566400000000002</c:v>
                </c:pt>
                <c:pt idx="91">
                  <c:v>36.9711</c:v>
                </c:pt>
                <c:pt idx="92">
                  <c:v>37.377299999999998</c:v>
                </c:pt>
                <c:pt idx="93">
                  <c:v>37.782699999999998</c:v>
                </c:pt>
                <c:pt idx="94">
                  <c:v>38.191000000000003</c:v>
                </c:pt>
                <c:pt idx="95">
                  <c:v>38.597099999999998</c:v>
                </c:pt>
                <c:pt idx="96">
                  <c:v>39.004300000000001</c:v>
                </c:pt>
                <c:pt idx="97">
                  <c:v>39.407800000000002</c:v>
                </c:pt>
                <c:pt idx="98">
                  <c:v>39.815199999999997</c:v>
                </c:pt>
                <c:pt idx="99">
                  <c:v>40.222499999999997</c:v>
                </c:pt>
                <c:pt idx="100">
                  <c:v>40.630699999999997</c:v>
                </c:pt>
                <c:pt idx="101">
                  <c:v>41.031100000000002</c:v>
                </c:pt>
                <c:pt idx="102">
                  <c:v>41.440600000000003</c:v>
                </c:pt>
                <c:pt idx="103">
                  <c:v>41.846499999999999</c:v>
                </c:pt>
                <c:pt idx="104">
                  <c:v>42.251100000000001</c:v>
                </c:pt>
                <c:pt idx="105">
                  <c:v>42.660400000000003</c:v>
                </c:pt>
                <c:pt idx="106">
                  <c:v>43.063299999999998</c:v>
                </c:pt>
                <c:pt idx="107">
                  <c:v>43.470399999999998</c:v>
                </c:pt>
                <c:pt idx="108">
                  <c:v>43.878</c:v>
                </c:pt>
                <c:pt idx="109">
                  <c:v>44.284700000000001</c:v>
                </c:pt>
                <c:pt idx="110">
                  <c:v>44.688499999999998</c:v>
                </c:pt>
                <c:pt idx="111">
                  <c:v>45.095500000000001</c:v>
                </c:pt>
                <c:pt idx="112">
                  <c:v>45.500999999999998</c:v>
                </c:pt>
                <c:pt idx="113">
                  <c:v>45.906300000000002</c:v>
                </c:pt>
                <c:pt idx="114">
                  <c:v>46.314799999999998</c:v>
                </c:pt>
                <c:pt idx="115">
                  <c:v>46.718800000000002</c:v>
                </c:pt>
                <c:pt idx="116">
                  <c:v>47.126899999999999</c:v>
                </c:pt>
                <c:pt idx="117">
                  <c:v>47.535800000000002</c:v>
                </c:pt>
                <c:pt idx="118">
                  <c:v>47.941099999999999</c:v>
                </c:pt>
                <c:pt idx="119">
                  <c:v>48.345399999999998</c:v>
                </c:pt>
                <c:pt idx="120">
                  <c:v>48.752899999999997</c:v>
                </c:pt>
                <c:pt idx="121">
                  <c:v>49.156300000000002</c:v>
                </c:pt>
                <c:pt idx="122">
                  <c:v>49.565800000000003</c:v>
                </c:pt>
                <c:pt idx="123">
                  <c:v>49.970500000000001</c:v>
                </c:pt>
                <c:pt idx="124">
                  <c:v>50.378</c:v>
                </c:pt>
                <c:pt idx="125">
                  <c:v>50.783900000000003</c:v>
                </c:pt>
                <c:pt idx="126">
                  <c:v>51.190199999999997</c:v>
                </c:pt>
                <c:pt idx="127">
                  <c:v>51.5974</c:v>
                </c:pt>
                <c:pt idx="128">
                  <c:v>52.000799999999998</c:v>
                </c:pt>
                <c:pt idx="129">
                  <c:v>52.407200000000003</c:v>
                </c:pt>
                <c:pt idx="130">
                  <c:v>52.813600000000001</c:v>
                </c:pt>
                <c:pt idx="131">
                  <c:v>53.223300000000002</c:v>
                </c:pt>
                <c:pt idx="132">
                  <c:v>53.628999999999998</c:v>
                </c:pt>
                <c:pt idx="133">
                  <c:v>54.032600000000002</c:v>
                </c:pt>
                <c:pt idx="134">
                  <c:v>54.440100000000001</c:v>
                </c:pt>
                <c:pt idx="135">
                  <c:v>54.846800000000002</c:v>
                </c:pt>
                <c:pt idx="136">
                  <c:v>55.254199999999997</c:v>
                </c:pt>
                <c:pt idx="137">
                  <c:v>55.659700000000001</c:v>
                </c:pt>
                <c:pt idx="138">
                  <c:v>56.063299999999998</c:v>
                </c:pt>
                <c:pt idx="139">
                  <c:v>56.471800000000002</c:v>
                </c:pt>
                <c:pt idx="140">
                  <c:v>56.877899999999997</c:v>
                </c:pt>
                <c:pt idx="141">
                  <c:v>57.283499999999997</c:v>
                </c:pt>
                <c:pt idx="142">
                  <c:v>57.689500000000002</c:v>
                </c:pt>
                <c:pt idx="143">
                  <c:v>58.095399999999998</c:v>
                </c:pt>
                <c:pt idx="144">
                  <c:v>58.502699999999997</c:v>
                </c:pt>
                <c:pt idx="145">
                  <c:v>58.912700000000001</c:v>
                </c:pt>
                <c:pt idx="146">
                  <c:v>59.317</c:v>
                </c:pt>
                <c:pt idx="147">
                  <c:v>59.724400000000003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  <c:pt idx="74">
                  <c:v>1.8412600000000001</c:v>
                </c:pt>
                <c:pt idx="75">
                  <c:v>1.8414600000000001</c:v>
                </c:pt>
                <c:pt idx="76">
                  <c:v>1.8418200000000002</c:v>
                </c:pt>
                <c:pt idx="77">
                  <c:v>1.8430800000000001</c:v>
                </c:pt>
                <c:pt idx="78">
                  <c:v>1.84399</c:v>
                </c:pt>
                <c:pt idx="79">
                  <c:v>1.8444199999999999</c:v>
                </c:pt>
                <c:pt idx="80">
                  <c:v>1.84348</c:v>
                </c:pt>
                <c:pt idx="81">
                  <c:v>1.8414200000000001</c:v>
                </c:pt>
                <c:pt idx="82">
                  <c:v>1.84084</c:v>
                </c:pt>
                <c:pt idx="83">
                  <c:v>1.8407100000000001</c:v>
                </c:pt>
                <c:pt idx="84">
                  <c:v>1.8434600000000001</c:v>
                </c:pt>
                <c:pt idx="85">
                  <c:v>1.8537300000000001</c:v>
                </c:pt>
                <c:pt idx="86">
                  <c:v>1.8696199999999998</c:v>
                </c:pt>
                <c:pt idx="87">
                  <c:v>1.8911500000000001</c:v>
                </c:pt>
                <c:pt idx="88">
                  <c:v>1.9111199999999999</c:v>
                </c:pt>
                <c:pt idx="89">
                  <c:v>1.9323599999999999</c:v>
                </c:pt>
                <c:pt idx="90">
                  <c:v>1.9565399999999999</c:v>
                </c:pt>
                <c:pt idx="91">
                  <c:v>1.98132</c:v>
                </c:pt>
                <c:pt idx="92">
                  <c:v>2.0085899999999999</c:v>
                </c:pt>
                <c:pt idx="93">
                  <c:v>2.0361599999999997</c:v>
                </c:pt>
                <c:pt idx="94">
                  <c:v>2.0631499999999998</c:v>
                </c:pt>
                <c:pt idx="95">
                  <c:v>2.0896300000000001</c:v>
                </c:pt>
                <c:pt idx="96">
                  <c:v>2.1140699999999999</c:v>
                </c:pt>
                <c:pt idx="97">
                  <c:v>2.1381399999999999</c:v>
                </c:pt>
                <c:pt idx="98">
                  <c:v>2.16275</c:v>
                </c:pt>
                <c:pt idx="99">
                  <c:v>2.18757</c:v>
                </c:pt>
                <c:pt idx="100">
                  <c:v>2.2111800000000001</c:v>
                </c:pt>
                <c:pt idx="101">
                  <c:v>2.2356599999999998</c:v>
                </c:pt>
                <c:pt idx="102">
                  <c:v>2.2571699999999999</c:v>
                </c:pt>
                <c:pt idx="103">
                  <c:v>2.2752500000000002</c:v>
                </c:pt>
                <c:pt idx="104">
                  <c:v>2.2904</c:v>
                </c:pt>
                <c:pt idx="105">
                  <c:v>2.3025100000000003</c:v>
                </c:pt>
                <c:pt idx="106">
                  <c:v>2.31501</c:v>
                </c:pt>
                <c:pt idx="107">
                  <c:v>2.3273799999999998</c:v>
                </c:pt>
                <c:pt idx="108">
                  <c:v>2.3399399999999999</c:v>
                </c:pt>
                <c:pt idx="109">
                  <c:v>2.35182</c:v>
                </c:pt>
                <c:pt idx="110">
                  <c:v>2.3607</c:v>
                </c:pt>
                <c:pt idx="111">
                  <c:v>2.36633</c:v>
                </c:pt>
                <c:pt idx="112">
                  <c:v>2.3675199999999998</c:v>
                </c:pt>
                <c:pt idx="113">
                  <c:v>2.3681999999999999</c:v>
                </c:pt>
                <c:pt idx="114">
                  <c:v>2.3686199999999999</c:v>
                </c:pt>
                <c:pt idx="115">
                  <c:v>2.3647</c:v>
                </c:pt>
                <c:pt idx="116">
                  <c:v>2.3594499999999998</c:v>
                </c:pt>
                <c:pt idx="117">
                  <c:v>2.3514900000000001</c:v>
                </c:pt>
                <c:pt idx="118">
                  <c:v>2.3409399999999998</c:v>
                </c:pt>
                <c:pt idx="119">
                  <c:v>2.3305799999999999</c:v>
                </c:pt>
                <c:pt idx="120">
                  <c:v>2.31996</c:v>
                </c:pt>
                <c:pt idx="121">
                  <c:v>2.30823</c:v>
                </c:pt>
                <c:pt idx="122">
                  <c:v>2.2964200000000003</c:v>
                </c:pt>
                <c:pt idx="123">
                  <c:v>2.2831099999999998</c:v>
                </c:pt>
                <c:pt idx="124">
                  <c:v>2.2742299999999998</c:v>
                </c:pt>
                <c:pt idx="125">
                  <c:v>2.2648099999999998</c:v>
                </c:pt>
                <c:pt idx="126">
                  <c:v>2.2534799999999997</c:v>
                </c:pt>
                <c:pt idx="127">
                  <c:v>2.2433900000000002</c:v>
                </c:pt>
                <c:pt idx="128">
                  <c:v>2.2364700000000002</c:v>
                </c:pt>
                <c:pt idx="129">
                  <c:v>2.2325500000000003</c:v>
                </c:pt>
                <c:pt idx="130">
                  <c:v>2.2319599999999999</c:v>
                </c:pt>
                <c:pt idx="131">
                  <c:v>2.2300400000000002</c:v>
                </c:pt>
                <c:pt idx="132">
                  <c:v>2.2269600000000001</c:v>
                </c:pt>
                <c:pt idx="133">
                  <c:v>2.22315</c:v>
                </c:pt>
                <c:pt idx="134">
                  <c:v>2.2189200000000002</c:v>
                </c:pt>
                <c:pt idx="135">
                  <c:v>2.2139500000000001</c:v>
                </c:pt>
                <c:pt idx="136">
                  <c:v>2.2084200000000003</c:v>
                </c:pt>
                <c:pt idx="137">
                  <c:v>2.2036899999999999</c:v>
                </c:pt>
                <c:pt idx="138">
                  <c:v>2.1987100000000002</c:v>
                </c:pt>
                <c:pt idx="139">
                  <c:v>2.19184</c:v>
                </c:pt>
                <c:pt idx="140">
                  <c:v>2.18614</c:v>
                </c:pt>
                <c:pt idx="141">
                  <c:v>2.1778900000000001</c:v>
                </c:pt>
                <c:pt idx="142">
                  <c:v>2.1682899999999998</c:v>
                </c:pt>
                <c:pt idx="143">
                  <c:v>2.1590100000000003</c:v>
                </c:pt>
                <c:pt idx="144">
                  <c:v>2.1497299999999999</c:v>
                </c:pt>
                <c:pt idx="145">
                  <c:v>2.1381399999999999</c:v>
                </c:pt>
                <c:pt idx="146">
                  <c:v>2.12975</c:v>
                </c:pt>
                <c:pt idx="147">
                  <c:v>2.12202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30.066199999999998</c:v>
                </c:pt>
                <c:pt idx="2">
                  <c:v>30.4709</c:v>
                </c:pt>
                <c:pt idx="3">
                  <c:v>30.879000000000001</c:v>
                </c:pt>
                <c:pt idx="4">
                  <c:v>31.281199999999998</c:v>
                </c:pt>
                <c:pt idx="5">
                  <c:v>31.687899999999999</c:v>
                </c:pt>
                <c:pt idx="6">
                  <c:v>32.097099999999998</c:v>
                </c:pt>
                <c:pt idx="7">
                  <c:v>32.504899999999999</c:v>
                </c:pt>
                <c:pt idx="8">
                  <c:v>32.906100000000002</c:v>
                </c:pt>
                <c:pt idx="9">
                  <c:v>33.312399999999997</c:v>
                </c:pt>
                <c:pt idx="10">
                  <c:v>33.719299999999997</c:v>
                </c:pt>
                <c:pt idx="11">
                  <c:v>34.127600000000001</c:v>
                </c:pt>
                <c:pt idx="12">
                  <c:v>34.534300000000002</c:v>
                </c:pt>
                <c:pt idx="13">
                  <c:v>34.9392</c:v>
                </c:pt>
                <c:pt idx="14">
                  <c:v>35.345500000000001</c:v>
                </c:pt>
                <c:pt idx="15">
                  <c:v>35.753100000000003</c:v>
                </c:pt>
                <c:pt idx="16">
                  <c:v>36.158299999999997</c:v>
                </c:pt>
                <c:pt idx="17">
                  <c:v>36.566400000000002</c:v>
                </c:pt>
                <c:pt idx="18">
                  <c:v>36.9711</c:v>
                </c:pt>
                <c:pt idx="19">
                  <c:v>37.377299999999998</c:v>
                </c:pt>
                <c:pt idx="20">
                  <c:v>37.782699999999998</c:v>
                </c:pt>
                <c:pt idx="21">
                  <c:v>38.191000000000003</c:v>
                </c:pt>
                <c:pt idx="22">
                  <c:v>38.597099999999998</c:v>
                </c:pt>
                <c:pt idx="23">
                  <c:v>39.004300000000001</c:v>
                </c:pt>
                <c:pt idx="24">
                  <c:v>39.407800000000002</c:v>
                </c:pt>
                <c:pt idx="25">
                  <c:v>39.815199999999997</c:v>
                </c:pt>
                <c:pt idx="26">
                  <c:v>40.222499999999997</c:v>
                </c:pt>
                <c:pt idx="27">
                  <c:v>40.630699999999997</c:v>
                </c:pt>
                <c:pt idx="28">
                  <c:v>41.031100000000002</c:v>
                </c:pt>
                <c:pt idx="29">
                  <c:v>41.440600000000003</c:v>
                </c:pt>
                <c:pt idx="30">
                  <c:v>41.846499999999999</c:v>
                </c:pt>
                <c:pt idx="31">
                  <c:v>42.251100000000001</c:v>
                </c:pt>
                <c:pt idx="32">
                  <c:v>42.660400000000003</c:v>
                </c:pt>
                <c:pt idx="33">
                  <c:v>43.063299999999998</c:v>
                </c:pt>
                <c:pt idx="34">
                  <c:v>43.470399999999998</c:v>
                </c:pt>
                <c:pt idx="35">
                  <c:v>43.878</c:v>
                </c:pt>
                <c:pt idx="36">
                  <c:v>44.284700000000001</c:v>
                </c:pt>
                <c:pt idx="37">
                  <c:v>44.688499999999998</c:v>
                </c:pt>
                <c:pt idx="38">
                  <c:v>45.095500000000001</c:v>
                </c:pt>
                <c:pt idx="39">
                  <c:v>45.500999999999998</c:v>
                </c:pt>
                <c:pt idx="40">
                  <c:v>45.906300000000002</c:v>
                </c:pt>
                <c:pt idx="41">
                  <c:v>46.314799999999998</c:v>
                </c:pt>
                <c:pt idx="42">
                  <c:v>46.718800000000002</c:v>
                </c:pt>
                <c:pt idx="43">
                  <c:v>47.126899999999999</c:v>
                </c:pt>
                <c:pt idx="44">
                  <c:v>47.535800000000002</c:v>
                </c:pt>
                <c:pt idx="45">
                  <c:v>47.941099999999999</c:v>
                </c:pt>
                <c:pt idx="46">
                  <c:v>48.345399999999998</c:v>
                </c:pt>
                <c:pt idx="47">
                  <c:v>48.752899999999997</c:v>
                </c:pt>
                <c:pt idx="48">
                  <c:v>49.156300000000002</c:v>
                </c:pt>
                <c:pt idx="49">
                  <c:v>49.565800000000003</c:v>
                </c:pt>
                <c:pt idx="50">
                  <c:v>49.970500000000001</c:v>
                </c:pt>
                <c:pt idx="51">
                  <c:v>50.378</c:v>
                </c:pt>
                <c:pt idx="52">
                  <c:v>50.783900000000003</c:v>
                </c:pt>
                <c:pt idx="53">
                  <c:v>51.190199999999997</c:v>
                </c:pt>
                <c:pt idx="54">
                  <c:v>51.5974</c:v>
                </c:pt>
                <c:pt idx="55">
                  <c:v>52.000799999999998</c:v>
                </c:pt>
                <c:pt idx="56">
                  <c:v>52.407200000000003</c:v>
                </c:pt>
                <c:pt idx="57">
                  <c:v>52.813600000000001</c:v>
                </c:pt>
                <c:pt idx="58">
                  <c:v>53.223300000000002</c:v>
                </c:pt>
                <c:pt idx="59">
                  <c:v>53.628999999999998</c:v>
                </c:pt>
                <c:pt idx="60">
                  <c:v>54.032600000000002</c:v>
                </c:pt>
                <c:pt idx="61">
                  <c:v>54.440100000000001</c:v>
                </c:pt>
                <c:pt idx="62">
                  <c:v>54.846800000000002</c:v>
                </c:pt>
                <c:pt idx="63">
                  <c:v>55.254199999999997</c:v>
                </c:pt>
                <c:pt idx="64">
                  <c:v>55.659700000000001</c:v>
                </c:pt>
                <c:pt idx="65">
                  <c:v>56.063299999999998</c:v>
                </c:pt>
                <c:pt idx="66">
                  <c:v>56.471800000000002</c:v>
                </c:pt>
                <c:pt idx="67">
                  <c:v>56.877899999999997</c:v>
                </c:pt>
                <c:pt idx="68">
                  <c:v>57.283499999999997</c:v>
                </c:pt>
                <c:pt idx="69">
                  <c:v>57.689500000000002</c:v>
                </c:pt>
                <c:pt idx="70">
                  <c:v>58.095399999999998</c:v>
                </c:pt>
                <c:pt idx="71">
                  <c:v>58.502699999999997</c:v>
                </c:pt>
                <c:pt idx="72">
                  <c:v>58.912700000000001</c:v>
                </c:pt>
                <c:pt idx="73">
                  <c:v>59.317</c:v>
                </c:pt>
                <c:pt idx="74">
                  <c:v>59.724400000000003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1.8421299999999998</c:v>
                </c:pt>
                <c:pt idx="1">
                  <c:v>1.8412600000000001</c:v>
                </c:pt>
                <c:pt idx="2">
                  <c:v>1.8414600000000001</c:v>
                </c:pt>
                <c:pt idx="3">
                  <c:v>1.8418200000000002</c:v>
                </c:pt>
                <c:pt idx="4">
                  <c:v>1.8430800000000001</c:v>
                </c:pt>
                <c:pt idx="5">
                  <c:v>1.84399</c:v>
                </c:pt>
                <c:pt idx="6">
                  <c:v>1.8444199999999999</c:v>
                </c:pt>
                <c:pt idx="7">
                  <c:v>1.84348</c:v>
                </c:pt>
                <c:pt idx="8">
                  <c:v>1.8414200000000001</c:v>
                </c:pt>
                <c:pt idx="9">
                  <c:v>1.84084</c:v>
                </c:pt>
                <c:pt idx="10">
                  <c:v>1.8407100000000001</c:v>
                </c:pt>
                <c:pt idx="11">
                  <c:v>1.8434600000000001</c:v>
                </c:pt>
                <c:pt idx="12">
                  <c:v>1.8537300000000001</c:v>
                </c:pt>
                <c:pt idx="13">
                  <c:v>1.8696199999999998</c:v>
                </c:pt>
                <c:pt idx="14">
                  <c:v>1.8911500000000001</c:v>
                </c:pt>
                <c:pt idx="15">
                  <c:v>1.9111199999999999</c:v>
                </c:pt>
                <c:pt idx="16">
                  <c:v>1.9323599999999999</c:v>
                </c:pt>
                <c:pt idx="17">
                  <c:v>1.9565399999999999</c:v>
                </c:pt>
                <c:pt idx="18">
                  <c:v>1.98132</c:v>
                </c:pt>
                <c:pt idx="19">
                  <c:v>2.0085899999999999</c:v>
                </c:pt>
                <c:pt idx="20">
                  <c:v>2.0361599999999997</c:v>
                </c:pt>
                <c:pt idx="21">
                  <c:v>2.0631499999999998</c:v>
                </c:pt>
                <c:pt idx="22">
                  <c:v>2.0896300000000001</c:v>
                </c:pt>
                <c:pt idx="23">
                  <c:v>2.1140699999999999</c:v>
                </c:pt>
                <c:pt idx="24">
                  <c:v>2.1381399999999999</c:v>
                </c:pt>
                <c:pt idx="25">
                  <c:v>2.16275</c:v>
                </c:pt>
                <c:pt idx="26">
                  <c:v>2.18757</c:v>
                </c:pt>
                <c:pt idx="27">
                  <c:v>2.2111800000000001</c:v>
                </c:pt>
                <c:pt idx="28">
                  <c:v>2.2356599999999998</c:v>
                </c:pt>
                <c:pt idx="29">
                  <c:v>2.2571699999999999</c:v>
                </c:pt>
                <c:pt idx="30">
                  <c:v>2.2752500000000002</c:v>
                </c:pt>
                <c:pt idx="31">
                  <c:v>2.2904</c:v>
                </c:pt>
                <c:pt idx="32">
                  <c:v>2.3025100000000003</c:v>
                </c:pt>
                <c:pt idx="33">
                  <c:v>2.31501</c:v>
                </c:pt>
                <c:pt idx="34">
                  <c:v>2.3273799999999998</c:v>
                </c:pt>
                <c:pt idx="35">
                  <c:v>2.3399399999999999</c:v>
                </c:pt>
                <c:pt idx="36">
                  <c:v>2.35182</c:v>
                </c:pt>
                <c:pt idx="37">
                  <c:v>2.3607</c:v>
                </c:pt>
                <c:pt idx="38">
                  <c:v>2.36633</c:v>
                </c:pt>
                <c:pt idx="39">
                  <c:v>2.3675199999999998</c:v>
                </c:pt>
                <c:pt idx="40">
                  <c:v>2.3681999999999999</c:v>
                </c:pt>
                <c:pt idx="41">
                  <c:v>2.3686199999999999</c:v>
                </c:pt>
                <c:pt idx="42">
                  <c:v>2.3647</c:v>
                </c:pt>
                <c:pt idx="43">
                  <c:v>2.3594499999999998</c:v>
                </c:pt>
                <c:pt idx="44">
                  <c:v>2.3514900000000001</c:v>
                </c:pt>
                <c:pt idx="45">
                  <c:v>2.3409399999999998</c:v>
                </c:pt>
                <c:pt idx="46">
                  <c:v>2.3305799999999999</c:v>
                </c:pt>
                <c:pt idx="47">
                  <c:v>2.31996</c:v>
                </c:pt>
                <c:pt idx="48">
                  <c:v>2.30823</c:v>
                </c:pt>
                <c:pt idx="49">
                  <c:v>2.2964200000000003</c:v>
                </c:pt>
                <c:pt idx="50">
                  <c:v>2.2831099999999998</c:v>
                </c:pt>
                <c:pt idx="51">
                  <c:v>2.2742299999999998</c:v>
                </c:pt>
                <c:pt idx="52">
                  <c:v>2.2648099999999998</c:v>
                </c:pt>
                <c:pt idx="53">
                  <c:v>2.2534799999999997</c:v>
                </c:pt>
                <c:pt idx="54">
                  <c:v>2.2433900000000002</c:v>
                </c:pt>
                <c:pt idx="55">
                  <c:v>2.2364700000000002</c:v>
                </c:pt>
                <c:pt idx="56">
                  <c:v>2.2325500000000003</c:v>
                </c:pt>
                <c:pt idx="57">
                  <c:v>2.2319599999999999</c:v>
                </c:pt>
                <c:pt idx="58">
                  <c:v>2.2300400000000002</c:v>
                </c:pt>
                <c:pt idx="59">
                  <c:v>2.2269600000000001</c:v>
                </c:pt>
                <c:pt idx="60">
                  <c:v>2.22315</c:v>
                </c:pt>
                <c:pt idx="61">
                  <c:v>2.2189200000000002</c:v>
                </c:pt>
                <c:pt idx="62">
                  <c:v>2.2139500000000001</c:v>
                </c:pt>
                <c:pt idx="63">
                  <c:v>2.2084200000000003</c:v>
                </c:pt>
                <c:pt idx="64">
                  <c:v>2.2036899999999999</c:v>
                </c:pt>
                <c:pt idx="65">
                  <c:v>2.1987100000000002</c:v>
                </c:pt>
                <c:pt idx="66">
                  <c:v>2.19184</c:v>
                </c:pt>
                <c:pt idx="67">
                  <c:v>2.18614</c:v>
                </c:pt>
                <c:pt idx="68">
                  <c:v>2.1778900000000001</c:v>
                </c:pt>
                <c:pt idx="69">
                  <c:v>2.1682899999999998</c:v>
                </c:pt>
                <c:pt idx="70">
                  <c:v>2.1590100000000003</c:v>
                </c:pt>
                <c:pt idx="71">
                  <c:v>2.1497299999999999</c:v>
                </c:pt>
                <c:pt idx="72">
                  <c:v>2.1381399999999999</c:v>
                </c:pt>
                <c:pt idx="73">
                  <c:v>2.12975</c:v>
                </c:pt>
                <c:pt idx="74">
                  <c:v>2.12202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14.931100000000001</c:v>
                </c:pt>
                <c:pt idx="1">
                  <c:v>44.793300000000002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1.6856852702702705</c:v>
                </c:pt>
                <c:pt idx="1">
                  <c:v>2.1491614864864865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  <c:pt idx="74">
                  <c:v>30.066199999999998</c:v>
                </c:pt>
                <c:pt idx="75">
                  <c:v>30.4709</c:v>
                </c:pt>
                <c:pt idx="76">
                  <c:v>30.879000000000001</c:v>
                </c:pt>
                <c:pt idx="77">
                  <c:v>31.281199999999998</c:v>
                </c:pt>
                <c:pt idx="78">
                  <c:v>31.687899999999999</c:v>
                </c:pt>
                <c:pt idx="79">
                  <c:v>32.097099999999998</c:v>
                </c:pt>
                <c:pt idx="80">
                  <c:v>32.504899999999999</c:v>
                </c:pt>
                <c:pt idx="81">
                  <c:v>32.906100000000002</c:v>
                </c:pt>
                <c:pt idx="82">
                  <c:v>33.312399999999997</c:v>
                </c:pt>
                <c:pt idx="83">
                  <c:v>33.719299999999997</c:v>
                </c:pt>
                <c:pt idx="84">
                  <c:v>34.127600000000001</c:v>
                </c:pt>
                <c:pt idx="85">
                  <c:v>34.534300000000002</c:v>
                </c:pt>
                <c:pt idx="86">
                  <c:v>34.9392</c:v>
                </c:pt>
                <c:pt idx="87">
                  <c:v>35.345500000000001</c:v>
                </c:pt>
                <c:pt idx="88">
                  <c:v>35.753100000000003</c:v>
                </c:pt>
                <c:pt idx="89">
                  <c:v>36.158299999999997</c:v>
                </c:pt>
                <c:pt idx="90">
                  <c:v>36.566400000000002</c:v>
                </c:pt>
                <c:pt idx="91">
                  <c:v>36.9711</c:v>
                </c:pt>
                <c:pt idx="92">
                  <c:v>37.377299999999998</c:v>
                </c:pt>
                <c:pt idx="93">
                  <c:v>37.782699999999998</c:v>
                </c:pt>
                <c:pt idx="94">
                  <c:v>38.191000000000003</c:v>
                </c:pt>
                <c:pt idx="95">
                  <c:v>38.597099999999998</c:v>
                </c:pt>
                <c:pt idx="96">
                  <c:v>39.004300000000001</c:v>
                </c:pt>
                <c:pt idx="97">
                  <c:v>39.407800000000002</c:v>
                </c:pt>
                <c:pt idx="98">
                  <c:v>39.815199999999997</c:v>
                </c:pt>
                <c:pt idx="99">
                  <c:v>40.222499999999997</c:v>
                </c:pt>
                <c:pt idx="100">
                  <c:v>40.630699999999997</c:v>
                </c:pt>
                <c:pt idx="101">
                  <c:v>41.031100000000002</c:v>
                </c:pt>
                <c:pt idx="102">
                  <c:v>41.440600000000003</c:v>
                </c:pt>
                <c:pt idx="103">
                  <c:v>41.846499999999999</c:v>
                </c:pt>
                <c:pt idx="104">
                  <c:v>42.251100000000001</c:v>
                </c:pt>
                <c:pt idx="105">
                  <c:v>42.660400000000003</c:v>
                </c:pt>
                <c:pt idx="106">
                  <c:v>43.063299999999998</c:v>
                </c:pt>
                <c:pt idx="107">
                  <c:v>43.470399999999998</c:v>
                </c:pt>
                <c:pt idx="108">
                  <c:v>43.878</c:v>
                </c:pt>
                <c:pt idx="109">
                  <c:v>44.284700000000001</c:v>
                </c:pt>
                <c:pt idx="110">
                  <c:v>44.688499999999998</c:v>
                </c:pt>
                <c:pt idx="111">
                  <c:v>45.095500000000001</c:v>
                </c:pt>
                <c:pt idx="112">
                  <c:v>45.500999999999998</c:v>
                </c:pt>
                <c:pt idx="113">
                  <c:v>45.906300000000002</c:v>
                </c:pt>
                <c:pt idx="114">
                  <c:v>46.314799999999998</c:v>
                </c:pt>
                <c:pt idx="115">
                  <c:v>46.718800000000002</c:v>
                </c:pt>
                <c:pt idx="116">
                  <c:v>47.126899999999999</c:v>
                </c:pt>
                <c:pt idx="117">
                  <c:v>47.535800000000002</c:v>
                </c:pt>
                <c:pt idx="118">
                  <c:v>47.941099999999999</c:v>
                </c:pt>
                <c:pt idx="119">
                  <c:v>48.345399999999998</c:v>
                </c:pt>
                <c:pt idx="120">
                  <c:v>48.752899999999997</c:v>
                </c:pt>
                <c:pt idx="121">
                  <c:v>49.156300000000002</c:v>
                </c:pt>
                <c:pt idx="122">
                  <c:v>49.565800000000003</c:v>
                </c:pt>
                <c:pt idx="123">
                  <c:v>49.970500000000001</c:v>
                </c:pt>
                <c:pt idx="124">
                  <c:v>50.378</c:v>
                </c:pt>
                <c:pt idx="125">
                  <c:v>50.783900000000003</c:v>
                </c:pt>
                <c:pt idx="126">
                  <c:v>51.190199999999997</c:v>
                </c:pt>
                <c:pt idx="127">
                  <c:v>51.5974</c:v>
                </c:pt>
                <c:pt idx="128">
                  <c:v>52.000799999999998</c:v>
                </c:pt>
                <c:pt idx="129">
                  <c:v>52.407200000000003</c:v>
                </c:pt>
                <c:pt idx="130">
                  <c:v>52.813600000000001</c:v>
                </c:pt>
                <c:pt idx="131">
                  <c:v>53.223300000000002</c:v>
                </c:pt>
                <c:pt idx="132">
                  <c:v>53.628999999999998</c:v>
                </c:pt>
                <c:pt idx="133">
                  <c:v>54.032600000000002</c:v>
                </c:pt>
                <c:pt idx="134">
                  <c:v>54.440100000000001</c:v>
                </c:pt>
                <c:pt idx="135">
                  <c:v>54.846800000000002</c:v>
                </c:pt>
                <c:pt idx="136">
                  <c:v>55.254199999999997</c:v>
                </c:pt>
                <c:pt idx="137">
                  <c:v>55.659700000000001</c:v>
                </c:pt>
                <c:pt idx="138">
                  <c:v>56.063299999999998</c:v>
                </c:pt>
                <c:pt idx="139">
                  <c:v>56.471800000000002</c:v>
                </c:pt>
                <c:pt idx="140">
                  <c:v>56.877899999999997</c:v>
                </c:pt>
                <c:pt idx="141">
                  <c:v>57.283499999999997</c:v>
                </c:pt>
                <c:pt idx="142">
                  <c:v>57.689500000000002</c:v>
                </c:pt>
                <c:pt idx="143">
                  <c:v>58.095399999999998</c:v>
                </c:pt>
                <c:pt idx="144">
                  <c:v>58.502699999999997</c:v>
                </c:pt>
                <c:pt idx="145">
                  <c:v>58.912700000000001</c:v>
                </c:pt>
                <c:pt idx="146">
                  <c:v>59.317</c:v>
                </c:pt>
                <c:pt idx="147">
                  <c:v>59.724400000000003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  <c:pt idx="74">
                  <c:v>54.377200000000002</c:v>
                </c:pt>
                <c:pt idx="75">
                  <c:v>54.680199999999999</c:v>
                </c:pt>
                <c:pt idx="76">
                  <c:v>54.947500000000005</c:v>
                </c:pt>
                <c:pt idx="77">
                  <c:v>55.181100000000008</c:v>
                </c:pt>
                <c:pt idx="78">
                  <c:v>55.419499999999999</c:v>
                </c:pt>
                <c:pt idx="79">
                  <c:v>55.677</c:v>
                </c:pt>
                <c:pt idx="80">
                  <c:v>55.923699999999997</c:v>
                </c:pt>
                <c:pt idx="81">
                  <c:v>56.188700000000004</c:v>
                </c:pt>
                <c:pt idx="82">
                  <c:v>56.420099999999998</c:v>
                </c:pt>
                <c:pt idx="83">
                  <c:v>56.607799999999997</c:v>
                </c:pt>
                <c:pt idx="84">
                  <c:v>56.756300000000003</c:v>
                </c:pt>
                <c:pt idx="85">
                  <c:v>56.804000000000002</c:v>
                </c:pt>
                <c:pt idx="86">
                  <c:v>56.762500000000003</c:v>
                </c:pt>
                <c:pt idx="87">
                  <c:v>56.611999999999995</c:v>
                </c:pt>
                <c:pt idx="88">
                  <c:v>56.500700000000002</c:v>
                </c:pt>
                <c:pt idx="89">
                  <c:v>56.361499999999999</c:v>
                </c:pt>
                <c:pt idx="90">
                  <c:v>56.049400000000006</c:v>
                </c:pt>
                <c:pt idx="91">
                  <c:v>55.605099999999993</c:v>
                </c:pt>
                <c:pt idx="92">
                  <c:v>55.074800000000003</c:v>
                </c:pt>
                <c:pt idx="93">
                  <c:v>54.480499999999999</c:v>
                </c:pt>
                <c:pt idx="94">
                  <c:v>53.976300000000002</c:v>
                </c:pt>
                <c:pt idx="95">
                  <c:v>53.495199999999997</c:v>
                </c:pt>
                <c:pt idx="96">
                  <c:v>53.009700000000002</c:v>
                </c:pt>
                <c:pt idx="97">
                  <c:v>52.590400000000002</c:v>
                </c:pt>
                <c:pt idx="98">
                  <c:v>52.112199999999994</c:v>
                </c:pt>
                <c:pt idx="99">
                  <c:v>51.64</c:v>
                </c:pt>
                <c:pt idx="100">
                  <c:v>51.224400000000003</c:v>
                </c:pt>
                <c:pt idx="101">
                  <c:v>50.802199999999999</c:v>
                </c:pt>
                <c:pt idx="102">
                  <c:v>50.463499999999996</c:v>
                </c:pt>
                <c:pt idx="103">
                  <c:v>50.239100000000001</c:v>
                </c:pt>
                <c:pt idx="104">
                  <c:v>50.040700000000001</c:v>
                </c:pt>
                <c:pt idx="105">
                  <c:v>49.793799999999997</c:v>
                </c:pt>
                <c:pt idx="106">
                  <c:v>49.47</c:v>
                </c:pt>
                <c:pt idx="107">
                  <c:v>49.153300000000002</c:v>
                </c:pt>
                <c:pt idx="108">
                  <c:v>48.8628</c:v>
                </c:pt>
                <c:pt idx="109">
                  <c:v>48.599699999999999</c:v>
                </c:pt>
                <c:pt idx="110">
                  <c:v>48.295200000000001</c:v>
                </c:pt>
                <c:pt idx="111">
                  <c:v>47.972999999999999</c:v>
                </c:pt>
                <c:pt idx="112">
                  <c:v>47.675800000000002</c:v>
                </c:pt>
                <c:pt idx="113">
                  <c:v>47.387900000000002</c:v>
                </c:pt>
                <c:pt idx="114">
                  <c:v>47.113799999999998</c:v>
                </c:pt>
                <c:pt idx="115">
                  <c:v>46.965899999999998</c:v>
                </c:pt>
                <c:pt idx="116">
                  <c:v>46.889099999999999</c:v>
                </c:pt>
                <c:pt idx="117">
                  <c:v>46.863399999999999</c:v>
                </c:pt>
                <c:pt idx="118">
                  <c:v>46.858600000000003</c:v>
                </c:pt>
                <c:pt idx="119">
                  <c:v>46.800399999999996</c:v>
                </c:pt>
                <c:pt idx="120">
                  <c:v>46.738900000000001</c:v>
                </c:pt>
                <c:pt idx="121">
                  <c:v>46.720299999999995</c:v>
                </c:pt>
                <c:pt idx="122">
                  <c:v>46.7014</c:v>
                </c:pt>
                <c:pt idx="123">
                  <c:v>46.748100000000001</c:v>
                </c:pt>
                <c:pt idx="124">
                  <c:v>46.7742</c:v>
                </c:pt>
                <c:pt idx="125">
                  <c:v>46.794499999999999</c:v>
                </c:pt>
                <c:pt idx="126">
                  <c:v>46.874099999999999</c:v>
                </c:pt>
                <c:pt idx="127">
                  <c:v>46.917900000000003</c:v>
                </c:pt>
                <c:pt idx="128">
                  <c:v>46.879599999999996</c:v>
                </c:pt>
                <c:pt idx="129">
                  <c:v>46.788400000000003</c:v>
                </c:pt>
                <c:pt idx="130">
                  <c:v>46.771700000000003</c:v>
                </c:pt>
                <c:pt idx="131">
                  <c:v>46.881799999999998</c:v>
                </c:pt>
                <c:pt idx="132">
                  <c:v>47.0139</c:v>
                </c:pt>
                <c:pt idx="133">
                  <c:v>47.139600000000002</c:v>
                </c:pt>
                <c:pt idx="134">
                  <c:v>47.258899999999997</c:v>
                </c:pt>
                <c:pt idx="135">
                  <c:v>47.408200000000001</c:v>
                </c:pt>
                <c:pt idx="136">
                  <c:v>47.550199999999997</c:v>
                </c:pt>
                <c:pt idx="137">
                  <c:v>47.5961</c:v>
                </c:pt>
                <c:pt idx="138">
                  <c:v>47.611599999999996</c:v>
                </c:pt>
                <c:pt idx="139">
                  <c:v>47.677399999999999</c:v>
                </c:pt>
                <c:pt idx="140">
                  <c:v>47.5518</c:v>
                </c:pt>
                <c:pt idx="141">
                  <c:v>47.534799999999997</c:v>
                </c:pt>
                <c:pt idx="142">
                  <c:v>47.497699999999995</c:v>
                </c:pt>
                <c:pt idx="143">
                  <c:v>47.558799999999998</c:v>
                </c:pt>
                <c:pt idx="144">
                  <c:v>47.811900000000001</c:v>
                </c:pt>
                <c:pt idx="145">
                  <c:v>48.204099999999997</c:v>
                </c:pt>
                <c:pt idx="146">
                  <c:v>48.468000000000004</c:v>
                </c:pt>
                <c:pt idx="147">
                  <c:v>48.758899999999997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0.40813700000000003</c:v>
                </c:pt>
                <c:pt idx="2">
                  <c:v>0.81599299999999997</c:v>
                </c:pt>
                <c:pt idx="3">
                  <c:v>1.22113</c:v>
                </c:pt>
                <c:pt idx="4">
                  <c:v>1.62632</c:v>
                </c:pt>
                <c:pt idx="5">
                  <c:v>2.0325600000000001</c:v>
                </c:pt>
                <c:pt idx="6">
                  <c:v>2.4383300000000001</c:v>
                </c:pt>
                <c:pt idx="7">
                  <c:v>2.8442400000000001</c:v>
                </c:pt>
                <c:pt idx="8">
                  <c:v>3.25271</c:v>
                </c:pt>
                <c:pt idx="9">
                  <c:v>3.66147</c:v>
                </c:pt>
                <c:pt idx="10">
                  <c:v>4.06616</c:v>
                </c:pt>
                <c:pt idx="11">
                  <c:v>4.4719199999999999</c:v>
                </c:pt>
                <c:pt idx="12">
                  <c:v>4.8791399999999996</c:v>
                </c:pt>
                <c:pt idx="13">
                  <c:v>5.2841699999999996</c:v>
                </c:pt>
                <c:pt idx="14">
                  <c:v>5.6886999999999999</c:v>
                </c:pt>
                <c:pt idx="15">
                  <c:v>6.0952799999999998</c:v>
                </c:pt>
                <c:pt idx="16">
                  <c:v>6.5028699999999997</c:v>
                </c:pt>
                <c:pt idx="17">
                  <c:v>6.9124299999999996</c:v>
                </c:pt>
                <c:pt idx="18">
                  <c:v>7.3124799999999999</c:v>
                </c:pt>
                <c:pt idx="19">
                  <c:v>7.7199499999999999</c:v>
                </c:pt>
                <c:pt idx="20">
                  <c:v>8.1267700000000005</c:v>
                </c:pt>
                <c:pt idx="21">
                  <c:v>8.5349500000000003</c:v>
                </c:pt>
                <c:pt idx="22">
                  <c:v>8.9405900000000003</c:v>
                </c:pt>
                <c:pt idx="23">
                  <c:v>9.3443400000000008</c:v>
                </c:pt>
                <c:pt idx="24">
                  <c:v>9.7531400000000001</c:v>
                </c:pt>
                <c:pt idx="25">
                  <c:v>10.1556</c:v>
                </c:pt>
                <c:pt idx="26">
                  <c:v>10.5647</c:v>
                </c:pt>
                <c:pt idx="27">
                  <c:v>10.970499999999999</c:v>
                </c:pt>
                <c:pt idx="28">
                  <c:v>11.3744</c:v>
                </c:pt>
                <c:pt idx="29">
                  <c:v>11.782400000000001</c:v>
                </c:pt>
                <c:pt idx="30">
                  <c:v>12.1907</c:v>
                </c:pt>
                <c:pt idx="31">
                  <c:v>12.5928</c:v>
                </c:pt>
                <c:pt idx="32">
                  <c:v>12.9991</c:v>
                </c:pt>
                <c:pt idx="33">
                  <c:v>13.409800000000001</c:v>
                </c:pt>
                <c:pt idx="34">
                  <c:v>13.814399999999999</c:v>
                </c:pt>
                <c:pt idx="35">
                  <c:v>14.220700000000001</c:v>
                </c:pt>
                <c:pt idx="36">
                  <c:v>14.627800000000001</c:v>
                </c:pt>
                <c:pt idx="37">
                  <c:v>15.030900000000001</c:v>
                </c:pt>
                <c:pt idx="38">
                  <c:v>15.440099999999999</c:v>
                </c:pt>
                <c:pt idx="39">
                  <c:v>15.8462</c:v>
                </c:pt>
                <c:pt idx="40">
                  <c:v>16.252700000000001</c:v>
                </c:pt>
                <c:pt idx="41">
                  <c:v>16.655799999999999</c:v>
                </c:pt>
                <c:pt idx="42">
                  <c:v>17.063600000000001</c:v>
                </c:pt>
                <c:pt idx="43">
                  <c:v>17.472300000000001</c:v>
                </c:pt>
                <c:pt idx="44">
                  <c:v>17.8765</c:v>
                </c:pt>
                <c:pt idx="45">
                  <c:v>18.284500000000001</c:v>
                </c:pt>
                <c:pt idx="46">
                  <c:v>18.6891</c:v>
                </c:pt>
                <c:pt idx="47">
                  <c:v>19.098400000000002</c:v>
                </c:pt>
                <c:pt idx="48">
                  <c:v>19.504100000000001</c:v>
                </c:pt>
                <c:pt idx="49">
                  <c:v>19.909800000000001</c:v>
                </c:pt>
                <c:pt idx="50">
                  <c:v>20.314599999999999</c:v>
                </c:pt>
                <c:pt idx="51">
                  <c:v>20.718699999999998</c:v>
                </c:pt>
                <c:pt idx="52">
                  <c:v>21.126200000000001</c:v>
                </c:pt>
                <c:pt idx="53">
                  <c:v>21.530999999999999</c:v>
                </c:pt>
                <c:pt idx="54">
                  <c:v>21.938500000000001</c:v>
                </c:pt>
                <c:pt idx="55">
                  <c:v>22.344999999999999</c:v>
                </c:pt>
                <c:pt idx="56">
                  <c:v>22.753599999999999</c:v>
                </c:pt>
                <c:pt idx="57">
                  <c:v>23.158999999999999</c:v>
                </c:pt>
                <c:pt idx="58">
                  <c:v>23.566099999999999</c:v>
                </c:pt>
                <c:pt idx="59">
                  <c:v>23.973800000000001</c:v>
                </c:pt>
                <c:pt idx="60">
                  <c:v>24.381900000000002</c:v>
                </c:pt>
                <c:pt idx="61">
                  <c:v>24.783799999999999</c:v>
                </c:pt>
                <c:pt idx="62">
                  <c:v>25.189699999999998</c:v>
                </c:pt>
                <c:pt idx="63">
                  <c:v>25.597300000000001</c:v>
                </c:pt>
                <c:pt idx="64">
                  <c:v>26.0032</c:v>
                </c:pt>
                <c:pt idx="65">
                  <c:v>26.4072</c:v>
                </c:pt>
                <c:pt idx="66">
                  <c:v>26.8156</c:v>
                </c:pt>
                <c:pt idx="67">
                  <c:v>27.223199999999999</c:v>
                </c:pt>
                <c:pt idx="68">
                  <c:v>27.629799999999999</c:v>
                </c:pt>
                <c:pt idx="69">
                  <c:v>28.034800000000001</c:v>
                </c:pt>
                <c:pt idx="70">
                  <c:v>28.440300000000001</c:v>
                </c:pt>
                <c:pt idx="71">
                  <c:v>28.8445</c:v>
                </c:pt>
                <c:pt idx="72">
                  <c:v>29.252199999999998</c:v>
                </c:pt>
                <c:pt idx="73">
                  <c:v>29.6616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30.066199999999998</c:v>
                </c:pt>
                <c:pt idx="2">
                  <c:v>30.4709</c:v>
                </c:pt>
                <c:pt idx="3">
                  <c:v>30.879000000000001</c:v>
                </c:pt>
                <c:pt idx="4">
                  <c:v>31.281199999999998</c:v>
                </c:pt>
                <c:pt idx="5">
                  <c:v>31.687899999999999</c:v>
                </c:pt>
                <c:pt idx="6">
                  <c:v>32.097099999999998</c:v>
                </c:pt>
                <c:pt idx="7">
                  <c:v>32.504899999999999</c:v>
                </c:pt>
                <c:pt idx="8">
                  <c:v>32.906100000000002</c:v>
                </c:pt>
                <c:pt idx="9">
                  <c:v>33.312399999999997</c:v>
                </c:pt>
                <c:pt idx="10">
                  <c:v>33.719299999999997</c:v>
                </c:pt>
                <c:pt idx="11">
                  <c:v>34.127600000000001</c:v>
                </c:pt>
                <c:pt idx="12">
                  <c:v>34.534300000000002</c:v>
                </c:pt>
                <c:pt idx="13">
                  <c:v>34.9392</c:v>
                </c:pt>
                <c:pt idx="14">
                  <c:v>35.345500000000001</c:v>
                </c:pt>
                <c:pt idx="15">
                  <c:v>35.753100000000003</c:v>
                </c:pt>
                <c:pt idx="16">
                  <c:v>36.158299999999997</c:v>
                </c:pt>
                <c:pt idx="17">
                  <c:v>36.566400000000002</c:v>
                </c:pt>
                <c:pt idx="18">
                  <c:v>36.9711</c:v>
                </c:pt>
                <c:pt idx="19">
                  <c:v>37.377299999999998</c:v>
                </c:pt>
                <c:pt idx="20">
                  <c:v>37.782699999999998</c:v>
                </c:pt>
                <c:pt idx="21">
                  <c:v>38.191000000000003</c:v>
                </c:pt>
                <c:pt idx="22">
                  <c:v>38.597099999999998</c:v>
                </c:pt>
                <c:pt idx="23">
                  <c:v>39.004300000000001</c:v>
                </c:pt>
                <c:pt idx="24">
                  <c:v>39.407800000000002</c:v>
                </c:pt>
                <c:pt idx="25">
                  <c:v>39.815199999999997</c:v>
                </c:pt>
                <c:pt idx="26">
                  <c:v>40.222499999999997</c:v>
                </c:pt>
                <c:pt idx="27">
                  <c:v>40.630699999999997</c:v>
                </c:pt>
                <c:pt idx="28">
                  <c:v>41.031100000000002</c:v>
                </c:pt>
                <c:pt idx="29">
                  <c:v>41.440600000000003</c:v>
                </c:pt>
                <c:pt idx="30">
                  <c:v>41.846499999999999</c:v>
                </c:pt>
                <c:pt idx="31">
                  <c:v>42.251100000000001</c:v>
                </c:pt>
                <c:pt idx="32">
                  <c:v>42.660400000000003</c:v>
                </c:pt>
                <c:pt idx="33">
                  <c:v>43.063299999999998</c:v>
                </c:pt>
                <c:pt idx="34">
                  <c:v>43.470399999999998</c:v>
                </c:pt>
                <c:pt idx="35">
                  <c:v>43.878</c:v>
                </c:pt>
                <c:pt idx="36">
                  <c:v>44.284700000000001</c:v>
                </c:pt>
                <c:pt idx="37">
                  <c:v>44.688499999999998</c:v>
                </c:pt>
                <c:pt idx="38">
                  <c:v>45.095500000000001</c:v>
                </c:pt>
                <c:pt idx="39">
                  <c:v>45.500999999999998</c:v>
                </c:pt>
                <c:pt idx="40">
                  <c:v>45.906300000000002</c:v>
                </c:pt>
                <c:pt idx="41">
                  <c:v>46.314799999999998</c:v>
                </c:pt>
                <c:pt idx="42">
                  <c:v>46.718800000000002</c:v>
                </c:pt>
                <c:pt idx="43">
                  <c:v>47.126899999999999</c:v>
                </c:pt>
                <c:pt idx="44">
                  <c:v>47.535800000000002</c:v>
                </c:pt>
                <c:pt idx="45">
                  <c:v>47.941099999999999</c:v>
                </c:pt>
                <c:pt idx="46">
                  <c:v>48.345399999999998</c:v>
                </c:pt>
                <c:pt idx="47">
                  <c:v>48.752899999999997</c:v>
                </c:pt>
                <c:pt idx="48">
                  <c:v>49.156300000000002</c:v>
                </c:pt>
                <c:pt idx="49">
                  <c:v>49.565800000000003</c:v>
                </c:pt>
                <c:pt idx="50">
                  <c:v>49.970500000000001</c:v>
                </c:pt>
                <c:pt idx="51">
                  <c:v>50.378</c:v>
                </c:pt>
                <c:pt idx="52">
                  <c:v>50.783900000000003</c:v>
                </c:pt>
                <c:pt idx="53">
                  <c:v>51.190199999999997</c:v>
                </c:pt>
                <c:pt idx="54">
                  <c:v>51.5974</c:v>
                </c:pt>
                <c:pt idx="55">
                  <c:v>52.000799999999998</c:v>
                </c:pt>
                <c:pt idx="56">
                  <c:v>52.407200000000003</c:v>
                </c:pt>
                <c:pt idx="57">
                  <c:v>52.813600000000001</c:v>
                </c:pt>
                <c:pt idx="58">
                  <c:v>53.223300000000002</c:v>
                </c:pt>
                <c:pt idx="59">
                  <c:v>53.628999999999998</c:v>
                </c:pt>
                <c:pt idx="60">
                  <c:v>54.032600000000002</c:v>
                </c:pt>
                <c:pt idx="61">
                  <c:v>54.440100000000001</c:v>
                </c:pt>
                <c:pt idx="62">
                  <c:v>54.846800000000002</c:v>
                </c:pt>
                <c:pt idx="63">
                  <c:v>55.254199999999997</c:v>
                </c:pt>
                <c:pt idx="64">
                  <c:v>55.659700000000001</c:v>
                </c:pt>
                <c:pt idx="65">
                  <c:v>56.063299999999998</c:v>
                </c:pt>
                <c:pt idx="66">
                  <c:v>56.471800000000002</c:v>
                </c:pt>
                <c:pt idx="67">
                  <c:v>56.877899999999997</c:v>
                </c:pt>
                <c:pt idx="68">
                  <c:v>57.283499999999997</c:v>
                </c:pt>
                <c:pt idx="69">
                  <c:v>57.689500000000002</c:v>
                </c:pt>
                <c:pt idx="70">
                  <c:v>58.095399999999998</c:v>
                </c:pt>
                <c:pt idx="71">
                  <c:v>58.502699999999997</c:v>
                </c:pt>
                <c:pt idx="72">
                  <c:v>58.912700000000001</c:v>
                </c:pt>
                <c:pt idx="73">
                  <c:v>59.317</c:v>
                </c:pt>
                <c:pt idx="74">
                  <c:v>59.724400000000003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54.054299999999998</c:v>
                </c:pt>
                <c:pt idx="1">
                  <c:v>54.377200000000002</c:v>
                </c:pt>
                <c:pt idx="2">
                  <c:v>54.680199999999999</c:v>
                </c:pt>
                <c:pt idx="3">
                  <c:v>54.947500000000005</c:v>
                </c:pt>
                <c:pt idx="4">
                  <c:v>55.181100000000008</c:v>
                </c:pt>
                <c:pt idx="5">
                  <c:v>55.419499999999999</c:v>
                </c:pt>
                <c:pt idx="6">
                  <c:v>55.677</c:v>
                </c:pt>
                <c:pt idx="7">
                  <c:v>55.923699999999997</c:v>
                </c:pt>
                <c:pt idx="8">
                  <c:v>56.188700000000004</c:v>
                </c:pt>
                <c:pt idx="9">
                  <c:v>56.420099999999998</c:v>
                </c:pt>
                <c:pt idx="10">
                  <c:v>56.607799999999997</c:v>
                </c:pt>
                <c:pt idx="11">
                  <c:v>56.756300000000003</c:v>
                </c:pt>
                <c:pt idx="12">
                  <c:v>56.804000000000002</c:v>
                </c:pt>
                <c:pt idx="13">
                  <c:v>56.762500000000003</c:v>
                </c:pt>
                <c:pt idx="14">
                  <c:v>56.611999999999995</c:v>
                </c:pt>
                <c:pt idx="15">
                  <c:v>56.500700000000002</c:v>
                </c:pt>
                <c:pt idx="16">
                  <c:v>56.361499999999999</c:v>
                </c:pt>
                <c:pt idx="17">
                  <c:v>56.049400000000006</c:v>
                </c:pt>
                <c:pt idx="18">
                  <c:v>55.605099999999993</c:v>
                </c:pt>
                <c:pt idx="19">
                  <c:v>55.074800000000003</c:v>
                </c:pt>
                <c:pt idx="20">
                  <c:v>54.480499999999999</c:v>
                </c:pt>
                <c:pt idx="21">
                  <c:v>53.976300000000002</c:v>
                </c:pt>
                <c:pt idx="22">
                  <c:v>53.495199999999997</c:v>
                </c:pt>
                <c:pt idx="23">
                  <c:v>53.009700000000002</c:v>
                </c:pt>
                <c:pt idx="24">
                  <c:v>52.590400000000002</c:v>
                </c:pt>
                <c:pt idx="25">
                  <c:v>52.112199999999994</c:v>
                </c:pt>
                <c:pt idx="26">
                  <c:v>51.64</c:v>
                </c:pt>
                <c:pt idx="27">
                  <c:v>51.224400000000003</c:v>
                </c:pt>
                <c:pt idx="28">
                  <c:v>50.802199999999999</c:v>
                </c:pt>
                <c:pt idx="29">
                  <c:v>50.463499999999996</c:v>
                </c:pt>
                <c:pt idx="30">
                  <c:v>50.239100000000001</c:v>
                </c:pt>
                <c:pt idx="31">
                  <c:v>50.040700000000001</c:v>
                </c:pt>
                <c:pt idx="32">
                  <c:v>49.793799999999997</c:v>
                </c:pt>
                <c:pt idx="33">
                  <c:v>49.47</c:v>
                </c:pt>
                <c:pt idx="34">
                  <c:v>49.153300000000002</c:v>
                </c:pt>
                <c:pt idx="35">
                  <c:v>48.8628</c:v>
                </c:pt>
                <c:pt idx="36">
                  <c:v>48.599699999999999</c:v>
                </c:pt>
                <c:pt idx="37">
                  <c:v>48.295200000000001</c:v>
                </c:pt>
                <c:pt idx="38">
                  <c:v>47.972999999999999</c:v>
                </c:pt>
                <c:pt idx="39">
                  <c:v>47.675800000000002</c:v>
                </c:pt>
                <c:pt idx="40">
                  <c:v>47.387900000000002</c:v>
                </c:pt>
                <c:pt idx="41">
                  <c:v>47.113799999999998</c:v>
                </c:pt>
                <c:pt idx="42">
                  <c:v>46.965899999999998</c:v>
                </c:pt>
                <c:pt idx="43">
                  <c:v>46.889099999999999</c:v>
                </c:pt>
                <c:pt idx="44">
                  <c:v>46.863399999999999</c:v>
                </c:pt>
                <c:pt idx="45">
                  <c:v>46.858600000000003</c:v>
                </c:pt>
                <c:pt idx="46">
                  <c:v>46.800399999999996</c:v>
                </c:pt>
                <c:pt idx="47">
                  <c:v>46.738900000000001</c:v>
                </c:pt>
                <c:pt idx="48">
                  <c:v>46.720299999999995</c:v>
                </c:pt>
                <c:pt idx="49">
                  <c:v>46.7014</c:v>
                </c:pt>
                <c:pt idx="50">
                  <c:v>46.748100000000001</c:v>
                </c:pt>
                <c:pt idx="51">
                  <c:v>46.7742</c:v>
                </c:pt>
                <c:pt idx="52">
                  <c:v>46.794499999999999</c:v>
                </c:pt>
                <c:pt idx="53">
                  <c:v>46.874099999999999</c:v>
                </c:pt>
                <c:pt idx="54">
                  <c:v>46.917900000000003</c:v>
                </c:pt>
                <c:pt idx="55">
                  <c:v>46.879599999999996</c:v>
                </c:pt>
                <c:pt idx="56">
                  <c:v>46.788400000000003</c:v>
                </c:pt>
                <c:pt idx="57">
                  <c:v>46.771700000000003</c:v>
                </c:pt>
                <c:pt idx="58">
                  <c:v>46.881799999999998</c:v>
                </c:pt>
                <c:pt idx="59">
                  <c:v>47.0139</c:v>
                </c:pt>
                <c:pt idx="60">
                  <c:v>47.139600000000002</c:v>
                </c:pt>
                <c:pt idx="61">
                  <c:v>47.258899999999997</c:v>
                </c:pt>
                <c:pt idx="62">
                  <c:v>47.408200000000001</c:v>
                </c:pt>
                <c:pt idx="63">
                  <c:v>47.550199999999997</c:v>
                </c:pt>
                <c:pt idx="64">
                  <c:v>47.5961</c:v>
                </c:pt>
                <c:pt idx="65">
                  <c:v>47.611599999999996</c:v>
                </c:pt>
                <c:pt idx="66">
                  <c:v>47.677399999999999</c:v>
                </c:pt>
                <c:pt idx="67">
                  <c:v>47.5518</c:v>
                </c:pt>
                <c:pt idx="68">
                  <c:v>47.534799999999997</c:v>
                </c:pt>
                <c:pt idx="69">
                  <c:v>47.497699999999995</c:v>
                </c:pt>
                <c:pt idx="70">
                  <c:v>47.558799999999998</c:v>
                </c:pt>
                <c:pt idx="71">
                  <c:v>47.811900000000001</c:v>
                </c:pt>
                <c:pt idx="72">
                  <c:v>48.204099999999997</c:v>
                </c:pt>
                <c:pt idx="73">
                  <c:v>48.468000000000004</c:v>
                </c:pt>
                <c:pt idx="74">
                  <c:v>48.758899999999997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14.931100000000001</c:v>
                </c:pt>
                <c:pt idx="1">
                  <c:v>44.793300000000002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59.239728378378352</c:v>
                </c:pt>
                <c:pt idx="1">
                  <c:v>50.391335135135151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  <c:pt idx="74">
                  <c:v>1.8412600000000001</c:v>
                </c:pt>
                <c:pt idx="75">
                  <c:v>1.8414600000000001</c:v>
                </c:pt>
                <c:pt idx="76">
                  <c:v>1.8418200000000002</c:v>
                </c:pt>
                <c:pt idx="77">
                  <c:v>1.8430800000000001</c:v>
                </c:pt>
                <c:pt idx="78">
                  <c:v>1.84399</c:v>
                </c:pt>
                <c:pt idx="79">
                  <c:v>1.8444199999999999</c:v>
                </c:pt>
                <c:pt idx="80">
                  <c:v>1.84348</c:v>
                </c:pt>
                <c:pt idx="81">
                  <c:v>1.8414200000000001</c:v>
                </c:pt>
                <c:pt idx="82">
                  <c:v>1.84084</c:v>
                </c:pt>
                <c:pt idx="83">
                  <c:v>1.8407100000000001</c:v>
                </c:pt>
                <c:pt idx="84">
                  <c:v>1.8434600000000001</c:v>
                </c:pt>
                <c:pt idx="85">
                  <c:v>1.8537300000000001</c:v>
                </c:pt>
                <c:pt idx="86">
                  <c:v>1.8696199999999998</c:v>
                </c:pt>
                <c:pt idx="87">
                  <c:v>1.8911500000000001</c:v>
                </c:pt>
                <c:pt idx="88">
                  <c:v>1.9111199999999999</c:v>
                </c:pt>
                <c:pt idx="89">
                  <c:v>1.9323599999999999</c:v>
                </c:pt>
                <c:pt idx="90">
                  <c:v>1.9565399999999999</c:v>
                </c:pt>
                <c:pt idx="91">
                  <c:v>1.98132</c:v>
                </c:pt>
                <c:pt idx="92">
                  <c:v>2.0085899999999999</c:v>
                </c:pt>
                <c:pt idx="93">
                  <c:v>2.0361599999999997</c:v>
                </c:pt>
                <c:pt idx="94">
                  <c:v>2.0631499999999998</c:v>
                </c:pt>
                <c:pt idx="95">
                  <c:v>2.0896300000000001</c:v>
                </c:pt>
                <c:pt idx="96">
                  <c:v>2.1140699999999999</c:v>
                </c:pt>
                <c:pt idx="97">
                  <c:v>2.1381399999999999</c:v>
                </c:pt>
                <c:pt idx="98">
                  <c:v>2.16275</c:v>
                </c:pt>
                <c:pt idx="99">
                  <c:v>2.18757</c:v>
                </c:pt>
                <c:pt idx="100">
                  <c:v>2.2111800000000001</c:v>
                </c:pt>
                <c:pt idx="101">
                  <c:v>2.2356599999999998</c:v>
                </c:pt>
                <c:pt idx="102">
                  <c:v>2.2571699999999999</c:v>
                </c:pt>
                <c:pt idx="103">
                  <c:v>2.2752500000000002</c:v>
                </c:pt>
                <c:pt idx="104">
                  <c:v>2.2904</c:v>
                </c:pt>
                <c:pt idx="105">
                  <c:v>2.3025100000000003</c:v>
                </c:pt>
                <c:pt idx="106">
                  <c:v>2.31501</c:v>
                </c:pt>
                <c:pt idx="107">
                  <c:v>2.3273799999999998</c:v>
                </c:pt>
                <c:pt idx="108">
                  <c:v>2.3399399999999999</c:v>
                </c:pt>
                <c:pt idx="109">
                  <c:v>2.35182</c:v>
                </c:pt>
                <c:pt idx="110">
                  <c:v>2.3607</c:v>
                </c:pt>
                <c:pt idx="111">
                  <c:v>2.36633</c:v>
                </c:pt>
                <c:pt idx="112">
                  <c:v>2.3675199999999998</c:v>
                </c:pt>
                <c:pt idx="113">
                  <c:v>2.3681999999999999</c:v>
                </c:pt>
                <c:pt idx="114">
                  <c:v>2.3686199999999999</c:v>
                </c:pt>
                <c:pt idx="115">
                  <c:v>2.3647</c:v>
                </c:pt>
                <c:pt idx="116">
                  <c:v>2.3594499999999998</c:v>
                </c:pt>
                <c:pt idx="117">
                  <c:v>2.3514900000000001</c:v>
                </c:pt>
                <c:pt idx="118">
                  <c:v>2.3409399999999998</c:v>
                </c:pt>
                <c:pt idx="119">
                  <c:v>2.3305799999999999</c:v>
                </c:pt>
                <c:pt idx="120">
                  <c:v>2.31996</c:v>
                </c:pt>
                <c:pt idx="121">
                  <c:v>2.30823</c:v>
                </c:pt>
                <c:pt idx="122">
                  <c:v>2.2964200000000003</c:v>
                </c:pt>
                <c:pt idx="123">
                  <c:v>2.2831099999999998</c:v>
                </c:pt>
                <c:pt idx="124">
                  <c:v>2.2742299999999998</c:v>
                </c:pt>
                <c:pt idx="125">
                  <c:v>2.2648099999999998</c:v>
                </c:pt>
                <c:pt idx="126">
                  <c:v>2.2534799999999997</c:v>
                </c:pt>
                <c:pt idx="127">
                  <c:v>2.2433900000000002</c:v>
                </c:pt>
                <c:pt idx="128">
                  <c:v>2.2364700000000002</c:v>
                </c:pt>
                <c:pt idx="129">
                  <c:v>2.2325500000000003</c:v>
                </c:pt>
                <c:pt idx="130">
                  <c:v>2.2319599999999999</c:v>
                </c:pt>
                <c:pt idx="131">
                  <c:v>2.2300400000000002</c:v>
                </c:pt>
                <c:pt idx="132">
                  <c:v>2.2269600000000001</c:v>
                </c:pt>
                <c:pt idx="133">
                  <c:v>2.22315</c:v>
                </c:pt>
                <c:pt idx="134">
                  <c:v>2.2189200000000002</c:v>
                </c:pt>
                <c:pt idx="135">
                  <c:v>2.2139500000000001</c:v>
                </c:pt>
                <c:pt idx="136">
                  <c:v>2.2084200000000003</c:v>
                </c:pt>
                <c:pt idx="137">
                  <c:v>2.2036899999999999</c:v>
                </c:pt>
                <c:pt idx="138">
                  <c:v>2.1987100000000002</c:v>
                </c:pt>
                <c:pt idx="139">
                  <c:v>2.19184</c:v>
                </c:pt>
                <c:pt idx="140">
                  <c:v>2.18614</c:v>
                </c:pt>
                <c:pt idx="141">
                  <c:v>2.1778900000000001</c:v>
                </c:pt>
                <c:pt idx="142">
                  <c:v>2.1682899999999998</c:v>
                </c:pt>
                <c:pt idx="143">
                  <c:v>2.1590100000000003</c:v>
                </c:pt>
                <c:pt idx="144">
                  <c:v>2.1497299999999999</c:v>
                </c:pt>
                <c:pt idx="145">
                  <c:v>2.1381399999999999</c:v>
                </c:pt>
                <c:pt idx="146">
                  <c:v>2.12975</c:v>
                </c:pt>
                <c:pt idx="147">
                  <c:v>2.12202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  <c:pt idx="74">
                  <c:v>54.377200000000002</c:v>
                </c:pt>
                <c:pt idx="75">
                  <c:v>54.680199999999999</c:v>
                </c:pt>
                <c:pt idx="76">
                  <c:v>54.947500000000005</c:v>
                </c:pt>
                <c:pt idx="77">
                  <c:v>55.181100000000008</c:v>
                </c:pt>
                <c:pt idx="78">
                  <c:v>55.419499999999999</c:v>
                </c:pt>
                <c:pt idx="79">
                  <c:v>55.677</c:v>
                </c:pt>
                <c:pt idx="80">
                  <c:v>55.923699999999997</c:v>
                </c:pt>
                <c:pt idx="81">
                  <c:v>56.188700000000004</c:v>
                </c:pt>
                <c:pt idx="82">
                  <c:v>56.420099999999998</c:v>
                </c:pt>
                <c:pt idx="83">
                  <c:v>56.607799999999997</c:v>
                </c:pt>
                <c:pt idx="84">
                  <c:v>56.756300000000003</c:v>
                </c:pt>
                <c:pt idx="85">
                  <c:v>56.804000000000002</c:v>
                </c:pt>
                <c:pt idx="86">
                  <c:v>56.762500000000003</c:v>
                </c:pt>
                <c:pt idx="87">
                  <c:v>56.611999999999995</c:v>
                </c:pt>
                <c:pt idx="88">
                  <c:v>56.500700000000002</c:v>
                </c:pt>
                <c:pt idx="89">
                  <c:v>56.361499999999999</c:v>
                </c:pt>
                <c:pt idx="90">
                  <c:v>56.049400000000006</c:v>
                </c:pt>
                <c:pt idx="91">
                  <c:v>55.605099999999993</c:v>
                </c:pt>
                <c:pt idx="92">
                  <c:v>55.074800000000003</c:v>
                </c:pt>
                <c:pt idx="93">
                  <c:v>54.480499999999999</c:v>
                </c:pt>
                <c:pt idx="94">
                  <c:v>53.976300000000002</c:v>
                </c:pt>
                <c:pt idx="95">
                  <c:v>53.495199999999997</c:v>
                </c:pt>
                <c:pt idx="96">
                  <c:v>53.009700000000002</c:v>
                </c:pt>
                <c:pt idx="97">
                  <c:v>52.590400000000002</c:v>
                </c:pt>
                <c:pt idx="98">
                  <c:v>52.112199999999994</c:v>
                </c:pt>
                <c:pt idx="99">
                  <c:v>51.64</c:v>
                </c:pt>
                <c:pt idx="100">
                  <c:v>51.224400000000003</c:v>
                </c:pt>
                <c:pt idx="101">
                  <c:v>50.802199999999999</c:v>
                </c:pt>
                <c:pt idx="102">
                  <c:v>50.463499999999996</c:v>
                </c:pt>
                <c:pt idx="103">
                  <c:v>50.239100000000001</c:v>
                </c:pt>
                <c:pt idx="104">
                  <c:v>50.040700000000001</c:v>
                </c:pt>
                <c:pt idx="105">
                  <c:v>49.793799999999997</c:v>
                </c:pt>
                <c:pt idx="106">
                  <c:v>49.47</c:v>
                </c:pt>
                <c:pt idx="107">
                  <c:v>49.153300000000002</c:v>
                </c:pt>
                <c:pt idx="108">
                  <c:v>48.8628</c:v>
                </c:pt>
                <c:pt idx="109">
                  <c:v>48.599699999999999</c:v>
                </c:pt>
                <c:pt idx="110">
                  <c:v>48.295200000000001</c:v>
                </c:pt>
                <c:pt idx="111">
                  <c:v>47.972999999999999</c:v>
                </c:pt>
                <c:pt idx="112">
                  <c:v>47.675800000000002</c:v>
                </c:pt>
                <c:pt idx="113">
                  <c:v>47.387900000000002</c:v>
                </c:pt>
                <c:pt idx="114">
                  <c:v>47.113799999999998</c:v>
                </c:pt>
                <c:pt idx="115">
                  <c:v>46.965899999999998</c:v>
                </c:pt>
                <c:pt idx="116">
                  <c:v>46.889099999999999</c:v>
                </c:pt>
                <c:pt idx="117">
                  <c:v>46.863399999999999</c:v>
                </c:pt>
                <c:pt idx="118">
                  <c:v>46.858600000000003</c:v>
                </c:pt>
                <c:pt idx="119">
                  <c:v>46.800399999999996</c:v>
                </c:pt>
                <c:pt idx="120">
                  <c:v>46.738900000000001</c:v>
                </c:pt>
                <c:pt idx="121">
                  <c:v>46.720299999999995</c:v>
                </c:pt>
                <c:pt idx="122">
                  <c:v>46.7014</c:v>
                </c:pt>
                <c:pt idx="123">
                  <c:v>46.748100000000001</c:v>
                </c:pt>
                <c:pt idx="124">
                  <c:v>46.7742</c:v>
                </c:pt>
                <c:pt idx="125">
                  <c:v>46.794499999999999</c:v>
                </c:pt>
                <c:pt idx="126">
                  <c:v>46.874099999999999</c:v>
                </c:pt>
                <c:pt idx="127">
                  <c:v>46.917900000000003</c:v>
                </c:pt>
                <c:pt idx="128">
                  <c:v>46.879599999999996</c:v>
                </c:pt>
                <c:pt idx="129">
                  <c:v>46.788400000000003</c:v>
                </c:pt>
                <c:pt idx="130">
                  <c:v>46.771700000000003</c:v>
                </c:pt>
                <c:pt idx="131">
                  <c:v>46.881799999999998</c:v>
                </c:pt>
                <c:pt idx="132">
                  <c:v>47.0139</c:v>
                </c:pt>
                <c:pt idx="133">
                  <c:v>47.139600000000002</c:v>
                </c:pt>
                <c:pt idx="134">
                  <c:v>47.258899999999997</c:v>
                </c:pt>
                <c:pt idx="135">
                  <c:v>47.408200000000001</c:v>
                </c:pt>
                <c:pt idx="136">
                  <c:v>47.550199999999997</c:v>
                </c:pt>
                <c:pt idx="137">
                  <c:v>47.5961</c:v>
                </c:pt>
                <c:pt idx="138">
                  <c:v>47.611599999999996</c:v>
                </c:pt>
                <c:pt idx="139">
                  <c:v>47.677399999999999</c:v>
                </c:pt>
                <c:pt idx="140">
                  <c:v>47.5518</c:v>
                </c:pt>
                <c:pt idx="141">
                  <c:v>47.534799999999997</c:v>
                </c:pt>
                <c:pt idx="142">
                  <c:v>47.497699999999995</c:v>
                </c:pt>
                <c:pt idx="143">
                  <c:v>47.558799999999998</c:v>
                </c:pt>
                <c:pt idx="144">
                  <c:v>47.811900000000001</c:v>
                </c:pt>
                <c:pt idx="145">
                  <c:v>48.204099999999997</c:v>
                </c:pt>
                <c:pt idx="146">
                  <c:v>48.468000000000004</c:v>
                </c:pt>
                <c:pt idx="147">
                  <c:v>48.758899999999997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1.2066399999999999</c:v>
                </c:pt>
                <c:pt idx="1">
                  <c:v>1.22539</c:v>
                </c:pt>
                <c:pt idx="2">
                  <c:v>1.2447600000000001</c:v>
                </c:pt>
                <c:pt idx="3">
                  <c:v>1.2645899999999999</c:v>
                </c:pt>
                <c:pt idx="4">
                  <c:v>1.2841400000000001</c:v>
                </c:pt>
                <c:pt idx="5">
                  <c:v>1.3033300000000001</c:v>
                </c:pt>
                <c:pt idx="6">
                  <c:v>1.32196</c:v>
                </c:pt>
                <c:pt idx="7">
                  <c:v>1.3413900000000001</c:v>
                </c:pt>
                <c:pt idx="8">
                  <c:v>1.3611599999999999</c:v>
                </c:pt>
                <c:pt idx="9">
                  <c:v>1.38191</c:v>
                </c:pt>
                <c:pt idx="10">
                  <c:v>1.4045700000000001</c:v>
                </c:pt>
                <c:pt idx="11">
                  <c:v>1.42943</c:v>
                </c:pt>
                <c:pt idx="12">
                  <c:v>1.4548099999999999</c:v>
                </c:pt>
                <c:pt idx="13">
                  <c:v>1.4817</c:v>
                </c:pt>
                <c:pt idx="14">
                  <c:v>1.50773</c:v>
                </c:pt>
                <c:pt idx="15">
                  <c:v>1.52772</c:v>
                </c:pt>
                <c:pt idx="16">
                  <c:v>1.5437100000000001</c:v>
                </c:pt>
                <c:pt idx="17">
                  <c:v>1.55694</c:v>
                </c:pt>
                <c:pt idx="18">
                  <c:v>1.56748</c:v>
                </c:pt>
                <c:pt idx="19">
                  <c:v>1.577</c:v>
                </c:pt>
                <c:pt idx="20">
                  <c:v>1.5870799999999998</c:v>
                </c:pt>
                <c:pt idx="21">
                  <c:v>1.59694</c:v>
                </c:pt>
                <c:pt idx="22">
                  <c:v>1.6074999999999999</c:v>
                </c:pt>
                <c:pt idx="23">
                  <c:v>1.6196600000000001</c:v>
                </c:pt>
                <c:pt idx="24">
                  <c:v>1.6309799999999999</c:v>
                </c:pt>
                <c:pt idx="25">
                  <c:v>1.6401599999999998</c:v>
                </c:pt>
                <c:pt idx="26">
                  <c:v>1.6488700000000001</c:v>
                </c:pt>
                <c:pt idx="27">
                  <c:v>1.65734</c:v>
                </c:pt>
                <c:pt idx="28">
                  <c:v>1.66482</c:v>
                </c:pt>
                <c:pt idx="29">
                  <c:v>1.67431</c:v>
                </c:pt>
                <c:pt idx="30">
                  <c:v>1.68492</c:v>
                </c:pt>
                <c:pt idx="31">
                  <c:v>1.69519</c:v>
                </c:pt>
                <c:pt idx="32">
                  <c:v>1.7043600000000001</c:v>
                </c:pt>
                <c:pt idx="33">
                  <c:v>1.71295</c:v>
                </c:pt>
                <c:pt idx="34">
                  <c:v>1.7215199999999999</c:v>
                </c:pt>
                <c:pt idx="35">
                  <c:v>1.7295499999999999</c:v>
                </c:pt>
                <c:pt idx="36">
                  <c:v>1.73573</c:v>
                </c:pt>
                <c:pt idx="37">
                  <c:v>1.7422599999999999</c:v>
                </c:pt>
                <c:pt idx="38">
                  <c:v>1.74817</c:v>
                </c:pt>
                <c:pt idx="39">
                  <c:v>1.7554099999999999</c:v>
                </c:pt>
                <c:pt idx="40">
                  <c:v>1.76396</c:v>
                </c:pt>
                <c:pt idx="41">
                  <c:v>1.7752699999999999</c:v>
                </c:pt>
                <c:pt idx="42">
                  <c:v>1.78715</c:v>
                </c:pt>
                <c:pt idx="43">
                  <c:v>1.7993000000000001</c:v>
                </c:pt>
                <c:pt idx="44">
                  <c:v>1.8111999999999999</c:v>
                </c:pt>
                <c:pt idx="45">
                  <c:v>1.8222700000000001</c:v>
                </c:pt>
                <c:pt idx="46">
                  <c:v>1.83311</c:v>
                </c:pt>
                <c:pt idx="47">
                  <c:v>1.8420700000000001</c:v>
                </c:pt>
                <c:pt idx="48">
                  <c:v>1.8496599999999999</c:v>
                </c:pt>
                <c:pt idx="49">
                  <c:v>1.8570200000000001</c:v>
                </c:pt>
                <c:pt idx="50">
                  <c:v>1.8655900000000001</c:v>
                </c:pt>
                <c:pt idx="51">
                  <c:v>1.8730500000000001</c:v>
                </c:pt>
                <c:pt idx="52">
                  <c:v>1.87964</c:v>
                </c:pt>
                <c:pt idx="53">
                  <c:v>1.8856300000000001</c:v>
                </c:pt>
                <c:pt idx="54">
                  <c:v>1.88971</c:v>
                </c:pt>
                <c:pt idx="55">
                  <c:v>1.89419</c:v>
                </c:pt>
                <c:pt idx="56">
                  <c:v>1.9001399999999999</c:v>
                </c:pt>
                <c:pt idx="57">
                  <c:v>1.9050199999999999</c:v>
                </c:pt>
                <c:pt idx="58">
                  <c:v>1.90882</c:v>
                </c:pt>
                <c:pt idx="59">
                  <c:v>1.9094600000000002</c:v>
                </c:pt>
                <c:pt idx="60">
                  <c:v>1.9060299999999999</c:v>
                </c:pt>
                <c:pt idx="61">
                  <c:v>1.9010400000000001</c:v>
                </c:pt>
                <c:pt idx="62">
                  <c:v>1.89419</c:v>
                </c:pt>
                <c:pt idx="63">
                  <c:v>1.8875</c:v>
                </c:pt>
                <c:pt idx="64">
                  <c:v>1.87805</c:v>
                </c:pt>
                <c:pt idx="65">
                  <c:v>1.8711500000000001</c:v>
                </c:pt>
                <c:pt idx="66">
                  <c:v>1.8643699999999999</c:v>
                </c:pt>
                <c:pt idx="67">
                  <c:v>1.8581700000000001</c:v>
                </c:pt>
                <c:pt idx="68">
                  <c:v>1.8546499999999999</c:v>
                </c:pt>
                <c:pt idx="69">
                  <c:v>1.8507899999999999</c:v>
                </c:pt>
                <c:pt idx="70">
                  <c:v>1.84687</c:v>
                </c:pt>
                <c:pt idx="71">
                  <c:v>1.84551</c:v>
                </c:pt>
                <c:pt idx="72">
                  <c:v>1.84392</c:v>
                </c:pt>
                <c:pt idx="73">
                  <c:v>1.8421299999999998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73.178799999999995</c:v>
                </c:pt>
                <c:pt idx="1">
                  <c:v>72.719800000000006</c:v>
                </c:pt>
                <c:pt idx="2">
                  <c:v>72.204999999999998</c:v>
                </c:pt>
                <c:pt idx="3">
                  <c:v>71.6173</c:v>
                </c:pt>
                <c:pt idx="4">
                  <c:v>71.049099999999996</c:v>
                </c:pt>
                <c:pt idx="5">
                  <c:v>70.513300000000001</c:v>
                </c:pt>
                <c:pt idx="6">
                  <c:v>70.019300000000001</c:v>
                </c:pt>
                <c:pt idx="7">
                  <c:v>69.519400000000005</c:v>
                </c:pt>
                <c:pt idx="8">
                  <c:v>69.028500000000008</c:v>
                </c:pt>
                <c:pt idx="9">
                  <c:v>68.541300000000007</c:v>
                </c:pt>
                <c:pt idx="10">
                  <c:v>68.023199999999989</c:v>
                </c:pt>
                <c:pt idx="11">
                  <c:v>67.402100000000004</c:v>
                </c:pt>
                <c:pt idx="12">
                  <c:v>66.715000000000003</c:v>
                </c:pt>
                <c:pt idx="13">
                  <c:v>65.963999999999999</c:v>
                </c:pt>
                <c:pt idx="14">
                  <c:v>65.300399999999996</c:v>
                </c:pt>
                <c:pt idx="15">
                  <c:v>64.8553</c:v>
                </c:pt>
                <c:pt idx="16">
                  <c:v>64.530500000000004</c:v>
                </c:pt>
                <c:pt idx="17">
                  <c:v>64.298000000000002</c:v>
                </c:pt>
                <c:pt idx="18">
                  <c:v>64.105400000000003</c:v>
                </c:pt>
                <c:pt idx="19">
                  <c:v>63.956900000000005</c:v>
                </c:pt>
                <c:pt idx="20">
                  <c:v>63.782399999999996</c:v>
                </c:pt>
                <c:pt idx="21">
                  <c:v>63.571299999999994</c:v>
                </c:pt>
                <c:pt idx="22">
                  <c:v>63.310699999999997</c:v>
                </c:pt>
                <c:pt idx="23">
                  <c:v>63.0015</c:v>
                </c:pt>
                <c:pt idx="24">
                  <c:v>62.690999999999995</c:v>
                </c:pt>
                <c:pt idx="25">
                  <c:v>62.425299999999993</c:v>
                </c:pt>
                <c:pt idx="26">
                  <c:v>62.167499999999997</c:v>
                </c:pt>
                <c:pt idx="27">
                  <c:v>61.903500000000001</c:v>
                </c:pt>
                <c:pt idx="28">
                  <c:v>61.630600000000001</c:v>
                </c:pt>
                <c:pt idx="29">
                  <c:v>61.279899999999998</c:v>
                </c:pt>
                <c:pt idx="30">
                  <c:v>60.888699999999993</c:v>
                </c:pt>
                <c:pt idx="31">
                  <c:v>60.514500000000005</c:v>
                </c:pt>
                <c:pt idx="32">
                  <c:v>60.130300000000005</c:v>
                </c:pt>
                <c:pt idx="33">
                  <c:v>59.710599999999999</c:v>
                </c:pt>
                <c:pt idx="34">
                  <c:v>59.260999999999996</c:v>
                </c:pt>
                <c:pt idx="35">
                  <c:v>58.791099999999993</c:v>
                </c:pt>
                <c:pt idx="36">
                  <c:v>58.348100000000002</c:v>
                </c:pt>
                <c:pt idx="37">
                  <c:v>57.918599999999998</c:v>
                </c:pt>
                <c:pt idx="38">
                  <c:v>57.494799999999998</c:v>
                </c:pt>
                <c:pt idx="39">
                  <c:v>57.000799999999998</c:v>
                </c:pt>
                <c:pt idx="40">
                  <c:v>56.519399999999997</c:v>
                </c:pt>
                <c:pt idx="41">
                  <c:v>56.0334</c:v>
                </c:pt>
                <c:pt idx="42">
                  <c:v>55.561400000000006</c:v>
                </c:pt>
                <c:pt idx="43">
                  <c:v>55.133800000000001</c:v>
                </c:pt>
                <c:pt idx="44">
                  <c:v>54.706800000000001</c:v>
                </c:pt>
                <c:pt idx="45">
                  <c:v>54.299299999999995</c:v>
                </c:pt>
                <c:pt idx="46">
                  <c:v>53.930399999999999</c:v>
                </c:pt>
                <c:pt idx="47">
                  <c:v>53.605899999999998</c:v>
                </c:pt>
                <c:pt idx="48">
                  <c:v>53.292200000000001</c:v>
                </c:pt>
                <c:pt idx="49">
                  <c:v>53.011899999999997</c:v>
                </c:pt>
                <c:pt idx="50">
                  <c:v>52.739899999999992</c:v>
                </c:pt>
                <c:pt idx="51">
                  <c:v>52.51</c:v>
                </c:pt>
                <c:pt idx="52">
                  <c:v>52.313699999999997</c:v>
                </c:pt>
                <c:pt idx="53">
                  <c:v>52.115900000000003</c:v>
                </c:pt>
                <c:pt idx="54">
                  <c:v>51.978199999999994</c:v>
                </c:pt>
                <c:pt idx="55">
                  <c:v>51.8748</c:v>
                </c:pt>
                <c:pt idx="56">
                  <c:v>51.759699999999995</c:v>
                </c:pt>
                <c:pt idx="57">
                  <c:v>51.6721</c:v>
                </c:pt>
                <c:pt idx="58">
                  <c:v>51.668099999999995</c:v>
                </c:pt>
                <c:pt idx="59">
                  <c:v>51.684899999999999</c:v>
                </c:pt>
                <c:pt idx="60">
                  <c:v>51.7348</c:v>
                </c:pt>
                <c:pt idx="61">
                  <c:v>51.814800000000005</c:v>
                </c:pt>
                <c:pt idx="62">
                  <c:v>51.926399999999994</c:v>
                </c:pt>
                <c:pt idx="63">
                  <c:v>52.072200000000002</c:v>
                </c:pt>
                <c:pt idx="64">
                  <c:v>52.279499999999999</c:v>
                </c:pt>
                <c:pt idx="65">
                  <c:v>52.438099999999999</c:v>
                </c:pt>
                <c:pt idx="66">
                  <c:v>52.589799999999997</c:v>
                </c:pt>
                <c:pt idx="67">
                  <c:v>52.732199999999999</c:v>
                </c:pt>
                <c:pt idx="68">
                  <c:v>52.858899999999998</c:v>
                </c:pt>
                <c:pt idx="69">
                  <c:v>53.018200000000007</c:v>
                </c:pt>
                <c:pt idx="70">
                  <c:v>53.2361</c:v>
                </c:pt>
                <c:pt idx="71">
                  <c:v>53.477200000000003</c:v>
                </c:pt>
                <c:pt idx="72">
                  <c:v>53.730800000000002</c:v>
                </c:pt>
                <c:pt idx="73">
                  <c:v>54.054299999999998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1.8421299999999998</c:v>
                </c:pt>
                <c:pt idx="1">
                  <c:v>1.8412600000000001</c:v>
                </c:pt>
                <c:pt idx="2">
                  <c:v>1.8414600000000001</c:v>
                </c:pt>
                <c:pt idx="3">
                  <c:v>1.8418200000000002</c:v>
                </c:pt>
                <c:pt idx="4">
                  <c:v>1.8430800000000001</c:v>
                </c:pt>
                <c:pt idx="5">
                  <c:v>1.84399</c:v>
                </c:pt>
                <c:pt idx="6">
                  <c:v>1.8444199999999999</c:v>
                </c:pt>
                <c:pt idx="7">
                  <c:v>1.84348</c:v>
                </c:pt>
                <c:pt idx="8">
                  <c:v>1.8414200000000001</c:v>
                </c:pt>
                <c:pt idx="9">
                  <c:v>1.84084</c:v>
                </c:pt>
                <c:pt idx="10">
                  <c:v>1.8407100000000001</c:v>
                </c:pt>
                <c:pt idx="11">
                  <c:v>1.8434600000000001</c:v>
                </c:pt>
                <c:pt idx="12">
                  <c:v>1.8537300000000001</c:v>
                </c:pt>
                <c:pt idx="13">
                  <c:v>1.8696199999999998</c:v>
                </c:pt>
                <c:pt idx="14">
                  <c:v>1.8911500000000001</c:v>
                </c:pt>
                <c:pt idx="15">
                  <c:v>1.9111199999999999</c:v>
                </c:pt>
                <c:pt idx="16">
                  <c:v>1.9323599999999999</c:v>
                </c:pt>
                <c:pt idx="17">
                  <c:v>1.9565399999999999</c:v>
                </c:pt>
                <c:pt idx="18">
                  <c:v>1.98132</c:v>
                </c:pt>
                <c:pt idx="19">
                  <c:v>2.0085899999999999</c:v>
                </c:pt>
                <c:pt idx="20">
                  <c:v>2.0361599999999997</c:v>
                </c:pt>
                <c:pt idx="21">
                  <c:v>2.0631499999999998</c:v>
                </c:pt>
                <c:pt idx="22">
                  <c:v>2.0896300000000001</c:v>
                </c:pt>
                <c:pt idx="23">
                  <c:v>2.1140699999999999</c:v>
                </c:pt>
                <c:pt idx="24">
                  <c:v>2.1381399999999999</c:v>
                </c:pt>
                <c:pt idx="25">
                  <c:v>2.16275</c:v>
                </c:pt>
                <c:pt idx="26">
                  <c:v>2.18757</c:v>
                </c:pt>
                <c:pt idx="27">
                  <c:v>2.2111800000000001</c:v>
                </c:pt>
                <c:pt idx="28">
                  <c:v>2.2356599999999998</c:v>
                </c:pt>
                <c:pt idx="29">
                  <c:v>2.2571699999999999</c:v>
                </c:pt>
                <c:pt idx="30">
                  <c:v>2.2752500000000002</c:v>
                </c:pt>
                <c:pt idx="31">
                  <c:v>2.2904</c:v>
                </c:pt>
                <c:pt idx="32">
                  <c:v>2.3025100000000003</c:v>
                </c:pt>
                <c:pt idx="33">
                  <c:v>2.31501</c:v>
                </c:pt>
                <c:pt idx="34">
                  <c:v>2.3273799999999998</c:v>
                </c:pt>
                <c:pt idx="35">
                  <c:v>2.3399399999999999</c:v>
                </c:pt>
                <c:pt idx="36">
                  <c:v>2.35182</c:v>
                </c:pt>
                <c:pt idx="37">
                  <c:v>2.3607</c:v>
                </c:pt>
                <c:pt idx="38">
                  <c:v>2.36633</c:v>
                </c:pt>
                <c:pt idx="39">
                  <c:v>2.3675199999999998</c:v>
                </c:pt>
                <c:pt idx="40">
                  <c:v>2.3681999999999999</c:v>
                </c:pt>
                <c:pt idx="41">
                  <c:v>2.3686199999999999</c:v>
                </c:pt>
                <c:pt idx="42">
                  <c:v>2.3647</c:v>
                </c:pt>
                <c:pt idx="43">
                  <c:v>2.3594499999999998</c:v>
                </c:pt>
                <c:pt idx="44">
                  <c:v>2.3514900000000001</c:v>
                </c:pt>
                <c:pt idx="45">
                  <c:v>2.3409399999999998</c:v>
                </c:pt>
                <c:pt idx="46">
                  <c:v>2.3305799999999999</c:v>
                </c:pt>
                <c:pt idx="47">
                  <c:v>2.31996</c:v>
                </c:pt>
                <c:pt idx="48">
                  <c:v>2.30823</c:v>
                </c:pt>
                <c:pt idx="49">
                  <c:v>2.2964200000000003</c:v>
                </c:pt>
                <c:pt idx="50">
                  <c:v>2.2831099999999998</c:v>
                </c:pt>
                <c:pt idx="51">
                  <c:v>2.2742299999999998</c:v>
                </c:pt>
                <c:pt idx="52">
                  <c:v>2.2648099999999998</c:v>
                </c:pt>
                <c:pt idx="53">
                  <c:v>2.2534799999999997</c:v>
                </c:pt>
                <c:pt idx="54">
                  <c:v>2.2433900000000002</c:v>
                </c:pt>
                <c:pt idx="55">
                  <c:v>2.2364700000000002</c:v>
                </c:pt>
                <c:pt idx="56">
                  <c:v>2.2325500000000003</c:v>
                </c:pt>
                <c:pt idx="57">
                  <c:v>2.2319599999999999</c:v>
                </c:pt>
                <c:pt idx="58">
                  <c:v>2.2300400000000002</c:v>
                </c:pt>
                <c:pt idx="59">
                  <c:v>2.2269600000000001</c:v>
                </c:pt>
                <c:pt idx="60">
                  <c:v>2.22315</c:v>
                </c:pt>
                <c:pt idx="61">
                  <c:v>2.2189200000000002</c:v>
                </c:pt>
                <c:pt idx="62">
                  <c:v>2.2139500000000001</c:v>
                </c:pt>
                <c:pt idx="63">
                  <c:v>2.2084200000000003</c:v>
                </c:pt>
                <c:pt idx="64">
                  <c:v>2.2036899999999999</c:v>
                </c:pt>
                <c:pt idx="65">
                  <c:v>2.1987100000000002</c:v>
                </c:pt>
                <c:pt idx="66">
                  <c:v>2.19184</c:v>
                </c:pt>
                <c:pt idx="67">
                  <c:v>2.18614</c:v>
                </c:pt>
                <c:pt idx="68">
                  <c:v>2.1778900000000001</c:v>
                </c:pt>
                <c:pt idx="69">
                  <c:v>2.1682899999999998</c:v>
                </c:pt>
                <c:pt idx="70">
                  <c:v>2.1590100000000003</c:v>
                </c:pt>
                <c:pt idx="71">
                  <c:v>2.1497299999999999</c:v>
                </c:pt>
                <c:pt idx="72">
                  <c:v>2.1381399999999999</c:v>
                </c:pt>
                <c:pt idx="73">
                  <c:v>2.12975</c:v>
                </c:pt>
                <c:pt idx="74">
                  <c:v>2.12202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54.054299999999998</c:v>
                </c:pt>
                <c:pt idx="1">
                  <c:v>54.377200000000002</c:v>
                </c:pt>
                <c:pt idx="2">
                  <c:v>54.680199999999999</c:v>
                </c:pt>
                <c:pt idx="3">
                  <c:v>54.947500000000005</c:v>
                </c:pt>
                <c:pt idx="4">
                  <c:v>55.181100000000008</c:v>
                </c:pt>
                <c:pt idx="5">
                  <c:v>55.419499999999999</c:v>
                </c:pt>
                <c:pt idx="6">
                  <c:v>55.677</c:v>
                </c:pt>
                <c:pt idx="7">
                  <c:v>55.923699999999997</c:v>
                </c:pt>
                <c:pt idx="8">
                  <c:v>56.188700000000004</c:v>
                </c:pt>
                <c:pt idx="9">
                  <c:v>56.420099999999998</c:v>
                </c:pt>
                <c:pt idx="10">
                  <c:v>56.607799999999997</c:v>
                </c:pt>
                <c:pt idx="11">
                  <c:v>56.756300000000003</c:v>
                </c:pt>
                <c:pt idx="12">
                  <c:v>56.804000000000002</c:v>
                </c:pt>
                <c:pt idx="13">
                  <c:v>56.762500000000003</c:v>
                </c:pt>
                <c:pt idx="14">
                  <c:v>56.611999999999995</c:v>
                </c:pt>
                <c:pt idx="15">
                  <c:v>56.500700000000002</c:v>
                </c:pt>
                <c:pt idx="16">
                  <c:v>56.361499999999999</c:v>
                </c:pt>
                <c:pt idx="17">
                  <c:v>56.049400000000006</c:v>
                </c:pt>
                <c:pt idx="18">
                  <c:v>55.605099999999993</c:v>
                </c:pt>
                <c:pt idx="19">
                  <c:v>55.074800000000003</c:v>
                </c:pt>
                <c:pt idx="20">
                  <c:v>54.480499999999999</c:v>
                </c:pt>
                <c:pt idx="21">
                  <c:v>53.976300000000002</c:v>
                </c:pt>
                <c:pt idx="22">
                  <c:v>53.495199999999997</c:v>
                </c:pt>
                <c:pt idx="23">
                  <c:v>53.009700000000002</c:v>
                </c:pt>
                <c:pt idx="24">
                  <c:v>52.590400000000002</c:v>
                </c:pt>
                <c:pt idx="25">
                  <c:v>52.112199999999994</c:v>
                </c:pt>
                <c:pt idx="26">
                  <c:v>51.64</c:v>
                </c:pt>
                <c:pt idx="27">
                  <c:v>51.224400000000003</c:v>
                </c:pt>
                <c:pt idx="28">
                  <c:v>50.802199999999999</c:v>
                </c:pt>
                <c:pt idx="29">
                  <c:v>50.463499999999996</c:v>
                </c:pt>
                <c:pt idx="30">
                  <c:v>50.239100000000001</c:v>
                </c:pt>
                <c:pt idx="31">
                  <c:v>50.040700000000001</c:v>
                </c:pt>
                <c:pt idx="32">
                  <c:v>49.793799999999997</c:v>
                </c:pt>
                <c:pt idx="33">
                  <c:v>49.47</c:v>
                </c:pt>
                <c:pt idx="34">
                  <c:v>49.153300000000002</c:v>
                </c:pt>
                <c:pt idx="35">
                  <c:v>48.8628</c:v>
                </c:pt>
                <c:pt idx="36">
                  <c:v>48.599699999999999</c:v>
                </c:pt>
                <c:pt idx="37">
                  <c:v>48.295200000000001</c:v>
                </c:pt>
                <c:pt idx="38">
                  <c:v>47.972999999999999</c:v>
                </c:pt>
                <c:pt idx="39">
                  <c:v>47.675800000000002</c:v>
                </c:pt>
                <c:pt idx="40">
                  <c:v>47.387900000000002</c:v>
                </c:pt>
                <c:pt idx="41">
                  <c:v>47.113799999999998</c:v>
                </c:pt>
                <c:pt idx="42">
                  <c:v>46.965899999999998</c:v>
                </c:pt>
                <c:pt idx="43">
                  <c:v>46.889099999999999</c:v>
                </c:pt>
                <c:pt idx="44">
                  <c:v>46.863399999999999</c:v>
                </c:pt>
                <c:pt idx="45">
                  <c:v>46.858600000000003</c:v>
                </c:pt>
                <c:pt idx="46">
                  <c:v>46.800399999999996</c:v>
                </c:pt>
                <c:pt idx="47">
                  <c:v>46.738900000000001</c:v>
                </c:pt>
                <c:pt idx="48">
                  <c:v>46.720299999999995</c:v>
                </c:pt>
                <c:pt idx="49">
                  <c:v>46.7014</c:v>
                </c:pt>
                <c:pt idx="50">
                  <c:v>46.748100000000001</c:v>
                </c:pt>
                <c:pt idx="51">
                  <c:v>46.7742</c:v>
                </c:pt>
                <c:pt idx="52">
                  <c:v>46.794499999999999</c:v>
                </c:pt>
                <c:pt idx="53">
                  <c:v>46.874099999999999</c:v>
                </c:pt>
                <c:pt idx="54">
                  <c:v>46.917900000000003</c:v>
                </c:pt>
                <c:pt idx="55">
                  <c:v>46.879599999999996</c:v>
                </c:pt>
                <c:pt idx="56">
                  <c:v>46.788400000000003</c:v>
                </c:pt>
                <c:pt idx="57">
                  <c:v>46.771700000000003</c:v>
                </c:pt>
                <c:pt idx="58">
                  <c:v>46.881799999999998</c:v>
                </c:pt>
                <c:pt idx="59">
                  <c:v>47.0139</c:v>
                </c:pt>
                <c:pt idx="60">
                  <c:v>47.139600000000002</c:v>
                </c:pt>
                <c:pt idx="61">
                  <c:v>47.258899999999997</c:v>
                </c:pt>
                <c:pt idx="62">
                  <c:v>47.408200000000001</c:v>
                </c:pt>
                <c:pt idx="63">
                  <c:v>47.550199999999997</c:v>
                </c:pt>
                <c:pt idx="64">
                  <c:v>47.5961</c:v>
                </c:pt>
                <c:pt idx="65">
                  <c:v>47.611599999999996</c:v>
                </c:pt>
                <c:pt idx="66">
                  <c:v>47.677399999999999</c:v>
                </c:pt>
                <c:pt idx="67">
                  <c:v>47.5518</c:v>
                </c:pt>
                <c:pt idx="68">
                  <c:v>47.534799999999997</c:v>
                </c:pt>
                <c:pt idx="69">
                  <c:v>47.497699999999995</c:v>
                </c:pt>
                <c:pt idx="70">
                  <c:v>47.558799999999998</c:v>
                </c:pt>
                <c:pt idx="71">
                  <c:v>47.811900000000001</c:v>
                </c:pt>
                <c:pt idx="72">
                  <c:v>48.204099999999997</c:v>
                </c:pt>
                <c:pt idx="73">
                  <c:v>48.468000000000004</c:v>
                </c:pt>
                <c:pt idx="74">
                  <c:v>48.758899999999997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1.2066399999999999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73.178799999999995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1.6856852702702705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59.239728378378352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2.1491614864864865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50.391335135135151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2.1491614864864865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50.391335135135151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L1" sqref="L1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569</v>
      </c>
      <c r="D5" s="151"/>
      <c r="E5" s="151"/>
      <c r="F5" s="152"/>
      <c r="G5" s="48" t="str">
        <f>lang!B27</f>
        <v>编号</v>
      </c>
      <c r="H5" s="150">
        <v>4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568</v>
      </c>
      <c r="D6" s="188"/>
      <c r="E6" s="188"/>
      <c r="F6" s="189"/>
      <c r="G6" s="49" t="str">
        <f>lang!B28</f>
        <v xml:space="preserve"> 日期</v>
      </c>
      <c r="H6" s="172">
        <f>FH_info!A2</f>
        <v>43629.435335648152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45</v>
      </c>
      <c r="D7" s="191"/>
      <c r="E7" s="191"/>
      <c r="F7" s="192"/>
      <c r="G7" s="50" t="str">
        <f>lang!B29</f>
        <v>误差率（%）</v>
      </c>
      <c r="H7" s="175">
        <f>M!B17*1</f>
        <v>17.879200000000001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25.196899999999999</v>
      </c>
      <c r="O8" s="59">
        <f>M!C5*1</f>
        <v>5.9187399999999997</v>
      </c>
      <c r="P8" s="59">
        <f>M!D5*1</f>
        <v>23.489899999999999</v>
      </c>
      <c r="Q8" s="59">
        <f>M!E5*1</f>
        <v>20</v>
      </c>
      <c r="R8" s="59">
        <f>M!F5*1</f>
        <v>11.477</v>
      </c>
      <c r="S8" s="59">
        <f>M!G5*1</f>
        <v>50</v>
      </c>
      <c r="T8" s="59">
        <f>M!H5*1</f>
        <v>36.295099999999998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31.175699999999999</v>
      </c>
      <c r="O9" s="59">
        <f>M!C6*1</f>
        <v>4.1180399999999997</v>
      </c>
      <c r="P9" s="59">
        <f>M!D6*1</f>
        <v>13.209099999999999</v>
      </c>
      <c r="Q9" s="59">
        <f>M!E6*1</f>
        <v>20</v>
      </c>
      <c r="R9" s="59">
        <f>M!F6*1</f>
        <v>22.0565</v>
      </c>
      <c r="S9" s="59">
        <f>M!G6*1</f>
        <v>40</v>
      </c>
      <c r="T9" s="59">
        <f>M!H6*1</f>
        <v>36.819200000000002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11.477</v>
      </c>
      <c r="D10" s="99">
        <f>N8</f>
        <v>25.196899999999999</v>
      </c>
      <c r="E10" s="100">
        <f>T8</f>
        <v>36.295099999999998</v>
      </c>
      <c r="F10" s="91">
        <f>P8</f>
        <v>23.489899999999999</v>
      </c>
      <c r="G10" s="81" t="str">
        <f>CONCATENATE(M9,"
(20 ~ 40)")</f>
        <v>压力
(20 ~ 40)</v>
      </c>
      <c r="H10" s="98">
        <f>R9</f>
        <v>22.0565</v>
      </c>
      <c r="I10" s="108">
        <f>N9</f>
        <v>31.175699999999999</v>
      </c>
      <c r="J10" s="98">
        <f>T9</f>
        <v>36.819200000000002</v>
      </c>
      <c r="K10" s="92">
        <f>P9</f>
        <v>13.209099999999999</v>
      </c>
      <c r="L10" s="6"/>
      <c r="M10" s="27" t="str">
        <f>lang!B16</f>
        <v>焦虑</v>
      </c>
      <c r="N10" s="59">
        <f>M!B7*1</f>
        <v>23.1173</v>
      </c>
      <c r="O10" s="59">
        <f>M!C7*1</f>
        <v>10.3485</v>
      </c>
      <c r="P10" s="59">
        <f>M!D7*1</f>
        <v>44.765300000000003</v>
      </c>
      <c r="Q10" s="59">
        <f>M!E7*1</f>
        <v>15</v>
      </c>
      <c r="R10" s="59">
        <f>M!F7*1</f>
        <v>8.6465999999999994</v>
      </c>
      <c r="S10" s="59">
        <f>M!G7*1</f>
        <v>40</v>
      </c>
      <c r="T10" s="59">
        <f>M!H7*1</f>
        <v>54.095199999999998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8.6465999999999994</v>
      </c>
      <c r="D11" s="102">
        <f>N10</f>
        <v>23.1173</v>
      </c>
      <c r="E11" s="103">
        <f>T10</f>
        <v>54.095199999999998</v>
      </c>
      <c r="F11" s="94">
        <f>P10</f>
        <v>44.765300000000003</v>
      </c>
      <c r="G11" s="52" t="str">
        <f>CONCATENATE(M11,"
(20 ~ 50)")</f>
        <v>可疑
(20 ~ 50)</v>
      </c>
      <c r="H11" s="101">
        <f>R11</f>
        <v>18</v>
      </c>
      <c r="I11" s="104">
        <f>N11</f>
        <v>27.880400000000002</v>
      </c>
      <c r="J11" s="101">
        <f>T11</f>
        <v>38.316600000000001</v>
      </c>
      <c r="K11" s="95">
        <f>P11</f>
        <v>14.005800000000001</v>
      </c>
      <c r="L11" s="4"/>
      <c r="M11" s="27" t="str">
        <f>lang!B17</f>
        <v>可疑</v>
      </c>
      <c r="N11" s="59">
        <f>M!B8*1</f>
        <v>27.880400000000002</v>
      </c>
      <c r="O11" s="59">
        <f>M!C8*1</f>
        <v>3.9048799999999999</v>
      </c>
      <c r="P11" s="59">
        <f>M!D8*1</f>
        <v>14.005800000000001</v>
      </c>
      <c r="Q11" s="59">
        <f>M!E8*1</f>
        <v>20</v>
      </c>
      <c r="R11" s="59">
        <f>M!F8*1</f>
        <v>18</v>
      </c>
      <c r="S11" s="59">
        <f>M!G8*1</f>
        <v>50</v>
      </c>
      <c r="T11" s="59">
        <f>M!H8*1</f>
        <v>38.316600000000001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61.548699999999997</v>
      </c>
      <c r="D12" s="104">
        <f>N12</f>
        <v>73.269099999999995</v>
      </c>
      <c r="E12" s="101">
        <f>T12</f>
        <v>83.835499999999996</v>
      </c>
      <c r="F12" s="93">
        <f>P12</f>
        <v>6.1979100000000003</v>
      </c>
      <c r="G12" s="52" t="str">
        <f>CONCATENATE(M13,"
(40 ~ 100)")</f>
        <v>自信
(40 ~ 100)</v>
      </c>
      <c r="H12" s="101">
        <f>R13</f>
        <v>60.622199999999999</v>
      </c>
      <c r="I12" s="104">
        <f>N13</f>
        <v>68.380600000000001</v>
      </c>
      <c r="J12" s="101">
        <f>T13</f>
        <v>74.744</v>
      </c>
      <c r="K12" s="95">
        <f>P13</f>
        <v>5.9401799999999998</v>
      </c>
      <c r="L12" s="4"/>
      <c r="M12" s="27" t="str">
        <f>lang!B18</f>
        <v>平衡</v>
      </c>
      <c r="N12" s="59">
        <f>M!B9*1</f>
        <v>73.269099999999995</v>
      </c>
      <c r="O12" s="59">
        <f>M!C9*1</f>
        <v>4.5411599999999996</v>
      </c>
      <c r="P12" s="59">
        <f>M!D9*1</f>
        <v>6.1979100000000003</v>
      </c>
      <c r="Q12" s="59">
        <f>M!E9*1</f>
        <v>50</v>
      </c>
      <c r="R12" s="59">
        <f>M!F9*1</f>
        <v>61.548699999999997</v>
      </c>
      <c r="S12" s="59">
        <f>M!G9*1</f>
        <v>100</v>
      </c>
      <c r="T12" s="59">
        <f>M!H9*1</f>
        <v>83.835499999999996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5.9368800000000004</v>
      </c>
      <c r="D13" s="102">
        <f>N14</f>
        <v>9.3372399999999995</v>
      </c>
      <c r="E13" s="103">
        <f>T14</f>
        <v>14.2376</v>
      </c>
      <c r="F13" s="94">
        <f>P14</f>
        <v>22.439</v>
      </c>
      <c r="G13" s="52" t="str">
        <f>CONCATENATE(M15,"
(50 ~ 100)")</f>
        <v>自我调节
(50 ~ 100)</v>
      </c>
      <c r="H13" s="101">
        <f>R15</f>
        <v>64.180899999999994</v>
      </c>
      <c r="I13" s="104">
        <f>N15</f>
        <v>69.876800000000003</v>
      </c>
      <c r="J13" s="101">
        <f>T15</f>
        <v>79.056799999999996</v>
      </c>
      <c r="K13" s="95">
        <f>P15</f>
        <v>4.9217000000000004</v>
      </c>
      <c r="L13" s="4"/>
      <c r="M13" s="27" t="str">
        <f>lang!B19</f>
        <v>自信</v>
      </c>
      <c r="N13" s="59">
        <f>M!B10*1</f>
        <v>68.380600000000001</v>
      </c>
      <c r="O13" s="59">
        <f>M!C10*1</f>
        <v>4.0619300000000003</v>
      </c>
      <c r="P13" s="59">
        <f>M!D10*1</f>
        <v>5.9401799999999998</v>
      </c>
      <c r="Q13" s="59">
        <f>M!E10*1</f>
        <v>40</v>
      </c>
      <c r="R13" s="59">
        <f>M!F10*1</f>
        <v>60.622199999999999</v>
      </c>
      <c r="S13" s="59">
        <f>M!G10*1</f>
        <v>100</v>
      </c>
      <c r="T13" s="59">
        <f>M!H10*1</f>
        <v>74.744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14.670299999999999</v>
      </c>
      <c r="D14" s="106">
        <f>N16</f>
        <v>19.369599999999998</v>
      </c>
      <c r="E14" s="107">
        <f>T16</f>
        <v>31.848800000000001</v>
      </c>
      <c r="F14" s="96">
        <f>P16</f>
        <v>13.792400000000001</v>
      </c>
      <c r="G14" s="112" t="str">
        <f>CONCATENATE(M17,"
(10 ~ 50)")</f>
        <v>神经质
(10 ~ 50)</v>
      </c>
      <c r="H14" s="105">
        <f>R17</f>
        <v>2.8099400000000001</v>
      </c>
      <c r="I14" s="106">
        <f>N17</f>
        <v>26.715299999999999</v>
      </c>
      <c r="J14" s="107">
        <f>T17</f>
        <v>38.1297</v>
      </c>
      <c r="K14" s="97">
        <f>P17</f>
        <v>30.031099999999999</v>
      </c>
      <c r="M14" s="27" t="str">
        <f>lang!B20</f>
        <v>活力</v>
      </c>
      <c r="N14" s="59">
        <f>M!B11*1</f>
        <v>9.3372399999999995</v>
      </c>
      <c r="O14" s="59">
        <f>M!C11*1</f>
        <v>2.09518</v>
      </c>
      <c r="P14" s="59">
        <f>M!D11*1</f>
        <v>22.439</v>
      </c>
      <c r="Q14" s="59">
        <f>M!E11*1</f>
        <v>10</v>
      </c>
      <c r="R14" s="59">
        <f>M!F11*1</f>
        <v>5.9368800000000004</v>
      </c>
      <c r="S14" s="59">
        <f>M!G11*1</f>
        <v>50</v>
      </c>
      <c r="T14" s="59">
        <f>M!H11*1</f>
        <v>14.2376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69.876800000000003</v>
      </c>
      <c r="O15" s="59">
        <f>M!C12*1</f>
        <v>3.43913</v>
      </c>
      <c r="P15" s="59">
        <f>M!D12*1</f>
        <v>4.9217000000000004</v>
      </c>
      <c r="Q15" s="59">
        <f>M!E12*1</f>
        <v>50</v>
      </c>
      <c r="R15" s="59">
        <f>M!F12*1</f>
        <v>64.180899999999994</v>
      </c>
      <c r="S15" s="59">
        <f>M!G12*1</f>
        <v>100</v>
      </c>
      <c r="T15" s="59">
        <f>M!H12*1</f>
        <v>79.056799999999996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19.369599999999998</v>
      </c>
      <c r="O16" s="59">
        <f>M!C13*1</f>
        <v>2.6715300000000002</v>
      </c>
      <c r="P16" s="59">
        <f>M!D13*1</f>
        <v>13.792400000000001</v>
      </c>
      <c r="Q16" s="59">
        <f>M!E13*1</f>
        <v>10</v>
      </c>
      <c r="R16" s="59">
        <f>M!F13*1</f>
        <v>14.670299999999999</v>
      </c>
      <c r="S16" s="59">
        <f>M!G13*1</f>
        <v>25</v>
      </c>
      <c r="T16" s="59">
        <f>M!H13*1</f>
        <v>31.848800000000001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26.715299999999999</v>
      </c>
      <c r="O17" s="59">
        <f>M!C14*1</f>
        <v>8.0228900000000003</v>
      </c>
      <c r="P17" s="59">
        <f>M!D14*1</f>
        <v>30.031099999999999</v>
      </c>
      <c r="Q17" s="59">
        <f>M!E14*1</f>
        <v>10</v>
      </c>
      <c r="R17" s="59">
        <f>M!F14*1</f>
        <v>2.8099400000000001</v>
      </c>
      <c r="S17" s="59">
        <f>M!G14*1</f>
        <v>50</v>
      </c>
      <c r="T17" s="59">
        <f>M!H14*1</f>
        <v>38.1297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55.215935000000002</v>
      </c>
      <c r="O18" s="22">
        <f>N18/(N18+N19+N20)</f>
        <v>0.52536090060452345</v>
      </c>
      <c r="P18" s="65">
        <f>SUM(P12:P15)/4</f>
        <v>9.8746974999999999</v>
      </c>
      <c r="Q18" s="22">
        <f>P18/(P18+P19+P20)</f>
        <v>0.17743023644897946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26.842575000000004</v>
      </c>
      <c r="O19" s="22">
        <f>N19/(N18+N19+N20)</f>
        <v>0.25539800017050274</v>
      </c>
      <c r="P19" s="18">
        <f>SUM(P8:P11)/4</f>
        <v>23.867525000000001</v>
      </c>
      <c r="Q19" s="22">
        <f>P19/(P18+P19+P20)</f>
        <v>0.42885572993015014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23.042449999999999</v>
      </c>
      <c r="O20" s="22">
        <f>N20/(N18+N19+N20)</f>
        <v>0.21924109922497373</v>
      </c>
      <c r="P20" s="18">
        <f>(P16+P17)/2</f>
        <v>21.911749999999998</v>
      </c>
      <c r="Q20" s="22">
        <f>P20/(P18+P19+P20)</f>
        <v>0.39371403362087048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-0.13483155405405364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0.93279126360353215</v>
      </c>
      <c r="D25" s="44" t="str">
        <f>lang!B11</f>
        <v>频率方差</v>
      </c>
      <c r="E25" s="142">
        <f ca="1">FH!L3</f>
        <v>0.47209395378353203</v>
      </c>
      <c r="F25" s="143"/>
      <c r="G25" s="134" t="str">
        <f>lang!B12</f>
        <v>生理变化率</v>
      </c>
      <c r="H25" s="135"/>
      <c r="I25" s="62" t="str">
        <f ca="1">CONCATENATE(info!M7,"-",info!M8)</f>
        <v>46.7-73.2</v>
      </c>
      <c r="J25" s="42" t="str">
        <f>lang!B13</f>
        <v>千卡l/分钟</v>
      </c>
      <c r="K25" s="41" t="str">
        <f ca="1">CONCATENATE(info!M5,"-",info!M6)</f>
        <v>1.2-2.4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73.473200000000006</v>
      </c>
      <c r="F28" s="164"/>
      <c r="G28" s="178" t="str">
        <f>lang!B33</f>
        <v>稳定性</v>
      </c>
      <c r="H28" s="179"/>
      <c r="I28" s="180"/>
      <c r="J28" s="181">
        <f>M!B19*100</f>
        <v>81.063400000000001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43629.435335648152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6.6812000000000005</v>
      </c>
      <c r="O7" s="59">
        <f t="shared" ref="O7:T7" si="2">AG7-X7</f>
        <v>-0.94548999999999994</v>
      </c>
      <c r="P7" s="59">
        <f t="shared" si="2"/>
        <v>-8.3908000000000005</v>
      </c>
      <c r="Q7" s="59">
        <f t="shared" si="2"/>
        <v>0</v>
      </c>
      <c r="R7" s="59">
        <f t="shared" si="2"/>
        <v>11.615300000000001</v>
      </c>
      <c r="S7" s="59">
        <f t="shared" si="2"/>
        <v>0</v>
      </c>
      <c r="T7" s="59">
        <f t="shared" si="2"/>
        <v>5.3725999999999985</v>
      </c>
      <c r="U7" s="14"/>
      <c r="V7" s="27" t="str">
        <f>M7</f>
        <v>攻击性</v>
      </c>
      <c r="W7" s="59">
        <f>'M1'!B5*1</f>
        <v>22.1311</v>
      </c>
      <c r="X7" s="59">
        <f>'M1'!C5*1</f>
        <v>4.8762400000000001</v>
      </c>
      <c r="Y7" s="59">
        <f>'M1'!D5*1</f>
        <v>22.0334</v>
      </c>
      <c r="Z7" s="59">
        <f>'M1'!E5*1</f>
        <v>20</v>
      </c>
      <c r="AA7" s="59">
        <f>'M1'!F5*1</f>
        <v>11.477</v>
      </c>
      <c r="AB7" s="59">
        <f>'M1'!G5*1</f>
        <v>50</v>
      </c>
      <c r="AC7" s="59">
        <f>'M1'!H5*1</f>
        <v>30.922499999999999</v>
      </c>
      <c r="AE7" s="27" t="str">
        <f>V7</f>
        <v>攻击性</v>
      </c>
      <c r="AF7" s="59">
        <f>'M2'!B5*1</f>
        <v>28.8123</v>
      </c>
      <c r="AG7" s="59">
        <f>'M2'!C5*1</f>
        <v>3.9307500000000002</v>
      </c>
      <c r="AH7" s="59">
        <f>'M2'!D5*1</f>
        <v>13.6426</v>
      </c>
      <c r="AI7" s="59">
        <f>'M2'!E5*1</f>
        <v>20</v>
      </c>
      <c r="AJ7" s="59">
        <f>'M2'!F5*1</f>
        <v>23.092300000000002</v>
      </c>
      <c r="AK7" s="59">
        <f>'M2'!G5*1</f>
        <v>50</v>
      </c>
      <c r="AL7" s="59">
        <f>'M2'!H5*1</f>
        <v>36.295099999999998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5.6685999999999979</v>
      </c>
      <c r="O8" s="59">
        <f t="shared" ref="O8:O16" si="5">AG8-X8</f>
        <v>-2.2668100000000004</v>
      </c>
      <c r="P8" s="59">
        <f t="shared" ref="P8:P16" si="6">AH8-Y8</f>
        <v>-9.9581599999999995</v>
      </c>
      <c r="Q8" s="59">
        <f t="shared" ref="Q8:Q16" si="7">AI8-Z8</f>
        <v>0</v>
      </c>
      <c r="R8" s="59">
        <f t="shared" ref="R8:R16" si="8">AJ8-AA8</f>
        <v>7.8547000000000011</v>
      </c>
      <c r="S8" s="59">
        <f t="shared" ref="S8:S16" si="9">AK8-AB8</f>
        <v>0</v>
      </c>
      <c r="T8" s="59">
        <f t="shared" ref="T8:T16" si="10">AL8-AC8</f>
        <v>0.97540000000000049</v>
      </c>
      <c r="U8" s="15"/>
      <c r="V8" s="27" t="str">
        <f t="shared" ref="V8:V16" si="11">M8</f>
        <v>压力</v>
      </c>
      <c r="W8" s="59">
        <f>'M1'!B6*1</f>
        <v>26.349499999999999</v>
      </c>
      <c r="X8" s="59">
        <f>'M1'!C6*1</f>
        <v>4.2838700000000003</v>
      </c>
      <c r="Y8" s="59">
        <f>'M1'!D6*1</f>
        <v>16.257899999999999</v>
      </c>
      <c r="Z8" s="59">
        <f>'M1'!E6*1</f>
        <v>20</v>
      </c>
      <c r="AA8" s="59">
        <f>'M1'!F6*1</f>
        <v>22.0565</v>
      </c>
      <c r="AB8" s="59">
        <f>'M1'!G6*1</f>
        <v>40</v>
      </c>
      <c r="AC8" s="59">
        <f>'M1'!H6*1</f>
        <v>35.843800000000002</v>
      </c>
      <c r="AE8" s="27" t="str">
        <f t="shared" ref="AE8:AE16" si="12">V8</f>
        <v>压力</v>
      </c>
      <c r="AF8" s="59">
        <f>'M2'!B6*1</f>
        <v>32.018099999999997</v>
      </c>
      <c r="AG8" s="59">
        <f>'M2'!C6*1</f>
        <v>2.0170599999999999</v>
      </c>
      <c r="AH8" s="59">
        <f>'M2'!D6*1</f>
        <v>6.2997399999999999</v>
      </c>
      <c r="AI8" s="59">
        <f>'M2'!E6*1</f>
        <v>20</v>
      </c>
      <c r="AJ8" s="59">
        <f>'M2'!F6*1</f>
        <v>29.911200000000001</v>
      </c>
      <c r="AK8" s="59">
        <f>'M2'!G6*1</f>
        <v>40</v>
      </c>
      <c r="AL8" s="59">
        <f>'M2'!H6*1</f>
        <v>36.819200000000002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11.615300000000001</v>
      </c>
      <c r="D9" s="78">
        <f>N7</f>
        <v>6.6812000000000005</v>
      </c>
      <c r="E9" s="79">
        <f>T7</f>
        <v>5.3725999999999985</v>
      </c>
      <c r="F9" s="79">
        <f>P7</f>
        <v>-8.3908000000000005</v>
      </c>
      <c r="G9" s="80" t="str">
        <f>CONCATENATE(M8,"
(20 ~ 40)")</f>
        <v>压力
(20 ~ 40)</v>
      </c>
      <c r="H9" s="77">
        <f>R8</f>
        <v>7.8547000000000011</v>
      </c>
      <c r="I9" s="81">
        <f>N8</f>
        <v>5.6685999999999979</v>
      </c>
      <c r="J9" s="77">
        <f>T8</f>
        <v>0.97540000000000049</v>
      </c>
      <c r="K9" s="82">
        <f>P8</f>
        <v>-9.9581599999999995</v>
      </c>
      <c r="L9" s="6"/>
      <c r="M9" s="27" t="str">
        <f>lang!B16</f>
        <v>焦虑</v>
      </c>
      <c r="N9" s="59">
        <f t="shared" si="4"/>
        <v>-2.9263000000000012</v>
      </c>
      <c r="O9" s="59">
        <f t="shared" si="5"/>
        <v>-0.83354000000000106</v>
      </c>
      <c r="P9" s="59">
        <f t="shared" si="6"/>
        <v>1.8967999999999989</v>
      </c>
      <c r="Q9" s="59">
        <f t="shared" si="7"/>
        <v>0</v>
      </c>
      <c r="R9" s="59">
        <f t="shared" si="8"/>
        <v>3.4998000000000005</v>
      </c>
      <c r="S9" s="59">
        <f t="shared" si="9"/>
        <v>0</v>
      </c>
      <c r="T9" s="59">
        <f t="shared" si="10"/>
        <v>-1.0617999999999981</v>
      </c>
      <c r="U9" s="14"/>
      <c r="V9" s="27" t="str">
        <f t="shared" si="11"/>
        <v>焦虑</v>
      </c>
      <c r="W9" s="59">
        <f>'M1'!B7*1</f>
        <v>24.978000000000002</v>
      </c>
      <c r="X9" s="59">
        <f>'M1'!C7*1</f>
        <v>10.6851</v>
      </c>
      <c r="Y9" s="59">
        <f>'M1'!D7*1</f>
        <v>42.778100000000002</v>
      </c>
      <c r="Z9" s="59">
        <f>'M1'!E7*1</f>
        <v>15</v>
      </c>
      <c r="AA9" s="59">
        <f>'M1'!F7*1</f>
        <v>8.6465999999999994</v>
      </c>
      <c r="AB9" s="59">
        <f>'M1'!G7*1</f>
        <v>40</v>
      </c>
      <c r="AC9" s="59">
        <f>'M1'!H7*1</f>
        <v>54.095199999999998</v>
      </c>
      <c r="AE9" s="27" t="str">
        <f t="shared" si="12"/>
        <v>焦虑</v>
      </c>
      <c r="AF9" s="59">
        <f>'M2'!B7*1</f>
        <v>22.0517</v>
      </c>
      <c r="AG9" s="59">
        <f>'M2'!C7*1</f>
        <v>9.8515599999999992</v>
      </c>
      <c r="AH9" s="59">
        <f>'M2'!D7*1</f>
        <v>44.674900000000001</v>
      </c>
      <c r="AI9" s="59">
        <f>'M2'!E7*1</f>
        <v>15</v>
      </c>
      <c r="AJ9" s="59">
        <f>'M2'!F7*1</f>
        <v>12.1464</v>
      </c>
      <c r="AK9" s="59">
        <f>'M2'!G7*1</f>
        <v>40</v>
      </c>
      <c r="AL9" s="59">
        <f>'M2'!H7*1</f>
        <v>53.0334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3.4998000000000005</v>
      </c>
      <c r="D10" s="51">
        <f>N9</f>
        <v>-2.9263000000000012</v>
      </c>
      <c r="E10" s="53">
        <f>T9</f>
        <v>-1.0617999999999981</v>
      </c>
      <c r="F10" s="53">
        <f>P9</f>
        <v>1.8967999999999989</v>
      </c>
      <c r="G10" s="73" t="str">
        <f>CONCATENATE(M10,"
(20 ~ 50)")</f>
        <v>可疑
(20 ~ 50)</v>
      </c>
      <c r="H10" s="24">
        <f>R10</f>
        <v>6.2049999999999983</v>
      </c>
      <c r="I10" s="52">
        <f>N10</f>
        <v>2.7850999999999999</v>
      </c>
      <c r="J10" s="24">
        <f>T10</f>
        <v>3.4059999999999988</v>
      </c>
      <c r="K10" s="25">
        <f>P10</f>
        <v>-1.7911999999999999</v>
      </c>
      <c r="L10" s="4"/>
      <c r="M10" s="27" t="str">
        <f>lang!B17</f>
        <v>可疑</v>
      </c>
      <c r="N10" s="59">
        <f t="shared" si="4"/>
        <v>2.7850999999999999</v>
      </c>
      <c r="O10" s="59">
        <f t="shared" si="5"/>
        <v>-0.14432</v>
      </c>
      <c r="P10" s="59">
        <f t="shared" si="6"/>
        <v>-1.7911999999999999</v>
      </c>
      <c r="Q10" s="59">
        <f t="shared" si="7"/>
        <v>0</v>
      </c>
      <c r="R10" s="59">
        <f t="shared" si="8"/>
        <v>6.2049999999999983</v>
      </c>
      <c r="S10" s="59">
        <f t="shared" si="9"/>
        <v>0</v>
      </c>
      <c r="T10" s="59">
        <f t="shared" si="10"/>
        <v>3.4059999999999988</v>
      </c>
      <c r="U10" s="14"/>
      <c r="V10" s="27" t="str">
        <f t="shared" si="11"/>
        <v>可疑</v>
      </c>
      <c r="W10" s="59">
        <f>'M1'!B8*1</f>
        <v>26.052099999999999</v>
      </c>
      <c r="X10" s="59">
        <f>'M1'!C8*1</f>
        <v>3.48184</v>
      </c>
      <c r="Y10" s="59">
        <f>'M1'!D8*1</f>
        <v>13.3649</v>
      </c>
      <c r="Z10" s="59">
        <f>'M1'!E8*1</f>
        <v>20</v>
      </c>
      <c r="AA10" s="59">
        <f>'M1'!F8*1</f>
        <v>18</v>
      </c>
      <c r="AB10" s="59">
        <f>'M1'!G8*1</f>
        <v>50</v>
      </c>
      <c r="AC10" s="59">
        <f>'M1'!H8*1</f>
        <v>34.910600000000002</v>
      </c>
      <c r="AE10" s="27" t="str">
        <f t="shared" si="12"/>
        <v>可疑</v>
      </c>
      <c r="AF10" s="59">
        <f>'M2'!B8*1</f>
        <v>28.837199999999999</v>
      </c>
      <c r="AG10" s="59">
        <f>'M2'!C8*1</f>
        <v>3.33752</v>
      </c>
      <c r="AH10" s="59">
        <f>'M2'!D8*1</f>
        <v>11.573700000000001</v>
      </c>
      <c r="AI10" s="59">
        <f>'M2'!E8*1</f>
        <v>20</v>
      </c>
      <c r="AJ10" s="59">
        <f>'M2'!F8*1</f>
        <v>24.204999999999998</v>
      </c>
      <c r="AK10" s="59">
        <f>'M2'!G8*1</f>
        <v>50</v>
      </c>
      <c r="AL10" s="59">
        <f>'M2'!H8*1</f>
        <v>38.316600000000001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-4.9814000000000078</v>
      </c>
      <c r="D11" s="52">
        <f>N11</f>
        <v>-4.4830000000000041</v>
      </c>
      <c r="E11" s="24">
        <f>T11</f>
        <v>-2.0412999999999926</v>
      </c>
      <c r="F11" s="24">
        <f>P11</f>
        <v>1.8498300000000008</v>
      </c>
      <c r="G11" s="73" t="str">
        <f>CONCATENATE(M12,"
(40 ~ 100)")</f>
        <v>自信
(40 ~ 100)</v>
      </c>
      <c r="H11" s="24">
        <f>R12</f>
        <v>0.71809999999999974</v>
      </c>
      <c r="I11" s="52">
        <f>N12</f>
        <v>-3.6183999999999941</v>
      </c>
      <c r="J11" s="24">
        <f>T12</f>
        <v>-4.2091999999999956</v>
      </c>
      <c r="K11" s="25">
        <f>P12</f>
        <v>-2.0974599999999999</v>
      </c>
      <c r="L11" s="4"/>
      <c r="M11" s="27" t="str">
        <f>lang!B18</f>
        <v>平衡</v>
      </c>
      <c r="N11" s="59">
        <f t="shared" si="4"/>
        <v>-4.4830000000000041</v>
      </c>
      <c r="O11" s="59">
        <f t="shared" si="5"/>
        <v>1.07701</v>
      </c>
      <c r="P11" s="59">
        <f t="shared" si="6"/>
        <v>1.8498300000000008</v>
      </c>
      <c r="Q11" s="59">
        <f t="shared" si="7"/>
        <v>0</v>
      </c>
      <c r="R11" s="59">
        <f t="shared" si="8"/>
        <v>-4.9814000000000078</v>
      </c>
      <c r="S11" s="59">
        <f t="shared" si="9"/>
        <v>0</v>
      </c>
      <c r="T11" s="59">
        <f t="shared" si="10"/>
        <v>-2.0412999999999926</v>
      </c>
      <c r="U11" s="14"/>
      <c r="V11" s="27" t="str">
        <f t="shared" si="11"/>
        <v>平衡</v>
      </c>
      <c r="W11" s="59">
        <f>'M1'!B9*1</f>
        <v>74.810400000000001</v>
      </c>
      <c r="X11" s="59">
        <f>'M1'!C9*1</f>
        <v>3.7368299999999999</v>
      </c>
      <c r="Y11" s="59">
        <f>'M1'!D9*1</f>
        <v>4.9950599999999996</v>
      </c>
      <c r="Z11" s="59">
        <f>'M1'!E9*1</f>
        <v>50</v>
      </c>
      <c r="AA11" s="59">
        <f>'M1'!F9*1</f>
        <v>66.530100000000004</v>
      </c>
      <c r="AB11" s="59">
        <f>'M1'!G9*1</f>
        <v>100</v>
      </c>
      <c r="AC11" s="59">
        <f>'M1'!H9*1</f>
        <v>83.835499999999996</v>
      </c>
      <c r="AE11" s="27" t="str">
        <f t="shared" si="12"/>
        <v>平衡</v>
      </c>
      <c r="AF11" s="59">
        <f>'M2'!B9*1</f>
        <v>70.327399999999997</v>
      </c>
      <c r="AG11" s="59">
        <f>'M2'!C9*1</f>
        <v>4.8138399999999999</v>
      </c>
      <c r="AH11" s="59">
        <f>'M2'!D9*1</f>
        <v>6.8448900000000004</v>
      </c>
      <c r="AI11" s="59">
        <f>'M2'!E9*1</f>
        <v>50</v>
      </c>
      <c r="AJ11" s="59">
        <f>'M2'!F9*1</f>
        <v>61.548699999999997</v>
      </c>
      <c r="AK11" s="59">
        <f>'M2'!G9*1</f>
        <v>100</v>
      </c>
      <c r="AL11" s="59">
        <f>'M2'!H9*1</f>
        <v>81.794200000000004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2.4110399999999998</v>
      </c>
      <c r="D12" s="51">
        <f>N13</f>
        <v>2.2927499999999998</v>
      </c>
      <c r="E12" s="53">
        <f>T13</f>
        <v>4.2087000000000003</v>
      </c>
      <c r="F12" s="53">
        <f>P13</f>
        <v>3.1586999999999996</v>
      </c>
      <c r="G12" s="73" t="str">
        <f>CONCATENATE(M14,"
(50 ~ 100)")</f>
        <v>自我调节
(50 ~ 100)</v>
      </c>
      <c r="H12" s="24">
        <f>R14</f>
        <v>0.48260000000000502</v>
      </c>
      <c r="I12" s="52">
        <f>N14</f>
        <v>-4.6303000000000054</v>
      </c>
      <c r="J12" s="24">
        <f>T14</f>
        <v>-5.7890999999999906</v>
      </c>
      <c r="K12" s="25">
        <f>P14</f>
        <v>-2.4059300000000001</v>
      </c>
      <c r="L12" s="4"/>
      <c r="M12" s="27" t="str">
        <f>lang!B19</f>
        <v>自信</v>
      </c>
      <c r="N12" s="59">
        <f t="shared" si="4"/>
        <v>-3.6183999999999941</v>
      </c>
      <c r="O12" s="59">
        <f t="shared" si="5"/>
        <v>-1.6347899999999997</v>
      </c>
      <c r="P12" s="59">
        <f t="shared" si="6"/>
        <v>-2.0974599999999999</v>
      </c>
      <c r="Q12" s="59">
        <f t="shared" si="7"/>
        <v>0</v>
      </c>
      <c r="R12" s="59">
        <f t="shared" si="8"/>
        <v>0.71809999999999974</v>
      </c>
      <c r="S12" s="59">
        <f t="shared" si="9"/>
        <v>0</v>
      </c>
      <c r="T12" s="59">
        <f t="shared" si="10"/>
        <v>-4.2091999999999956</v>
      </c>
      <c r="U12" s="15"/>
      <c r="V12" s="27" t="str">
        <f t="shared" si="11"/>
        <v>自信</v>
      </c>
      <c r="W12" s="59">
        <f>'M1'!B10*1</f>
        <v>70.559299999999993</v>
      </c>
      <c r="X12" s="59">
        <f>'M1'!C10*1</f>
        <v>4.4994699999999996</v>
      </c>
      <c r="Y12" s="59">
        <f>'M1'!D10*1</f>
        <v>6.3768700000000003</v>
      </c>
      <c r="Z12" s="59">
        <f>'M1'!E10*1</f>
        <v>40</v>
      </c>
      <c r="AA12" s="59">
        <f>'M1'!F10*1</f>
        <v>60.622199999999999</v>
      </c>
      <c r="AB12" s="59">
        <f>'M1'!G10*1</f>
        <v>100</v>
      </c>
      <c r="AC12" s="59">
        <f>'M1'!H10*1</f>
        <v>74.744</v>
      </c>
      <c r="AE12" s="27" t="str">
        <f t="shared" si="12"/>
        <v>自信</v>
      </c>
      <c r="AF12" s="59">
        <f>'M2'!B10*1</f>
        <v>66.940899999999999</v>
      </c>
      <c r="AG12" s="59">
        <f>'M2'!C10*1</f>
        <v>2.8646799999999999</v>
      </c>
      <c r="AH12" s="59">
        <f>'M2'!D10*1</f>
        <v>4.2794100000000004</v>
      </c>
      <c r="AI12" s="59">
        <f>'M2'!E10*1</f>
        <v>40</v>
      </c>
      <c r="AJ12" s="59">
        <f>'M2'!F10*1</f>
        <v>61.340299999999999</v>
      </c>
      <c r="AK12" s="59">
        <f>'M2'!G10*1</f>
        <v>100</v>
      </c>
      <c r="AL12" s="59">
        <f>'M2'!H10*1</f>
        <v>70.534800000000004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-0.3274000000000008</v>
      </c>
      <c r="D13" s="55">
        <f>N15</f>
        <v>1.8180999999999976</v>
      </c>
      <c r="E13" s="56">
        <f>T15</f>
        <v>4.1839000000000013</v>
      </c>
      <c r="F13" s="56">
        <f>P15</f>
        <v>1.4682999999999993</v>
      </c>
      <c r="G13" s="74" t="str">
        <f>CONCATENATE(M16,"
(10 ~ 50)")</f>
        <v>神经质
(10 ~ 50)</v>
      </c>
      <c r="H13" s="54">
        <f>R16</f>
        <v>1.6420000000000101E-2</v>
      </c>
      <c r="I13" s="55">
        <f>N16</f>
        <v>5.228900000000003</v>
      </c>
      <c r="J13" s="56">
        <f>T16</f>
        <v>12.397500000000001</v>
      </c>
      <c r="K13" s="57">
        <f>P16</f>
        <v>-1.7814000000000014</v>
      </c>
      <c r="M13" s="27" t="str">
        <f>lang!B20</f>
        <v>活力</v>
      </c>
      <c r="N13" s="59">
        <f t="shared" si="4"/>
        <v>2.2927499999999998</v>
      </c>
      <c r="O13" s="59">
        <f t="shared" si="5"/>
        <v>0.65276000000000001</v>
      </c>
      <c r="P13" s="59">
        <f t="shared" si="6"/>
        <v>3.1586999999999996</v>
      </c>
      <c r="Q13" s="59">
        <f t="shared" si="7"/>
        <v>0</v>
      </c>
      <c r="R13" s="59">
        <f t="shared" si="8"/>
        <v>2.4110399999999998</v>
      </c>
      <c r="S13" s="59">
        <f t="shared" si="9"/>
        <v>0</v>
      </c>
      <c r="T13" s="59">
        <f t="shared" si="10"/>
        <v>4.2087000000000003</v>
      </c>
      <c r="U13" s="14"/>
      <c r="V13" s="27" t="str">
        <f t="shared" si="11"/>
        <v>活力</v>
      </c>
      <c r="W13" s="59">
        <f>'M1'!B11*1</f>
        <v>8.7413500000000006</v>
      </c>
      <c r="X13" s="59">
        <f>'M1'!C11*1</f>
        <v>1.15994</v>
      </c>
      <c r="Y13" s="59">
        <f>'M1'!D11*1</f>
        <v>13.269500000000001</v>
      </c>
      <c r="Z13" s="59">
        <f>'M1'!E11*1</f>
        <v>10</v>
      </c>
      <c r="AA13" s="59">
        <f>'M1'!F11*1</f>
        <v>5.9368800000000004</v>
      </c>
      <c r="AB13" s="59">
        <f>'M1'!G11*1</f>
        <v>50</v>
      </c>
      <c r="AC13" s="59">
        <f>'M1'!H11*1</f>
        <v>10.0289</v>
      </c>
      <c r="AE13" s="27" t="str">
        <f t="shared" si="12"/>
        <v>活力</v>
      </c>
      <c r="AF13" s="59">
        <f>'M2'!B11*1</f>
        <v>11.0341</v>
      </c>
      <c r="AG13" s="59">
        <f>'M2'!C11*1</f>
        <v>1.8127</v>
      </c>
      <c r="AH13" s="59">
        <f>'M2'!D11*1</f>
        <v>16.4282</v>
      </c>
      <c r="AI13" s="59">
        <f>'M2'!E11*1</f>
        <v>10</v>
      </c>
      <c r="AJ13" s="59">
        <f>'M2'!F11*1</f>
        <v>8.3479200000000002</v>
      </c>
      <c r="AK13" s="59">
        <f>'M2'!G11*1</f>
        <v>50</v>
      </c>
      <c r="AL13" s="59">
        <f>'M2'!H11*1</f>
        <v>14.2376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-4.6303000000000054</v>
      </c>
      <c r="O14" s="59">
        <f t="shared" si="5"/>
        <v>-1.9003100000000002</v>
      </c>
      <c r="P14" s="59">
        <f t="shared" si="6"/>
        <v>-2.4059300000000001</v>
      </c>
      <c r="Q14" s="59">
        <f t="shared" si="7"/>
        <v>0</v>
      </c>
      <c r="R14" s="59">
        <f t="shared" si="8"/>
        <v>0.48260000000000502</v>
      </c>
      <c r="S14" s="59">
        <f t="shared" si="9"/>
        <v>0</v>
      </c>
      <c r="T14" s="59">
        <f t="shared" si="10"/>
        <v>-5.7890999999999906</v>
      </c>
      <c r="U14" s="14"/>
      <c r="V14" s="27" t="str">
        <f t="shared" si="11"/>
        <v>自我调节</v>
      </c>
      <c r="W14" s="59">
        <f>'M1'!B12*1</f>
        <v>73.357500000000002</v>
      </c>
      <c r="X14" s="59">
        <f>'M1'!C12*1</f>
        <v>3.9096600000000001</v>
      </c>
      <c r="Y14" s="59">
        <f>'M1'!D12*1</f>
        <v>5.3296000000000001</v>
      </c>
      <c r="Z14" s="59">
        <f>'M1'!E12*1</f>
        <v>50</v>
      </c>
      <c r="AA14" s="59">
        <f>'M1'!F12*1</f>
        <v>64.180899999999994</v>
      </c>
      <c r="AB14" s="59">
        <f>'M1'!G12*1</f>
        <v>100</v>
      </c>
      <c r="AC14" s="59">
        <f>'M1'!H12*1</f>
        <v>79.056799999999996</v>
      </c>
      <c r="AE14" s="27" t="str">
        <f t="shared" si="12"/>
        <v>自我调节</v>
      </c>
      <c r="AF14" s="59">
        <f>'M2'!B12*1</f>
        <v>68.727199999999996</v>
      </c>
      <c r="AG14" s="59">
        <f>'M2'!C12*1</f>
        <v>2.00935</v>
      </c>
      <c r="AH14" s="59">
        <f>'M2'!D12*1</f>
        <v>2.92367</v>
      </c>
      <c r="AI14" s="59">
        <f>'M2'!E12*1</f>
        <v>50</v>
      </c>
      <c r="AJ14" s="59">
        <f>'M2'!F12*1</f>
        <v>64.663499999999999</v>
      </c>
      <c r="AK14" s="59">
        <f>'M2'!G12*1</f>
        <v>100</v>
      </c>
      <c r="AL14" s="59">
        <f>'M2'!H12*1</f>
        <v>73.267700000000005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1.8180999999999976</v>
      </c>
      <c r="O15" s="59">
        <f t="shared" si="5"/>
        <v>0.52288999999999985</v>
      </c>
      <c r="P15" s="59">
        <f t="shared" si="6"/>
        <v>1.4682999999999993</v>
      </c>
      <c r="Q15" s="59">
        <f t="shared" si="7"/>
        <v>0</v>
      </c>
      <c r="R15" s="59">
        <f t="shared" si="8"/>
        <v>-0.3274000000000008</v>
      </c>
      <c r="S15" s="59">
        <f t="shared" si="9"/>
        <v>0</v>
      </c>
      <c r="T15" s="59">
        <f t="shared" si="10"/>
        <v>4.1839000000000013</v>
      </c>
      <c r="U15" s="14"/>
      <c r="V15" s="27" t="str">
        <f t="shared" si="11"/>
        <v>抑郁</v>
      </c>
      <c r="W15" s="59">
        <f>'M1'!B13*1</f>
        <v>18.540700000000001</v>
      </c>
      <c r="X15" s="59">
        <f>'M1'!C13*1</f>
        <v>2.2839</v>
      </c>
      <c r="Y15" s="59">
        <f>'M1'!D13*1</f>
        <v>12.318300000000001</v>
      </c>
      <c r="Z15" s="59">
        <f>'M1'!E13*1</f>
        <v>10</v>
      </c>
      <c r="AA15" s="59">
        <f>'M1'!F13*1</f>
        <v>14.9977</v>
      </c>
      <c r="AB15" s="59">
        <f>'M1'!G13*1</f>
        <v>25</v>
      </c>
      <c r="AC15" s="59">
        <f>'M1'!H13*1</f>
        <v>27.664899999999999</v>
      </c>
      <c r="AE15" s="27" t="str">
        <f t="shared" si="12"/>
        <v>抑郁</v>
      </c>
      <c r="AF15" s="59">
        <f>'M2'!B13*1</f>
        <v>20.358799999999999</v>
      </c>
      <c r="AG15" s="59">
        <f>'M2'!C13*1</f>
        <v>2.8067899999999999</v>
      </c>
      <c r="AH15" s="59">
        <f>'M2'!D13*1</f>
        <v>13.7866</v>
      </c>
      <c r="AI15" s="59">
        <f>'M2'!E13*1</f>
        <v>10</v>
      </c>
      <c r="AJ15" s="59">
        <f>'M2'!F13*1</f>
        <v>14.670299999999999</v>
      </c>
      <c r="AK15" s="59">
        <f>'M2'!G13*1</f>
        <v>25</v>
      </c>
      <c r="AL15" s="59">
        <f>'M2'!H13*1</f>
        <v>31.848800000000001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5.228900000000003</v>
      </c>
      <c r="O16" s="59">
        <f t="shared" si="5"/>
        <v>1.1484999999999994</v>
      </c>
      <c r="P16" s="59">
        <f t="shared" si="6"/>
        <v>-1.7814000000000014</v>
      </c>
      <c r="Q16" s="59">
        <f t="shared" si="7"/>
        <v>0</v>
      </c>
      <c r="R16" s="59">
        <f t="shared" si="8"/>
        <v>1.6420000000000101E-2</v>
      </c>
      <c r="S16" s="59">
        <f t="shared" si="9"/>
        <v>0</v>
      </c>
      <c r="T16" s="59">
        <f t="shared" si="10"/>
        <v>12.397500000000001</v>
      </c>
      <c r="U16" s="15"/>
      <c r="V16" s="27" t="str">
        <f t="shared" si="11"/>
        <v>神经质</v>
      </c>
      <c r="W16" s="59">
        <f>'M1'!B14*1</f>
        <v>22.838999999999999</v>
      </c>
      <c r="X16" s="59">
        <f>'M1'!C14*1</f>
        <v>7.2004200000000003</v>
      </c>
      <c r="Y16" s="59">
        <f>'M1'!D14*1</f>
        <v>31.526800000000001</v>
      </c>
      <c r="Z16" s="59">
        <f>'M1'!E14*1</f>
        <v>10</v>
      </c>
      <c r="AA16" s="59">
        <f>'M1'!F14*1</f>
        <v>2.8099400000000001</v>
      </c>
      <c r="AB16" s="59">
        <f>'M1'!G14*1</f>
        <v>50</v>
      </c>
      <c r="AC16" s="59">
        <f>'M1'!H14*1</f>
        <v>25.732199999999999</v>
      </c>
      <c r="AE16" s="27" t="str">
        <f t="shared" si="12"/>
        <v>神经质</v>
      </c>
      <c r="AF16" s="59">
        <f>'M2'!B14*1</f>
        <v>28.067900000000002</v>
      </c>
      <c r="AG16" s="59">
        <f>'M2'!C14*1</f>
        <v>8.3489199999999997</v>
      </c>
      <c r="AH16" s="59">
        <f>'M2'!D14*1</f>
        <v>29.7454</v>
      </c>
      <c r="AI16" s="59">
        <f>'M2'!E14*1</f>
        <v>10</v>
      </c>
      <c r="AJ16" s="59">
        <f>'M2'!F14*1</f>
        <v>2.8263600000000002</v>
      </c>
      <c r="AK16" s="59">
        <f>'M2'!G14*1</f>
        <v>50</v>
      </c>
      <c r="AL16" s="59">
        <f>'M2'!H14*1</f>
        <v>38.1297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-2.6097375000000009</v>
      </c>
      <c r="O17" s="22">
        <f>N17/(N17+N18+N19)</f>
        <v>-0.65804212775748372</v>
      </c>
      <c r="P17" s="65">
        <f>SUM(P11:P14)/4</f>
        <v>0.12628500000000009</v>
      </c>
      <c r="Q17" s="22">
        <f>P17/(P17+P18+P19)</f>
        <v>-2.7506449972283378E-2</v>
      </c>
      <c r="R17" s="14"/>
      <c r="S17" s="14"/>
      <c r="T17" s="14"/>
      <c r="U17" s="14"/>
      <c r="V17" s="21" t="str">
        <f>M17</f>
        <v>Positive</v>
      </c>
      <c r="W17" s="65">
        <f>SUM(W11:W14)/4</f>
        <v>56.867137499999998</v>
      </c>
      <c r="X17" s="22">
        <f>W17/(W17+W18+W19)</f>
        <v>0.55515521906464027</v>
      </c>
      <c r="Y17" s="65">
        <f>SUM(Y11:Y14)/4</f>
        <v>7.4927574999999997</v>
      </c>
      <c r="Z17" s="22">
        <f>Y17/(Y17+Y18+Y19)</f>
        <v>0.1413091072687859</v>
      </c>
      <c r="AA17" s="14"/>
      <c r="AB17" s="14"/>
      <c r="AC17" s="14"/>
      <c r="AE17" s="21" t="str">
        <f>V17</f>
        <v>Positive</v>
      </c>
      <c r="AF17" s="65">
        <f>SUM(AF11:AF14)/4</f>
        <v>54.257400000000004</v>
      </c>
      <c r="AG17" s="22">
        <f>AF17/(AF17+AF18+AF19)</f>
        <v>0.50993521416590093</v>
      </c>
      <c r="AH17" s="65">
        <f>SUM(AH11:AH14)/4</f>
        <v>7.6190425000000008</v>
      </c>
      <c r="AI17" s="22">
        <f>AH17/(AH17+AH18+AH19)</f>
        <v>0.15731169867348616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3.0521499999999993</v>
      </c>
      <c r="O18" s="22">
        <f>N18/(N17+N18+N19)</f>
        <v>0.76959590006083101</v>
      </c>
      <c r="P18" s="18">
        <f>SUM(P7:P10)/4</f>
        <v>-4.5608399999999998</v>
      </c>
      <c r="Q18" s="22">
        <f>P18/(P17+P18+P19)</f>
        <v>0.99340790506860532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24.877674999999996</v>
      </c>
      <c r="X18" s="22">
        <f>W18/(W17+W18+W19)</f>
        <v>0.24286383527646216</v>
      </c>
      <c r="Y18" s="18">
        <f>SUM(Y7:Y10)/4</f>
        <v>23.608575000000002</v>
      </c>
      <c r="Z18" s="22">
        <f>Y18/(Y17+Y18+Y19)</f>
        <v>0.44524417841337821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27.929824999999997</v>
      </c>
      <c r="AG18" s="22">
        <f>AF18/(AF17+AF18+AF19)</f>
        <v>0.26249693669418606</v>
      </c>
      <c r="AH18" s="18">
        <f>SUM(AH7:AH10)/4</f>
        <v>19.047735000000003</v>
      </c>
      <c r="AI18" s="22">
        <f>AH18/(AH17+AH18+AH19)</f>
        <v>0.39328190500740956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3.5235000000000003</v>
      </c>
      <c r="O19" s="22">
        <f>N19/(N17+N18+N19)</f>
        <v>0.88844622769665282</v>
      </c>
      <c r="P19" s="18">
        <f>(P15+P16)/2</f>
        <v>-0.15655000000000108</v>
      </c>
      <c r="Q19" s="22">
        <f>P19/(P17+P18+P19)</f>
        <v>3.4098544903678099E-2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20.68985</v>
      </c>
      <c r="X19" s="22">
        <f>W19/(W17+W18+W19)</f>
        <v>0.20198094565889743</v>
      </c>
      <c r="Y19" s="18">
        <f>(Y15+Y16)/2</f>
        <v>21.922550000000001</v>
      </c>
      <c r="Z19" s="22">
        <f>Y19/(Y17+Y18+Y19)</f>
        <v>0.41344671431783597</v>
      </c>
      <c r="AA19" s="14"/>
      <c r="AB19" s="14"/>
      <c r="AC19" s="14"/>
      <c r="AE19" s="21" t="str">
        <f t="shared" si="14"/>
        <v>Physiological</v>
      </c>
      <c r="AF19" s="18">
        <f>(AF15+AF16)/2</f>
        <v>24.213349999999998</v>
      </c>
      <c r="AG19" s="22">
        <f>AF19/(AF17+AF18+AF19)</f>
        <v>0.22756784913991299</v>
      </c>
      <c r="AH19" s="18">
        <f>(AH15+AH16)/2</f>
        <v>21.765999999999998</v>
      </c>
      <c r="AI19" s="22">
        <f>AH19/(AH17+AH18+AH19)</f>
        <v>0.44940639631910428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0.79/1.04</v>
      </c>
      <c r="D24" s="44" t="str">
        <f>lang!B11</f>
        <v>频率方差</v>
      </c>
      <c r="E24" s="142" t="str">
        <f ca="1">CONCATENATE(ROUND('FH1'!L3,2),"/",ROUND('FH2'!L3,2))</f>
        <v>0.4/0.49</v>
      </c>
      <c r="F24" s="143"/>
      <c r="G24" s="134" t="str">
        <f>lang!B12</f>
        <v>生理变化率</v>
      </c>
      <c r="H24" s="135"/>
      <c r="I24" s="62" t="str">
        <f ca="1">CONCATENATE(info!M7,"-",info!M8)</f>
        <v>46.7-73.2</v>
      </c>
      <c r="J24" s="42" t="str">
        <f>lang!B13</f>
        <v>千卡l/分钟</v>
      </c>
      <c r="K24" s="41" t="str">
        <f ca="1">CONCATENATE(info!M5,"-",info!M6)</f>
        <v>1.2-2.4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10.357500000000009</v>
      </c>
      <c r="F27" s="164"/>
      <c r="G27" s="178" t="str">
        <f>lang!B33</f>
        <v>稳定性</v>
      </c>
      <c r="H27" s="179"/>
      <c r="I27" s="180"/>
      <c r="J27" s="181">
        <f>dM!B19*100</f>
        <v>7.8017000000000003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-0.98946972980758208</v>
      </c>
      <c r="C2">
        <f t="array" aca="1" ref="C2" ca="1">CORREL(FT_E02,FT_PH02)</f>
        <v>-0.88819002701254512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1.2066399999999999</v>
      </c>
      <c r="G2" s="61">
        <f>IF(FT!B2&lt;&gt;"",FT!B2*100,"")</f>
        <v>73.178799999999995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1.22539</v>
      </c>
      <c r="G3" s="61">
        <f>IF(FT!B3&lt;&gt;"",FT!B3*100,"")</f>
        <v>72.719800000000006</v>
      </c>
      <c r="H3" s="61">
        <f t="shared" ref="H3:H66" si="1">(IF(F3&lt;&gt;"",1,""))</f>
        <v>1</v>
      </c>
      <c r="I3" t="str">
        <f>IF(FT!B3&lt;&gt;"",FT!E3,"")</f>
        <v>1 [0.408137]</v>
      </c>
      <c r="J3">
        <f>IF(FT!B3&lt;&gt;"",FT!C3,"")</f>
        <v>0.40813700000000003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0.59239728378378353</v>
      </c>
      <c r="V3">
        <f ca="1">AVERAGE(OFFSET(FT!B2,info!$L$3/2,0,info!$L$3/2,1))</f>
        <v>0.50391335135135151</v>
      </c>
      <c r="W3">
        <f ca="1">AVERAGE(OFFSET(FT!A2,0,0,info!$L$3/2,1))</f>
        <v>0.16856852702702704</v>
      </c>
      <c r="X3">
        <f ca="1">AVERAGE(OFFSET(FT!A2,info!$L$3/2,0,info!$L$3/2,1))</f>
        <v>0.21491614864864866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1.2447600000000001</v>
      </c>
      <c r="G4" s="61">
        <f>IF(FT!B4&lt;&gt;"",FT!B4*100,"")</f>
        <v>72.204999999999998</v>
      </c>
      <c r="H4" s="61">
        <f t="shared" si="1"/>
        <v>1</v>
      </c>
      <c r="I4" t="str">
        <f>IF(FT!B4&lt;&gt;"",FT!E4,"")</f>
        <v>1 [0.815993]</v>
      </c>
      <c r="J4">
        <f>IF(FT!B4&lt;&gt;"",FT!C4,"")</f>
        <v>0.81599299999999997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14.931100000000001</v>
      </c>
      <c r="V4">
        <f>U4*3</f>
        <v>44.793300000000002</v>
      </c>
      <c r="W4">
        <f>U4</f>
        <v>14.931100000000001</v>
      </c>
      <c r="X4">
        <f>V4</f>
        <v>44.793300000000002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1.2645899999999999</v>
      </c>
      <c r="G5" s="61">
        <f>IF(FT!B5&lt;&gt;"",FT!B5*100,"")</f>
        <v>71.6173</v>
      </c>
      <c r="H5" s="61">
        <f t="shared" si="1"/>
        <v>1</v>
      </c>
      <c r="I5" t="str">
        <f>IF(FT!B5&lt;&gt;"",FT!E5,"")</f>
        <v>1 [1.221126]</v>
      </c>
      <c r="J5">
        <f>IF(FT!B5&lt;&gt;"",FT!C5,"")</f>
        <v>1.22113</v>
      </c>
      <c r="K5" t="s">
        <v>53</v>
      </c>
      <c r="L5" s="63">
        <f ca="1">MIN(FT_E)</f>
        <v>1.2066399999999999</v>
      </c>
      <c r="M5" s="63">
        <f ca="1">ROUND(L5,1)</f>
        <v>1.2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59.239728378378352</v>
      </c>
      <c r="V5">
        <f ca="1">V3*100</f>
        <v>50.391335135135151</v>
      </c>
      <c r="W5">
        <f ca="1">W3*10</f>
        <v>1.6856852702702705</v>
      </c>
      <c r="X5">
        <f ca="1">X3*10</f>
        <v>2.1491614864864865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1.2841400000000001</v>
      </c>
      <c r="G6" s="61">
        <f>IF(FT!B6&lt;&gt;"",FT!B6*100,"")</f>
        <v>71.049099999999996</v>
      </c>
      <c r="H6" s="61">
        <f t="shared" si="1"/>
        <v>1</v>
      </c>
      <c r="I6" t="str">
        <f>IF(FT!B6&lt;&gt;"",FT!E6,"")</f>
        <v>1 [1.626320]</v>
      </c>
      <c r="J6">
        <f>IF(FT!B6&lt;&gt;"",FT!C6,"")</f>
        <v>1.62632</v>
      </c>
      <c r="K6" t="s">
        <v>54</v>
      </c>
      <c r="L6" s="63">
        <f ca="1">MAX(FT_E)</f>
        <v>2.3686199999999999</v>
      </c>
      <c r="M6" s="63">
        <f ca="1">ROUND(L6,1)</f>
        <v>2.4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1.3033300000000001</v>
      </c>
      <c r="G7" s="61">
        <f>IF(FT!B7&lt;&gt;"",FT!B7*100,"")</f>
        <v>70.513300000000001</v>
      </c>
      <c r="H7" s="61">
        <f t="shared" si="1"/>
        <v>1</v>
      </c>
      <c r="I7" t="str">
        <f>IF(FT!B7&lt;&gt;"",FT!E7,"")</f>
        <v>1 [2.032565]</v>
      </c>
      <c r="J7">
        <f>IF(FT!B7&lt;&gt;"",FT!C7,"")</f>
        <v>2.0325600000000001</v>
      </c>
      <c r="K7" t="s">
        <v>55</v>
      </c>
      <c r="L7" s="63">
        <f ca="1">MIN(FT_PH)</f>
        <v>46.7014</v>
      </c>
      <c r="M7" s="63">
        <f ca="1">ROUND(L7,1)</f>
        <v>46.7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17503</v>
      </c>
      <c r="D8" s="61">
        <f>FH!B8*1</f>
        <v>17503</v>
      </c>
      <c r="E8">
        <f t="shared" si="3"/>
        <v>6</v>
      </c>
      <c r="F8" s="61">
        <f>IF(FT!A8&lt;&gt;"",FT!A8*10,"")</f>
        <v>1.32196</v>
      </c>
      <c r="G8" s="61">
        <f>IF(FT!B8&lt;&gt;"",FT!B8*100,"")</f>
        <v>70.019300000000001</v>
      </c>
      <c r="H8" s="61">
        <f t="shared" si="1"/>
        <v>1</v>
      </c>
      <c r="I8" t="str">
        <f>IF(FT!B8&lt;&gt;"",FT!E8,"")</f>
        <v>1 [2.438326]</v>
      </c>
      <c r="J8">
        <f>IF(FT!B8&lt;&gt;"",FT!C8,"")</f>
        <v>2.4383300000000001</v>
      </c>
      <c r="K8" t="s">
        <v>56</v>
      </c>
      <c r="L8" s="63">
        <f ca="1">MAX(FT_PH)</f>
        <v>73.178799999999995</v>
      </c>
      <c r="M8" s="63">
        <f ca="1">ROUND(L8,1)</f>
        <v>73.2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1.3413900000000001</v>
      </c>
      <c r="G9" s="61">
        <f>IF(FT!B9&lt;&gt;"",FT!B9*100,"")</f>
        <v>69.519400000000005</v>
      </c>
      <c r="H9" s="61">
        <f t="shared" si="1"/>
        <v>1</v>
      </c>
      <c r="I9" t="str">
        <f>IF(FT!B9&lt;&gt;"",FT!E9,"")</f>
        <v>1 [2.844245]</v>
      </c>
      <c r="J9">
        <f>IF(FT!B9&lt;&gt;"",FT!C9,"")</f>
        <v>2.8442400000000001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32277</v>
      </c>
      <c r="D10" s="61">
        <f>FH!B10*1</f>
        <v>32277</v>
      </c>
      <c r="E10">
        <f t="shared" si="3"/>
        <v>8</v>
      </c>
      <c r="F10" s="61">
        <f>IF(FT!A10&lt;&gt;"",FT!A10*10,"")</f>
        <v>1.3611599999999999</v>
      </c>
      <c r="G10" s="61">
        <f>IF(FT!B10&lt;&gt;"",FT!B10*100,"")</f>
        <v>69.028500000000008</v>
      </c>
      <c r="H10" s="61">
        <f t="shared" si="1"/>
        <v>1</v>
      </c>
      <c r="I10" t="str">
        <f>IF(FT!B10&lt;&gt;"",FT!E10,"")</f>
        <v>1 [3.252707]</v>
      </c>
      <c r="J10">
        <f>IF(FT!B10&lt;&gt;"",FT!C10,"")</f>
        <v>3.25271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1.38191</v>
      </c>
      <c r="G11" s="61">
        <f>IF(FT!B11&lt;&gt;"",FT!B11*100,"")</f>
        <v>68.541300000000007</v>
      </c>
      <c r="H11" s="61">
        <f t="shared" si="1"/>
        <v>1</v>
      </c>
      <c r="I11" t="str">
        <f>IF(FT!B11&lt;&gt;"",FT!E11,"")</f>
        <v>1 [3.661466]</v>
      </c>
      <c r="J11">
        <f>IF(FT!B11&lt;&gt;"",FT!C11,"")</f>
        <v>3.66147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1.4045700000000001</v>
      </c>
      <c r="G12" s="61">
        <f>IF(FT!B12&lt;&gt;"",FT!B12*100,"")</f>
        <v>68.023199999999989</v>
      </c>
      <c r="H12" s="61">
        <f t="shared" si="1"/>
        <v>1</v>
      </c>
      <c r="I12" t="str">
        <f>IF(FT!B12&lt;&gt;"",FT!E12,"")</f>
        <v>1 [4.066159]</v>
      </c>
      <c r="J12">
        <f>IF(FT!B12&lt;&gt;"",FT!C12,"")</f>
        <v>4.06616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44895</v>
      </c>
      <c r="D13" s="61">
        <f>FH!B13*1</f>
        <v>44895</v>
      </c>
      <c r="E13">
        <f t="shared" si="3"/>
        <v>11</v>
      </c>
      <c r="F13" s="61">
        <f>IF(FT!A13&lt;&gt;"",FT!A13*10,"")</f>
        <v>1.42943</v>
      </c>
      <c r="G13" s="61">
        <f>IF(FT!B13&lt;&gt;"",FT!B13*100,"")</f>
        <v>67.402100000000004</v>
      </c>
      <c r="H13" s="61">
        <f t="shared" si="1"/>
        <v>1</v>
      </c>
      <c r="I13" t="str">
        <f>IF(FT!B13&lt;&gt;"",FT!E13,"")</f>
        <v>1 [4.471917]</v>
      </c>
      <c r="J13">
        <f>IF(FT!B13&lt;&gt;"",FT!C13,"")</f>
        <v>4.4719199999999999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1.4548099999999999</v>
      </c>
      <c r="G14" s="61">
        <f>IF(FT!B14&lt;&gt;"",FT!B14*100,"")</f>
        <v>66.715000000000003</v>
      </c>
      <c r="H14" s="61">
        <f t="shared" si="1"/>
        <v>1</v>
      </c>
      <c r="I14" t="str">
        <f>IF(FT!B14&lt;&gt;"",FT!E14,"")</f>
        <v>1 [4.879136]</v>
      </c>
      <c r="J14">
        <f>IF(FT!B14&lt;&gt;"",FT!C14,"")</f>
        <v>4.8791399999999996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74124</v>
      </c>
      <c r="D15" s="61">
        <f>FH!B15*1</f>
        <v>74124</v>
      </c>
      <c r="E15">
        <f t="shared" si="3"/>
        <v>13</v>
      </c>
      <c r="F15" s="61">
        <f>IF(FT!A15&lt;&gt;"",FT!A15*10,"")</f>
        <v>1.4817</v>
      </c>
      <c r="G15" s="61">
        <f>IF(FT!B15&lt;&gt;"",FT!B15*100,"")</f>
        <v>65.963999999999999</v>
      </c>
      <c r="H15" s="61">
        <f t="shared" si="1"/>
        <v>1</v>
      </c>
      <c r="I15" t="str">
        <f>IF(FT!B15&lt;&gt;"",FT!E15,"")</f>
        <v>1 [5.284172]</v>
      </c>
      <c r="J15">
        <f>IF(FT!B15&lt;&gt;"",FT!C15,"")</f>
        <v>5.2841699999999996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1.50773</v>
      </c>
      <c r="G16" s="61">
        <f>IF(FT!B16&lt;&gt;"",FT!B16*100,"")</f>
        <v>65.300399999999996</v>
      </c>
      <c r="H16" s="61">
        <f t="shared" si="1"/>
        <v>1</v>
      </c>
      <c r="I16" t="str">
        <f>IF(FT!B16&lt;&gt;"",FT!E16,"")</f>
        <v>1 [5.688696]</v>
      </c>
      <c r="J16">
        <f>IF(FT!B16&lt;&gt;"",FT!C16,"")</f>
        <v>5.6886999999999999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1.52772</v>
      </c>
      <c r="G17" s="61">
        <f>IF(FT!B17&lt;&gt;"",FT!B17*100,"")</f>
        <v>64.8553</v>
      </c>
      <c r="H17" s="61">
        <f t="shared" si="1"/>
        <v>1</v>
      </c>
      <c r="I17" t="str">
        <f>IF(FT!B17&lt;&gt;"",FT!E17,"")</f>
        <v>1 [6.095279]</v>
      </c>
      <c r="J17">
        <f>IF(FT!B17&lt;&gt;"",FT!C17,"")</f>
        <v>6.0952799999999998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76331</v>
      </c>
      <c r="D18" s="61">
        <f>FH!B18*1</f>
        <v>76331</v>
      </c>
      <c r="E18">
        <f t="shared" si="3"/>
        <v>16</v>
      </c>
      <c r="F18" s="61">
        <f>IF(FT!A18&lt;&gt;"",FT!A18*10,"")</f>
        <v>1.5437100000000001</v>
      </c>
      <c r="G18" s="61">
        <f>IF(FT!B18&lt;&gt;"",FT!B18*100,"")</f>
        <v>64.530500000000004</v>
      </c>
      <c r="H18" s="61">
        <f t="shared" si="1"/>
        <v>1</v>
      </c>
      <c r="I18" t="str">
        <f>IF(FT!B18&lt;&gt;"",FT!E18,"")</f>
        <v>1 [6.502869]</v>
      </c>
      <c r="J18">
        <f>IF(FT!B18&lt;&gt;"",FT!C18,"")</f>
        <v>6.5028699999999997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1.55694</v>
      </c>
      <c r="G19" s="61">
        <f>IF(FT!B19&lt;&gt;"",FT!B19*100,"")</f>
        <v>64.298000000000002</v>
      </c>
      <c r="H19" s="61">
        <f t="shared" si="1"/>
        <v>1</v>
      </c>
      <c r="I19" t="str">
        <f>IF(FT!B19&lt;&gt;"",FT!E19,"")</f>
        <v>1 [6.912425]</v>
      </c>
      <c r="J19">
        <f>IF(FT!B19&lt;&gt;"",FT!C19,"")</f>
        <v>6.9124299999999996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1.56748</v>
      </c>
      <c r="G20" s="61">
        <f>IF(FT!B20&lt;&gt;"",FT!B20*100,"")</f>
        <v>64.105400000000003</v>
      </c>
      <c r="H20" s="61">
        <f t="shared" si="1"/>
        <v>1</v>
      </c>
      <c r="I20" t="str">
        <f>IF(FT!B20&lt;&gt;"",FT!E20,"")</f>
        <v>1 [7.312480]</v>
      </c>
      <c r="J20">
        <f>IF(FT!B20&lt;&gt;"",FT!C20,"")</f>
        <v>7.3124799999999999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86470</v>
      </c>
      <c r="D21" s="61">
        <f>FH!B21*1</f>
        <v>86470</v>
      </c>
      <c r="E21">
        <f t="shared" si="3"/>
        <v>19</v>
      </c>
      <c r="F21" s="61">
        <f>IF(FT!A21&lt;&gt;"",FT!A21*10,"")</f>
        <v>1.577</v>
      </c>
      <c r="G21" s="61">
        <f>IF(FT!B21&lt;&gt;"",FT!B21*100,"")</f>
        <v>63.956900000000005</v>
      </c>
      <c r="H21" s="61">
        <f t="shared" si="1"/>
        <v>1</v>
      </c>
      <c r="I21" t="str">
        <f>IF(FT!B21&lt;&gt;"",FT!E21,"")</f>
        <v>1 [7.719951]</v>
      </c>
      <c r="J21">
        <f>IF(FT!B21&lt;&gt;"",FT!C21,"")</f>
        <v>7.7199499999999999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1.5870799999999998</v>
      </c>
      <c r="G22" s="61">
        <f>IF(FT!B22&lt;&gt;"",FT!B22*100,"")</f>
        <v>63.782399999999996</v>
      </c>
      <c r="H22" s="61">
        <f t="shared" si="1"/>
        <v>1</v>
      </c>
      <c r="I22" t="str">
        <f>IF(FT!B22&lt;&gt;"",FT!E22,"")</f>
        <v>1 [8.126770]</v>
      </c>
      <c r="J22">
        <f>IF(FT!B22&lt;&gt;"",FT!C22,"")</f>
        <v>8.1267700000000005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90984</v>
      </c>
      <c r="D23" s="61">
        <f>FH!B23*1</f>
        <v>90984</v>
      </c>
      <c r="E23">
        <f t="shared" si="3"/>
        <v>21</v>
      </c>
      <c r="F23" s="61">
        <f>IF(FT!A23&lt;&gt;"",FT!A23*10,"")</f>
        <v>1.59694</v>
      </c>
      <c r="G23" s="61">
        <f>IF(FT!B23&lt;&gt;"",FT!B23*100,"")</f>
        <v>63.571299999999994</v>
      </c>
      <c r="H23" s="61">
        <f t="shared" si="1"/>
        <v>1</v>
      </c>
      <c r="I23" t="str">
        <f>IF(FT!B23&lt;&gt;"",FT!E23,"")</f>
        <v>1 [8.534954]</v>
      </c>
      <c r="J23">
        <f>IF(FT!B23&lt;&gt;"",FT!C23,"")</f>
        <v>8.5349500000000003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1.6074999999999999</v>
      </c>
      <c r="G24" s="61">
        <f>IF(FT!B24&lt;&gt;"",FT!B24*100,"")</f>
        <v>63.310699999999997</v>
      </c>
      <c r="H24" s="61">
        <f t="shared" si="1"/>
        <v>1</v>
      </c>
      <c r="I24" t="str">
        <f>IF(FT!B24&lt;&gt;"",FT!E24,"")</f>
        <v>1 [8.940586]</v>
      </c>
      <c r="J24">
        <f>IF(FT!B24&lt;&gt;"",FT!C24,"")</f>
        <v>8.9405900000000003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1.6196600000000001</v>
      </c>
      <c r="G25" s="61">
        <f>IF(FT!B25&lt;&gt;"",FT!B25*100,"")</f>
        <v>63.0015</v>
      </c>
      <c r="H25" s="61">
        <f t="shared" si="1"/>
        <v>1</v>
      </c>
      <c r="I25" t="str">
        <f>IF(FT!B25&lt;&gt;"",FT!E25,"")</f>
        <v>1 [9.344337]</v>
      </c>
      <c r="J25">
        <f>IF(FT!B25&lt;&gt;"",FT!C25,"")</f>
        <v>9.3443400000000008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97947</v>
      </c>
      <c r="D26" s="61">
        <f>FH!B26*1</f>
        <v>97947</v>
      </c>
      <c r="E26">
        <f t="shared" si="3"/>
        <v>24</v>
      </c>
      <c r="F26" s="61">
        <f>IF(FT!A26&lt;&gt;"",FT!A26*10,"")</f>
        <v>1.6309799999999999</v>
      </c>
      <c r="G26" s="61">
        <f>IF(FT!B26&lt;&gt;"",FT!B26*100,"")</f>
        <v>62.690999999999995</v>
      </c>
      <c r="H26" s="61">
        <f t="shared" si="1"/>
        <v>1</v>
      </c>
      <c r="I26" t="str">
        <f>IF(FT!B26&lt;&gt;"",FT!E26,"")</f>
        <v>1 [9.753140]</v>
      </c>
      <c r="J26">
        <f>IF(FT!B26&lt;&gt;"",FT!C26,"")</f>
        <v>9.7531400000000001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1.6401599999999998</v>
      </c>
      <c r="G27" s="61">
        <f>IF(FT!B27&lt;&gt;"",FT!B27*100,"")</f>
        <v>62.425299999999993</v>
      </c>
      <c r="H27" s="61">
        <f t="shared" si="1"/>
        <v>1</v>
      </c>
      <c r="I27" t="str">
        <f>IF(FT!B27&lt;&gt;"",FT!E27,"")</f>
        <v>1 [10.155621]</v>
      </c>
      <c r="J27">
        <f>IF(FT!B27&lt;&gt;"",FT!C27,"")</f>
        <v>10.1556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109985</v>
      </c>
      <c r="D28" s="61">
        <f>FH!B28*1</f>
        <v>109985</v>
      </c>
      <c r="E28">
        <f t="shared" si="3"/>
        <v>26</v>
      </c>
      <c r="F28" s="61">
        <f>IF(FT!A28&lt;&gt;"",FT!A28*10,"")</f>
        <v>1.6488700000000001</v>
      </c>
      <c r="G28" s="61">
        <f>IF(FT!B28&lt;&gt;"",FT!B28*100,"")</f>
        <v>62.167499999999997</v>
      </c>
      <c r="H28" s="61">
        <f t="shared" si="1"/>
        <v>1</v>
      </c>
      <c r="I28" t="str">
        <f>IF(FT!B28&lt;&gt;"",FT!E28,"")</f>
        <v>1 [10.564719]</v>
      </c>
      <c r="J28">
        <f>IF(FT!B28&lt;&gt;"",FT!C28,"")</f>
        <v>10.5647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1.65734</v>
      </c>
      <c r="G29" s="61">
        <f>IF(FT!B29&lt;&gt;"",FT!B29*100,"")</f>
        <v>61.903500000000001</v>
      </c>
      <c r="H29" s="61">
        <f t="shared" si="1"/>
        <v>1</v>
      </c>
      <c r="I29" t="str">
        <f>IF(FT!B29&lt;&gt;"",FT!E29,"")</f>
        <v>1 [10.970488]</v>
      </c>
      <c r="J29">
        <f>IF(FT!B29&lt;&gt;"",FT!C29,"")</f>
        <v>10.970499999999999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1.66482</v>
      </c>
      <c r="G30" s="61">
        <f>IF(FT!B30&lt;&gt;"",FT!B30*100,"")</f>
        <v>61.630600000000001</v>
      </c>
      <c r="H30" s="61">
        <f t="shared" si="1"/>
        <v>1</v>
      </c>
      <c r="I30" t="str">
        <f>IF(FT!B30&lt;&gt;"",FT!E30,"")</f>
        <v>1 [11.374361]</v>
      </c>
      <c r="J30">
        <f>IF(FT!B30&lt;&gt;"",FT!C30,"")</f>
        <v>11.3744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120326</v>
      </c>
      <c r="D31" s="61">
        <f>FH!B31*1</f>
        <v>120326</v>
      </c>
      <c r="E31">
        <f t="shared" si="3"/>
        <v>29</v>
      </c>
      <c r="F31" s="61">
        <f>IF(FT!A31&lt;&gt;"",FT!A31*10,"")</f>
        <v>1.67431</v>
      </c>
      <c r="G31" s="61">
        <f>IF(FT!B31&lt;&gt;"",FT!B31*100,"")</f>
        <v>61.279899999999998</v>
      </c>
      <c r="H31" s="61">
        <f t="shared" si="1"/>
        <v>1</v>
      </c>
      <c r="I31" t="str">
        <f>IF(FT!B31&lt;&gt;"",FT!E31,"")</f>
        <v>1 [11.782446]</v>
      </c>
      <c r="J31">
        <f>IF(FT!B31&lt;&gt;"",FT!C31,"")</f>
        <v>11.782400000000001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1.68492</v>
      </c>
      <c r="G32" s="61">
        <f>IF(FT!B32&lt;&gt;"",FT!B32*100,"")</f>
        <v>60.888699999999993</v>
      </c>
      <c r="H32" s="61">
        <f t="shared" si="1"/>
        <v>1</v>
      </c>
      <c r="I32" t="str">
        <f>IF(FT!B32&lt;&gt;"",FT!E32,"")</f>
        <v>1 [12.190722]</v>
      </c>
      <c r="J32">
        <f>IF(FT!B32&lt;&gt;"",FT!C32,"")</f>
        <v>12.1907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120069</v>
      </c>
      <c r="D33" s="61">
        <f>FH!B33*1</f>
        <v>120069</v>
      </c>
      <c r="E33">
        <f t="shared" si="3"/>
        <v>31</v>
      </c>
      <c r="F33" s="61">
        <f>IF(FT!A33&lt;&gt;"",FT!A33*10,"")</f>
        <v>1.69519</v>
      </c>
      <c r="G33" s="61">
        <f>IF(FT!B33&lt;&gt;"",FT!B33*100,"")</f>
        <v>60.514500000000005</v>
      </c>
      <c r="H33" s="61">
        <f t="shared" si="1"/>
        <v>1</v>
      </c>
      <c r="I33" t="str">
        <f>IF(FT!B33&lt;&gt;"",FT!E33,"")</f>
        <v>1 [12.592846]</v>
      </c>
      <c r="J33">
        <f>IF(FT!B33&lt;&gt;"",FT!C33,"")</f>
        <v>12.5928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1.7043600000000001</v>
      </c>
      <c r="G34" s="61">
        <f>IF(FT!B34&lt;&gt;"",FT!B34*100,"")</f>
        <v>60.130300000000005</v>
      </c>
      <c r="H34" s="61">
        <f t="shared" si="1"/>
        <v>1</v>
      </c>
      <c r="I34" t="str">
        <f>IF(FT!B34&lt;&gt;"",FT!E34,"")</f>
        <v>1 [12.999111]</v>
      </c>
      <c r="J34">
        <f>IF(FT!B34&lt;&gt;"",FT!C34,"")</f>
        <v>12.9991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1.71295</v>
      </c>
      <c r="G35" s="61">
        <f>IF(FT!B35&lt;&gt;"",FT!B35*100,"")</f>
        <v>59.710599999999999</v>
      </c>
      <c r="H35" s="61">
        <f t="shared" si="1"/>
        <v>1</v>
      </c>
      <c r="I35" t="str">
        <f>IF(FT!B35&lt;&gt;"",FT!E35,"")</f>
        <v>1 [13.409762]</v>
      </c>
      <c r="J35">
        <f>IF(FT!B35&lt;&gt;"",FT!C35,"")</f>
        <v>13.409800000000001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132088</v>
      </c>
      <c r="D36" s="61">
        <f>FH!B36*1</f>
        <v>132088</v>
      </c>
      <c r="E36">
        <f t="shared" si="3"/>
        <v>34</v>
      </c>
      <c r="F36" s="61">
        <f>IF(FT!A36&lt;&gt;"",FT!A36*10,"")</f>
        <v>1.7215199999999999</v>
      </c>
      <c r="G36" s="61">
        <f>IF(FT!B36&lt;&gt;"",FT!B36*100,"")</f>
        <v>59.260999999999996</v>
      </c>
      <c r="H36" s="61">
        <f t="shared" si="1"/>
        <v>1</v>
      </c>
      <c r="I36" t="str">
        <f>IF(FT!B36&lt;&gt;"",FT!E36,"")</f>
        <v>1 [13.814438]</v>
      </c>
      <c r="J36">
        <f>IF(FT!B36&lt;&gt;"",FT!C36,"")</f>
        <v>13.814399999999999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1.7295499999999999</v>
      </c>
      <c r="G37" s="61">
        <f>IF(FT!B37&lt;&gt;"",FT!B37*100,"")</f>
        <v>58.791099999999993</v>
      </c>
      <c r="H37" s="61">
        <f t="shared" si="1"/>
        <v>1</v>
      </c>
      <c r="I37" t="str">
        <f>IF(FT!B37&lt;&gt;"",FT!E37,"")</f>
        <v>1 [14.220729]</v>
      </c>
      <c r="J37">
        <f>IF(FT!B37&lt;&gt;"",FT!C37,"")</f>
        <v>14.220700000000001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1.73573</v>
      </c>
      <c r="G38" s="61">
        <f>IF(FT!B38&lt;&gt;"",FT!B38*100,"")</f>
        <v>58.348100000000002</v>
      </c>
      <c r="H38" s="61">
        <f t="shared" si="1"/>
        <v>1</v>
      </c>
      <c r="I38" t="str">
        <f>IF(FT!B38&lt;&gt;"",FT!E38,"")</f>
        <v>1 [14.627786]</v>
      </c>
      <c r="J38">
        <f>IF(FT!B38&lt;&gt;"",FT!C38,"")</f>
        <v>14.627800000000001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130449</v>
      </c>
      <c r="D39" s="61">
        <f>FH!B39*1</f>
        <v>130449</v>
      </c>
      <c r="E39">
        <f t="shared" si="3"/>
        <v>37</v>
      </c>
      <c r="F39" s="61">
        <f>IF(FT!A39&lt;&gt;"",FT!A39*10,"")</f>
        <v>1.7422599999999999</v>
      </c>
      <c r="G39" s="61">
        <f>IF(FT!B39&lt;&gt;"",FT!B39*100,"")</f>
        <v>57.918599999999998</v>
      </c>
      <c r="H39" s="61">
        <f t="shared" si="1"/>
        <v>1</v>
      </c>
      <c r="I39" t="str">
        <f>IF(FT!B39&lt;&gt;"",FT!E39,"")</f>
        <v>1 [15.030879]</v>
      </c>
      <c r="J39">
        <f>IF(FT!B39&lt;&gt;"",FT!C39,"")</f>
        <v>15.030900000000001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1.74817</v>
      </c>
      <c r="G40" s="61">
        <f>IF(FT!B40&lt;&gt;"",FT!B40*100,"")</f>
        <v>57.494799999999998</v>
      </c>
      <c r="H40" s="61">
        <f t="shared" si="1"/>
        <v>1</v>
      </c>
      <c r="I40" t="str">
        <f>IF(FT!B40&lt;&gt;"",FT!E40,"")</f>
        <v>1 [15.440084]</v>
      </c>
      <c r="J40">
        <f>IF(FT!B40&lt;&gt;"",FT!C40,"")</f>
        <v>15.440099999999999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133502</v>
      </c>
      <c r="D41" s="61">
        <f>FH!B41*1</f>
        <v>133502</v>
      </c>
      <c r="E41">
        <f t="shared" si="3"/>
        <v>39</v>
      </c>
      <c r="F41" s="61">
        <f>IF(FT!A41&lt;&gt;"",FT!A41*10,"")</f>
        <v>1.7554099999999999</v>
      </c>
      <c r="G41" s="61">
        <f>IF(FT!B41&lt;&gt;"",FT!B41*100,"")</f>
        <v>57.000799999999998</v>
      </c>
      <c r="H41" s="61">
        <f t="shared" si="1"/>
        <v>1</v>
      </c>
      <c r="I41" t="str">
        <f>IF(FT!B41&lt;&gt;"",FT!E41,"")</f>
        <v>1 [15.846229]</v>
      </c>
      <c r="J41">
        <f>IF(FT!B41&lt;&gt;"",FT!C41,"")</f>
        <v>15.8462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1.76396</v>
      </c>
      <c r="G42" s="61">
        <f>IF(FT!B42&lt;&gt;"",FT!B42*100,"")</f>
        <v>56.519399999999997</v>
      </c>
      <c r="H42" s="61">
        <f t="shared" si="1"/>
        <v>1</v>
      </c>
      <c r="I42" t="str">
        <f>IF(FT!B42&lt;&gt;"",FT!E42,"")</f>
        <v>1 [16.252731]</v>
      </c>
      <c r="J42">
        <f>IF(FT!B42&lt;&gt;"",FT!C42,"")</f>
        <v>16.252700000000001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1.7752699999999999</v>
      </c>
      <c r="G43" s="61">
        <f>IF(FT!B43&lt;&gt;"",FT!B43*100,"")</f>
        <v>56.0334</v>
      </c>
      <c r="H43" s="61">
        <f t="shared" si="1"/>
        <v>1</v>
      </c>
      <c r="I43" t="str">
        <f>IF(FT!B43&lt;&gt;"",FT!E43,"")</f>
        <v>1 [16.655843]</v>
      </c>
      <c r="J43">
        <f>IF(FT!B43&lt;&gt;"",FT!C43,"")</f>
        <v>16.655799999999999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118374</v>
      </c>
      <c r="D44" s="61">
        <f>FH!B44*1</f>
        <v>118374</v>
      </c>
      <c r="E44">
        <f t="shared" si="3"/>
        <v>42</v>
      </c>
      <c r="F44" s="61">
        <f>IF(FT!A44&lt;&gt;"",FT!A44*10,"")</f>
        <v>1.78715</v>
      </c>
      <c r="G44" s="61">
        <f>IF(FT!B44&lt;&gt;"",FT!B44*100,"")</f>
        <v>55.561400000000006</v>
      </c>
      <c r="H44" s="61">
        <f t="shared" si="1"/>
        <v>1</v>
      </c>
      <c r="I44" t="str">
        <f>IF(FT!B44&lt;&gt;"",FT!E44,"")</f>
        <v>1 [17.063606]</v>
      </c>
      <c r="J44">
        <f>IF(FT!B44&lt;&gt;"",FT!C44,"")</f>
        <v>17.063600000000001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1.7993000000000001</v>
      </c>
      <c r="G45" s="61">
        <f>IF(FT!B45&lt;&gt;"",FT!B45*100,"")</f>
        <v>55.133800000000001</v>
      </c>
      <c r="H45" s="61">
        <f t="shared" si="1"/>
        <v>1</v>
      </c>
      <c r="I45" t="str">
        <f>IF(FT!B45&lt;&gt;"",FT!E45,"")</f>
        <v>1 [17.472282]</v>
      </c>
      <c r="J45">
        <f>IF(FT!B45&lt;&gt;"",FT!C45,"")</f>
        <v>17.472300000000001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120776</v>
      </c>
      <c r="D46" s="61">
        <f>FH!B46*1</f>
        <v>120776</v>
      </c>
      <c r="E46">
        <f t="shared" si="3"/>
        <v>44</v>
      </c>
      <c r="F46" s="61">
        <f>IF(FT!A46&lt;&gt;"",FT!A46*10,"")</f>
        <v>1.8111999999999999</v>
      </c>
      <c r="G46" s="61">
        <f>IF(FT!B46&lt;&gt;"",FT!B46*100,"")</f>
        <v>54.706800000000001</v>
      </c>
      <c r="H46" s="61">
        <f t="shared" si="1"/>
        <v>1</v>
      </c>
      <c r="I46" t="str">
        <f>IF(FT!B46&lt;&gt;"",FT!E46,"")</f>
        <v>1 [17.876467]</v>
      </c>
      <c r="J46">
        <f>IF(FT!B46&lt;&gt;"",FT!C46,"")</f>
        <v>17.8765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1.8222700000000001</v>
      </c>
      <c r="G47" s="61">
        <f>IF(FT!B47&lt;&gt;"",FT!B47*100,"")</f>
        <v>54.299299999999995</v>
      </c>
      <c r="H47" s="61">
        <f t="shared" si="1"/>
        <v>1</v>
      </c>
      <c r="I47" t="str">
        <f>IF(FT!B47&lt;&gt;"",FT!E47,"")</f>
        <v>1 [18.284493]</v>
      </c>
      <c r="J47">
        <f>IF(FT!B47&lt;&gt;"",FT!C47,"")</f>
        <v>18.284500000000001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1.83311</v>
      </c>
      <c r="G48" s="61">
        <f>IF(FT!B48&lt;&gt;"",FT!B48*100,"")</f>
        <v>53.930399999999999</v>
      </c>
      <c r="H48" s="61">
        <f t="shared" si="1"/>
        <v>1</v>
      </c>
      <c r="I48" t="str">
        <f>IF(FT!B48&lt;&gt;"",FT!E48,"")</f>
        <v>1 [18.689067]</v>
      </c>
      <c r="J48">
        <f>IF(FT!B48&lt;&gt;"",FT!C48,"")</f>
        <v>18.6891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113469</v>
      </c>
      <c r="D49" s="61">
        <f>FH!B49*1</f>
        <v>113469</v>
      </c>
      <c r="E49">
        <f t="shared" si="3"/>
        <v>47</v>
      </c>
      <c r="F49" s="61">
        <f>IF(FT!A49&lt;&gt;"",FT!A49*10,"")</f>
        <v>1.8420700000000001</v>
      </c>
      <c r="G49" s="61">
        <f>IF(FT!B49&lt;&gt;"",FT!B49*100,"")</f>
        <v>53.605899999999998</v>
      </c>
      <c r="H49" s="61">
        <f t="shared" si="1"/>
        <v>1</v>
      </c>
      <c r="I49" t="str">
        <f>IF(FT!B49&lt;&gt;"",FT!E49,"")</f>
        <v>1 [19.098367]</v>
      </c>
      <c r="J49">
        <f>IF(FT!B49&lt;&gt;"",FT!C49,"")</f>
        <v>19.098400000000002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1.8496599999999999</v>
      </c>
      <c r="G50" s="61">
        <f>IF(FT!B50&lt;&gt;"",FT!B50*100,"")</f>
        <v>53.292200000000001</v>
      </c>
      <c r="H50" s="61">
        <f t="shared" si="1"/>
        <v>1</v>
      </c>
      <c r="I50" t="str">
        <f>IF(FT!B50&lt;&gt;"",FT!E50,"")</f>
        <v>1 [19.504062]</v>
      </c>
      <c r="J50">
        <f>IF(FT!B50&lt;&gt;"",FT!C50,"")</f>
        <v>19.504100000000001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114862</v>
      </c>
      <c r="D51" s="61">
        <f>FH!B51*1</f>
        <v>114862</v>
      </c>
      <c r="E51">
        <f t="shared" si="3"/>
        <v>49</v>
      </c>
      <c r="F51" s="61">
        <f>IF(FT!A51&lt;&gt;"",FT!A51*10,"")</f>
        <v>1.8570200000000001</v>
      </c>
      <c r="G51" s="61">
        <f>IF(FT!B51&lt;&gt;"",FT!B51*100,"")</f>
        <v>53.011899999999997</v>
      </c>
      <c r="H51" s="61">
        <f t="shared" si="1"/>
        <v>1</v>
      </c>
      <c r="I51" t="str">
        <f>IF(FT!B51&lt;&gt;"",FT!E51,"")</f>
        <v>1 [19.909836]</v>
      </c>
      <c r="J51">
        <f>IF(FT!B51&lt;&gt;"",FT!C51,"")</f>
        <v>19.909800000000001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1.8655900000000001</v>
      </c>
      <c r="G52" s="61">
        <f>IF(FT!B52&lt;&gt;"",FT!B52*100,"")</f>
        <v>52.739899999999992</v>
      </c>
      <c r="H52" s="61">
        <f t="shared" si="1"/>
        <v>1</v>
      </c>
      <c r="I52" t="str">
        <f>IF(FT!B52&lt;&gt;"",FT!E52,"")</f>
        <v>1 [20.314621]</v>
      </c>
      <c r="J52">
        <f>IF(FT!B52&lt;&gt;"",FT!C52,"")</f>
        <v>20.314599999999999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1.8730500000000001</v>
      </c>
      <c r="G53" s="61">
        <f>IF(FT!B53&lt;&gt;"",FT!B53*100,"")</f>
        <v>52.51</v>
      </c>
      <c r="H53" s="61">
        <f t="shared" si="1"/>
        <v>1</v>
      </c>
      <c r="I53" t="str">
        <f>IF(FT!B53&lt;&gt;"",FT!E53,"")</f>
        <v>1 [20.718726]</v>
      </c>
      <c r="J53">
        <f>IF(FT!B53&lt;&gt;"",FT!C53,"")</f>
        <v>20.718699999999998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111271</v>
      </c>
      <c r="D54" s="61">
        <f>FH!B54*1</f>
        <v>111271</v>
      </c>
      <c r="E54">
        <f t="shared" si="3"/>
        <v>52</v>
      </c>
      <c r="F54" s="61">
        <f>IF(FT!A54&lt;&gt;"",FT!A54*10,"")</f>
        <v>1.87964</v>
      </c>
      <c r="G54" s="61">
        <f>IF(FT!B54&lt;&gt;"",FT!B54*100,"")</f>
        <v>52.313699999999997</v>
      </c>
      <c r="H54" s="61">
        <f t="shared" si="1"/>
        <v>1</v>
      </c>
      <c r="I54" t="str">
        <f>IF(FT!B54&lt;&gt;"",FT!E54,"")</f>
        <v>1 [21.126225]</v>
      </c>
      <c r="J54">
        <f>IF(FT!B54&lt;&gt;"",FT!C54,"")</f>
        <v>21.126200000000001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1.8856300000000001</v>
      </c>
      <c r="G55" s="61">
        <f>IF(FT!B55&lt;&gt;"",FT!B55*100,"")</f>
        <v>52.115900000000003</v>
      </c>
      <c r="H55" s="61">
        <f t="shared" si="1"/>
        <v>1</v>
      </c>
      <c r="I55" t="str">
        <f>IF(FT!B55&lt;&gt;"",FT!E55,"")</f>
        <v>1 [21.531005]</v>
      </c>
      <c r="J55">
        <f>IF(FT!B55&lt;&gt;"",FT!C55,"")</f>
        <v>21.530999999999999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1.88971</v>
      </c>
      <c r="G56" s="61">
        <f>IF(FT!B56&lt;&gt;"",FT!B56*100,"")</f>
        <v>51.978199999999994</v>
      </c>
      <c r="H56" s="61">
        <f t="shared" si="1"/>
        <v>1</v>
      </c>
      <c r="I56" t="str">
        <f>IF(FT!B56&lt;&gt;"",FT!E56,"")</f>
        <v>1 [21.938533]</v>
      </c>
      <c r="J56">
        <f>IF(FT!B56&lt;&gt;"",FT!C56,"")</f>
        <v>21.938500000000001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111050</v>
      </c>
      <c r="D57" s="61">
        <f>FH!B57*1</f>
        <v>111050</v>
      </c>
      <c r="E57">
        <f t="shared" si="3"/>
        <v>55</v>
      </c>
      <c r="F57" s="61">
        <f>IF(FT!A57&lt;&gt;"",FT!A57*10,"")</f>
        <v>1.89419</v>
      </c>
      <c r="G57" s="61">
        <f>IF(FT!B57&lt;&gt;"",FT!B57*100,"")</f>
        <v>51.8748</v>
      </c>
      <c r="H57" s="61">
        <f t="shared" si="1"/>
        <v>1</v>
      </c>
      <c r="I57" t="str">
        <f>IF(FT!B57&lt;&gt;"",FT!E57,"")</f>
        <v>1 [22.344976]</v>
      </c>
      <c r="J57">
        <f>IF(FT!B57&lt;&gt;"",FT!C57,"")</f>
        <v>22.344999999999999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1.9001399999999999</v>
      </c>
      <c r="G58" s="61">
        <f>IF(FT!B58&lt;&gt;"",FT!B58*100,"")</f>
        <v>51.759699999999995</v>
      </c>
      <c r="H58" s="61">
        <f t="shared" si="1"/>
        <v>1</v>
      </c>
      <c r="I58" t="str">
        <f>IF(FT!B58&lt;&gt;"",FT!E58,"")</f>
        <v>1 [22.753566]</v>
      </c>
      <c r="J58">
        <f>IF(FT!B58&lt;&gt;"",FT!C58,"")</f>
        <v>22.753599999999999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96251</v>
      </c>
      <c r="D59" s="61">
        <f>FH!B59*1</f>
        <v>96251</v>
      </c>
      <c r="E59">
        <f t="shared" si="3"/>
        <v>57</v>
      </c>
      <c r="F59" s="61">
        <f>IF(FT!A59&lt;&gt;"",FT!A59*10,"")</f>
        <v>1.9050199999999999</v>
      </c>
      <c r="G59" s="61">
        <f>IF(FT!B59&lt;&gt;"",FT!B59*100,"")</f>
        <v>51.6721</v>
      </c>
      <c r="H59" s="61">
        <f t="shared" si="1"/>
        <v>1</v>
      </c>
      <c r="I59" t="str">
        <f>IF(FT!B59&lt;&gt;"",FT!E59,"")</f>
        <v>1 [23.158965]</v>
      </c>
      <c r="J59">
        <f>IF(FT!B59&lt;&gt;"",FT!C59,"")</f>
        <v>23.158999999999999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1.90882</v>
      </c>
      <c r="G60" s="61">
        <f>IF(FT!B60&lt;&gt;"",FT!B60*100,"")</f>
        <v>51.668099999999995</v>
      </c>
      <c r="H60" s="61">
        <f t="shared" si="1"/>
        <v>1</v>
      </c>
      <c r="I60" t="str">
        <f>IF(FT!B60&lt;&gt;"",FT!E60,"")</f>
        <v>1 [23.566095]</v>
      </c>
      <c r="J60">
        <f>IF(FT!B60&lt;&gt;"",FT!C60,"")</f>
        <v>23.566099999999999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1.9094600000000002</v>
      </c>
      <c r="G61" s="61">
        <f>IF(FT!B61&lt;&gt;"",FT!B61*100,"")</f>
        <v>51.684899999999999</v>
      </c>
      <c r="H61" s="61">
        <f t="shared" si="1"/>
        <v>1</v>
      </c>
      <c r="I61" t="str">
        <f>IF(FT!B61&lt;&gt;"",FT!E61,"")</f>
        <v>1 [23.973842]</v>
      </c>
      <c r="J61">
        <f>IF(FT!B61&lt;&gt;"",FT!C61,"")</f>
        <v>23.973800000000001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100021</v>
      </c>
      <c r="D62" s="61">
        <f>FH!B62*1</f>
        <v>100021</v>
      </c>
      <c r="E62">
        <f t="shared" si="3"/>
        <v>60</v>
      </c>
      <c r="F62" s="61">
        <f>IF(FT!A62&lt;&gt;"",FT!A62*10,"")</f>
        <v>1.9060299999999999</v>
      </c>
      <c r="G62" s="61">
        <f>IF(FT!B62&lt;&gt;"",FT!B62*100,"")</f>
        <v>51.7348</v>
      </c>
      <c r="H62" s="61">
        <f t="shared" si="1"/>
        <v>1</v>
      </c>
      <c r="I62" t="str">
        <f>IF(FT!B62&lt;&gt;"",FT!E62,"")</f>
        <v>1 [24.381861]</v>
      </c>
      <c r="J62">
        <f>IF(FT!B62&lt;&gt;"",FT!C62,"")</f>
        <v>24.381900000000002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1.9010400000000001</v>
      </c>
      <c r="G63" s="61">
        <f>IF(FT!B63&lt;&gt;"",FT!B63*100,"")</f>
        <v>51.814800000000005</v>
      </c>
      <c r="H63" s="61">
        <f t="shared" si="1"/>
        <v>1</v>
      </c>
      <c r="I63" t="str">
        <f>IF(FT!B63&lt;&gt;"",FT!E63,"")</f>
        <v>1 [24.783805]</v>
      </c>
      <c r="J63">
        <f>IF(FT!B63&lt;&gt;"",FT!C63,"")</f>
        <v>24.783799999999999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91957</v>
      </c>
      <c r="D64" s="61">
        <f>FH!B64*1</f>
        <v>91957</v>
      </c>
      <c r="E64">
        <f t="shared" si="3"/>
        <v>62</v>
      </c>
      <c r="F64" s="61">
        <f>IF(FT!A64&lt;&gt;"",FT!A64*10,"")</f>
        <v>1.89419</v>
      </c>
      <c r="G64" s="61">
        <f>IF(FT!B64&lt;&gt;"",FT!B64*100,"")</f>
        <v>51.926399999999994</v>
      </c>
      <c r="H64" s="61">
        <f t="shared" si="1"/>
        <v>1</v>
      </c>
      <c r="I64" t="str">
        <f>IF(FT!B64&lt;&gt;"",FT!E64,"")</f>
        <v>1 [25.189735]</v>
      </c>
      <c r="J64">
        <f>IF(FT!B64&lt;&gt;"",FT!C64,"")</f>
        <v>25.189699999999998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1.8875</v>
      </c>
      <c r="G65" s="61">
        <f>IF(FT!B65&lt;&gt;"",FT!B65*100,"")</f>
        <v>52.072200000000002</v>
      </c>
      <c r="H65" s="61">
        <f t="shared" si="1"/>
        <v>1</v>
      </c>
      <c r="I65" t="str">
        <f>IF(FT!B65&lt;&gt;"",FT!E65,"")</f>
        <v>1 [25.597294]</v>
      </c>
      <c r="J65">
        <f>IF(FT!B65&lt;&gt;"",FT!C65,"")</f>
        <v>25.597300000000001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1.87805</v>
      </c>
      <c r="G66" s="61">
        <f>IF(FT!B66&lt;&gt;"",FT!B66*100,"")</f>
        <v>52.279499999999999</v>
      </c>
      <c r="H66" s="61">
        <f t="shared" si="1"/>
        <v>1</v>
      </c>
      <c r="I66" t="str">
        <f>IF(FT!B66&lt;&gt;"",FT!E66,"")</f>
        <v>1 [26.003200]</v>
      </c>
      <c r="J66">
        <f>IF(FT!B66&lt;&gt;"",FT!C66,"")</f>
        <v>26.0032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84510</v>
      </c>
      <c r="D67" s="61">
        <f>FH!B67*1</f>
        <v>84510</v>
      </c>
      <c r="E67">
        <f t="shared" si="3"/>
        <v>65</v>
      </c>
      <c r="F67" s="61">
        <f>IF(FT!A67&lt;&gt;"",FT!A67*10,"")</f>
        <v>1.8711500000000001</v>
      </c>
      <c r="G67" s="61">
        <f>IF(FT!B67&lt;&gt;"",FT!B67*100,"")</f>
        <v>52.438099999999999</v>
      </c>
      <c r="H67" s="61">
        <f t="shared" ref="H67:H130" si="9">(IF(F67&lt;&gt;"",1,""))</f>
        <v>1</v>
      </c>
      <c r="I67" t="str">
        <f>IF(FT!B67&lt;&gt;"",FT!E67,"")</f>
        <v>1 [26.407179]</v>
      </c>
      <c r="J67">
        <f>IF(FT!B67&lt;&gt;"",FT!C67,"")</f>
        <v>26.4072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1.8643699999999999</v>
      </c>
      <c r="G68" s="61">
        <f>IF(FT!B68&lt;&gt;"",FT!B68*100,"")</f>
        <v>52.589799999999997</v>
      </c>
      <c r="H68" s="61">
        <f t="shared" si="9"/>
        <v>1</v>
      </c>
      <c r="I68" t="str">
        <f>IF(FT!B68&lt;&gt;"",FT!E68,"")</f>
        <v>1 [26.815629]</v>
      </c>
      <c r="J68">
        <f>IF(FT!B68&lt;&gt;"",FT!C68,"")</f>
        <v>26.8156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76483</v>
      </c>
      <c r="D69" s="61">
        <f>FH!B69*1</f>
        <v>76483</v>
      </c>
      <c r="E69">
        <f t="shared" si="11"/>
        <v>67</v>
      </c>
      <c r="F69" s="61">
        <f>IF(FT!A69&lt;&gt;"",FT!A69*10,"")</f>
        <v>1.8581700000000001</v>
      </c>
      <c r="G69" s="61">
        <f>IF(FT!B69&lt;&gt;"",FT!B69*100,"")</f>
        <v>52.732199999999999</v>
      </c>
      <c r="H69" s="61">
        <f t="shared" si="9"/>
        <v>1</v>
      </c>
      <c r="I69" t="str">
        <f>IF(FT!B69&lt;&gt;"",FT!E69,"")</f>
        <v>1 [27.223227]</v>
      </c>
      <c r="J69">
        <f>IF(FT!B69&lt;&gt;"",FT!C69,"")</f>
        <v>27.223199999999999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1.8546499999999999</v>
      </c>
      <c r="G70" s="61">
        <f>IF(FT!B70&lt;&gt;"",FT!B70*100,"")</f>
        <v>52.858899999999998</v>
      </c>
      <c r="H70" s="61">
        <f t="shared" si="9"/>
        <v>1</v>
      </c>
      <c r="I70" t="str">
        <f>IF(FT!B70&lt;&gt;"",FT!E70,"")</f>
        <v>1 [27.629826]</v>
      </c>
      <c r="J70">
        <f>IF(FT!B70&lt;&gt;"",FT!C70,"")</f>
        <v>27.629799999999999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1.8507899999999999</v>
      </c>
      <c r="G71" s="61">
        <f>IF(FT!B71&lt;&gt;"",FT!B71*100,"")</f>
        <v>53.018200000000007</v>
      </c>
      <c r="H71" s="61">
        <f t="shared" si="9"/>
        <v>1</v>
      </c>
      <c r="I71" t="str">
        <f>IF(FT!B71&lt;&gt;"",FT!E71,"")</f>
        <v>1 [28.034771]</v>
      </c>
      <c r="J71">
        <f>IF(FT!B71&lt;&gt;"",FT!C71,"")</f>
        <v>28.034800000000001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69244</v>
      </c>
      <c r="D72" s="61">
        <f>FH!B72*1</f>
        <v>69244</v>
      </c>
      <c r="E72">
        <f t="shared" si="11"/>
        <v>70</v>
      </c>
      <c r="F72" s="61">
        <f>IF(FT!A72&lt;&gt;"",FT!A72*10,"")</f>
        <v>1.84687</v>
      </c>
      <c r="G72" s="61">
        <f>IF(FT!B72&lt;&gt;"",FT!B72*100,"")</f>
        <v>53.2361</v>
      </c>
      <c r="H72" s="61">
        <f t="shared" si="9"/>
        <v>1</v>
      </c>
      <c r="I72" t="str">
        <f>IF(FT!B72&lt;&gt;"",FT!E72,"")</f>
        <v>1 [28.440349]</v>
      </c>
      <c r="J72">
        <f>IF(FT!B72&lt;&gt;"",FT!C72,"")</f>
        <v>28.440300000000001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1.84551</v>
      </c>
      <c r="G73" s="61">
        <f>IF(FT!B73&lt;&gt;"",FT!B73*100,"")</f>
        <v>53.477200000000003</v>
      </c>
      <c r="H73" s="61">
        <f t="shared" si="9"/>
        <v>1</v>
      </c>
      <c r="I73" t="str">
        <f>IF(FT!B73&lt;&gt;"",FT!E73,"")</f>
        <v>1 [28.844544]</v>
      </c>
      <c r="J73">
        <f>IF(FT!B73&lt;&gt;"",FT!C73,"")</f>
        <v>28.8445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1.84392</v>
      </c>
      <c r="G74" s="61">
        <f>IF(FT!B74&lt;&gt;"",FT!B74*100,"")</f>
        <v>53.730800000000002</v>
      </c>
      <c r="H74" s="61">
        <f t="shared" si="9"/>
        <v>1</v>
      </c>
      <c r="I74" t="str">
        <f>IF(FT!B74&lt;&gt;"",FT!E74,"")</f>
        <v>1 [29.252157]</v>
      </c>
      <c r="J74">
        <f>IF(FT!B74&lt;&gt;"",FT!C74,"")</f>
        <v>29.252199999999998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58678</v>
      </c>
      <c r="D75" s="61">
        <f>FH!B75*1</f>
        <v>58678</v>
      </c>
      <c r="E75">
        <f t="shared" si="11"/>
        <v>73</v>
      </c>
      <c r="F75" s="61">
        <f>IF(FT!A75&lt;&gt;"",FT!A75*10,"")</f>
        <v>1.8421299999999998</v>
      </c>
      <c r="G75" s="61">
        <f>IF(FT!B75&lt;&gt;"",FT!B75*100,"")</f>
        <v>54.054299999999998</v>
      </c>
      <c r="H75" s="61">
        <f t="shared" si="9"/>
        <v>1</v>
      </c>
      <c r="I75" t="str">
        <f>IF(FT!B75&lt;&gt;"",FT!E75,"")</f>
        <v>1 [29.661650]</v>
      </c>
      <c r="J75">
        <f>IF(FT!B75&lt;&gt;"",FT!C75,"")</f>
        <v>29.6616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1.8412600000000001</v>
      </c>
      <c r="G76" s="61">
        <f>IF(FT!B76&lt;&gt;"",FT!B76*100,"")</f>
        <v>54.377200000000002</v>
      </c>
      <c r="H76" s="61">
        <f t="shared" si="9"/>
        <v>1</v>
      </c>
      <c r="I76" t="str">
        <f>IF(FT!B76&lt;&gt;"",FT!E76,"")</f>
        <v>2 [30.066166]</v>
      </c>
      <c r="J76">
        <f>IF(FT!B76&lt;&gt;"",FT!C76,"")</f>
        <v>30.066199999999998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55427</v>
      </c>
      <c r="D77" s="61">
        <f>FH!B77*1</f>
        <v>55427</v>
      </c>
      <c r="E77">
        <f t="shared" si="11"/>
        <v>75</v>
      </c>
      <c r="F77" s="61">
        <f>IF(FT!A77&lt;&gt;"",FT!A77*10,"")</f>
        <v>1.8414600000000001</v>
      </c>
      <c r="G77" s="61">
        <f>IF(FT!B77&lt;&gt;"",FT!B77*100,"")</f>
        <v>54.680199999999999</v>
      </c>
      <c r="H77" s="61">
        <f t="shared" si="9"/>
        <v>1</v>
      </c>
      <c r="I77" t="str">
        <f>IF(FT!B77&lt;&gt;"",FT!E77,"")</f>
        <v>2 [30.470856]</v>
      </c>
      <c r="J77">
        <f>IF(FT!B77&lt;&gt;"",FT!C77,"")</f>
        <v>30.4709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1.8418200000000002</v>
      </c>
      <c r="G78" s="61">
        <f>IF(FT!B78&lt;&gt;"",FT!B78*100,"")</f>
        <v>54.947500000000005</v>
      </c>
      <c r="H78" s="61">
        <f t="shared" si="9"/>
        <v>1</v>
      </c>
      <c r="I78" t="str">
        <f>IF(FT!B78&lt;&gt;"",FT!E78,"")</f>
        <v>2 [30.879040]</v>
      </c>
      <c r="J78">
        <f>IF(FT!B78&lt;&gt;"",FT!C78,"")</f>
        <v>30.879000000000001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1.8430800000000001</v>
      </c>
      <c r="G79" s="61">
        <f>IF(FT!B79&lt;&gt;"",FT!B79*100,"")</f>
        <v>55.181100000000008</v>
      </c>
      <c r="H79" s="61">
        <f t="shared" si="9"/>
        <v>1</v>
      </c>
      <c r="I79" t="str">
        <f>IF(FT!B79&lt;&gt;"",FT!E79,"")</f>
        <v>2 [31.281246]</v>
      </c>
      <c r="J79">
        <f>IF(FT!B79&lt;&gt;"",FT!C79,"")</f>
        <v>31.281199999999998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51278</v>
      </c>
      <c r="D80" s="61">
        <f>FH!B80*1</f>
        <v>51278</v>
      </c>
      <c r="E80">
        <f t="shared" si="11"/>
        <v>78</v>
      </c>
      <c r="F80" s="61">
        <f>IF(FT!A80&lt;&gt;"",FT!A80*10,"")</f>
        <v>1.84399</v>
      </c>
      <c r="G80" s="61">
        <f>IF(FT!B80&lt;&gt;"",FT!B80*100,"")</f>
        <v>55.419499999999999</v>
      </c>
      <c r="H80" s="61">
        <f t="shared" si="9"/>
        <v>1</v>
      </c>
      <c r="I80" t="str">
        <f>IF(FT!B80&lt;&gt;"",FT!E80,"")</f>
        <v>2 [31.687868]</v>
      </c>
      <c r="J80">
        <f>IF(FT!B80&lt;&gt;"",FT!C80,"")</f>
        <v>31.687899999999999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1.8444199999999999</v>
      </c>
      <c r="G81" s="61">
        <f>IF(FT!B81&lt;&gt;"",FT!B81*100,"")</f>
        <v>55.677</v>
      </c>
      <c r="H81" s="61">
        <f t="shared" si="9"/>
        <v>1</v>
      </c>
      <c r="I81" t="str">
        <f>IF(FT!B81&lt;&gt;"",FT!E81,"")</f>
        <v>2 [32.097091]</v>
      </c>
      <c r="J81">
        <f>IF(FT!B81&lt;&gt;"",FT!C81,"")</f>
        <v>32.097099999999998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43684</v>
      </c>
      <c r="D82" s="61">
        <f>FH!B82*1</f>
        <v>43684</v>
      </c>
      <c r="E82">
        <f t="shared" si="11"/>
        <v>80</v>
      </c>
      <c r="F82" s="61">
        <f>IF(FT!A82&lt;&gt;"",FT!A82*10,"")</f>
        <v>1.84348</v>
      </c>
      <c r="G82" s="61">
        <f>IF(FT!B82&lt;&gt;"",FT!B82*100,"")</f>
        <v>55.923699999999997</v>
      </c>
      <c r="H82" s="61">
        <f t="shared" si="9"/>
        <v>1</v>
      </c>
      <c r="I82" t="str">
        <f>IF(FT!B82&lt;&gt;"",FT!E82,"")</f>
        <v>2 [32.504868]</v>
      </c>
      <c r="J82">
        <f>IF(FT!B82&lt;&gt;"",FT!C82,"")</f>
        <v>32.504899999999999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1.8414200000000001</v>
      </c>
      <c r="G83" s="61">
        <f>IF(FT!B83&lt;&gt;"",FT!B83*100,"")</f>
        <v>56.188700000000004</v>
      </c>
      <c r="H83" s="61">
        <f t="shared" si="9"/>
        <v>1</v>
      </c>
      <c r="I83" t="str">
        <f>IF(FT!B83&lt;&gt;"",FT!E83,"")</f>
        <v>2 [32.906116]</v>
      </c>
      <c r="J83">
        <f>IF(FT!B83&lt;&gt;"",FT!C83,"")</f>
        <v>32.906100000000002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1.84084</v>
      </c>
      <c r="G84" s="61">
        <f>IF(FT!B84&lt;&gt;"",FT!B84*100,"")</f>
        <v>56.420099999999998</v>
      </c>
      <c r="H84" s="61">
        <f t="shared" si="9"/>
        <v>1</v>
      </c>
      <c r="I84" t="str">
        <f>IF(FT!B84&lt;&gt;"",FT!E84,"")</f>
        <v>2 [33.312396]</v>
      </c>
      <c r="J84">
        <f>IF(FT!B84&lt;&gt;"",FT!C84,"")</f>
        <v>33.312399999999997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36519</v>
      </c>
      <c r="D85" s="61">
        <f>FH!B85*1</f>
        <v>36519</v>
      </c>
      <c r="E85">
        <f t="shared" si="11"/>
        <v>83</v>
      </c>
      <c r="F85" s="61">
        <f>IF(FT!A85&lt;&gt;"",FT!A85*10,"")</f>
        <v>1.8407100000000001</v>
      </c>
      <c r="G85" s="61">
        <f>IF(FT!B85&lt;&gt;"",FT!B85*100,"")</f>
        <v>56.607799999999997</v>
      </c>
      <c r="H85" s="61">
        <f t="shared" si="9"/>
        <v>1</v>
      </c>
      <c r="I85" t="str">
        <f>IF(FT!B85&lt;&gt;"",FT!E85,"")</f>
        <v>2 [33.719255]</v>
      </c>
      <c r="J85">
        <f>IF(FT!B85&lt;&gt;"",FT!C85,"")</f>
        <v>33.719299999999997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1.8434600000000001</v>
      </c>
      <c r="G86" s="61">
        <f>IF(FT!B86&lt;&gt;"",FT!B86*100,"")</f>
        <v>56.756300000000003</v>
      </c>
      <c r="H86" s="61">
        <f t="shared" si="9"/>
        <v>1</v>
      </c>
      <c r="I86" t="str">
        <f>IF(FT!B86&lt;&gt;"",FT!E86,"")</f>
        <v>2 [34.127569]</v>
      </c>
      <c r="J86">
        <f>IF(FT!B86&lt;&gt;"",FT!C86,"")</f>
        <v>34.127600000000001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1.8537300000000001</v>
      </c>
      <c r="G87" s="61">
        <f>IF(FT!B87&lt;&gt;"",FT!B87*100,"")</f>
        <v>56.804000000000002</v>
      </c>
      <c r="H87" s="61">
        <f t="shared" si="9"/>
        <v>1</v>
      </c>
      <c r="I87" t="str">
        <f>IF(FT!B87&lt;&gt;"",FT!E87,"")</f>
        <v>2 [34.534322]</v>
      </c>
      <c r="J87">
        <f>IF(FT!B87&lt;&gt;"",FT!C87,"")</f>
        <v>34.534300000000002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31561</v>
      </c>
      <c r="D88" s="61">
        <f>FH!B88*1</f>
        <v>31561</v>
      </c>
      <c r="E88">
        <f t="shared" si="11"/>
        <v>86</v>
      </c>
      <c r="F88" s="61">
        <f>IF(FT!A88&lt;&gt;"",FT!A88*10,"")</f>
        <v>1.8696199999999998</v>
      </c>
      <c r="G88" s="61">
        <f>IF(FT!B88&lt;&gt;"",FT!B88*100,"")</f>
        <v>56.762500000000003</v>
      </c>
      <c r="H88" s="61">
        <f t="shared" si="9"/>
        <v>1</v>
      </c>
      <c r="I88" t="str">
        <f>IF(FT!B88&lt;&gt;"",FT!E88,"")</f>
        <v>2 [34.939187]</v>
      </c>
      <c r="J88">
        <f>IF(FT!B88&lt;&gt;"",FT!C88,"")</f>
        <v>34.9392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1.8911500000000001</v>
      </c>
      <c r="G89" s="61">
        <f>IF(FT!B89&lt;&gt;"",FT!B89*100,"")</f>
        <v>56.611999999999995</v>
      </c>
      <c r="H89" s="61">
        <f t="shared" si="9"/>
        <v>1</v>
      </c>
      <c r="I89" t="str">
        <f>IF(FT!B89&lt;&gt;"",FT!E89,"")</f>
        <v>2 [35.345497]</v>
      </c>
      <c r="J89">
        <f>IF(FT!B89&lt;&gt;"",FT!C89,"")</f>
        <v>35.345500000000001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28971</v>
      </c>
      <c r="D90" s="61">
        <f>FH!B90*1</f>
        <v>28971</v>
      </c>
      <c r="E90">
        <f t="shared" si="11"/>
        <v>88</v>
      </c>
      <c r="F90" s="61">
        <f>IF(FT!A90&lt;&gt;"",FT!A90*10,"")</f>
        <v>1.9111199999999999</v>
      </c>
      <c r="G90" s="61">
        <f>IF(FT!B90&lt;&gt;"",FT!B90*100,"")</f>
        <v>56.500700000000002</v>
      </c>
      <c r="H90" s="61">
        <f t="shared" si="9"/>
        <v>1</v>
      </c>
      <c r="I90" t="str">
        <f>IF(FT!B90&lt;&gt;"",FT!E90,"")</f>
        <v>2 [35.753121]</v>
      </c>
      <c r="J90">
        <f>IF(FT!B90&lt;&gt;"",FT!C90,"")</f>
        <v>35.753100000000003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1.9323599999999999</v>
      </c>
      <c r="G91" s="61">
        <f>IF(FT!B91&lt;&gt;"",FT!B91*100,"")</f>
        <v>56.361499999999999</v>
      </c>
      <c r="H91" s="61">
        <f t="shared" si="9"/>
        <v>1</v>
      </c>
      <c r="I91" t="str">
        <f>IF(FT!B91&lt;&gt;"",FT!E91,"")</f>
        <v>2 [36.158301]</v>
      </c>
      <c r="J91">
        <f>IF(FT!B91&lt;&gt;"",FT!C91,"")</f>
        <v>36.158299999999997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1.9565399999999999</v>
      </c>
      <c r="G92" s="61">
        <f>IF(FT!B92&lt;&gt;"",FT!B92*100,"")</f>
        <v>56.049400000000006</v>
      </c>
      <c r="H92" s="61">
        <f t="shared" si="9"/>
        <v>1</v>
      </c>
      <c r="I92" t="str">
        <f>IF(FT!B92&lt;&gt;"",FT!E92,"")</f>
        <v>2 [36.566399]</v>
      </c>
      <c r="J92">
        <f>IF(FT!B92&lt;&gt;"",FT!C92,"")</f>
        <v>36.566400000000002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28185</v>
      </c>
      <c r="D93" s="61">
        <f>FH!B93*1</f>
        <v>28185</v>
      </c>
      <c r="E93">
        <f t="shared" si="11"/>
        <v>91</v>
      </c>
      <c r="F93" s="61">
        <f>IF(FT!A93&lt;&gt;"",FT!A93*10,"")</f>
        <v>1.98132</v>
      </c>
      <c r="G93" s="61">
        <f>IF(FT!B93&lt;&gt;"",FT!B93*100,"")</f>
        <v>55.605099999999993</v>
      </c>
      <c r="H93" s="61">
        <f t="shared" si="9"/>
        <v>1</v>
      </c>
      <c r="I93" t="str">
        <f>IF(FT!B93&lt;&gt;"",FT!E93,"")</f>
        <v>2 [36.971088]</v>
      </c>
      <c r="J93">
        <f>IF(FT!B93&lt;&gt;"",FT!C93,"")</f>
        <v>36.9711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2.0085899999999999</v>
      </c>
      <c r="G94" s="61">
        <f>IF(FT!B94&lt;&gt;"",FT!B94*100,"")</f>
        <v>55.074800000000003</v>
      </c>
      <c r="H94" s="61">
        <f t="shared" si="9"/>
        <v>1</v>
      </c>
      <c r="I94" t="str">
        <f>IF(FT!B94&lt;&gt;"",FT!E94,"")</f>
        <v>2 [37.377321]</v>
      </c>
      <c r="J94">
        <f>IF(FT!B94&lt;&gt;"",FT!C94,"")</f>
        <v>37.377299999999998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22681</v>
      </c>
      <c r="D95" s="61">
        <f>FH!B95*1</f>
        <v>22681</v>
      </c>
      <c r="E95">
        <f t="shared" si="11"/>
        <v>93</v>
      </c>
      <c r="F95" s="61">
        <f>IF(FT!A95&lt;&gt;"",FT!A95*10,"")</f>
        <v>2.0361599999999997</v>
      </c>
      <c r="G95" s="61">
        <f>IF(FT!B95&lt;&gt;"",FT!B95*100,"")</f>
        <v>54.480499999999999</v>
      </c>
      <c r="H95" s="61">
        <f t="shared" si="9"/>
        <v>1</v>
      </c>
      <c r="I95" t="str">
        <f>IF(FT!B95&lt;&gt;"",FT!E95,"")</f>
        <v>2 [37.782703]</v>
      </c>
      <c r="J95">
        <f>IF(FT!B95&lt;&gt;"",FT!C95,"")</f>
        <v>37.782699999999998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2.0631499999999998</v>
      </c>
      <c r="G96" s="61">
        <f>IF(FT!B96&lt;&gt;"",FT!B96*100,"")</f>
        <v>53.976300000000002</v>
      </c>
      <c r="H96" s="61">
        <f t="shared" si="9"/>
        <v>1</v>
      </c>
      <c r="I96" t="str">
        <f>IF(FT!B96&lt;&gt;"",FT!E96,"")</f>
        <v>2 [38.191009]</v>
      </c>
      <c r="J96">
        <f>IF(FT!B96&lt;&gt;"",FT!C96,"")</f>
        <v>38.191000000000003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2.0896300000000001</v>
      </c>
      <c r="G97" s="61">
        <f>IF(FT!B97&lt;&gt;"",FT!B97*100,"")</f>
        <v>53.495199999999997</v>
      </c>
      <c r="H97" s="61">
        <f t="shared" si="9"/>
        <v>1</v>
      </c>
      <c r="I97" t="str">
        <f>IF(FT!B97&lt;&gt;"",FT!E97,"")</f>
        <v>2 [38.597100]</v>
      </c>
      <c r="J97">
        <f>IF(FT!B97&lt;&gt;"",FT!C97,"")</f>
        <v>38.597099999999998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19157</v>
      </c>
      <c r="D98" s="61">
        <f>FH!B98*1</f>
        <v>19157</v>
      </c>
      <c r="E98">
        <f t="shared" si="11"/>
        <v>96</v>
      </c>
      <c r="F98" s="61">
        <f>IF(FT!A98&lt;&gt;"",FT!A98*10,"")</f>
        <v>2.1140699999999999</v>
      </c>
      <c r="G98" s="61">
        <f>IF(FT!B98&lt;&gt;"",FT!B98*100,"")</f>
        <v>53.009700000000002</v>
      </c>
      <c r="H98" s="61">
        <f t="shared" si="9"/>
        <v>1</v>
      </c>
      <c r="I98" t="str">
        <f>IF(FT!B98&lt;&gt;"",FT!E98,"")</f>
        <v>2 [39.004299]</v>
      </c>
      <c r="J98">
        <f>IF(FT!B98&lt;&gt;"",FT!C98,"")</f>
        <v>39.004300000000001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2.1381399999999999</v>
      </c>
      <c r="G99" s="61">
        <f>IF(FT!B99&lt;&gt;"",FT!B99*100,"")</f>
        <v>52.590400000000002</v>
      </c>
      <c r="H99" s="61">
        <f t="shared" si="9"/>
        <v>1</v>
      </c>
      <c r="I99" t="str">
        <f>IF(FT!B99&lt;&gt;"",FT!E99,"")</f>
        <v>2 [39.407757]</v>
      </c>
      <c r="J99">
        <f>IF(FT!B99&lt;&gt;"",FT!C99,"")</f>
        <v>39.407800000000002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14858</v>
      </c>
      <c r="D100" s="61">
        <f>FH!B100*1</f>
        <v>14858</v>
      </c>
      <c r="E100">
        <f t="shared" si="11"/>
        <v>98</v>
      </c>
      <c r="F100" s="61">
        <f>IF(FT!A100&lt;&gt;"",FT!A100*10,"")</f>
        <v>2.16275</v>
      </c>
      <c r="G100" s="61">
        <f>IF(FT!B100&lt;&gt;"",FT!B100*100,"")</f>
        <v>52.112199999999994</v>
      </c>
      <c r="H100" s="61">
        <f t="shared" si="9"/>
        <v>1</v>
      </c>
      <c r="I100" t="str">
        <f>IF(FT!B100&lt;&gt;"",FT!E100,"")</f>
        <v>2 [39.815229]</v>
      </c>
      <c r="J100">
        <f>IF(FT!B100&lt;&gt;"",FT!C100,"")</f>
        <v>39.815199999999997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2.18757</v>
      </c>
      <c r="G101" s="61">
        <f>IF(FT!B101&lt;&gt;"",FT!B101*100,"")</f>
        <v>51.64</v>
      </c>
      <c r="H101" s="61">
        <f t="shared" si="9"/>
        <v>1</v>
      </c>
      <c r="I101" t="str">
        <f>IF(FT!B101&lt;&gt;"",FT!E101,"")</f>
        <v>2 [40.222488]</v>
      </c>
      <c r="J101">
        <f>IF(FT!B101&lt;&gt;"",FT!C101,"")</f>
        <v>40.222499999999997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2.2111800000000001</v>
      </c>
      <c r="G102" s="61">
        <f>IF(FT!B102&lt;&gt;"",FT!B102*100,"")</f>
        <v>51.224400000000003</v>
      </c>
      <c r="H102" s="61">
        <f t="shared" si="9"/>
        <v>1</v>
      </c>
      <c r="I102" t="str">
        <f>IF(FT!B102&lt;&gt;"",FT!E102,"")</f>
        <v>2 [40.630688]</v>
      </c>
      <c r="J102">
        <f>IF(FT!B102&lt;&gt;"",FT!C102,"")</f>
        <v>40.630699999999997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14405</v>
      </c>
      <c r="D103" s="61">
        <f>FH!B103*1</f>
        <v>14405</v>
      </c>
      <c r="E103">
        <f t="shared" si="11"/>
        <v>101</v>
      </c>
      <c r="F103" s="61">
        <f>IF(FT!A103&lt;&gt;"",FT!A103*10,"")</f>
        <v>2.2356599999999998</v>
      </c>
      <c r="G103" s="61">
        <f>IF(FT!B103&lt;&gt;"",FT!B103*100,"")</f>
        <v>50.802199999999999</v>
      </c>
      <c r="H103" s="61">
        <f t="shared" si="9"/>
        <v>1</v>
      </c>
      <c r="I103" t="str">
        <f>IF(FT!B103&lt;&gt;"",FT!E103,"")</f>
        <v>2 [41.031097]</v>
      </c>
      <c r="J103">
        <f>IF(FT!B103&lt;&gt;"",FT!C103,"")</f>
        <v>41.031100000000002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2.2571699999999999</v>
      </c>
      <c r="G104" s="61">
        <f>IF(FT!B104&lt;&gt;"",FT!B104*100,"")</f>
        <v>50.463499999999996</v>
      </c>
      <c r="H104" s="61">
        <f t="shared" si="9"/>
        <v>1</v>
      </c>
      <c r="I104" t="str">
        <f>IF(FT!B104&lt;&gt;"",FT!E104,"")</f>
        <v>2 [41.440617]</v>
      </c>
      <c r="J104">
        <f>IF(FT!B104&lt;&gt;"",FT!C104,"")</f>
        <v>41.440600000000003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2.2752500000000002</v>
      </c>
      <c r="G105" s="61">
        <f>IF(FT!B105&lt;&gt;"",FT!B105*100,"")</f>
        <v>50.239100000000001</v>
      </c>
      <c r="H105" s="61">
        <f t="shared" si="9"/>
        <v>1</v>
      </c>
      <c r="I105" t="str">
        <f>IF(FT!B105&lt;&gt;"",FT!E105,"")</f>
        <v>2 [41.846451]</v>
      </c>
      <c r="J105">
        <f>IF(FT!B105&lt;&gt;"",FT!C105,"")</f>
        <v>41.846499999999999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14057</v>
      </c>
      <c r="D106" s="61">
        <f>FH!B106*1</f>
        <v>14057</v>
      </c>
      <c r="E106">
        <f t="shared" si="11"/>
        <v>104</v>
      </c>
      <c r="F106" s="61">
        <f>IF(FT!A106&lt;&gt;"",FT!A106*10,"")</f>
        <v>2.2904</v>
      </c>
      <c r="G106" s="61">
        <f>IF(FT!B106&lt;&gt;"",FT!B106*100,"")</f>
        <v>50.040700000000001</v>
      </c>
      <c r="H106" s="61">
        <f t="shared" si="9"/>
        <v>1</v>
      </c>
      <c r="I106" t="str">
        <f>IF(FT!B106&lt;&gt;"",FT!E106,"")</f>
        <v>2 [42.251116]</v>
      </c>
      <c r="J106">
        <f>IF(FT!B106&lt;&gt;"",FT!C106,"")</f>
        <v>42.251100000000001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2.3025100000000003</v>
      </c>
      <c r="G107" s="61">
        <f>IF(FT!B107&lt;&gt;"",FT!B107*100,"")</f>
        <v>49.793799999999997</v>
      </c>
      <c r="H107" s="61">
        <f t="shared" si="9"/>
        <v>1</v>
      </c>
      <c r="I107" t="str">
        <f>IF(FT!B107&lt;&gt;"",FT!E107,"")</f>
        <v>2 [42.660383]</v>
      </c>
      <c r="J107">
        <f>IF(FT!B107&lt;&gt;"",FT!C107,"")</f>
        <v>42.660400000000003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12456</v>
      </c>
      <c r="D108" s="61">
        <f>FH!B108*1</f>
        <v>12456</v>
      </c>
      <c r="E108">
        <f t="shared" si="11"/>
        <v>106</v>
      </c>
      <c r="F108" s="61">
        <f>IF(FT!A108&lt;&gt;"",FT!A108*10,"")</f>
        <v>2.31501</v>
      </c>
      <c r="G108" s="61">
        <f>IF(FT!B108&lt;&gt;"",FT!B108*100,"")</f>
        <v>49.47</v>
      </c>
      <c r="H108" s="61">
        <f t="shared" si="9"/>
        <v>1</v>
      </c>
      <c r="I108" t="str">
        <f>IF(FT!B108&lt;&gt;"",FT!E108,"")</f>
        <v>2 [43.063293]</v>
      </c>
      <c r="J108">
        <f>IF(FT!B108&lt;&gt;"",FT!C108,"")</f>
        <v>43.063299999999998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2.3273799999999998</v>
      </c>
      <c r="G109" s="61">
        <f>IF(FT!B109&lt;&gt;"",FT!B109*100,"")</f>
        <v>49.153300000000002</v>
      </c>
      <c r="H109" s="61">
        <f t="shared" si="9"/>
        <v>1</v>
      </c>
      <c r="I109" t="str">
        <f>IF(FT!B109&lt;&gt;"",FT!E109,"")</f>
        <v>2 [43.470419]</v>
      </c>
      <c r="J109">
        <f>IF(FT!B109&lt;&gt;"",FT!C109,"")</f>
        <v>43.470399999999998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2.3399399999999999</v>
      </c>
      <c r="G110" s="61">
        <f>IF(FT!B110&lt;&gt;"",FT!B110*100,"")</f>
        <v>48.8628</v>
      </c>
      <c r="H110" s="61">
        <f t="shared" si="9"/>
        <v>1</v>
      </c>
      <c r="I110" t="str">
        <f>IF(FT!B110&lt;&gt;"",FT!E110,"")</f>
        <v>2 [43.877990]</v>
      </c>
      <c r="J110">
        <f>IF(FT!B110&lt;&gt;"",FT!C110,"")</f>
        <v>43.878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12756</v>
      </c>
      <c r="D111" s="61">
        <f>FH!B111*1</f>
        <v>12756</v>
      </c>
      <c r="E111">
        <f t="shared" si="11"/>
        <v>109</v>
      </c>
      <c r="F111" s="61">
        <f>IF(FT!A111&lt;&gt;"",FT!A111*10,"")</f>
        <v>2.35182</v>
      </c>
      <c r="G111" s="61">
        <f>IF(FT!B111&lt;&gt;"",FT!B111*100,"")</f>
        <v>48.599699999999999</v>
      </c>
      <c r="H111" s="61">
        <f t="shared" si="9"/>
        <v>1</v>
      </c>
      <c r="I111" t="str">
        <f>IF(FT!B111&lt;&gt;"",FT!E111,"")</f>
        <v>2 [44.284672]</v>
      </c>
      <c r="J111">
        <f>IF(FT!B111&lt;&gt;"",FT!C111,"")</f>
        <v>44.284700000000001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2.3607</v>
      </c>
      <c r="G112" s="61">
        <f>IF(FT!B112&lt;&gt;"",FT!B112*100,"")</f>
        <v>48.295200000000001</v>
      </c>
      <c r="H112" s="61">
        <f t="shared" si="9"/>
        <v>1</v>
      </c>
      <c r="I112" t="str">
        <f>IF(FT!B112&lt;&gt;"",FT!E112,"")</f>
        <v>2 [44.688465]</v>
      </c>
      <c r="J112">
        <f>IF(FT!B112&lt;&gt;"",FT!C112,"")</f>
        <v>44.688499999999998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11212</v>
      </c>
      <c r="D113" s="61">
        <f>FH!B113*1</f>
        <v>11212</v>
      </c>
      <c r="E113">
        <f t="shared" si="11"/>
        <v>111</v>
      </c>
      <c r="F113" s="61">
        <f>IF(FT!A113&lt;&gt;"",FT!A113*10,"")</f>
        <v>2.36633</v>
      </c>
      <c r="G113" s="61">
        <f>IF(FT!B113&lt;&gt;"",FT!B113*100,"")</f>
        <v>47.972999999999999</v>
      </c>
      <c r="H113" s="61">
        <f t="shared" si="9"/>
        <v>1</v>
      </c>
      <c r="I113" t="str">
        <f>IF(FT!B113&lt;&gt;"",FT!E113,"")</f>
        <v>2 [45.095491]</v>
      </c>
      <c r="J113">
        <f>IF(FT!B113&lt;&gt;"",FT!C113,"")</f>
        <v>45.095500000000001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2.3675199999999998</v>
      </c>
      <c r="G114" s="61">
        <f>IF(FT!B114&lt;&gt;"",FT!B114*100,"")</f>
        <v>47.675800000000002</v>
      </c>
      <c r="H114" s="61">
        <f t="shared" si="9"/>
        <v>1</v>
      </c>
      <c r="I114" t="str">
        <f>IF(FT!B114&lt;&gt;"",FT!E114,"")</f>
        <v>2 [45.500950]</v>
      </c>
      <c r="J114">
        <f>IF(FT!B114&lt;&gt;"",FT!C114,"")</f>
        <v>45.500999999999998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2.3681999999999999</v>
      </c>
      <c r="G115" s="61">
        <f>IF(FT!B115&lt;&gt;"",FT!B115*100,"")</f>
        <v>47.387900000000002</v>
      </c>
      <c r="H115" s="61">
        <f t="shared" si="9"/>
        <v>1</v>
      </c>
      <c r="I115" t="str">
        <f>IF(FT!B115&lt;&gt;"",FT!E115,"")</f>
        <v>2 [45.906295]</v>
      </c>
      <c r="J115">
        <f>IF(FT!B115&lt;&gt;"",FT!C115,"")</f>
        <v>45.906300000000002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10349</v>
      </c>
      <c r="D116" s="61">
        <f>FH!B116*1</f>
        <v>10349</v>
      </c>
      <c r="E116">
        <f t="shared" si="11"/>
        <v>114</v>
      </c>
      <c r="F116" s="61">
        <f>IF(FT!A116&lt;&gt;"",FT!A116*10,"")</f>
        <v>2.3686199999999999</v>
      </c>
      <c r="G116" s="61">
        <f>IF(FT!B116&lt;&gt;"",FT!B116*100,"")</f>
        <v>47.113799999999998</v>
      </c>
      <c r="H116" s="61">
        <f t="shared" si="9"/>
        <v>1</v>
      </c>
      <c r="I116" t="str">
        <f>IF(FT!B116&lt;&gt;"",FT!E116,"")</f>
        <v>2 [46.314845]</v>
      </c>
      <c r="J116">
        <f>IF(FT!B116&lt;&gt;"",FT!C116,"")</f>
        <v>46.314799999999998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2.3647</v>
      </c>
      <c r="G117" s="61">
        <f>IF(FT!B117&lt;&gt;"",FT!B117*100,"")</f>
        <v>46.965899999999998</v>
      </c>
      <c r="H117" s="61">
        <f t="shared" si="9"/>
        <v>1</v>
      </c>
      <c r="I117" t="str">
        <f>IF(FT!B117&lt;&gt;"",FT!E117,"")</f>
        <v>2 [46.718807]</v>
      </c>
      <c r="J117">
        <f>IF(FT!B117&lt;&gt;"",FT!C117,"")</f>
        <v>46.718800000000002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7149</v>
      </c>
      <c r="D118" s="61">
        <f>FH!B118*1</f>
        <v>7149</v>
      </c>
      <c r="E118">
        <f t="shared" si="11"/>
        <v>116</v>
      </c>
      <c r="F118" s="61">
        <f>IF(FT!A118&lt;&gt;"",FT!A118*10,"")</f>
        <v>2.3594499999999998</v>
      </c>
      <c r="G118" s="61">
        <f>IF(FT!B118&lt;&gt;"",FT!B118*100,"")</f>
        <v>46.889099999999999</v>
      </c>
      <c r="H118" s="61">
        <f t="shared" si="9"/>
        <v>1</v>
      </c>
      <c r="I118" t="str">
        <f>IF(FT!B118&lt;&gt;"",FT!E118,"")</f>
        <v>2 [47.126870]</v>
      </c>
      <c r="J118">
        <f>IF(FT!B118&lt;&gt;"",FT!C118,"")</f>
        <v>47.126899999999999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2.3514900000000001</v>
      </c>
      <c r="G119" s="61">
        <f>IF(FT!B119&lt;&gt;"",FT!B119*100,"")</f>
        <v>46.863399999999999</v>
      </c>
      <c r="H119" s="61">
        <f t="shared" si="9"/>
        <v>1</v>
      </c>
      <c r="I119" t="str">
        <f>IF(FT!B119&lt;&gt;"",FT!E119,"")</f>
        <v>2 [47.535822]</v>
      </c>
      <c r="J119">
        <f>IF(FT!B119&lt;&gt;"",FT!C119,"")</f>
        <v>47.535800000000002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2.3409399999999998</v>
      </c>
      <c r="G120" s="61">
        <f>IF(FT!B120&lt;&gt;"",FT!B120*100,"")</f>
        <v>46.858600000000003</v>
      </c>
      <c r="H120" s="61">
        <f t="shared" si="9"/>
        <v>1</v>
      </c>
      <c r="I120" t="str">
        <f>IF(FT!B120&lt;&gt;"",FT!E120,"")</f>
        <v>2 [47.941117]</v>
      </c>
      <c r="J120">
        <f>IF(FT!B120&lt;&gt;"",FT!C120,"")</f>
        <v>47.941099999999999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5486</v>
      </c>
      <c r="D121" s="61">
        <f>FH!B121*1</f>
        <v>5486</v>
      </c>
      <c r="E121">
        <f t="shared" si="11"/>
        <v>119</v>
      </c>
      <c r="F121" s="61">
        <f>IF(FT!A121&lt;&gt;"",FT!A121*10,"")</f>
        <v>2.3305799999999999</v>
      </c>
      <c r="G121" s="61">
        <f>IF(FT!B121&lt;&gt;"",FT!B121*100,"")</f>
        <v>46.800399999999996</v>
      </c>
      <c r="H121" s="61">
        <f t="shared" si="9"/>
        <v>1</v>
      </c>
      <c r="I121" t="str">
        <f>IF(FT!B121&lt;&gt;"",FT!E121,"")</f>
        <v>2 [48.345394]</v>
      </c>
      <c r="J121">
        <f>IF(FT!B121&lt;&gt;"",FT!C121,"")</f>
        <v>48.345399999999998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2.31996</v>
      </c>
      <c r="G122" s="61">
        <f>IF(FT!B122&lt;&gt;"",FT!B122*100,"")</f>
        <v>46.738900000000001</v>
      </c>
      <c r="H122" s="61">
        <f t="shared" si="9"/>
        <v>1</v>
      </c>
      <c r="I122" t="str">
        <f>IF(FT!B122&lt;&gt;"",FT!E122,"")</f>
        <v>2 [48.752912]</v>
      </c>
      <c r="J122">
        <f>IF(FT!B122&lt;&gt;"",FT!C122,"")</f>
        <v>48.752899999999997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2.30823</v>
      </c>
      <c r="G123" s="61">
        <f>IF(FT!B123&lt;&gt;"",FT!B123*100,"")</f>
        <v>46.720299999999995</v>
      </c>
      <c r="H123" s="61">
        <f t="shared" si="9"/>
        <v>1</v>
      </c>
      <c r="I123" t="str">
        <f>IF(FT!B123&lt;&gt;"",FT!E123,"")</f>
        <v>2 [49.156342]</v>
      </c>
      <c r="J123">
        <f>IF(FT!B123&lt;&gt;"",FT!C123,"")</f>
        <v>49.156300000000002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4897</v>
      </c>
      <c r="D124" s="61">
        <f>FH!B124*1</f>
        <v>4897</v>
      </c>
      <c r="E124">
        <f t="shared" si="11"/>
        <v>122</v>
      </c>
      <c r="F124" s="61">
        <f>IF(FT!A124&lt;&gt;"",FT!A124*10,"")</f>
        <v>2.2964200000000003</v>
      </c>
      <c r="G124" s="61">
        <f>IF(FT!B124&lt;&gt;"",FT!B124*100,"")</f>
        <v>46.7014</v>
      </c>
      <c r="H124" s="61">
        <f t="shared" si="9"/>
        <v>1</v>
      </c>
      <c r="I124" t="str">
        <f>IF(FT!B124&lt;&gt;"",FT!E124,"")</f>
        <v>2 [49.565838]</v>
      </c>
      <c r="J124">
        <f>IF(FT!B124&lt;&gt;"",FT!C124,"")</f>
        <v>49.565800000000003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2.2831099999999998</v>
      </c>
      <c r="G125" s="61">
        <f>IF(FT!B125&lt;&gt;"",FT!B125*100,"")</f>
        <v>46.748100000000001</v>
      </c>
      <c r="H125" s="61">
        <f t="shared" si="9"/>
        <v>1</v>
      </c>
      <c r="I125" t="str">
        <f>IF(FT!B125&lt;&gt;"",FT!E125,"")</f>
        <v>2 [49.970461]</v>
      </c>
      <c r="J125">
        <f>IF(FT!B125&lt;&gt;"",FT!C125,"")</f>
        <v>49.970500000000001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4710</v>
      </c>
      <c r="D126" s="61">
        <f>FH!B126*1</f>
        <v>4710</v>
      </c>
      <c r="E126">
        <f t="shared" si="11"/>
        <v>124</v>
      </c>
      <c r="F126" s="61">
        <f>IF(FT!A126&lt;&gt;"",FT!A126*10,"")</f>
        <v>2.2742299999999998</v>
      </c>
      <c r="G126" s="61">
        <f>IF(FT!B126&lt;&gt;"",FT!B126*100,"")</f>
        <v>46.7742</v>
      </c>
      <c r="H126" s="61">
        <f t="shared" si="9"/>
        <v>1</v>
      </c>
      <c r="I126" t="str">
        <f>IF(FT!B126&lt;&gt;"",FT!E126,"")</f>
        <v>2 [50.378004]</v>
      </c>
      <c r="J126">
        <f>IF(FT!B126&lt;&gt;"",FT!C126,"")</f>
        <v>50.378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2.2648099999999998</v>
      </c>
      <c r="G127" s="61">
        <f>IF(FT!B127&lt;&gt;"",FT!B127*100,"")</f>
        <v>46.794499999999999</v>
      </c>
      <c r="H127" s="61">
        <f t="shared" si="9"/>
        <v>1</v>
      </c>
      <c r="I127" t="str">
        <f>IF(FT!B127&lt;&gt;"",FT!E127,"")</f>
        <v>2 [50.783927]</v>
      </c>
      <c r="J127">
        <f>IF(FT!B127&lt;&gt;"",FT!C127,"")</f>
        <v>50.783900000000003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2.2534799999999997</v>
      </c>
      <c r="G128" s="61">
        <f>IF(FT!B128&lt;&gt;"",FT!B128*100,"")</f>
        <v>46.874099999999999</v>
      </c>
      <c r="H128" s="61">
        <f t="shared" si="9"/>
        <v>1</v>
      </c>
      <c r="I128" t="str">
        <f>IF(FT!B128&lt;&gt;"",FT!E128,"")</f>
        <v>2 [51.190170]</v>
      </c>
      <c r="J128">
        <f>IF(FT!B128&lt;&gt;"",FT!C128,"")</f>
        <v>51.190199999999997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3092</v>
      </c>
      <c r="D129" s="61">
        <f>FH!B129*1</f>
        <v>3092</v>
      </c>
      <c r="E129">
        <f t="shared" si="11"/>
        <v>127</v>
      </c>
      <c r="F129" s="61">
        <f>IF(FT!A129&lt;&gt;"",FT!A129*10,"")</f>
        <v>2.2433900000000002</v>
      </c>
      <c r="G129" s="61">
        <f>IF(FT!B129&lt;&gt;"",FT!B129*100,"")</f>
        <v>46.917900000000003</v>
      </c>
      <c r="H129" s="61">
        <f t="shared" si="9"/>
        <v>1</v>
      </c>
      <c r="I129" t="str">
        <f>IF(FT!B129&lt;&gt;"",FT!E129,"")</f>
        <v>2 [51.597427]</v>
      </c>
      <c r="J129">
        <f>IF(FT!B129&lt;&gt;"",FT!C129,"")</f>
        <v>51.5974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2.2364700000000002</v>
      </c>
      <c r="G130" s="61">
        <f>IF(FT!B130&lt;&gt;"",FT!B130*100,"")</f>
        <v>46.879599999999996</v>
      </c>
      <c r="H130" s="61">
        <f t="shared" si="9"/>
        <v>1</v>
      </c>
      <c r="I130" t="str">
        <f>IF(FT!B130&lt;&gt;"",FT!E130,"")</f>
        <v>2 [52.000817]</v>
      </c>
      <c r="J130">
        <f>IF(FT!B130&lt;&gt;"",FT!C130,"")</f>
        <v>52.000799999999998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2068</v>
      </c>
      <c r="D131" s="61">
        <f>FH!B131*1</f>
        <v>2068</v>
      </c>
      <c r="E131">
        <f t="shared" si="11"/>
        <v>129</v>
      </c>
      <c r="F131" s="61">
        <f>IF(FT!A131&lt;&gt;"",FT!A131*10,"")</f>
        <v>2.2325500000000003</v>
      </c>
      <c r="G131" s="61">
        <f>IF(FT!B131&lt;&gt;"",FT!B131*100,"")</f>
        <v>46.788400000000003</v>
      </c>
      <c r="H131" s="61">
        <f t="shared" ref="H131:H194" si="13">(IF(F131&lt;&gt;"",1,""))</f>
        <v>1</v>
      </c>
      <c r="I131" t="str">
        <f>IF(FT!B131&lt;&gt;"",FT!E131,"")</f>
        <v>2 [52.407183]</v>
      </c>
      <c r="J131">
        <f>IF(FT!B131&lt;&gt;"",FT!C131,"")</f>
        <v>52.407200000000003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2.2319599999999999</v>
      </c>
      <c r="G132" s="61">
        <f>IF(FT!B132&lt;&gt;"",FT!B132*100,"")</f>
        <v>46.771700000000003</v>
      </c>
      <c r="H132" s="61">
        <f t="shared" si="13"/>
        <v>1</v>
      </c>
      <c r="I132" t="str">
        <f>IF(FT!B132&lt;&gt;"",FT!E132,"")</f>
        <v>2 [52.813638]</v>
      </c>
      <c r="J132">
        <f>IF(FT!B132&lt;&gt;"",FT!C132,"")</f>
        <v>52.813600000000001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2.2300400000000002</v>
      </c>
      <c r="G133" s="61">
        <f>IF(FT!B133&lt;&gt;"",FT!B133*100,"")</f>
        <v>46.881799999999998</v>
      </c>
      <c r="H133" s="61">
        <f t="shared" si="13"/>
        <v>1</v>
      </c>
      <c r="I133" t="str">
        <f>IF(FT!B133&lt;&gt;"",FT!E133,"")</f>
        <v>2 [53.223280]</v>
      </c>
      <c r="J133">
        <f>IF(FT!B133&lt;&gt;"",FT!C133,"")</f>
        <v>53.223300000000002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1143</v>
      </c>
      <c r="D134" s="61">
        <f>FH!B134*1</f>
        <v>1143</v>
      </c>
      <c r="E134">
        <f t="shared" si="15"/>
        <v>132</v>
      </c>
      <c r="F134" s="61">
        <f>IF(FT!A134&lt;&gt;"",FT!A134*10,"")</f>
        <v>2.2269600000000001</v>
      </c>
      <c r="G134" s="61">
        <f>IF(FT!B134&lt;&gt;"",FT!B134*100,"")</f>
        <v>47.0139</v>
      </c>
      <c r="H134" s="61">
        <f t="shared" si="13"/>
        <v>1</v>
      </c>
      <c r="I134" t="str">
        <f>IF(FT!B134&lt;&gt;"",FT!E134,"")</f>
        <v>2 [53.628960]</v>
      </c>
      <c r="J134">
        <f>IF(FT!B134&lt;&gt;"",FT!C134,"")</f>
        <v>53.628999999999998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2.22315</v>
      </c>
      <c r="G135" s="61">
        <f>IF(FT!B135&lt;&gt;"",FT!B135*100,"")</f>
        <v>47.139600000000002</v>
      </c>
      <c r="H135" s="61">
        <f t="shared" si="13"/>
        <v>1</v>
      </c>
      <c r="I135" t="str">
        <f>IF(FT!B135&lt;&gt;"",FT!E135,"")</f>
        <v>2 [54.032643]</v>
      </c>
      <c r="J135">
        <f>IF(FT!B135&lt;&gt;"",FT!C135,"")</f>
        <v>54.032600000000002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1436</v>
      </c>
      <c r="D136" s="61">
        <f>FH!B136*1</f>
        <v>1436</v>
      </c>
      <c r="E136">
        <f t="shared" si="15"/>
        <v>134</v>
      </c>
      <c r="F136" s="61">
        <f>IF(FT!A136&lt;&gt;"",FT!A136*10,"")</f>
        <v>2.2189200000000002</v>
      </c>
      <c r="G136" s="61">
        <f>IF(FT!B136&lt;&gt;"",FT!B136*100,"")</f>
        <v>47.258899999999997</v>
      </c>
      <c r="H136" s="61">
        <f t="shared" si="13"/>
        <v>1</v>
      </c>
      <c r="I136" t="str">
        <f>IF(FT!B136&lt;&gt;"",FT!E136,"")</f>
        <v>2 [54.440087]</v>
      </c>
      <c r="J136">
        <f>IF(FT!B136&lt;&gt;"",FT!C136,"")</f>
        <v>54.440100000000001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2.2139500000000001</v>
      </c>
      <c r="G137" s="61">
        <f>IF(FT!B137&lt;&gt;"",FT!B137*100,"")</f>
        <v>47.408200000000001</v>
      </c>
      <c r="H137" s="61">
        <f t="shared" si="13"/>
        <v>1</v>
      </c>
      <c r="I137" t="str">
        <f>IF(FT!B137&lt;&gt;"",FT!E137,"")</f>
        <v>2 [54.846770]</v>
      </c>
      <c r="J137">
        <f>IF(FT!B137&lt;&gt;"",FT!C137,"")</f>
        <v>54.846800000000002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2.2084200000000003</v>
      </c>
      <c r="G138" s="61">
        <f>IF(FT!B138&lt;&gt;"",FT!B138*100,"")</f>
        <v>47.550199999999997</v>
      </c>
      <c r="H138" s="61">
        <f t="shared" si="13"/>
        <v>1</v>
      </c>
      <c r="I138" t="str">
        <f>IF(FT!B138&lt;&gt;"",FT!E138,"")</f>
        <v>2 [55.254186]</v>
      </c>
      <c r="J138">
        <f>IF(FT!B138&lt;&gt;"",FT!C138,"")</f>
        <v>55.254199999999997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1067</v>
      </c>
      <c r="D139" s="61">
        <f>FH!B139*1</f>
        <v>1067</v>
      </c>
      <c r="E139">
        <f t="shared" si="15"/>
        <v>137</v>
      </c>
      <c r="F139" s="61">
        <f>IF(FT!A139&lt;&gt;"",FT!A139*10,"")</f>
        <v>2.2036899999999999</v>
      </c>
      <c r="G139" s="61">
        <f>IF(FT!B139&lt;&gt;"",FT!B139*100,"")</f>
        <v>47.5961</v>
      </c>
      <c r="H139" s="61">
        <f t="shared" si="13"/>
        <v>1</v>
      </c>
      <c r="I139" t="str">
        <f>IF(FT!B139&lt;&gt;"",FT!E139,"")</f>
        <v>2 [55.659658]</v>
      </c>
      <c r="J139">
        <f>IF(FT!B139&lt;&gt;"",FT!C139,"")</f>
        <v>55.659700000000001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2.1987100000000002</v>
      </c>
      <c r="G140" s="61">
        <f>IF(FT!B140&lt;&gt;"",FT!B140*100,"")</f>
        <v>47.611599999999996</v>
      </c>
      <c r="H140" s="61">
        <f t="shared" si="13"/>
        <v>1</v>
      </c>
      <c r="I140" t="str">
        <f>IF(FT!B140&lt;&gt;"",FT!E140,"")</f>
        <v>2 [56.063348]</v>
      </c>
      <c r="J140">
        <f>IF(FT!B140&lt;&gt;"",FT!C140,"")</f>
        <v>56.063299999999998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2.19184</v>
      </c>
      <c r="G141" s="61">
        <f>IF(FT!B141&lt;&gt;"",FT!B141*100,"")</f>
        <v>47.677399999999999</v>
      </c>
      <c r="H141" s="61">
        <f t="shared" si="13"/>
        <v>1</v>
      </c>
      <c r="I141" t="str">
        <f>IF(FT!B141&lt;&gt;"",FT!E141,"")</f>
        <v>2 [56.471848]</v>
      </c>
      <c r="J141">
        <f>IF(FT!B141&lt;&gt;"",FT!C141,"")</f>
        <v>56.471800000000002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969</v>
      </c>
      <c r="D142" s="61">
        <f>FH!B142*1</f>
        <v>969</v>
      </c>
      <c r="E142">
        <f t="shared" si="15"/>
        <v>140</v>
      </c>
      <c r="F142" s="61">
        <f>IF(FT!A142&lt;&gt;"",FT!A142*10,"")</f>
        <v>2.18614</v>
      </c>
      <c r="G142" s="61">
        <f>IF(FT!B142&lt;&gt;"",FT!B142*100,"")</f>
        <v>47.5518</v>
      </c>
      <c r="H142" s="61">
        <f t="shared" si="13"/>
        <v>1</v>
      </c>
      <c r="I142" t="str">
        <f>IF(FT!B142&lt;&gt;"",FT!E142,"")</f>
        <v>2 [56.877905]</v>
      </c>
      <c r="J142">
        <f>IF(FT!B142&lt;&gt;"",FT!C142,"")</f>
        <v>56.877899999999997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2.1778900000000001</v>
      </c>
      <c r="G143" s="61">
        <f>IF(FT!B143&lt;&gt;"",FT!B143*100,"")</f>
        <v>47.534799999999997</v>
      </c>
      <c r="H143" s="61">
        <f t="shared" si="13"/>
        <v>1</v>
      </c>
      <c r="I143" t="str">
        <f>IF(FT!B143&lt;&gt;"",FT!E143,"")</f>
        <v>2 [57.283501]</v>
      </c>
      <c r="J143">
        <f>IF(FT!B143&lt;&gt;"",FT!C143,"")</f>
        <v>57.283499999999997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903</v>
      </c>
      <c r="D144" s="61">
        <f>FH!B144*1</f>
        <v>903</v>
      </c>
      <c r="E144">
        <f t="shared" si="15"/>
        <v>142</v>
      </c>
      <c r="F144" s="61">
        <f>IF(FT!A144&lt;&gt;"",FT!A144*10,"")</f>
        <v>2.1682899999999998</v>
      </c>
      <c r="G144" s="61">
        <f>IF(FT!B144&lt;&gt;"",FT!B144*100,"")</f>
        <v>47.497699999999995</v>
      </c>
      <c r="H144" s="61">
        <f t="shared" si="13"/>
        <v>1</v>
      </c>
      <c r="I144" t="str">
        <f>IF(FT!B144&lt;&gt;"",FT!E144,"")</f>
        <v>2 [57.689484]</v>
      </c>
      <c r="J144">
        <f>IF(FT!B144&lt;&gt;"",FT!C144,"")</f>
        <v>57.689500000000002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2.1590100000000003</v>
      </c>
      <c r="G145" s="61">
        <f>IF(FT!B145&lt;&gt;"",FT!B145*100,"")</f>
        <v>47.558799999999998</v>
      </c>
      <c r="H145" s="61">
        <f t="shared" si="13"/>
        <v>1</v>
      </c>
      <c r="I145" t="str">
        <f>IF(FT!B145&lt;&gt;"",FT!E145,"")</f>
        <v>2 [58.095378]</v>
      </c>
      <c r="J145">
        <f>IF(FT!B145&lt;&gt;"",FT!C145,"")</f>
        <v>58.095399999999998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2.1497299999999999</v>
      </c>
      <c r="G146" s="61">
        <f>IF(FT!B146&lt;&gt;"",FT!B146*100,"")</f>
        <v>47.811900000000001</v>
      </c>
      <c r="H146" s="61">
        <f t="shared" si="13"/>
        <v>1</v>
      </c>
      <c r="I146" t="str">
        <f>IF(FT!B146&lt;&gt;"",FT!E146,"")</f>
        <v>2 [58.502738]</v>
      </c>
      <c r="J146">
        <f>IF(FT!B146&lt;&gt;"",FT!C146,"")</f>
        <v>58.502699999999997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664</v>
      </c>
      <c r="D147" s="61">
        <f>FH!B147*1</f>
        <v>664</v>
      </c>
      <c r="E147">
        <f t="shared" si="15"/>
        <v>145</v>
      </c>
      <c r="F147" s="61">
        <f>IF(FT!A147&lt;&gt;"",FT!A147*10,"")</f>
        <v>2.1381399999999999</v>
      </c>
      <c r="G147" s="61">
        <f>IF(FT!B147&lt;&gt;"",FT!B147*100,"")</f>
        <v>48.204099999999997</v>
      </c>
      <c r="H147" s="61">
        <f t="shared" si="13"/>
        <v>1</v>
      </c>
      <c r="I147" t="str">
        <f>IF(FT!B147&lt;&gt;"",FT!E147,"")</f>
        <v>2 [58.912695]</v>
      </c>
      <c r="J147">
        <f>IF(FT!B147&lt;&gt;"",FT!C147,"")</f>
        <v>58.912700000000001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2.12975</v>
      </c>
      <c r="G148" s="61">
        <f>IF(FT!B148&lt;&gt;"",FT!B148*100,"")</f>
        <v>48.468000000000004</v>
      </c>
      <c r="H148" s="61">
        <f t="shared" si="13"/>
        <v>1</v>
      </c>
      <c r="I148" t="str">
        <f>IF(FT!B148&lt;&gt;"",FT!E148,"")</f>
        <v>2 [59.317004]</v>
      </c>
      <c r="J148">
        <f>IF(FT!B148&lt;&gt;"",FT!C148,"")</f>
        <v>59.317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463</v>
      </c>
      <c r="D149" s="61">
        <f>FH!B149*1</f>
        <v>463</v>
      </c>
      <c r="E149">
        <f t="shared" si="15"/>
        <v>147</v>
      </c>
      <c r="F149" s="61">
        <f>IF(FT!A149&lt;&gt;"",FT!A149*10,"")</f>
        <v>2.12202</v>
      </c>
      <c r="G149" s="61">
        <f>IF(FT!B149&lt;&gt;"",FT!B149*100,"")</f>
        <v>48.758899999999997</v>
      </c>
      <c r="H149" s="61">
        <f t="shared" si="13"/>
        <v>1</v>
      </c>
      <c r="I149" t="str">
        <f>IF(FT!B149&lt;&gt;"",FT!E149,"")</f>
        <v>2 [59.724413]</v>
      </c>
      <c r="J149">
        <f>IF(FT!B149&lt;&gt;"",FT!C149,"")</f>
        <v>59.724400000000003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42</v>
      </c>
      <c r="D152" s="61">
        <f>FH!B152*1</f>
        <v>42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0</v>
      </c>
      <c r="D154" s="61">
        <f>FH!B154*1</f>
        <v>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25.196899999999999</v>
      </c>
      <c r="C5" s="66">
        <v>5.9187399999999997</v>
      </c>
      <c r="D5" s="66">
        <v>23.489899999999999</v>
      </c>
      <c r="E5" s="66">
        <v>20</v>
      </c>
      <c r="F5" s="66">
        <v>11.477</v>
      </c>
      <c r="G5" s="66">
        <v>50</v>
      </c>
      <c r="H5" s="66">
        <v>36.295099999999998</v>
      </c>
    </row>
    <row r="6" spans="1:8">
      <c r="A6" s="58" t="s">
        <v>303</v>
      </c>
      <c r="B6" s="66">
        <v>31.175699999999999</v>
      </c>
      <c r="C6" s="66">
        <v>4.1180399999999997</v>
      </c>
      <c r="D6" s="66">
        <v>13.209099999999999</v>
      </c>
      <c r="E6" s="66">
        <v>20</v>
      </c>
      <c r="F6" s="66">
        <v>22.0565</v>
      </c>
      <c r="G6" s="66">
        <v>40</v>
      </c>
      <c r="H6" s="66">
        <v>36.819200000000002</v>
      </c>
    </row>
    <row r="7" spans="1:8">
      <c r="A7" s="58" t="s">
        <v>304</v>
      </c>
      <c r="B7" s="66">
        <v>23.1173</v>
      </c>
      <c r="C7" s="66">
        <v>10.3485</v>
      </c>
      <c r="D7" s="66">
        <v>44.765300000000003</v>
      </c>
      <c r="E7" s="66">
        <v>15</v>
      </c>
      <c r="F7" s="66">
        <v>8.6465999999999994</v>
      </c>
      <c r="G7" s="66">
        <v>40</v>
      </c>
      <c r="H7" s="66">
        <v>54.095199999999998</v>
      </c>
    </row>
    <row r="8" spans="1:8">
      <c r="A8" s="58" t="s">
        <v>305</v>
      </c>
      <c r="B8" s="66">
        <v>27.880400000000002</v>
      </c>
      <c r="C8" s="66">
        <v>3.9048799999999999</v>
      </c>
      <c r="D8" s="66">
        <v>14.005800000000001</v>
      </c>
      <c r="E8" s="66">
        <v>20</v>
      </c>
      <c r="F8" s="66">
        <v>18</v>
      </c>
      <c r="G8" s="66">
        <v>50</v>
      </c>
      <c r="H8" s="66">
        <v>38.316600000000001</v>
      </c>
    </row>
    <row r="9" spans="1:8">
      <c r="A9" s="58" t="s">
        <v>306</v>
      </c>
      <c r="B9" s="66">
        <v>73.269099999999995</v>
      </c>
      <c r="C9" s="66">
        <v>4.5411599999999996</v>
      </c>
      <c r="D9" s="66">
        <v>6.1979100000000003</v>
      </c>
      <c r="E9" s="66">
        <v>50</v>
      </c>
      <c r="F9" s="66">
        <v>61.548699999999997</v>
      </c>
      <c r="G9" s="66">
        <v>100</v>
      </c>
      <c r="H9" s="66">
        <v>83.835499999999996</v>
      </c>
    </row>
    <row r="10" spans="1:8">
      <c r="A10" s="58" t="s">
        <v>307</v>
      </c>
      <c r="B10" s="66">
        <v>68.380600000000001</v>
      </c>
      <c r="C10" s="66">
        <v>4.0619300000000003</v>
      </c>
      <c r="D10" s="66">
        <v>5.9401799999999998</v>
      </c>
      <c r="E10" s="66">
        <v>40</v>
      </c>
      <c r="F10" s="66">
        <v>60.622199999999999</v>
      </c>
      <c r="G10" s="66">
        <v>100</v>
      </c>
      <c r="H10" s="66">
        <v>74.744</v>
      </c>
    </row>
    <row r="11" spans="1:8">
      <c r="A11" s="58" t="s">
        <v>308</v>
      </c>
      <c r="B11" s="66">
        <v>9.3372399999999995</v>
      </c>
      <c r="C11" s="66">
        <v>2.09518</v>
      </c>
      <c r="D11" s="66">
        <v>22.439</v>
      </c>
      <c r="E11" s="66">
        <v>10</v>
      </c>
      <c r="F11" s="66">
        <v>5.9368800000000004</v>
      </c>
      <c r="G11" s="66">
        <v>50</v>
      </c>
      <c r="H11" s="66">
        <v>14.2376</v>
      </c>
    </row>
    <row r="12" spans="1:8">
      <c r="A12" s="58" t="s">
        <v>309</v>
      </c>
      <c r="B12" s="66">
        <v>69.876800000000003</v>
      </c>
      <c r="C12" s="66">
        <v>3.43913</v>
      </c>
      <c r="D12" s="66">
        <v>4.9217000000000004</v>
      </c>
      <c r="E12" s="66">
        <v>50</v>
      </c>
      <c r="F12" s="66">
        <v>64.180899999999994</v>
      </c>
      <c r="G12" s="66">
        <v>100</v>
      </c>
      <c r="H12" s="66">
        <v>79.056799999999996</v>
      </c>
    </row>
    <row r="13" spans="1:8">
      <c r="A13" s="58" t="s">
        <v>310</v>
      </c>
      <c r="B13" s="66">
        <v>19.369599999999998</v>
      </c>
      <c r="C13" s="66">
        <v>2.6715300000000002</v>
      </c>
      <c r="D13" s="66">
        <v>13.792400000000001</v>
      </c>
      <c r="E13" s="66">
        <v>10</v>
      </c>
      <c r="F13" s="66">
        <v>14.670299999999999</v>
      </c>
      <c r="G13" s="66">
        <v>25</v>
      </c>
      <c r="H13" s="66">
        <v>31.848800000000001</v>
      </c>
    </row>
    <row r="14" spans="1:8">
      <c r="A14" s="58" t="s">
        <v>311</v>
      </c>
      <c r="B14" s="66">
        <v>26.715299999999999</v>
      </c>
      <c r="C14" s="66">
        <v>8.0228900000000003</v>
      </c>
      <c r="D14" s="66">
        <v>30.031099999999999</v>
      </c>
      <c r="E14" s="66">
        <v>10</v>
      </c>
      <c r="F14" s="66">
        <v>2.8099400000000001</v>
      </c>
      <c r="G14" s="66">
        <v>50</v>
      </c>
      <c r="H14" s="66">
        <v>38.1297</v>
      </c>
    </row>
    <row r="15" spans="1:8">
      <c r="A15" s="58" t="s">
        <v>312</v>
      </c>
      <c r="B15" s="66">
        <v>4.1754699999999999E-2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4.2422399999999999E-2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17.879200000000001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0.73473200000000005</v>
      </c>
      <c r="C18" s="66">
        <v>3.2150700000000001E-4</v>
      </c>
      <c r="D18" s="66">
        <v>4.3758499999999999E-4</v>
      </c>
      <c r="E18" s="66">
        <v>0</v>
      </c>
      <c r="F18" s="66">
        <v>0.73441000000000001</v>
      </c>
      <c r="G18" s="66">
        <v>0</v>
      </c>
      <c r="H18" s="66">
        <v>0.73505299999999996</v>
      </c>
    </row>
    <row r="19" spans="1:8">
      <c r="A19" s="58" t="s">
        <v>316</v>
      </c>
      <c r="B19" s="66">
        <v>0.81063399999999997</v>
      </c>
      <c r="C19" s="66">
        <v>2.26997E-2</v>
      </c>
      <c r="D19" s="66">
        <v>2.80024E-2</v>
      </c>
      <c r="E19" s="66">
        <v>0</v>
      </c>
      <c r="F19" s="66">
        <v>0.78793400000000002</v>
      </c>
      <c r="G19" s="66">
        <v>0</v>
      </c>
      <c r="H19" s="66">
        <v>0.83333299999999999</v>
      </c>
    </row>
    <row r="20" spans="1:8">
      <c r="A20" s="58" t="s">
        <v>317</v>
      </c>
      <c r="B20" s="196">
        <v>7.1199399999999995E-5</v>
      </c>
      <c r="C20" s="66">
        <v>1.6689800000000001E-2</v>
      </c>
      <c r="D20" s="66">
        <v>234.40899999999999</v>
      </c>
      <c r="E20" s="66">
        <v>0</v>
      </c>
      <c r="F20" s="66">
        <v>0</v>
      </c>
      <c r="G20" s="66">
        <v>0</v>
      </c>
      <c r="H20" s="66">
        <v>0.193075</v>
      </c>
    </row>
    <row r="21" spans="1:8">
      <c r="A21" s="58" t="s">
        <v>318</v>
      </c>
      <c r="B21" s="66">
        <v>3.03831E-2</v>
      </c>
      <c r="C21" s="66">
        <v>0.120445</v>
      </c>
      <c r="D21" s="66">
        <v>3.9642200000000001</v>
      </c>
      <c r="E21" s="66">
        <v>0</v>
      </c>
      <c r="F21" s="196">
        <v>3.32925E-5</v>
      </c>
      <c r="G21" s="66">
        <v>0</v>
      </c>
      <c r="H21" s="66">
        <v>0.83079999999999998</v>
      </c>
    </row>
    <row r="22" spans="1:8">
      <c r="A22" s="58" t="s">
        <v>319</v>
      </c>
      <c r="B22" s="66">
        <v>33.429200000000002</v>
      </c>
      <c r="C22" s="66">
        <v>11.7798</v>
      </c>
      <c r="D22" s="66">
        <v>0.352379</v>
      </c>
      <c r="E22" s="66">
        <v>0</v>
      </c>
      <c r="F22" s="66">
        <v>19.086600000000001</v>
      </c>
      <c r="G22" s="66">
        <v>0</v>
      </c>
      <c r="H22" s="66">
        <v>74.391000000000005</v>
      </c>
    </row>
    <row r="23" spans="1:8">
      <c r="A23" s="58" t="s">
        <v>320</v>
      </c>
      <c r="B23" s="66">
        <v>11.315</v>
      </c>
      <c r="C23" s="66">
        <v>2.2432300000000001</v>
      </c>
      <c r="D23" s="66">
        <v>0.19825300000000001</v>
      </c>
      <c r="E23" s="66">
        <v>0</v>
      </c>
      <c r="F23" s="66">
        <v>7.4228399999999999</v>
      </c>
      <c r="G23" s="66">
        <v>0</v>
      </c>
      <c r="H23" s="66">
        <v>15.014900000000001</v>
      </c>
    </row>
    <row r="24" spans="1:8">
      <c r="A24" s="58" t="s">
        <v>321</v>
      </c>
      <c r="B24" s="66">
        <v>1.9757299999999999E-4</v>
      </c>
      <c r="C24" s="66">
        <v>1.0753800000000001E-2</v>
      </c>
      <c r="D24" s="66">
        <v>54.429400000000001</v>
      </c>
      <c r="E24" s="66">
        <v>0</v>
      </c>
      <c r="F24" s="196">
        <v>2.1399699999999999E-6</v>
      </c>
      <c r="G24" s="66">
        <v>0</v>
      </c>
      <c r="H24" s="66">
        <v>5.7514999999999997E-2</v>
      </c>
    </row>
    <row r="25" spans="1:8">
      <c r="A25" s="58" t="s">
        <v>322</v>
      </c>
      <c r="B25" s="66">
        <v>6.94052E-2</v>
      </c>
      <c r="C25" s="66">
        <v>6.2282900000000002E-2</v>
      </c>
      <c r="D25" s="66">
        <v>0.89738099999999998</v>
      </c>
      <c r="E25" s="66">
        <v>0</v>
      </c>
      <c r="F25" s="66">
        <v>8.2722999999999998E-3</v>
      </c>
      <c r="G25" s="66">
        <v>0</v>
      </c>
      <c r="H25" s="66">
        <v>0.322772</v>
      </c>
    </row>
    <row r="26" spans="1:8">
      <c r="A26" s="58" t="s">
        <v>323</v>
      </c>
      <c r="B26" s="196">
        <v>2.2977899999999999E-5</v>
      </c>
      <c r="C26" s="66">
        <v>1.0719799999999999E-3</v>
      </c>
      <c r="D26" s="66">
        <v>46.6526</v>
      </c>
      <c r="E26" s="66">
        <v>0</v>
      </c>
      <c r="F26" s="66">
        <v>0</v>
      </c>
      <c r="G26" s="66">
        <v>0</v>
      </c>
      <c r="H26" s="66">
        <v>9.4866099999999995E-3</v>
      </c>
    </row>
    <row r="27" spans="1:8">
      <c r="A27" s="58" t="s">
        <v>324</v>
      </c>
      <c r="B27" s="66">
        <v>0</v>
      </c>
      <c r="C27" s="66">
        <v>7.6981200000000004E-4</v>
      </c>
      <c r="D27" s="66">
        <v>0</v>
      </c>
      <c r="E27" s="66">
        <v>0</v>
      </c>
      <c r="F27" s="66">
        <v>-6.0760199999999997E-3</v>
      </c>
      <c r="G27" s="66">
        <v>0</v>
      </c>
      <c r="H27" s="66">
        <v>7.74357E-3</v>
      </c>
    </row>
    <row r="28" spans="1:8">
      <c r="A28" s="58" t="s">
        <v>325</v>
      </c>
      <c r="B28" s="66">
        <v>4.67448E-3</v>
      </c>
      <c r="C28" s="66">
        <v>1.08626E-2</v>
      </c>
      <c r="D28" s="66">
        <v>2.3238099999999999</v>
      </c>
      <c r="E28" s="66">
        <v>0</v>
      </c>
      <c r="F28" s="196">
        <v>6.5104200000000001E-6</v>
      </c>
      <c r="G28" s="66">
        <v>0</v>
      </c>
      <c r="H28" s="66">
        <v>7.1149100000000007E-2</v>
      </c>
    </row>
    <row r="29" spans="1:8">
      <c r="A29" s="58" t="s">
        <v>326</v>
      </c>
      <c r="B29" s="66">
        <v>56.961199999999998</v>
      </c>
      <c r="C29" s="66">
        <v>7.6834800000000003</v>
      </c>
      <c r="D29" s="66">
        <v>0.13489000000000001</v>
      </c>
      <c r="E29" s="66">
        <v>0</v>
      </c>
      <c r="F29" s="66">
        <v>39.9617</v>
      </c>
      <c r="G29" s="66">
        <v>0</v>
      </c>
      <c r="H29" s="66">
        <v>79.174000000000007</v>
      </c>
    </row>
    <row r="30" spans="1:8">
      <c r="A30" s="58" t="s">
        <v>327</v>
      </c>
      <c r="B30" s="66">
        <v>14.0839</v>
      </c>
      <c r="C30" s="66">
        <v>2.58047</v>
      </c>
      <c r="D30" s="66">
        <v>0.18322099999999999</v>
      </c>
      <c r="E30" s="66">
        <v>0</v>
      </c>
      <c r="F30" s="66">
        <v>7.9746499999999996</v>
      </c>
      <c r="G30" s="66">
        <v>0</v>
      </c>
      <c r="H30" s="66">
        <v>17.308800000000002</v>
      </c>
    </row>
    <row r="31" spans="1:8">
      <c r="A31" s="58" t="s">
        <v>328</v>
      </c>
      <c r="B31" s="66">
        <v>93.552199999999999</v>
      </c>
      <c r="C31" s="66">
        <v>39.438200000000002</v>
      </c>
      <c r="D31" s="66">
        <v>0.42156300000000002</v>
      </c>
      <c r="E31" s="66">
        <v>0</v>
      </c>
      <c r="F31" s="66">
        <v>43.807400000000001</v>
      </c>
      <c r="G31" s="66">
        <v>0</v>
      </c>
      <c r="H31" s="66">
        <v>178.34800000000001</v>
      </c>
    </row>
    <row r="32" spans="1:8">
      <c r="A32" s="58" t="s">
        <v>329</v>
      </c>
      <c r="B32" s="66">
        <v>0.23117299999999999</v>
      </c>
      <c r="C32" s="66">
        <v>0.10348499999999999</v>
      </c>
      <c r="D32" s="66">
        <v>0.44765300000000002</v>
      </c>
      <c r="E32" s="66">
        <v>0.15</v>
      </c>
      <c r="F32" s="66">
        <v>8.6465899999999998E-2</v>
      </c>
      <c r="G32" s="66">
        <v>0.4</v>
      </c>
      <c r="H32" s="66">
        <v>0.54095199999999999</v>
      </c>
    </row>
    <row r="33" spans="1:8">
      <c r="A33" s="58" t="s">
        <v>330</v>
      </c>
      <c r="B33" s="66">
        <v>0.341978</v>
      </c>
      <c r="C33" s="66">
        <v>4.3792699999999997E-2</v>
      </c>
      <c r="D33" s="66">
        <v>0.128057</v>
      </c>
      <c r="E33" s="66">
        <v>0</v>
      </c>
      <c r="F33" s="66">
        <v>0.25605899999999998</v>
      </c>
      <c r="G33" s="66">
        <v>0</v>
      </c>
      <c r="H33" s="66">
        <v>0.39499099999999998</v>
      </c>
    </row>
    <row r="34" spans="1:8">
      <c r="A34" s="58" t="s">
        <v>331</v>
      </c>
      <c r="B34" s="66">
        <v>0.19369600000000001</v>
      </c>
      <c r="C34" s="66">
        <v>2.6715300000000001E-2</v>
      </c>
      <c r="D34" s="66">
        <v>0.13792399999999999</v>
      </c>
      <c r="E34" s="66">
        <v>0.1</v>
      </c>
      <c r="F34" s="66">
        <v>0.146703</v>
      </c>
      <c r="G34" s="66">
        <v>0.25</v>
      </c>
      <c r="H34" s="66">
        <v>0.31848799999999999</v>
      </c>
    </row>
    <row r="35" spans="1:8">
      <c r="A35" s="58" t="s">
        <v>332</v>
      </c>
      <c r="B35" s="66">
        <v>8.1168299999999999E-2</v>
      </c>
      <c r="C35" s="66">
        <v>1.9503E-2</v>
      </c>
      <c r="D35" s="66">
        <v>0.24027799999999999</v>
      </c>
      <c r="E35" s="66">
        <v>0</v>
      </c>
      <c r="F35" s="66">
        <v>3.9197000000000003E-2</v>
      </c>
      <c r="G35" s="66">
        <v>0</v>
      </c>
      <c r="H35" s="66">
        <v>0.159473</v>
      </c>
    </row>
    <row r="36" spans="1:8">
      <c r="A36" s="58" t="s">
        <v>333</v>
      </c>
      <c r="B36" s="66">
        <v>0.17566999999999999</v>
      </c>
      <c r="C36" s="66">
        <v>8.9863299999999993E-2</v>
      </c>
      <c r="D36" s="66">
        <v>0.51154500000000003</v>
      </c>
      <c r="E36" s="66">
        <v>0</v>
      </c>
      <c r="F36" s="66">
        <v>3.6122700000000001E-2</v>
      </c>
      <c r="G36" s="66">
        <v>0</v>
      </c>
      <c r="H36" s="66">
        <v>0.50769299999999995</v>
      </c>
    </row>
    <row r="37" spans="1:8">
      <c r="A37" s="58" t="s">
        <v>334</v>
      </c>
      <c r="B37" s="66">
        <v>0.26715299999999997</v>
      </c>
      <c r="C37" s="66">
        <v>8.0228900000000006E-2</v>
      </c>
      <c r="D37" s="66">
        <v>0.30031099999999999</v>
      </c>
      <c r="E37" s="66">
        <v>0.1</v>
      </c>
      <c r="F37" s="66">
        <v>2.80994E-2</v>
      </c>
      <c r="G37" s="66">
        <v>0.5</v>
      </c>
      <c r="H37" s="66">
        <v>0.381297</v>
      </c>
    </row>
    <row r="38" spans="1:8">
      <c r="A38" s="58" t="s">
        <v>335</v>
      </c>
      <c r="B38" s="66">
        <v>-8.4612300000000005</v>
      </c>
      <c r="C38" s="66">
        <v>39.438699999999997</v>
      </c>
      <c r="D38" s="66">
        <v>-4.6611000000000002</v>
      </c>
      <c r="E38" s="66">
        <v>0</v>
      </c>
      <c r="F38" s="66">
        <v>-197.21100000000001</v>
      </c>
      <c r="G38" s="66">
        <v>0</v>
      </c>
      <c r="H38" s="66">
        <v>206.90299999999999</v>
      </c>
    </row>
    <row r="39" spans="1:8">
      <c r="A39" s="58" t="s">
        <v>336</v>
      </c>
      <c r="B39" s="66">
        <v>-3.7995999999999999</v>
      </c>
      <c r="C39" s="66">
        <v>3.8428599999999999</v>
      </c>
      <c r="D39" s="66">
        <v>-1.01139</v>
      </c>
      <c r="E39" s="66">
        <v>0</v>
      </c>
      <c r="F39" s="66">
        <v>-10.8794</v>
      </c>
      <c r="G39" s="66">
        <v>0</v>
      </c>
      <c r="H39" s="66">
        <v>7.8693099999999996</v>
      </c>
    </row>
    <row r="40" spans="1:8">
      <c r="A40" s="58" t="s">
        <v>337</v>
      </c>
      <c r="B40" s="66">
        <v>-1.62276</v>
      </c>
      <c r="C40" s="66">
        <v>0.48743599999999998</v>
      </c>
      <c r="D40" s="66">
        <v>-0.30037399999999997</v>
      </c>
      <c r="E40" s="66">
        <v>0</v>
      </c>
      <c r="F40" s="66">
        <v>-2.40482</v>
      </c>
      <c r="G40" s="66">
        <v>0</v>
      </c>
      <c r="H40" s="66">
        <v>-0.39015899999999998</v>
      </c>
    </row>
    <row r="41" spans="1:8">
      <c r="A41" s="58" t="s">
        <v>338</v>
      </c>
      <c r="B41" s="66">
        <v>-6.2121900000000001E-2</v>
      </c>
      <c r="C41" s="66">
        <v>0.300091</v>
      </c>
      <c r="D41" s="66">
        <v>-4.8306800000000001</v>
      </c>
      <c r="E41" s="66">
        <v>0</v>
      </c>
      <c r="F41" s="66">
        <v>-0.82932899999999998</v>
      </c>
      <c r="G41" s="66">
        <v>0</v>
      </c>
      <c r="H41" s="66">
        <v>1</v>
      </c>
    </row>
    <row r="42" spans="1:8">
      <c r="A42" s="58" t="s">
        <v>339</v>
      </c>
      <c r="B42" s="66">
        <v>-8.8281200000000004E-2</v>
      </c>
      <c r="C42" s="66">
        <v>9.1390600000000002E-2</v>
      </c>
      <c r="D42" s="66">
        <v>-1.03522</v>
      </c>
      <c r="E42" s="66">
        <v>0</v>
      </c>
      <c r="F42" s="66">
        <v>-0.27442699999999998</v>
      </c>
      <c r="G42" s="66">
        <v>0</v>
      </c>
      <c r="H42" s="66">
        <v>0.187032</v>
      </c>
    </row>
    <row r="43" spans="1:8">
      <c r="A43" s="58" t="s">
        <v>340</v>
      </c>
      <c r="B43" s="66">
        <v>-0.128913</v>
      </c>
      <c r="C43" s="66">
        <v>4.8056500000000002E-2</v>
      </c>
      <c r="D43" s="66">
        <v>-0.37278299999999998</v>
      </c>
      <c r="E43" s="66">
        <v>0</v>
      </c>
      <c r="F43" s="66">
        <v>-0.216916</v>
      </c>
      <c r="G43" s="66">
        <v>0</v>
      </c>
      <c r="H43" s="66">
        <v>-1.02553E-2</v>
      </c>
    </row>
    <row r="44" spans="1:8">
      <c r="A44" s="58" t="s">
        <v>341</v>
      </c>
      <c r="B44" s="66">
        <v>-3.0897100000000002</v>
      </c>
      <c r="C44" s="66">
        <v>6.7617200000000004</v>
      </c>
      <c r="D44" s="66">
        <v>-2.1884600000000001</v>
      </c>
      <c r="E44" s="66">
        <v>0</v>
      </c>
      <c r="F44" s="66">
        <v>-14.057399999999999</v>
      </c>
      <c r="G44" s="66">
        <v>0</v>
      </c>
      <c r="H44" s="66">
        <v>13.322800000000001</v>
      </c>
    </row>
    <row r="45" spans="1:8">
      <c r="A45" s="58" t="s">
        <v>342</v>
      </c>
      <c r="B45" s="66">
        <v>49.034399999999998</v>
      </c>
      <c r="C45" s="66">
        <v>6.8780799999999997</v>
      </c>
      <c r="D45" s="66">
        <v>0.14027000000000001</v>
      </c>
      <c r="E45" s="66">
        <v>0</v>
      </c>
      <c r="F45" s="66">
        <v>30.3613</v>
      </c>
      <c r="G45" s="66">
        <v>0</v>
      </c>
      <c r="H45" s="66">
        <v>69.085999999999999</v>
      </c>
    </row>
    <row r="46" spans="1:8">
      <c r="A46" s="58" t="s">
        <v>343</v>
      </c>
      <c r="B46" s="66">
        <v>21.839500000000001</v>
      </c>
      <c r="C46" s="66">
        <v>4.2263500000000001</v>
      </c>
      <c r="D46" s="66">
        <v>0.193518</v>
      </c>
      <c r="E46" s="66">
        <v>0</v>
      </c>
      <c r="F46" s="66">
        <v>9.4240899999999996</v>
      </c>
      <c r="G46" s="66">
        <v>0</v>
      </c>
      <c r="H46" s="66">
        <v>27.1571</v>
      </c>
    </row>
    <row r="47" spans="1:8">
      <c r="A47" s="58" t="s">
        <v>344</v>
      </c>
      <c r="B47" s="66">
        <v>0.56666399999999995</v>
      </c>
      <c r="C47" s="66">
        <v>0.233983</v>
      </c>
      <c r="D47" s="66">
        <v>0.41291299999999997</v>
      </c>
      <c r="E47" s="66">
        <v>0</v>
      </c>
      <c r="F47" s="66">
        <v>0.17746799999999999</v>
      </c>
      <c r="G47" s="66">
        <v>0</v>
      </c>
      <c r="H47" s="66">
        <v>1.66544</v>
      </c>
    </row>
    <row r="48" spans="1:8">
      <c r="A48" s="58" t="s">
        <v>345</v>
      </c>
      <c r="B48" s="66">
        <v>0.528447</v>
      </c>
      <c r="C48" s="66">
        <v>0.124391</v>
      </c>
      <c r="D48" s="66">
        <v>0.23538999999999999</v>
      </c>
      <c r="E48" s="66">
        <v>0</v>
      </c>
      <c r="F48" s="66">
        <v>0.37351400000000001</v>
      </c>
      <c r="G48" s="66">
        <v>0</v>
      </c>
      <c r="H48" s="66">
        <v>1.0097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6.6812000000000005</v>
      </c>
      <c r="C5" s="66">
        <f>'M2'!C5-'M1'!C5</f>
        <v>-0.94548999999999994</v>
      </c>
      <c r="D5" s="66">
        <f>'M2'!D5-'M1'!D5</f>
        <v>-8.3908000000000005</v>
      </c>
      <c r="E5" s="66">
        <f>'M2'!E5-'M1'!E5</f>
        <v>0</v>
      </c>
      <c r="F5" s="66">
        <f>'M2'!F5-'M1'!F5</f>
        <v>11.615300000000001</v>
      </c>
      <c r="G5" s="66">
        <f>'M2'!G5-'M1'!G5</f>
        <v>0</v>
      </c>
      <c r="H5" s="66">
        <f>'M2'!H5-'M1'!H5</f>
        <v>5.3725999999999985</v>
      </c>
    </row>
    <row r="6" spans="1:8">
      <c r="A6" s="66" t="s">
        <v>244</v>
      </c>
      <c r="B6" s="66">
        <f>'M2'!B6-'M1'!B6</f>
        <v>5.6685999999999979</v>
      </c>
      <c r="C6" s="66">
        <f>'M2'!C6-'M1'!C6</f>
        <v>-2.2668100000000004</v>
      </c>
      <c r="D6" s="66">
        <f>'M2'!D6-'M1'!D6</f>
        <v>-9.9581599999999995</v>
      </c>
      <c r="E6" s="66">
        <f>'M2'!E6-'M1'!E6</f>
        <v>0</v>
      </c>
      <c r="F6" s="66">
        <f>'M2'!F6-'M1'!F6</f>
        <v>7.8547000000000011</v>
      </c>
      <c r="G6" s="66">
        <f>'M2'!G6-'M1'!G6</f>
        <v>0</v>
      </c>
      <c r="H6" s="66">
        <f>'M2'!H6-'M1'!H6</f>
        <v>0.97540000000000049</v>
      </c>
    </row>
    <row r="7" spans="1:8">
      <c r="A7" s="66" t="s">
        <v>245</v>
      </c>
      <c r="B7" s="66">
        <f>'M2'!B7-'M1'!B7</f>
        <v>-2.9263000000000012</v>
      </c>
      <c r="C7" s="66">
        <f>'M2'!C7-'M1'!C7</f>
        <v>-0.83354000000000106</v>
      </c>
      <c r="D7" s="66">
        <f>'M2'!D7-'M1'!D7</f>
        <v>1.8967999999999989</v>
      </c>
      <c r="E7" s="66">
        <f>'M2'!E7-'M1'!E7</f>
        <v>0</v>
      </c>
      <c r="F7" s="66">
        <f>'M2'!F7-'M1'!F7</f>
        <v>3.4998000000000005</v>
      </c>
      <c r="G7" s="66">
        <f>'M2'!G7-'M1'!G7</f>
        <v>0</v>
      </c>
      <c r="H7" s="66">
        <f>'M2'!H7-'M1'!H7</f>
        <v>-1.0617999999999981</v>
      </c>
    </row>
    <row r="8" spans="1:8">
      <c r="A8" s="66" t="s">
        <v>246</v>
      </c>
      <c r="B8" s="66">
        <f>'M2'!B8-'M1'!B8</f>
        <v>2.7850999999999999</v>
      </c>
      <c r="C8" s="66">
        <f>'M2'!C8-'M1'!C8</f>
        <v>-0.14432</v>
      </c>
      <c r="D8" s="66">
        <f>'M2'!D8-'M1'!D8</f>
        <v>-1.7911999999999999</v>
      </c>
      <c r="E8" s="66">
        <f>'M2'!E8-'M1'!E8</f>
        <v>0</v>
      </c>
      <c r="F8" s="66">
        <f>'M2'!F8-'M1'!F8</f>
        <v>6.2049999999999983</v>
      </c>
      <c r="G8" s="66">
        <f>'M2'!G8-'M1'!G8</f>
        <v>0</v>
      </c>
      <c r="H8" s="66">
        <f>'M2'!H8-'M1'!H8</f>
        <v>3.4059999999999988</v>
      </c>
    </row>
    <row r="9" spans="1:8">
      <c r="A9" s="66" t="s">
        <v>247</v>
      </c>
      <c r="B9" s="66">
        <f>'M2'!B9-'M1'!B9</f>
        <v>-4.4830000000000041</v>
      </c>
      <c r="C9" s="66">
        <f>'M2'!C9-'M1'!C9</f>
        <v>1.07701</v>
      </c>
      <c r="D9" s="66">
        <f>'M2'!D9-'M1'!D9</f>
        <v>1.8498300000000008</v>
      </c>
      <c r="E9" s="66">
        <f>'M2'!E9-'M1'!E9</f>
        <v>0</v>
      </c>
      <c r="F9" s="66">
        <f>'M2'!F9-'M1'!F9</f>
        <v>-4.9814000000000078</v>
      </c>
      <c r="G9" s="66">
        <f>'M2'!G9-'M1'!G9</f>
        <v>0</v>
      </c>
      <c r="H9" s="66">
        <f>'M2'!H9-'M1'!H9</f>
        <v>-2.0412999999999926</v>
      </c>
    </row>
    <row r="10" spans="1:8">
      <c r="A10" s="66" t="s">
        <v>248</v>
      </c>
      <c r="B10" s="66">
        <f>'M2'!B10-'M1'!B10</f>
        <v>-3.6183999999999941</v>
      </c>
      <c r="C10" s="66">
        <f>'M2'!C10-'M1'!C10</f>
        <v>-1.6347899999999997</v>
      </c>
      <c r="D10" s="66">
        <f>'M2'!D10-'M1'!D10</f>
        <v>-2.0974599999999999</v>
      </c>
      <c r="E10" s="66">
        <f>'M2'!E10-'M1'!E10</f>
        <v>0</v>
      </c>
      <c r="F10" s="66">
        <f>'M2'!F10-'M1'!F10</f>
        <v>0.71809999999999974</v>
      </c>
      <c r="G10" s="66">
        <f>'M2'!G10-'M1'!G10</f>
        <v>0</v>
      </c>
      <c r="H10" s="66">
        <f>'M2'!H10-'M1'!H10</f>
        <v>-4.2091999999999956</v>
      </c>
    </row>
    <row r="11" spans="1:8">
      <c r="A11" s="66" t="s">
        <v>249</v>
      </c>
      <c r="B11" s="66">
        <f>'M2'!B11-'M1'!B11</f>
        <v>2.2927499999999998</v>
      </c>
      <c r="C11" s="66">
        <f>'M2'!C11-'M1'!C11</f>
        <v>0.65276000000000001</v>
      </c>
      <c r="D11" s="66">
        <f>'M2'!D11-'M1'!D11</f>
        <v>3.1586999999999996</v>
      </c>
      <c r="E11" s="66">
        <f>'M2'!E11-'M1'!E11</f>
        <v>0</v>
      </c>
      <c r="F11" s="66">
        <f>'M2'!F11-'M1'!F11</f>
        <v>2.4110399999999998</v>
      </c>
      <c r="G11" s="66">
        <f>'M2'!G11-'M1'!G11</f>
        <v>0</v>
      </c>
      <c r="H11" s="66">
        <f>'M2'!H11-'M1'!H11</f>
        <v>4.2087000000000003</v>
      </c>
    </row>
    <row r="12" spans="1:8">
      <c r="A12" s="66" t="s">
        <v>250</v>
      </c>
      <c r="B12" s="66">
        <f>'M2'!B12-'M1'!B12</f>
        <v>-4.6303000000000054</v>
      </c>
      <c r="C12" s="66">
        <f>'M2'!C12-'M1'!C12</f>
        <v>-1.9003100000000002</v>
      </c>
      <c r="D12" s="66">
        <f>'M2'!D12-'M1'!D12</f>
        <v>-2.4059300000000001</v>
      </c>
      <c r="E12" s="66">
        <f>'M2'!E12-'M1'!E12</f>
        <v>0</v>
      </c>
      <c r="F12" s="66">
        <f>'M2'!F12-'M1'!F12</f>
        <v>0.48260000000000502</v>
      </c>
      <c r="G12" s="66">
        <f>'M2'!G12-'M1'!G12</f>
        <v>0</v>
      </c>
      <c r="H12" s="66">
        <f>'M2'!H12-'M1'!H12</f>
        <v>-5.7890999999999906</v>
      </c>
    </row>
    <row r="13" spans="1:8">
      <c r="A13" s="66" t="s">
        <v>251</v>
      </c>
      <c r="B13" s="66">
        <f>'M2'!B13-'M1'!B13</f>
        <v>1.8180999999999976</v>
      </c>
      <c r="C13" s="66">
        <f>'M2'!C13-'M1'!C13</f>
        <v>0.52288999999999985</v>
      </c>
      <c r="D13" s="66">
        <f>'M2'!D13-'M1'!D13</f>
        <v>1.4682999999999993</v>
      </c>
      <c r="E13" s="66">
        <f>'M2'!E13-'M1'!E13</f>
        <v>0</v>
      </c>
      <c r="F13" s="66">
        <f>'M2'!F13-'M1'!F13</f>
        <v>-0.3274000000000008</v>
      </c>
      <c r="G13" s="66">
        <f>'M2'!G13-'M1'!G13</f>
        <v>0</v>
      </c>
      <c r="H13" s="66">
        <f>'M2'!H13-'M1'!H13</f>
        <v>4.1839000000000013</v>
      </c>
    </row>
    <row r="14" spans="1:8">
      <c r="A14" s="66" t="s">
        <v>252</v>
      </c>
      <c r="B14" s="66">
        <f>'M2'!B14-'M1'!B14</f>
        <v>5.228900000000003</v>
      </c>
      <c r="C14" s="66">
        <f>'M2'!C14-'M1'!C14</f>
        <v>1.1484999999999994</v>
      </c>
      <c r="D14" s="66">
        <f>'M2'!D14-'M1'!D14</f>
        <v>-1.7814000000000014</v>
      </c>
      <c r="E14" s="66">
        <f>'M2'!E14-'M1'!E14</f>
        <v>0</v>
      </c>
      <c r="F14" s="66">
        <f>'M2'!F14-'M1'!F14</f>
        <v>1.6420000000000101E-2</v>
      </c>
      <c r="G14" s="66">
        <f>'M2'!G14-'M1'!G14</f>
        <v>0</v>
      </c>
      <c r="H14" s="66">
        <f>'M2'!H14-'M1'!H14</f>
        <v>12.397500000000001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0.10357500000000008</v>
      </c>
      <c r="C18" s="66">
        <f>'M2'!C18-'M1'!C18</f>
        <v>3.2150700000000001E-4</v>
      </c>
      <c r="D18" s="66">
        <f>'M2'!D18-'M1'!D18</f>
        <v>4.3758499999999999E-4</v>
      </c>
      <c r="E18" s="66">
        <f>'M2'!E18-'M1'!E18</f>
        <v>0</v>
      </c>
      <c r="F18" s="66">
        <f>'M2'!F18-'M1'!F18</f>
        <v>0.73441000000000001</v>
      </c>
      <c r="G18" s="66">
        <f>'M2'!G18-'M1'!G18</f>
        <v>0</v>
      </c>
      <c r="H18" s="66">
        <f>'M2'!H18-'M1'!H18</f>
        <v>0.73505299999999996</v>
      </c>
    </row>
    <row r="19" spans="1:8">
      <c r="A19" s="66" t="s">
        <v>256</v>
      </c>
      <c r="B19" s="66">
        <f>'M2'!B19-'M1'!B19</f>
        <v>7.8017000000000003E-2</v>
      </c>
      <c r="C19" s="66">
        <f>'M2'!C19-'M1'!C19</f>
        <v>2.26997E-2</v>
      </c>
      <c r="D19" s="66">
        <f>'M2'!D19-'M1'!D19</f>
        <v>2.80024E-2</v>
      </c>
      <c r="E19" s="66">
        <f>'M2'!E19-'M1'!E19</f>
        <v>0</v>
      </c>
      <c r="F19" s="66">
        <f>'M2'!F19-'M1'!F19</f>
        <v>0.78793400000000002</v>
      </c>
      <c r="G19" s="66">
        <f>'M2'!G19-'M1'!G19</f>
        <v>0</v>
      </c>
      <c r="H19" s="66">
        <f>'M2'!H19-'M1'!H19</f>
        <v>0.83333299999999999</v>
      </c>
    </row>
    <row r="20" spans="1:8">
      <c r="A20" s="66" t="s">
        <v>63</v>
      </c>
      <c r="B20" s="66">
        <f>'M2'!B20-'M1'!B20</f>
        <v>5.8513699999999995E-5</v>
      </c>
      <c r="C20" s="66">
        <f>'M2'!C20-'M1'!C20</f>
        <v>6.4809000000000012E-3</v>
      </c>
      <c r="D20" s="66">
        <f>'M2'!D20-'M1'!D20</f>
        <v>-96.317000000000007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4.2124999999999996E-2</v>
      </c>
    </row>
    <row r="21" spans="1:8">
      <c r="A21" s="66" t="s">
        <v>64</v>
      </c>
      <c r="B21" s="66">
        <f>'M2'!B21-'M1'!B21</f>
        <v>9.7584999999999998E-3</v>
      </c>
      <c r="C21" s="66">
        <f>'M2'!C21-'M1'!C21</f>
        <v>6.2340499999999993E-2</v>
      </c>
      <c r="D21" s="66">
        <f>'M2'!D21-'M1'!D21</f>
        <v>0.85394000000000014</v>
      </c>
      <c r="E21" s="66">
        <f>'M2'!E21-'M1'!E21</f>
        <v>0</v>
      </c>
      <c r="F21" s="66">
        <f>'M2'!F21-'M1'!F21</f>
        <v>-6.2934000000000031E-6</v>
      </c>
      <c r="G21" s="66">
        <f>'M2'!G21-'M1'!G21</f>
        <v>0</v>
      </c>
      <c r="H21" s="66">
        <f>'M2'!H21-'M1'!H21</f>
        <v>0.44548899999999997</v>
      </c>
    </row>
    <row r="22" spans="1:8">
      <c r="A22" s="66" t="s">
        <v>65</v>
      </c>
      <c r="B22" s="66">
        <f>'M2'!B22-'M1'!B22</f>
        <v>6.7253000000000043</v>
      </c>
      <c r="C22" s="66">
        <f>'M2'!C22-'M1'!C22</f>
        <v>2.2272000000000016</v>
      </c>
      <c r="D22" s="66">
        <f>'M2'!D22-'M1'!D22</f>
        <v>-3.0189999999999939E-3</v>
      </c>
      <c r="E22" s="66">
        <f>'M2'!E22-'M1'!E22</f>
        <v>0</v>
      </c>
      <c r="F22" s="66">
        <f>'M2'!F22-'M1'!F22</f>
        <v>2.7202999999999982</v>
      </c>
      <c r="G22" s="66">
        <f>'M2'!G22-'M1'!G22</f>
        <v>0</v>
      </c>
      <c r="H22" s="66">
        <f>'M2'!H22-'M1'!H22</f>
        <v>7.5608000000000004</v>
      </c>
    </row>
    <row r="23" spans="1:8">
      <c r="A23" s="66" t="s">
        <v>66</v>
      </c>
      <c r="B23" s="66">
        <f>'M2'!B23-'M1'!B23</f>
        <v>3.3175499999999989</v>
      </c>
      <c r="C23" s="66">
        <f>'M2'!C23-'M1'!C23</f>
        <v>9.9420000000000064E-2</v>
      </c>
      <c r="D23" s="66">
        <f>'M2'!D23-'M1'!D23</f>
        <v>-3.1068999999999999E-2</v>
      </c>
      <c r="E23" s="66">
        <f>'M2'!E23-'M1'!E23</f>
        <v>0</v>
      </c>
      <c r="F23" s="66">
        <f>'M2'!F23-'M1'!F23</f>
        <v>3.0733600000000001</v>
      </c>
      <c r="G23" s="66">
        <f>'M2'!G23-'M1'!G23</f>
        <v>0</v>
      </c>
      <c r="H23" s="66">
        <f>'M2'!H23-'M1'!H23</f>
        <v>3.1991000000000014</v>
      </c>
    </row>
    <row r="24" spans="1:8">
      <c r="A24" s="66" t="s">
        <v>67</v>
      </c>
      <c r="B24" s="66">
        <f>'M2'!B24-'M1'!B24</f>
        <v>1.8059899999999998E-4</v>
      </c>
      <c r="C24" s="66">
        <f>'M2'!C24-'M1'!C24</f>
        <v>4.0581300000000001E-3</v>
      </c>
      <c r="D24" s="66">
        <f>'M2'!D24-'M1'!D24</f>
        <v>-26.880299999999991</v>
      </c>
      <c r="E24" s="66">
        <f>'M2'!E24-'M1'!E24</f>
        <v>0</v>
      </c>
      <c r="F24" s="66">
        <f>'M2'!F24-'M1'!F24</f>
        <v>1.089033E-5</v>
      </c>
      <c r="G24" s="66">
        <f>'M2'!G24-'M1'!G24</f>
        <v>0</v>
      </c>
      <c r="H24" s="66">
        <f>'M2'!H24-'M1'!H24</f>
        <v>4.7338999999999992E-3</v>
      </c>
    </row>
    <row r="25" spans="1:8">
      <c r="A25" s="66" t="s">
        <v>68</v>
      </c>
      <c r="B25" s="66">
        <f>'M2'!B25-'M1'!B25</f>
        <v>2.23982E-2</v>
      </c>
      <c r="C25" s="66">
        <f>'M2'!C25-'M1'!C25</f>
        <v>2.7751399999999996E-2</v>
      </c>
      <c r="D25" s="66">
        <f>'M2'!D25-'M1'!D25</f>
        <v>0.13792300000000002</v>
      </c>
      <c r="E25" s="66">
        <f>'M2'!E25-'M1'!E25</f>
        <v>0</v>
      </c>
      <c r="F25" s="66">
        <f>'M2'!F25-'M1'!F25</f>
        <v>3.6974999999999994E-3</v>
      </c>
      <c r="G25" s="66">
        <f>'M2'!G25-'M1'!G25</f>
        <v>0</v>
      </c>
      <c r="H25" s="66">
        <f>'M2'!H25-'M1'!H25</f>
        <v>0.143097</v>
      </c>
    </row>
    <row r="26" spans="1:8">
      <c r="A26" s="66" t="s">
        <v>69</v>
      </c>
      <c r="B26" s="66">
        <f>'M2'!B26-'M1'!B26</f>
        <v>1.3130299999999999E-5</v>
      </c>
      <c r="C26" s="66">
        <f>'M2'!C26-'M1'!C26</f>
        <v>3.9435199999999994E-4</v>
      </c>
      <c r="D26" s="66">
        <f>'M2'!D26-'M1'!D26</f>
        <v>-9.6591000000000022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-1.2342499999999992E-3</v>
      </c>
    </row>
    <row r="27" spans="1:8">
      <c r="A27" s="66" t="s">
        <v>70</v>
      </c>
      <c r="B27" s="66">
        <f>'M2'!B27-'M1'!B27</f>
        <v>0</v>
      </c>
      <c r="C27" s="66">
        <f>'M2'!C27-'M1'!C27</f>
        <v>3.36934E-4</v>
      </c>
      <c r="D27" s="66">
        <f>'M2'!D27-'M1'!D27</f>
        <v>0</v>
      </c>
      <c r="E27" s="66">
        <f>'M2'!E27-'M1'!E27</f>
        <v>0</v>
      </c>
      <c r="F27" s="66">
        <f>'M2'!F27-'M1'!F27</f>
        <v>-1.0241599999999997E-3</v>
      </c>
      <c r="G27" s="66">
        <f>'M2'!G27-'M1'!G27</f>
        <v>0</v>
      </c>
      <c r="H27" s="66">
        <f>'M2'!H27-'M1'!H27</f>
        <v>-2.0877099999999996E-3</v>
      </c>
    </row>
    <row r="28" spans="1:8">
      <c r="A28" s="66" t="s">
        <v>71</v>
      </c>
      <c r="B28" s="66">
        <f>'M2'!B28-'M1'!B28</f>
        <v>1.2239599999999996E-3</v>
      </c>
      <c r="C28" s="66">
        <f>'M2'!C28-'M1'!C28</f>
        <v>4.9631200000000014E-3</v>
      </c>
      <c r="D28" s="66">
        <f>'M2'!D28-'M1'!D28</f>
        <v>0.47843999999999998</v>
      </c>
      <c r="E28" s="66">
        <f>'M2'!E28-'M1'!E28</f>
        <v>0</v>
      </c>
      <c r="F28" s="66">
        <f>'M2'!F28-'M1'!F28</f>
        <v>-3.2551999999999998E-6</v>
      </c>
      <c r="G28" s="66">
        <f>'M2'!G28-'M1'!G28</f>
        <v>0</v>
      </c>
      <c r="H28" s="66">
        <f>'M2'!H28-'M1'!H28</f>
        <v>3.1503900000000008E-2</v>
      </c>
    </row>
    <row r="29" spans="1:8">
      <c r="A29" s="66" t="s">
        <v>72</v>
      </c>
      <c r="B29" s="66">
        <f>'M2'!B29-'M1'!B29</f>
        <v>3.706399999999995</v>
      </c>
      <c r="C29" s="66">
        <f>'M2'!C29-'M1'!C29</f>
        <v>1.4662700000000006</v>
      </c>
      <c r="D29" s="66">
        <f>'M2'!D29-'M1'!D29</f>
        <v>1.7168000000000003E-2</v>
      </c>
      <c r="E29" s="66">
        <f>'M2'!E29-'M1'!E29</f>
        <v>0</v>
      </c>
      <c r="F29" s="66">
        <f>'M2'!F29-'M1'!F29</f>
        <v>-4.5495999999999981</v>
      </c>
      <c r="G29" s="66">
        <f>'M2'!G29-'M1'!G29</f>
        <v>0</v>
      </c>
      <c r="H29" s="66">
        <f>'M2'!H29-'M1'!H29</f>
        <v>5.837600000000009</v>
      </c>
    </row>
    <row r="30" spans="1:8">
      <c r="A30" s="66" t="s">
        <v>73</v>
      </c>
      <c r="B30" s="66">
        <f>'M2'!B30-'M1'!B30</f>
        <v>2.9254999999999995</v>
      </c>
      <c r="C30" s="66">
        <f>'M2'!C30-'M1'!C30</f>
        <v>-0.89737999999999984</v>
      </c>
      <c r="D30" s="66">
        <f>'M2'!D30-'M1'!D30</f>
        <v>-9.4095999999999999E-2</v>
      </c>
      <c r="E30" s="66">
        <f>'M2'!E30-'M1'!E30</f>
        <v>0</v>
      </c>
      <c r="F30" s="66">
        <f>'M2'!F30-'M1'!F30</f>
        <v>4.9358500000000012</v>
      </c>
      <c r="G30" s="66">
        <f>'M2'!G30-'M1'!G30</f>
        <v>0</v>
      </c>
      <c r="H30" s="66">
        <f>'M2'!H30-'M1'!H30</f>
        <v>2.356600000000002</v>
      </c>
    </row>
    <row r="31" spans="1:8">
      <c r="A31" s="66" t="s">
        <v>74</v>
      </c>
      <c r="B31" s="66">
        <f>'M2'!B31-'M1'!B31</f>
        <v>36.100399999999993</v>
      </c>
      <c r="C31" s="66">
        <f>'M2'!C31-'M1'!C31</f>
        <v>13.275400000000001</v>
      </c>
      <c r="D31" s="66">
        <f>'M2'!D31-'M1'!D31</f>
        <v>1.7046999999999979E-2</v>
      </c>
      <c r="E31" s="66">
        <f>'M2'!E31-'M1'!E31</f>
        <v>0</v>
      </c>
      <c r="F31" s="66">
        <f>'M2'!F31-'M1'!F31</f>
        <v>34.929400000000001</v>
      </c>
      <c r="G31" s="66">
        <f>'M2'!G31-'M1'!G31</f>
        <v>0</v>
      </c>
      <c r="H31" s="66">
        <f>'M2'!H31-'M1'!H31</f>
        <v>71.032000000000011</v>
      </c>
    </row>
    <row r="32" spans="1:8">
      <c r="A32" s="66" t="s">
        <v>75</v>
      </c>
      <c r="B32" s="66">
        <f>'M2'!B32-'M1'!B32</f>
        <v>-2.9263000000000011E-2</v>
      </c>
      <c r="C32" s="66">
        <f>'M2'!C32-'M1'!C32</f>
        <v>-8.3354000000000067E-3</v>
      </c>
      <c r="D32" s="66">
        <f>'M2'!D32-'M1'!D32</f>
        <v>1.8966999999999956E-2</v>
      </c>
      <c r="E32" s="66">
        <f>'M2'!E32-'M1'!E32</f>
        <v>0</v>
      </c>
      <c r="F32" s="66">
        <f>'M2'!F32-'M1'!F32</f>
        <v>3.4998100000000004E-2</v>
      </c>
      <c r="G32" s="66">
        <f>'M2'!G32-'M1'!G32</f>
        <v>0</v>
      </c>
      <c r="H32" s="66">
        <f>'M2'!H32-'M1'!H32</f>
        <v>-1.0618000000000016E-2</v>
      </c>
    </row>
    <row r="33" spans="1:8">
      <c r="A33" s="66" t="s">
        <v>76</v>
      </c>
      <c r="B33" s="66">
        <f>'M2'!B33-'M1'!B33</f>
        <v>7.6780000000000015E-2</v>
      </c>
      <c r="C33" s="66">
        <f>'M2'!C33-'M1'!C33</f>
        <v>-2.5334699999999998E-2</v>
      </c>
      <c r="D33" s="66">
        <f>'M2'!D33-'M1'!D33</f>
        <v>-9.9335999999999994E-2</v>
      </c>
      <c r="E33" s="66">
        <f>'M2'!E33-'M1'!E33</f>
        <v>0</v>
      </c>
      <c r="F33" s="66">
        <f>'M2'!F33-'M1'!F33</f>
        <v>6.8771000000000027E-2</v>
      </c>
      <c r="G33" s="66">
        <f>'M2'!G33-'M1'!G33</f>
        <v>0</v>
      </c>
      <c r="H33" s="66">
        <f>'M2'!H33-'M1'!H33</f>
        <v>1.5200999999999965E-2</v>
      </c>
    </row>
    <row r="34" spans="1:8">
      <c r="A34" s="66" t="s">
        <v>77</v>
      </c>
      <c r="B34" s="66">
        <f>'M2'!B34-'M1'!B34</f>
        <v>1.8181000000000003E-2</v>
      </c>
      <c r="C34" s="66">
        <f>'M2'!C34-'M1'!C34</f>
        <v>5.2288999999999981E-3</v>
      </c>
      <c r="D34" s="66">
        <f>'M2'!D34-'M1'!D34</f>
        <v>1.4682999999999988E-2</v>
      </c>
      <c r="E34" s="66">
        <f>'M2'!E34-'M1'!E34</f>
        <v>0</v>
      </c>
      <c r="F34" s="66">
        <f>'M2'!F34-'M1'!F34</f>
        <v>-3.2739999999999991E-3</v>
      </c>
      <c r="G34" s="66">
        <f>'M2'!G34-'M1'!G34</f>
        <v>0</v>
      </c>
      <c r="H34" s="66">
        <f>'M2'!H34-'M1'!H34</f>
        <v>4.1839000000000015E-2</v>
      </c>
    </row>
    <row r="35" spans="1:8">
      <c r="A35" s="66" t="s">
        <v>78</v>
      </c>
      <c r="B35" s="66">
        <f>'M2'!B35-'M1'!B35</f>
        <v>4.4608000000000009E-3</v>
      </c>
      <c r="C35" s="66">
        <f>'M2'!C35-'M1'!C35</f>
        <v>7.0356999999999989E-3</v>
      </c>
      <c r="D35" s="66">
        <f>'M2'!D35-'M1'!D35</f>
        <v>7.3633999999999977E-2</v>
      </c>
      <c r="E35" s="66">
        <f>'M2'!E35-'M1'!E35</f>
        <v>0</v>
      </c>
      <c r="F35" s="66">
        <f>'M2'!F35-'M1'!F35</f>
        <v>-8.8755999999999974E-3</v>
      </c>
      <c r="G35" s="66">
        <f>'M2'!G35-'M1'!G35</f>
        <v>0</v>
      </c>
      <c r="H35" s="66">
        <f>'M2'!H35-'M1'!H35</f>
        <v>3.6576999999999998E-2</v>
      </c>
    </row>
    <row r="36" spans="1:8">
      <c r="A36" s="66" t="s">
        <v>79</v>
      </c>
      <c r="B36" s="66">
        <f>'M2'!B36-'M1'!B36</f>
        <v>1.599600000000001E-2</v>
      </c>
      <c r="C36" s="66">
        <f>'M2'!C36-'M1'!C36</f>
        <v>8.4410000000000041E-3</v>
      </c>
      <c r="D36" s="66">
        <f>'M2'!D36-'M1'!D36</f>
        <v>8.3500000000003016E-4</v>
      </c>
      <c r="E36" s="66">
        <f>'M2'!E36-'M1'!E36</f>
        <v>0</v>
      </c>
      <c r="F36" s="66">
        <f>'M2'!F36-'M1'!F36</f>
        <v>4.6403E-3</v>
      </c>
      <c r="G36" s="66">
        <f>'M2'!G36-'M1'!G36</f>
        <v>0</v>
      </c>
      <c r="H36" s="66">
        <f>'M2'!H36-'M1'!H36</f>
        <v>0.11371299999999995</v>
      </c>
    </row>
    <row r="37" spans="1:8">
      <c r="A37" s="66" t="s">
        <v>80</v>
      </c>
      <c r="B37" s="66">
        <f>'M2'!B37-'M1'!B37</f>
        <v>5.2289000000000002E-2</v>
      </c>
      <c r="C37" s="66">
        <f>'M2'!C37-'M1'!C37</f>
        <v>1.1484999999999995E-2</v>
      </c>
      <c r="D37" s="66">
        <f>'M2'!D37-'M1'!D37</f>
        <v>-1.7813999999999997E-2</v>
      </c>
      <c r="E37" s="66">
        <f>'M2'!E37-'M1'!E37</f>
        <v>0</v>
      </c>
      <c r="F37" s="66">
        <f>'M2'!F37-'M1'!F37</f>
        <v>1.6419999999999976E-4</v>
      </c>
      <c r="G37" s="66">
        <f>'M2'!G37-'M1'!G37</f>
        <v>0</v>
      </c>
      <c r="H37" s="66">
        <f>'M2'!H37-'M1'!H37</f>
        <v>0.123975</v>
      </c>
    </row>
    <row r="38" spans="1:8">
      <c r="A38" s="66" t="s">
        <v>81</v>
      </c>
      <c r="B38" s="66">
        <f>'M2'!B38-'M1'!B38</f>
        <v>-10.419981</v>
      </c>
      <c r="C38" s="66">
        <f>'M2'!C38-'M1'!C38</f>
        <v>1.9254000000000033</v>
      </c>
      <c r="D38" s="66">
        <f>'M2'!D38-'M1'!D38</f>
        <v>45.360250000000001</v>
      </c>
      <c r="E38" s="66">
        <f>'M2'!E38-'M1'!E38</f>
        <v>0</v>
      </c>
      <c r="F38" s="66">
        <f>'M2'!F38-'M1'!F38</f>
        <v>-114.50800000000001</v>
      </c>
      <c r="G38" s="66">
        <f>'M2'!G38-'M1'!G38</f>
        <v>0</v>
      </c>
      <c r="H38" s="66">
        <f>'M2'!H38-'M1'!H38</f>
        <v>-34.195999999999998</v>
      </c>
    </row>
    <row r="39" spans="1:8">
      <c r="A39" s="66" t="s">
        <v>82</v>
      </c>
      <c r="B39" s="66">
        <f>'M2'!B39-'M1'!B39</f>
        <v>-0.11648999999999976</v>
      </c>
      <c r="C39" s="66">
        <f>'M2'!C39-'M1'!C39</f>
        <v>0.12444999999999995</v>
      </c>
      <c r="D39" s="66">
        <f>'M2'!D39-'M1'!D39</f>
        <v>-1.5600000000000058E-3</v>
      </c>
      <c r="E39" s="66">
        <f>'M2'!E39-'M1'!E39</f>
        <v>0</v>
      </c>
      <c r="F39" s="66">
        <f>'M2'!F39-'M1'!F39</f>
        <v>-1.0902799999999999</v>
      </c>
      <c r="G39" s="66">
        <f>'M2'!G39-'M1'!G39</f>
        <v>0</v>
      </c>
      <c r="H39" s="66">
        <f>'M2'!H39-'M1'!H39</f>
        <v>2.3692099999999998</v>
      </c>
    </row>
    <row r="40" spans="1:8">
      <c r="A40" s="66" t="s">
        <v>83</v>
      </c>
      <c r="B40" s="66">
        <f>'M2'!B40-'M1'!B40</f>
        <v>7.3189999999999866E-2</v>
      </c>
      <c r="C40" s="66">
        <f>'M2'!C40-'M1'!C40</f>
        <v>-0.43142199999999997</v>
      </c>
      <c r="D40" s="66">
        <f>'M2'!D40-'M1'!D40</f>
        <v>0.25116699999999997</v>
      </c>
      <c r="E40" s="66">
        <f>'M2'!E40-'M1'!E40</f>
        <v>0</v>
      </c>
      <c r="F40" s="66">
        <f>'M2'!F40-'M1'!F40</f>
        <v>2.1469999999999878E-2</v>
      </c>
      <c r="G40" s="66">
        <f>'M2'!G40-'M1'!G40</f>
        <v>0</v>
      </c>
      <c r="H40" s="66">
        <f>'M2'!H40-'M1'!H40</f>
        <v>-0.82969100000000018</v>
      </c>
    </row>
    <row r="41" spans="1:8">
      <c r="A41" s="66" t="s">
        <v>84</v>
      </c>
      <c r="B41" s="66">
        <f>'M2'!B41-'M1'!B41</f>
        <v>-4.6861700000000006E-2</v>
      </c>
      <c r="C41" s="66">
        <f>'M2'!C41-'M1'!C41</f>
        <v>-1.676099999999997E-2</v>
      </c>
      <c r="D41" s="66">
        <f>'M2'!D41-'M1'!D41</f>
        <v>5.3816099999999993</v>
      </c>
      <c r="E41" s="66">
        <f>'M2'!E41-'M1'!E41</f>
        <v>0</v>
      </c>
      <c r="F41" s="66">
        <f>'M2'!F41-'M1'!F41</f>
        <v>-0.16722899999999996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-1.4803799999999992E-2</v>
      </c>
      <c r="C42" s="66">
        <f>'M2'!C42-'M1'!C42</f>
        <v>-4.0844500000000006E-2</v>
      </c>
      <c r="D42" s="66">
        <f>'M2'!D42-'M1'!D42</f>
        <v>0.65145399999999998</v>
      </c>
      <c r="E42" s="66">
        <f>'M2'!E42-'M1'!E42</f>
        <v>0</v>
      </c>
      <c r="F42" s="66">
        <f>'M2'!F42-'M1'!F42</f>
        <v>4.2109999999999981E-2</v>
      </c>
      <c r="G42" s="66">
        <f>'M2'!G42-'M1'!G42</f>
        <v>0</v>
      </c>
      <c r="H42" s="66">
        <f>'M2'!H42-'M1'!H42</f>
        <v>-5.893799999999999E-2</v>
      </c>
    </row>
    <row r="43" spans="1:8">
      <c r="A43" s="66" t="s">
        <v>86</v>
      </c>
      <c r="B43" s="66">
        <f>'M2'!B43-'M1'!B43</f>
        <v>4.9740000000000062E-3</v>
      </c>
      <c r="C43" s="66">
        <f>'M2'!C43-'M1'!C43</f>
        <v>-3.60848E-2</v>
      </c>
      <c r="D43" s="66">
        <f>'M2'!D43-'M1'!D43</f>
        <v>0.26328600000000002</v>
      </c>
      <c r="E43" s="66">
        <f>'M2'!E43-'M1'!E43</f>
        <v>0</v>
      </c>
      <c r="F43" s="66">
        <f>'M2'!F43-'M1'!F43</f>
        <v>-8.0389999999999906E-3</v>
      </c>
      <c r="G43" s="66">
        <f>'M2'!G43-'M1'!G43</f>
        <v>0</v>
      </c>
      <c r="H43" s="66">
        <f>'M2'!H43-'M1'!H43</f>
        <v>-7.0338999999999999E-2</v>
      </c>
    </row>
    <row r="44" spans="1:8">
      <c r="A44" s="66" t="s">
        <v>87</v>
      </c>
      <c r="B44" s="66">
        <f>'M2'!B44-'M1'!B44</f>
        <v>8.5542300000000004</v>
      </c>
      <c r="C44" s="66">
        <f>'M2'!C44-'M1'!C44</f>
        <v>0.92893999999999988</v>
      </c>
      <c r="D44" s="66">
        <f>'M2'!D44-'M1'!D44</f>
        <v>2.2377129999999998</v>
      </c>
      <c r="E44" s="66">
        <f>'M2'!E44-'M1'!E44</f>
        <v>0</v>
      </c>
      <c r="F44" s="66">
        <f>'M2'!F44-'M1'!F44</f>
        <v>7.2231999999999994</v>
      </c>
      <c r="G44" s="66">
        <f>'M2'!G44-'M1'!G44</f>
        <v>0</v>
      </c>
      <c r="H44" s="66">
        <f>'M2'!H44-'M1'!H44</f>
        <v>9.6949900000000007</v>
      </c>
    </row>
    <row r="45" spans="1:8">
      <c r="A45" s="66" t="s">
        <v>88</v>
      </c>
      <c r="B45" s="66">
        <f>'M2'!B45-'M1'!B45</f>
        <v>1.3536000000000001</v>
      </c>
      <c r="C45" s="66">
        <f>'M2'!C45-'M1'!C45</f>
        <v>1.0764399999999998</v>
      </c>
      <c r="D45" s="66">
        <f>'M2'!D45-'M1'!D45</f>
        <v>1.811500000000002E-2</v>
      </c>
      <c r="E45" s="66">
        <f>'M2'!E45-'M1'!E45</f>
        <v>0</v>
      </c>
      <c r="F45" s="66">
        <f>'M2'!F45-'M1'!F45</f>
        <v>-3.6927000000000021</v>
      </c>
      <c r="G45" s="66">
        <f>'M2'!G45-'M1'!G45</f>
        <v>0</v>
      </c>
      <c r="H45" s="66">
        <f>'M2'!H45-'M1'!H45</f>
        <v>-0.64480000000000359</v>
      </c>
    </row>
    <row r="46" spans="1:8">
      <c r="A46" s="66" t="s">
        <v>89</v>
      </c>
      <c r="B46" s="66">
        <f>'M2'!B46-'M1'!B46</f>
        <v>4.6926000000000023</v>
      </c>
      <c r="C46" s="66">
        <f>'M2'!C46-'M1'!C46</f>
        <v>-2.2381900000000003</v>
      </c>
      <c r="D46" s="66">
        <f>'M2'!D46-'M1'!D46</f>
        <v>-0.1402697</v>
      </c>
      <c r="E46" s="66">
        <f>'M2'!E46-'M1'!E46</f>
        <v>0</v>
      </c>
      <c r="F46" s="66">
        <f>'M2'!F46-'M1'!F46</f>
        <v>11.37491</v>
      </c>
      <c r="G46" s="66">
        <f>'M2'!G46-'M1'!G46</f>
        <v>0</v>
      </c>
      <c r="H46" s="66">
        <f>'M2'!H46-'M1'!H46</f>
        <v>2.5556999999999981</v>
      </c>
    </row>
    <row r="47" spans="1:8">
      <c r="A47" s="66" t="s">
        <v>90</v>
      </c>
      <c r="B47" s="66">
        <f>'M2'!B47-'M1'!B47</f>
        <v>0.11372700000000002</v>
      </c>
      <c r="C47" s="66">
        <f>'M2'!C47-'M1'!C47</f>
        <v>4.3997000000000008E-2</v>
      </c>
      <c r="D47" s="66">
        <f>'M2'!D47-'M1'!D47</f>
        <v>-3.0959999999999877E-3</v>
      </c>
      <c r="E47" s="66">
        <f>'M2'!E47-'M1'!E47</f>
        <v>0</v>
      </c>
      <c r="F47" s="66">
        <f>'M2'!F47-'M1'!F47</f>
        <v>8.5679000000000033E-2</v>
      </c>
      <c r="G47" s="66">
        <f>'M2'!G47-'M1'!G47</f>
        <v>0</v>
      </c>
      <c r="H47" s="66">
        <f>'M2'!H47-'M1'!H47</f>
        <v>0.51927999999999996</v>
      </c>
    </row>
    <row r="48" spans="1:8">
      <c r="A48" s="66" t="s">
        <v>91</v>
      </c>
      <c r="B48" s="66">
        <f>'M2'!B48-'M1'!B48</f>
        <v>-9.1300000000005266E-4</v>
      </c>
      <c r="C48" s="66">
        <f>'M2'!C48-'M1'!C48</f>
        <v>-0.1067755</v>
      </c>
      <c r="D48" s="66">
        <f>'M2'!D48-'M1'!D48</f>
        <v>-0.20135599999999998</v>
      </c>
      <c r="E48" s="66">
        <f>'M2'!E48-'M1'!E48</f>
        <v>0</v>
      </c>
      <c r="F48" s="66">
        <f>'M2'!F48-'M1'!F48</f>
        <v>1.2369999999999992E-2</v>
      </c>
      <c r="G48" s="66">
        <f>'M2'!G48-'M1'!G48</f>
        <v>0</v>
      </c>
      <c r="H48" s="66">
        <f>'M2'!H48-'M1'!H48</f>
        <v>-0.37381900000000001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22.1311</v>
      </c>
      <c r="C5" s="66">
        <v>4.8762400000000001</v>
      </c>
      <c r="D5" s="66">
        <v>22.0334</v>
      </c>
      <c r="E5" s="66">
        <v>20</v>
      </c>
      <c r="F5" s="66">
        <v>11.477</v>
      </c>
      <c r="G5" s="66">
        <v>50</v>
      </c>
      <c r="H5" s="66">
        <v>30.922499999999999</v>
      </c>
    </row>
    <row r="6" spans="1:8">
      <c r="A6" s="66" t="s">
        <v>358</v>
      </c>
      <c r="B6" s="66">
        <v>26.349499999999999</v>
      </c>
      <c r="C6" s="66">
        <v>4.2838700000000003</v>
      </c>
      <c r="D6" s="66">
        <v>16.257899999999999</v>
      </c>
      <c r="E6" s="66">
        <v>20</v>
      </c>
      <c r="F6" s="66">
        <v>22.0565</v>
      </c>
      <c r="G6" s="66">
        <v>40</v>
      </c>
      <c r="H6" s="66">
        <v>35.843800000000002</v>
      </c>
    </row>
    <row r="7" spans="1:8">
      <c r="A7" s="66" t="s">
        <v>359</v>
      </c>
      <c r="B7" s="66">
        <v>24.978000000000002</v>
      </c>
      <c r="C7" s="66">
        <v>10.6851</v>
      </c>
      <c r="D7" s="66">
        <v>42.778100000000002</v>
      </c>
      <c r="E7" s="66">
        <v>15</v>
      </c>
      <c r="F7" s="66">
        <v>8.6465999999999994</v>
      </c>
      <c r="G7" s="66">
        <v>40</v>
      </c>
      <c r="H7" s="66">
        <v>54.095199999999998</v>
      </c>
    </row>
    <row r="8" spans="1:8">
      <c r="A8" s="66" t="s">
        <v>360</v>
      </c>
      <c r="B8" s="66">
        <v>26.052099999999999</v>
      </c>
      <c r="C8" s="66">
        <v>3.48184</v>
      </c>
      <c r="D8" s="66">
        <v>13.3649</v>
      </c>
      <c r="E8" s="66">
        <v>20</v>
      </c>
      <c r="F8" s="66">
        <v>18</v>
      </c>
      <c r="G8" s="66">
        <v>50</v>
      </c>
      <c r="H8" s="66">
        <v>34.910600000000002</v>
      </c>
    </row>
    <row r="9" spans="1:8">
      <c r="A9" s="66" t="s">
        <v>361</v>
      </c>
      <c r="B9" s="66">
        <v>74.810400000000001</v>
      </c>
      <c r="C9" s="66">
        <v>3.7368299999999999</v>
      </c>
      <c r="D9" s="66">
        <v>4.9950599999999996</v>
      </c>
      <c r="E9" s="66">
        <v>50</v>
      </c>
      <c r="F9" s="66">
        <v>66.530100000000004</v>
      </c>
      <c r="G9" s="66">
        <v>100</v>
      </c>
      <c r="H9" s="66">
        <v>83.835499999999996</v>
      </c>
    </row>
    <row r="10" spans="1:8">
      <c r="A10" s="66" t="s">
        <v>362</v>
      </c>
      <c r="B10" s="66">
        <v>70.559299999999993</v>
      </c>
      <c r="C10" s="66">
        <v>4.4994699999999996</v>
      </c>
      <c r="D10" s="66">
        <v>6.3768700000000003</v>
      </c>
      <c r="E10" s="66">
        <v>40</v>
      </c>
      <c r="F10" s="66">
        <v>60.622199999999999</v>
      </c>
      <c r="G10" s="66">
        <v>100</v>
      </c>
      <c r="H10" s="66">
        <v>74.744</v>
      </c>
    </row>
    <row r="11" spans="1:8">
      <c r="A11" s="66" t="s">
        <v>363</v>
      </c>
      <c r="B11" s="66">
        <v>8.7413500000000006</v>
      </c>
      <c r="C11" s="66">
        <v>1.15994</v>
      </c>
      <c r="D11" s="66">
        <v>13.269500000000001</v>
      </c>
      <c r="E11" s="66">
        <v>10</v>
      </c>
      <c r="F11" s="66">
        <v>5.9368800000000004</v>
      </c>
      <c r="G11" s="66">
        <v>50</v>
      </c>
      <c r="H11" s="66">
        <v>10.0289</v>
      </c>
    </row>
    <row r="12" spans="1:8">
      <c r="A12" s="66" t="s">
        <v>364</v>
      </c>
      <c r="B12" s="66">
        <v>73.357500000000002</v>
      </c>
      <c r="C12" s="66">
        <v>3.9096600000000001</v>
      </c>
      <c r="D12" s="66">
        <v>5.3296000000000001</v>
      </c>
      <c r="E12" s="66">
        <v>50</v>
      </c>
      <c r="F12" s="66">
        <v>64.180899999999994</v>
      </c>
      <c r="G12" s="66">
        <v>100</v>
      </c>
      <c r="H12" s="66">
        <v>79.056799999999996</v>
      </c>
    </row>
    <row r="13" spans="1:8">
      <c r="A13" s="66" t="s">
        <v>365</v>
      </c>
      <c r="B13" s="66">
        <v>18.540700000000001</v>
      </c>
      <c r="C13" s="66">
        <v>2.2839</v>
      </c>
      <c r="D13" s="66">
        <v>12.318300000000001</v>
      </c>
      <c r="E13" s="66">
        <v>10</v>
      </c>
      <c r="F13" s="66">
        <v>14.9977</v>
      </c>
      <c r="G13" s="66">
        <v>25</v>
      </c>
      <c r="H13" s="66">
        <v>27.664899999999999</v>
      </c>
    </row>
    <row r="14" spans="1:8">
      <c r="A14" s="66" t="s">
        <v>366</v>
      </c>
      <c r="B14" s="66">
        <v>22.838999999999999</v>
      </c>
      <c r="C14" s="66">
        <v>7.2004200000000003</v>
      </c>
      <c r="D14" s="66">
        <v>31.526800000000001</v>
      </c>
      <c r="E14" s="66">
        <v>10</v>
      </c>
      <c r="F14" s="66">
        <v>2.8099400000000001</v>
      </c>
      <c r="G14" s="66">
        <v>50</v>
      </c>
      <c r="H14" s="66">
        <v>25.732199999999999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0.63115699999999997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0.73261699999999996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4.6168300000000003E-5</v>
      </c>
      <c r="C20" s="66">
        <v>1.30691E-2</v>
      </c>
      <c r="D20" s="66">
        <v>283.07400000000001</v>
      </c>
      <c r="E20" s="66">
        <v>0</v>
      </c>
      <c r="F20" s="66">
        <v>0</v>
      </c>
      <c r="G20" s="66">
        <v>0</v>
      </c>
      <c r="H20" s="66">
        <v>0.15095</v>
      </c>
    </row>
    <row r="21" spans="1:8">
      <c r="A21" s="66" t="s">
        <v>373</v>
      </c>
      <c r="B21" s="66">
        <v>2.51183E-2</v>
      </c>
      <c r="C21" s="66">
        <v>8.3804500000000004E-2</v>
      </c>
      <c r="D21" s="66">
        <v>3.3363900000000002</v>
      </c>
      <c r="E21" s="66">
        <v>0</v>
      </c>
      <c r="F21" s="196">
        <v>3.9585900000000003E-5</v>
      </c>
      <c r="G21" s="66">
        <v>0</v>
      </c>
      <c r="H21" s="66">
        <v>0.38531100000000001</v>
      </c>
    </row>
    <row r="22" spans="1:8">
      <c r="A22" s="66" t="s">
        <v>374</v>
      </c>
      <c r="B22" s="66">
        <v>29.110399999999998</v>
      </c>
      <c r="C22" s="66">
        <v>10.108599999999999</v>
      </c>
      <c r="D22" s="66">
        <v>0.34725</v>
      </c>
      <c r="E22" s="66">
        <v>0</v>
      </c>
      <c r="F22" s="66">
        <v>19.086600000000001</v>
      </c>
      <c r="G22" s="66">
        <v>0</v>
      </c>
      <c r="H22" s="66">
        <v>66.830200000000005</v>
      </c>
    </row>
    <row r="23" spans="1:8">
      <c r="A23" s="66" t="s">
        <v>375</v>
      </c>
      <c r="B23" s="66">
        <v>9.6223500000000008</v>
      </c>
      <c r="C23" s="66">
        <v>1.45441</v>
      </c>
      <c r="D23" s="66">
        <v>0.15114900000000001</v>
      </c>
      <c r="E23" s="66">
        <v>0</v>
      </c>
      <c r="F23" s="66">
        <v>7.4228399999999999</v>
      </c>
      <c r="G23" s="66">
        <v>0</v>
      </c>
      <c r="H23" s="66">
        <v>11.815799999999999</v>
      </c>
    </row>
    <row r="24" spans="1:8">
      <c r="A24" s="66" t="s">
        <v>376</v>
      </c>
      <c r="B24" s="66">
        <v>1.2418800000000001E-4</v>
      </c>
      <c r="C24" s="66">
        <v>8.4242699999999993E-3</v>
      </c>
      <c r="D24" s="66">
        <v>67.834599999999995</v>
      </c>
      <c r="E24" s="66">
        <v>0</v>
      </c>
      <c r="F24" s="196">
        <v>2.1399699999999999E-6</v>
      </c>
      <c r="G24" s="66">
        <v>0</v>
      </c>
      <c r="H24" s="66">
        <v>5.2781099999999997E-2</v>
      </c>
    </row>
    <row r="25" spans="1:8">
      <c r="A25" s="66" t="s">
        <v>377</v>
      </c>
      <c r="B25" s="66">
        <v>6.1922999999999999E-2</v>
      </c>
      <c r="C25" s="66">
        <v>4.4570600000000002E-2</v>
      </c>
      <c r="D25" s="66">
        <v>0.71977400000000002</v>
      </c>
      <c r="E25" s="66">
        <v>0</v>
      </c>
      <c r="F25" s="66">
        <v>8.2722999999999998E-3</v>
      </c>
      <c r="G25" s="66">
        <v>0</v>
      </c>
      <c r="H25" s="66">
        <v>0.179675</v>
      </c>
    </row>
    <row r="26" spans="1:8">
      <c r="A26" s="66" t="s">
        <v>378</v>
      </c>
      <c r="B26" s="196">
        <v>1.64128E-5</v>
      </c>
      <c r="C26" s="66">
        <v>8.49638E-4</v>
      </c>
      <c r="D26" s="66">
        <v>51.7667</v>
      </c>
      <c r="E26" s="66">
        <v>0</v>
      </c>
      <c r="F26" s="66">
        <v>0</v>
      </c>
      <c r="G26" s="66">
        <v>0</v>
      </c>
      <c r="H26" s="66">
        <v>9.4866099999999995E-3</v>
      </c>
    </row>
    <row r="27" spans="1:8">
      <c r="A27" s="66" t="s">
        <v>379</v>
      </c>
      <c r="B27" s="66">
        <v>0</v>
      </c>
      <c r="C27" s="66">
        <v>5.8320599999999996E-4</v>
      </c>
      <c r="D27" s="66">
        <v>0</v>
      </c>
      <c r="E27" s="66">
        <v>0</v>
      </c>
      <c r="F27" s="66">
        <v>-5.05186E-3</v>
      </c>
      <c r="G27" s="66">
        <v>0</v>
      </c>
      <c r="H27" s="66">
        <v>7.74357E-3</v>
      </c>
    </row>
    <row r="28" spans="1:8">
      <c r="A28" s="66" t="s">
        <v>380</v>
      </c>
      <c r="B28" s="66">
        <v>3.90625E-3</v>
      </c>
      <c r="C28" s="66">
        <v>8.0062799999999993E-3</v>
      </c>
      <c r="D28" s="66">
        <v>2.0496099999999999</v>
      </c>
      <c r="E28" s="66">
        <v>0</v>
      </c>
      <c r="F28" s="196">
        <v>9.7656199999999999E-6</v>
      </c>
      <c r="G28" s="66">
        <v>0</v>
      </c>
      <c r="H28" s="66">
        <v>3.9645199999999998E-2</v>
      </c>
    </row>
    <row r="29" spans="1:8">
      <c r="A29" s="66" t="s">
        <v>381</v>
      </c>
      <c r="B29" s="66">
        <v>55.550800000000002</v>
      </c>
      <c r="C29" s="66">
        <v>6.7285300000000001</v>
      </c>
      <c r="D29" s="66">
        <v>0.121124</v>
      </c>
      <c r="E29" s="66">
        <v>0</v>
      </c>
      <c r="F29" s="66">
        <v>44.511299999999999</v>
      </c>
      <c r="G29" s="66">
        <v>0</v>
      </c>
      <c r="H29" s="66">
        <v>73.336399999999998</v>
      </c>
    </row>
    <row r="30" spans="1:8">
      <c r="A30" s="66" t="s">
        <v>382</v>
      </c>
      <c r="B30" s="66">
        <v>12.3659</v>
      </c>
      <c r="C30" s="66">
        <v>2.2888099999999998</v>
      </c>
      <c r="D30" s="66">
        <v>0.18509</v>
      </c>
      <c r="E30" s="66">
        <v>0</v>
      </c>
      <c r="F30" s="66">
        <v>7.9746499999999996</v>
      </c>
      <c r="G30" s="66">
        <v>0</v>
      </c>
      <c r="H30" s="66">
        <v>14.952199999999999</v>
      </c>
    </row>
    <row r="31" spans="1:8">
      <c r="A31" s="66" t="s">
        <v>383</v>
      </c>
      <c r="B31" s="66">
        <v>68.446600000000004</v>
      </c>
      <c r="C31" s="66">
        <v>21.791399999999999</v>
      </c>
      <c r="D31" s="66">
        <v>0.31837100000000002</v>
      </c>
      <c r="E31" s="66">
        <v>0</v>
      </c>
      <c r="F31" s="66">
        <v>43.807400000000001</v>
      </c>
      <c r="G31" s="66">
        <v>0</v>
      </c>
      <c r="H31" s="66">
        <v>107.316</v>
      </c>
    </row>
    <row r="32" spans="1:8">
      <c r="A32" s="66" t="s">
        <v>384</v>
      </c>
      <c r="B32" s="66">
        <v>0.24978</v>
      </c>
      <c r="C32" s="66">
        <v>0.106851</v>
      </c>
      <c r="D32" s="66">
        <v>0.42778100000000002</v>
      </c>
      <c r="E32" s="66">
        <v>0.15</v>
      </c>
      <c r="F32" s="66">
        <v>8.6465899999999998E-2</v>
      </c>
      <c r="G32" s="66">
        <v>0.4</v>
      </c>
      <c r="H32" s="66">
        <v>0.54095199999999999</v>
      </c>
    </row>
    <row r="33" spans="1:8">
      <c r="A33" s="66" t="s">
        <v>385</v>
      </c>
      <c r="B33" s="66">
        <v>0.286221</v>
      </c>
      <c r="C33" s="66">
        <v>3.9978199999999998E-2</v>
      </c>
      <c r="D33" s="66">
        <v>0.13967599999999999</v>
      </c>
      <c r="E33" s="66">
        <v>0</v>
      </c>
      <c r="F33" s="66">
        <v>0.25605899999999998</v>
      </c>
      <c r="G33" s="66">
        <v>0</v>
      </c>
      <c r="H33" s="66">
        <v>0.37979000000000002</v>
      </c>
    </row>
    <row r="34" spans="1:8">
      <c r="A34" s="66" t="s">
        <v>386</v>
      </c>
      <c r="B34" s="66">
        <v>0.18540699999999999</v>
      </c>
      <c r="C34" s="66">
        <v>2.2839000000000002E-2</v>
      </c>
      <c r="D34" s="66">
        <v>0.123183</v>
      </c>
      <c r="E34" s="66">
        <v>0.1</v>
      </c>
      <c r="F34" s="66">
        <v>0.149977</v>
      </c>
      <c r="G34" s="66">
        <v>0.25</v>
      </c>
      <c r="H34" s="66">
        <v>0.27664899999999998</v>
      </c>
    </row>
    <row r="35" spans="1:8">
      <c r="A35" s="66" t="s">
        <v>387</v>
      </c>
      <c r="B35" s="66">
        <v>7.9105700000000001E-2</v>
      </c>
      <c r="C35" s="66">
        <v>1.56478E-2</v>
      </c>
      <c r="D35" s="66">
        <v>0.19780900000000001</v>
      </c>
      <c r="E35" s="66">
        <v>0</v>
      </c>
      <c r="F35" s="66">
        <v>4.80726E-2</v>
      </c>
      <c r="G35" s="66">
        <v>0</v>
      </c>
      <c r="H35" s="66">
        <v>0.12289600000000001</v>
      </c>
    </row>
    <row r="36" spans="1:8">
      <c r="A36" s="66" t="s">
        <v>388</v>
      </c>
      <c r="B36" s="66">
        <v>0.164745</v>
      </c>
      <c r="C36" s="66">
        <v>8.5382100000000002E-2</v>
      </c>
      <c r="D36" s="66">
        <v>0.51826799999999995</v>
      </c>
      <c r="E36" s="66">
        <v>0</v>
      </c>
      <c r="F36" s="66">
        <v>3.6122700000000001E-2</v>
      </c>
      <c r="G36" s="66">
        <v>0</v>
      </c>
      <c r="H36" s="66">
        <v>0.39398</v>
      </c>
    </row>
    <row r="37" spans="1:8">
      <c r="A37" s="66" t="s">
        <v>389</v>
      </c>
      <c r="B37" s="66">
        <v>0.22839000000000001</v>
      </c>
      <c r="C37" s="66">
        <v>7.2004200000000004E-2</v>
      </c>
      <c r="D37" s="66">
        <v>0.31526799999999999</v>
      </c>
      <c r="E37" s="66">
        <v>0.1</v>
      </c>
      <c r="F37" s="66">
        <v>2.80994E-2</v>
      </c>
      <c r="G37" s="66">
        <v>0.5</v>
      </c>
      <c r="H37" s="66">
        <v>0.257322</v>
      </c>
    </row>
    <row r="38" spans="1:8">
      <c r="A38" s="66" t="s">
        <v>390</v>
      </c>
      <c r="B38" s="66">
        <v>-0.77941899999999997</v>
      </c>
      <c r="C38" s="66">
        <v>38.1432</v>
      </c>
      <c r="D38" s="66">
        <v>-48.938000000000002</v>
      </c>
      <c r="E38" s="66">
        <v>0</v>
      </c>
      <c r="F38" s="66">
        <v>-82.703000000000003</v>
      </c>
      <c r="G38" s="66">
        <v>0</v>
      </c>
      <c r="H38" s="66">
        <v>206.90299999999999</v>
      </c>
    </row>
    <row r="39" spans="1:8">
      <c r="A39" s="66" t="s">
        <v>391</v>
      </c>
      <c r="B39" s="66">
        <v>-3.7063000000000001</v>
      </c>
      <c r="C39" s="66">
        <v>3.7696900000000002</v>
      </c>
      <c r="D39" s="66">
        <v>-1.0170999999999999</v>
      </c>
      <c r="E39" s="66">
        <v>0</v>
      </c>
      <c r="F39" s="66">
        <v>-9.7891200000000005</v>
      </c>
      <c r="G39" s="66">
        <v>0</v>
      </c>
      <c r="H39" s="66">
        <v>5.5000999999999998</v>
      </c>
    </row>
    <row r="40" spans="1:8">
      <c r="A40" s="66" t="s">
        <v>392</v>
      </c>
      <c r="B40" s="66">
        <v>-1.6789499999999999</v>
      </c>
      <c r="C40" s="66">
        <v>0.64480499999999996</v>
      </c>
      <c r="D40" s="66">
        <v>-0.38405299999999998</v>
      </c>
      <c r="E40" s="66">
        <v>0</v>
      </c>
      <c r="F40" s="66">
        <v>-2.40482</v>
      </c>
      <c r="G40" s="66">
        <v>0</v>
      </c>
      <c r="H40" s="66">
        <v>-0.39015899999999998</v>
      </c>
    </row>
    <row r="41" spans="1:8">
      <c r="A41" s="66" t="s">
        <v>393</v>
      </c>
      <c r="B41" s="66">
        <v>-3.4219399999999997E-2</v>
      </c>
      <c r="C41" s="66">
        <v>0.30639</v>
      </c>
      <c r="D41" s="66">
        <v>-8.9536999999999995</v>
      </c>
      <c r="E41" s="66">
        <v>0</v>
      </c>
      <c r="F41" s="66">
        <v>-0.66210000000000002</v>
      </c>
      <c r="G41" s="66">
        <v>0</v>
      </c>
      <c r="H41" s="66">
        <v>1</v>
      </c>
    </row>
    <row r="42" spans="1:8">
      <c r="A42" s="66" t="s">
        <v>394</v>
      </c>
      <c r="B42" s="66">
        <v>-7.9232700000000003E-2</v>
      </c>
      <c r="C42" s="66">
        <v>0.109266</v>
      </c>
      <c r="D42" s="66">
        <v>-1.37906</v>
      </c>
      <c r="E42" s="66">
        <v>0</v>
      </c>
      <c r="F42" s="66">
        <v>-0.27442699999999998</v>
      </c>
      <c r="G42" s="66">
        <v>0</v>
      </c>
      <c r="H42" s="66">
        <v>0.187032</v>
      </c>
    </row>
    <row r="43" spans="1:8">
      <c r="A43" s="66" t="s">
        <v>395</v>
      </c>
      <c r="B43" s="66">
        <v>-0.13315199999999999</v>
      </c>
      <c r="C43" s="66">
        <v>6.25642E-2</v>
      </c>
      <c r="D43" s="66">
        <v>-0.46987000000000001</v>
      </c>
      <c r="E43" s="66">
        <v>0</v>
      </c>
      <c r="F43" s="66">
        <v>-0.20887700000000001</v>
      </c>
      <c r="G43" s="66">
        <v>0</v>
      </c>
      <c r="H43" s="66">
        <v>-1.02553E-2</v>
      </c>
    </row>
    <row r="44" spans="1:8">
      <c r="A44" s="66" t="s">
        <v>396</v>
      </c>
      <c r="B44" s="66">
        <v>-4.8053699999999999</v>
      </c>
      <c r="C44" s="66">
        <v>4.1906400000000001</v>
      </c>
      <c r="D44" s="66">
        <v>-0.87207299999999999</v>
      </c>
      <c r="E44" s="66">
        <v>0</v>
      </c>
      <c r="F44" s="66">
        <v>-14.057399999999999</v>
      </c>
      <c r="G44" s="66">
        <v>0</v>
      </c>
      <c r="H44" s="66">
        <v>3.6278100000000002</v>
      </c>
    </row>
    <row r="45" spans="1:8">
      <c r="A45" s="66" t="s">
        <v>397</v>
      </c>
      <c r="B45" s="66">
        <v>48.310600000000001</v>
      </c>
      <c r="C45" s="66">
        <v>6.3092600000000001</v>
      </c>
      <c r="D45" s="66">
        <v>0.13059799999999999</v>
      </c>
      <c r="E45" s="66">
        <v>0</v>
      </c>
      <c r="F45" s="66">
        <v>34.054000000000002</v>
      </c>
      <c r="G45" s="66">
        <v>0</v>
      </c>
      <c r="H45" s="66">
        <v>69.085999999999999</v>
      </c>
    </row>
    <row r="46" spans="1:8">
      <c r="A46" s="66" t="s">
        <v>398</v>
      </c>
      <c r="B46" s="66">
        <v>18.616599999999998</v>
      </c>
      <c r="C46" s="66">
        <v>4.0917000000000003</v>
      </c>
      <c r="D46" s="66">
        <v>0.21978800000000001</v>
      </c>
      <c r="E46" s="66">
        <v>0</v>
      </c>
      <c r="F46" s="66">
        <v>9.4240899999999996</v>
      </c>
      <c r="G46" s="66">
        <v>0</v>
      </c>
      <c r="H46" s="66">
        <v>24.601400000000002</v>
      </c>
    </row>
    <row r="47" spans="1:8">
      <c r="A47" s="66" t="s">
        <v>399</v>
      </c>
      <c r="B47" s="66">
        <v>0.50507800000000003</v>
      </c>
      <c r="C47" s="66">
        <v>0.203907</v>
      </c>
      <c r="D47" s="66">
        <v>0.40371299999999999</v>
      </c>
      <c r="E47" s="66">
        <v>0</v>
      </c>
      <c r="F47" s="66">
        <v>0.17746799999999999</v>
      </c>
      <c r="G47" s="66">
        <v>0</v>
      </c>
      <c r="H47" s="66">
        <v>1.1461600000000001</v>
      </c>
    </row>
    <row r="48" spans="1:8">
      <c r="A48" s="66" t="s">
        <v>400</v>
      </c>
      <c r="B48" s="66">
        <v>0.52980400000000005</v>
      </c>
      <c r="C48" s="66">
        <v>0.16270699999999999</v>
      </c>
      <c r="D48" s="66">
        <v>0.30710799999999999</v>
      </c>
      <c r="E48" s="66">
        <v>0</v>
      </c>
      <c r="F48" s="66">
        <v>0.37351400000000001</v>
      </c>
      <c r="G48" s="66">
        <v>0</v>
      </c>
      <c r="H48" s="66">
        <v>1.0097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28.8123</v>
      </c>
      <c r="C5" s="66">
        <v>3.9307500000000002</v>
      </c>
      <c r="D5" s="66">
        <v>13.6426</v>
      </c>
      <c r="E5" s="66">
        <v>20</v>
      </c>
      <c r="F5" s="66">
        <v>23.092300000000002</v>
      </c>
      <c r="G5" s="66">
        <v>50</v>
      </c>
      <c r="H5" s="66">
        <v>36.295099999999998</v>
      </c>
    </row>
    <row r="6" spans="1:8">
      <c r="A6" s="66" t="s">
        <v>358</v>
      </c>
      <c r="B6" s="66">
        <v>32.018099999999997</v>
      </c>
      <c r="C6" s="66">
        <v>2.0170599999999999</v>
      </c>
      <c r="D6" s="66">
        <v>6.2997399999999999</v>
      </c>
      <c r="E6" s="66">
        <v>20</v>
      </c>
      <c r="F6" s="66">
        <v>29.911200000000001</v>
      </c>
      <c r="G6" s="66">
        <v>40</v>
      </c>
      <c r="H6" s="66">
        <v>36.819200000000002</v>
      </c>
    </row>
    <row r="7" spans="1:8">
      <c r="A7" s="66" t="s">
        <v>359</v>
      </c>
      <c r="B7" s="66">
        <v>22.0517</v>
      </c>
      <c r="C7" s="66">
        <v>9.8515599999999992</v>
      </c>
      <c r="D7" s="66">
        <v>44.674900000000001</v>
      </c>
      <c r="E7" s="66">
        <v>15</v>
      </c>
      <c r="F7" s="66">
        <v>12.1464</v>
      </c>
      <c r="G7" s="66">
        <v>40</v>
      </c>
      <c r="H7" s="66">
        <v>53.0334</v>
      </c>
    </row>
    <row r="8" spans="1:8">
      <c r="A8" s="66" t="s">
        <v>360</v>
      </c>
      <c r="B8" s="66">
        <v>28.837199999999999</v>
      </c>
      <c r="C8" s="66">
        <v>3.33752</v>
      </c>
      <c r="D8" s="66">
        <v>11.573700000000001</v>
      </c>
      <c r="E8" s="66">
        <v>20</v>
      </c>
      <c r="F8" s="66">
        <v>24.204999999999998</v>
      </c>
      <c r="G8" s="66">
        <v>50</v>
      </c>
      <c r="H8" s="66">
        <v>38.316600000000001</v>
      </c>
    </row>
    <row r="9" spans="1:8">
      <c r="A9" s="66" t="s">
        <v>361</v>
      </c>
      <c r="B9" s="66">
        <v>70.327399999999997</v>
      </c>
      <c r="C9" s="66">
        <v>4.8138399999999999</v>
      </c>
      <c r="D9" s="66">
        <v>6.8448900000000004</v>
      </c>
      <c r="E9" s="66">
        <v>50</v>
      </c>
      <c r="F9" s="66">
        <v>61.548699999999997</v>
      </c>
      <c r="G9" s="66">
        <v>100</v>
      </c>
      <c r="H9" s="66">
        <v>81.794200000000004</v>
      </c>
    </row>
    <row r="10" spans="1:8">
      <c r="A10" s="66" t="s">
        <v>362</v>
      </c>
      <c r="B10" s="66">
        <v>66.940899999999999</v>
      </c>
      <c r="C10" s="66">
        <v>2.8646799999999999</v>
      </c>
      <c r="D10" s="66">
        <v>4.2794100000000004</v>
      </c>
      <c r="E10" s="66">
        <v>40</v>
      </c>
      <c r="F10" s="66">
        <v>61.340299999999999</v>
      </c>
      <c r="G10" s="66">
        <v>100</v>
      </c>
      <c r="H10" s="66">
        <v>70.534800000000004</v>
      </c>
    </row>
    <row r="11" spans="1:8">
      <c r="A11" s="66" t="s">
        <v>363</v>
      </c>
      <c r="B11" s="66">
        <v>11.0341</v>
      </c>
      <c r="C11" s="66">
        <v>1.8127</v>
      </c>
      <c r="D11" s="66">
        <v>16.4282</v>
      </c>
      <c r="E11" s="66">
        <v>10</v>
      </c>
      <c r="F11" s="66">
        <v>8.3479200000000002</v>
      </c>
      <c r="G11" s="66">
        <v>50</v>
      </c>
      <c r="H11" s="66">
        <v>14.2376</v>
      </c>
    </row>
    <row r="12" spans="1:8">
      <c r="A12" s="66" t="s">
        <v>364</v>
      </c>
      <c r="B12" s="66">
        <v>68.727199999999996</v>
      </c>
      <c r="C12" s="66">
        <v>2.00935</v>
      </c>
      <c r="D12" s="66">
        <v>2.92367</v>
      </c>
      <c r="E12" s="66">
        <v>50</v>
      </c>
      <c r="F12" s="66">
        <v>64.663499999999999</v>
      </c>
      <c r="G12" s="66">
        <v>100</v>
      </c>
      <c r="H12" s="66">
        <v>73.267700000000005</v>
      </c>
    </row>
    <row r="13" spans="1:8">
      <c r="A13" s="66" t="s">
        <v>365</v>
      </c>
      <c r="B13" s="66">
        <v>20.358799999999999</v>
      </c>
      <c r="C13" s="66">
        <v>2.8067899999999999</v>
      </c>
      <c r="D13" s="66">
        <v>13.7866</v>
      </c>
      <c r="E13" s="66">
        <v>10</v>
      </c>
      <c r="F13" s="66">
        <v>14.670299999999999</v>
      </c>
      <c r="G13" s="66">
        <v>25</v>
      </c>
      <c r="H13" s="66">
        <v>31.848800000000001</v>
      </c>
    </row>
    <row r="14" spans="1:8">
      <c r="A14" s="66" t="s">
        <v>366</v>
      </c>
      <c r="B14" s="66">
        <v>28.067900000000002</v>
      </c>
      <c r="C14" s="66">
        <v>8.3489199999999997</v>
      </c>
      <c r="D14" s="66">
        <v>29.7454</v>
      </c>
      <c r="E14" s="66">
        <v>10</v>
      </c>
      <c r="F14" s="66">
        <v>2.8263600000000002</v>
      </c>
      <c r="G14" s="66">
        <v>50</v>
      </c>
      <c r="H14" s="66">
        <v>38.1297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0.73473200000000005</v>
      </c>
      <c r="C18" s="66">
        <v>3.2150700000000001E-4</v>
      </c>
      <c r="D18" s="66">
        <v>4.3758499999999999E-4</v>
      </c>
      <c r="E18" s="66">
        <v>0</v>
      </c>
      <c r="F18" s="66">
        <v>0.73441000000000001</v>
      </c>
      <c r="G18" s="66">
        <v>0</v>
      </c>
      <c r="H18" s="66">
        <v>0.73505299999999996</v>
      </c>
    </row>
    <row r="19" spans="1:8">
      <c r="A19" s="66" t="s">
        <v>371</v>
      </c>
      <c r="B19" s="66">
        <v>0.81063399999999997</v>
      </c>
      <c r="C19" s="66">
        <v>2.26997E-2</v>
      </c>
      <c r="D19" s="66">
        <v>2.80024E-2</v>
      </c>
      <c r="E19" s="66">
        <v>0</v>
      </c>
      <c r="F19" s="66">
        <v>0.78793400000000002</v>
      </c>
      <c r="G19" s="66">
        <v>0</v>
      </c>
      <c r="H19" s="66">
        <v>0.83333299999999999</v>
      </c>
    </row>
    <row r="20" spans="1:8">
      <c r="A20" s="66" t="s">
        <v>372</v>
      </c>
      <c r="B20" s="66">
        <v>1.04682E-4</v>
      </c>
      <c r="C20" s="66">
        <v>1.9550000000000001E-2</v>
      </c>
      <c r="D20" s="66">
        <v>186.75700000000001</v>
      </c>
      <c r="E20" s="66">
        <v>0</v>
      </c>
      <c r="F20" s="66">
        <v>0</v>
      </c>
      <c r="G20" s="66">
        <v>0</v>
      </c>
      <c r="H20" s="66">
        <v>0.193075</v>
      </c>
    </row>
    <row r="21" spans="1:8">
      <c r="A21" s="66" t="s">
        <v>373</v>
      </c>
      <c r="B21" s="66">
        <v>3.4876799999999999E-2</v>
      </c>
      <c r="C21" s="66">
        <v>0.146145</v>
      </c>
      <c r="D21" s="66">
        <v>4.1903300000000003</v>
      </c>
      <c r="E21" s="66">
        <v>0</v>
      </c>
      <c r="F21" s="196">
        <v>3.32925E-5</v>
      </c>
      <c r="G21" s="66">
        <v>0</v>
      </c>
      <c r="H21" s="66">
        <v>0.83079999999999998</v>
      </c>
    </row>
    <row r="22" spans="1:8">
      <c r="A22" s="66" t="s">
        <v>374</v>
      </c>
      <c r="B22" s="66">
        <v>35.835700000000003</v>
      </c>
      <c r="C22" s="66">
        <v>12.335800000000001</v>
      </c>
      <c r="D22" s="66">
        <v>0.34423100000000001</v>
      </c>
      <c r="E22" s="66">
        <v>0</v>
      </c>
      <c r="F22" s="66">
        <v>21.806899999999999</v>
      </c>
      <c r="G22" s="66">
        <v>0</v>
      </c>
      <c r="H22" s="66">
        <v>74.391000000000005</v>
      </c>
    </row>
    <row r="23" spans="1:8">
      <c r="A23" s="66" t="s">
        <v>375</v>
      </c>
      <c r="B23" s="66">
        <v>12.9399</v>
      </c>
      <c r="C23" s="66">
        <v>1.55383</v>
      </c>
      <c r="D23" s="66">
        <v>0.12008000000000001</v>
      </c>
      <c r="E23" s="66">
        <v>0</v>
      </c>
      <c r="F23" s="66">
        <v>10.4962</v>
      </c>
      <c r="G23" s="66">
        <v>0</v>
      </c>
      <c r="H23" s="66">
        <v>15.014900000000001</v>
      </c>
    </row>
    <row r="24" spans="1:8">
      <c r="A24" s="66" t="s">
        <v>376</v>
      </c>
      <c r="B24" s="66">
        <v>3.0478699999999999E-4</v>
      </c>
      <c r="C24" s="66">
        <v>1.2482399999999999E-2</v>
      </c>
      <c r="D24" s="66">
        <v>40.954300000000003</v>
      </c>
      <c r="E24" s="66">
        <v>0</v>
      </c>
      <c r="F24" s="196">
        <v>1.30303E-5</v>
      </c>
      <c r="G24" s="66">
        <v>0</v>
      </c>
      <c r="H24" s="66">
        <v>5.7514999999999997E-2</v>
      </c>
    </row>
    <row r="25" spans="1:8">
      <c r="A25" s="66" t="s">
        <v>377</v>
      </c>
      <c r="B25" s="66">
        <v>8.4321199999999999E-2</v>
      </c>
      <c r="C25" s="66">
        <v>7.2321999999999997E-2</v>
      </c>
      <c r="D25" s="66">
        <v>0.85769700000000004</v>
      </c>
      <c r="E25" s="66">
        <v>0</v>
      </c>
      <c r="F25" s="66">
        <v>1.1969799999999999E-2</v>
      </c>
      <c r="G25" s="66">
        <v>0</v>
      </c>
      <c r="H25" s="66">
        <v>0.322772</v>
      </c>
    </row>
    <row r="26" spans="1:8">
      <c r="A26" s="66" t="s">
        <v>378</v>
      </c>
      <c r="B26" s="196">
        <v>2.9543099999999998E-5</v>
      </c>
      <c r="C26" s="66">
        <v>1.2439899999999999E-3</v>
      </c>
      <c r="D26" s="66">
        <v>42.107599999999998</v>
      </c>
      <c r="E26" s="66">
        <v>0</v>
      </c>
      <c r="F26" s="66">
        <v>0</v>
      </c>
      <c r="G26" s="66">
        <v>0</v>
      </c>
      <c r="H26" s="66">
        <v>8.2523600000000003E-3</v>
      </c>
    </row>
    <row r="27" spans="1:8">
      <c r="A27" s="66" t="s">
        <v>379</v>
      </c>
      <c r="B27" s="66">
        <v>0</v>
      </c>
      <c r="C27" s="66">
        <v>9.2013999999999996E-4</v>
      </c>
      <c r="D27" s="66">
        <v>0</v>
      </c>
      <c r="E27" s="66">
        <v>0</v>
      </c>
      <c r="F27" s="66">
        <v>-6.0760199999999997E-3</v>
      </c>
      <c r="G27" s="66">
        <v>0</v>
      </c>
      <c r="H27" s="66">
        <v>5.6558600000000004E-3</v>
      </c>
    </row>
    <row r="28" spans="1:8">
      <c r="A28" s="66" t="s">
        <v>380</v>
      </c>
      <c r="B28" s="66">
        <v>5.1302099999999996E-3</v>
      </c>
      <c r="C28" s="66">
        <v>1.2969400000000001E-2</v>
      </c>
      <c r="D28" s="66">
        <v>2.5280499999999999</v>
      </c>
      <c r="E28" s="66">
        <v>0</v>
      </c>
      <c r="F28" s="196">
        <v>6.5104200000000001E-6</v>
      </c>
      <c r="G28" s="66">
        <v>0</v>
      </c>
      <c r="H28" s="66">
        <v>7.1149100000000007E-2</v>
      </c>
    </row>
    <row r="29" spans="1:8">
      <c r="A29" s="66" t="s">
        <v>381</v>
      </c>
      <c r="B29" s="66">
        <v>59.257199999999997</v>
      </c>
      <c r="C29" s="66">
        <v>8.1948000000000008</v>
      </c>
      <c r="D29" s="66">
        <v>0.138292</v>
      </c>
      <c r="E29" s="66">
        <v>0</v>
      </c>
      <c r="F29" s="66">
        <v>39.9617</v>
      </c>
      <c r="G29" s="66">
        <v>0</v>
      </c>
      <c r="H29" s="66">
        <v>79.174000000000007</v>
      </c>
    </row>
    <row r="30" spans="1:8">
      <c r="A30" s="66" t="s">
        <v>382</v>
      </c>
      <c r="B30" s="66">
        <v>15.291399999999999</v>
      </c>
      <c r="C30" s="66">
        <v>1.3914299999999999</v>
      </c>
      <c r="D30" s="66">
        <v>9.0994000000000005E-2</v>
      </c>
      <c r="E30" s="66">
        <v>0</v>
      </c>
      <c r="F30" s="66">
        <v>12.910500000000001</v>
      </c>
      <c r="G30" s="66">
        <v>0</v>
      </c>
      <c r="H30" s="66">
        <v>17.308800000000002</v>
      </c>
    </row>
    <row r="31" spans="1:8">
      <c r="A31" s="66" t="s">
        <v>383</v>
      </c>
      <c r="B31" s="66">
        <v>104.547</v>
      </c>
      <c r="C31" s="66">
        <v>35.066800000000001</v>
      </c>
      <c r="D31" s="66">
        <v>0.33541799999999999</v>
      </c>
      <c r="E31" s="66">
        <v>0</v>
      </c>
      <c r="F31" s="66">
        <v>78.736800000000002</v>
      </c>
      <c r="G31" s="66">
        <v>0</v>
      </c>
      <c r="H31" s="66">
        <v>178.34800000000001</v>
      </c>
    </row>
    <row r="32" spans="1:8">
      <c r="A32" s="66" t="s">
        <v>384</v>
      </c>
      <c r="B32" s="66">
        <v>0.22051699999999999</v>
      </c>
      <c r="C32" s="66">
        <v>9.8515599999999995E-2</v>
      </c>
      <c r="D32" s="66">
        <v>0.44674799999999998</v>
      </c>
      <c r="E32" s="66">
        <v>0.15</v>
      </c>
      <c r="F32" s="66">
        <v>0.121464</v>
      </c>
      <c r="G32" s="66">
        <v>0.4</v>
      </c>
      <c r="H32" s="66">
        <v>0.53033399999999997</v>
      </c>
    </row>
    <row r="33" spans="1:8">
      <c r="A33" s="66" t="s">
        <v>385</v>
      </c>
      <c r="B33" s="66">
        <v>0.36300100000000002</v>
      </c>
      <c r="C33" s="66">
        <v>1.46435E-2</v>
      </c>
      <c r="D33" s="66">
        <v>4.0340000000000001E-2</v>
      </c>
      <c r="E33" s="66">
        <v>0</v>
      </c>
      <c r="F33" s="66">
        <v>0.32483000000000001</v>
      </c>
      <c r="G33" s="66">
        <v>0</v>
      </c>
      <c r="H33" s="66">
        <v>0.39499099999999998</v>
      </c>
    </row>
    <row r="34" spans="1:8">
      <c r="A34" s="66" t="s">
        <v>386</v>
      </c>
      <c r="B34" s="66">
        <v>0.20358799999999999</v>
      </c>
      <c r="C34" s="66">
        <v>2.80679E-2</v>
      </c>
      <c r="D34" s="66">
        <v>0.13786599999999999</v>
      </c>
      <c r="E34" s="66">
        <v>0.1</v>
      </c>
      <c r="F34" s="66">
        <v>0.146703</v>
      </c>
      <c r="G34" s="66">
        <v>0.25</v>
      </c>
      <c r="H34" s="66">
        <v>0.31848799999999999</v>
      </c>
    </row>
    <row r="35" spans="1:8">
      <c r="A35" s="66" t="s">
        <v>387</v>
      </c>
      <c r="B35" s="66">
        <v>8.3566500000000002E-2</v>
      </c>
      <c r="C35" s="66">
        <v>2.2683499999999999E-2</v>
      </c>
      <c r="D35" s="66">
        <v>0.27144299999999999</v>
      </c>
      <c r="E35" s="66">
        <v>0</v>
      </c>
      <c r="F35" s="66">
        <v>3.9197000000000003E-2</v>
      </c>
      <c r="G35" s="66">
        <v>0</v>
      </c>
      <c r="H35" s="66">
        <v>0.159473</v>
      </c>
    </row>
    <row r="36" spans="1:8">
      <c r="A36" s="66" t="s">
        <v>388</v>
      </c>
      <c r="B36" s="66">
        <v>0.18074100000000001</v>
      </c>
      <c r="C36" s="66">
        <v>9.3823100000000006E-2</v>
      </c>
      <c r="D36" s="66">
        <v>0.51910299999999998</v>
      </c>
      <c r="E36" s="66">
        <v>0</v>
      </c>
      <c r="F36" s="66">
        <v>4.0763000000000001E-2</v>
      </c>
      <c r="G36" s="66">
        <v>0</v>
      </c>
      <c r="H36" s="66">
        <v>0.50769299999999995</v>
      </c>
    </row>
    <row r="37" spans="1:8">
      <c r="A37" s="66" t="s">
        <v>389</v>
      </c>
      <c r="B37" s="66">
        <v>0.28067900000000001</v>
      </c>
      <c r="C37" s="66">
        <v>8.34892E-2</v>
      </c>
      <c r="D37" s="66">
        <v>0.297454</v>
      </c>
      <c r="E37" s="66">
        <v>0.1</v>
      </c>
      <c r="F37" s="66">
        <v>2.82636E-2</v>
      </c>
      <c r="G37" s="66">
        <v>0.5</v>
      </c>
      <c r="H37" s="66">
        <v>0.381297</v>
      </c>
    </row>
    <row r="38" spans="1:8">
      <c r="A38" s="66" t="s">
        <v>390</v>
      </c>
      <c r="B38" s="66">
        <v>-11.199400000000001</v>
      </c>
      <c r="C38" s="66">
        <v>40.068600000000004</v>
      </c>
      <c r="D38" s="66">
        <v>-3.57775</v>
      </c>
      <c r="E38" s="66">
        <v>0</v>
      </c>
      <c r="F38" s="66">
        <v>-197.21100000000001</v>
      </c>
      <c r="G38" s="66">
        <v>0</v>
      </c>
      <c r="H38" s="66">
        <v>172.70699999999999</v>
      </c>
    </row>
    <row r="39" spans="1:8">
      <c r="A39" s="66" t="s">
        <v>391</v>
      </c>
      <c r="B39" s="66">
        <v>-3.8227899999999999</v>
      </c>
      <c r="C39" s="66">
        <v>3.8941400000000002</v>
      </c>
      <c r="D39" s="66">
        <v>-1.0186599999999999</v>
      </c>
      <c r="E39" s="66">
        <v>0</v>
      </c>
      <c r="F39" s="66">
        <v>-10.8794</v>
      </c>
      <c r="G39" s="66">
        <v>0</v>
      </c>
      <c r="H39" s="66">
        <v>7.8693099999999996</v>
      </c>
    </row>
    <row r="40" spans="1:8">
      <c r="A40" s="66" t="s">
        <v>392</v>
      </c>
      <c r="B40" s="66">
        <v>-1.6057600000000001</v>
      </c>
      <c r="C40" s="66">
        <v>0.21338299999999999</v>
      </c>
      <c r="D40" s="66">
        <v>-0.132886</v>
      </c>
      <c r="E40" s="66">
        <v>0</v>
      </c>
      <c r="F40" s="66">
        <v>-2.3833500000000001</v>
      </c>
      <c r="G40" s="66">
        <v>0</v>
      </c>
      <c r="H40" s="66">
        <v>-1.2198500000000001</v>
      </c>
    </row>
    <row r="41" spans="1:8">
      <c r="A41" s="66" t="s">
        <v>393</v>
      </c>
      <c r="B41" s="66">
        <v>-8.1081100000000003E-2</v>
      </c>
      <c r="C41" s="66">
        <v>0.28962900000000003</v>
      </c>
      <c r="D41" s="66">
        <v>-3.5720900000000002</v>
      </c>
      <c r="E41" s="66">
        <v>0</v>
      </c>
      <c r="F41" s="66">
        <v>-0.82932899999999998</v>
      </c>
      <c r="G41" s="66">
        <v>0</v>
      </c>
      <c r="H41" s="66">
        <v>1</v>
      </c>
    </row>
    <row r="42" spans="1:8">
      <c r="A42" s="66" t="s">
        <v>394</v>
      </c>
      <c r="B42" s="66">
        <v>-9.4036499999999995E-2</v>
      </c>
      <c r="C42" s="66">
        <v>6.8421499999999996E-2</v>
      </c>
      <c r="D42" s="66">
        <v>-0.72760599999999998</v>
      </c>
      <c r="E42" s="66">
        <v>0</v>
      </c>
      <c r="F42" s="66">
        <v>-0.232317</v>
      </c>
      <c r="G42" s="66">
        <v>0</v>
      </c>
      <c r="H42" s="66">
        <v>0.12809400000000001</v>
      </c>
    </row>
    <row r="43" spans="1:8">
      <c r="A43" s="66" t="s">
        <v>395</v>
      </c>
      <c r="B43" s="66">
        <v>-0.12817799999999999</v>
      </c>
      <c r="C43" s="66">
        <v>2.64794E-2</v>
      </c>
      <c r="D43" s="66">
        <v>-0.20658399999999999</v>
      </c>
      <c r="E43" s="66">
        <v>0</v>
      </c>
      <c r="F43" s="66">
        <v>-0.216916</v>
      </c>
      <c r="G43" s="66">
        <v>0</v>
      </c>
      <c r="H43" s="66">
        <v>-8.0594299999999994E-2</v>
      </c>
    </row>
    <row r="44" spans="1:8">
      <c r="A44" s="66" t="s">
        <v>396</v>
      </c>
      <c r="B44" s="66">
        <v>3.7488600000000001</v>
      </c>
      <c r="C44" s="66">
        <v>5.11958</v>
      </c>
      <c r="D44" s="66">
        <v>1.36564</v>
      </c>
      <c r="E44" s="66">
        <v>0</v>
      </c>
      <c r="F44" s="66">
        <v>-6.8342000000000001</v>
      </c>
      <c r="G44" s="66">
        <v>0</v>
      </c>
      <c r="H44" s="66">
        <v>13.322800000000001</v>
      </c>
    </row>
    <row r="45" spans="1:8">
      <c r="A45" s="66" t="s">
        <v>397</v>
      </c>
      <c r="B45" s="66">
        <v>49.664200000000001</v>
      </c>
      <c r="C45" s="66">
        <v>7.3856999999999999</v>
      </c>
      <c r="D45" s="66">
        <v>0.14871300000000001</v>
      </c>
      <c r="E45" s="66">
        <v>0</v>
      </c>
      <c r="F45" s="66">
        <v>30.3613</v>
      </c>
      <c r="G45" s="66">
        <v>0</v>
      </c>
      <c r="H45" s="66">
        <v>68.441199999999995</v>
      </c>
    </row>
    <row r="46" spans="1:8">
      <c r="A46" s="66" t="s">
        <v>398</v>
      </c>
      <c r="B46" s="66">
        <v>23.309200000000001</v>
      </c>
      <c r="C46" s="66">
        <v>1.85351</v>
      </c>
      <c r="D46" s="66">
        <v>7.95183E-2</v>
      </c>
      <c r="E46" s="66">
        <v>0</v>
      </c>
      <c r="F46" s="66">
        <v>20.798999999999999</v>
      </c>
      <c r="G46" s="66">
        <v>0</v>
      </c>
      <c r="H46" s="66">
        <v>27.1571</v>
      </c>
    </row>
    <row r="47" spans="1:8">
      <c r="A47" s="66" t="s">
        <v>399</v>
      </c>
      <c r="B47" s="66">
        <v>0.61880500000000005</v>
      </c>
      <c r="C47" s="66">
        <v>0.24790400000000001</v>
      </c>
      <c r="D47" s="66">
        <v>0.400617</v>
      </c>
      <c r="E47" s="66">
        <v>0</v>
      </c>
      <c r="F47" s="66">
        <v>0.26314700000000002</v>
      </c>
      <c r="G47" s="66">
        <v>0</v>
      </c>
      <c r="H47" s="66">
        <v>1.66544</v>
      </c>
    </row>
    <row r="48" spans="1:8">
      <c r="A48" s="66" t="s">
        <v>400</v>
      </c>
      <c r="B48" s="66">
        <v>0.528891</v>
      </c>
      <c r="C48" s="66">
        <v>5.5931500000000002E-2</v>
      </c>
      <c r="D48" s="66">
        <v>0.105752</v>
      </c>
      <c r="E48" s="66">
        <v>0</v>
      </c>
      <c r="F48" s="66">
        <v>0.385884</v>
      </c>
      <c r="G48" s="66">
        <v>0</v>
      </c>
      <c r="H48" s="66">
        <v>0.63588100000000003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48.3388146894968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0.93279126360353215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0.47209395378353203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17503</v>
      </c>
      <c r="B8" s="66">
        <v>17503</v>
      </c>
      <c r="D8">
        <f t="shared" si="0"/>
        <v>0.13110665008763914</v>
      </c>
      <c r="E8">
        <f t="shared" si="0"/>
        <v>0.13110665008763914</v>
      </c>
      <c r="G8">
        <f t="shared" ca="1" si="1"/>
        <v>6</v>
      </c>
      <c r="H8">
        <f t="shared" ca="1" si="2"/>
        <v>0.78663990052583488</v>
      </c>
      <c r="I8">
        <f t="shared" ca="1" si="3"/>
        <v>235.01853334511887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32277</v>
      </c>
      <c r="B10" s="66">
        <v>32277</v>
      </c>
      <c r="D10">
        <f t="shared" si="0"/>
        <v>0.24177165885155277</v>
      </c>
      <c r="E10">
        <f t="shared" si="0"/>
        <v>0.24177165885155277</v>
      </c>
      <c r="G10">
        <f t="shared" ca="1" si="1"/>
        <v>8</v>
      </c>
      <c r="H10">
        <f t="shared" ca="1" si="2"/>
        <v>1.9341732708124222</v>
      </c>
      <c r="I10">
        <f t="shared" ca="1" si="3"/>
        <v>393.41567159710974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44895</v>
      </c>
      <c r="B13" s="66">
        <v>44895</v>
      </c>
      <c r="D13">
        <f t="shared" si="0"/>
        <v>0.3362870968225195</v>
      </c>
      <c r="E13">
        <f t="shared" si="0"/>
        <v>0.3362870968225195</v>
      </c>
      <c r="G13">
        <f t="shared" ca="1" si="1"/>
        <v>11</v>
      </c>
      <c r="H13">
        <f t="shared" ca="1" si="2"/>
        <v>3.6991580650477145</v>
      </c>
      <c r="I13">
        <f t="shared" ca="1" si="3"/>
        <v>468.84712637333115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74124</v>
      </c>
      <c r="B15" s="66">
        <v>74124</v>
      </c>
      <c r="D15">
        <f t="shared" si="0"/>
        <v>0.55522763703914546</v>
      </c>
      <c r="E15">
        <f t="shared" si="0"/>
        <v>0.55522763703914546</v>
      </c>
      <c r="G15">
        <f t="shared" ca="1" si="1"/>
        <v>13</v>
      </c>
      <c r="H15">
        <f t="shared" ca="1" si="2"/>
        <v>7.2179592815088913</v>
      </c>
      <c r="I15">
        <f t="shared" ca="1" si="3"/>
        <v>693.38594250924848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76331</v>
      </c>
      <c r="B18" s="66">
        <v>76331</v>
      </c>
      <c r="D18">
        <f t="shared" si="0"/>
        <v>0.57175922458090511</v>
      </c>
      <c r="E18">
        <f t="shared" si="0"/>
        <v>0.57175922458090511</v>
      </c>
      <c r="G18">
        <f t="shared" ca="1" si="1"/>
        <v>16</v>
      </c>
      <c r="H18">
        <f t="shared" ca="1" si="2"/>
        <v>9.1481475932944818</v>
      </c>
      <c r="I18">
        <f t="shared" ca="1" si="3"/>
        <v>597.94518844137406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86470</v>
      </c>
      <c r="B21" s="66">
        <v>86470</v>
      </c>
      <c r="D21">
        <f t="shared" si="0"/>
        <v>0.64770565234977751</v>
      </c>
      <c r="E21">
        <f t="shared" si="0"/>
        <v>0.64770565234977751</v>
      </c>
      <c r="G21">
        <f t="shared" ca="1" si="1"/>
        <v>19</v>
      </c>
      <c r="H21">
        <f t="shared" ca="1" si="2"/>
        <v>12.306407394645772</v>
      </c>
      <c r="I21">
        <f t="shared" ca="1" si="3"/>
        <v>557.52303424180332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90984</v>
      </c>
      <c r="B23" s="66">
        <v>90984</v>
      </c>
      <c r="D23">
        <f t="shared" si="0"/>
        <v>0.68151787988194934</v>
      </c>
      <c r="E23">
        <f t="shared" si="0"/>
        <v>0.68151787988194934</v>
      </c>
      <c r="G23">
        <f t="shared" ca="1" si="1"/>
        <v>21</v>
      </c>
      <c r="H23">
        <f t="shared" ca="1" si="2"/>
        <v>14.311875477520935</v>
      </c>
      <c r="I23">
        <f t="shared" ca="1" si="3"/>
        <v>509.37381606572762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97947</v>
      </c>
      <c r="B26" s="66">
        <v>97947</v>
      </c>
      <c r="D26">
        <f t="shared" si="0"/>
        <v>0.7336744018816197</v>
      </c>
      <c r="E26">
        <f t="shared" si="0"/>
        <v>0.7336744018816197</v>
      </c>
      <c r="G26">
        <f t="shared" ca="1" si="1"/>
        <v>24</v>
      </c>
      <c r="H26">
        <f t="shared" ca="1" si="2"/>
        <v>17.608185645158873</v>
      </c>
      <c r="I26">
        <f t="shared" ca="1" si="3"/>
        <v>434.61250182964477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109985</v>
      </c>
      <c r="B28" s="66">
        <v>109985</v>
      </c>
      <c r="D28">
        <f t="shared" si="0"/>
        <v>0.82384533565040219</v>
      </c>
      <c r="E28">
        <f t="shared" si="0"/>
        <v>0.82384533565040219</v>
      </c>
      <c r="G28">
        <f t="shared" ca="1" si="1"/>
        <v>26</v>
      </c>
      <c r="H28">
        <f t="shared" ca="1" si="2"/>
        <v>21.419978726910458</v>
      </c>
      <c r="I28">
        <f t="shared" ca="1" si="3"/>
        <v>411.1174757745847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120326</v>
      </c>
      <c r="B31" s="66">
        <v>120326</v>
      </c>
      <c r="D31">
        <f t="shared" si="0"/>
        <v>0.90130484936555255</v>
      </c>
      <c r="E31">
        <f t="shared" si="0"/>
        <v>0.90130484936555255</v>
      </c>
      <c r="G31">
        <f t="shared" ca="1" si="1"/>
        <v>29</v>
      </c>
      <c r="H31">
        <f t="shared" ca="1" si="2"/>
        <v>26.137840631601023</v>
      </c>
      <c r="I31">
        <f t="shared" ca="1" si="3"/>
        <v>337.0787785279287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120069</v>
      </c>
      <c r="B33" s="66">
        <v>120069</v>
      </c>
      <c r="D33">
        <f t="shared" si="0"/>
        <v>0.89937978457251577</v>
      </c>
      <c r="E33">
        <f t="shared" si="0"/>
        <v>0.89937978457251577</v>
      </c>
      <c r="G33">
        <f t="shared" ca="1" si="1"/>
        <v>31</v>
      </c>
      <c r="H33">
        <f t="shared" ca="1" si="2"/>
        <v>27.880773321747988</v>
      </c>
      <c r="I33">
        <f t="shared" ca="1" si="3"/>
        <v>270.38458720130734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132088</v>
      </c>
      <c r="B36" s="66">
        <v>132088</v>
      </c>
      <c r="D36">
        <f t="shared" si="0"/>
        <v>0.98940839837605432</v>
      </c>
      <c r="E36">
        <f t="shared" si="0"/>
        <v>0.98940839837605432</v>
      </c>
      <c r="G36">
        <f t="shared" ca="1" si="1"/>
        <v>34</v>
      </c>
      <c r="H36">
        <f t="shared" ca="1" si="2"/>
        <v>33.639885544785848</v>
      </c>
      <c r="I36">
        <f t="shared" ca="1" si="3"/>
        <v>203.42395638832252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130449</v>
      </c>
      <c r="B39" s="66">
        <v>130449</v>
      </c>
      <c r="D39">
        <f t="shared" si="0"/>
        <v>0.97713142874264058</v>
      </c>
      <c r="E39">
        <f t="shared" si="0"/>
        <v>0.97713142874264058</v>
      </c>
      <c r="G39">
        <f t="shared" ca="1" si="1"/>
        <v>37</v>
      </c>
      <c r="H39">
        <f t="shared" ca="1" si="2"/>
        <v>36.153862863477698</v>
      </c>
      <c r="I39">
        <f t="shared" ca="1" si="3"/>
        <v>125.62853566082882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133502</v>
      </c>
      <c r="B41" s="66">
        <v>133502</v>
      </c>
      <c r="D41">
        <f t="shared" si="0"/>
        <v>1</v>
      </c>
      <c r="E41">
        <f t="shared" si="0"/>
        <v>1</v>
      </c>
      <c r="G41">
        <f t="shared" ca="1" si="1"/>
        <v>39</v>
      </c>
      <c r="H41">
        <f t="shared" ca="1" si="2"/>
        <v>39</v>
      </c>
      <c r="I41">
        <f t="shared" ca="1" si="3"/>
        <v>87.213459804761214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118374</v>
      </c>
      <c r="B44" s="66">
        <v>118374</v>
      </c>
      <c r="D44">
        <f t="shared" si="0"/>
        <v>0.88668334556785666</v>
      </c>
      <c r="E44">
        <f t="shared" si="0"/>
        <v>0.88668334556785666</v>
      </c>
      <c r="G44">
        <f t="shared" ca="1" si="1"/>
        <v>42</v>
      </c>
      <c r="H44">
        <f t="shared" ca="1" si="2"/>
        <v>37.24070051384998</v>
      </c>
      <c r="I44">
        <f t="shared" ca="1" si="3"/>
        <v>35.627443713216579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120776</v>
      </c>
      <c r="B46" s="66">
        <v>120776</v>
      </c>
      <c r="D46">
        <f t="shared" si="0"/>
        <v>0.90467558538448867</v>
      </c>
      <c r="E46">
        <f t="shared" si="0"/>
        <v>0.90467558538448867</v>
      </c>
      <c r="G46">
        <f t="shared" ca="1" si="1"/>
        <v>44</v>
      </c>
      <c r="H46">
        <f t="shared" ca="1" si="2"/>
        <v>39.805725756917504</v>
      </c>
      <c r="I46">
        <f t="shared" ca="1" si="3"/>
        <v>17.030800976713348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113469</v>
      </c>
      <c r="B49" s="66">
        <v>113469</v>
      </c>
      <c r="D49">
        <f t="shared" si="0"/>
        <v>0.84994232296145378</v>
      </c>
      <c r="E49">
        <f t="shared" si="0"/>
        <v>0.84994232296145378</v>
      </c>
      <c r="G49">
        <f t="shared" ca="1" si="1"/>
        <v>47</v>
      </c>
      <c r="H49">
        <f t="shared" ca="1" si="2"/>
        <v>39.947289179188324</v>
      </c>
      <c r="I49">
        <f t="shared" ca="1" si="3"/>
        <v>1.5234576751378388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114862</v>
      </c>
      <c r="B51" s="66">
        <v>114862</v>
      </c>
      <c r="D51">
        <f t="shared" si="0"/>
        <v>0.8603766235711825</v>
      </c>
      <c r="E51">
        <f t="shared" si="0"/>
        <v>0.8603766235711825</v>
      </c>
      <c r="G51">
        <f t="shared" ca="1" si="1"/>
        <v>49</v>
      </c>
      <c r="H51">
        <f t="shared" ca="1" si="2"/>
        <v>42.158454554987941</v>
      </c>
      <c r="I51">
        <f t="shared" ca="1" si="3"/>
        <v>0.37612741977538594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111271</v>
      </c>
      <c r="B54" s="66">
        <v>111271</v>
      </c>
      <c r="D54">
        <f t="shared" si="0"/>
        <v>0.83347815014007276</v>
      </c>
      <c r="E54">
        <f t="shared" si="0"/>
        <v>0.83347815014007276</v>
      </c>
      <c r="G54">
        <f t="shared" ca="1" si="1"/>
        <v>52</v>
      </c>
      <c r="H54">
        <f t="shared" ca="1" si="2"/>
        <v>43.340863807283782</v>
      </c>
      <c r="I54">
        <f t="shared" ca="1" si="3"/>
        <v>11.17217272958926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111050</v>
      </c>
      <c r="B57" s="66">
        <v>111050</v>
      </c>
      <c r="D57">
        <f t="shared" si="0"/>
        <v>0.83182274422855085</v>
      </c>
      <c r="E57">
        <f t="shared" si="0"/>
        <v>0.83182274422855085</v>
      </c>
      <c r="G57">
        <f t="shared" ca="1" si="1"/>
        <v>55</v>
      </c>
      <c r="H57">
        <f t="shared" ca="1" si="2"/>
        <v>45.750250932570296</v>
      </c>
      <c r="I57">
        <f t="shared" ca="1" si="3"/>
        <v>36.909131179479736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96251</v>
      </c>
      <c r="B59" s="66">
        <v>96251</v>
      </c>
      <c r="D59">
        <f t="shared" si="0"/>
        <v>0.72097047235247413</v>
      </c>
      <c r="E59">
        <f t="shared" si="0"/>
        <v>0.72097047235247413</v>
      </c>
      <c r="G59">
        <f t="shared" ca="1" si="1"/>
        <v>57</v>
      </c>
      <c r="H59">
        <f t="shared" ca="1" si="2"/>
        <v>41.095316924091023</v>
      </c>
      <c r="I59">
        <f t="shared" ca="1" si="3"/>
        <v>54.084415388779469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100021</v>
      </c>
      <c r="B62" s="66">
        <v>100021</v>
      </c>
      <c r="D62">
        <f t="shared" si="0"/>
        <v>0.74920974966667164</v>
      </c>
      <c r="E62">
        <f t="shared" si="0"/>
        <v>0.74920974966667164</v>
      </c>
      <c r="G62">
        <f t="shared" ca="1" si="1"/>
        <v>60</v>
      </c>
      <c r="H62">
        <f t="shared" ca="1" si="2"/>
        <v>44.952584980000296</v>
      </c>
      <c r="I62">
        <f t="shared" ca="1" si="3"/>
        <v>101.87997133143567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91957</v>
      </c>
      <c r="B64" s="66">
        <v>91957</v>
      </c>
      <c r="D64">
        <f t="shared" si="0"/>
        <v>0.68880616020733776</v>
      </c>
      <c r="E64">
        <f t="shared" si="0"/>
        <v>0.68880616020733776</v>
      </c>
      <c r="G64">
        <f t="shared" ca="1" si="1"/>
        <v>62</v>
      </c>
      <c r="H64">
        <f t="shared" ca="1" si="2"/>
        <v>42.705981932854939</v>
      </c>
      <c r="I64">
        <f t="shared" ca="1" si="3"/>
        <v>128.55050510682833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84510</v>
      </c>
      <c r="B67" s="66">
        <v>84510</v>
      </c>
      <c r="D67">
        <f t="shared" ref="D67:E130" si="4">IFERROR( A67/MAX(A$2:A$257), 0 )</f>
        <v>0.63302422435618944</v>
      </c>
      <c r="E67">
        <f t="shared" si="4"/>
        <v>0.63302422435618944</v>
      </c>
      <c r="G67">
        <f t="shared" ref="G67:G130" ca="1" si="5">CELL("row",D67)-2</f>
        <v>65</v>
      </c>
      <c r="H67">
        <f t="shared" ref="H67:H130" ca="1" si="6">D67*G67</f>
        <v>41.146574583152315</v>
      </c>
      <c r="I67">
        <f t="shared" ref="I67:I130" ca="1" si="7">D67*((G67-$L$1)^2)</f>
        <v>175.72442029941791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76483</v>
      </c>
      <c r="B69" s="66">
        <v>76483</v>
      </c>
      <c r="D69">
        <f t="shared" si="4"/>
        <v>0.57289778430285687</v>
      </c>
      <c r="E69">
        <f t="shared" si="4"/>
        <v>0.57289778430285687</v>
      </c>
      <c r="G69">
        <f t="shared" ca="1" si="5"/>
        <v>67</v>
      </c>
      <c r="H69">
        <f t="shared" ca="1" si="6"/>
        <v>38.384151548291413</v>
      </c>
      <c r="I69">
        <f t="shared" ca="1" si="7"/>
        <v>199.50583113382316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69244</v>
      </c>
      <c r="B72" s="66">
        <v>69244</v>
      </c>
      <c r="D72">
        <f t="shared" si="4"/>
        <v>0.51867387754490568</v>
      </c>
      <c r="E72">
        <f t="shared" si="4"/>
        <v>0.51867387754490568</v>
      </c>
      <c r="G72">
        <f t="shared" ca="1" si="5"/>
        <v>70</v>
      </c>
      <c r="H72">
        <f t="shared" ca="1" si="6"/>
        <v>36.307171428143398</v>
      </c>
      <c r="I72">
        <f t="shared" ca="1" si="7"/>
        <v>243.36538763786959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58678</v>
      </c>
      <c r="B75" s="66">
        <v>58678</v>
      </c>
      <c r="D75">
        <f t="shared" si="4"/>
        <v>0.43952899582028732</v>
      </c>
      <c r="E75">
        <f t="shared" si="4"/>
        <v>0.43952899582028732</v>
      </c>
      <c r="G75">
        <f t="shared" ca="1" si="5"/>
        <v>73</v>
      </c>
      <c r="H75">
        <f t="shared" ca="1" si="6"/>
        <v>32.085616694880976</v>
      </c>
      <c r="I75">
        <f t="shared" ca="1" si="7"/>
        <v>267.31013427966502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55427</v>
      </c>
      <c r="B77" s="66">
        <v>55427</v>
      </c>
      <c r="D77">
        <f t="shared" si="4"/>
        <v>0.41517730071459602</v>
      </c>
      <c r="E77">
        <f t="shared" si="4"/>
        <v>0.41517730071459602</v>
      </c>
      <c r="G77">
        <f t="shared" ca="1" si="5"/>
        <v>75</v>
      </c>
      <c r="H77">
        <f t="shared" ca="1" si="6"/>
        <v>31.1382975535947</v>
      </c>
      <c r="I77">
        <f t="shared" ca="1" si="7"/>
        <v>295.11583157838294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51278</v>
      </c>
      <c r="B80" s="66">
        <v>51278</v>
      </c>
      <c r="D80">
        <f t="shared" si="4"/>
        <v>0.38409911462000568</v>
      </c>
      <c r="E80">
        <f t="shared" si="4"/>
        <v>0.38409911462000568</v>
      </c>
      <c r="G80">
        <f t="shared" ca="1" si="5"/>
        <v>78</v>
      </c>
      <c r="H80">
        <f t="shared" ca="1" si="6"/>
        <v>29.959730940360444</v>
      </c>
      <c r="I80">
        <f t="shared" ca="1" si="7"/>
        <v>337.92499063177502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43684</v>
      </c>
      <c r="B82" s="66">
        <v>43684</v>
      </c>
      <c r="D82">
        <f t="shared" si="4"/>
        <v>0.3272160716693383</v>
      </c>
      <c r="E82">
        <f t="shared" si="4"/>
        <v>0.3272160716693383</v>
      </c>
      <c r="G82">
        <f t="shared" ca="1" si="5"/>
        <v>80</v>
      </c>
      <c r="H82">
        <f t="shared" ca="1" si="6"/>
        <v>26.177285733547066</v>
      </c>
      <c r="I82">
        <f t="shared" ca="1" si="7"/>
        <v>328.01142113706891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36519</v>
      </c>
      <c r="B85" s="66">
        <v>36519</v>
      </c>
      <c r="D85">
        <f t="shared" si="4"/>
        <v>0.27354646372338992</v>
      </c>
      <c r="E85">
        <f t="shared" si="4"/>
        <v>0.27354646372338992</v>
      </c>
      <c r="G85">
        <f t="shared" ca="1" si="5"/>
        <v>83</v>
      </c>
      <c r="H85">
        <f t="shared" ca="1" si="6"/>
        <v>22.704356489041363</v>
      </c>
      <c r="I85">
        <f t="shared" ca="1" si="7"/>
        <v>328.63811072332641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31561</v>
      </c>
      <c r="B88" s="66">
        <v>31561</v>
      </c>
      <c r="D88">
        <f t="shared" si="4"/>
        <v>0.23640844331920122</v>
      </c>
      <c r="E88">
        <f t="shared" si="4"/>
        <v>0.23640844331920122</v>
      </c>
      <c r="G88">
        <f t="shared" ca="1" si="5"/>
        <v>86</v>
      </c>
      <c r="H88">
        <f t="shared" ca="1" si="6"/>
        <v>20.331126125451306</v>
      </c>
      <c r="I88">
        <f t="shared" ca="1" si="7"/>
        <v>335.31343310114056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28971</v>
      </c>
      <c r="B90" s="66">
        <v>28971</v>
      </c>
      <c r="D90">
        <f t="shared" si="4"/>
        <v>0.21700798489910264</v>
      </c>
      <c r="E90">
        <f t="shared" si="4"/>
        <v>0.21700798489910264</v>
      </c>
      <c r="G90">
        <f t="shared" ca="1" si="5"/>
        <v>88</v>
      </c>
      <c r="H90">
        <f t="shared" ca="1" si="6"/>
        <v>19.096702671121033</v>
      </c>
      <c r="I90">
        <f t="shared" ca="1" si="7"/>
        <v>341.3556479138993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28185</v>
      </c>
      <c r="B93" s="66">
        <v>28185</v>
      </c>
      <c r="D93">
        <f t="shared" si="4"/>
        <v>0.21112043265269434</v>
      </c>
      <c r="E93">
        <f t="shared" si="4"/>
        <v>0.21112043265269434</v>
      </c>
      <c r="G93">
        <f t="shared" ca="1" si="5"/>
        <v>91</v>
      </c>
      <c r="H93">
        <f t="shared" ca="1" si="6"/>
        <v>19.211959371395185</v>
      </c>
      <c r="I93">
        <f t="shared" ca="1" si="7"/>
        <v>384.23427509817526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22681</v>
      </c>
      <c r="B95" s="66">
        <v>22681</v>
      </c>
      <c r="D95">
        <f t="shared" si="4"/>
        <v>0.16989258587886324</v>
      </c>
      <c r="E95">
        <f t="shared" si="4"/>
        <v>0.16989258587886324</v>
      </c>
      <c r="G95">
        <f t="shared" ca="1" si="5"/>
        <v>93</v>
      </c>
      <c r="H95">
        <f t="shared" ca="1" si="6"/>
        <v>15.800010486734282</v>
      </c>
      <c r="I95">
        <f t="shared" ca="1" si="7"/>
        <v>338.87139995508892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19157</v>
      </c>
      <c r="B98" s="66">
        <v>19157</v>
      </c>
      <c r="D98">
        <f t="shared" si="4"/>
        <v>0.14349597758835073</v>
      </c>
      <c r="E98">
        <f t="shared" si="4"/>
        <v>0.14349597758835073</v>
      </c>
      <c r="G98">
        <f t="shared" ca="1" si="5"/>
        <v>96</v>
      </c>
      <c r="H98">
        <f t="shared" ca="1" si="6"/>
        <v>13.775613848481669</v>
      </c>
      <c r="I98">
        <f t="shared" ca="1" si="7"/>
        <v>325.96382471211763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14858</v>
      </c>
      <c r="B100" s="66">
        <v>14858</v>
      </c>
      <c r="D100">
        <f t="shared" si="4"/>
        <v>0.11129421282078171</v>
      </c>
      <c r="E100">
        <f t="shared" si="4"/>
        <v>0.11129421282078171</v>
      </c>
      <c r="G100">
        <f t="shared" ca="1" si="5"/>
        <v>98</v>
      </c>
      <c r="H100">
        <f t="shared" ca="1" si="6"/>
        <v>10.906832856436608</v>
      </c>
      <c r="I100">
        <f t="shared" ca="1" si="7"/>
        <v>274.47749669897837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14405</v>
      </c>
      <c r="B103" s="66">
        <v>14405</v>
      </c>
      <c r="D103">
        <f t="shared" si="4"/>
        <v>0.1079010052283861</v>
      </c>
      <c r="E103">
        <f t="shared" si="4"/>
        <v>0.1079010052283861</v>
      </c>
      <c r="G103">
        <f t="shared" ca="1" si="5"/>
        <v>101</v>
      </c>
      <c r="H103">
        <f t="shared" ca="1" si="6"/>
        <v>10.898001528066995</v>
      </c>
      <c r="I103">
        <f t="shared" ca="1" si="7"/>
        <v>299.23111499314325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14057</v>
      </c>
      <c r="B106" s="66">
        <v>14057</v>
      </c>
      <c r="D106">
        <f t="shared" si="4"/>
        <v>0.10529430270707554</v>
      </c>
      <c r="E106">
        <f t="shared" si="4"/>
        <v>0.10529430270707554</v>
      </c>
      <c r="G106">
        <f t="shared" ca="1" si="5"/>
        <v>104</v>
      </c>
      <c r="H106">
        <f t="shared" ca="1" si="6"/>
        <v>10.950607481535856</v>
      </c>
      <c r="I106">
        <f t="shared" ca="1" si="7"/>
        <v>326.2193918648573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12456</v>
      </c>
      <c r="B108" s="66">
        <v>12456</v>
      </c>
      <c r="D108">
        <f t="shared" si="4"/>
        <v>9.3301973004149746E-2</v>
      </c>
      <c r="E108">
        <f t="shared" si="4"/>
        <v>9.3301973004149746E-2</v>
      </c>
      <c r="G108">
        <f t="shared" ca="1" si="5"/>
        <v>106</v>
      </c>
      <c r="H108">
        <f t="shared" ca="1" si="6"/>
        <v>9.8900091384398738</v>
      </c>
      <c r="I108">
        <f t="shared" ca="1" si="7"/>
        <v>310.21154665720542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12756</v>
      </c>
      <c r="B111" s="66">
        <v>12756</v>
      </c>
      <c r="D111">
        <f t="shared" si="4"/>
        <v>9.554913035010712E-2</v>
      </c>
      <c r="E111">
        <f t="shared" si="4"/>
        <v>9.554913035010712E-2</v>
      </c>
      <c r="G111">
        <f t="shared" ca="1" si="5"/>
        <v>109</v>
      </c>
      <c r="H111">
        <f t="shared" ca="1" si="6"/>
        <v>10.414855208161676</v>
      </c>
      <c r="I111">
        <f t="shared" ca="1" si="7"/>
        <v>351.59972186318237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11212</v>
      </c>
      <c r="B113" s="66">
        <v>11212</v>
      </c>
      <c r="D113">
        <f t="shared" si="4"/>
        <v>8.3983760542913219E-2</v>
      </c>
      <c r="E113">
        <f t="shared" si="4"/>
        <v>8.3983760542913219E-2</v>
      </c>
      <c r="G113">
        <f t="shared" ca="1" si="5"/>
        <v>111</v>
      </c>
      <c r="H113">
        <f t="shared" ca="1" si="6"/>
        <v>9.3221974202633682</v>
      </c>
      <c r="I113">
        <f t="shared" ca="1" si="7"/>
        <v>329.75586514304723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10349</v>
      </c>
      <c r="B116" s="66">
        <v>10349</v>
      </c>
      <c r="D116">
        <f t="shared" si="4"/>
        <v>7.751943791104253E-2</v>
      </c>
      <c r="E116">
        <f t="shared" si="4"/>
        <v>7.751943791104253E-2</v>
      </c>
      <c r="G116">
        <f t="shared" ca="1" si="5"/>
        <v>114</v>
      </c>
      <c r="H116">
        <f t="shared" ca="1" si="6"/>
        <v>8.8372159218588475</v>
      </c>
      <c r="I116">
        <f t="shared" ca="1" si="7"/>
        <v>334.21662680917979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7149</v>
      </c>
      <c r="B118" s="66">
        <v>7149</v>
      </c>
      <c r="D118">
        <f t="shared" si="4"/>
        <v>5.3549759554163981E-2</v>
      </c>
      <c r="E118">
        <f t="shared" si="4"/>
        <v>5.3549759554163981E-2</v>
      </c>
      <c r="G118">
        <f t="shared" ca="1" si="5"/>
        <v>116</v>
      </c>
      <c r="H118">
        <f t="shared" ca="1" si="6"/>
        <v>6.2117721082830215</v>
      </c>
      <c r="I118">
        <f t="shared" ca="1" si="7"/>
        <v>245.15272690297894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5486</v>
      </c>
      <c r="B121" s="66">
        <v>5486</v>
      </c>
      <c r="D121">
        <f t="shared" si="4"/>
        <v>4.1093017333073661E-2</v>
      </c>
      <c r="E121">
        <f t="shared" si="4"/>
        <v>4.1093017333073661E-2</v>
      </c>
      <c r="G121">
        <f t="shared" ca="1" si="5"/>
        <v>119</v>
      </c>
      <c r="H121">
        <f t="shared" ca="1" si="6"/>
        <v>4.8900690626357655</v>
      </c>
      <c r="I121">
        <f t="shared" ca="1" si="7"/>
        <v>205.17756332216902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4897</v>
      </c>
      <c r="B124" s="66">
        <v>4897</v>
      </c>
      <c r="D124">
        <f t="shared" si="4"/>
        <v>3.6681098410510704E-2</v>
      </c>
      <c r="E124">
        <f t="shared" si="4"/>
        <v>3.6681098410510704E-2</v>
      </c>
      <c r="G124">
        <f t="shared" ca="1" si="5"/>
        <v>122</v>
      </c>
      <c r="H124">
        <f t="shared" ca="1" si="6"/>
        <v>4.4750940060823057</v>
      </c>
      <c r="I124">
        <f t="shared" ca="1" si="7"/>
        <v>199.03054766177726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4710</v>
      </c>
      <c r="B126" s="66">
        <v>4710</v>
      </c>
      <c r="D126">
        <f t="shared" si="4"/>
        <v>3.5280370331530614E-2</v>
      </c>
      <c r="E126">
        <f t="shared" si="4"/>
        <v>3.5280370331530614E-2</v>
      </c>
      <c r="G126">
        <f t="shared" ca="1" si="5"/>
        <v>124</v>
      </c>
      <c r="H126">
        <f t="shared" ca="1" si="6"/>
        <v>4.3747659211097965</v>
      </c>
      <c r="I126">
        <f t="shared" ca="1" si="7"/>
        <v>201.96653588560724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3092</v>
      </c>
      <c r="B129" s="66">
        <v>3092</v>
      </c>
      <c r="D129">
        <f t="shared" si="4"/>
        <v>2.3160701712333899E-2</v>
      </c>
      <c r="E129">
        <f t="shared" si="4"/>
        <v>2.3160701712333899E-2</v>
      </c>
      <c r="G129">
        <f t="shared" ca="1" si="5"/>
        <v>127</v>
      </c>
      <c r="H129">
        <f t="shared" ca="1" si="6"/>
        <v>2.9414091174664052</v>
      </c>
      <c r="I129">
        <f t="shared" ca="1" si="7"/>
        <v>143.30874274699767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2068</v>
      </c>
      <c r="B131" s="66">
        <v>2068</v>
      </c>
      <c r="D131">
        <f t="shared" ref="D131:E194" si="8">IFERROR( A131/MAX(A$2:A$257), 0 )</f>
        <v>1.5490404638132761E-2</v>
      </c>
      <c r="E131">
        <f t="shared" si="8"/>
        <v>1.5490404638132761E-2</v>
      </c>
      <c r="G131">
        <f t="shared" ref="G131:G194" ca="1" si="9">CELL("row",D131)-2</f>
        <v>129</v>
      </c>
      <c r="H131">
        <f t="shared" ref="H131:H194" ca="1" si="10">D131*G131</f>
        <v>1.9982621983191262</v>
      </c>
      <c r="I131">
        <f t="shared" ref="I131:I194" ca="1" si="11">D131*((G131-$L$1)^2)</f>
        <v>100.78408604259079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1143</v>
      </c>
      <c r="B134" s="66">
        <v>1143</v>
      </c>
      <c r="D134">
        <f t="shared" si="8"/>
        <v>8.5616694880975563E-3</v>
      </c>
      <c r="E134">
        <f t="shared" si="8"/>
        <v>8.5616694880975563E-3</v>
      </c>
      <c r="G134">
        <f t="shared" ca="1" si="9"/>
        <v>132</v>
      </c>
      <c r="H134">
        <f t="shared" ca="1" si="10"/>
        <v>1.1301403724288774</v>
      </c>
      <c r="I134">
        <f t="shared" ca="1" si="11"/>
        <v>59.92478509085408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1436</v>
      </c>
      <c r="B136" s="66">
        <v>1436</v>
      </c>
      <c r="D136">
        <f t="shared" si="8"/>
        <v>1.0756393162649249E-2</v>
      </c>
      <c r="E136">
        <f t="shared" si="8"/>
        <v>1.0756393162649249E-2</v>
      </c>
      <c r="G136">
        <f t="shared" ca="1" si="9"/>
        <v>134</v>
      </c>
      <c r="H136">
        <f t="shared" ca="1" si="10"/>
        <v>1.4413566837949994</v>
      </c>
      <c r="I136">
        <f t="shared" ca="1" si="11"/>
        <v>78.928677685707569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1067</v>
      </c>
      <c r="B139" s="66">
        <v>1067</v>
      </c>
      <c r="D139">
        <f t="shared" si="8"/>
        <v>7.9923896271216904E-3</v>
      </c>
      <c r="E139">
        <f t="shared" si="8"/>
        <v>7.9923896271216904E-3</v>
      </c>
      <c r="G139">
        <f t="shared" ca="1" si="9"/>
        <v>137</v>
      </c>
      <c r="H139">
        <f t="shared" ca="1" si="10"/>
        <v>1.0949573789156717</v>
      </c>
      <c r="I139">
        <f t="shared" ca="1" si="11"/>
        <v>62.826622582192293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969</v>
      </c>
      <c r="B142" s="66">
        <v>969</v>
      </c>
      <c r="D142">
        <f t="shared" si="8"/>
        <v>7.2583182274422852E-3</v>
      </c>
      <c r="E142">
        <f t="shared" si="8"/>
        <v>7.2583182274422852E-3</v>
      </c>
      <c r="G142">
        <f t="shared" ca="1" si="9"/>
        <v>140</v>
      </c>
      <c r="H142">
        <f t="shared" ca="1" si="10"/>
        <v>1.01616455184192</v>
      </c>
      <c r="I142">
        <f t="shared" ca="1" si="11"/>
        <v>60.982741328654917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903</v>
      </c>
      <c r="B144" s="66">
        <v>903</v>
      </c>
      <c r="D144">
        <f t="shared" si="8"/>
        <v>6.7639436113316655E-3</v>
      </c>
      <c r="E144">
        <f t="shared" si="8"/>
        <v>6.7639436113316655E-3</v>
      </c>
      <c r="G144">
        <f t="shared" ca="1" si="9"/>
        <v>142</v>
      </c>
      <c r="H144">
        <f t="shared" ca="1" si="10"/>
        <v>0.96047999280909646</v>
      </c>
      <c r="I144">
        <f t="shared" ca="1" si="11"/>
        <v>59.336138209861154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664</v>
      </c>
      <c r="B147" s="66">
        <v>664</v>
      </c>
      <c r="D147">
        <f t="shared" si="8"/>
        <v>4.973708259052299E-3</v>
      </c>
      <c r="E147">
        <f t="shared" si="8"/>
        <v>4.973708259052299E-3</v>
      </c>
      <c r="G147">
        <f t="shared" ca="1" si="9"/>
        <v>145</v>
      </c>
      <c r="H147">
        <f t="shared" ca="1" si="10"/>
        <v>0.72118769756258339</v>
      </c>
      <c r="I147">
        <f t="shared" ca="1" si="11"/>
        <v>46.471269876850357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463</v>
      </c>
      <c r="B149" s="66">
        <v>463</v>
      </c>
      <c r="D149">
        <f t="shared" si="8"/>
        <v>3.468112837260865E-3</v>
      </c>
      <c r="E149">
        <f t="shared" si="8"/>
        <v>3.468112837260865E-3</v>
      </c>
      <c r="G149">
        <f t="shared" ca="1" si="9"/>
        <v>147</v>
      </c>
      <c r="H149">
        <f t="shared" ca="1" si="10"/>
        <v>0.50981258707734711</v>
      </c>
      <c r="I149">
        <f t="shared" ca="1" si="11"/>
        <v>33.758712621701612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42</v>
      </c>
      <c r="B152" s="66">
        <v>42</v>
      </c>
      <c r="D152">
        <f t="shared" si="8"/>
        <v>3.1460202843403094E-4</v>
      </c>
      <c r="E152">
        <f t="shared" si="8"/>
        <v>3.1460202843403094E-4</v>
      </c>
      <c r="G152">
        <f t="shared" ca="1" si="9"/>
        <v>150</v>
      </c>
      <c r="H152">
        <f t="shared" ca="1" si="10"/>
        <v>4.7190304265104642E-2</v>
      </c>
      <c r="I152">
        <f t="shared" ca="1" si="11"/>
        <v>3.2514108938213044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0</v>
      </c>
      <c r="B154" s="66">
        <v>0</v>
      </c>
      <c r="D154">
        <f t="shared" si="8"/>
        <v>0</v>
      </c>
      <c r="E154">
        <f t="shared" si="8"/>
        <v>0</v>
      </c>
      <c r="G154">
        <f t="shared" ca="1" si="9"/>
        <v>152</v>
      </c>
      <c r="H154">
        <f t="shared" ca="1" si="10"/>
        <v>0</v>
      </c>
      <c r="I154">
        <f t="shared" ca="1" si="11"/>
        <v>0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41.110832643057584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0.7933133192288091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0.40403525882044872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9944</v>
      </c>
      <c r="B8" s="66">
        <v>9944</v>
      </c>
      <c r="D8">
        <f t="shared" si="0"/>
        <v>13.240130483989082</v>
      </c>
      <c r="E8">
        <f t="shared" si="1"/>
        <v>13.240130483989082</v>
      </c>
      <c r="G8">
        <f t="shared" ca="1" si="2"/>
        <v>6</v>
      </c>
      <c r="H8">
        <f t="shared" ca="1" si="3"/>
        <v>79.44078290393449</v>
      </c>
      <c r="I8">
        <f t="shared" ca="1" si="4"/>
        <v>16322.043188909136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18826</v>
      </c>
      <c r="B10" s="66">
        <v>18826</v>
      </c>
      <c r="D10">
        <f t="shared" si="0"/>
        <v>25.066240596498236</v>
      </c>
      <c r="E10">
        <f t="shared" si="1"/>
        <v>25.066240596498236</v>
      </c>
      <c r="G10">
        <f t="shared" ca="1" si="2"/>
        <v>8</v>
      </c>
      <c r="H10">
        <f t="shared" ca="1" si="3"/>
        <v>200.52992477198589</v>
      </c>
      <c r="I10">
        <f t="shared" ca="1" si="4"/>
        <v>27480.802328137546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23708</v>
      </c>
      <c r="B13" s="66">
        <v>23708</v>
      </c>
      <c r="D13">
        <f t="shared" si="0"/>
        <v>31.566473603621596</v>
      </c>
      <c r="E13">
        <f t="shared" si="1"/>
        <v>31.566473603621596</v>
      </c>
      <c r="G13">
        <f t="shared" ca="1" si="2"/>
        <v>11</v>
      </c>
      <c r="H13">
        <f t="shared" ca="1" si="3"/>
        <v>347.23120963983757</v>
      </c>
      <c r="I13">
        <f t="shared" ca="1" si="4"/>
        <v>28620.129743957834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44633</v>
      </c>
      <c r="B15" s="66">
        <v>44633</v>
      </c>
      <c r="D15">
        <f t="shared" si="0"/>
        <v>59.427468211171025</v>
      </c>
      <c r="E15">
        <f t="shared" si="1"/>
        <v>59.427468211171025</v>
      </c>
      <c r="G15">
        <f t="shared" ca="1" si="2"/>
        <v>13</v>
      </c>
      <c r="H15">
        <f t="shared" ca="1" si="3"/>
        <v>772.55708674522327</v>
      </c>
      <c r="I15">
        <f t="shared" ca="1" si="4"/>
        <v>46960.709265970938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43618</v>
      </c>
      <c r="B18" s="66">
        <v>43618</v>
      </c>
      <c r="D18">
        <f t="shared" si="0"/>
        <v>58.076026895679384</v>
      </c>
      <c r="E18">
        <f t="shared" si="1"/>
        <v>58.076026895679384</v>
      </c>
      <c r="G18">
        <f t="shared" ca="1" si="2"/>
        <v>16</v>
      </c>
      <c r="H18">
        <f t="shared" ca="1" si="3"/>
        <v>929.21643033087014</v>
      </c>
      <c r="I18">
        <f t="shared" ca="1" si="4"/>
        <v>36620.066186397547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53538</v>
      </c>
      <c r="B21" s="66">
        <v>53538</v>
      </c>
      <c r="D21">
        <f t="shared" si="0"/>
        <v>71.284202117036145</v>
      </c>
      <c r="E21">
        <f t="shared" si="1"/>
        <v>71.284202117036145</v>
      </c>
      <c r="G21">
        <f t="shared" ca="1" si="2"/>
        <v>19</v>
      </c>
      <c r="H21">
        <f t="shared" ca="1" si="3"/>
        <v>1354.3998402236869</v>
      </c>
      <c r="I21">
        <f t="shared" ca="1" si="4"/>
        <v>34850.056598127987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54024</v>
      </c>
      <c r="B23" s="66">
        <v>54024</v>
      </c>
      <c r="D23">
        <f t="shared" si="0"/>
        <v>71.931296185340528</v>
      </c>
      <c r="E23">
        <f t="shared" si="1"/>
        <v>71.931296185340528</v>
      </c>
      <c r="G23">
        <f t="shared" ca="1" si="2"/>
        <v>21</v>
      </c>
      <c r="H23">
        <f t="shared" ca="1" si="3"/>
        <v>1510.5572198921511</v>
      </c>
      <c r="I23">
        <f t="shared" ca="1" si="4"/>
        <v>29092.295496161561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59318</v>
      </c>
      <c r="B26" s="66">
        <v>59318</v>
      </c>
      <c r="D26">
        <f t="shared" si="0"/>
        <v>78.980094534318624</v>
      </c>
      <c r="E26">
        <f t="shared" si="1"/>
        <v>78.980094534318624</v>
      </c>
      <c r="G26">
        <f t="shared" ca="1" si="2"/>
        <v>24</v>
      </c>
      <c r="H26">
        <f t="shared" ca="1" si="3"/>
        <v>1895.522268823647</v>
      </c>
      <c r="I26">
        <f t="shared" ca="1" si="4"/>
        <v>23123.838971298435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63546</v>
      </c>
      <c r="B28" s="66">
        <v>63546</v>
      </c>
      <c r="D28">
        <f t="shared" si="0"/>
        <v>84.609546634711407</v>
      </c>
      <c r="E28">
        <f t="shared" si="1"/>
        <v>84.609546634711407</v>
      </c>
      <c r="G28">
        <f t="shared" ca="1" si="2"/>
        <v>26</v>
      </c>
      <c r="H28">
        <f t="shared" ca="1" si="3"/>
        <v>2199.8482125024966</v>
      </c>
      <c r="I28">
        <f t="shared" ca="1" si="4"/>
        <v>19319.512316327902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73399</v>
      </c>
      <c r="B31" s="66">
        <v>73399</v>
      </c>
      <c r="D31">
        <f t="shared" si="0"/>
        <v>97.728513414552964</v>
      </c>
      <c r="E31">
        <f t="shared" si="1"/>
        <v>97.728513414552964</v>
      </c>
      <c r="G31">
        <f t="shared" ca="1" si="2"/>
        <v>29</v>
      </c>
      <c r="H31">
        <f t="shared" ca="1" si="3"/>
        <v>2834.1268890220358</v>
      </c>
      <c r="I31">
        <f t="shared" ca="1" si="4"/>
        <v>14334.062643167352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73541</v>
      </c>
      <c r="B33" s="66">
        <v>73541</v>
      </c>
      <c r="D33">
        <f t="shared" si="0"/>
        <v>97.917582051794156</v>
      </c>
      <c r="E33">
        <f t="shared" si="1"/>
        <v>97.917582051794156</v>
      </c>
      <c r="G33">
        <f t="shared" ca="1" si="2"/>
        <v>31</v>
      </c>
      <c r="H33">
        <f t="shared" ca="1" si="3"/>
        <v>3035.445043605619</v>
      </c>
      <c r="I33">
        <f t="shared" ca="1" si="4"/>
        <v>10010.010300907004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75105</v>
      </c>
      <c r="B36" s="66">
        <v>75105</v>
      </c>
      <c r="D36">
        <f t="shared" si="0"/>
        <v>100</v>
      </c>
      <c r="E36">
        <f t="shared" si="1"/>
        <v>100</v>
      </c>
      <c r="G36">
        <f t="shared" ca="1" si="2"/>
        <v>34</v>
      </c>
      <c r="H36">
        <f t="shared" ca="1" si="3"/>
        <v>3400</v>
      </c>
      <c r="I36">
        <f t="shared" ca="1" si="4"/>
        <v>5056.3940877573305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65517</v>
      </c>
      <c r="B39" s="66">
        <v>65517</v>
      </c>
      <c r="D39">
        <f t="shared" si="0"/>
        <v>87.233872578390248</v>
      </c>
      <c r="E39">
        <f t="shared" si="1"/>
        <v>87.233872578390248</v>
      </c>
      <c r="G39">
        <f t="shared" ca="1" si="2"/>
        <v>37</v>
      </c>
      <c r="H39">
        <f t="shared" ca="1" si="3"/>
        <v>3227.653285400439</v>
      </c>
      <c r="I39">
        <f t="shared" ca="1" si="4"/>
        <v>1474.1604165165411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66777</v>
      </c>
      <c r="B41" s="66">
        <v>66777</v>
      </c>
      <c r="D41">
        <f t="shared" si="0"/>
        <v>88.911523866586776</v>
      </c>
      <c r="E41">
        <f t="shared" si="1"/>
        <v>88.911523866586776</v>
      </c>
      <c r="G41">
        <f t="shared" ca="1" si="2"/>
        <v>39</v>
      </c>
      <c r="H41">
        <f t="shared" ca="1" si="3"/>
        <v>3467.5494307968843</v>
      </c>
      <c r="I41">
        <f t="shared" ca="1" si="4"/>
        <v>396.15547024452417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63209</v>
      </c>
      <c r="B44" s="66">
        <v>63209</v>
      </c>
      <c r="D44">
        <f t="shared" si="0"/>
        <v>84.160841488582648</v>
      </c>
      <c r="E44">
        <f t="shared" si="1"/>
        <v>84.160841488582648</v>
      </c>
      <c r="G44">
        <f t="shared" ca="1" si="2"/>
        <v>42</v>
      </c>
      <c r="H44">
        <f t="shared" ca="1" si="3"/>
        <v>3534.755342520471</v>
      </c>
      <c r="I44">
        <f t="shared" ca="1" si="4"/>
        <v>66.539125717464643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59251</v>
      </c>
      <c r="B46" s="66">
        <v>59251</v>
      </c>
      <c r="D46">
        <f t="shared" si="0"/>
        <v>78.890886092803413</v>
      </c>
      <c r="E46">
        <f t="shared" si="1"/>
        <v>78.890886092803413</v>
      </c>
      <c r="G46">
        <f t="shared" ca="1" si="2"/>
        <v>44</v>
      </c>
      <c r="H46">
        <f t="shared" ca="1" si="3"/>
        <v>3471.1989880833503</v>
      </c>
      <c r="I46">
        <f t="shared" ca="1" si="4"/>
        <v>658.52494808734127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52465</v>
      </c>
      <c r="B49" s="66">
        <v>52465</v>
      </c>
      <c r="D49">
        <f t="shared" si="0"/>
        <v>69.855535583516414</v>
      </c>
      <c r="E49">
        <f t="shared" si="1"/>
        <v>69.855535583516414</v>
      </c>
      <c r="G49">
        <f t="shared" ca="1" si="2"/>
        <v>47</v>
      </c>
      <c r="H49">
        <f t="shared" ca="1" si="3"/>
        <v>3283.2101724252716</v>
      </c>
      <c r="I49">
        <f t="shared" ca="1" si="4"/>
        <v>2422.7500939663983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49815</v>
      </c>
      <c r="B51" s="66">
        <v>49815</v>
      </c>
      <c r="D51">
        <f t="shared" si="0"/>
        <v>66.327142001198325</v>
      </c>
      <c r="E51">
        <f t="shared" si="1"/>
        <v>66.327142001198325</v>
      </c>
      <c r="G51">
        <f t="shared" ca="1" si="2"/>
        <v>49</v>
      </c>
      <c r="H51">
        <f t="shared" ca="1" si="3"/>
        <v>3250.029958058718</v>
      </c>
      <c r="I51">
        <f t="shared" ca="1" si="4"/>
        <v>4128.1324431115208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44984</v>
      </c>
      <c r="B54" s="66">
        <v>44984</v>
      </c>
      <c r="D54">
        <f t="shared" si="0"/>
        <v>59.894813927168627</v>
      </c>
      <c r="E54">
        <f t="shared" si="1"/>
        <v>59.894813927168627</v>
      </c>
      <c r="G54">
        <f t="shared" ca="1" si="2"/>
        <v>52</v>
      </c>
      <c r="H54">
        <f t="shared" ca="1" si="3"/>
        <v>3114.5303242127684</v>
      </c>
      <c r="I54">
        <f t="shared" ca="1" si="4"/>
        <v>7101.965613855099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42855</v>
      </c>
      <c r="B57" s="66">
        <v>42855</v>
      </c>
      <c r="D57">
        <f t="shared" si="0"/>
        <v>57.060115837827041</v>
      </c>
      <c r="E57">
        <f t="shared" si="1"/>
        <v>57.060115837827041</v>
      </c>
      <c r="G57">
        <f t="shared" ca="1" si="2"/>
        <v>55</v>
      </c>
      <c r="H57">
        <f t="shared" ca="1" si="3"/>
        <v>3138.3063710804872</v>
      </c>
      <c r="I57">
        <f t="shared" ca="1" si="4"/>
        <v>11007.408166889856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33864</v>
      </c>
      <c r="B59" s="66">
        <v>33864</v>
      </c>
      <c r="D59">
        <f t="shared" si="0"/>
        <v>45.088875574196123</v>
      </c>
      <c r="E59">
        <f t="shared" si="1"/>
        <v>45.088875574196123</v>
      </c>
      <c r="G59">
        <f t="shared" ca="1" si="2"/>
        <v>57</v>
      </c>
      <c r="H59">
        <f t="shared" ca="1" si="3"/>
        <v>2570.0659077291789</v>
      </c>
      <c r="I59">
        <f t="shared" ca="1" si="4"/>
        <v>11383.391797018905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37632</v>
      </c>
      <c r="B62" s="66">
        <v>37632</v>
      </c>
      <c r="D62">
        <f t="shared" si="0"/>
        <v>50.105851807469541</v>
      </c>
      <c r="E62">
        <f t="shared" si="1"/>
        <v>50.105851807469541</v>
      </c>
      <c r="G62">
        <f t="shared" ca="1" si="2"/>
        <v>60</v>
      </c>
      <c r="H62">
        <f t="shared" ca="1" si="3"/>
        <v>3006.3511084481725</v>
      </c>
      <c r="I62">
        <f t="shared" ca="1" si="4"/>
        <v>17877.800164943215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29121</v>
      </c>
      <c r="B64" s="66">
        <v>29121</v>
      </c>
      <c r="D64">
        <f t="shared" si="0"/>
        <v>38.773716796484919</v>
      </c>
      <c r="E64">
        <f t="shared" si="1"/>
        <v>38.773716796484919</v>
      </c>
      <c r="G64">
        <f t="shared" ca="1" si="2"/>
        <v>62</v>
      </c>
      <c r="H64">
        <f t="shared" ca="1" si="3"/>
        <v>2403.970441382065</v>
      </c>
      <c r="I64">
        <f t="shared" ca="1" si="4"/>
        <v>16919.194871154967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24040</v>
      </c>
      <c r="B67" s="66">
        <v>24040</v>
      </c>
      <c r="D67">
        <f t="shared" ref="D67:D130" si="5">IFERROR( 100*A67/MAX(A$2:A$257), 0 )</f>
        <v>32.008521403368619</v>
      </c>
      <c r="E67">
        <f t="shared" ref="E67:E130" si="6">IFERROR( 100*B67/MAX(B$2:B$257), 0 )</f>
        <v>32.008521403368619</v>
      </c>
      <c r="G67">
        <f t="shared" ref="G67:G130" ca="1" si="7">CELL("row",D67)-2</f>
        <v>65</v>
      </c>
      <c r="H67">
        <f t="shared" ref="H67:H130" ca="1" si="8">D67*G67</f>
        <v>2080.5538912189604</v>
      </c>
      <c r="I67">
        <f t="shared" ref="I67:I130" ca="1" si="9">D67*((G67-$L$1)^2)</f>
        <v>18267.017243688697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21394</v>
      </c>
      <c r="B69" s="66">
        <v>21394</v>
      </c>
      <c r="D69">
        <f t="shared" si="5"/>
        <v>28.485453698155915</v>
      </c>
      <c r="E69">
        <f t="shared" si="6"/>
        <v>28.485453698155915</v>
      </c>
      <c r="G69">
        <f t="shared" ca="1" si="7"/>
        <v>67</v>
      </c>
      <c r="H69">
        <f t="shared" ca="1" si="8"/>
        <v>1908.5253977764462</v>
      </c>
      <c r="I69">
        <f t="shared" ca="1" si="9"/>
        <v>19092.346469352135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15211</v>
      </c>
      <c r="B72" s="66">
        <v>15211</v>
      </c>
      <c r="D72">
        <f t="shared" si="5"/>
        <v>20.252979162505824</v>
      </c>
      <c r="E72">
        <f t="shared" si="6"/>
        <v>20.252979162505824</v>
      </c>
      <c r="G72">
        <f t="shared" ca="1" si="7"/>
        <v>70</v>
      </c>
      <c r="H72">
        <f t="shared" ca="1" si="8"/>
        <v>1417.7085413754075</v>
      </c>
      <c r="I72">
        <f t="shared" ca="1" si="9"/>
        <v>16902.812170525591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14930</v>
      </c>
      <c r="B75" s="66">
        <v>14930</v>
      </c>
      <c r="D75">
        <f t="shared" si="5"/>
        <v>19.878836295852473</v>
      </c>
      <c r="E75">
        <f t="shared" si="6"/>
        <v>19.878836295852473</v>
      </c>
      <c r="G75">
        <f t="shared" ca="1" si="7"/>
        <v>73</v>
      </c>
      <c r="H75">
        <f t="shared" ca="1" si="8"/>
        <v>1451.1550495972306</v>
      </c>
      <c r="I75">
        <f t="shared" ca="1" si="9"/>
        <v>20215.166222163491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13093</v>
      </c>
      <c r="B77" s="66">
        <v>13093</v>
      </c>
      <c r="D77">
        <f t="shared" si="5"/>
        <v>17.432927235204048</v>
      </c>
      <c r="E77">
        <f t="shared" si="6"/>
        <v>17.432927235204048</v>
      </c>
      <c r="G77">
        <f t="shared" ca="1" si="7"/>
        <v>75</v>
      </c>
      <c r="H77">
        <f t="shared" ca="1" si="8"/>
        <v>1307.4695426403036</v>
      </c>
      <c r="I77">
        <f t="shared" ca="1" si="9"/>
        <v>20021.292684474702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12989</v>
      </c>
      <c r="B80" s="66">
        <v>12989</v>
      </c>
      <c r="D80">
        <f t="shared" si="5"/>
        <v>17.294454430464018</v>
      </c>
      <c r="E80">
        <f t="shared" si="6"/>
        <v>17.294454430464018</v>
      </c>
      <c r="G80">
        <f t="shared" ca="1" si="7"/>
        <v>78</v>
      </c>
      <c r="H80">
        <f t="shared" ca="1" si="8"/>
        <v>1348.9674455761933</v>
      </c>
      <c r="I80">
        <f t="shared" ca="1" si="9"/>
        <v>23534.478091204852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12040</v>
      </c>
      <c r="B82" s="66">
        <v>12040</v>
      </c>
      <c r="D82">
        <f t="shared" si="5"/>
        <v>16.030890087211237</v>
      </c>
      <c r="E82">
        <f t="shared" si="6"/>
        <v>16.030890087211237</v>
      </c>
      <c r="G82">
        <f t="shared" ca="1" si="7"/>
        <v>80</v>
      </c>
      <c r="H82">
        <f t="shared" ca="1" si="8"/>
        <v>1282.4712069768989</v>
      </c>
      <c r="I82">
        <f t="shared" ca="1" si="9"/>
        <v>24244.594562417893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12383</v>
      </c>
      <c r="B85" s="66">
        <v>12383</v>
      </c>
      <c r="D85">
        <f t="shared" si="5"/>
        <v>16.48758404899807</v>
      </c>
      <c r="E85">
        <f t="shared" si="6"/>
        <v>16.48758404899807</v>
      </c>
      <c r="G85">
        <f t="shared" ca="1" si="7"/>
        <v>83</v>
      </c>
      <c r="H85">
        <f t="shared" ca="1" si="8"/>
        <v>1368.4694760668399</v>
      </c>
      <c r="I85">
        <f t="shared" ca="1" si="9"/>
        <v>28930.802342356368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8904</v>
      </c>
      <c r="B88" s="66">
        <v>8904</v>
      </c>
      <c r="D88">
        <f t="shared" si="5"/>
        <v>11.855402436588776</v>
      </c>
      <c r="E88">
        <f t="shared" si="6"/>
        <v>11.855402436588776</v>
      </c>
      <c r="G88">
        <f t="shared" ca="1" si="7"/>
        <v>86</v>
      </c>
      <c r="H88">
        <f t="shared" ca="1" si="8"/>
        <v>1019.5646095466348</v>
      </c>
      <c r="I88">
        <f t="shared" ca="1" si="9"/>
        <v>23889.078661580854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9607</v>
      </c>
      <c r="B90" s="66">
        <v>9607</v>
      </c>
      <c r="D90">
        <f t="shared" si="5"/>
        <v>12.791425337860328</v>
      </c>
      <c r="E90">
        <f t="shared" si="6"/>
        <v>12.791425337860328</v>
      </c>
      <c r="G90">
        <f t="shared" ca="1" si="7"/>
        <v>88</v>
      </c>
      <c r="H90">
        <f t="shared" ca="1" si="8"/>
        <v>1125.6454297317089</v>
      </c>
      <c r="I90">
        <f t="shared" ca="1" si="9"/>
        <v>28123.151196605544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8727</v>
      </c>
      <c r="B93" s="66">
        <v>8727</v>
      </c>
      <c r="D93">
        <f t="shared" si="5"/>
        <v>11.619732374675454</v>
      </c>
      <c r="E93">
        <f t="shared" si="6"/>
        <v>11.619732374675454</v>
      </c>
      <c r="G93">
        <f t="shared" ca="1" si="7"/>
        <v>91</v>
      </c>
      <c r="H93">
        <f t="shared" ca="1" si="8"/>
        <v>1057.3956460954664</v>
      </c>
      <c r="I93">
        <f t="shared" ca="1" si="9"/>
        <v>28920.689106955248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5264</v>
      </c>
      <c r="B95" s="66">
        <v>5264</v>
      </c>
      <c r="D95">
        <f t="shared" si="5"/>
        <v>7.0088542706877037</v>
      </c>
      <c r="E95">
        <f t="shared" si="6"/>
        <v>7.0088542706877037</v>
      </c>
      <c r="G95">
        <f t="shared" ca="1" si="7"/>
        <v>93</v>
      </c>
      <c r="H95">
        <f t="shared" ca="1" si="8"/>
        <v>651.82344717395642</v>
      </c>
      <c r="I95">
        <f t="shared" ca="1" si="9"/>
        <v>18871.239820090592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5204</v>
      </c>
      <c r="B98" s="66">
        <v>5204</v>
      </c>
      <c r="D98">
        <f t="shared" si="5"/>
        <v>6.9289661141069168</v>
      </c>
      <c r="E98">
        <f t="shared" si="6"/>
        <v>6.9289661141069168</v>
      </c>
      <c r="G98">
        <f t="shared" ca="1" si="7"/>
        <v>96</v>
      </c>
      <c r="H98">
        <f t="shared" ca="1" si="8"/>
        <v>665.18074695426401</v>
      </c>
      <c r="I98">
        <f t="shared" ca="1" si="9"/>
        <v>20875.732490636314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2828</v>
      </c>
      <c r="B100" s="66">
        <v>2828</v>
      </c>
      <c r="D100">
        <f t="shared" si="5"/>
        <v>3.7653951135077559</v>
      </c>
      <c r="E100">
        <f t="shared" si="6"/>
        <v>3.7653951135077559</v>
      </c>
      <c r="G100">
        <f t="shared" ca="1" si="7"/>
        <v>98</v>
      </c>
      <c r="H100">
        <f t="shared" ca="1" si="8"/>
        <v>369.0087211237601</v>
      </c>
      <c r="I100">
        <f t="shared" ca="1" si="9"/>
        <v>12186.239506473898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1649</v>
      </c>
      <c r="B103" s="66">
        <v>1649</v>
      </c>
      <c r="D103">
        <f t="shared" si="5"/>
        <v>2.195592836695293</v>
      </c>
      <c r="E103">
        <f t="shared" si="6"/>
        <v>2.195592836695293</v>
      </c>
      <c r="G103">
        <f t="shared" ca="1" si="7"/>
        <v>101</v>
      </c>
      <c r="H103">
        <f t="shared" ca="1" si="8"/>
        <v>221.7548765062246</v>
      </c>
      <c r="I103">
        <f t="shared" ca="1" si="9"/>
        <v>7874.9599796301927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1508</v>
      </c>
      <c r="B106" s="66">
        <v>1508</v>
      </c>
      <c r="D106">
        <f t="shared" si="5"/>
        <v>2.0078556687304441</v>
      </c>
      <c r="E106">
        <f t="shared" si="6"/>
        <v>2.0078556687304441</v>
      </c>
      <c r="G106">
        <f t="shared" ca="1" si="7"/>
        <v>104</v>
      </c>
      <c r="H106">
        <f t="shared" ca="1" si="8"/>
        <v>208.81698954796619</v>
      </c>
      <c r="I106">
        <f t="shared" ca="1" si="9"/>
        <v>7941.1642836576302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1487</v>
      </c>
      <c r="B108" s="66">
        <v>1487</v>
      </c>
      <c r="D108">
        <f t="shared" si="5"/>
        <v>1.9798948139271686</v>
      </c>
      <c r="E108">
        <f t="shared" si="6"/>
        <v>1.9798948139271686</v>
      </c>
      <c r="G108">
        <f t="shared" ca="1" si="7"/>
        <v>106</v>
      </c>
      <c r="H108">
        <f t="shared" ca="1" si="8"/>
        <v>209.86885027627986</v>
      </c>
      <c r="I108">
        <f t="shared" ca="1" si="9"/>
        <v>8336.5531028457699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1192</v>
      </c>
      <c r="B111" s="66">
        <v>1192</v>
      </c>
      <c r="D111">
        <f t="shared" si="5"/>
        <v>1.5871113774049663</v>
      </c>
      <c r="E111">
        <f t="shared" si="6"/>
        <v>1.5871113774049663</v>
      </c>
      <c r="G111">
        <f t="shared" ca="1" si="7"/>
        <v>109</v>
      </c>
      <c r="H111">
        <f t="shared" ca="1" si="8"/>
        <v>172.99514013714133</v>
      </c>
      <c r="I111">
        <f t="shared" ca="1" si="9"/>
        <v>7314.8995951632651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2004</v>
      </c>
      <c r="B113" s="66">
        <v>2004</v>
      </c>
      <c r="D113">
        <f t="shared" si="5"/>
        <v>2.6682644297982825</v>
      </c>
      <c r="E113">
        <f t="shared" si="6"/>
        <v>2.6682644297982825</v>
      </c>
      <c r="G113">
        <f t="shared" ca="1" si="7"/>
        <v>111</v>
      </c>
      <c r="H113">
        <f t="shared" ca="1" si="8"/>
        <v>296.17735170760938</v>
      </c>
      <c r="I113">
        <f t="shared" ca="1" si="9"/>
        <v>13033.126170759331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1615</v>
      </c>
      <c r="B116" s="66">
        <v>1615</v>
      </c>
      <c r="D116">
        <f t="shared" si="5"/>
        <v>2.1503228812995139</v>
      </c>
      <c r="E116">
        <f t="shared" si="6"/>
        <v>2.1503228812995139</v>
      </c>
      <c r="G116">
        <f t="shared" ca="1" si="7"/>
        <v>114</v>
      </c>
      <c r="H116">
        <f t="shared" ca="1" si="8"/>
        <v>245.13680846814458</v>
      </c>
      <c r="I116">
        <f t="shared" ca="1" si="9"/>
        <v>11424.301457361293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655</v>
      </c>
      <c r="B118" s="66">
        <v>655</v>
      </c>
      <c r="D118">
        <f t="shared" si="5"/>
        <v>0.8721123760069236</v>
      </c>
      <c r="E118">
        <f t="shared" si="6"/>
        <v>0.8721123760069236</v>
      </c>
      <c r="G118">
        <f t="shared" ca="1" si="7"/>
        <v>116</v>
      </c>
      <c r="H118">
        <f t="shared" ca="1" si="8"/>
        <v>101.16503561680314</v>
      </c>
      <c r="I118">
        <f t="shared" ca="1" si="9"/>
        <v>4891.144050006742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953</v>
      </c>
      <c r="B121" s="66">
        <v>953</v>
      </c>
      <c r="D121">
        <f t="shared" si="5"/>
        <v>1.2688902203581653</v>
      </c>
      <c r="E121">
        <f t="shared" si="6"/>
        <v>1.2688902203581653</v>
      </c>
      <c r="G121">
        <f t="shared" ca="1" si="7"/>
        <v>119</v>
      </c>
      <c r="H121">
        <f t="shared" ca="1" si="8"/>
        <v>150.99793622262169</v>
      </c>
      <c r="I121">
        <f t="shared" ca="1" si="9"/>
        <v>7698.0047122755705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868</v>
      </c>
      <c r="B124" s="66">
        <v>868</v>
      </c>
      <c r="D124">
        <f t="shared" si="5"/>
        <v>1.1557153318687172</v>
      </c>
      <c r="E124">
        <f t="shared" si="6"/>
        <v>1.1557153318687172</v>
      </c>
      <c r="G124">
        <f t="shared" ca="1" si="7"/>
        <v>122</v>
      </c>
      <c r="H124">
        <f t="shared" ca="1" si="8"/>
        <v>140.99727048798351</v>
      </c>
      <c r="I124">
        <f t="shared" ca="1" si="9"/>
        <v>7561.9117495068404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667</v>
      </c>
      <c r="B126" s="66">
        <v>667</v>
      </c>
      <c r="D126">
        <f t="shared" si="5"/>
        <v>0.88809000732308097</v>
      </c>
      <c r="E126">
        <f t="shared" si="6"/>
        <v>0.88809000732308097</v>
      </c>
      <c r="G126">
        <f t="shared" ca="1" si="7"/>
        <v>124</v>
      </c>
      <c r="H126">
        <f t="shared" ca="1" si="8"/>
        <v>110.12316090806203</v>
      </c>
      <c r="I126">
        <f t="shared" ca="1" si="9"/>
        <v>6101.7236954128848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263</v>
      </c>
      <c r="B129" s="66">
        <v>263</v>
      </c>
      <c r="D129">
        <f t="shared" si="5"/>
        <v>0.35017641967911589</v>
      </c>
      <c r="E129">
        <f t="shared" si="6"/>
        <v>0.35017641967911589</v>
      </c>
      <c r="G129">
        <f t="shared" ca="1" si="7"/>
        <v>127</v>
      </c>
      <c r="H129">
        <f t="shared" ca="1" si="8"/>
        <v>44.472405299247718</v>
      </c>
      <c r="I129">
        <f t="shared" ca="1" si="9"/>
        <v>2583.2336132317564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273</v>
      </c>
      <c r="B131" s="66">
        <v>273</v>
      </c>
      <c r="D131">
        <f t="shared" ref="D131:D194" si="10">IFERROR( 100*A131/MAX(A$2:A$257), 0 )</f>
        <v>0.36349111244258037</v>
      </c>
      <c r="E131">
        <f t="shared" ref="E131:E194" si="11">IFERROR( 100*B131/MAX(B$2:B$257), 0 )</f>
        <v>0.36349111244258037</v>
      </c>
      <c r="G131">
        <f t="shared" ref="G131:G194" ca="1" si="12">CELL("row",D131)-2</f>
        <v>129</v>
      </c>
      <c r="H131">
        <f t="shared" ref="H131:H194" ca="1" si="13">D131*G131</f>
        <v>46.890353505092868</v>
      </c>
      <c r="I131">
        <f t="shared" ref="I131:I194" ca="1" si="14">D131*((G131-$L$1)^2)</f>
        <v>2807.7891840279344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157</v>
      </c>
      <c r="B134" s="66">
        <v>157</v>
      </c>
      <c r="D134">
        <f t="shared" si="10"/>
        <v>0.20904067638639237</v>
      </c>
      <c r="E134">
        <f t="shared" si="11"/>
        <v>0.20904067638639237</v>
      </c>
      <c r="G134">
        <f t="shared" ca="1" si="12"/>
        <v>132</v>
      </c>
      <c r="H134">
        <f t="shared" ca="1" si="13"/>
        <v>27.593369283003792</v>
      </c>
      <c r="I134">
        <f t="shared" ca="1" si="14"/>
        <v>1726.8517364031832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358</v>
      </c>
      <c r="B136" s="66">
        <v>358</v>
      </c>
      <c r="D136">
        <f t="shared" si="10"/>
        <v>0.47666600093202849</v>
      </c>
      <c r="E136">
        <f t="shared" si="11"/>
        <v>0.47666600093202849</v>
      </c>
      <c r="G136">
        <f t="shared" ca="1" si="12"/>
        <v>134</v>
      </c>
      <c r="H136">
        <f t="shared" ca="1" si="13"/>
        <v>63.873244124891819</v>
      </c>
      <c r="I136">
        <f t="shared" ca="1" si="14"/>
        <v>4112.8636889571235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118</v>
      </c>
      <c r="B139" s="66">
        <v>118</v>
      </c>
      <c r="D139">
        <f t="shared" si="10"/>
        <v>0.15711337460888089</v>
      </c>
      <c r="E139">
        <f t="shared" si="11"/>
        <v>0.15711337460888089</v>
      </c>
      <c r="G139">
        <f t="shared" ca="1" si="12"/>
        <v>137</v>
      </c>
      <c r="H139">
        <f t="shared" ca="1" si="13"/>
        <v>21.524532321416682</v>
      </c>
      <c r="I139">
        <f t="shared" ca="1" si="14"/>
        <v>1444.6154385674849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80</v>
      </c>
      <c r="B142" s="66">
        <v>80</v>
      </c>
      <c r="D142">
        <f t="shared" si="10"/>
        <v>0.10651754210771587</v>
      </c>
      <c r="E142">
        <f t="shared" si="11"/>
        <v>0.10651754210771587</v>
      </c>
      <c r="G142">
        <f t="shared" ca="1" si="12"/>
        <v>140</v>
      </c>
      <c r="H142">
        <f t="shared" ca="1" si="13"/>
        <v>14.912455895080221</v>
      </c>
      <c r="I142">
        <f t="shared" ca="1" si="14"/>
        <v>1041.6422257425593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370</v>
      </c>
      <c r="B144" s="66">
        <v>370</v>
      </c>
      <c r="D144">
        <f t="shared" si="10"/>
        <v>0.49264363224818586</v>
      </c>
      <c r="E144">
        <f t="shared" si="11"/>
        <v>0.49264363224818586</v>
      </c>
      <c r="G144">
        <f t="shared" ca="1" si="12"/>
        <v>142</v>
      </c>
      <c r="H144">
        <f t="shared" ca="1" si="13"/>
        <v>69.955395779242394</v>
      </c>
      <c r="I144">
        <f t="shared" ca="1" si="14"/>
        <v>5014.4343429752198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53.901504051792038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1.0401341530107222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0.49244591270935267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7827</v>
      </c>
      <c r="B8" s="66">
        <v>7827</v>
      </c>
      <c r="D8">
        <f t="shared" si="0"/>
        <v>11.183345716408526</v>
      </c>
      <c r="E8">
        <f t="shared" si="1"/>
        <v>11.183345716408526</v>
      </c>
      <c r="G8">
        <f t="shared" ca="1" si="2"/>
        <v>6</v>
      </c>
      <c r="H8">
        <f t="shared" ca="1" si="3"/>
        <v>67.100074298451162</v>
      </c>
      <c r="I8">
        <f t="shared" ca="1" si="4"/>
        <v>25660.791658209215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13999</v>
      </c>
      <c r="B10" s="66">
        <v>13999</v>
      </c>
      <c r="D10">
        <f t="shared" si="0"/>
        <v>20.002000342915927</v>
      </c>
      <c r="E10">
        <f t="shared" si="1"/>
        <v>20.002000342915927</v>
      </c>
      <c r="G10">
        <f t="shared" ca="1" si="2"/>
        <v>8</v>
      </c>
      <c r="H10">
        <f t="shared" ca="1" si="3"/>
        <v>160.01600274332742</v>
      </c>
      <c r="I10">
        <f t="shared" ca="1" si="4"/>
        <v>42143.176102988109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22147</v>
      </c>
      <c r="B13" s="66">
        <v>22147</v>
      </c>
      <c r="D13">
        <f t="shared" si="0"/>
        <v>31.643996113619476</v>
      </c>
      <c r="E13">
        <f t="shared" si="1"/>
        <v>31.643996113619476</v>
      </c>
      <c r="G13">
        <f t="shared" ca="1" si="2"/>
        <v>11</v>
      </c>
      <c r="H13">
        <f t="shared" ca="1" si="3"/>
        <v>348.08395724981426</v>
      </c>
      <c r="I13">
        <f t="shared" ca="1" si="4"/>
        <v>58242.010542188094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30788</v>
      </c>
      <c r="B15" s="66">
        <v>30788</v>
      </c>
      <c r="D15">
        <f t="shared" si="0"/>
        <v>43.990398354003545</v>
      </c>
      <c r="E15">
        <f t="shared" si="1"/>
        <v>43.990398354003545</v>
      </c>
      <c r="G15">
        <f t="shared" ca="1" si="2"/>
        <v>13</v>
      </c>
      <c r="H15">
        <f t="shared" ca="1" si="3"/>
        <v>571.87517860204605</v>
      </c>
      <c r="I15">
        <f t="shared" ca="1" si="4"/>
        <v>73592.990571980117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34380</v>
      </c>
      <c r="B18" s="66">
        <v>34380</v>
      </c>
      <c r="D18">
        <f t="shared" si="0"/>
        <v>49.122706749728522</v>
      </c>
      <c r="E18">
        <f t="shared" si="1"/>
        <v>49.122706749728522</v>
      </c>
      <c r="G18">
        <f t="shared" ca="1" si="2"/>
        <v>16</v>
      </c>
      <c r="H18">
        <f t="shared" ca="1" si="3"/>
        <v>785.96330799565635</v>
      </c>
      <c r="I18">
        <f t="shared" ca="1" si="4"/>
        <v>70565.947652111397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34800</v>
      </c>
      <c r="B21" s="66">
        <v>34800</v>
      </c>
      <c r="D21">
        <f t="shared" si="0"/>
        <v>49.722809624507057</v>
      </c>
      <c r="E21">
        <f t="shared" si="1"/>
        <v>49.722809624507057</v>
      </c>
      <c r="G21">
        <f t="shared" ca="1" si="2"/>
        <v>19</v>
      </c>
      <c r="H21">
        <f t="shared" ca="1" si="3"/>
        <v>944.7333828656341</v>
      </c>
      <c r="I21">
        <f t="shared" ca="1" si="4"/>
        <v>60568.099503755657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38626</v>
      </c>
      <c r="B23" s="66">
        <v>38626</v>
      </c>
      <c r="D23">
        <f t="shared" si="0"/>
        <v>55.189461050465795</v>
      </c>
      <c r="E23">
        <f t="shared" si="1"/>
        <v>55.189461050465795</v>
      </c>
      <c r="G23">
        <f t="shared" ca="1" si="2"/>
        <v>21</v>
      </c>
      <c r="H23">
        <f t="shared" ca="1" si="3"/>
        <v>1158.9786820597817</v>
      </c>
      <c r="I23">
        <f t="shared" ca="1" si="4"/>
        <v>59743.086574235611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40905</v>
      </c>
      <c r="B26" s="66">
        <v>40905</v>
      </c>
      <c r="D26">
        <f t="shared" si="0"/>
        <v>58.445733554323596</v>
      </c>
      <c r="E26">
        <f t="shared" si="1"/>
        <v>58.445733554323596</v>
      </c>
      <c r="G26">
        <f t="shared" ca="1" si="2"/>
        <v>24</v>
      </c>
      <c r="H26">
        <f t="shared" ca="1" si="3"/>
        <v>1402.6976053037663</v>
      </c>
      <c r="I26">
        <f t="shared" ca="1" si="4"/>
        <v>52256.327130650432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49018</v>
      </c>
      <c r="B28" s="66">
        <v>49018</v>
      </c>
      <c r="D28">
        <f t="shared" si="0"/>
        <v>70.037720752128934</v>
      </c>
      <c r="E28">
        <f t="shared" si="1"/>
        <v>70.037720752128934</v>
      </c>
      <c r="G28">
        <f t="shared" ca="1" si="2"/>
        <v>26</v>
      </c>
      <c r="H28">
        <f t="shared" ca="1" si="3"/>
        <v>1820.9807395553523</v>
      </c>
      <c r="I28">
        <f t="shared" ca="1" si="4"/>
        <v>54523.94036115698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49830</v>
      </c>
      <c r="B31" s="66">
        <v>49830</v>
      </c>
      <c r="D31">
        <f t="shared" si="0"/>
        <v>71.197919643367428</v>
      </c>
      <c r="E31">
        <f t="shared" si="1"/>
        <v>71.197919643367428</v>
      </c>
      <c r="G31">
        <f t="shared" ca="1" si="2"/>
        <v>29</v>
      </c>
      <c r="H31">
        <f t="shared" ca="1" si="3"/>
        <v>2064.7396696576552</v>
      </c>
      <c r="I31">
        <f t="shared" ca="1" si="4"/>
        <v>44148.755170005883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48633</v>
      </c>
      <c r="B33" s="66">
        <v>48633</v>
      </c>
      <c r="D33">
        <f t="shared" si="0"/>
        <v>69.487626450248612</v>
      </c>
      <c r="E33">
        <f t="shared" si="1"/>
        <v>69.487626450248612</v>
      </c>
      <c r="G33">
        <f t="shared" ca="1" si="2"/>
        <v>31</v>
      </c>
      <c r="H33">
        <f t="shared" ca="1" si="3"/>
        <v>2154.116419957707</v>
      </c>
      <c r="I33">
        <f t="shared" ca="1" si="4"/>
        <v>36444.793038868011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59296</v>
      </c>
      <c r="B36" s="66">
        <v>59296</v>
      </c>
      <c r="D36">
        <f t="shared" si="0"/>
        <v>84.723095387780759</v>
      </c>
      <c r="E36">
        <f t="shared" si="1"/>
        <v>84.723095387780759</v>
      </c>
      <c r="G36">
        <f t="shared" ca="1" si="2"/>
        <v>34</v>
      </c>
      <c r="H36">
        <f t="shared" ca="1" si="3"/>
        <v>2880.585243184546</v>
      </c>
      <c r="I36">
        <f t="shared" ca="1" si="4"/>
        <v>33556.264827526364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67622</v>
      </c>
      <c r="B39" s="66">
        <v>67622</v>
      </c>
      <c r="D39">
        <f t="shared" si="0"/>
        <v>96.619420472080932</v>
      </c>
      <c r="E39">
        <f t="shared" si="1"/>
        <v>96.619420472080932</v>
      </c>
      <c r="G39">
        <f t="shared" ca="1" si="2"/>
        <v>37</v>
      </c>
      <c r="H39">
        <f t="shared" ca="1" si="3"/>
        <v>3574.9185574669946</v>
      </c>
      <c r="I39">
        <f t="shared" ca="1" si="4"/>
        <v>27600.384736303491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69721</v>
      </c>
      <c r="B41" s="66">
        <v>69721</v>
      </c>
      <c r="D41">
        <f t="shared" si="0"/>
        <v>99.618506029605072</v>
      </c>
      <c r="E41">
        <f t="shared" si="1"/>
        <v>99.618506029605072</v>
      </c>
      <c r="G41">
        <f t="shared" ca="1" si="2"/>
        <v>39</v>
      </c>
      <c r="H41">
        <f t="shared" ca="1" si="3"/>
        <v>3885.1217351545979</v>
      </c>
      <c r="I41">
        <f t="shared" ca="1" si="4"/>
        <v>22120.769724483715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56814</v>
      </c>
      <c r="B44" s="66">
        <v>56814</v>
      </c>
      <c r="D44">
        <f t="shared" si="0"/>
        <v>81.176773161113331</v>
      </c>
      <c r="E44">
        <f t="shared" si="1"/>
        <v>81.176773161113331</v>
      </c>
      <c r="G44">
        <f t="shared" ca="1" si="2"/>
        <v>42</v>
      </c>
      <c r="H44">
        <f t="shared" ca="1" si="3"/>
        <v>3409.4244727667601</v>
      </c>
      <c r="I44">
        <f t="shared" ca="1" si="4"/>
        <v>11498.348869874313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64025</v>
      </c>
      <c r="B46" s="66">
        <v>64025</v>
      </c>
      <c r="D46">
        <f t="shared" si="0"/>
        <v>91.479967994513345</v>
      </c>
      <c r="E46">
        <f t="shared" si="1"/>
        <v>91.479967994513345</v>
      </c>
      <c r="G46">
        <f t="shared" ca="1" si="2"/>
        <v>44</v>
      </c>
      <c r="H46">
        <f t="shared" ca="1" si="3"/>
        <v>4025.1185917585872</v>
      </c>
      <c r="I46">
        <f t="shared" ca="1" si="4"/>
        <v>8968.6761641596513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63013</v>
      </c>
      <c r="B49" s="66">
        <v>63013</v>
      </c>
      <c r="D49">
        <f t="shared" si="0"/>
        <v>90.034005829570788</v>
      </c>
      <c r="E49">
        <f t="shared" si="1"/>
        <v>90.034005829570788</v>
      </c>
      <c r="G49">
        <f t="shared" ca="1" si="2"/>
        <v>47</v>
      </c>
      <c r="H49">
        <f t="shared" ca="1" si="3"/>
        <v>4231.5982739898272</v>
      </c>
      <c r="I49">
        <f t="shared" ca="1" si="4"/>
        <v>4288.387959366064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67750</v>
      </c>
      <c r="B51" s="66">
        <v>67750</v>
      </c>
      <c r="D51">
        <f t="shared" si="0"/>
        <v>96.802308967251534</v>
      </c>
      <c r="E51">
        <f t="shared" si="1"/>
        <v>96.802308967251534</v>
      </c>
      <c r="G51">
        <f t="shared" ca="1" si="2"/>
        <v>49</v>
      </c>
      <c r="H51">
        <f t="shared" ca="1" si="3"/>
        <v>4743.3131393953254</v>
      </c>
      <c r="I51">
        <f t="shared" ca="1" si="4"/>
        <v>2325.6504950126632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68579</v>
      </c>
      <c r="B54" s="66">
        <v>68579</v>
      </c>
      <c r="D54">
        <f t="shared" si="0"/>
        <v>97.986797736754866</v>
      </c>
      <c r="E54">
        <f t="shared" si="1"/>
        <v>97.986797736754866</v>
      </c>
      <c r="G54">
        <f t="shared" ca="1" si="2"/>
        <v>52</v>
      </c>
      <c r="H54">
        <f t="shared" ca="1" si="3"/>
        <v>5095.3134823112532</v>
      </c>
      <c r="I54">
        <f t="shared" ca="1" si="4"/>
        <v>354.29259492383682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69988</v>
      </c>
      <c r="B57" s="66">
        <v>69988</v>
      </c>
      <c r="D57">
        <f t="shared" si="0"/>
        <v>100</v>
      </c>
      <c r="E57">
        <f t="shared" si="1"/>
        <v>100</v>
      </c>
      <c r="G57">
        <f t="shared" ca="1" si="2"/>
        <v>55</v>
      </c>
      <c r="H57">
        <f t="shared" ca="1" si="3"/>
        <v>5500</v>
      </c>
      <c r="I57">
        <f t="shared" ca="1" si="4"/>
        <v>120.66933482293089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63762</v>
      </c>
      <c r="B59" s="66">
        <v>63762</v>
      </c>
      <c r="D59">
        <f t="shared" si="0"/>
        <v>91.104189289592497</v>
      </c>
      <c r="E59">
        <f t="shared" si="1"/>
        <v>91.104189289592497</v>
      </c>
      <c r="G59">
        <f t="shared" ca="1" si="2"/>
        <v>57</v>
      </c>
      <c r="H59">
        <f t="shared" ca="1" si="3"/>
        <v>5192.9387895067721</v>
      </c>
      <c r="I59">
        <f t="shared" ca="1" si="4"/>
        <v>874.66190756749916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63996</v>
      </c>
      <c r="B62" s="66">
        <v>63996</v>
      </c>
      <c r="D62">
        <f t="shared" si="0"/>
        <v>91.438532319826251</v>
      </c>
      <c r="E62">
        <f t="shared" si="1"/>
        <v>91.438532319826251</v>
      </c>
      <c r="G62">
        <f t="shared" ca="1" si="2"/>
        <v>60</v>
      </c>
      <c r="H62">
        <f t="shared" ca="1" si="3"/>
        <v>5486.3119391895752</v>
      </c>
      <c r="I62">
        <f t="shared" ca="1" si="4"/>
        <v>3400.7501493519603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64853</v>
      </c>
      <c r="B64" s="66">
        <v>64853</v>
      </c>
      <c r="D64">
        <f t="shared" si="0"/>
        <v>92.663027947648175</v>
      </c>
      <c r="E64">
        <f t="shared" si="1"/>
        <v>92.663027947648175</v>
      </c>
      <c r="G64">
        <f t="shared" ca="1" si="2"/>
        <v>62</v>
      </c>
      <c r="H64">
        <f t="shared" ca="1" si="3"/>
        <v>5745.1077327541871</v>
      </c>
      <c r="I64">
        <f t="shared" ca="1" si="4"/>
        <v>6077.3636793743908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62724</v>
      </c>
      <c r="B67" s="66">
        <v>62724</v>
      </c>
      <c r="D67">
        <f t="shared" ref="D67:D130" si="5">IFERROR(100*A67/MAX(A$2:A$257), 0 )</f>
        <v>89.62107789906841</v>
      </c>
      <c r="E67">
        <f t="shared" ref="E67:E130" si="6">IFERROR(100*B67/MAX(B$2:B$257), 0 )</f>
        <v>89.62107789906841</v>
      </c>
      <c r="G67">
        <f t="shared" ref="G67:G130" ca="1" si="7">CELL("row",D67)-2</f>
        <v>65</v>
      </c>
      <c r="H67">
        <f t="shared" ref="H67:H130" ca="1" si="8">D67*G67</f>
        <v>5825.3700634394463</v>
      </c>
      <c r="I67">
        <f t="shared" ref="I67:I130" ca="1" si="9">D67*((G67-$L$1)^2)</f>
        <v>11039.220767391922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56688</v>
      </c>
      <c r="B69" s="66">
        <v>56688</v>
      </c>
      <c r="D69">
        <f t="shared" si="5"/>
        <v>80.996742298679777</v>
      </c>
      <c r="E69">
        <f t="shared" si="6"/>
        <v>80.996742298679777</v>
      </c>
      <c r="G69">
        <f t="shared" ca="1" si="7"/>
        <v>67</v>
      </c>
      <c r="H69">
        <f t="shared" ca="1" si="8"/>
        <v>5426.7817340115453</v>
      </c>
      <c r="I69">
        <f t="shared" ca="1" si="9"/>
        <v>13896.65935876541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54660</v>
      </c>
      <c r="B72" s="66">
        <v>54660</v>
      </c>
      <c r="D72">
        <f t="shared" si="5"/>
        <v>78.099102703320568</v>
      </c>
      <c r="E72">
        <f t="shared" si="6"/>
        <v>78.099102703320568</v>
      </c>
      <c r="G72">
        <f t="shared" ca="1" si="7"/>
        <v>70</v>
      </c>
      <c r="H72">
        <f t="shared" ca="1" si="8"/>
        <v>5466.9371892324398</v>
      </c>
      <c r="I72">
        <f t="shared" ca="1" si="9"/>
        <v>20240.286212330157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44503</v>
      </c>
      <c r="B75" s="66">
        <v>44503</v>
      </c>
      <c r="D75">
        <f t="shared" si="5"/>
        <v>63.5866148482597</v>
      </c>
      <c r="E75">
        <f t="shared" si="6"/>
        <v>63.5866148482597</v>
      </c>
      <c r="G75">
        <f t="shared" ca="1" si="7"/>
        <v>73</v>
      </c>
      <c r="H75">
        <f t="shared" ca="1" si="8"/>
        <v>4641.8228839229578</v>
      </c>
      <c r="I75">
        <f t="shared" ca="1" si="9"/>
        <v>23193.379751768603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43317</v>
      </c>
      <c r="B77" s="66">
        <v>43317</v>
      </c>
      <c r="D77">
        <f t="shared" si="5"/>
        <v>61.892038635194602</v>
      </c>
      <c r="E77">
        <f t="shared" si="6"/>
        <v>61.892038635194602</v>
      </c>
      <c r="G77">
        <f t="shared" ca="1" si="7"/>
        <v>75</v>
      </c>
      <c r="H77">
        <f t="shared" ca="1" si="8"/>
        <v>4641.9028976395948</v>
      </c>
      <c r="I77">
        <f t="shared" ca="1" si="9"/>
        <v>27551.026312090955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39066</v>
      </c>
      <c r="B80" s="66">
        <v>39066</v>
      </c>
      <c r="D80">
        <f t="shared" si="5"/>
        <v>55.818140252614732</v>
      </c>
      <c r="E80">
        <f t="shared" si="6"/>
        <v>55.818140252614732</v>
      </c>
      <c r="G80">
        <f t="shared" ca="1" si="7"/>
        <v>78</v>
      </c>
      <c r="H80">
        <f t="shared" ca="1" si="8"/>
        <v>4353.8149397039488</v>
      </c>
      <c r="I80">
        <f t="shared" ca="1" si="9"/>
        <v>32415.687613770602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32511</v>
      </c>
      <c r="B82" s="66">
        <v>32511</v>
      </c>
      <c r="D82">
        <f t="shared" si="5"/>
        <v>46.452248956964048</v>
      </c>
      <c r="E82">
        <f t="shared" si="6"/>
        <v>46.452248956964048</v>
      </c>
      <c r="G82">
        <f t="shared" ca="1" si="7"/>
        <v>80</v>
      </c>
      <c r="H82">
        <f t="shared" ca="1" si="8"/>
        <v>3716.1799165571238</v>
      </c>
      <c r="I82">
        <f t="shared" ca="1" si="9"/>
        <v>31640.089581147815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25314</v>
      </c>
      <c r="B85" s="66">
        <v>25314</v>
      </c>
      <c r="D85">
        <f t="shared" si="5"/>
        <v>36.169057552723324</v>
      </c>
      <c r="E85">
        <f t="shared" si="6"/>
        <v>36.169057552723324</v>
      </c>
      <c r="G85">
        <f t="shared" ca="1" si="7"/>
        <v>83</v>
      </c>
      <c r="H85">
        <f t="shared" ca="1" si="8"/>
        <v>3002.031776876036</v>
      </c>
      <c r="I85">
        <f t="shared" ca="1" si="9"/>
        <v>30625.15362013704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23267</v>
      </c>
      <c r="B88" s="66">
        <v>23267</v>
      </c>
      <c r="D88">
        <f t="shared" si="5"/>
        <v>33.244270446362236</v>
      </c>
      <c r="E88">
        <f t="shared" si="6"/>
        <v>33.244270446362236</v>
      </c>
      <c r="G88">
        <f t="shared" ca="1" si="7"/>
        <v>86</v>
      </c>
      <c r="H88">
        <f t="shared" ca="1" si="8"/>
        <v>2859.0072583871524</v>
      </c>
      <c r="I88">
        <f t="shared" ca="1" si="9"/>
        <v>34252.018714928905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21028</v>
      </c>
      <c r="B90" s="66">
        <v>21028</v>
      </c>
      <c r="D90">
        <f t="shared" si="5"/>
        <v>30.045150597245243</v>
      </c>
      <c r="E90">
        <f t="shared" si="6"/>
        <v>30.045150597245243</v>
      </c>
      <c r="G90">
        <f t="shared" ca="1" si="7"/>
        <v>88</v>
      </c>
      <c r="H90">
        <f t="shared" ca="1" si="8"/>
        <v>2643.9732525575814</v>
      </c>
      <c r="I90">
        <f t="shared" ca="1" si="9"/>
        <v>34933.719712600861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20465</v>
      </c>
      <c r="B93" s="66">
        <v>20465</v>
      </c>
      <c r="D93">
        <f t="shared" si="5"/>
        <v>29.240726981768304</v>
      </c>
      <c r="E93">
        <f t="shared" si="6"/>
        <v>29.240726981768304</v>
      </c>
      <c r="G93">
        <f t="shared" ca="1" si="7"/>
        <v>91</v>
      </c>
      <c r="H93">
        <f t="shared" ca="1" si="8"/>
        <v>2660.9061553409156</v>
      </c>
      <c r="I93">
        <f t="shared" ca="1" si="9"/>
        <v>40243.965807191213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17515</v>
      </c>
      <c r="B95" s="66">
        <v>17515</v>
      </c>
      <c r="D95">
        <f t="shared" si="5"/>
        <v>25.025718694633365</v>
      </c>
      <c r="E95">
        <f t="shared" si="6"/>
        <v>25.025718694633365</v>
      </c>
      <c r="G95">
        <f t="shared" ca="1" si="7"/>
        <v>93</v>
      </c>
      <c r="H95">
        <f t="shared" ca="1" si="8"/>
        <v>2327.3918386009032</v>
      </c>
      <c r="I95">
        <f t="shared" ca="1" si="9"/>
        <v>38256.625607949623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14483</v>
      </c>
      <c r="B98" s="66">
        <v>14483</v>
      </c>
      <c r="D98">
        <f t="shared" si="5"/>
        <v>20.693547465279764</v>
      </c>
      <c r="E98">
        <f t="shared" si="6"/>
        <v>20.693547465279764</v>
      </c>
      <c r="G98">
        <f t="shared" ca="1" si="7"/>
        <v>96</v>
      </c>
      <c r="H98">
        <f t="shared" ca="1" si="8"/>
        <v>1986.5805566668573</v>
      </c>
      <c r="I98">
        <f t="shared" ca="1" si="9"/>
        <v>36674.829854874937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12612</v>
      </c>
      <c r="B100" s="66">
        <v>12612</v>
      </c>
      <c r="D100">
        <f t="shared" si="5"/>
        <v>18.020232039778247</v>
      </c>
      <c r="E100">
        <f t="shared" si="6"/>
        <v>18.020232039778247</v>
      </c>
      <c r="G100">
        <f t="shared" ca="1" si="7"/>
        <v>98</v>
      </c>
      <c r="H100">
        <f t="shared" ca="1" si="8"/>
        <v>1765.9827398982682</v>
      </c>
      <c r="I100">
        <f t="shared" ca="1" si="9"/>
        <v>35043.536997491807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12823</v>
      </c>
      <c r="B103" s="66">
        <v>12823</v>
      </c>
      <c r="D103">
        <f t="shared" si="5"/>
        <v>18.321712293536034</v>
      </c>
      <c r="E103">
        <f t="shared" si="6"/>
        <v>18.321712293536034</v>
      </c>
      <c r="G103">
        <f t="shared" ca="1" si="7"/>
        <v>101</v>
      </c>
      <c r="H103">
        <f t="shared" ca="1" si="8"/>
        <v>1850.4929416471396</v>
      </c>
      <c r="I103">
        <f t="shared" ca="1" si="9"/>
        <v>40642.473959593714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12681</v>
      </c>
      <c r="B106" s="66">
        <v>12681</v>
      </c>
      <c r="D106">
        <f t="shared" si="5"/>
        <v>18.118820369206151</v>
      </c>
      <c r="E106">
        <f t="shared" si="6"/>
        <v>18.118820369206151</v>
      </c>
      <c r="G106">
        <f t="shared" ca="1" si="7"/>
        <v>104</v>
      </c>
      <c r="H106">
        <f t="shared" ca="1" si="8"/>
        <v>1884.3573183974397</v>
      </c>
      <c r="I106">
        <f t="shared" ca="1" si="9"/>
        <v>45475.689741145579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11033</v>
      </c>
      <c r="B108" s="66">
        <v>11033</v>
      </c>
      <c r="D108">
        <f t="shared" si="5"/>
        <v>15.764130993884667</v>
      </c>
      <c r="E108">
        <f t="shared" si="6"/>
        <v>15.764130993884667</v>
      </c>
      <c r="G108">
        <f t="shared" ca="1" si="7"/>
        <v>106</v>
      </c>
      <c r="H108">
        <f t="shared" ca="1" si="8"/>
        <v>1670.9978853517746</v>
      </c>
      <c r="I108">
        <f t="shared" ca="1" si="9"/>
        <v>42787.844257532743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11564</v>
      </c>
      <c r="B111" s="66">
        <v>11564</v>
      </c>
      <c r="D111">
        <f t="shared" si="5"/>
        <v>16.522832485568955</v>
      </c>
      <c r="E111">
        <f t="shared" si="6"/>
        <v>16.522832485568955</v>
      </c>
      <c r="G111">
        <f t="shared" ca="1" si="7"/>
        <v>109</v>
      </c>
      <c r="H111">
        <f t="shared" ca="1" si="8"/>
        <v>1800.9887409270161</v>
      </c>
      <c r="I111">
        <f t="shared" ca="1" si="9"/>
        <v>50160.746090111483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9429</v>
      </c>
      <c r="B113" s="66">
        <v>9429</v>
      </c>
      <c r="D113">
        <f t="shared" si="5"/>
        <v>13.472309538778076</v>
      </c>
      <c r="E113">
        <f t="shared" si="6"/>
        <v>13.472309538778076</v>
      </c>
      <c r="G113">
        <f t="shared" ca="1" si="7"/>
        <v>111</v>
      </c>
      <c r="H113">
        <f t="shared" ca="1" si="8"/>
        <v>1495.4263588043664</v>
      </c>
      <c r="I113">
        <f t="shared" ca="1" si="9"/>
        <v>43922.938733345109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8918</v>
      </c>
      <c r="B116" s="66">
        <v>8918</v>
      </c>
      <c r="D116">
        <f t="shared" si="5"/>
        <v>12.742184374464195</v>
      </c>
      <c r="E116">
        <f t="shared" si="6"/>
        <v>12.742184374464195</v>
      </c>
      <c r="G116">
        <f t="shared" ca="1" si="7"/>
        <v>114</v>
      </c>
      <c r="H116">
        <f t="shared" ca="1" si="8"/>
        <v>1452.6090186889182</v>
      </c>
      <c r="I116">
        <f t="shared" ca="1" si="9"/>
        <v>46022.593789623235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6667</v>
      </c>
      <c r="B118" s="66">
        <v>6667</v>
      </c>
      <c r="D118">
        <f t="shared" si="5"/>
        <v>9.5259187289249585</v>
      </c>
      <c r="E118">
        <f t="shared" si="6"/>
        <v>9.5259187289249585</v>
      </c>
      <c r="G118">
        <f t="shared" ca="1" si="7"/>
        <v>116</v>
      </c>
      <c r="H118">
        <f t="shared" ca="1" si="8"/>
        <v>1105.0065725552952</v>
      </c>
      <c r="I118">
        <f t="shared" ca="1" si="9"/>
        <v>36734.068794550985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4762</v>
      </c>
      <c r="B121" s="66">
        <v>4762</v>
      </c>
      <c r="D121">
        <f t="shared" si="5"/>
        <v>6.8040235468937533</v>
      </c>
      <c r="E121">
        <f t="shared" si="6"/>
        <v>6.8040235468937533</v>
      </c>
      <c r="G121">
        <f t="shared" ca="1" si="7"/>
        <v>119</v>
      </c>
      <c r="H121">
        <f t="shared" ca="1" si="8"/>
        <v>809.6788020803566</v>
      </c>
      <c r="I121">
        <f t="shared" ca="1" si="9"/>
        <v>28834.187432147155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4029</v>
      </c>
      <c r="B124" s="66">
        <v>4029</v>
      </c>
      <c r="D124">
        <f t="shared" si="5"/>
        <v>5.7567011487683599</v>
      </c>
      <c r="E124">
        <f t="shared" si="6"/>
        <v>5.7567011487683599</v>
      </c>
      <c r="G124">
        <f t="shared" ca="1" si="7"/>
        <v>122</v>
      </c>
      <c r="H124">
        <f t="shared" ca="1" si="8"/>
        <v>702.3175401497399</v>
      </c>
      <c r="I124">
        <f t="shared" ca="1" si="9"/>
        <v>26696.155556658592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4156</v>
      </c>
      <c r="B126" s="66">
        <v>4156</v>
      </c>
      <c r="D126">
        <f t="shared" si="5"/>
        <v>5.9381608275704405</v>
      </c>
      <c r="E126">
        <f t="shared" si="6"/>
        <v>5.9381608275704405</v>
      </c>
      <c r="G126">
        <f t="shared" ca="1" si="7"/>
        <v>124</v>
      </c>
      <c r="H126">
        <f t="shared" ca="1" si="8"/>
        <v>736.33194261873462</v>
      </c>
      <c r="I126">
        <f t="shared" ca="1" si="9"/>
        <v>29178.929533261493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2942</v>
      </c>
      <c r="B129" s="66">
        <v>2942</v>
      </c>
      <c r="D129">
        <f t="shared" si="5"/>
        <v>4.2035777561867746</v>
      </c>
      <c r="E129">
        <f t="shared" si="6"/>
        <v>4.2035777561867746</v>
      </c>
      <c r="G129">
        <f t="shared" ca="1" si="7"/>
        <v>127</v>
      </c>
      <c r="H129">
        <f t="shared" ca="1" si="8"/>
        <v>533.85437503572041</v>
      </c>
      <c r="I129">
        <f t="shared" ca="1" si="9"/>
        <v>22461.355808562745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1795</v>
      </c>
      <c r="B131" s="66">
        <v>1795</v>
      </c>
      <c r="D131">
        <f t="shared" ref="D131:D194" si="10">IFERROR(100*A131/MAX(A$2:A$257), 0 )</f>
        <v>2.5647253814939703</v>
      </c>
      <c r="E131">
        <f t="shared" ref="E131:E194" si="11">IFERROR(100*B131/MAX(B$2:B$257), 0 )</f>
        <v>2.5647253814939703</v>
      </c>
      <c r="G131">
        <f t="shared" ref="G131:G194" ca="1" si="12">CELL("row",D131)-2</f>
        <v>129</v>
      </c>
      <c r="H131">
        <f t="shared" ref="H131:H194" ca="1" si="13">D131*G131</f>
        <v>330.84957421272219</v>
      </c>
      <c r="I131">
        <f t="shared" ref="I131:I194" ca="1" si="14">D131*((G131-$L$1)^2)</f>
        <v>14464.497411214774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1025</v>
      </c>
      <c r="B134" s="66">
        <v>1025</v>
      </c>
      <c r="D134">
        <f t="shared" si="10"/>
        <v>1.4645367777333258</v>
      </c>
      <c r="E134">
        <f t="shared" si="11"/>
        <v>1.4645367777333258</v>
      </c>
      <c r="G134">
        <f t="shared" ca="1" si="12"/>
        <v>132</v>
      </c>
      <c r="H134">
        <f t="shared" ca="1" si="13"/>
        <v>193.31885466079902</v>
      </c>
      <c r="I134">
        <f t="shared" ca="1" si="14"/>
        <v>8932.7591102854221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1278</v>
      </c>
      <c r="B136" s="66">
        <v>1278</v>
      </c>
      <c r="D136">
        <f t="shared" si="10"/>
        <v>1.8260273189689662</v>
      </c>
      <c r="E136">
        <f t="shared" si="11"/>
        <v>1.8260273189689662</v>
      </c>
      <c r="G136">
        <f t="shared" ca="1" si="12"/>
        <v>134</v>
      </c>
      <c r="H136">
        <f t="shared" ca="1" si="13"/>
        <v>244.68766074184148</v>
      </c>
      <c r="I136">
        <f t="shared" ca="1" si="14"/>
        <v>11715.369563275104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949</v>
      </c>
      <c r="B139" s="66">
        <v>949</v>
      </c>
      <c r="D139">
        <f t="shared" si="10"/>
        <v>1.3559467337257816</v>
      </c>
      <c r="E139">
        <f t="shared" si="11"/>
        <v>1.3559467337257816</v>
      </c>
      <c r="G139">
        <f t="shared" ca="1" si="12"/>
        <v>137</v>
      </c>
      <c r="H139">
        <f t="shared" ca="1" si="13"/>
        <v>185.76470252043208</v>
      </c>
      <c r="I139">
        <f t="shared" ca="1" si="14"/>
        <v>9363.300376325602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889</v>
      </c>
      <c r="B142" s="66">
        <v>889</v>
      </c>
      <c r="D142">
        <f t="shared" si="10"/>
        <v>1.2702177516145625</v>
      </c>
      <c r="E142">
        <f t="shared" si="11"/>
        <v>1.2702177516145625</v>
      </c>
      <c r="G142">
        <f t="shared" ca="1" si="12"/>
        <v>140</v>
      </c>
      <c r="H142">
        <f t="shared" ca="1" si="13"/>
        <v>177.83048522603875</v>
      </c>
      <c r="I142">
        <f t="shared" ca="1" si="14"/>
        <v>9416.0619578202604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533</v>
      </c>
      <c r="B144" s="66">
        <v>533</v>
      </c>
      <c r="D144">
        <f t="shared" si="10"/>
        <v>0.76155912442132934</v>
      </c>
      <c r="E144">
        <f t="shared" si="11"/>
        <v>0.76155912442132934</v>
      </c>
      <c r="G144">
        <f t="shared" ca="1" si="12"/>
        <v>142</v>
      </c>
      <c r="H144">
        <f t="shared" ca="1" si="13"/>
        <v>108.14139566782876</v>
      </c>
      <c r="I144">
        <f t="shared" ca="1" si="14"/>
        <v>5910.7230936493515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664</v>
      </c>
      <c r="B147" s="66">
        <v>664</v>
      </c>
      <c r="D147">
        <f t="shared" si="10"/>
        <v>0.948734068697491</v>
      </c>
      <c r="E147">
        <f t="shared" si="11"/>
        <v>0.948734068697491</v>
      </c>
      <c r="G147">
        <f t="shared" ca="1" si="12"/>
        <v>145</v>
      </c>
      <c r="H147">
        <f t="shared" ca="1" si="13"/>
        <v>137.56643996113618</v>
      </c>
      <c r="I147">
        <f t="shared" ca="1" si="14"/>
        <v>7873.4832830099995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463</v>
      </c>
      <c r="B149" s="66">
        <v>463</v>
      </c>
      <c r="D149">
        <f t="shared" si="10"/>
        <v>0.66154197862490716</v>
      </c>
      <c r="E149">
        <f t="shared" si="11"/>
        <v>0.66154197862490716</v>
      </c>
      <c r="G149">
        <f t="shared" ca="1" si="12"/>
        <v>147</v>
      </c>
      <c r="H149">
        <f t="shared" ca="1" si="13"/>
        <v>97.246670857861346</v>
      </c>
      <c r="I149">
        <f t="shared" ca="1" si="14"/>
        <v>5733.8026030747587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42</v>
      </c>
      <c r="B152" s="66">
        <v>42</v>
      </c>
      <c r="D152">
        <f t="shared" si="10"/>
        <v>6.001028747785335E-2</v>
      </c>
      <c r="E152">
        <f t="shared" si="11"/>
        <v>6.001028747785335E-2</v>
      </c>
      <c r="G152">
        <f t="shared" ca="1" si="12"/>
        <v>150</v>
      </c>
      <c r="H152">
        <f t="shared" ca="1" si="13"/>
        <v>9.0015431216780026</v>
      </c>
      <c r="I152">
        <f t="shared" ca="1" si="14"/>
        <v>554.19025945494252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0.12066399999999999</v>
      </c>
      <c r="B2" s="68">
        <v>0.73178799999999999</v>
      </c>
      <c r="C2" s="68">
        <v>0</v>
      </c>
      <c r="D2" s="68">
        <v>1</v>
      </c>
      <c r="E2" s="68" t="s">
        <v>408</v>
      </c>
    </row>
    <row r="3" spans="1:5">
      <c r="A3" s="68">
        <v>0.122539</v>
      </c>
      <c r="B3" s="68">
        <v>0.72719800000000001</v>
      </c>
      <c r="C3" s="68">
        <v>0.40813700000000003</v>
      </c>
      <c r="D3" s="89">
        <v>1</v>
      </c>
      <c r="E3" s="68" t="s">
        <v>409</v>
      </c>
    </row>
    <row r="4" spans="1:5">
      <c r="A4" s="68">
        <v>0.124476</v>
      </c>
      <c r="B4" s="68">
        <v>0.72204999999999997</v>
      </c>
      <c r="C4" s="68">
        <v>0.81599299999999997</v>
      </c>
      <c r="D4" s="89">
        <v>1</v>
      </c>
      <c r="E4" s="68" t="s">
        <v>410</v>
      </c>
    </row>
    <row r="5" spans="1:5">
      <c r="A5" s="89">
        <v>0.12645899999999999</v>
      </c>
      <c r="B5" s="89">
        <v>0.71617299999999995</v>
      </c>
      <c r="C5" s="89">
        <v>1.22113</v>
      </c>
      <c r="D5" s="89">
        <v>1</v>
      </c>
      <c r="E5" s="68" t="s">
        <v>411</v>
      </c>
    </row>
    <row r="6" spans="1:5">
      <c r="A6" s="68">
        <v>0.128414</v>
      </c>
      <c r="B6" s="68">
        <v>0.71049099999999998</v>
      </c>
      <c r="C6" s="68">
        <v>1.62632</v>
      </c>
      <c r="D6" s="68">
        <v>1</v>
      </c>
      <c r="E6" s="68" t="s">
        <v>412</v>
      </c>
    </row>
    <row r="7" spans="1:5">
      <c r="A7" s="68">
        <v>0.130333</v>
      </c>
      <c r="B7" s="68">
        <v>0.70513300000000001</v>
      </c>
      <c r="C7" s="68">
        <v>2.0325600000000001</v>
      </c>
      <c r="D7" s="68">
        <v>1</v>
      </c>
      <c r="E7" s="68" t="s">
        <v>413</v>
      </c>
    </row>
    <row r="8" spans="1:5">
      <c r="A8" s="68">
        <v>0.13219600000000001</v>
      </c>
      <c r="B8" s="68">
        <v>0.70019299999999995</v>
      </c>
      <c r="C8" s="68">
        <v>2.4383300000000001</v>
      </c>
      <c r="D8" s="68">
        <v>1</v>
      </c>
      <c r="E8" s="68" t="s">
        <v>414</v>
      </c>
    </row>
    <row r="9" spans="1:5">
      <c r="A9" s="68">
        <v>0.13413900000000001</v>
      </c>
      <c r="B9" s="68">
        <v>0.69519399999999998</v>
      </c>
      <c r="C9" s="68">
        <v>2.8442400000000001</v>
      </c>
      <c r="D9" s="68">
        <v>1</v>
      </c>
      <c r="E9" s="68" t="s">
        <v>415</v>
      </c>
    </row>
    <row r="10" spans="1:5">
      <c r="A10" s="68">
        <v>0.13611599999999999</v>
      </c>
      <c r="B10" s="68">
        <v>0.69028500000000004</v>
      </c>
      <c r="C10" s="68">
        <v>3.25271</v>
      </c>
      <c r="D10" s="68">
        <v>1</v>
      </c>
      <c r="E10" s="68" t="s">
        <v>416</v>
      </c>
    </row>
    <row r="11" spans="1:5">
      <c r="A11" s="68">
        <v>0.13819100000000001</v>
      </c>
      <c r="B11" s="68">
        <v>0.68541300000000005</v>
      </c>
      <c r="C11" s="68">
        <v>3.66147</v>
      </c>
      <c r="D11" s="68">
        <v>1</v>
      </c>
      <c r="E11" s="68" t="s">
        <v>417</v>
      </c>
    </row>
    <row r="12" spans="1:5">
      <c r="A12" s="68">
        <v>0.140457</v>
      </c>
      <c r="B12" s="68">
        <v>0.68023199999999995</v>
      </c>
      <c r="C12" s="68">
        <v>4.06616</v>
      </c>
      <c r="D12" s="68">
        <v>1</v>
      </c>
      <c r="E12" s="68" t="s">
        <v>418</v>
      </c>
    </row>
    <row r="13" spans="1:5">
      <c r="A13" s="68">
        <v>0.14294299999999999</v>
      </c>
      <c r="B13" s="68">
        <v>0.67402099999999998</v>
      </c>
      <c r="C13" s="68">
        <v>4.4719199999999999</v>
      </c>
      <c r="D13" s="68">
        <v>1</v>
      </c>
      <c r="E13" s="68" t="s">
        <v>419</v>
      </c>
    </row>
    <row r="14" spans="1:5">
      <c r="A14" s="68">
        <v>0.145481</v>
      </c>
      <c r="B14" s="68">
        <v>0.66715000000000002</v>
      </c>
      <c r="C14" s="68">
        <v>4.8791399999999996</v>
      </c>
      <c r="D14" s="68">
        <v>1</v>
      </c>
      <c r="E14" s="68" t="s">
        <v>420</v>
      </c>
    </row>
    <row r="15" spans="1:5">
      <c r="A15" s="68">
        <v>0.14817</v>
      </c>
      <c r="B15" s="68">
        <v>0.65964</v>
      </c>
      <c r="C15" s="68">
        <v>5.2841699999999996</v>
      </c>
      <c r="D15" s="68">
        <v>1</v>
      </c>
      <c r="E15" s="68" t="s">
        <v>421</v>
      </c>
    </row>
    <row r="16" spans="1:5">
      <c r="A16" s="68">
        <v>0.15077299999999999</v>
      </c>
      <c r="B16" s="68">
        <v>0.65300400000000003</v>
      </c>
      <c r="C16" s="68">
        <v>5.6886999999999999</v>
      </c>
      <c r="D16" s="68">
        <v>1</v>
      </c>
      <c r="E16" s="68" t="s">
        <v>422</v>
      </c>
    </row>
    <row r="17" spans="1:5">
      <c r="A17" s="68">
        <v>0.15277199999999999</v>
      </c>
      <c r="B17" s="68">
        <v>0.64855300000000005</v>
      </c>
      <c r="C17" s="68">
        <v>6.0952799999999998</v>
      </c>
      <c r="D17" s="68">
        <v>1</v>
      </c>
      <c r="E17" s="68" t="s">
        <v>423</v>
      </c>
    </row>
    <row r="18" spans="1:5">
      <c r="A18" s="68">
        <v>0.15437100000000001</v>
      </c>
      <c r="B18" s="68">
        <v>0.64530500000000002</v>
      </c>
      <c r="C18" s="68">
        <v>6.5028699999999997</v>
      </c>
      <c r="D18" s="68">
        <v>1</v>
      </c>
      <c r="E18" s="68" t="s">
        <v>424</v>
      </c>
    </row>
    <row r="19" spans="1:5">
      <c r="A19" s="68">
        <v>0.155694</v>
      </c>
      <c r="B19" s="68">
        <v>0.64298</v>
      </c>
      <c r="C19" s="68">
        <v>6.9124299999999996</v>
      </c>
      <c r="D19" s="68">
        <v>1</v>
      </c>
      <c r="E19" s="68" t="s">
        <v>425</v>
      </c>
    </row>
    <row r="20" spans="1:5">
      <c r="A20" s="68">
        <v>0.156748</v>
      </c>
      <c r="B20" s="68">
        <v>0.64105400000000001</v>
      </c>
      <c r="C20" s="68">
        <v>7.3124799999999999</v>
      </c>
      <c r="D20" s="68">
        <v>1</v>
      </c>
      <c r="E20" s="68" t="s">
        <v>426</v>
      </c>
    </row>
    <row r="21" spans="1:5">
      <c r="A21" s="68">
        <v>0.15770000000000001</v>
      </c>
      <c r="B21" s="68">
        <v>0.63956900000000005</v>
      </c>
      <c r="C21" s="68">
        <v>7.7199499999999999</v>
      </c>
      <c r="D21" s="68">
        <v>1</v>
      </c>
      <c r="E21" s="68" t="s">
        <v>427</v>
      </c>
    </row>
    <row r="22" spans="1:5">
      <c r="A22" s="68">
        <v>0.15870799999999999</v>
      </c>
      <c r="B22" s="68">
        <v>0.63782399999999995</v>
      </c>
      <c r="C22" s="68">
        <v>8.1267700000000005</v>
      </c>
      <c r="D22" s="68">
        <v>1</v>
      </c>
      <c r="E22" s="68" t="s">
        <v>428</v>
      </c>
    </row>
    <row r="23" spans="1:5">
      <c r="A23" s="68">
        <v>0.159694</v>
      </c>
      <c r="B23" s="68">
        <v>0.63571299999999997</v>
      </c>
      <c r="C23" s="68">
        <v>8.5349500000000003</v>
      </c>
      <c r="D23" s="68">
        <v>1</v>
      </c>
      <c r="E23" s="68" t="s">
        <v>429</v>
      </c>
    </row>
    <row r="24" spans="1:5">
      <c r="A24" s="68">
        <v>0.16075</v>
      </c>
      <c r="B24" s="68">
        <v>0.63310699999999998</v>
      </c>
      <c r="C24" s="68">
        <v>8.9405900000000003</v>
      </c>
      <c r="D24" s="68">
        <v>1</v>
      </c>
      <c r="E24" s="68" t="s">
        <v>430</v>
      </c>
    </row>
    <row r="25" spans="1:5">
      <c r="A25" s="68">
        <v>0.161966</v>
      </c>
      <c r="B25" s="68">
        <v>0.63001499999999999</v>
      </c>
      <c r="C25" s="68">
        <v>9.3443400000000008</v>
      </c>
      <c r="D25" s="68">
        <v>1</v>
      </c>
      <c r="E25" s="68" t="s">
        <v>431</v>
      </c>
    </row>
    <row r="26" spans="1:5">
      <c r="A26" s="68">
        <v>0.16309799999999999</v>
      </c>
      <c r="B26" s="68">
        <v>0.62690999999999997</v>
      </c>
      <c r="C26" s="68">
        <v>9.7531400000000001</v>
      </c>
      <c r="D26" s="68">
        <v>1</v>
      </c>
      <c r="E26" s="68" t="s">
        <v>432</v>
      </c>
    </row>
    <row r="27" spans="1:5">
      <c r="A27" s="68">
        <v>0.164016</v>
      </c>
      <c r="B27" s="68">
        <v>0.62425299999999995</v>
      </c>
      <c r="C27" s="68">
        <v>10.1556</v>
      </c>
      <c r="D27" s="68">
        <v>1</v>
      </c>
      <c r="E27" s="68" t="s">
        <v>433</v>
      </c>
    </row>
    <row r="28" spans="1:5">
      <c r="A28" s="68">
        <v>0.16488700000000001</v>
      </c>
      <c r="B28" s="68">
        <v>0.62167499999999998</v>
      </c>
      <c r="C28" s="68">
        <v>10.5647</v>
      </c>
      <c r="D28" s="68">
        <v>1</v>
      </c>
      <c r="E28" s="68" t="s">
        <v>434</v>
      </c>
    </row>
    <row r="29" spans="1:5">
      <c r="A29" s="68">
        <v>0.16573399999999999</v>
      </c>
      <c r="B29" s="68">
        <v>0.619035</v>
      </c>
      <c r="C29" s="68">
        <v>10.970499999999999</v>
      </c>
      <c r="D29" s="68">
        <v>1</v>
      </c>
      <c r="E29" s="68" t="s">
        <v>435</v>
      </c>
    </row>
    <row r="30" spans="1:5">
      <c r="A30" s="68">
        <v>0.16648199999999999</v>
      </c>
      <c r="B30" s="68">
        <v>0.61630600000000002</v>
      </c>
      <c r="C30" s="68">
        <v>11.3744</v>
      </c>
      <c r="D30" s="68">
        <v>1</v>
      </c>
      <c r="E30" s="68" t="s">
        <v>436</v>
      </c>
    </row>
    <row r="31" spans="1:5">
      <c r="A31" s="68">
        <v>0.167431</v>
      </c>
      <c r="B31" s="68">
        <v>0.61279899999999998</v>
      </c>
      <c r="C31" s="68">
        <v>11.782400000000001</v>
      </c>
      <c r="D31" s="68">
        <v>1</v>
      </c>
      <c r="E31" s="68" t="s">
        <v>437</v>
      </c>
    </row>
    <row r="32" spans="1:5">
      <c r="A32" s="68">
        <v>0.168492</v>
      </c>
      <c r="B32" s="68">
        <v>0.60888699999999996</v>
      </c>
      <c r="C32" s="68">
        <v>12.1907</v>
      </c>
      <c r="D32" s="68">
        <v>1</v>
      </c>
      <c r="E32" s="68" t="s">
        <v>438</v>
      </c>
    </row>
    <row r="33" spans="1:5">
      <c r="A33" s="68">
        <v>0.169519</v>
      </c>
      <c r="B33" s="68">
        <v>0.60514500000000004</v>
      </c>
      <c r="C33" s="68">
        <v>12.5928</v>
      </c>
      <c r="D33" s="68">
        <v>1</v>
      </c>
      <c r="E33" s="68" t="s">
        <v>439</v>
      </c>
    </row>
    <row r="34" spans="1:5">
      <c r="A34" s="68">
        <v>0.170436</v>
      </c>
      <c r="B34" s="68">
        <v>0.60130300000000003</v>
      </c>
      <c r="C34" s="68">
        <v>12.9991</v>
      </c>
      <c r="D34" s="68">
        <v>1</v>
      </c>
      <c r="E34" s="68" t="s">
        <v>440</v>
      </c>
    </row>
    <row r="35" spans="1:5">
      <c r="A35" s="68">
        <v>0.171295</v>
      </c>
      <c r="B35" s="68">
        <v>0.59710600000000003</v>
      </c>
      <c r="C35" s="68">
        <v>13.409800000000001</v>
      </c>
      <c r="D35" s="68">
        <v>1</v>
      </c>
      <c r="E35" s="68" t="s">
        <v>441</v>
      </c>
    </row>
    <row r="36" spans="1:5">
      <c r="A36" s="68">
        <v>0.172152</v>
      </c>
      <c r="B36" s="68">
        <v>0.59260999999999997</v>
      </c>
      <c r="C36" s="68">
        <v>13.814399999999999</v>
      </c>
      <c r="D36" s="68">
        <v>1</v>
      </c>
      <c r="E36" s="68" t="s">
        <v>442</v>
      </c>
    </row>
    <row r="37" spans="1:5">
      <c r="A37" s="68">
        <v>0.172955</v>
      </c>
      <c r="B37" s="68">
        <v>0.58791099999999996</v>
      </c>
      <c r="C37" s="68">
        <v>14.220700000000001</v>
      </c>
      <c r="D37" s="68">
        <v>1</v>
      </c>
      <c r="E37" s="68" t="s">
        <v>443</v>
      </c>
    </row>
    <row r="38" spans="1:5">
      <c r="A38" s="68">
        <v>0.17357300000000001</v>
      </c>
      <c r="B38" s="68">
        <v>0.58348100000000003</v>
      </c>
      <c r="C38" s="68">
        <v>14.627800000000001</v>
      </c>
      <c r="D38" s="68">
        <v>1</v>
      </c>
      <c r="E38" s="68" t="s">
        <v>444</v>
      </c>
    </row>
    <row r="39" spans="1:5">
      <c r="A39" s="68">
        <v>0.17422599999999999</v>
      </c>
      <c r="B39" s="68">
        <v>0.57918599999999998</v>
      </c>
      <c r="C39" s="68">
        <v>15.030900000000001</v>
      </c>
      <c r="D39" s="68">
        <v>1</v>
      </c>
      <c r="E39" s="68" t="s">
        <v>445</v>
      </c>
    </row>
    <row r="40" spans="1:5">
      <c r="A40" s="68">
        <v>0.174817</v>
      </c>
      <c r="B40" s="68">
        <v>0.57494800000000001</v>
      </c>
      <c r="C40" s="68">
        <v>15.440099999999999</v>
      </c>
      <c r="D40" s="68">
        <v>1</v>
      </c>
      <c r="E40" s="68" t="s">
        <v>446</v>
      </c>
    </row>
    <row r="41" spans="1:5">
      <c r="A41" s="68">
        <v>0.175541</v>
      </c>
      <c r="B41" s="68">
        <v>0.57000799999999996</v>
      </c>
      <c r="C41" s="68">
        <v>15.8462</v>
      </c>
      <c r="D41" s="68">
        <v>1</v>
      </c>
      <c r="E41" s="68" t="s">
        <v>447</v>
      </c>
    </row>
    <row r="42" spans="1:5">
      <c r="A42" s="68">
        <v>0.176396</v>
      </c>
      <c r="B42" s="68">
        <v>0.56519399999999997</v>
      </c>
      <c r="C42" s="68">
        <v>16.252700000000001</v>
      </c>
      <c r="D42" s="68">
        <v>1</v>
      </c>
      <c r="E42" s="68" t="s">
        <v>448</v>
      </c>
    </row>
    <row r="43" spans="1:5">
      <c r="A43" s="68">
        <v>0.17752699999999999</v>
      </c>
      <c r="B43" s="68">
        <v>0.560334</v>
      </c>
      <c r="C43" s="68">
        <v>16.655799999999999</v>
      </c>
      <c r="D43" s="68">
        <v>1</v>
      </c>
      <c r="E43" s="68" t="s">
        <v>449</v>
      </c>
    </row>
    <row r="44" spans="1:5">
      <c r="A44" s="68">
        <v>0.17871500000000001</v>
      </c>
      <c r="B44" s="68">
        <v>0.55561400000000005</v>
      </c>
      <c r="C44" s="68">
        <v>17.063600000000001</v>
      </c>
      <c r="D44" s="68">
        <v>1</v>
      </c>
      <c r="E44" s="68" t="s">
        <v>450</v>
      </c>
    </row>
    <row r="45" spans="1:5">
      <c r="A45" s="68">
        <v>0.17993000000000001</v>
      </c>
      <c r="B45" s="68">
        <v>0.55133799999999999</v>
      </c>
      <c r="C45" s="68">
        <v>17.472300000000001</v>
      </c>
      <c r="D45" s="68">
        <v>1</v>
      </c>
      <c r="E45" s="68" t="s">
        <v>451</v>
      </c>
    </row>
    <row r="46" spans="1:5">
      <c r="A46" s="68">
        <v>0.18112</v>
      </c>
      <c r="B46" s="68">
        <v>0.547068</v>
      </c>
      <c r="C46" s="68">
        <v>17.8765</v>
      </c>
      <c r="D46" s="68">
        <v>1</v>
      </c>
      <c r="E46" s="68" t="s">
        <v>452</v>
      </c>
    </row>
    <row r="47" spans="1:5">
      <c r="A47" s="68">
        <v>0.182227</v>
      </c>
      <c r="B47" s="68">
        <v>0.54299299999999995</v>
      </c>
      <c r="C47" s="68">
        <v>18.284500000000001</v>
      </c>
      <c r="D47" s="68">
        <v>1</v>
      </c>
      <c r="E47" s="68" t="s">
        <v>453</v>
      </c>
    </row>
    <row r="48" spans="1:5">
      <c r="A48" s="68">
        <v>0.183311</v>
      </c>
      <c r="B48" s="68">
        <v>0.53930400000000001</v>
      </c>
      <c r="C48" s="68">
        <v>18.6891</v>
      </c>
      <c r="D48" s="68">
        <v>1</v>
      </c>
      <c r="E48" s="68" t="s">
        <v>454</v>
      </c>
    </row>
    <row r="49" spans="1:5">
      <c r="A49" s="68">
        <v>0.18420700000000001</v>
      </c>
      <c r="B49" s="68">
        <v>0.53605899999999995</v>
      </c>
      <c r="C49" s="68">
        <v>19.098400000000002</v>
      </c>
      <c r="D49" s="68">
        <v>1</v>
      </c>
      <c r="E49" s="68" t="s">
        <v>455</v>
      </c>
    </row>
    <row r="50" spans="1:5">
      <c r="A50" s="68">
        <v>0.18496599999999999</v>
      </c>
      <c r="B50" s="68">
        <v>0.53292200000000001</v>
      </c>
      <c r="C50" s="68">
        <v>19.504100000000001</v>
      </c>
      <c r="D50" s="68">
        <v>1</v>
      </c>
      <c r="E50" s="68" t="s">
        <v>456</v>
      </c>
    </row>
    <row r="51" spans="1:5">
      <c r="A51" s="68">
        <v>0.18570200000000001</v>
      </c>
      <c r="B51" s="68">
        <v>0.53011900000000001</v>
      </c>
      <c r="C51" s="68">
        <v>19.909800000000001</v>
      </c>
      <c r="D51" s="68">
        <v>1</v>
      </c>
      <c r="E51" s="68" t="s">
        <v>457</v>
      </c>
    </row>
    <row r="52" spans="1:5">
      <c r="A52" s="68">
        <v>0.186559</v>
      </c>
      <c r="B52" s="68">
        <v>0.52739899999999995</v>
      </c>
      <c r="C52" s="68">
        <v>20.314599999999999</v>
      </c>
      <c r="D52" s="68">
        <v>1</v>
      </c>
      <c r="E52" s="68" t="s">
        <v>458</v>
      </c>
    </row>
    <row r="53" spans="1:5">
      <c r="A53" s="68">
        <v>0.187305</v>
      </c>
      <c r="B53" s="68">
        <v>0.52510000000000001</v>
      </c>
      <c r="C53" s="68">
        <v>20.718699999999998</v>
      </c>
      <c r="D53" s="68">
        <v>1</v>
      </c>
      <c r="E53" s="68" t="s">
        <v>459</v>
      </c>
    </row>
    <row r="54" spans="1:5">
      <c r="A54" s="68">
        <v>0.18796399999999999</v>
      </c>
      <c r="B54" s="68">
        <v>0.52313699999999996</v>
      </c>
      <c r="C54" s="68">
        <v>21.126200000000001</v>
      </c>
      <c r="D54" s="68">
        <v>1</v>
      </c>
      <c r="E54" s="68" t="s">
        <v>460</v>
      </c>
    </row>
    <row r="55" spans="1:5">
      <c r="A55" s="68">
        <v>0.18856300000000001</v>
      </c>
      <c r="B55" s="68">
        <v>0.52115900000000004</v>
      </c>
      <c r="C55" s="68">
        <v>21.530999999999999</v>
      </c>
      <c r="D55" s="68">
        <v>1</v>
      </c>
      <c r="E55" s="68" t="s">
        <v>461</v>
      </c>
    </row>
    <row r="56" spans="1:5">
      <c r="A56" s="68">
        <v>0.188971</v>
      </c>
      <c r="B56" s="68">
        <v>0.51978199999999997</v>
      </c>
      <c r="C56" s="68">
        <v>21.938500000000001</v>
      </c>
      <c r="D56" s="68">
        <v>1</v>
      </c>
      <c r="E56" s="68" t="s">
        <v>462</v>
      </c>
    </row>
    <row r="57" spans="1:5">
      <c r="A57" s="68">
        <v>0.189419</v>
      </c>
      <c r="B57" s="68">
        <v>0.51874799999999999</v>
      </c>
      <c r="C57" s="68">
        <v>22.344999999999999</v>
      </c>
      <c r="D57" s="68">
        <v>1</v>
      </c>
      <c r="E57" s="68" t="s">
        <v>463</v>
      </c>
    </row>
    <row r="58" spans="1:5">
      <c r="A58" s="68">
        <v>0.19001399999999999</v>
      </c>
      <c r="B58" s="68">
        <v>0.51759699999999997</v>
      </c>
      <c r="C58" s="68">
        <v>22.753599999999999</v>
      </c>
      <c r="D58" s="68">
        <v>1</v>
      </c>
      <c r="E58" s="68" t="s">
        <v>464</v>
      </c>
    </row>
    <row r="59" spans="1:5">
      <c r="A59" s="68">
        <v>0.190502</v>
      </c>
      <c r="B59" s="68">
        <v>0.51672099999999999</v>
      </c>
      <c r="C59" s="68">
        <v>23.158999999999999</v>
      </c>
      <c r="D59" s="68">
        <v>1</v>
      </c>
      <c r="E59" s="68" t="s">
        <v>465</v>
      </c>
    </row>
    <row r="60" spans="1:5">
      <c r="A60" s="68">
        <v>0.190882</v>
      </c>
      <c r="B60" s="68">
        <v>0.51668099999999995</v>
      </c>
      <c r="C60" s="68">
        <v>23.566099999999999</v>
      </c>
      <c r="D60" s="68">
        <v>1</v>
      </c>
      <c r="E60" s="68" t="s">
        <v>466</v>
      </c>
    </row>
    <row r="61" spans="1:5">
      <c r="A61" s="68">
        <v>0.190946</v>
      </c>
      <c r="B61" s="68">
        <v>0.516849</v>
      </c>
      <c r="C61" s="68">
        <v>23.973800000000001</v>
      </c>
      <c r="D61" s="68">
        <v>1</v>
      </c>
      <c r="E61" s="68" t="s">
        <v>467</v>
      </c>
    </row>
    <row r="62" spans="1:5">
      <c r="A62" s="68">
        <v>0.19060299999999999</v>
      </c>
      <c r="B62" s="68">
        <v>0.51734800000000003</v>
      </c>
      <c r="C62" s="68">
        <v>24.381900000000002</v>
      </c>
      <c r="D62" s="68">
        <v>1</v>
      </c>
      <c r="E62" s="68" t="s">
        <v>468</v>
      </c>
    </row>
    <row r="63" spans="1:5">
      <c r="A63" s="68">
        <v>0.190104</v>
      </c>
      <c r="B63" s="68">
        <v>0.51814800000000005</v>
      </c>
      <c r="C63" s="68">
        <v>24.783799999999999</v>
      </c>
      <c r="D63" s="68">
        <v>1</v>
      </c>
      <c r="E63" s="68" t="s">
        <v>469</v>
      </c>
    </row>
    <row r="64" spans="1:5">
      <c r="A64" s="68">
        <v>0.189419</v>
      </c>
      <c r="B64" s="68">
        <v>0.51926399999999995</v>
      </c>
      <c r="C64" s="68">
        <v>25.189699999999998</v>
      </c>
      <c r="D64" s="68">
        <v>1</v>
      </c>
      <c r="E64" s="68" t="s">
        <v>470</v>
      </c>
    </row>
    <row r="65" spans="1:5">
      <c r="A65" s="68">
        <v>0.18875</v>
      </c>
      <c r="B65" s="68">
        <v>0.52072200000000002</v>
      </c>
      <c r="C65" s="68">
        <v>25.597300000000001</v>
      </c>
      <c r="D65" s="68">
        <v>1</v>
      </c>
      <c r="E65" s="68" t="s">
        <v>471</v>
      </c>
    </row>
    <row r="66" spans="1:5">
      <c r="A66" s="68">
        <v>0.187805</v>
      </c>
      <c r="B66" s="68">
        <v>0.52279500000000001</v>
      </c>
      <c r="C66" s="68">
        <v>26.0032</v>
      </c>
      <c r="D66" s="68">
        <v>1</v>
      </c>
      <c r="E66" s="68" t="s">
        <v>472</v>
      </c>
    </row>
    <row r="67" spans="1:5">
      <c r="A67" s="68">
        <v>0.187115</v>
      </c>
      <c r="B67" s="68">
        <v>0.52438099999999999</v>
      </c>
      <c r="C67" s="68">
        <v>26.4072</v>
      </c>
      <c r="D67" s="68">
        <v>1</v>
      </c>
      <c r="E67" s="68" t="s">
        <v>473</v>
      </c>
    </row>
    <row r="68" spans="1:5">
      <c r="A68" s="68">
        <v>0.18643699999999999</v>
      </c>
      <c r="B68" s="68">
        <v>0.52589799999999998</v>
      </c>
      <c r="C68" s="68">
        <v>26.8156</v>
      </c>
      <c r="D68" s="68">
        <v>1</v>
      </c>
      <c r="E68" s="68" t="s">
        <v>474</v>
      </c>
    </row>
    <row r="69" spans="1:5">
      <c r="A69" s="68">
        <v>0.18581700000000001</v>
      </c>
      <c r="B69" s="68">
        <v>0.52732199999999996</v>
      </c>
      <c r="C69" s="68">
        <v>27.223199999999999</v>
      </c>
      <c r="D69" s="68">
        <v>1</v>
      </c>
      <c r="E69" s="68" t="s">
        <v>475</v>
      </c>
    </row>
    <row r="70" spans="1:5">
      <c r="A70" s="68">
        <v>0.18546499999999999</v>
      </c>
      <c r="B70" s="68">
        <v>0.52858899999999998</v>
      </c>
      <c r="C70" s="68">
        <v>27.629799999999999</v>
      </c>
      <c r="D70" s="68">
        <v>1</v>
      </c>
      <c r="E70" s="68" t="s">
        <v>476</v>
      </c>
    </row>
    <row r="71" spans="1:5">
      <c r="A71" s="68">
        <v>0.18507899999999999</v>
      </c>
      <c r="B71" s="68">
        <v>0.53018200000000004</v>
      </c>
      <c r="C71" s="68">
        <v>28.034800000000001</v>
      </c>
      <c r="D71" s="68">
        <v>1</v>
      </c>
      <c r="E71" s="68" t="s">
        <v>477</v>
      </c>
    </row>
    <row r="72" spans="1:5">
      <c r="A72" s="68">
        <v>0.18468699999999999</v>
      </c>
      <c r="B72" s="68">
        <v>0.53236099999999997</v>
      </c>
      <c r="C72" s="68">
        <v>28.440300000000001</v>
      </c>
      <c r="D72" s="68">
        <v>1</v>
      </c>
      <c r="E72" s="68" t="s">
        <v>478</v>
      </c>
    </row>
    <row r="73" spans="1:5">
      <c r="A73" s="68">
        <v>0.18455099999999999</v>
      </c>
      <c r="B73" s="68">
        <v>0.53477200000000003</v>
      </c>
      <c r="C73" s="68">
        <v>28.8445</v>
      </c>
      <c r="D73" s="68">
        <v>1</v>
      </c>
      <c r="E73" s="68" t="s">
        <v>479</v>
      </c>
    </row>
    <row r="74" spans="1:5">
      <c r="A74" s="68">
        <v>0.184392</v>
      </c>
      <c r="B74" s="68">
        <v>0.53730800000000001</v>
      </c>
      <c r="C74" s="68">
        <v>29.252199999999998</v>
      </c>
      <c r="D74" s="68">
        <v>1</v>
      </c>
      <c r="E74" s="68" t="s">
        <v>480</v>
      </c>
    </row>
    <row r="75" spans="1:5">
      <c r="A75" s="68">
        <v>0.18421299999999999</v>
      </c>
      <c r="B75" s="68">
        <v>0.540543</v>
      </c>
      <c r="C75" s="68">
        <v>29.6616</v>
      </c>
      <c r="D75" s="68">
        <v>1</v>
      </c>
      <c r="E75" s="68" t="s">
        <v>481</v>
      </c>
    </row>
    <row r="76" spans="1:5">
      <c r="A76" s="68">
        <v>0.18412600000000001</v>
      </c>
      <c r="B76" s="68">
        <v>0.54377200000000003</v>
      </c>
      <c r="C76" s="68">
        <v>30.066199999999998</v>
      </c>
      <c r="D76" s="68">
        <v>2</v>
      </c>
      <c r="E76" s="68" t="s">
        <v>482</v>
      </c>
    </row>
    <row r="77" spans="1:5">
      <c r="A77" s="68">
        <v>0.184146</v>
      </c>
      <c r="B77" s="68">
        <v>0.54680200000000001</v>
      </c>
      <c r="C77" s="68">
        <v>30.4709</v>
      </c>
      <c r="D77" s="68">
        <v>2</v>
      </c>
      <c r="E77" s="68" t="s">
        <v>483</v>
      </c>
    </row>
    <row r="78" spans="1:5">
      <c r="A78" s="68">
        <v>0.18418200000000001</v>
      </c>
      <c r="B78" s="68">
        <v>0.54947500000000005</v>
      </c>
      <c r="C78" s="68">
        <v>30.879000000000001</v>
      </c>
      <c r="D78" s="68">
        <v>2</v>
      </c>
      <c r="E78" s="68" t="s">
        <v>484</v>
      </c>
    </row>
    <row r="79" spans="1:5">
      <c r="A79" s="68">
        <v>0.184308</v>
      </c>
      <c r="B79" s="68">
        <v>0.55181100000000005</v>
      </c>
      <c r="C79" s="68">
        <v>31.281199999999998</v>
      </c>
      <c r="D79" s="68">
        <v>2</v>
      </c>
      <c r="E79" s="68" t="s">
        <v>485</v>
      </c>
    </row>
    <row r="80" spans="1:5">
      <c r="A80" s="68">
        <v>0.18439900000000001</v>
      </c>
      <c r="B80" s="68">
        <v>0.55419499999999999</v>
      </c>
      <c r="C80" s="68">
        <v>31.687899999999999</v>
      </c>
      <c r="D80" s="68">
        <v>2</v>
      </c>
      <c r="E80" s="68" t="s">
        <v>486</v>
      </c>
    </row>
    <row r="81" spans="1:5">
      <c r="A81" s="68">
        <v>0.18444199999999999</v>
      </c>
      <c r="B81" s="68">
        <v>0.55676999999999999</v>
      </c>
      <c r="C81" s="68">
        <v>32.097099999999998</v>
      </c>
      <c r="D81" s="68">
        <v>2</v>
      </c>
      <c r="E81" s="68" t="s">
        <v>487</v>
      </c>
    </row>
    <row r="82" spans="1:5">
      <c r="A82" s="68">
        <v>0.18434800000000001</v>
      </c>
      <c r="B82" s="68">
        <v>0.55923699999999998</v>
      </c>
      <c r="C82" s="68">
        <v>32.504899999999999</v>
      </c>
      <c r="D82" s="68">
        <v>2</v>
      </c>
      <c r="E82" s="68" t="s">
        <v>488</v>
      </c>
    </row>
    <row r="83" spans="1:5">
      <c r="A83" s="68">
        <v>0.184142</v>
      </c>
      <c r="B83" s="68">
        <v>0.56188700000000003</v>
      </c>
      <c r="C83" s="68">
        <v>32.906100000000002</v>
      </c>
      <c r="D83" s="68">
        <v>2</v>
      </c>
      <c r="E83" s="68" t="s">
        <v>489</v>
      </c>
    </row>
    <row r="84" spans="1:5">
      <c r="A84" s="68">
        <v>0.184084</v>
      </c>
      <c r="B84" s="68">
        <v>0.56420099999999995</v>
      </c>
      <c r="C84" s="68">
        <v>33.312399999999997</v>
      </c>
      <c r="D84" s="68">
        <v>2</v>
      </c>
      <c r="E84" s="68" t="s">
        <v>490</v>
      </c>
    </row>
    <row r="85" spans="1:5">
      <c r="A85" s="68">
        <v>0.18407100000000001</v>
      </c>
      <c r="B85" s="68">
        <v>0.56607799999999997</v>
      </c>
      <c r="C85" s="68">
        <v>33.719299999999997</v>
      </c>
      <c r="D85" s="68">
        <v>2</v>
      </c>
      <c r="E85" s="68" t="s">
        <v>491</v>
      </c>
    </row>
    <row r="86" spans="1:5">
      <c r="A86" s="68">
        <v>0.18434600000000001</v>
      </c>
      <c r="B86" s="68">
        <v>0.56756300000000004</v>
      </c>
      <c r="C86" s="68">
        <v>34.127600000000001</v>
      </c>
      <c r="D86" s="68">
        <v>2</v>
      </c>
      <c r="E86" s="68" t="s">
        <v>492</v>
      </c>
    </row>
    <row r="87" spans="1:5">
      <c r="A87" s="68">
        <v>0.18537300000000001</v>
      </c>
      <c r="B87" s="68">
        <v>0.56803999999999999</v>
      </c>
      <c r="C87" s="68">
        <v>34.534300000000002</v>
      </c>
      <c r="D87" s="68">
        <v>2</v>
      </c>
      <c r="E87" s="68" t="s">
        <v>493</v>
      </c>
    </row>
    <row r="88" spans="1:5">
      <c r="A88" s="68">
        <v>0.18696199999999999</v>
      </c>
      <c r="B88" s="68">
        <v>0.56762500000000005</v>
      </c>
      <c r="C88" s="68">
        <v>34.9392</v>
      </c>
      <c r="D88" s="68">
        <v>2</v>
      </c>
      <c r="E88" s="68" t="s">
        <v>494</v>
      </c>
    </row>
    <row r="89" spans="1:5">
      <c r="A89" s="68">
        <v>0.18911500000000001</v>
      </c>
      <c r="B89" s="68">
        <v>0.56611999999999996</v>
      </c>
      <c r="C89" s="68">
        <v>35.345500000000001</v>
      </c>
      <c r="D89" s="68">
        <v>2</v>
      </c>
      <c r="E89" s="68" t="s">
        <v>495</v>
      </c>
    </row>
    <row r="90" spans="1:5">
      <c r="A90" s="68">
        <v>0.191112</v>
      </c>
      <c r="B90" s="68">
        <v>0.56500700000000004</v>
      </c>
      <c r="C90" s="68">
        <v>35.753100000000003</v>
      </c>
      <c r="D90" s="68">
        <v>2</v>
      </c>
      <c r="E90" s="68" t="s">
        <v>496</v>
      </c>
    </row>
    <row r="91" spans="1:5">
      <c r="A91" s="68">
        <v>0.19323599999999999</v>
      </c>
      <c r="B91" s="68">
        <v>0.56361499999999998</v>
      </c>
      <c r="C91" s="68">
        <v>36.158299999999997</v>
      </c>
      <c r="D91" s="68">
        <v>2</v>
      </c>
      <c r="E91" s="68" t="s">
        <v>497</v>
      </c>
    </row>
    <row r="92" spans="1:5">
      <c r="A92" s="68">
        <v>0.19565399999999999</v>
      </c>
      <c r="B92" s="68">
        <v>0.56049400000000005</v>
      </c>
      <c r="C92" s="68">
        <v>36.566400000000002</v>
      </c>
      <c r="D92" s="68">
        <v>2</v>
      </c>
      <c r="E92" s="68" t="s">
        <v>498</v>
      </c>
    </row>
    <row r="93" spans="1:5">
      <c r="A93" s="68">
        <v>0.198132</v>
      </c>
      <c r="B93" s="68">
        <v>0.55605099999999996</v>
      </c>
      <c r="C93" s="68">
        <v>36.9711</v>
      </c>
      <c r="D93" s="68">
        <v>2</v>
      </c>
      <c r="E93" s="68" t="s">
        <v>499</v>
      </c>
    </row>
    <row r="94" spans="1:5">
      <c r="A94" s="68">
        <v>0.20085900000000001</v>
      </c>
      <c r="B94" s="68">
        <v>0.55074800000000002</v>
      </c>
      <c r="C94" s="68">
        <v>37.377299999999998</v>
      </c>
      <c r="D94" s="68">
        <v>2</v>
      </c>
      <c r="E94" s="68" t="s">
        <v>500</v>
      </c>
    </row>
    <row r="95" spans="1:5">
      <c r="A95" s="68">
        <v>0.20361599999999999</v>
      </c>
      <c r="B95" s="68">
        <v>0.54480499999999998</v>
      </c>
      <c r="C95" s="68">
        <v>37.782699999999998</v>
      </c>
      <c r="D95" s="68">
        <v>2</v>
      </c>
      <c r="E95" s="68" t="s">
        <v>501</v>
      </c>
    </row>
    <row r="96" spans="1:5">
      <c r="A96" s="68">
        <v>0.206315</v>
      </c>
      <c r="B96" s="68">
        <v>0.53976299999999999</v>
      </c>
      <c r="C96" s="68">
        <v>38.191000000000003</v>
      </c>
      <c r="D96" s="68">
        <v>2</v>
      </c>
      <c r="E96" s="68" t="s">
        <v>502</v>
      </c>
    </row>
    <row r="97" spans="1:5">
      <c r="A97" s="68">
        <v>0.20896300000000001</v>
      </c>
      <c r="B97" s="68">
        <v>0.53495199999999998</v>
      </c>
      <c r="C97" s="68">
        <v>38.597099999999998</v>
      </c>
      <c r="D97" s="68">
        <v>2</v>
      </c>
      <c r="E97" s="68" t="s">
        <v>503</v>
      </c>
    </row>
    <row r="98" spans="1:5">
      <c r="A98" s="68">
        <v>0.21140700000000001</v>
      </c>
      <c r="B98" s="68">
        <v>0.53009700000000004</v>
      </c>
      <c r="C98" s="68">
        <v>39.004300000000001</v>
      </c>
      <c r="D98" s="68">
        <v>2</v>
      </c>
      <c r="E98" s="68" t="s">
        <v>504</v>
      </c>
    </row>
    <row r="99" spans="1:5">
      <c r="A99" s="68">
        <v>0.213814</v>
      </c>
      <c r="B99" s="68">
        <v>0.52590400000000004</v>
      </c>
      <c r="C99" s="68">
        <v>39.407800000000002</v>
      </c>
      <c r="D99" s="68">
        <v>2</v>
      </c>
      <c r="E99" s="68" t="s">
        <v>505</v>
      </c>
    </row>
    <row r="100" spans="1:5">
      <c r="A100" s="68">
        <v>0.216275</v>
      </c>
      <c r="B100" s="68">
        <v>0.52112199999999997</v>
      </c>
      <c r="C100" s="68">
        <v>39.815199999999997</v>
      </c>
      <c r="D100" s="68">
        <v>2</v>
      </c>
      <c r="E100" s="68" t="s">
        <v>506</v>
      </c>
    </row>
    <row r="101" spans="1:5">
      <c r="A101" s="68">
        <v>0.21875700000000001</v>
      </c>
      <c r="B101" s="68">
        <v>0.51639999999999997</v>
      </c>
      <c r="C101" s="68">
        <v>40.222499999999997</v>
      </c>
      <c r="D101" s="68">
        <v>2</v>
      </c>
      <c r="E101" s="68" t="s">
        <v>507</v>
      </c>
    </row>
    <row r="102" spans="1:5">
      <c r="A102" s="68">
        <v>0.22111800000000001</v>
      </c>
      <c r="B102" s="68">
        <v>0.51224400000000003</v>
      </c>
      <c r="C102" s="68">
        <v>40.630699999999997</v>
      </c>
      <c r="D102" s="68">
        <v>2</v>
      </c>
      <c r="E102" s="68" t="s">
        <v>508</v>
      </c>
    </row>
    <row r="103" spans="1:5">
      <c r="A103" s="68">
        <v>0.22356599999999999</v>
      </c>
      <c r="B103" s="68">
        <v>0.50802199999999997</v>
      </c>
      <c r="C103" s="68">
        <v>41.031100000000002</v>
      </c>
      <c r="D103" s="68">
        <v>2</v>
      </c>
      <c r="E103" s="68" t="s">
        <v>509</v>
      </c>
    </row>
    <row r="104" spans="1:5">
      <c r="A104" s="68">
        <v>0.225717</v>
      </c>
      <c r="B104" s="68">
        <v>0.50463499999999994</v>
      </c>
      <c r="C104" s="68">
        <v>41.440600000000003</v>
      </c>
      <c r="D104" s="68">
        <v>2</v>
      </c>
      <c r="E104" s="68" t="s">
        <v>510</v>
      </c>
    </row>
    <row r="105" spans="1:5">
      <c r="A105" s="68">
        <v>0.22752500000000001</v>
      </c>
      <c r="B105" s="68">
        <v>0.50239100000000003</v>
      </c>
      <c r="C105" s="68">
        <v>41.846499999999999</v>
      </c>
      <c r="D105" s="68">
        <v>2</v>
      </c>
      <c r="E105" s="68" t="s">
        <v>511</v>
      </c>
    </row>
    <row r="106" spans="1:5">
      <c r="A106" s="68">
        <v>0.22903999999999999</v>
      </c>
      <c r="B106" s="68">
        <v>0.50040700000000005</v>
      </c>
      <c r="C106" s="68">
        <v>42.251100000000001</v>
      </c>
      <c r="D106" s="68">
        <v>2</v>
      </c>
      <c r="E106" s="68" t="s">
        <v>512</v>
      </c>
    </row>
    <row r="107" spans="1:5">
      <c r="A107" s="68">
        <v>0.23025100000000001</v>
      </c>
      <c r="B107" s="68">
        <v>0.49793799999999999</v>
      </c>
      <c r="C107" s="68">
        <v>42.660400000000003</v>
      </c>
      <c r="D107" s="68">
        <v>2</v>
      </c>
      <c r="E107" s="68" t="s">
        <v>513</v>
      </c>
    </row>
    <row r="108" spans="1:5">
      <c r="A108" s="68">
        <v>0.23150100000000001</v>
      </c>
      <c r="B108" s="68">
        <v>0.49469999999999997</v>
      </c>
      <c r="C108" s="68">
        <v>43.063299999999998</v>
      </c>
      <c r="D108" s="68">
        <v>2</v>
      </c>
      <c r="E108" s="68" t="s">
        <v>514</v>
      </c>
    </row>
    <row r="109" spans="1:5">
      <c r="A109" s="68">
        <v>0.232738</v>
      </c>
      <c r="B109" s="68">
        <v>0.491533</v>
      </c>
      <c r="C109" s="68">
        <v>43.470399999999998</v>
      </c>
      <c r="D109" s="68">
        <v>2</v>
      </c>
      <c r="E109" s="68" t="s">
        <v>515</v>
      </c>
    </row>
    <row r="110" spans="1:5">
      <c r="A110" s="68">
        <v>0.23399400000000001</v>
      </c>
      <c r="B110" s="68">
        <v>0.48862800000000001</v>
      </c>
      <c r="C110" s="68">
        <v>43.878</v>
      </c>
      <c r="D110" s="68">
        <v>2</v>
      </c>
      <c r="E110" s="68" t="s">
        <v>516</v>
      </c>
    </row>
    <row r="111" spans="1:5">
      <c r="A111" s="68">
        <v>0.235182</v>
      </c>
      <c r="B111" s="68">
        <v>0.48599700000000001</v>
      </c>
      <c r="C111" s="68">
        <v>44.284700000000001</v>
      </c>
      <c r="D111" s="68">
        <v>2</v>
      </c>
      <c r="E111" s="68" t="s">
        <v>517</v>
      </c>
    </row>
    <row r="112" spans="1:5">
      <c r="A112" s="68">
        <v>0.23607</v>
      </c>
      <c r="B112" s="68">
        <v>0.48295199999999999</v>
      </c>
      <c r="C112" s="68">
        <v>44.688499999999998</v>
      </c>
      <c r="D112" s="68">
        <v>2</v>
      </c>
      <c r="E112" s="68" t="s">
        <v>518</v>
      </c>
    </row>
    <row r="113" spans="1:5">
      <c r="A113" s="68">
        <v>0.23663300000000001</v>
      </c>
      <c r="B113" s="68">
        <v>0.47972999999999999</v>
      </c>
      <c r="C113" s="68">
        <v>45.095500000000001</v>
      </c>
      <c r="D113" s="68">
        <v>2</v>
      </c>
      <c r="E113" s="68" t="s">
        <v>519</v>
      </c>
    </row>
    <row r="114" spans="1:5">
      <c r="A114" s="68">
        <v>0.23675199999999999</v>
      </c>
      <c r="B114" s="68">
        <v>0.47675800000000002</v>
      </c>
      <c r="C114" s="68">
        <v>45.500999999999998</v>
      </c>
      <c r="D114" s="68">
        <v>2</v>
      </c>
      <c r="E114" s="68" t="s">
        <v>520</v>
      </c>
    </row>
    <row r="115" spans="1:5">
      <c r="A115" s="68">
        <v>0.23682</v>
      </c>
      <c r="B115" s="68">
        <v>0.47387899999999999</v>
      </c>
      <c r="C115" s="68">
        <v>45.906300000000002</v>
      </c>
      <c r="D115" s="68">
        <v>2</v>
      </c>
      <c r="E115" s="68" t="s">
        <v>521</v>
      </c>
    </row>
    <row r="116" spans="1:5">
      <c r="A116" s="68">
        <v>0.23686199999999999</v>
      </c>
      <c r="B116" s="68">
        <v>0.471138</v>
      </c>
      <c r="C116" s="68">
        <v>46.314799999999998</v>
      </c>
      <c r="D116" s="68">
        <v>2</v>
      </c>
      <c r="E116" s="68" t="s">
        <v>522</v>
      </c>
    </row>
    <row r="117" spans="1:5">
      <c r="A117" s="68">
        <v>0.23647000000000001</v>
      </c>
      <c r="B117" s="68">
        <v>0.46965899999999999</v>
      </c>
      <c r="C117" s="68">
        <v>46.718800000000002</v>
      </c>
      <c r="D117" s="68">
        <v>2</v>
      </c>
      <c r="E117" s="68" t="s">
        <v>523</v>
      </c>
    </row>
    <row r="118" spans="1:5">
      <c r="A118" s="68">
        <v>0.23594499999999999</v>
      </c>
      <c r="B118" s="68">
        <v>0.468891</v>
      </c>
      <c r="C118" s="68">
        <v>47.126899999999999</v>
      </c>
      <c r="D118" s="68">
        <v>2</v>
      </c>
      <c r="E118" s="68" t="s">
        <v>524</v>
      </c>
    </row>
    <row r="119" spans="1:5">
      <c r="A119" s="68">
        <v>0.235149</v>
      </c>
      <c r="B119" s="68">
        <v>0.468634</v>
      </c>
      <c r="C119" s="68">
        <v>47.535800000000002</v>
      </c>
      <c r="D119" s="68">
        <v>2</v>
      </c>
      <c r="E119" s="68" t="s">
        <v>525</v>
      </c>
    </row>
    <row r="120" spans="1:5">
      <c r="A120" s="68">
        <v>0.234094</v>
      </c>
      <c r="B120" s="68">
        <v>0.468586</v>
      </c>
      <c r="C120" s="68">
        <v>47.941099999999999</v>
      </c>
      <c r="D120" s="68">
        <v>2</v>
      </c>
      <c r="E120" s="68" t="s">
        <v>526</v>
      </c>
    </row>
    <row r="121" spans="1:5">
      <c r="A121" s="68">
        <v>0.23305799999999999</v>
      </c>
      <c r="B121" s="68">
        <v>0.46800399999999998</v>
      </c>
      <c r="C121" s="68">
        <v>48.345399999999998</v>
      </c>
      <c r="D121" s="68">
        <v>2</v>
      </c>
      <c r="E121" s="68" t="s">
        <v>527</v>
      </c>
    </row>
    <row r="122" spans="1:5">
      <c r="A122" s="68">
        <v>0.23199600000000001</v>
      </c>
      <c r="B122" s="68">
        <v>0.467389</v>
      </c>
      <c r="C122" s="68">
        <v>48.752899999999997</v>
      </c>
      <c r="D122" s="68">
        <v>2</v>
      </c>
      <c r="E122" s="68" t="s">
        <v>528</v>
      </c>
    </row>
    <row r="123" spans="1:5">
      <c r="A123" s="68">
        <v>0.230823</v>
      </c>
      <c r="B123" s="68">
        <v>0.46720299999999998</v>
      </c>
      <c r="C123" s="68">
        <v>49.156300000000002</v>
      </c>
      <c r="D123" s="68">
        <v>2</v>
      </c>
      <c r="E123" s="68" t="s">
        <v>529</v>
      </c>
    </row>
    <row r="124" spans="1:5">
      <c r="A124" s="68">
        <v>0.22964200000000001</v>
      </c>
      <c r="B124" s="68">
        <v>0.46701399999999998</v>
      </c>
      <c r="C124" s="68">
        <v>49.565800000000003</v>
      </c>
      <c r="D124" s="68">
        <v>2</v>
      </c>
      <c r="E124" s="68" t="s">
        <v>530</v>
      </c>
    </row>
    <row r="125" spans="1:5">
      <c r="A125" s="68">
        <v>0.22831099999999999</v>
      </c>
      <c r="B125" s="68">
        <v>0.46748099999999998</v>
      </c>
      <c r="C125" s="68">
        <v>49.970500000000001</v>
      </c>
      <c r="D125" s="68">
        <v>2</v>
      </c>
      <c r="E125" s="68" t="s">
        <v>531</v>
      </c>
    </row>
    <row r="126" spans="1:5">
      <c r="A126" s="68">
        <v>0.22742299999999999</v>
      </c>
      <c r="B126" s="68">
        <v>0.46774199999999999</v>
      </c>
      <c r="C126" s="68">
        <v>50.378</v>
      </c>
      <c r="D126" s="68">
        <v>2</v>
      </c>
      <c r="E126" s="68" t="s">
        <v>532</v>
      </c>
    </row>
    <row r="127" spans="1:5">
      <c r="A127" s="68">
        <v>0.22648099999999999</v>
      </c>
      <c r="B127" s="68">
        <v>0.467945</v>
      </c>
      <c r="C127" s="68">
        <v>50.783900000000003</v>
      </c>
      <c r="D127" s="68">
        <v>2</v>
      </c>
      <c r="E127" s="68" t="s">
        <v>533</v>
      </c>
    </row>
    <row r="128" spans="1:5">
      <c r="A128" s="68">
        <v>0.22534799999999999</v>
      </c>
      <c r="B128" s="68">
        <v>0.46874100000000002</v>
      </c>
      <c r="C128" s="68">
        <v>51.190199999999997</v>
      </c>
      <c r="D128" s="68">
        <v>2</v>
      </c>
      <c r="E128" s="68" t="s">
        <v>534</v>
      </c>
    </row>
    <row r="129" spans="1:5">
      <c r="A129" s="68">
        <v>0.22433900000000001</v>
      </c>
      <c r="B129" s="68">
        <v>0.46917900000000001</v>
      </c>
      <c r="C129" s="68">
        <v>51.5974</v>
      </c>
      <c r="D129" s="68">
        <v>2</v>
      </c>
      <c r="E129" s="68" t="s">
        <v>535</v>
      </c>
    </row>
    <row r="130" spans="1:5">
      <c r="A130" s="68">
        <v>0.22364700000000001</v>
      </c>
      <c r="B130" s="68">
        <v>0.46879599999999999</v>
      </c>
      <c r="C130" s="68">
        <v>52.000799999999998</v>
      </c>
      <c r="D130" s="68">
        <v>2</v>
      </c>
      <c r="E130" s="68" t="s">
        <v>536</v>
      </c>
    </row>
    <row r="131" spans="1:5">
      <c r="A131" s="68">
        <v>0.22325500000000001</v>
      </c>
      <c r="B131" s="68">
        <v>0.46788400000000002</v>
      </c>
      <c r="C131" s="68">
        <v>52.407200000000003</v>
      </c>
      <c r="D131" s="68">
        <v>2</v>
      </c>
      <c r="E131" s="68" t="s">
        <v>537</v>
      </c>
    </row>
    <row r="132" spans="1:5">
      <c r="A132" s="68">
        <v>0.22319600000000001</v>
      </c>
      <c r="B132" s="68">
        <v>0.46771699999999999</v>
      </c>
      <c r="C132" s="68">
        <v>52.813600000000001</v>
      </c>
      <c r="D132" s="68">
        <v>2</v>
      </c>
      <c r="E132" s="68" t="s">
        <v>538</v>
      </c>
    </row>
    <row r="133" spans="1:5">
      <c r="A133" s="68">
        <v>0.22300400000000001</v>
      </c>
      <c r="B133" s="68">
        <v>0.46881800000000001</v>
      </c>
      <c r="C133" s="68">
        <v>53.223300000000002</v>
      </c>
      <c r="D133" s="68">
        <v>2</v>
      </c>
      <c r="E133" s="68" t="s">
        <v>539</v>
      </c>
    </row>
    <row r="134" spans="1:5">
      <c r="A134" s="68">
        <v>0.22269600000000001</v>
      </c>
      <c r="B134" s="68">
        <v>0.47013899999999997</v>
      </c>
      <c r="C134" s="68">
        <v>53.628999999999998</v>
      </c>
      <c r="D134" s="68">
        <v>2</v>
      </c>
      <c r="E134" s="68" t="s">
        <v>540</v>
      </c>
    </row>
    <row r="135" spans="1:5">
      <c r="A135" s="68">
        <v>0.22231500000000001</v>
      </c>
      <c r="B135" s="68">
        <v>0.47139599999999998</v>
      </c>
      <c r="C135" s="68">
        <v>54.032600000000002</v>
      </c>
      <c r="D135" s="68">
        <v>2</v>
      </c>
      <c r="E135" s="68" t="s">
        <v>541</v>
      </c>
    </row>
    <row r="136" spans="1:5">
      <c r="A136" s="68">
        <v>0.22189200000000001</v>
      </c>
      <c r="B136" s="68">
        <v>0.47258899999999998</v>
      </c>
      <c r="C136" s="68">
        <v>54.440100000000001</v>
      </c>
      <c r="D136" s="68">
        <v>2</v>
      </c>
      <c r="E136" s="68" t="s">
        <v>542</v>
      </c>
    </row>
    <row r="137" spans="1:5">
      <c r="A137" s="68">
        <v>0.22139500000000001</v>
      </c>
      <c r="B137" s="68">
        <v>0.474082</v>
      </c>
      <c r="C137" s="68">
        <v>54.846800000000002</v>
      </c>
      <c r="D137" s="68">
        <v>2</v>
      </c>
      <c r="E137" s="68" t="s">
        <v>543</v>
      </c>
    </row>
    <row r="138" spans="1:5">
      <c r="A138" s="68">
        <v>0.22084200000000001</v>
      </c>
      <c r="B138" s="68">
        <v>0.47550199999999998</v>
      </c>
      <c r="C138" s="68">
        <v>55.254199999999997</v>
      </c>
      <c r="D138" s="68">
        <v>2</v>
      </c>
      <c r="E138" s="68" t="s">
        <v>544</v>
      </c>
    </row>
    <row r="139" spans="1:5">
      <c r="A139" s="68">
        <v>0.22036900000000001</v>
      </c>
      <c r="B139" s="68">
        <v>0.47596100000000002</v>
      </c>
      <c r="C139" s="68">
        <v>55.659700000000001</v>
      </c>
      <c r="D139" s="68">
        <v>2</v>
      </c>
      <c r="E139" s="68" t="s">
        <v>545</v>
      </c>
    </row>
    <row r="140" spans="1:5">
      <c r="A140" s="68">
        <v>0.21987100000000001</v>
      </c>
      <c r="B140" s="68">
        <v>0.47611599999999998</v>
      </c>
      <c r="C140" s="68">
        <v>56.063299999999998</v>
      </c>
      <c r="D140" s="68">
        <v>2</v>
      </c>
      <c r="E140" s="68" t="s">
        <v>546</v>
      </c>
    </row>
    <row r="141" spans="1:5">
      <c r="A141" s="68">
        <v>0.21918399999999999</v>
      </c>
      <c r="B141" s="68">
        <v>0.47677399999999998</v>
      </c>
      <c r="C141" s="68">
        <v>56.471800000000002</v>
      </c>
      <c r="D141" s="68">
        <v>2</v>
      </c>
      <c r="E141" s="68" t="s">
        <v>547</v>
      </c>
    </row>
    <row r="142" spans="1:5">
      <c r="A142" s="68">
        <v>0.218614</v>
      </c>
      <c r="B142" s="68">
        <v>0.475518</v>
      </c>
      <c r="C142" s="68">
        <v>56.877899999999997</v>
      </c>
      <c r="D142" s="68">
        <v>2</v>
      </c>
      <c r="E142" s="68" t="s">
        <v>548</v>
      </c>
    </row>
    <row r="143" spans="1:5">
      <c r="A143" s="68">
        <v>0.21778900000000001</v>
      </c>
      <c r="B143" s="68">
        <v>0.47534799999999999</v>
      </c>
      <c r="C143" s="68">
        <v>57.283499999999997</v>
      </c>
      <c r="D143" s="68">
        <v>2</v>
      </c>
      <c r="E143" s="68" t="s">
        <v>549</v>
      </c>
    </row>
    <row r="144" spans="1:5">
      <c r="A144" s="68">
        <v>0.21682899999999999</v>
      </c>
      <c r="B144" s="68">
        <v>0.47497699999999998</v>
      </c>
      <c r="C144" s="68">
        <v>57.689500000000002</v>
      </c>
      <c r="D144" s="68">
        <v>2</v>
      </c>
      <c r="E144" s="68" t="s">
        <v>550</v>
      </c>
    </row>
    <row r="145" spans="1:5">
      <c r="A145" s="68">
        <v>0.21590100000000001</v>
      </c>
      <c r="B145" s="68">
        <v>0.47558800000000001</v>
      </c>
      <c r="C145" s="68">
        <v>58.095399999999998</v>
      </c>
      <c r="D145" s="68">
        <v>2</v>
      </c>
      <c r="E145" s="68" t="s">
        <v>551</v>
      </c>
    </row>
    <row r="146" spans="1:5">
      <c r="A146" s="68">
        <v>0.214973</v>
      </c>
      <c r="B146" s="68">
        <v>0.47811900000000002</v>
      </c>
      <c r="C146" s="68">
        <v>58.502699999999997</v>
      </c>
      <c r="D146" s="68">
        <v>2</v>
      </c>
      <c r="E146" s="68" t="s">
        <v>552</v>
      </c>
    </row>
    <row r="147" spans="1:5">
      <c r="A147" s="68">
        <v>0.213814</v>
      </c>
      <c r="B147" s="68">
        <v>0.482041</v>
      </c>
      <c r="C147" s="68">
        <v>58.912700000000001</v>
      </c>
      <c r="D147" s="68">
        <v>2</v>
      </c>
      <c r="E147" s="68" t="s">
        <v>553</v>
      </c>
    </row>
    <row r="148" spans="1:5">
      <c r="A148" s="68">
        <v>0.212975</v>
      </c>
      <c r="B148" s="68">
        <v>0.48468</v>
      </c>
      <c r="C148" s="68">
        <v>59.317</v>
      </c>
      <c r="D148" s="68">
        <v>2</v>
      </c>
      <c r="E148" s="68" t="s">
        <v>554</v>
      </c>
    </row>
    <row r="149" spans="1:5">
      <c r="A149" s="68">
        <v>0.212202</v>
      </c>
      <c r="B149" s="68">
        <v>0.48758899999999999</v>
      </c>
      <c r="C149" s="68">
        <v>59.724400000000003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556</v>
      </c>
      <c r="C1" s="66" t="s">
        <v>558</v>
      </c>
      <c r="D1" s="66" t="s">
        <v>559</v>
      </c>
      <c r="E1" s="66" t="s">
        <v>560</v>
      </c>
      <c r="F1" s="66" t="s">
        <v>348</v>
      </c>
      <c r="G1" s="66" t="s">
        <v>349</v>
      </c>
      <c r="H1" s="66" t="s">
        <v>561</v>
      </c>
      <c r="I1" s="66" t="s">
        <v>562</v>
      </c>
      <c r="J1" s="66" t="s">
        <v>563</v>
      </c>
      <c r="K1" s="66" t="s">
        <v>564</v>
      </c>
      <c r="L1" s="66" t="s">
        <v>565</v>
      </c>
      <c r="M1" s="66" t="s">
        <v>566</v>
      </c>
      <c r="N1" s="66"/>
    </row>
    <row r="2" spans="1:14">
      <c r="A2" s="75">
        <v>43629.435335648152</v>
      </c>
      <c r="B2" s="66" t="s">
        <v>557</v>
      </c>
      <c r="C2" s="66"/>
      <c r="D2" s="66"/>
      <c r="E2" s="66">
        <v>4.9207200000000002</v>
      </c>
      <c r="F2" s="66">
        <v>1.0382199999999999</v>
      </c>
      <c r="G2" s="66">
        <v>0.49386799999999997</v>
      </c>
      <c r="H2" s="66">
        <v>0</v>
      </c>
      <c r="I2" s="66">
        <v>69988</v>
      </c>
      <c r="J2" s="66">
        <v>55</v>
      </c>
      <c r="K2" s="66">
        <v>55</v>
      </c>
      <c r="L2" s="66">
        <v>0</v>
      </c>
      <c r="M2" s="66" t="s">
        <v>567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2019-06-13T02:27:30Z</cp:lastPrinted>
  <dcterms:created xsi:type="dcterms:W3CDTF">2010-10-29T12:53:05Z</dcterms:created>
  <dcterms:modified xsi:type="dcterms:W3CDTF">2019-06-13T02:28:07Z</dcterms:modified>
</cp:coreProperties>
</file>