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Z17" i="23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<sst xmlns="http://schemas.openxmlformats.org/spreadsheetml/2006/main" count="701" uniqueCount="570">
  <si>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</si>
  <si>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</si>
  <si>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</si>
  <si>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</si>
  <si>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</si>
  <si>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</si>
  <si>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</si>
  <si>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</si>
  <si>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</si>
  <si>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</si>
  <si>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</si>
  <si>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</si>
  <si>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</si>
  <si>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</si>
  <si>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</si>
  <si>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</si>
  <si>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</si>
  <si>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</si>
  <si>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</si>
  <si>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</si>
  <si>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</si>
  <si>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</si>
  <si>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</si>
  <si>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</si>
  <si>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</si>
  <si>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</si>
  <si>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</si>
  <si>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</si>
  <si>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</si>
  <si>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</si>
  <si>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</si>
  <si>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</si>
  <si>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</si>
  <si>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</si>
  <si>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</si>
  <si>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</si>
  <si>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</si>
  <si>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</si>
  <si>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</si>
  <si>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</si>
  <si>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</si>
  <si>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</si>
  <si>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</si>
  <si>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</si>
  <si>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</si>
  <si>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</si>
  <si>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</si>
  <si>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</si>
  <si>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</si>
  <si>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</si>
  <si>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</si>
  <si>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</si>
  <si>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</si>
  <si>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</si>
  <si>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</si>
  <si>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</si>
  <si>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</si>
  <si>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</si>
  <si>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</si>
  <si>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</si>
  <si>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</si>
  <si>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</si>
  <si>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</si>
  <si>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</si>
  <si>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</si>
  <si>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</si>
  <si>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</si>
  <si>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</si>
  <si>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</si>
  <si>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</si>
  <si>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</si>
  <si>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</si>
  <si>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</si>
  <si>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</si>
  <si>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</si>
  <si>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</si>
  <si>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</si>
  <si>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</si>
  <si>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</si>
  <si>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</si>
  <si>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</si>
  <si>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</si>
  <si>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</si>
  <si>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</si>
  <si>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</si>
  <si>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</si>
  <si>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</si>
  <si>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</si>
  <si>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</si>
  <si>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</si>
  <si>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</si>
  <si>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</si>
  <si>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</si>
  <si>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</si>
  <si>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</si>
  <si>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</si>
  <si>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</si>
  <si>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</si>
  <si>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</si>
  <si>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</si>
  <si>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</si>
  <si>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</si>
  <si>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</si>
  <si>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</si>
  <si>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</si>
  <si>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</si>
  <si>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</si>
  <si>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</si>
  <si>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</si>
  <si>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</si>
  <si>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</si>
  <si>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</si>
  <si>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</si>
  <si>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</si>
  <si>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</si>
  <si>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</si>
  <si>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</si>
  <si>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</si>
  <si>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</si>
  <si>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</si>
  <si>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</si>
  <si>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</si>
  <si>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</si>
  <si>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</si>
  <si>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</si>
  <si>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</si>
  <si>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</si>
  <si>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</si>
  <si>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</si>
  <si>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</si>
  <si>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</si>
  <si>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</si>
  <si>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</si>
  <si>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</si>
  <si>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</si>
  <si>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</si>
  <si>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</si>
  <si>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</si>
  <si>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</si>
  <si>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</si>
  <si>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</si>
  <si>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</si>
  <si>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</si>
  <si>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</si>
  <si>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</si>
  <si>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</si>
  <si>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</si>
  <si>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</si>
  <si>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</si>
  <si>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</si>
  <si>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</si>
  <si>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</si>
  <si>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</si>
  <si>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</si>
  <si>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</si>
  <si>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</si>
  <si>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</si>
  <si>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</si>
  <si>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</si>
  <si>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</si>
  <si>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</si>
  <si>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</si>
  <si>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</si>
  <si>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</si>
  <si>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</si>
  <si>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</si>
  <si>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</si>
  <si>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</si>
  <si>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</si>
  <si>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</si>
  <si>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</si>
  <si>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</si>
  <si>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</si>
  <si>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</si>
  <si>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</si>
  <si>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</si>
  <si>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</si>
  <si>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</si>
  <si>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</si>
  <si>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</si>
  <si>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</si>
  <si>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</si>
  <si>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</si>
  <si>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</si>
  <si>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</si>
  <si>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</si>
  <si>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</si>
  <si>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</si>
  <si>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</si>
  <si>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</si>
  <si>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</si>
  <si>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</si>
  <si>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</si>
  <si>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</si>
  <si>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</si>
  <si>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</si>
  <si>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</si>
  <si>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</si>
  <si>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</si>
  <si>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</si>
  <si>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</si>
  <si>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</si>
  <si>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</si>
  <si>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</si>
  <si>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</si>
  <si>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</si>
  <si>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</si>
  <si>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</si>
  <si>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</si>
  <si>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</si>
  <si>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</si>
  <si>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</si>
  <si>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</si>
  <si>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</si>
  <si>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</si>
  <si>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</si>
  <si>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</si>
  <si>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</si>
  <si>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</si>
  <si>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</si>
  <si>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</si>
  <si>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</si>
  <si>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</si>
  <si>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</si>
  <si>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</si>
  <si>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</si>
  <si>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</si>
  <si>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</si>
  <si>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</si>
  <si>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</si>
  <si>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</si>
  <si>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</si>
  <si>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</si>
  <si>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</si>
  <si>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</si>
  <si>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</si>
  <si>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</si>
  <si>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</si>
  <si>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</si>
  <si>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</si>
  <si>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</si>
  <si>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</si>
  <si>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</si>
  <si>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</si>
  <si>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</si>
  <si>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</si>
  <si>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</si>
  <si>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</si>
  <si>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</si>
  <si>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</si>
  <si>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</si>
  <si>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</si>
  <si>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</si>
  <si>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</si>
  <si>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</si>
  <si>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</si>
  <si>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</si>
  <si>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</si>
  <si>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</si>
  <si>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</si>
  <si>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</si>
  <si>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</si>
  <si>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</si>
  <si>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</si>
  <si>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</si>
  <si>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</si>
  <si>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</si>
  <si>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</si>
  <si>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</si>
  <si>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</si>
  <si>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</si>
  <si>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</si>
  <si>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</si>
  <si>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</si>
  <si>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</si>
  <si>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</si>
  <si>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</si>
  <si>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</si>
  <si>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</si>
  <si>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</si>
  <si>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</si>
  <si>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</si>
  <si>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</si>
  <si>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</si>
  <si>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</si>
  <si>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</si>
  <si>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</si>
  <si>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</si>
  <si>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</si>
  <si>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</si>
  <si>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</si>
  <si>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</si>
  <si>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</si>
  <si>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</si>
  <si>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</si>
  <si>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</si>
  <si>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</si>
  <si>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</si>
  <si>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</si>
  <si>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</si>
  <si>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</si>
  <si>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</si>
  <si>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</si>
  <si>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</si>
  <si>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</si>
  <si>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</si>
  <si>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</si>
  <si>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</si>
  <si>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</si>
  <si>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</si>
  <si>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</si>
  <si>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</si>
  <si>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</si>
  <si>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</si>
  <si>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</si>
  <si>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</si>
  <si>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</si>
  <si>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</si>
  <si>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</si>
  <si>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</si>
  <si>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</si>
  <si>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</si>
  <si>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</si>
  <si>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</si>
  <si>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</si>
  <si>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</si>
  <si>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</si>
  <si>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</si>
  <si>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</si>
  <si>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</si>
  <si>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</si>
  <si>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</si>
  <si>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</si>
  <si>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</si>
  <si>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</si>
  <si>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</si>
  <si>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</si>
  <si>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</si>
  <si>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</si>
  <si>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</si>
  <si>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</si>
  <si>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</si>
  <si>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</si>
  <si>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</si>
  <si>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</si>
  <si>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</si>
  <si>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</si>
  <si>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</si>
  <si>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</si>
  <si>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</si>
  <si>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</si>
  <si>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</si>
  <si>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</si>
  <si>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</si>
  <si>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</si>
  <si>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</si>
  <si>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</si>
  <si>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</si>
  <si>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</si>
  <si>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</si>
  <si>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</si>
  <si>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</si>
  <si>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</si>
  <si>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</si>
  <si>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</si>
  <si>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</si>
  <si>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</si>
  <si>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</si>
  <si>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</si>
  <si>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</si>
  <si>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</si>
  <si>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</si>
  <si>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</si>
  <si>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</si>
  <si>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</si>
  <si>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</si>
  <si>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</si>
  <si>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</si>
  <si>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</si>
  <si>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</si>
  <si>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</si>
  <si>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</si>
  <si>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</si>
  <si>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</si>
  <si>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</si>
  <si>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</si>
  <si>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</si>
  <si>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</si>
  <si>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</si>
  <si>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</si>
  <si>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</si>
  <si>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</si>
  <si>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</si>
  <si>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</si>
  <si>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</si>
  <si>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</si>
  <si>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</si>
  <si>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</si>
  <si>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</si>
  <si>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</si>
  <si>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</si>
  <si>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</si>
  <si>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</si>
  <si>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</si>
  <si>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</si>
  <si>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</si>
  <si>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</si>
  <si>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</si>
  <si>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</si>
  <si>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[0.374956]</t>
  </si>
  <si>
    <t>1 [0.776581]</t>
  </si>
  <si>
    <t>1 [1.182902]</t>
  </si>
  <si>
    <t>1 [1.590616]</t>
  </si>
  <si>
    <t>1 [2.000897]</t>
  </si>
  <si>
    <t>1 [2.404189]</t>
  </si>
  <si>
    <t>1 [2.808783]</t>
  </si>
  <si>
    <t>1 [3.215449]</t>
  </si>
  <si>
    <t>1 [3.622640]</t>
  </si>
  <si>
    <t>1 [4.030818]</t>
  </si>
  <si>
    <t>1 [4.433088]</t>
  </si>
  <si>
    <t>1 [4.839899]</t>
  </si>
  <si>
    <t>1 [5.247588]</t>
  </si>
  <si>
    <t>1 [5.653832]</t>
  </si>
  <si>
    <t>1 [6.060959]</t>
  </si>
  <si>
    <t>1 [6.468751]</t>
  </si>
  <si>
    <t>1 [6.872451]</t>
  </si>
  <si>
    <t>1 [7.277584]</t>
  </si>
  <si>
    <t>1 [7.684950]</t>
  </si>
  <si>
    <t>1 [8.091643]</t>
  </si>
  <si>
    <t>1 [8.498477]</t>
  </si>
  <si>
    <t>1 [8.906479]</t>
  </si>
  <si>
    <t>1 [9.310358]</t>
  </si>
  <si>
    <t>1 [9.714715]</t>
  </si>
  <si>
    <t>1 [10.124869]</t>
  </si>
  <si>
    <t>1 [10.530063]</t>
  </si>
  <si>
    <t>1 [10.934893]</t>
  </si>
  <si>
    <t>1 [11.339832]</t>
  </si>
  <si>
    <t>1 [11.746721]</t>
  </si>
  <si>
    <t>1 [12.154899]</t>
  </si>
  <si>
    <t>1 [12.561611]</t>
  </si>
  <si>
    <t>1 [12.967043]</t>
  </si>
  <si>
    <t>1 [13.370749]</t>
  </si>
  <si>
    <t>1 [13.780545]</t>
  </si>
  <si>
    <t>1 [14.187504]</t>
  </si>
  <si>
    <t>1 [14.590324]</t>
  </si>
  <si>
    <t>1 [14.996065]</t>
  </si>
  <si>
    <t>1 [15.403519]</t>
  </si>
  <si>
    <t>1 [15.807183]</t>
  </si>
  <si>
    <t>1 [16.217485]</t>
  </si>
  <si>
    <t>1 [16.621808]</t>
  </si>
  <si>
    <t>1 [17.031095]</t>
  </si>
  <si>
    <t>1 [17.433884]</t>
  </si>
  <si>
    <t>1 [17.839626]</t>
  </si>
  <si>
    <t>1 [18.248393]</t>
  </si>
  <si>
    <t>1 [18.653287]</t>
  </si>
  <si>
    <t>1 [19.059947]</t>
  </si>
  <si>
    <t>1 [19.466566]</t>
  </si>
  <si>
    <t>1 [19.873952]</t>
  </si>
  <si>
    <t>1 [20.278841]</t>
  </si>
  <si>
    <t>1 [20.686169]</t>
  </si>
  <si>
    <t>1 [21.090541]</t>
  </si>
  <si>
    <t>1 [21.498713]</t>
  </si>
  <si>
    <t>1 [21.904578]</t>
  </si>
  <si>
    <t>1 [22.311657]</t>
  </si>
  <si>
    <t>1 [22.716281]</t>
  </si>
  <si>
    <t>1 [23.122849]</t>
  </si>
  <si>
    <t>1 [23.527779]</t>
  </si>
  <si>
    <t>1 [23.934454]</t>
  </si>
  <si>
    <t>1 [24.344311]</t>
  </si>
  <si>
    <t>1 [24.749054]</t>
  </si>
  <si>
    <t>1 [25.150269]</t>
  </si>
  <si>
    <t>1 [25.557972]</t>
  </si>
  <si>
    <t>1 [25.968288]</t>
  </si>
  <si>
    <t>1 [26.373970]</t>
  </si>
  <si>
    <t>1 [26.776284]</t>
  </si>
  <si>
    <t>1 [27.183588]</t>
  </si>
  <si>
    <t>1 [27.590949]</t>
  </si>
  <si>
    <t>1 [28.002709]</t>
  </si>
  <si>
    <t>1 [28.404901]</t>
  </si>
  <si>
    <t>1 [28.808304]</t>
  </si>
  <si>
    <t>1 [29.214930]</t>
  </si>
  <si>
    <t>1 [29.621370]</t>
  </si>
  <si>
    <t>2 [30.029628]</t>
  </si>
  <si>
    <t>2 [30.499191]</t>
  </si>
  <si>
    <t>2 [30.904395]</t>
  </si>
  <si>
    <t>2 [31.294931]</t>
  </si>
  <si>
    <t>2 [31.699057]</t>
  </si>
  <si>
    <t>2 [32.109666]</t>
  </si>
  <si>
    <t>2 [32.513666]</t>
  </si>
  <si>
    <t>2 [32.922665]</t>
  </si>
  <si>
    <t>2 [33.326976]</t>
  </si>
  <si>
    <t>2 [33.734646]</t>
  </si>
  <si>
    <t>2 [34.135558]</t>
  </si>
  <si>
    <t>2 [34.545045]</t>
  </si>
  <si>
    <t>2 [34.952796]</t>
  </si>
  <si>
    <t>2 [35.359978]</t>
  </si>
  <si>
    <t>2 [35.761693]</t>
  </si>
  <si>
    <t>2 [36.170794]</t>
  </si>
  <si>
    <t>2 [36.577019]</t>
  </si>
  <si>
    <t>2 [36.981420]</t>
  </si>
  <si>
    <t>2 [37.389332]</t>
  </si>
  <si>
    <t>2 [37.798625]</t>
  </si>
  <si>
    <t>2 [38.200341]</t>
  </si>
  <si>
    <t>2 [38.607595]</t>
  </si>
  <si>
    <t>2 [39.014344]</t>
  </si>
  <si>
    <t>2 [39.416596]</t>
  </si>
  <si>
    <t>2 [39.825481]</t>
  </si>
  <si>
    <t>2 [40.230631]</t>
  </si>
  <si>
    <t>2 [40.641351]</t>
  </si>
  <si>
    <t>2 [41.045491]</t>
  </si>
  <si>
    <t>2 [41.450251]</t>
  </si>
  <si>
    <t>2 [41.857284]</t>
  </si>
  <si>
    <t>2 [42.262150]</t>
  </si>
  <si>
    <t>2 [42.669867]</t>
  </si>
  <si>
    <t>2 [43.077074]</t>
  </si>
  <si>
    <t>2 [43.481559]</t>
  </si>
  <si>
    <t>2 [43.887779]</t>
  </si>
  <si>
    <t>2 [44.294458]</t>
  </si>
  <si>
    <t>2 [44.699613]</t>
  </si>
  <si>
    <t>2 [45.108854]</t>
  </si>
  <si>
    <t>2 [45.512350]</t>
  </si>
  <si>
    <t>2 [45.919295]</t>
  </si>
  <si>
    <t>2 [46.324008]</t>
  </si>
  <si>
    <t>2 [46.732425]</t>
  </si>
  <si>
    <t>2 [47.137905]</t>
  </si>
  <si>
    <t>2 [47.542607]</t>
  </si>
  <si>
    <t>2 [47.947827]</t>
  </si>
  <si>
    <t>2 [48.356204]</t>
  </si>
  <si>
    <t>2 [48.762946]</t>
  </si>
  <si>
    <t>2 [49.171079]</t>
  </si>
  <si>
    <t>2 [49.574988]</t>
  </si>
  <si>
    <t>2 [49.980168]</t>
  </si>
  <si>
    <t>2 [50.385876]</t>
  </si>
  <si>
    <t>2 [50.793441]</t>
  </si>
  <si>
    <t>2 [51.206688]</t>
  </si>
  <si>
    <t>2 [51.605684]</t>
  </si>
  <si>
    <t>2 [52.011491]</t>
  </si>
  <si>
    <t>2 [52.418871]</t>
  </si>
  <si>
    <t>2 [52.826979]</t>
  </si>
  <si>
    <t>2 [53.233290]</t>
  </si>
  <si>
    <t>2 [53.638862]</t>
  </si>
  <si>
    <t>2 [54.044191]</t>
  </si>
  <si>
    <t>2 [54.447937]</t>
  </si>
  <si>
    <t>2 [54.859096]</t>
  </si>
  <si>
    <t>2 [55.264525]</t>
  </si>
  <si>
    <t>2 [55.670392]</t>
  </si>
  <si>
    <t>2 [56.073819]</t>
  </si>
  <si>
    <t>2 [56.484710]</t>
  </si>
  <si>
    <t>2 [56.890863]</t>
  </si>
  <si>
    <t>2 [57.294377]</t>
  </si>
  <si>
    <t>2 [57.703075]</t>
  </si>
  <si>
    <t>2 [58.106857]</t>
  </si>
  <si>
    <t>2 [58.514738]</t>
  </si>
  <si>
    <t>2 [58.925298]</t>
  </si>
  <si>
    <t>2 [59.327099]</t>
  </si>
  <si>
    <t>2 [59.729989]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</si>
  <si>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</si>
  <si>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</si>
  <si>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</si>
  <si>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</si>
  <si>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</si>
  <si>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</si>
  <si>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</si>
  <si>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</si>
  <si>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</si>
  <si>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</si>
  <si>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</si>
  <si>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</si>
  <si>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</si>
  <si>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李建川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</si>
</sst>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33.990600000000001</c:v>
                </c:pt>
                <c:pt idx="1">
                  <c:v>22.9236</c:v>
                </c:pt>
                <c:pt idx="2">
                  <c:v>16.683299999999999</c:v>
                </c:pt>
                <c:pt idx="3">
                  <c:v>25.465</c:v>
                </c:pt>
                <c:pt idx="4">
                  <c:v>69.559100000000001</c:v>
                </c:pt>
                <c:pt idx="5">
                  <c:v>82.438100000000006</c:v>
                </c:pt>
                <c:pt idx="6">
                  <c:v>22.2087</c:v>
                </c:pt>
                <c:pt idx="7">
                  <c:v>74.680199999999999</c:v>
                </c:pt>
                <c:pt idx="8">
                  <c:v>19.712</c:v>
                </c:pt>
                <c:pt idx="9">
                  <c:v>29.22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0.55827515866532262</c:v>
                </c:pt>
                <c:pt idx="1">
                  <c:v>0.2222065953272743</c:v>
                </c:pt>
                <c:pt idx="2">
                  <c:v>0.21951824600740313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504</c:v>
                </c:pt>
                <c:pt idx="7">
                  <c:v>0</c:v>
                </c:pt>
                <c:pt idx="8">
                  <c:v>1185</c:v>
                </c:pt>
                <c:pt idx="9">
                  <c:v>0</c:v>
                </c:pt>
                <c:pt idx="10">
                  <c:v>0</c:v>
                </c:pt>
                <c:pt idx="11">
                  <c:v>2666</c:v>
                </c:pt>
                <c:pt idx="12">
                  <c:v>0</c:v>
                </c:pt>
                <c:pt idx="13">
                  <c:v>2445</c:v>
                </c:pt>
                <c:pt idx="14">
                  <c:v>0</c:v>
                </c:pt>
                <c:pt idx="15">
                  <c:v>0</c:v>
                </c:pt>
                <c:pt idx="16">
                  <c:v>4664</c:v>
                </c:pt>
                <c:pt idx="17">
                  <c:v>0</c:v>
                </c:pt>
                <c:pt idx="18">
                  <c:v>0</c:v>
                </c:pt>
                <c:pt idx="19">
                  <c:v>5809</c:v>
                </c:pt>
                <c:pt idx="20">
                  <c:v>0</c:v>
                </c:pt>
                <c:pt idx="21">
                  <c:v>9748</c:v>
                </c:pt>
                <c:pt idx="22">
                  <c:v>0</c:v>
                </c:pt>
                <c:pt idx="23">
                  <c:v>0</c:v>
                </c:pt>
                <c:pt idx="24">
                  <c:v>13404</c:v>
                </c:pt>
                <c:pt idx="25">
                  <c:v>0</c:v>
                </c:pt>
                <c:pt idx="26">
                  <c:v>19932</c:v>
                </c:pt>
                <c:pt idx="27">
                  <c:v>0</c:v>
                </c:pt>
                <c:pt idx="28">
                  <c:v>0</c:v>
                </c:pt>
                <c:pt idx="29">
                  <c:v>28372</c:v>
                </c:pt>
                <c:pt idx="30">
                  <c:v>0</c:v>
                </c:pt>
                <c:pt idx="31">
                  <c:v>39263</c:v>
                </c:pt>
                <c:pt idx="32">
                  <c:v>0</c:v>
                </c:pt>
                <c:pt idx="33">
                  <c:v>0</c:v>
                </c:pt>
                <c:pt idx="34">
                  <c:v>53336</c:v>
                </c:pt>
                <c:pt idx="35">
                  <c:v>0</c:v>
                </c:pt>
                <c:pt idx="36">
                  <c:v>0</c:v>
                </c:pt>
                <c:pt idx="37">
                  <c:v>65609</c:v>
                </c:pt>
                <c:pt idx="38">
                  <c:v>0</c:v>
                </c:pt>
                <c:pt idx="39">
                  <c:v>82438</c:v>
                </c:pt>
                <c:pt idx="40">
                  <c:v>0</c:v>
                </c:pt>
                <c:pt idx="41">
                  <c:v>0</c:v>
                </c:pt>
                <c:pt idx="42">
                  <c:v>102937</c:v>
                </c:pt>
                <c:pt idx="43">
                  <c:v>0</c:v>
                </c:pt>
                <c:pt idx="44">
                  <c:v>131868</c:v>
                </c:pt>
                <c:pt idx="45">
                  <c:v>0</c:v>
                </c:pt>
                <c:pt idx="46">
                  <c:v>0</c:v>
                </c:pt>
                <c:pt idx="47">
                  <c:v>142486</c:v>
                </c:pt>
                <c:pt idx="48">
                  <c:v>0</c:v>
                </c:pt>
                <c:pt idx="49">
                  <c:v>154216</c:v>
                </c:pt>
                <c:pt idx="50">
                  <c:v>0</c:v>
                </c:pt>
                <c:pt idx="51">
                  <c:v>0</c:v>
                </c:pt>
                <c:pt idx="52">
                  <c:v>162975</c:v>
                </c:pt>
                <c:pt idx="53">
                  <c:v>0</c:v>
                </c:pt>
                <c:pt idx="54">
                  <c:v>0</c:v>
                </c:pt>
                <c:pt idx="55">
                  <c:v>194533</c:v>
                </c:pt>
                <c:pt idx="56">
                  <c:v>0</c:v>
                </c:pt>
                <c:pt idx="57">
                  <c:v>190623</c:v>
                </c:pt>
                <c:pt idx="58">
                  <c:v>0</c:v>
                </c:pt>
                <c:pt idx="59">
                  <c:v>0</c:v>
                </c:pt>
                <c:pt idx="60">
                  <c:v>193341</c:v>
                </c:pt>
                <c:pt idx="61">
                  <c:v>0</c:v>
                </c:pt>
                <c:pt idx="62">
                  <c:v>203746</c:v>
                </c:pt>
                <c:pt idx="63">
                  <c:v>0</c:v>
                </c:pt>
                <c:pt idx="64">
                  <c:v>0</c:v>
                </c:pt>
                <c:pt idx="65">
                  <c:v>202599</c:v>
                </c:pt>
                <c:pt idx="66">
                  <c:v>0</c:v>
                </c:pt>
                <c:pt idx="67">
                  <c:v>214814</c:v>
                </c:pt>
                <c:pt idx="68">
                  <c:v>0</c:v>
                </c:pt>
                <c:pt idx="69">
                  <c:v>0</c:v>
                </c:pt>
                <c:pt idx="70">
                  <c:v>215356</c:v>
                </c:pt>
                <c:pt idx="71">
                  <c:v>0</c:v>
                </c:pt>
                <c:pt idx="72">
                  <c:v>0</c:v>
                </c:pt>
                <c:pt idx="73">
                  <c:v>199120</c:v>
                </c:pt>
                <c:pt idx="74">
                  <c:v>0</c:v>
                </c:pt>
                <c:pt idx="75">
                  <c:v>206951</c:v>
                </c:pt>
                <c:pt idx="76">
                  <c:v>0</c:v>
                </c:pt>
                <c:pt idx="77">
                  <c:v>0</c:v>
                </c:pt>
                <c:pt idx="78">
                  <c:v>205691</c:v>
                </c:pt>
                <c:pt idx="79">
                  <c:v>0</c:v>
                </c:pt>
                <c:pt idx="80">
                  <c:v>202826</c:v>
                </c:pt>
                <c:pt idx="81">
                  <c:v>0</c:v>
                </c:pt>
                <c:pt idx="82">
                  <c:v>0</c:v>
                </c:pt>
                <c:pt idx="83">
                  <c:v>211201</c:v>
                </c:pt>
                <c:pt idx="84">
                  <c:v>0</c:v>
                </c:pt>
                <c:pt idx="85">
                  <c:v>0</c:v>
                </c:pt>
                <c:pt idx="86">
                  <c:v>210875</c:v>
                </c:pt>
                <c:pt idx="87">
                  <c:v>0</c:v>
                </c:pt>
                <c:pt idx="88">
                  <c:v>205048</c:v>
                </c:pt>
                <c:pt idx="89">
                  <c:v>0</c:v>
                </c:pt>
                <c:pt idx="90">
                  <c:v>0</c:v>
                </c:pt>
                <c:pt idx="91">
                  <c:v>205622</c:v>
                </c:pt>
                <c:pt idx="92">
                  <c:v>0</c:v>
                </c:pt>
                <c:pt idx="93">
                  <c:v>185661</c:v>
                </c:pt>
                <c:pt idx="94">
                  <c:v>0</c:v>
                </c:pt>
                <c:pt idx="95">
                  <c:v>0</c:v>
                </c:pt>
                <c:pt idx="96">
                  <c:v>179700</c:v>
                </c:pt>
                <c:pt idx="97">
                  <c:v>0</c:v>
                </c:pt>
                <c:pt idx="98">
                  <c:v>179299</c:v>
                </c:pt>
                <c:pt idx="99">
                  <c:v>0</c:v>
                </c:pt>
                <c:pt idx="100">
                  <c:v>0</c:v>
                </c:pt>
                <c:pt idx="101">
                  <c:v>169657</c:v>
                </c:pt>
                <c:pt idx="102">
                  <c:v>0</c:v>
                </c:pt>
                <c:pt idx="103">
                  <c:v>0</c:v>
                </c:pt>
                <c:pt idx="104">
                  <c:v>162303</c:v>
                </c:pt>
                <c:pt idx="105">
                  <c:v>0</c:v>
                </c:pt>
                <c:pt idx="106">
                  <c:v>161125</c:v>
                </c:pt>
                <c:pt idx="107">
                  <c:v>0</c:v>
                </c:pt>
                <c:pt idx="108">
                  <c:v>0</c:v>
                </c:pt>
                <c:pt idx="109">
                  <c:v>163328</c:v>
                </c:pt>
                <c:pt idx="110">
                  <c:v>0</c:v>
                </c:pt>
                <c:pt idx="111">
                  <c:v>162243</c:v>
                </c:pt>
                <c:pt idx="112">
                  <c:v>0</c:v>
                </c:pt>
                <c:pt idx="113">
                  <c:v>0</c:v>
                </c:pt>
                <c:pt idx="114">
                  <c:v>168599</c:v>
                </c:pt>
                <c:pt idx="115">
                  <c:v>0</c:v>
                </c:pt>
                <c:pt idx="116">
                  <c:v>158119</c:v>
                </c:pt>
                <c:pt idx="117">
                  <c:v>0</c:v>
                </c:pt>
                <c:pt idx="118">
                  <c:v>0</c:v>
                </c:pt>
                <c:pt idx="119">
                  <c:v>145781</c:v>
                </c:pt>
                <c:pt idx="120">
                  <c:v>0</c:v>
                </c:pt>
                <c:pt idx="121">
                  <c:v>0</c:v>
                </c:pt>
                <c:pt idx="122">
                  <c:v>133653</c:v>
                </c:pt>
                <c:pt idx="123">
                  <c:v>0</c:v>
                </c:pt>
                <c:pt idx="124">
                  <c:v>119781</c:v>
                </c:pt>
                <c:pt idx="125">
                  <c:v>0</c:v>
                </c:pt>
                <c:pt idx="126">
                  <c:v>0</c:v>
                </c:pt>
                <c:pt idx="127">
                  <c:v>114890</c:v>
                </c:pt>
                <c:pt idx="128">
                  <c:v>0</c:v>
                </c:pt>
                <c:pt idx="129">
                  <c:v>105469</c:v>
                </c:pt>
                <c:pt idx="130">
                  <c:v>0</c:v>
                </c:pt>
                <c:pt idx="131">
                  <c:v>0</c:v>
                </c:pt>
                <c:pt idx="132">
                  <c:v>85390</c:v>
                </c:pt>
                <c:pt idx="133">
                  <c:v>0</c:v>
                </c:pt>
                <c:pt idx="134">
                  <c:v>86350</c:v>
                </c:pt>
                <c:pt idx="135">
                  <c:v>0</c:v>
                </c:pt>
                <c:pt idx="136">
                  <c:v>0</c:v>
                </c:pt>
                <c:pt idx="137">
                  <c:v>70851</c:v>
                </c:pt>
                <c:pt idx="138">
                  <c:v>0</c:v>
                </c:pt>
                <c:pt idx="139">
                  <c:v>0</c:v>
                </c:pt>
                <c:pt idx="140">
                  <c:v>66978</c:v>
                </c:pt>
                <c:pt idx="141">
                  <c:v>0</c:v>
                </c:pt>
                <c:pt idx="142">
                  <c:v>61123</c:v>
                </c:pt>
                <c:pt idx="143">
                  <c:v>0</c:v>
                </c:pt>
                <c:pt idx="144">
                  <c:v>0</c:v>
                </c:pt>
                <c:pt idx="145">
                  <c:v>50869</c:v>
                </c:pt>
                <c:pt idx="146">
                  <c:v>0</c:v>
                </c:pt>
                <c:pt idx="147">
                  <c:v>44664</c:v>
                </c:pt>
                <c:pt idx="148">
                  <c:v>0</c:v>
                </c:pt>
                <c:pt idx="149">
                  <c:v>0</c:v>
                </c:pt>
                <c:pt idx="150">
                  <c:v>45623</c:v>
                </c:pt>
                <c:pt idx="151">
                  <c:v>0</c:v>
                </c:pt>
                <c:pt idx="152">
                  <c:v>36179</c:v>
                </c:pt>
                <c:pt idx="153">
                  <c:v>0</c:v>
                </c:pt>
                <c:pt idx="154">
                  <c:v>0</c:v>
                </c:pt>
                <c:pt idx="155">
                  <c:v>32010</c:v>
                </c:pt>
                <c:pt idx="156">
                  <c:v>0</c:v>
                </c:pt>
                <c:pt idx="157">
                  <c:v>0</c:v>
                </c:pt>
                <c:pt idx="158">
                  <c:v>32243</c:v>
                </c:pt>
                <c:pt idx="159">
                  <c:v>0</c:v>
                </c:pt>
                <c:pt idx="160">
                  <c:v>27611</c:v>
                </c:pt>
                <c:pt idx="161">
                  <c:v>0</c:v>
                </c:pt>
                <c:pt idx="162">
                  <c:v>0</c:v>
                </c:pt>
                <c:pt idx="163">
                  <c:v>26518</c:v>
                </c:pt>
                <c:pt idx="164">
                  <c:v>0</c:v>
                </c:pt>
                <c:pt idx="165">
                  <c:v>21483</c:v>
                </c:pt>
                <c:pt idx="166">
                  <c:v>0</c:v>
                </c:pt>
                <c:pt idx="167">
                  <c:v>0</c:v>
                </c:pt>
                <c:pt idx="168">
                  <c:v>22126</c:v>
                </c:pt>
                <c:pt idx="169">
                  <c:v>0</c:v>
                </c:pt>
                <c:pt idx="170">
                  <c:v>0</c:v>
                </c:pt>
                <c:pt idx="171">
                  <c:v>12321</c:v>
                </c:pt>
                <c:pt idx="172">
                  <c:v>0</c:v>
                </c:pt>
                <c:pt idx="173">
                  <c:v>10381</c:v>
                </c:pt>
                <c:pt idx="174">
                  <c:v>0</c:v>
                </c:pt>
                <c:pt idx="175">
                  <c:v>0</c:v>
                </c:pt>
                <c:pt idx="176">
                  <c:v>6162</c:v>
                </c:pt>
                <c:pt idx="177">
                  <c:v>0</c:v>
                </c:pt>
                <c:pt idx="178">
                  <c:v>3456</c:v>
                </c:pt>
                <c:pt idx="179">
                  <c:v>0</c:v>
                </c:pt>
                <c:pt idx="180">
                  <c:v>0</c:v>
                </c:pt>
                <c:pt idx="181">
                  <c:v>2609</c:v>
                </c:pt>
                <c:pt idx="182">
                  <c:v>0</c:v>
                </c:pt>
                <c:pt idx="183">
                  <c:v>1012</c:v>
                </c:pt>
                <c:pt idx="184">
                  <c:v>0</c:v>
                </c:pt>
                <c:pt idx="185">
                  <c:v>0</c:v>
                </c:pt>
                <c:pt idx="186">
                  <c:v>841</c:v>
                </c:pt>
                <c:pt idx="187">
                  <c:v>0</c:v>
                </c:pt>
                <c:pt idx="188">
                  <c:v>0</c:v>
                </c:pt>
                <c:pt idx="189">
                  <c:v>257</c:v>
                </c:pt>
                <c:pt idx="190">
                  <c:v>0</c:v>
                </c:pt>
                <c:pt idx="191">
                  <c:v>173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2.30775</c:v>
                </c:pt>
                <c:pt idx="1">
                  <c:v>2.35229</c:v>
                </c:pt>
                <c:pt idx="2">
                  <c:v>2.3943600000000003</c:v>
                </c:pt>
                <c:pt idx="3">
                  <c:v>2.43526</c:v>
                </c:pt>
                <c:pt idx="4">
                  <c:v>2.4740000000000002</c:v>
                </c:pt>
                <c:pt idx="5">
                  <c:v>2.51112</c:v>
                </c:pt>
                <c:pt idx="6">
                  <c:v>2.5469399999999998</c:v>
                </c:pt>
                <c:pt idx="7">
                  <c:v>2.58195</c:v>
                </c:pt>
                <c:pt idx="8">
                  <c:v>2.6153500000000003</c:v>
                </c:pt>
                <c:pt idx="9">
                  <c:v>2.6466499999999997</c:v>
                </c:pt>
                <c:pt idx="10">
                  <c:v>2.6753100000000001</c:v>
                </c:pt>
                <c:pt idx="11">
                  <c:v>2.7013100000000003</c:v>
                </c:pt>
                <c:pt idx="12">
                  <c:v>2.7202100000000002</c:v>
                </c:pt>
                <c:pt idx="13">
                  <c:v>2.7363300000000002</c:v>
                </c:pt>
                <c:pt idx="14">
                  <c:v>2.74892</c:v>
                </c:pt>
                <c:pt idx="15">
                  <c:v>2.7579599999999997</c:v>
                </c:pt>
                <c:pt idx="16">
                  <c:v>2.7645199999999996</c:v>
                </c:pt>
                <c:pt idx="17">
                  <c:v>2.7673700000000001</c:v>
                </c:pt>
                <c:pt idx="18">
                  <c:v>2.7680600000000002</c:v>
                </c:pt>
                <c:pt idx="19">
                  <c:v>2.7656299999999998</c:v>
                </c:pt>
                <c:pt idx="20">
                  <c:v>2.7620699999999996</c:v>
                </c:pt>
                <c:pt idx="21">
                  <c:v>2.7587800000000002</c:v>
                </c:pt>
                <c:pt idx="22">
                  <c:v>2.7562899999999999</c:v>
                </c:pt>
                <c:pt idx="23">
                  <c:v>2.7549899999999998</c:v>
                </c:pt>
                <c:pt idx="24">
                  <c:v>2.7528700000000002</c:v>
                </c:pt>
                <c:pt idx="25">
                  <c:v>2.7487499999999998</c:v>
                </c:pt>
                <c:pt idx="26">
                  <c:v>2.7430399999999997</c:v>
                </c:pt>
                <c:pt idx="27">
                  <c:v>2.7362299999999999</c:v>
                </c:pt>
                <c:pt idx="28">
                  <c:v>2.7288099999999997</c:v>
                </c:pt>
                <c:pt idx="29">
                  <c:v>2.7208300000000003</c:v>
                </c:pt>
                <c:pt idx="30">
                  <c:v>2.7114700000000003</c:v>
                </c:pt>
                <c:pt idx="31">
                  <c:v>2.6999299999999997</c:v>
                </c:pt>
                <c:pt idx="32">
                  <c:v>2.6900200000000001</c:v>
                </c:pt>
                <c:pt idx="33">
                  <c:v>2.6795299999999997</c:v>
                </c:pt>
                <c:pt idx="34">
                  <c:v>2.6690700000000001</c:v>
                </c:pt>
                <c:pt idx="35">
                  <c:v>2.6584400000000001</c:v>
                </c:pt>
                <c:pt idx="36">
                  <c:v>2.64961</c:v>
                </c:pt>
                <c:pt idx="37">
                  <c:v>2.6483099999999999</c:v>
                </c:pt>
                <c:pt idx="38">
                  <c:v>2.6490599999999995</c:v>
                </c:pt>
                <c:pt idx="39">
                  <c:v>2.6565899999999996</c:v>
                </c:pt>
                <c:pt idx="40">
                  <c:v>2.6695799999999998</c:v>
                </c:pt>
                <c:pt idx="41">
                  <c:v>2.68716</c:v>
                </c:pt>
                <c:pt idx="42">
                  <c:v>2.7083499999999998</c:v>
                </c:pt>
                <c:pt idx="43">
                  <c:v>2.7325700000000004</c:v>
                </c:pt>
                <c:pt idx="44">
                  <c:v>2.7581199999999999</c:v>
                </c:pt>
                <c:pt idx="45">
                  <c:v>2.7835000000000001</c:v>
                </c:pt>
                <c:pt idx="46">
                  <c:v>2.8079999999999998</c:v>
                </c:pt>
                <c:pt idx="47">
                  <c:v>2.8304800000000001</c:v>
                </c:pt>
                <c:pt idx="48">
                  <c:v>2.8529300000000002</c:v>
                </c:pt>
                <c:pt idx="49">
                  <c:v>2.87812</c:v>
                </c:pt>
                <c:pt idx="50">
                  <c:v>2.8966099999999999</c:v>
                </c:pt>
                <c:pt idx="51">
                  <c:v>2.9319899999999999</c:v>
                </c:pt>
                <c:pt idx="52">
                  <c:v>2.9729699999999997</c:v>
                </c:pt>
                <c:pt idx="53">
                  <c:v>3.0357400000000001</c:v>
                </c:pt>
                <c:pt idx="54">
                  <c:v>3.0666599999999997</c:v>
                </c:pt>
                <c:pt idx="55">
                  <c:v>3.1386099999999999</c:v>
                </c:pt>
                <c:pt idx="56">
                  <c:v>3.1954199999999999</c:v>
                </c:pt>
                <c:pt idx="57">
                  <c:v>3.2326600000000001</c:v>
                </c:pt>
                <c:pt idx="58">
                  <c:v>3.2898000000000001</c:v>
                </c:pt>
                <c:pt idx="59">
                  <c:v>3.34775</c:v>
                </c:pt>
                <c:pt idx="60">
                  <c:v>3.42543</c:v>
                </c:pt>
                <c:pt idx="61">
                  <c:v>3.4809400000000004</c:v>
                </c:pt>
                <c:pt idx="62">
                  <c:v>3.5196499999999995</c:v>
                </c:pt>
                <c:pt idx="63">
                  <c:v>3.5733600000000001</c:v>
                </c:pt>
                <c:pt idx="64">
                  <c:v>3.63585</c:v>
                </c:pt>
                <c:pt idx="65">
                  <c:v>3.6832399999999996</c:v>
                </c:pt>
                <c:pt idx="66">
                  <c:v>3.7181999999999999</c:v>
                </c:pt>
                <c:pt idx="67">
                  <c:v>3.7739799999999999</c:v>
                </c:pt>
                <c:pt idx="68">
                  <c:v>3.8067200000000003</c:v>
                </c:pt>
                <c:pt idx="69">
                  <c:v>3.8541500000000002</c:v>
                </c:pt>
                <c:pt idx="70">
                  <c:v>3.8845800000000001</c:v>
                </c:pt>
                <c:pt idx="71">
                  <c:v>3.9214199999999999</c:v>
                </c:pt>
                <c:pt idx="72">
                  <c:v>3.9507700000000003</c:v>
                </c:pt>
                <c:pt idx="73">
                  <c:v>3.9776199999999999</c:v>
                </c:pt>
                <c:pt idx="74">
                  <c:v>4.0031699999999999</c:v>
                </c:pt>
                <c:pt idx="75">
                  <c:v>4.0209899999999994</c:v>
                </c:pt>
                <c:pt idx="76">
                  <c:v>4.0350599999999996</c:v>
                </c:pt>
                <c:pt idx="77">
                  <c:v>4.0454400000000001</c:v>
                </c:pt>
                <c:pt idx="78">
                  <c:v>4.0532500000000002</c:v>
                </c:pt>
                <c:pt idx="79">
                  <c:v>4.0602900000000002</c:v>
                </c:pt>
                <c:pt idx="80">
                  <c:v>4.0676499999999995</c:v>
                </c:pt>
                <c:pt idx="81">
                  <c:v>4.0731200000000003</c:v>
                </c:pt>
                <c:pt idx="82">
                  <c:v>4.0784000000000002</c:v>
                </c:pt>
                <c:pt idx="83">
                  <c:v>4.0854099999999995</c:v>
                </c:pt>
                <c:pt idx="84">
                  <c:v>4.0943800000000001</c:v>
                </c:pt>
                <c:pt idx="85">
                  <c:v>4.1049100000000003</c:v>
                </c:pt>
                <c:pt idx="86">
                  <c:v>4.1168500000000003</c:v>
                </c:pt>
                <c:pt idx="87">
                  <c:v>4.1277100000000004</c:v>
                </c:pt>
                <c:pt idx="88">
                  <c:v>4.1366399999999999</c:v>
                </c:pt>
                <c:pt idx="89">
                  <c:v>4.1435599999999999</c:v>
                </c:pt>
                <c:pt idx="90">
                  <c:v>4.1476600000000001</c:v>
                </c:pt>
                <c:pt idx="91">
                  <c:v>4.1471200000000001</c:v>
                </c:pt>
                <c:pt idx="92">
                  <c:v>4.1426800000000004</c:v>
                </c:pt>
                <c:pt idx="93">
                  <c:v>4.1367399999999996</c:v>
                </c:pt>
                <c:pt idx="94">
                  <c:v>4.13028</c:v>
                </c:pt>
                <c:pt idx="95">
                  <c:v>4.1249000000000002</c:v>
                </c:pt>
                <c:pt idx="96">
                  <c:v>4.1193999999999997</c:v>
                </c:pt>
                <c:pt idx="97">
                  <c:v>4.1146500000000001</c:v>
                </c:pt>
                <c:pt idx="98">
                  <c:v>4.1083799999999995</c:v>
                </c:pt>
                <c:pt idx="99">
                  <c:v>4.0999799999999995</c:v>
                </c:pt>
                <c:pt idx="100">
                  <c:v>4.0902899999999995</c:v>
                </c:pt>
                <c:pt idx="101">
                  <c:v>4.0785599999999995</c:v>
                </c:pt>
                <c:pt idx="102">
                  <c:v>4.0648900000000001</c:v>
                </c:pt>
                <c:pt idx="103">
                  <c:v>4.0493299999999994</c:v>
                </c:pt>
                <c:pt idx="104">
                  <c:v>4.0324200000000001</c:v>
                </c:pt>
                <c:pt idx="105">
                  <c:v>4.0129999999999999</c:v>
                </c:pt>
                <c:pt idx="106">
                  <c:v>3.9930399999999997</c:v>
                </c:pt>
                <c:pt idx="107">
                  <c:v>3.9711800000000004</c:v>
                </c:pt>
                <c:pt idx="108">
                  <c:v>3.9440900000000001</c:v>
                </c:pt>
                <c:pt idx="109">
                  <c:v>3.91059</c:v>
                </c:pt>
                <c:pt idx="110">
                  <c:v>3.8712900000000001</c:v>
                </c:pt>
                <c:pt idx="111">
                  <c:v>3.8307700000000002</c:v>
                </c:pt>
                <c:pt idx="112">
                  <c:v>3.7899699999999998</c:v>
                </c:pt>
                <c:pt idx="113">
                  <c:v>3.7509300000000003</c:v>
                </c:pt>
                <c:pt idx="114">
                  <c:v>3.71408</c:v>
                </c:pt>
                <c:pt idx="115">
                  <c:v>3.6796600000000002</c:v>
                </c:pt>
                <c:pt idx="116">
                  <c:v>3.6506300000000005</c:v>
                </c:pt>
                <c:pt idx="117">
                  <c:v>3.6273300000000002</c:v>
                </c:pt>
                <c:pt idx="118">
                  <c:v>3.6084000000000001</c:v>
                </c:pt>
                <c:pt idx="119">
                  <c:v>3.59388</c:v>
                </c:pt>
                <c:pt idx="120">
                  <c:v>3.5795599999999999</c:v>
                </c:pt>
                <c:pt idx="121">
                  <c:v>3.5661500000000004</c:v>
                </c:pt>
                <c:pt idx="122">
                  <c:v>3.55315</c:v>
                </c:pt>
                <c:pt idx="123">
                  <c:v>3.5426200000000003</c:v>
                </c:pt>
                <c:pt idx="124">
                  <c:v>3.5314800000000002</c:v>
                </c:pt>
                <c:pt idx="125">
                  <c:v>3.5251300000000003</c:v>
                </c:pt>
                <c:pt idx="126">
                  <c:v>3.5228299999999999</c:v>
                </c:pt>
                <c:pt idx="127">
                  <c:v>3.52318</c:v>
                </c:pt>
                <c:pt idx="128">
                  <c:v>3.5267900000000001</c:v>
                </c:pt>
                <c:pt idx="129">
                  <c:v>3.52989</c:v>
                </c:pt>
                <c:pt idx="130">
                  <c:v>3.53199</c:v>
                </c:pt>
                <c:pt idx="131">
                  <c:v>3.5331000000000001</c:v>
                </c:pt>
                <c:pt idx="132">
                  <c:v>3.5346100000000003</c:v>
                </c:pt>
                <c:pt idx="133">
                  <c:v>3.53878</c:v>
                </c:pt>
                <c:pt idx="134">
                  <c:v>3.5478900000000002</c:v>
                </c:pt>
                <c:pt idx="135">
                  <c:v>3.5612599999999999</c:v>
                </c:pt>
                <c:pt idx="136">
                  <c:v>3.5756199999999998</c:v>
                </c:pt>
                <c:pt idx="137">
                  <c:v>3.5919400000000001</c:v>
                </c:pt>
                <c:pt idx="138">
                  <c:v>3.6083400000000001</c:v>
                </c:pt>
                <c:pt idx="139">
                  <c:v>3.6236200000000003</c:v>
                </c:pt>
                <c:pt idx="140">
                  <c:v>3.6398999999999999</c:v>
                </c:pt>
                <c:pt idx="141">
                  <c:v>3.65374</c:v>
                </c:pt>
                <c:pt idx="142">
                  <c:v>3.6642299999999999</c:v>
                </c:pt>
                <c:pt idx="143">
                  <c:v>3.66812</c:v>
                </c:pt>
                <c:pt idx="144">
                  <c:v>3.6590800000000003</c:v>
                </c:pt>
                <c:pt idx="145">
                  <c:v>3.6520200000000003</c:v>
                </c:pt>
                <c:pt idx="146">
                  <c:v>3.64534</c:v>
                </c:pt>
                <c:pt idx="147">
                  <c:v>3.6451699999999998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62.049799999999998</c:v>
                </c:pt>
                <c:pt idx="1">
                  <c:v>61.586799999999997</c:v>
                </c:pt>
                <c:pt idx="2">
                  <c:v>61.065300000000001</c:v>
                </c:pt>
                <c:pt idx="3">
                  <c:v>60.4499</c:v>
                </c:pt>
                <c:pt idx="4">
                  <c:v>59.7834</c:v>
                </c:pt>
                <c:pt idx="5">
                  <c:v>59.0075</c:v>
                </c:pt>
                <c:pt idx="6">
                  <c:v>58.209699999999998</c:v>
                </c:pt>
                <c:pt idx="7">
                  <c:v>57.459199999999996</c:v>
                </c:pt>
                <c:pt idx="8">
                  <c:v>56.738699999999994</c:v>
                </c:pt>
                <c:pt idx="9">
                  <c:v>56.0929</c:v>
                </c:pt>
                <c:pt idx="10">
                  <c:v>55.631500000000003</c:v>
                </c:pt>
                <c:pt idx="11">
                  <c:v>55.231499999999997</c:v>
                </c:pt>
                <c:pt idx="12">
                  <c:v>54.901200000000003</c:v>
                </c:pt>
                <c:pt idx="13">
                  <c:v>54.588000000000001</c:v>
                </c:pt>
                <c:pt idx="14">
                  <c:v>54.288599999999995</c:v>
                </c:pt>
                <c:pt idx="15">
                  <c:v>53.989899999999999</c:v>
                </c:pt>
                <c:pt idx="16">
                  <c:v>53.719799999999992</c:v>
                </c:pt>
                <c:pt idx="17">
                  <c:v>53.476599999999998</c:v>
                </c:pt>
                <c:pt idx="18">
                  <c:v>53.227899999999991</c:v>
                </c:pt>
                <c:pt idx="19">
                  <c:v>52.971500000000006</c:v>
                </c:pt>
                <c:pt idx="20">
                  <c:v>52.677799999999998</c:v>
                </c:pt>
                <c:pt idx="21">
                  <c:v>52.346400000000003</c:v>
                </c:pt>
                <c:pt idx="22">
                  <c:v>52.028500000000001</c:v>
                </c:pt>
                <c:pt idx="23">
                  <c:v>51.757200000000005</c:v>
                </c:pt>
                <c:pt idx="24">
                  <c:v>51.500999999999998</c:v>
                </c:pt>
                <c:pt idx="25">
                  <c:v>51.277099999999997</c:v>
                </c:pt>
                <c:pt idx="26">
                  <c:v>51.0625</c:v>
                </c:pt>
                <c:pt idx="27">
                  <c:v>50.859099999999998</c:v>
                </c:pt>
                <c:pt idx="28">
                  <c:v>50.710799999999999</c:v>
                </c:pt>
                <c:pt idx="29">
                  <c:v>50.555999999999997</c:v>
                </c:pt>
                <c:pt idx="30">
                  <c:v>50.421999999999997</c:v>
                </c:pt>
                <c:pt idx="31">
                  <c:v>50.364699999999999</c:v>
                </c:pt>
                <c:pt idx="32">
                  <c:v>50.333500000000001</c:v>
                </c:pt>
                <c:pt idx="33">
                  <c:v>50.348000000000006</c:v>
                </c:pt>
                <c:pt idx="34">
                  <c:v>50.363100000000003</c:v>
                </c:pt>
                <c:pt idx="35">
                  <c:v>50.304700000000004</c:v>
                </c:pt>
                <c:pt idx="36">
                  <c:v>50.299400000000006</c:v>
                </c:pt>
                <c:pt idx="37">
                  <c:v>50.244299999999996</c:v>
                </c:pt>
                <c:pt idx="38">
                  <c:v>50.201799999999999</c:v>
                </c:pt>
                <c:pt idx="39">
                  <c:v>50.184399999999997</c:v>
                </c:pt>
                <c:pt idx="40">
                  <c:v>50.104700000000001</c:v>
                </c:pt>
                <c:pt idx="41">
                  <c:v>49.915599999999998</c:v>
                </c:pt>
                <c:pt idx="42">
                  <c:v>49.727600000000002</c:v>
                </c:pt>
                <c:pt idx="43">
                  <c:v>49.557299999999998</c:v>
                </c:pt>
                <c:pt idx="44">
                  <c:v>49.4664</c:v>
                </c:pt>
                <c:pt idx="45">
                  <c:v>49.431000000000004</c:v>
                </c:pt>
                <c:pt idx="46">
                  <c:v>49.423499999999997</c:v>
                </c:pt>
                <c:pt idx="47">
                  <c:v>49.417200000000001</c:v>
                </c:pt>
                <c:pt idx="48">
                  <c:v>49.3782</c:v>
                </c:pt>
                <c:pt idx="49">
                  <c:v>49.2864</c:v>
                </c:pt>
                <c:pt idx="50">
                  <c:v>49.212899999999998</c:v>
                </c:pt>
                <c:pt idx="51">
                  <c:v>48.960999999999999</c:v>
                </c:pt>
                <c:pt idx="52">
                  <c:v>48.642800000000001</c:v>
                </c:pt>
                <c:pt idx="53">
                  <c:v>47.984300000000005</c:v>
                </c:pt>
                <c:pt idx="54">
                  <c:v>47.833500000000001</c:v>
                </c:pt>
                <c:pt idx="55">
                  <c:v>47.171800000000005</c:v>
                </c:pt>
                <c:pt idx="56">
                  <c:v>46.73</c:v>
                </c:pt>
                <c:pt idx="57">
                  <c:v>46.576799999999999</c:v>
                </c:pt>
                <c:pt idx="58">
                  <c:v>46.096599999999995</c:v>
                </c:pt>
                <c:pt idx="59">
                  <c:v>45.665900000000001</c:v>
                </c:pt>
                <c:pt idx="60">
                  <c:v>44.962200000000003</c:v>
                </c:pt>
                <c:pt idx="61">
                  <c:v>44.768900000000002</c:v>
                </c:pt>
                <c:pt idx="62">
                  <c:v>44.824100000000001</c:v>
                </c:pt>
                <c:pt idx="63">
                  <c:v>44.731400000000001</c:v>
                </c:pt>
                <c:pt idx="64">
                  <c:v>44.495000000000005</c:v>
                </c:pt>
                <c:pt idx="65">
                  <c:v>44.4011</c:v>
                </c:pt>
                <c:pt idx="66">
                  <c:v>44.438400000000001</c:v>
                </c:pt>
                <c:pt idx="67">
                  <c:v>44.1434</c:v>
                </c:pt>
                <c:pt idx="68">
                  <c:v>44.154199999999996</c:v>
                </c:pt>
                <c:pt idx="69">
                  <c:v>44.074000000000005</c:v>
                </c:pt>
                <c:pt idx="70">
                  <c:v>44.2104</c:v>
                </c:pt>
                <c:pt idx="71">
                  <c:v>44.3795</c:v>
                </c:pt>
                <c:pt idx="72">
                  <c:v>44.6218</c:v>
                </c:pt>
                <c:pt idx="73">
                  <c:v>44.843600000000002</c:v>
                </c:pt>
                <c:pt idx="74">
                  <c:v>44.962600000000002</c:v>
                </c:pt>
                <c:pt idx="75">
                  <c:v>44.845500000000001</c:v>
                </c:pt>
                <c:pt idx="76">
                  <c:v>44.676300000000005</c:v>
                </c:pt>
                <c:pt idx="77">
                  <c:v>44.399899999999995</c:v>
                </c:pt>
                <c:pt idx="78">
                  <c:v>44.061900000000001</c:v>
                </c:pt>
                <c:pt idx="79">
                  <c:v>43.742899999999999</c:v>
                </c:pt>
                <c:pt idx="80">
                  <c:v>43.444700000000005</c:v>
                </c:pt>
                <c:pt idx="81">
                  <c:v>43.134799999999998</c:v>
                </c:pt>
                <c:pt idx="82">
                  <c:v>42.834499999999998</c:v>
                </c:pt>
                <c:pt idx="83">
                  <c:v>42.567700000000002</c:v>
                </c:pt>
                <c:pt idx="84">
                  <c:v>42.280699999999996</c:v>
                </c:pt>
                <c:pt idx="85">
                  <c:v>41.918100000000003</c:v>
                </c:pt>
                <c:pt idx="86">
                  <c:v>41.519500000000001</c:v>
                </c:pt>
                <c:pt idx="87">
                  <c:v>41.136400000000002</c:v>
                </c:pt>
                <c:pt idx="88">
                  <c:v>40.7697</c:v>
                </c:pt>
                <c:pt idx="89">
                  <c:v>40.405999999999999</c:v>
                </c:pt>
                <c:pt idx="90">
                  <c:v>40.104500000000002</c:v>
                </c:pt>
                <c:pt idx="91">
                  <c:v>39.904699999999998</c:v>
                </c:pt>
                <c:pt idx="92">
                  <c:v>39.740299999999998</c:v>
                </c:pt>
                <c:pt idx="93">
                  <c:v>39.543099999999995</c:v>
                </c:pt>
                <c:pt idx="94">
                  <c:v>39.286000000000001</c:v>
                </c:pt>
                <c:pt idx="95">
                  <c:v>39.033499999999997</c:v>
                </c:pt>
                <c:pt idx="96">
                  <c:v>38.804499999999997</c:v>
                </c:pt>
                <c:pt idx="97">
                  <c:v>38.580999999999996</c:v>
                </c:pt>
                <c:pt idx="98">
                  <c:v>38.438699999999997</c:v>
                </c:pt>
                <c:pt idx="99">
                  <c:v>38.394500000000001</c:v>
                </c:pt>
                <c:pt idx="100">
                  <c:v>38.375799999999998</c:v>
                </c:pt>
                <c:pt idx="101">
                  <c:v>38.349800000000002</c:v>
                </c:pt>
                <c:pt idx="102">
                  <c:v>38.321300000000001</c:v>
                </c:pt>
                <c:pt idx="103">
                  <c:v>38.266600000000004</c:v>
                </c:pt>
                <c:pt idx="104">
                  <c:v>38.158099999999997</c:v>
                </c:pt>
                <c:pt idx="105">
                  <c:v>38.028800000000004</c:v>
                </c:pt>
                <c:pt idx="106">
                  <c:v>37.938499999999998</c:v>
                </c:pt>
                <c:pt idx="107">
                  <c:v>37.890099999999997</c:v>
                </c:pt>
                <c:pt idx="108">
                  <c:v>37.841700000000003</c:v>
                </c:pt>
                <c:pt idx="109">
                  <c:v>37.858799999999995</c:v>
                </c:pt>
                <c:pt idx="110">
                  <c:v>38.039899999999996</c:v>
                </c:pt>
                <c:pt idx="111">
                  <c:v>38.353099999999998</c:v>
                </c:pt>
                <c:pt idx="112">
                  <c:v>38.7333</c:v>
                </c:pt>
                <c:pt idx="113">
                  <c:v>39.1905</c:v>
                </c:pt>
                <c:pt idx="114">
                  <c:v>39.741999999999997</c:v>
                </c:pt>
                <c:pt idx="115">
                  <c:v>40.345300000000002</c:v>
                </c:pt>
                <c:pt idx="116">
                  <c:v>40.950699999999998</c:v>
                </c:pt>
                <c:pt idx="117">
                  <c:v>41.476500000000001</c:v>
                </c:pt>
                <c:pt idx="118">
                  <c:v>41.984000000000002</c:v>
                </c:pt>
                <c:pt idx="119">
                  <c:v>42.509399999999999</c:v>
                </c:pt>
                <c:pt idx="120">
                  <c:v>43.044800000000002</c:v>
                </c:pt>
                <c:pt idx="121">
                  <c:v>43.537300000000002</c:v>
                </c:pt>
                <c:pt idx="122">
                  <c:v>44.028399999999998</c:v>
                </c:pt>
                <c:pt idx="123">
                  <c:v>44.446300000000001</c:v>
                </c:pt>
                <c:pt idx="124">
                  <c:v>44.602899999999998</c:v>
                </c:pt>
                <c:pt idx="125">
                  <c:v>44.663599999999995</c:v>
                </c:pt>
                <c:pt idx="126">
                  <c:v>44.686799999999998</c:v>
                </c:pt>
                <c:pt idx="127">
                  <c:v>44.676400000000001</c:v>
                </c:pt>
                <c:pt idx="128">
                  <c:v>44.639899999999997</c:v>
                </c:pt>
                <c:pt idx="129">
                  <c:v>44.629400000000004</c:v>
                </c:pt>
                <c:pt idx="130">
                  <c:v>44.65</c:v>
                </c:pt>
                <c:pt idx="131">
                  <c:v>44.694400000000002</c:v>
                </c:pt>
                <c:pt idx="132">
                  <c:v>44.764700000000005</c:v>
                </c:pt>
                <c:pt idx="133">
                  <c:v>44.917200000000001</c:v>
                </c:pt>
                <c:pt idx="134">
                  <c:v>45.120800000000003</c:v>
                </c:pt>
                <c:pt idx="135">
                  <c:v>45.353500000000004</c:v>
                </c:pt>
                <c:pt idx="136">
                  <c:v>45.57</c:v>
                </c:pt>
                <c:pt idx="137">
                  <c:v>45.831499999999998</c:v>
                </c:pt>
                <c:pt idx="138">
                  <c:v>46.106299999999997</c:v>
                </c:pt>
                <c:pt idx="139">
                  <c:v>46.417400000000001</c:v>
                </c:pt>
                <c:pt idx="140">
                  <c:v>46.647199999999998</c:v>
                </c:pt>
                <c:pt idx="141">
                  <c:v>46.672799999999995</c:v>
                </c:pt>
                <c:pt idx="142">
                  <c:v>46.831499999999998</c:v>
                </c:pt>
                <c:pt idx="143">
                  <c:v>47.118700000000004</c:v>
                </c:pt>
                <c:pt idx="144">
                  <c:v>47.466900000000003</c:v>
                </c:pt>
                <c:pt idx="145">
                  <c:v>47.691600000000001</c:v>
                </c:pt>
                <c:pt idx="146">
                  <c:v>47.8919</c:v>
                </c:pt>
                <c:pt idx="147">
                  <c:v>48.146599999999999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2.30775</c:v>
                </c:pt>
                <c:pt idx="1">
                  <c:v>2.35229</c:v>
                </c:pt>
                <c:pt idx="2">
                  <c:v>2.3943600000000003</c:v>
                </c:pt>
                <c:pt idx="3">
                  <c:v>2.43526</c:v>
                </c:pt>
                <c:pt idx="4">
                  <c:v>2.4740000000000002</c:v>
                </c:pt>
                <c:pt idx="5">
                  <c:v>2.51112</c:v>
                </c:pt>
                <c:pt idx="6">
                  <c:v>2.5469399999999998</c:v>
                </c:pt>
                <c:pt idx="7">
                  <c:v>2.58195</c:v>
                </c:pt>
                <c:pt idx="8">
                  <c:v>2.6153500000000003</c:v>
                </c:pt>
                <c:pt idx="9">
                  <c:v>2.6466499999999997</c:v>
                </c:pt>
                <c:pt idx="10">
                  <c:v>2.6753100000000001</c:v>
                </c:pt>
                <c:pt idx="11">
                  <c:v>2.7013100000000003</c:v>
                </c:pt>
                <c:pt idx="12">
                  <c:v>2.7202100000000002</c:v>
                </c:pt>
                <c:pt idx="13">
                  <c:v>2.7363300000000002</c:v>
                </c:pt>
                <c:pt idx="14">
                  <c:v>2.74892</c:v>
                </c:pt>
                <c:pt idx="15">
                  <c:v>2.7579599999999997</c:v>
                </c:pt>
                <c:pt idx="16">
                  <c:v>2.7645199999999996</c:v>
                </c:pt>
                <c:pt idx="17">
                  <c:v>2.7673700000000001</c:v>
                </c:pt>
                <c:pt idx="18">
                  <c:v>2.7680600000000002</c:v>
                </c:pt>
                <c:pt idx="19">
                  <c:v>2.7656299999999998</c:v>
                </c:pt>
                <c:pt idx="20">
                  <c:v>2.7620699999999996</c:v>
                </c:pt>
                <c:pt idx="21">
                  <c:v>2.7587800000000002</c:v>
                </c:pt>
                <c:pt idx="22">
                  <c:v>2.7562899999999999</c:v>
                </c:pt>
                <c:pt idx="23">
                  <c:v>2.7549899999999998</c:v>
                </c:pt>
                <c:pt idx="24">
                  <c:v>2.7528700000000002</c:v>
                </c:pt>
                <c:pt idx="25">
                  <c:v>2.7487499999999998</c:v>
                </c:pt>
                <c:pt idx="26">
                  <c:v>2.7430399999999997</c:v>
                </c:pt>
                <c:pt idx="27">
                  <c:v>2.7362299999999999</c:v>
                </c:pt>
                <c:pt idx="28">
                  <c:v>2.7288099999999997</c:v>
                </c:pt>
                <c:pt idx="29">
                  <c:v>2.7208300000000003</c:v>
                </c:pt>
                <c:pt idx="30">
                  <c:v>2.7114700000000003</c:v>
                </c:pt>
                <c:pt idx="31">
                  <c:v>2.6999299999999997</c:v>
                </c:pt>
                <c:pt idx="32">
                  <c:v>2.6900200000000001</c:v>
                </c:pt>
                <c:pt idx="33">
                  <c:v>2.6795299999999997</c:v>
                </c:pt>
                <c:pt idx="34">
                  <c:v>2.6690700000000001</c:v>
                </c:pt>
                <c:pt idx="35">
                  <c:v>2.6584400000000001</c:v>
                </c:pt>
                <c:pt idx="36">
                  <c:v>2.64961</c:v>
                </c:pt>
                <c:pt idx="37">
                  <c:v>2.6483099999999999</c:v>
                </c:pt>
                <c:pt idx="38">
                  <c:v>2.6490599999999995</c:v>
                </c:pt>
                <c:pt idx="39">
                  <c:v>2.6565899999999996</c:v>
                </c:pt>
                <c:pt idx="40">
                  <c:v>2.6695799999999998</c:v>
                </c:pt>
                <c:pt idx="41">
                  <c:v>2.68716</c:v>
                </c:pt>
                <c:pt idx="42">
                  <c:v>2.7083499999999998</c:v>
                </c:pt>
                <c:pt idx="43">
                  <c:v>2.7325700000000004</c:v>
                </c:pt>
                <c:pt idx="44">
                  <c:v>2.7581199999999999</c:v>
                </c:pt>
                <c:pt idx="45">
                  <c:v>2.7835000000000001</c:v>
                </c:pt>
                <c:pt idx="46">
                  <c:v>2.8079999999999998</c:v>
                </c:pt>
                <c:pt idx="47">
                  <c:v>2.8304800000000001</c:v>
                </c:pt>
                <c:pt idx="48">
                  <c:v>2.8529300000000002</c:v>
                </c:pt>
                <c:pt idx="49">
                  <c:v>2.87812</c:v>
                </c:pt>
                <c:pt idx="50">
                  <c:v>2.8966099999999999</c:v>
                </c:pt>
                <c:pt idx="51">
                  <c:v>2.9319899999999999</c:v>
                </c:pt>
                <c:pt idx="52">
                  <c:v>2.9729699999999997</c:v>
                </c:pt>
                <c:pt idx="53">
                  <c:v>3.0357400000000001</c:v>
                </c:pt>
                <c:pt idx="54">
                  <c:v>3.0666599999999997</c:v>
                </c:pt>
                <c:pt idx="55">
                  <c:v>3.1386099999999999</c:v>
                </c:pt>
                <c:pt idx="56">
                  <c:v>3.1954199999999999</c:v>
                </c:pt>
                <c:pt idx="57">
                  <c:v>3.2326600000000001</c:v>
                </c:pt>
                <c:pt idx="58">
                  <c:v>3.2898000000000001</c:v>
                </c:pt>
                <c:pt idx="59">
                  <c:v>3.34775</c:v>
                </c:pt>
                <c:pt idx="60">
                  <c:v>3.42543</c:v>
                </c:pt>
                <c:pt idx="61">
                  <c:v>3.4809400000000004</c:v>
                </c:pt>
                <c:pt idx="62">
                  <c:v>3.5196499999999995</c:v>
                </c:pt>
                <c:pt idx="63">
                  <c:v>3.5733600000000001</c:v>
                </c:pt>
                <c:pt idx="64">
                  <c:v>3.63585</c:v>
                </c:pt>
                <c:pt idx="65">
                  <c:v>3.6832399999999996</c:v>
                </c:pt>
                <c:pt idx="66">
                  <c:v>3.7181999999999999</c:v>
                </c:pt>
                <c:pt idx="67">
                  <c:v>3.7739799999999999</c:v>
                </c:pt>
                <c:pt idx="68">
                  <c:v>3.8067200000000003</c:v>
                </c:pt>
                <c:pt idx="69">
                  <c:v>3.8541500000000002</c:v>
                </c:pt>
                <c:pt idx="70">
                  <c:v>3.8845800000000001</c:v>
                </c:pt>
                <c:pt idx="71">
                  <c:v>3.9214199999999999</c:v>
                </c:pt>
                <c:pt idx="72">
                  <c:v>3.9507700000000003</c:v>
                </c:pt>
                <c:pt idx="73">
                  <c:v>3.9776199999999999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62.049799999999998</c:v>
                </c:pt>
                <c:pt idx="1">
                  <c:v>61.586799999999997</c:v>
                </c:pt>
                <c:pt idx="2">
                  <c:v>61.065300000000001</c:v>
                </c:pt>
                <c:pt idx="3">
                  <c:v>60.4499</c:v>
                </c:pt>
                <c:pt idx="4">
                  <c:v>59.7834</c:v>
                </c:pt>
                <c:pt idx="5">
                  <c:v>59.0075</c:v>
                </c:pt>
                <c:pt idx="6">
                  <c:v>58.209699999999998</c:v>
                </c:pt>
                <c:pt idx="7">
                  <c:v>57.459199999999996</c:v>
                </c:pt>
                <c:pt idx="8">
                  <c:v>56.738699999999994</c:v>
                </c:pt>
                <c:pt idx="9">
                  <c:v>56.0929</c:v>
                </c:pt>
                <c:pt idx="10">
                  <c:v>55.631500000000003</c:v>
                </c:pt>
                <c:pt idx="11">
                  <c:v>55.231499999999997</c:v>
                </c:pt>
                <c:pt idx="12">
                  <c:v>54.901200000000003</c:v>
                </c:pt>
                <c:pt idx="13">
                  <c:v>54.588000000000001</c:v>
                </c:pt>
                <c:pt idx="14">
                  <c:v>54.288599999999995</c:v>
                </c:pt>
                <c:pt idx="15">
                  <c:v>53.989899999999999</c:v>
                </c:pt>
                <c:pt idx="16">
                  <c:v>53.719799999999992</c:v>
                </c:pt>
                <c:pt idx="17">
                  <c:v>53.476599999999998</c:v>
                </c:pt>
                <c:pt idx="18">
                  <c:v>53.227899999999991</c:v>
                </c:pt>
                <c:pt idx="19">
                  <c:v>52.971500000000006</c:v>
                </c:pt>
                <c:pt idx="20">
                  <c:v>52.677799999999998</c:v>
                </c:pt>
                <c:pt idx="21">
                  <c:v>52.346400000000003</c:v>
                </c:pt>
                <c:pt idx="22">
                  <c:v>52.028500000000001</c:v>
                </c:pt>
                <c:pt idx="23">
                  <c:v>51.757200000000005</c:v>
                </c:pt>
                <c:pt idx="24">
                  <c:v>51.500999999999998</c:v>
                </c:pt>
                <c:pt idx="25">
                  <c:v>51.277099999999997</c:v>
                </c:pt>
                <c:pt idx="26">
                  <c:v>51.0625</c:v>
                </c:pt>
                <c:pt idx="27">
                  <c:v>50.859099999999998</c:v>
                </c:pt>
                <c:pt idx="28">
                  <c:v>50.710799999999999</c:v>
                </c:pt>
                <c:pt idx="29">
                  <c:v>50.555999999999997</c:v>
                </c:pt>
                <c:pt idx="30">
                  <c:v>50.421999999999997</c:v>
                </c:pt>
                <c:pt idx="31">
                  <c:v>50.364699999999999</c:v>
                </c:pt>
                <c:pt idx="32">
                  <c:v>50.333500000000001</c:v>
                </c:pt>
                <c:pt idx="33">
                  <c:v>50.348000000000006</c:v>
                </c:pt>
                <c:pt idx="34">
                  <c:v>50.363100000000003</c:v>
                </c:pt>
                <c:pt idx="35">
                  <c:v>50.304700000000004</c:v>
                </c:pt>
                <c:pt idx="36">
                  <c:v>50.299400000000006</c:v>
                </c:pt>
                <c:pt idx="37">
                  <c:v>50.244299999999996</c:v>
                </c:pt>
                <c:pt idx="38">
                  <c:v>50.201799999999999</c:v>
                </c:pt>
                <c:pt idx="39">
                  <c:v>50.184399999999997</c:v>
                </c:pt>
                <c:pt idx="40">
                  <c:v>50.104700000000001</c:v>
                </c:pt>
                <c:pt idx="41">
                  <c:v>49.915599999999998</c:v>
                </c:pt>
                <c:pt idx="42">
                  <c:v>49.727600000000002</c:v>
                </c:pt>
                <c:pt idx="43">
                  <c:v>49.557299999999998</c:v>
                </c:pt>
                <c:pt idx="44">
                  <c:v>49.4664</c:v>
                </c:pt>
                <c:pt idx="45">
                  <c:v>49.431000000000004</c:v>
                </c:pt>
                <c:pt idx="46">
                  <c:v>49.423499999999997</c:v>
                </c:pt>
                <c:pt idx="47">
                  <c:v>49.417200000000001</c:v>
                </c:pt>
                <c:pt idx="48">
                  <c:v>49.3782</c:v>
                </c:pt>
                <c:pt idx="49">
                  <c:v>49.2864</c:v>
                </c:pt>
                <c:pt idx="50">
                  <c:v>49.212899999999998</c:v>
                </c:pt>
                <c:pt idx="51">
                  <c:v>48.960999999999999</c:v>
                </c:pt>
                <c:pt idx="52">
                  <c:v>48.642800000000001</c:v>
                </c:pt>
                <c:pt idx="53">
                  <c:v>47.984300000000005</c:v>
                </c:pt>
                <c:pt idx="54">
                  <c:v>47.833500000000001</c:v>
                </c:pt>
                <c:pt idx="55">
                  <c:v>47.171800000000005</c:v>
                </c:pt>
                <c:pt idx="56">
                  <c:v>46.73</c:v>
                </c:pt>
                <c:pt idx="57">
                  <c:v>46.576799999999999</c:v>
                </c:pt>
                <c:pt idx="58">
                  <c:v>46.096599999999995</c:v>
                </c:pt>
                <c:pt idx="59">
                  <c:v>45.665900000000001</c:v>
                </c:pt>
                <c:pt idx="60">
                  <c:v>44.962200000000003</c:v>
                </c:pt>
                <c:pt idx="61">
                  <c:v>44.768900000000002</c:v>
                </c:pt>
                <c:pt idx="62">
                  <c:v>44.824100000000001</c:v>
                </c:pt>
                <c:pt idx="63">
                  <c:v>44.731400000000001</c:v>
                </c:pt>
                <c:pt idx="64">
                  <c:v>44.495000000000005</c:v>
                </c:pt>
                <c:pt idx="65">
                  <c:v>44.4011</c:v>
                </c:pt>
                <c:pt idx="66">
                  <c:v>44.438400000000001</c:v>
                </c:pt>
                <c:pt idx="67">
                  <c:v>44.1434</c:v>
                </c:pt>
                <c:pt idx="68">
                  <c:v>44.154199999999996</c:v>
                </c:pt>
                <c:pt idx="69">
                  <c:v>44.074000000000005</c:v>
                </c:pt>
                <c:pt idx="70">
                  <c:v>44.2104</c:v>
                </c:pt>
                <c:pt idx="71">
                  <c:v>44.3795</c:v>
                </c:pt>
                <c:pt idx="72">
                  <c:v>44.6218</c:v>
                </c:pt>
                <c:pt idx="73">
                  <c:v>44.843600000000002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3.9776199999999999</c:v>
                </c:pt>
                <c:pt idx="1">
                  <c:v>4.0031699999999999</c:v>
                </c:pt>
                <c:pt idx="2">
                  <c:v>4.0209899999999994</c:v>
                </c:pt>
                <c:pt idx="3">
                  <c:v>4.0350599999999996</c:v>
                </c:pt>
                <c:pt idx="4">
                  <c:v>4.0454400000000001</c:v>
                </c:pt>
                <c:pt idx="5">
                  <c:v>4.0532500000000002</c:v>
                </c:pt>
                <c:pt idx="6">
                  <c:v>4.0602900000000002</c:v>
                </c:pt>
                <c:pt idx="7">
                  <c:v>4.0676499999999995</c:v>
                </c:pt>
                <c:pt idx="8">
                  <c:v>4.0731200000000003</c:v>
                </c:pt>
                <c:pt idx="9">
                  <c:v>4.0784000000000002</c:v>
                </c:pt>
                <c:pt idx="10">
                  <c:v>4.0854099999999995</c:v>
                </c:pt>
                <c:pt idx="11">
                  <c:v>4.0943800000000001</c:v>
                </c:pt>
                <c:pt idx="12">
                  <c:v>4.1049100000000003</c:v>
                </c:pt>
                <c:pt idx="13">
                  <c:v>4.1168500000000003</c:v>
                </c:pt>
                <c:pt idx="14">
                  <c:v>4.1277100000000004</c:v>
                </c:pt>
                <c:pt idx="15">
                  <c:v>4.1366399999999999</c:v>
                </c:pt>
                <c:pt idx="16">
                  <c:v>4.1435599999999999</c:v>
                </c:pt>
                <c:pt idx="17">
                  <c:v>4.1476600000000001</c:v>
                </c:pt>
                <c:pt idx="18">
                  <c:v>4.1471200000000001</c:v>
                </c:pt>
                <c:pt idx="19">
                  <c:v>4.1426800000000004</c:v>
                </c:pt>
                <c:pt idx="20">
                  <c:v>4.1367399999999996</c:v>
                </c:pt>
                <c:pt idx="21">
                  <c:v>4.13028</c:v>
                </c:pt>
                <c:pt idx="22">
                  <c:v>4.1249000000000002</c:v>
                </c:pt>
                <c:pt idx="23">
                  <c:v>4.1193999999999997</c:v>
                </c:pt>
                <c:pt idx="24">
                  <c:v>4.1146500000000001</c:v>
                </c:pt>
                <c:pt idx="25">
                  <c:v>4.1083799999999995</c:v>
                </c:pt>
                <c:pt idx="26">
                  <c:v>4.0999799999999995</c:v>
                </c:pt>
                <c:pt idx="27">
                  <c:v>4.0902899999999995</c:v>
                </c:pt>
                <c:pt idx="28">
                  <c:v>4.0785599999999995</c:v>
                </c:pt>
                <c:pt idx="29">
                  <c:v>4.0648900000000001</c:v>
                </c:pt>
                <c:pt idx="30">
                  <c:v>4.0493299999999994</c:v>
                </c:pt>
                <c:pt idx="31">
                  <c:v>4.0324200000000001</c:v>
                </c:pt>
                <c:pt idx="32">
                  <c:v>4.0129999999999999</c:v>
                </c:pt>
                <c:pt idx="33">
                  <c:v>3.9930399999999997</c:v>
                </c:pt>
                <c:pt idx="34">
                  <c:v>3.9711800000000004</c:v>
                </c:pt>
                <c:pt idx="35">
                  <c:v>3.9440900000000001</c:v>
                </c:pt>
                <c:pt idx="36">
                  <c:v>3.91059</c:v>
                </c:pt>
                <c:pt idx="37">
                  <c:v>3.8712900000000001</c:v>
                </c:pt>
                <c:pt idx="38">
                  <c:v>3.8307700000000002</c:v>
                </c:pt>
                <c:pt idx="39">
                  <c:v>3.7899699999999998</c:v>
                </c:pt>
                <c:pt idx="40">
                  <c:v>3.7509300000000003</c:v>
                </c:pt>
                <c:pt idx="41">
                  <c:v>3.71408</c:v>
                </c:pt>
                <c:pt idx="42">
                  <c:v>3.6796600000000002</c:v>
                </c:pt>
                <c:pt idx="43">
                  <c:v>3.6506300000000005</c:v>
                </c:pt>
                <c:pt idx="44">
                  <c:v>3.6273300000000002</c:v>
                </c:pt>
                <c:pt idx="45">
                  <c:v>3.6084000000000001</c:v>
                </c:pt>
                <c:pt idx="46">
                  <c:v>3.59388</c:v>
                </c:pt>
                <c:pt idx="47">
                  <c:v>3.5795599999999999</c:v>
                </c:pt>
                <c:pt idx="48">
                  <c:v>3.5661500000000004</c:v>
                </c:pt>
                <c:pt idx="49">
                  <c:v>3.55315</c:v>
                </c:pt>
                <c:pt idx="50">
                  <c:v>3.5426200000000003</c:v>
                </c:pt>
                <c:pt idx="51">
                  <c:v>3.5314800000000002</c:v>
                </c:pt>
                <c:pt idx="52">
                  <c:v>3.5251300000000003</c:v>
                </c:pt>
                <c:pt idx="53">
                  <c:v>3.5228299999999999</c:v>
                </c:pt>
                <c:pt idx="54">
                  <c:v>3.52318</c:v>
                </c:pt>
                <c:pt idx="55">
                  <c:v>3.5267900000000001</c:v>
                </c:pt>
                <c:pt idx="56">
                  <c:v>3.52989</c:v>
                </c:pt>
                <c:pt idx="57">
                  <c:v>3.53199</c:v>
                </c:pt>
                <c:pt idx="58">
                  <c:v>3.5331000000000001</c:v>
                </c:pt>
                <c:pt idx="59">
                  <c:v>3.5346100000000003</c:v>
                </c:pt>
                <c:pt idx="60">
                  <c:v>3.53878</c:v>
                </c:pt>
                <c:pt idx="61">
                  <c:v>3.5478900000000002</c:v>
                </c:pt>
                <c:pt idx="62">
                  <c:v>3.5612599999999999</c:v>
                </c:pt>
                <c:pt idx="63">
                  <c:v>3.5756199999999998</c:v>
                </c:pt>
                <c:pt idx="64">
                  <c:v>3.5919400000000001</c:v>
                </c:pt>
                <c:pt idx="65">
                  <c:v>3.6083400000000001</c:v>
                </c:pt>
                <c:pt idx="66">
                  <c:v>3.6236200000000003</c:v>
                </c:pt>
                <c:pt idx="67">
                  <c:v>3.6398999999999999</c:v>
                </c:pt>
                <c:pt idx="68">
                  <c:v>3.65374</c:v>
                </c:pt>
                <c:pt idx="69">
                  <c:v>3.6642299999999999</c:v>
                </c:pt>
                <c:pt idx="70">
                  <c:v>3.66812</c:v>
                </c:pt>
                <c:pt idx="71">
                  <c:v>3.6590800000000003</c:v>
                </c:pt>
                <c:pt idx="72">
                  <c:v>3.6520200000000003</c:v>
                </c:pt>
                <c:pt idx="73">
                  <c:v>3.64534</c:v>
                </c:pt>
                <c:pt idx="74">
                  <c:v>3.6451699999999998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44.843600000000002</c:v>
                </c:pt>
                <c:pt idx="1">
                  <c:v>44.962600000000002</c:v>
                </c:pt>
                <c:pt idx="2">
                  <c:v>44.845500000000001</c:v>
                </c:pt>
                <c:pt idx="3">
                  <c:v>44.676300000000005</c:v>
                </c:pt>
                <c:pt idx="4">
                  <c:v>44.399899999999995</c:v>
                </c:pt>
                <c:pt idx="5">
                  <c:v>44.061900000000001</c:v>
                </c:pt>
                <c:pt idx="6">
                  <c:v>43.742899999999999</c:v>
                </c:pt>
                <c:pt idx="7">
                  <c:v>43.444700000000005</c:v>
                </c:pt>
                <c:pt idx="8">
                  <c:v>43.134799999999998</c:v>
                </c:pt>
                <c:pt idx="9">
                  <c:v>42.834499999999998</c:v>
                </c:pt>
                <c:pt idx="10">
                  <c:v>42.567700000000002</c:v>
                </c:pt>
                <c:pt idx="11">
                  <c:v>42.280699999999996</c:v>
                </c:pt>
                <c:pt idx="12">
                  <c:v>41.918100000000003</c:v>
                </c:pt>
                <c:pt idx="13">
                  <c:v>41.519500000000001</c:v>
                </c:pt>
                <c:pt idx="14">
                  <c:v>41.136400000000002</c:v>
                </c:pt>
                <c:pt idx="15">
                  <c:v>40.7697</c:v>
                </c:pt>
                <c:pt idx="16">
                  <c:v>40.405999999999999</c:v>
                </c:pt>
                <c:pt idx="17">
                  <c:v>40.104500000000002</c:v>
                </c:pt>
                <c:pt idx="18">
                  <c:v>39.904699999999998</c:v>
                </c:pt>
                <c:pt idx="19">
                  <c:v>39.740299999999998</c:v>
                </c:pt>
                <c:pt idx="20">
                  <c:v>39.543099999999995</c:v>
                </c:pt>
                <c:pt idx="21">
                  <c:v>39.286000000000001</c:v>
                </c:pt>
                <c:pt idx="22">
                  <c:v>39.033499999999997</c:v>
                </c:pt>
                <c:pt idx="23">
                  <c:v>38.804499999999997</c:v>
                </c:pt>
                <c:pt idx="24">
                  <c:v>38.580999999999996</c:v>
                </c:pt>
                <c:pt idx="25">
                  <c:v>38.438699999999997</c:v>
                </c:pt>
                <c:pt idx="26">
                  <c:v>38.394500000000001</c:v>
                </c:pt>
                <c:pt idx="27">
                  <c:v>38.375799999999998</c:v>
                </c:pt>
                <c:pt idx="28">
                  <c:v>38.349800000000002</c:v>
                </c:pt>
                <c:pt idx="29">
                  <c:v>38.321300000000001</c:v>
                </c:pt>
                <c:pt idx="30">
                  <c:v>38.266600000000004</c:v>
                </c:pt>
                <c:pt idx="31">
                  <c:v>38.158099999999997</c:v>
                </c:pt>
                <c:pt idx="32">
                  <c:v>38.028800000000004</c:v>
                </c:pt>
                <c:pt idx="33">
                  <c:v>37.938499999999998</c:v>
                </c:pt>
                <c:pt idx="34">
                  <c:v>37.890099999999997</c:v>
                </c:pt>
                <c:pt idx="35">
                  <c:v>37.841700000000003</c:v>
                </c:pt>
                <c:pt idx="36">
                  <c:v>37.858799999999995</c:v>
                </c:pt>
                <c:pt idx="37">
                  <c:v>38.039899999999996</c:v>
                </c:pt>
                <c:pt idx="38">
                  <c:v>38.353099999999998</c:v>
                </c:pt>
                <c:pt idx="39">
                  <c:v>38.7333</c:v>
                </c:pt>
                <c:pt idx="40">
                  <c:v>39.1905</c:v>
                </c:pt>
                <c:pt idx="41">
                  <c:v>39.741999999999997</c:v>
                </c:pt>
                <c:pt idx="42">
                  <c:v>40.345300000000002</c:v>
                </c:pt>
                <c:pt idx="43">
                  <c:v>40.950699999999998</c:v>
                </c:pt>
                <c:pt idx="44">
                  <c:v>41.476500000000001</c:v>
                </c:pt>
                <c:pt idx="45">
                  <c:v>41.984000000000002</c:v>
                </c:pt>
                <c:pt idx="46">
                  <c:v>42.509399999999999</c:v>
                </c:pt>
                <c:pt idx="47">
                  <c:v>43.044800000000002</c:v>
                </c:pt>
                <c:pt idx="48">
                  <c:v>43.537300000000002</c:v>
                </c:pt>
                <c:pt idx="49">
                  <c:v>44.028399999999998</c:v>
                </c:pt>
                <c:pt idx="50">
                  <c:v>44.446300000000001</c:v>
                </c:pt>
                <c:pt idx="51">
                  <c:v>44.602899999999998</c:v>
                </c:pt>
                <c:pt idx="52">
                  <c:v>44.663599999999995</c:v>
                </c:pt>
                <c:pt idx="53">
                  <c:v>44.686799999999998</c:v>
                </c:pt>
                <c:pt idx="54">
                  <c:v>44.676400000000001</c:v>
                </c:pt>
                <c:pt idx="55">
                  <c:v>44.639899999999997</c:v>
                </c:pt>
                <c:pt idx="56">
                  <c:v>44.629400000000004</c:v>
                </c:pt>
                <c:pt idx="57">
                  <c:v>44.65</c:v>
                </c:pt>
                <c:pt idx="58">
                  <c:v>44.694400000000002</c:v>
                </c:pt>
                <c:pt idx="59">
                  <c:v>44.764700000000005</c:v>
                </c:pt>
                <c:pt idx="60">
                  <c:v>44.917200000000001</c:v>
                </c:pt>
                <c:pt idx="61">
                  <c:v>45.120800000000003</c:v>
                </c:pt>
                <c:pt idx="62">
                  <c:v>45.353500000000004</c:v>
                </c:pt>
                <c:pt idx="63">
                  <c:v>45.57</c:v>
                </c:pt>
                <c:pt idx="64">
                  <c:v>45.831499999999998</c:v>
                </c:pt>
                <c:pt idx="65">
                  <c:v>46.106299999999997</c:v>
                </c:pt>
                <c:pt idx="66">
                  <c:v>46.417400000000001</c:v>
                </c:pt>
                <c:pt idx="67">
                  <c:v>46.647199999999998</c:v>
                </c:pt>
                <c:pt idx="68">
                  <c:v>46.672799999999995</c:v>
                </c:pt>
                <c:pt idx="69">
                  <c:v>46.831499999999998</c:v>
                </c:pt>
                <c:pt idx="70">
                  <c:v>47.118700000000004</c:v>
                </c:pt>
                <c:pt idx="71">
                  <c:v>47.466900000000003</c:v>
                </c:pt>
                <c:pt idx="72">
                  <c:v>47.691600000000001</c:v>
                </c:pt>
                <c:pt idx="73">
                  <c:v>47.8919</c:v>
                </c:pt>
                <c:pt idx="74">
                  <c:v>48.146599999999999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2.30775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2.9387690540540534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50.620858108108102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3.8386281081081086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42.374797297297292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3.8386281081081086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42.374797297297292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0.18986780707115039</c:v>
                </c:pt>
                <c:pt idx="1">
                  <c:v>0.38985764600288564</c:v>
                </c:pt>
                <c:pt idx="2">
                  <c:v>0.42027454692596394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0.37495600000000001</c:v>
                </c:pt>
                <c:pt idx="2">
                  <c:v>0.77658099999999997</c:v>
                </c:pt>
                <c:pt idx="3">
                  <c:v>1.1829000000000001</c:v>
                </c:pt>
                <c:pt idx="4">
                  <c:v>1.5906199999999999</c:v>
                </c:pt>
                <c:pt idx="5">
                  <c:v>2.0009000000000001</c:v>
                </c:pt>
                <c:pt idx="6">
                  <c:v>2.4041899999999998</c:v>
                </c:pt>
                <c:pt idx="7">
                  <c:v>2.8087800000000001</c:v>
                </c:pt>
                <c:pt idx="8">
                  <c:v>3.2154500000000001</c:v>
                </c:pt>
                <c:pt idx="9">
                  <c:v>3.6226400000000001</c:v>
                </c:pt>
                <c:pt idx="10">
                  <c:v>4.0308200000000003</c:v>
                </c:pt>
                <c:pt idx="11">
                  <c:v>4.43309</c:v>
                </c:pt>
                <c:pt idx="12">
                  <c:v>4.8399000000000001</c:v>
                </c:pt>
                <c:pt idx="13">
                  <c:v>5.2475899999999998</c:v>
                </c:pt>
                <c:pt idx="14">
                  <c:v>5.6538300000000001</c:v>
                </c:pt>
                <c:pt idx="15">
                  <c:v>6.0609599999999997</c:v>
                </c:pt>
                <c:pt idx="16">
                  <c:v>6.46875</c:v>
                </c:pt>
                <c:pt idx="17">
                  <c:v>6.8724499999999997</c:v>
                </c:pt>
                <c:pt idx="18">
                  <c:v>7.2775800000000004</c:v>
                </c:pt>
                <c:pt idx="19">
                  <c:v>7.6849499999999997</c:v>
                </c:pt>
                <c:pt idx="20">
                  <c:v>8.0916399999999999</c:v>
                </c:pt>
                <c:pt idx="21">
                  <c:v>8.4984800000000007</c:v>
                </c:pt>
                <c:pt idx="22">
                  <c:v>8.9064800000000002</c:v>
                </c:pt>
                <c:pt idx="23">
                  <c:v>9.3103599999999993</c:v>
                </c:pt>
                <c:pt idx="24">
                  <c:v>9.7147199999999998</c:v>
                </c:pt>
                <c:pt idx="25">
                  <c:v>10.1249</c:v>
                </c:pt>
                <c:pt idx="26">
                  <c:v>10.530099999999999</c:v>
                </c:pt>
                <c:pt idx="27">
                  <c:v>10.934900000000001</c:v>
                </c:pt>
                <c:pt idx="28">
                  <c:v>11.3398</c:v>
                </c:pt>
                <c:pt idx="29">
                  <c:v>11.746700000000001</c:v>
                </c:pt>
                <c:pt idx="30">
                  <c:v>12.1549</c:v>
                </c:pt>
                <c:pt idx="31">
                  <c:v>12.5616</c:v>
                </c:pt>
                <c:pt idx="32">
                  <c:v>12.967000000000001</c:v>
                </c:pt>
                <c:pt idx="33">
                  <c:v>13.370699999999999</c:v>
                </c:pt>
                <c:pt idx="34">
                  <c:v>13.7805</c:v>
                </c:pt>
                <c:pt idx="35">
                  <c:v>14.1875</c:v>
                </c:pt>
                <c:pt idx="36">
                  <c:v>14.590299999999999</c:v>
                </c:pt>
                <c:pt idx="37">
                  <c:v>14.9961</c:v>
                </c:pt>
                <c:pt idx="38">
                  <c:v>15.403499999999999</c:v>
                </c:pt>
                <c:pt idx="39">
                  <c:v>15.8072</c:v>
                </c:pt>
                <c:pt idx="40">
                  <c:v>16.217500000000001</c:v>
                </c:pt>
                <c:pt idx="41">
                  <c:v>16.6218</c:v>
                </c:pt>
                <c:pt idx="42">
                  <c:v>17.031099999999999</c:v>
                </c:pt>
                <c:pt idx="43">
                  <c:v>17.433900000000001</c:v>
                </c:pt>
                <c:pt idx="44">
                  <c:v>17.839600000000001</c:v>
                </c:pt>
                <c:pt idx="45">
                  <c:v>18.2484</c:v>
                </c:pt>
                <c:pt idx="46">
                  <c:v>18.653300000000002</c:v>
                </c:pt>
                <c:pt idx="47">
                  <c:v>19.059899999999999</c:v>
                </c:pt>
                <c:pt idx="48">
                  <c:v>19.4666</c:v>
                </c:pt>
                <c:pt idx="49">
                  <c:v>19.873999999999999</c:v>
                </c:pt>
                <c:pt idx="50">
                  <c:v>20.2788</c:v>
                </c:pt>
                <c:pt idx="51">
                  <c:v>20.686199999999999</c:v>
                </c:pt>
                <c:pt idx="52">
                  <c:v>21.090499999999999</c:v>
                </c:pt>
                <c:pt idx="53">
                  <c:v>21.498699999999999</c:v>
                </c:pt>
                <c:pt idx="54">
                  <c:v>21.904599999999999</c:v>
                </c:pt>
                <c:pt idx="55">
                  <c:v>22.311699999999998</c:v>
                </c:pt>
                <c:pt idx="56">
                  <c:v>22.7163</c:v>
                </c:pt>
                <c:pt idx="57">
                  <c:v>23.122800000000002</c:v>
                </c:pt>
                <c:pt idx="58">
                  <c:v>23.527799999999999</c:v>
                </c:pt>
                <c:pt idx="59">
                  <c:v>23.9345</c:v>
                </c:pt>
                <c:pt idx="60">
                  <c:v>24.3443</c:v>
                </c:pt>
                <c:pt idx="61">
                  <c:v>24.749099999999999</c:v>
                </c:pt>
                <c:pt idx="62">
                  <c:v>25.150300000000001</c:v>
                </c:pt>
                <c:pt idx="63">
                  <c:v>25.558</c:v>
                </c:pt>
                <c:pt idx="64">
                  <c:v>25.968299999999999</c:v>
                </c:pt>
                <c:pt idx="65">
                  <c:v>26.373999999999999</c:v>
                </c:pt>
                <c:pt idx="66">
                  <c:v>26.776299999999999</c:v>
                </c:pt>
                <c:pt idx="67">
                  <c:v>27.183599999999998</c:v>
                </c:pt>
                <c:pt idx="68">
                  <c:v>27.590900000000001</c:v>
                </c:pt>
                <c:pt idx="69">
                  <c:v>28.002700000000001</c:v>
                </c:pt>
                <c:pt idx="70">
                  <c:v>28.404900000000001</c:v>
                </c:pt>
                <c:pt idx="71">
                  <c:v>28.808299999999999</c:v>
                </c:pt>
                <c:pt idx="72">
                  <c:v>29.2149</c:v>
                </c:pt>
                <c:pt idx="73">
                  <c:v>29.621400000000001</c:v>
                </c:pt>
                <c:pt idx="74">
                  <c:v>30.029599999999999</c:v>
                </c:pt>
                <c:pt idx="75">
                  <c:v>30.499199999999998</c:v>
                </c:pt>
                <c:pt idx="76">
                  <c:v>30.904399999999999</c:v>
                </c:pt>
                <c:pt idx="77">
                  <c:v>31.294899999999998</c:v>
                </c:pt>
                <c:pt idx="78">
                  <c:v>31.699100000000001</c:v>
                </c:pt>
                <c:pt idx="79">
                  <c:v>32.109699999999997</c:v>
                </c:pt>
                <c:pt idx="80">
                  <c:v>32.5137</c:v>
                </c:pt>
                <c:pt idx="81">
                  <c:v>32.922699999999999</c:v>
                </c:pt>
                <c:pt idx="82">
                  <c:v>33.326999999999998</c:v>
                </c:pt>
                <c:pt idx="83">
                  <c:v>33.7346</c:v>
                </c:pt>
                <c:pt idx="84">
                  <c:v>34.135599999999997</c:v>
                </c:pt>
                <c:pt idx="85">
                  <c:v>34.545000000000002</c:v>
                </c:pt>
                <c:pt idx="86">
                  <c:v>34.952800000000003</c:v>
                </c:pt>
                <c:pt idx="87">
                  <c:v>35.36</c:v>
                </c:pt>
                <c:pt idx="88">
                  <c:v>35.761699999999998</c:v>
                </c:pt>
                <c:pt idx="89">
                  <c:v>36.1708</c:v>
                </c:pt>
                <c:pt idx="90">
                  <c:v>36.576999999999998</c:v>
                </c:pt>
                <c:pt idx="91">
                  <c:v>36.981400000000001</c:v>
                </c:pt>
                <c:pt idx="92">
                  <c:v>37.389299999999999</c:v>
                </c:pt>
                <c:pt idx="93">
                  <c:v>37.7986</c:v>
                </c:pt>
                <c:pt idx="94">
                  <c:v>38.200299999999999</c:v>
                </c:pt>
                <c:pt idx="95">
                  <c:v>38.607599999999998</c:v>
                </c:pt>
                <c:pt idx="96">
                  <c:v>39.014299999999999</c:v>
                </c:pt>
                <c:pt idx="97">
                  <c:v>39.416600000000003</c:v>
                </c:pt>
                <c:pt idx="98">
                  <c:v>39.825499999999998</c:v>
                </c:pt>
                <c:pt idx="99">
                  <c:v>40.230600000000003</c:v>
                </c:pt>
                <c:pt idx="100">
                  <c:v>40.641399999999997</c:v>
                </c:pt>
                <c:pt idx="101">
                  <c:v>41.045499999999997</c:v>
                </c:pt>
                <c:pt idx="102">
                  <c:v>41.450299999999999</c:v>
                </c:pt>
                <c:pt idx="103">
                  <c:v>41.857300000000002</c:v>
                </c:pt>
                <c:pt idx="104">
                  <c:v>42.262099999999997</c:v>
                </c:pt>
                <c:pt idx="105">
                  <c:v>42.669899999999998</c:v>
                </c:pt>
                <c:pt idx="106">
                  <c:v>43.077100000000002</c:v>
                </c:pt>
                <c:pt idx="107">
                  <c:v>43.4816</c:v>
                </c:pt>
                <c:pt idx="108">
                  <c:v>43.887799999999999</c:v>
                </c:pt>
                <c:pt idx="109">
                  <c:v>44.294499999999999</c:v>
                </c:pt>
                <c:pt idx="110">
                  <c:v>44.699599999999997</c:v>
                </c:pt>
                <c:pt idx="111">
                  <c:v>45.108899999999998</c:v>
                </c:pt>
                <c:pt idx="112">
                  <c:v>45.512300000000003</c:v>
                </c:pt>
                <c:pt idx="113">
                  <c:v>45.9193</c:v>
                </c:pt>
                <c:pt idx="114">
                  <c:v>46.323999999999998</c:v>
                </c:pt>
                <c:pt idx="115">
                  <c:v>46.732399999999998</c:v>
                </c:pt>
                <c:pt idx="116">
                  <c:v>47.137900000000002</c:v>
                </c:pt>
                <c:pt idx="117">
                  <c:v>47.5426</c:v>
                </c:pt>
                <c:pt idx="118">
                  <c:v>47.947800000000001</c:v>
                </c:pt>
                <c:pt idx="119">
                  <c:v>48.356200000000001</c:v>
                </c:pt>
                <c:pt idx="120">
                  <c:v>48.762900000000002</c:v>
                </c:pt>
                <c:pt idx="121">
                  <c:v>49.171100000000003</c:v>
                </c:pt>
                <c:pt idx="122">
                  <c:v>49.575000000000003</c:v>
                </c:pt>
                <c:pt idx="123">
                  <c:v>49.980200000000004</c:v>
                </c:pt>
                <c:pt idx="124">
                  <c:v>50.385899999999999</c:v>
                </c:pt>
                <c:pt idx="125">
                  <c:v>50.793399999999998</c:v>
                </c:pt>
                <c:pt idx="126">
                  <c:v>51.206699999999998</c:v>
                </c:pt>
                <c:pt idx="127">
                  <c:v>51.605699999999999</c:v>
                </c:pt>
                <c:pt idx="128">
                  <c:v>52.011499999999998</c:v>
                </c:pt>
                <c:pt idx="129">
                  <c:v>52.418900000000001</c:v>
                </c:pt>
                <c:pt idx="130">
                  <c:v>52.826999999999998</c:v>
                </c:pt>
                <c:pt idx="131">
                  <c:v>53.2333</c:v>
                </c:pt>
                <c:pt idx="132">
                  <c:v>53.6389</c:v>
                </c:pt>
                <c:pt idx="133">
                  <c:v>54.044199999999996</c:v>
                </c:pt>
                <c:pt idx="134">
                  <c:v>54.447899999999997</c:v>
                </c:pt>
                <c:pt idx="135">
                  <c:v>54.859099999999998</c:v>
                </c:pt>
                <c:pt idx="136">
                  <c:v>55.264499999999998</c:v>
                </c:pt>
                <c:pt idx="137">
                  <c:v>55.670400000000001</c:v>
                </c:pt>
                <c:pt idx="138">
                  <c:v>56.073799999999999</c:v>
                </c:pt>
                <c:pt idx="139">
                  <c:v>56.484699999999997</c:v>
                </c:pt>
                <c:pt idx="140">
                  <c:v>56.890900000000002</c:v>
                </c:pt>
                <c:pt idx="141">
                  <c:v>57.294400000000003</c:v>
                </c:pt>
                <c:pt idx="142">
                  <c:v>57.703099999999999</c:v>
                </c:pt>
                <c:pt idx="143">
                  <c:v>58.106900000000003</c:v>
                </c:pt>
                <c:pt idx="144">
                  <c:v>58.514699999999998</c:v>
                </c:pt>
                <c:pt idx="145">
                  <c:v>58.9253</c:v>
                </c:pt>
                <c:pt idx="146">
                  <c:v>59.327100000000002</c:v>
                </c:pt>
                <c:pt idx="147">
                  <c:v>59.73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2.30775</c:v>
                </c:pt>
                <c:pt idx="1">
                  <c:v>2.35229</c:v>
                </c:pt>
                <c:pt idx="2">
                  <c:v>2.3943600000000003</c:v>
                </c:pt>
                <c:pt idx="3">
                  <c:v>2.43526</c:v>
                </c:pt>
                <c:pt idx="4">
                  <c:v>2.4740000000000002</c:v>
                </c:pt>
                <c:pt idx="5">
                  <c:v>2.51112</c:v>
                </c:pt>
                <c:pt idx="6">
                  <c:v>2.5469399999999998</c:v>
                </c:pt>
                <c:pt idx="7">
                  <c:v>2.58195</c:v>
                </c:pt>
                <c:pt idx="8">
                  <c:v>2.6153500000000003</c:v>
                </c:pt>
                <c:pt idx="9">
                  <c:v>2.6466499999999997</c:v>
                </c:pt>
                <c:pt idx="10">
                  <c:v>2.6753100000000001</c:v>
                </c:pt>
                <c:pt idx="11">
                  <c:v>2.7013100000000003</c:v>
                </c:pt>
                <c:pt idx="12">
                  <c:v>2.7202100000000002</c:v>
                </c:pt>
                <c:pt idx="13">
                  <c:v>2.7363300000000002</c:v>
                </c:pt>
                <c:pt idx="14">
                  <c:v>2.74892</c:v>
                </c:pt>
                <c:pt idx="15">
                  <c:v>2.7579599999999997</c:v>
                </c:pt>
                <c:pt idx="16">
                  <c:v>2.7645199999999996</c:v>
                </c:pt>
                <c:pt idx="17">
                  <c:v>2.7673700000000001</c:v>
                </c:pt>
                <c:pt idx="18">
                  <c:v>2.7680600000000002</c:v>
                </c:pt>
                <c:pt idx="19">
                  <c:v>2.7656299999999998</c:v>
                </c:pt>
                <c:pt idx="20">
                  <c:v>2.7620699999999996</c:v>
                </c:pt>
                <c:pt idx="21">
                  <c:v>2.7587800000000002</c:v>
                </c:pt>
                <c:pt idx="22">
                  <c:v>2.7562899999999999</c:v>
                </c:pt>
                <c:pt idx="23">
                  <c:v>2.7549899999999998</c:v>
                </c:pt>
                <c:pt idx="24">
                  <c:v>2.7528700000000002</c:v>
                </c:pt>
                <c:pt idx="25">
                  <c:v>2.7487499999999998</c:v>
                </c:pt>
                <c:pt idx="26">
                  <c:v>2.7430399999999997</c:v>
                </c:pt>
                <c:pt idx="27">
                  <c:v>2.7362299999999999</c:v>
                </c:pt>
                <c:pt idx="28">
                  <c:v>2.7288099999999997</c:v>
                </c:pt>
                <c:pt idx="29">
                  <c:v>2.7208300000000003</c:v>
                </c:pt>
                <c:pt idx="30">
                  <c:v>2.7114700000000003</c:v>
                </c:pt>
                <c:pt idx="31">
                  <c:v>2.6999299999999997</c:v>
                </c:pt>
                <c:pt idx="32">
                  <c:v>2.6900200000000001</c:v>
                </c:pt>
                <c:pt idx="33">
                  <c:v>2.6795299999999997</c:v>
                </c:pt>
                <c:pt idx="34">
                  <c:v>2.6690700000000001</c:v>
                </c:pt>
                <c:pt idx="35">
                  <c:v>2.6584400000000001</c:v>
                </c:pt>
                <c:pt idx="36">
                  <c:v>2.64961</c:v>
                </c:pt>
                <c:pt idx="37">
                  <c:v>2.6483099999999999</c:v>
                </c:pt>
                <c:pt idx="38">
                  <c:v>2.6490599999999995</c:v>
                </c:pt>
                <c:pt idx="39">
                  <c:v>2.6565899999999996</c:v>
                </c:pt>
                <c:pt idx="40">
                  <c:v>2.6695799999999998</c:v>
                </c:pt>
                <c:pt idx="41">
                  <c:v>2.68716</c:v>
                </c:pt>
                <c:pt idx="42">
                  <c:v>2.7083499999999998</c:v>
                </c:pt>
                <c:pt idx="43">
                  <c:v>2.7325700000000004</c:v>
                </c:pt>
                <c:pt idx="44">
                  <c:v>2.7581199999999999</c:v>
                </c:pt>
                <c:pt idx="45">
                  <c:v>2.7835000000000001</c:v>
                </c:pt>
                <c:pt idx="46">
                  <c:v>2.8079999999999998</c:v>
                </c:pt>
                <c:pt idx="47">
                  <c:v>2.8304800000000001</c:v>
                </c:pt>
                <c:pt idx="48">
                  <c:v>2.8529300000000002</c:v>
                </c:pt>
                <c:pt idx="49">
                  <c:v>2.87812</c:v>
                </c:pt>
                <c:pt idx="50">
                  <c:v>2.8966099999999999</c:v>
                </c:pt>
                <c:pt idx="51">
                  <c:v>2.9319899999999999</c:v>
                </c:pt>
                <c:pt idx="52">
                  <c:v>2.9729699999999997</c:v>
                </c:pt>
                <c:pt idx="53">
                  <c:v>3.0357400000000001</c:v>
                </c:pt>
                <c:pt idx="54">
                  <c:v>3.0666599999999997</c:v>
                </c:pt>
                <c:pt idx="55">
                  <c:v>3.1386099999999999</c:v>
                </c:pt>
                <c:pt idx="56">
                  <c:v>3.1954199999999999</c:v>
                </c:pt>
                <c:pt idx="57">
                  <c:v>3.2326600000000001</c:v>
                </c:pt>
                <c:pt idx="58">
                  <c:v>3.2898000000000001</c:v>
                </c:pt>
                <c:pt idx="59">
                  <c:v>3.34775</c:v>
                </c:pt>
                <c:pt idx="60">
                  <c:v>3.42543</c:v>
                </c:pt>
                <c:pt idx="61">
                  <c:v>3.4809400000000004</c:v>
                </c:pt>
                <c:pt idx="62">
                  <c:v>3.5196499999999995</c:v>
                </c:pt>
                <c:pt idx="63">
                  <c:v>3.5733600000000001</c:v>
                </c:pt>
                <c:pt idx="64">
                  <c:v>3.63585</c:v>
                </c:pt>
                <c:pt idx="65">
                  <c:v>3.6832399999999996</c:v>
                </c:pt>
                <c:pt idx="66">
                  <c:v>3.7181999999999999</c:v>
                </c:pt>
                <c:pt idx="67">
                  <c:v>3.7739799999999999</c:v>
                </c:pt>
                <c:pt idx="68">
                  <c:v>3.8067200000000003</c:v>
                </c:pt>
                <c:pt idx="69">
                  <c:v>3.8541500000000002</c:v>
                </c:pt>
                <c:pt idx="70">
                  <c:v>3.8845800000000001</c:v>
                </c:pt>
                <c:pt idx="71">
                  <c:v>3.9214199999999999</c:v>
                </c:pt>
                <c:pt idx="72">
                  <c:v>3.9507700000000003</c:v>
                </c:pt>
                <c:pt idx="73">
                  <c:v>3.9776199999999999</c:v>
                </c:pt>
                <c:pt idx="74">
                  <c:v>4.0031699999999999</c:v>
                </c:pt>
                <c:pt idx="75">
                  <c:v>4.0209899999999994</c:v>
                </c:pt>
                <c:pt idx="76">
                  <c:v>4.0350599999999996</c:v>
                </c:pt>
                <c:pt idx="77">
                  <c:v>4.0454400000000001</c:v>
                </c:pt>
                <c:pt idx="78">
                  <c:v>4.0532500000000002</c:v>
                </c:pt>
                <c:pt idx="79">
                  <c:v>4.0602900000000002</c:v>
                </c:pt>
                <c:pt idx="80">
                  <c:v>4.0676499999999995</c:v>
                </c:pt>
                <c:pt idx="81">
                  <c:v>4.0731200000000003</c:v>
                </c:pt>
                <c:pt idx="82">
                  <c:v>4.0784000000000002</c:v>
                </c:pt>
                <c:pt idx="83">
                  <c:v>4.0854099999999995</c:v>
                </c:pt>
                <c:pt idx="84">
                  <c:v>4.0943800000000001</c:v>
                </c:pt>
                <c:pt idx="85">
                  <c:v>4.1049100000000003</c:v>
                </c:pt>
                <c:pt idx="86">
                  <c:v>4.1168500000000003</c:v>
                </c:pt>
                <c:pt idx="87">
                  <c:v>4.1277100000000004</c:v>
                </c:pt>
                <c:pt idx="88">
                  <c:v>4.1366399999999999</c:v>
                </c:pt>
                <c:pt idx="89">
                  <c:v>4.1435599999999999</c:v>
                </c:pt>
                <c:pt idx="90">
                  <c:v>4.1476600000000001</c:v>
                </c:pt>
                <c:pt idx="91">
                  <c:v>4.1471200000000001</c:v>
                </c:pt>
                <c:pt idx="92">
                  <c:v>4.1426800000000004</c:v>
                </c:pt>
                <c:pt idx="93">
                  <c:v>4.1367399999999996</c:v>
                </c:pt>
                <c:pt idx="94">
                  <c:v>4.13028</c:v>
                </c:pt>
                <c:pt idx="95">
                  <c:v>4.1249000000000002</c:v>
                </c:pt>
                <c:pt idx="96">
                  <c:v>4.1193999999999997</c:v>
                </c:pt>
                <c:pt idx="97">
                  <c:v>4.1146500000000001</c:v>
                </c:pt>
                <c:pt idx="98">
                  <c:v>4.1083799999999995</c:v>
                </c:pt>
                <c:pt idx="99">
                  <c:v>4.0999799999999995</c:v>
                </c:pt>
                <c:pt idx="100">
                  <c:v>4.0902899999999995</c:v>
                </c:pt>
                <c:pt idx="101">
                  <c:v>4.0785599999999995</c:v>
                </c:pt>
                <c:pt idx="102">
                  <c:v>4.0648900000000001</c:v>
                </c:pt>
                <c:pt idx="103">
                  <c:v>4.0493299999999994</c:v>
                </c:pt>
                <c:pt idx="104">
                  <c:v>4.0324200000000001</c:v>
                </c:pt>
                <c:pt idx="105">
                  <c:v>4.0129999999999999</c:v>
                </c:pt>
                <c:pt idx="106">
                  <c:v>3.9930399999999997</c:v>
                </c:pt>
                <c:pt idx="107">
                  <c:v>3.9711800000000004</c:v>
                </c:pt>
                <c:pt idx="108">
                  <c:v>3.9440900000000001</c:v>
                </c:pt>
                <c:pt idx="109">
                  <c:v>3.91059</c:v>
                </c:pt>
                <c:pt idx="110">
                  <c:v>3.8712900000000001</c:v>
                </c:pt>
                <c:pt idx="111">
                  <c:v>3.8307700000000002</c:v>
                </c:pt>
                <c:pt idx="112">
                  <c:v>3.7899699999999998</c:v>
                </c:pt>
                <c:pt idx="113">
                  <c:v>3.7509300000000003</c:v>
                </c:pt>
                <c:pt idx="114">
                  <c:v>3.71408</c:v>
                </c:pt>
                <c:pt idx="115">
                  <c:v>3.6796600000000002</c:v>
                </c:pt>
                <c:pt idx="116">
                  <c:v>3.6506300000000005</c:v>
                </c:pt>
                <c:pt idx="117">
                  <c:v>3.6273300000000002</c:v>
                </c:pt>
                <c:pt idx="118">
                  <c:v>3.6084000000000001</c:v>
                </c:pt>
                <c:pt idx="119">
                  <c:v>3.59388</c:v>
                </c:pt>
                <c:pt idx="120">
                  <c:v>3.5795599999999999</c:v>
                </c:pt>
                <c:pt idx="121">
                  <c:v>3.5661500000000004</c:v>
                </c:pt>
                <c:pt idx="122">
                  <c:v>3.55315</c:v>
                </c:pt>
                <c:pt idx="123">
                  <c:v>3.5426200000000003</c:v>
                </c:pt>
                <c:pt idx="124">
                  <c:v>3.5314800000000002</c:v>
                </c:pt>
                <c:pt idx="125">
                  <c:v>3.5251300000000003</c:v>
                </c:pt>
                <c:pt idx="126">
                  <c:v>3.5228299999999999</c:v>
                </c:pt>
                <c:pt idx="127">
                  <c:v>3.52318</c:v>
                </c:pt>
                <c:pt idx="128">
                  <c:v>3.5267900000000001</c:v>
                </c:pt>
                <c:pt idx="129">
                  <c:v>3.52989</c:v>
                </c:pt>
                <c:pt idx="130">
                  <c:v>3.53199</c:v>
                </c:pt>
                <c:pt idx="131">
                  <c:v>3.5331000000000001</c:v>
                </c:pt>
                <c:pt idx="132">
                  <c:v>3.5346100000000003</c:v>
                </c:pt>
                <c:pt idx="133">
                  <c:v>3.53878</c:v>
                </c:pt>
                <c:pt idx="134">
                  <c:v>3.5478900000000002</c:v>
                </c:pt>
                <c:pt idx="135">
                  <c:v>3.5612599999999999</c:v>
                </c:pt>
                <c:pt idx="136">
                  <c:v>3.5756199999999998</c:v>
                </c:pt>
                <c:pt idx="137">
                  <c:v>3.5919400000000001</c:v>
                </c:pt>
                <c:pt idx="138">
                  <c:v>3.6083400000000001</c:v>
                </c:pt>
                <c:pt idx="139">
                  <c:v>3.6236200000000003</c:v>
                </c:pt>
                <c:pt idx="140">
                  <c:v>3.6398999999999999</c:v>
                </c:pt>
                <c:pt idx="141">
                  <c:v>3.65374</c:v>
                </c:pt>
                <c:pt idx="142">
                  <c:v>3.6642299999999999</c:v>
                </c:pt>
                <c:pt idx="143">
                  <c:v>3.66812</c:v>
                </c:pt>
                <c:pt idx="144">
                  <c:v>3.6590800000000003</c:v>
                </c:pt>
                <c:pt idx="145">
                  <c:v>3.6520200000000003</c:v>
                </c:pt>
                <c:pt idx="146">
                  <c:v>3.64534</c:v>
                </c:pt>
                <c:pt idx="147">
                  <c:v>3.6451699999999998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0.37495600000000001</c:v>
                </c:pt>
                <c:pt idx="2">
                  <c:v>0.77658099999999997</c:v>
                </c:pt>
                <c:pt idx="3">
                  <c:v>1.1829000000000001</c:v>
                </c:pt>
                <c:pt idx="4">
                  <c:v>1.5906199999999999</c:v>
                </c:pt>
                <c:pt idx="5">
                  <c:v>2.0009000000000001</c:v>
                </c:pt>
                <c:pt idx="6">
                  <c:v>2.4041899999999998</c:v>
                </c:pt>
                <c:pt idx="7">
                  <c:v>2.8087800000000001</c:v>
                </c:pt>
                <c:pt idx="8">
                  <c:v>3.2154500000000001</c:v>
                </c:pt>
                <c:pt idx="9">
                  <c:v>3.6226400000000001</c:v>
                </c:pt>
                <c:pt idx="10">
                  <c:v>4.0308200000000003</c:v>
                </c:pt>
                <c:pt idx="11">
                  <c:v>4.43309</c:v>
                </c:pt>
                <c:pt idx="12">
                  <c:v>4.8399000000000001</c:v>
                </c:pt>
                <c:pt idx="13">
                  <c:v>5.2475899999999998</c:v>
                </c:pt>
                <c:pt idx="14">
                  <c:v>5.6538300000000001</c:v>
                </c:pt>
                <c:pt idx="15">
                  <c:v>6.0609599999999997</c:v>
                </c:pt>
                <c:pt idx="16">
                  <c:v>6.46875</c:v>
                </c:pt>
                <c:pt idx="17">
                  <c:v>6.8724499999999997</c:v>
                </c:pt>
                <c:pt idx="18">
                  <c:v>7.2775800000000004</c:v>
                </c:pt>
                <c:pt idx="19">
                  <c:v>7.6849499999999997</c:v>
                </c:pt>
                <c:pt idx="20">
                  <c:v>8.0916399999999999</c:v>
                </c:pt>
                <c:pt idx="21">
                  <c:v>8.4984800000000007</c:v>
                </c:pt>
                <c:pt idx="22">
                  <c:v>8.9064800000000002</c:v>
                </c:pt>
                <c:pt idx="23">
                  <c:v>9.3103599999999993</c:v>
                </c:pt>
                <c:pt idx="24">
                  <c:v>9.7147199999999998</c:v>
                </c:pt>
                <c:pt idx="25">
                  <c:v>10.1249</c:v>
                </c:pt>
                <c:pt idx="26">
                  <c:v>10.530099999999999</c:v>
                </c:pt>
                <c:pt idx="27">
                  <c:v>10.934900000000001</c:v>
                </c:pt>
                <c:pt idx="28">
                  <c:v>11.3398</c:v>
                </c:pt>
                <c:pt idx="29">
                  <c:v>11.746700000000001</c:v>
                </c:pt>
                <c:pt idx="30">
                  <c:v>12.1549</c:v>
                </c:pt>
                <c:pt idx="31">
                  <c:v>12.5616</c:v>
                </c:pt>
                <c:pt idx="32">
                  <c:v>12.967000000000001</c:v>
                </c:pt>
                <c:pt idx="33">
                  <c:v>13.370699999999999</c:v>
                </c:pt>
                <c:pt idx="34">
                  <c:v>13.7805</c:v>
                </c:pt>
                <c:pt idx="35">
                  <c:v>14.1875</c:v>
                </c:pt>
                <c:pt idx="36">
                  <c:v>14.590299999999999</c:v>
                </c:pt>
                <c:pt idx="37">
                  <c:v>14.9961</c:v>
                </c:pt>
                <c:pt idx="38">
                  <c:v>15.403499999999999</c:v>
                </c:pt>
                <c:pt idx="39">
                  <c:v>15.8072</c:v>
                </c:pt>
                <c:pt idx="40">
                  <c:v>16.217500000000001</c:v>
                </c:pt>
                <c:pt idx="41">
                  <c:v>16.6218</c:v>
                </c:pt>
                <c:pt idx="42">
                  <c:v>17.031099999999999</c:v>
                </c:pt>
                <c:pt idx="43">
                  <c:v>17.433900000000001</c:v>
                </c:pt>
                <c:pt idx="44">
                  <c:v>17.839600000000001</c:v>
                </c:pt>
                <c:pt idx="45">
                  <c:v>18.2484</c:v>
                </c:pt>
                <c:pt idx="46">
                  <c:v>18.653300000000002</c:v>
                </c:pt>
                <c:pt idx="47">
                  <c:v>19.059899999999999</c:v>
                </c:pt>
                <c:pt idx="48">
                  <c:v>19.4666</c:v>
                </c:pt>
                <c:pt idx="49">
                  <c:v>19.873999999999999</c:v>
                </c:pt>
                <c:pt idx="50">
                  <c:v>20.2788</c:v>
                </c:pt>
                <c:pt idx="51">
                  <c:v>20.686199999999999</c:v>
                </c:pt>
                <c:pt idx="52">
                  <c:v>21.090499999999999</c:v>
                </c:pt>
                <c:pt idx="53">
                  <c:v>21.498699999999999</c:v>
                </c:pt>
                <c:pt idx="54">
                  <c:v>21.904599999999999</c:v>
                </c:pt>
                <c:pt idx="55">
                  <c:v>22.311699999999998</c:v>
                </c:pt>
                <c:pt idx="56">
                  <c:v>22.7163</c:v>
                </c:pt>
                <c:pt idx="57">
                  <c:v>23.122800000000002</c:v>
                </c:pt>
                <c:pt idx="58">
                  <c:v>23.527799999999999</c:v>
                </c:pt>
                <c:pt idx="59">
                  <c:v>23.9345</c:v>
                </c:pt>
                <c:pt idx="60">
                  <c:v>24.3443</c:v>
                </c:pt>
                <c:pt idx="61">
                  <c:v>24.749099999999999</c:v>
                </c:pt>
                <c:pt idx="62">
                  <c:v>25.150300000000001</c:v>
                </c:pt>
                <c:pt idx="63">
                  <c:v>25.558</c:v>
                </c:pt>
                <c:pt idx="64">
                  <c:v>25.968299999999999</c:v>
                </c:pt>
                <c:pt idx="65">
                  <c:v>26.373999999999999</c:v>
                </c:pt>
                <c:pt idx="66">
                  <c:v>26.776299999999999</c:v>
                </c:pt>
                <c:pt idx="67">
                  <c:v>27.183599999999998</c:v>
                </c:pt>
                <c:pt idx="68">
                  <c:v>27.590900000000001</c:v>
                </c:pt>
                <c:pt idx="69">
                  <c:v>28.002700000000001</c:v>
                </c:pt>
                <c:pt idx="70">
                  <c:v>28.404900000000001</c:v>
                </c:pt>
                <c:pt idx="71">
                  <c:v>28.808299999999999</c:v>
                </c:pt>
                <c:pt idx="72">
                  <c:v>29.2149</c:v>
                </c:pt>
                <c:pt idx="73">
                  <c:v>29.621400000000001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2.30775</c:v>
                </c:pt>
                <c:pt idx="1">
                  <c:v>2.35229</c:v>
                </c:pt>
                <c:pt idx="2">
                  <c:v>2.3943600000000003</c:v>
                </c:pt>
                <c:pt idx="3">
                  <c:v>2.43526</c:v>
                </c:pt>
                <c:pt idx="4">
                  <c:v>2.4740000000000002</c:v>
                </c:pt>
                <c:pt idx="5">
                  <c:v>2.51112</c:v>
                </c:pt>
                <c:pt idx="6">
                  <c:v>2.5469399999999998</c:v>
                </c:pt>
                <c:pt idx="7">
                  <c:v>2.58195</c:v>
                </c:pt>
                <c:pt idx="8">
                  <c:v>2.6153500000000003</c:v>
                </c:pt>
                <c:pt idx="9">
                  <c:v>2.6466499999999997</c:v>
                </c:pt>
                <c:pt idx="10">
                  <c:v>2.6753100000000001</c:v>
                </c:pt>
                <c:pt idx="11">
                  <c:v>2.7013100000000003</c:v>
                </c:pt>
                <c:pt idx="12">
                  <c:v>2.7202100000000002</c:v>
                </c:pt>
                <c:pt idx="13">
                  <c:v>2.7363300000000002</c:v>
                </c:pt>
                <c:pt idx="14">
                  <c:v>2.74892</c:v>
                </c:pt>
                <c:pt idx="15">
                  <c:v>2.7579599999999997</c:v>
                </c:pt>
                <c:pt idx="16">
                  <c:v>2.7645199999999996</c:v>
                </c:pt>
                <c:pt idx="17">
                  <c:v>2.7673700000000001</c:v>
                </c:pt>
                <c:pt idx="18">
                  <c:v>2.7680600000000002</c:v>
                </c:pt>
                <c:pt idx="19">
                  <c:v>2.7656299999999998</c:v>
                </c:pt>
                <c:pt idx="20">
                  <c:v>2.7620699999999996</c:v>
                </c:pt>
                <c:pt idx="21">
                  <c:v>2.7587800000000002</c:v>
                </c:pt>
                <c:pt idx="22">
                  <c:v>2.7562899999999999</c:v>
                </c:pt>
                <c:pt idx="23">
                  <c:v>2.7549899999999998</c:v>
                </c:pt>
                <c:pt idx="24">
                  <c:v>2.7528700000000002</c:v>
                </c:pt>
                <c:pt idx="25">
                  <c:v>2.7487499999999998</c:v>
                </c:pt>
                <c:pt idx="26">
                  <c:v>2.7430399999999997</c:v>
                </c:pt>
                <c:pt idx="27">
                  <c:v>2.7362299999999999</c:v>
                </c:pt>
                <c:pt idx="28">
                  <c:v>2.7288099999999997</c:v>
                </c:pt>
                <c:pt idx="29">
                  <c:v>2.7208300000000003</c:v>
                </c:pt>
                <c:pt idx="30">
                  <c:v>2.7114700000000003</c:v>
                </c:pt>
                <c:pt idx="31">
                  <c:v>2.6999299999999997</c:v>
                </c:pt>
                <c:pt idx="32">
                  <c:v>2.6900200000000001</c:v>
                </c:pt>
                <c:pt idx="33">
                  <c:v>2.6795299999999997</c:v>
                </c:pt>
                <c:pt idx="34">
                  <c:v>2.6690700000000001</c:v>
                </c:pt>
                <c:pt idx="35">
                  <c:v>2.6584400000000001</c:v>
                </c:pt>
                <c:pt idx="36">
                  <c:v>2.64961</c:v>
                </c:pt>
                <c:pt idx="37">
                  <c:v>2.6483099999999999</c:v>
                </c:pt>
                <c:pt idx="38">
                  <c:v>2.6490599999999995</c:v>
                </c:pt>
                <c:pt idx="39">
                  <c:v>2.6565899999999996</c:v>
                </c:pt>
                <c:pt idx="40">
                  <c:v>2.6695799999999998</c:v>
                </c:pt>
                <c:pt idx="41">
                  <c:v>2.68716</c:v>
                </c:pt>
                <c:pt idx="42">
                  <c:v>2.7083499999999998</c:v>
                </c:pt>
                <c:pt idx="43">
                  <c:v>2.7325700000000004</c:v>
                </c:pt>
                <c:pt idx="44">
                  <c:v>2.7581199999999999</c:v>
                </c:pt>
                <c:pt idx="45">
                  <c:v>2.7835000000000001</c:v>
                </c:pt>
                <c:pt idx="46">
                  <c:v>2.8079999999999998</c:v>
                </c:pt>
                <c:pt idx="47">
                  <c:v>2.8304800000000001</c:v>
                </c:pt>
                <c:pt idx="48">
                  <c:v>2.8529300000000002</c:v>
                </c:pt>
                <c:pt idx="49">
                  <c:v>2.87812</c:v>
                </c:pt>
                <c:pt idx="50">
                  <c:v>2.8966099999999999</c:v>
                </c:pt>
                <c:pt idx="51">
                  <c:v>2.9319899999999999</c:v>
                </c:pt>
                <c:pt idx="52">
                  <c:v>2.9729699999999997</c:v>
                </c:pt>
                <c:pt idx="53">
                  <c:v>3.0357400000000001</c:v>
                </c:pt>
                <c:pt idx="54">
                  <c:v>3.0666599999999997</c:v>
                </c:pt>
                <c:pt idx="55">
                  <c:v>3.1386099999999999</c:v>
                </c:pt>
                <c:pt idx="56">
                  <c:v>3.1954199999999999</c:v>
                </c:pt>
                <c:pt idx="57">
                  <c:v>3.2326600000000001</c:v>
                </c:pt>
                <c:pt idx="58">
                  <c:v>3.2898000000000001</c:v>
                </c:pt>
                <c:pt idx="59">
                  <c:v>3.34775</c:v>
                </c:pt>
                <c:pt idx="60">
                  <c:v>3.42543</c:v>
                </c:pt>
                <c:pt idx="61">
                  <c:v>3.4809400000000004</c:v>
                </c:pt>
                <c:pt idx="62">
                  <c:v>3.5196499999999995</c:v>
                </c:pt>
                <c:pt idx="63">
                  <c:v>3.5733600000000001</c:v>
                </c:pt>
                <c:pt idx="64">
                  <c:v>3.63585</c:v>
                </c:pt>
                <c:pt idx="65">
                  <c:v>3.6832399999999996</c:v>
                </c:pt>
                <c:pt idx="66">
                  <c:v>3.7181999999999999</c:v>
                </c:pt>
                <c:pt idx="67">
                  <c:v>3.7739799999999999</c:v>
                </c:pt>
                <c:pt idx="68">
                  <c:v>3.8067200000000003</c:v>
                </c:pt>
                <c:pt idx="69">
                  <c:v>3.8541500000000002</c:v>
                </c:pt>
                <c:pt idx="70">
                  <c:v>3.8845800000000001</c:v>
                </c:pt>
                <c:pt idx="71">
                  <c:v>3.9214199999999999</c:v>
                </c:pt>
                <c:pt idx="72">
                  <c:v>3.9507700000000003</c:v>
                </c:pt>
                <c:pt idx="73">
                  <c:v>3.9776199999999999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29.621400000000001</c:v>
                </c:pt>
                <c:pt idx="1">
                  <c:v>30.029599999999999</c:v>
                </c:pt>
                <c:pt idx="2">
                  <c:v>30.499199999999998</c:v>
                </c:pt>
                <c:pt idx="3">
                  <c:v>30.904399999999999</c:v>
                </c:pt>
                <c:pt idx="4">
                  <c:v>31.294899999999998</c:v>
                </c:pt>
                <c:pt idx="5">
                  <c:v>31.699100000000001</c:v>
                </c:pt>
                <c:pt idx="6">
                  <c:v>32.109699999999997</c:v>
                </c:pt>
                <c:pt idx="7">
                  <c:v>32.5137</c:v>
                </c:pt>
                <c:pt idx="8">
                  <c:v>32.922699999999999</c:v>
                </c:pt>
                <c:pt idx="9">
                  <c:v>33.326999999999998</c:v>
                </c:pt>
                <c:pt idx="10">
                  <c:v>33.7346</c:v>
                </c:pt>
                <c:pt idx="11">
                  <c:v>34.135599999999997</c:v>
                </c:pt>
                <c:pt idx="12">
                  <c:v>34.545000000000002</c:v>
                </c:pt>
                <c:pt idx="13">
                  <c:v>34.952800000000003</c:v>
                </c:pt>
                <c:pt idx="14">
                  <c:v>35.36</c:v>
                </c:pt>
                <c:pt idx="15">
                  <c:v>35.761699999999998</c:v>
                </c:pt>
                <c:pt idx="16">
                  <c:v>36.1708</c:v>
                </c:pt>
                <c:pt idx="17">
                  <c:v>36.576999999999998</c:v>
                </c:pt>
                <c:pt idx="18">
                  <c:v>36.981400000000001</c:v>
                </c:pt>
                <c:pt idx="19">
                  <c:v>37.389299999999999</c:v>
                </c:pt>
                <c:pt idx="20">
                  <c:v>37.7986</c:v>
                </c:pt>
                <c:pt idx="21">
                  <c:v>38.200299999999999</c:v>
                </c:pt>
                <c:pt idx="22">
                  <c:v>38.607599999999998</c:v>
                </c:pt>
                <c:pt idx="23">
                  <c:v>39.014299999999999</c:v>
                </c:pt>
                <c:pt idx="24">
                  <c:v>39.416600000000003</c:v>
                </c:pt>
                <c:pt idx="25">
                  <c:v>39.825499999999998</c:v>
                </c:pt>
                <c:pt idx="26">
                  <c:v>40.230600000000003</c:v>
                </c:pt>
                <c:pt idx="27">
                  <c:v>40.641399999999997</c:v>
                </c:pt>
                <c:pt idx="28">
                  <c:v>41.045499999999997</c:v>
                </c:pt>
                <c:pt idx="29">
                  <c:v>41.450299999999999</c:v>
                </c:pt>
                <c:pt idx="30">
                  <c:v>41.857300000000002</c:v>
                </c:pt>
                <c:pt idx="31">
                  <c:v>42.262099999999997</c:v>
                </c:pt>
                <c:pt idx="32">
                  <c:v>42.669899999999998</c:v>
                </c:pt>
                <c:pt idx="33">
                  <c:v>43.077100000000002</c:v>
                </c:pt>
                <c:pt idx="34">
                  <c:v>43.4816</c:v>
                </c:pt>
                <c:pt idx="35">
                  <c:v>43.887799999999999</c:v>
                </c:pt>
                <c:pt idx="36">
                  <c:v>44.294499999999999</c:v>
                </c:pt>
                <c:pt idx="37">
                  <c:v>44.699599999999997</c:v>
                </c:pt>
                <c:pt idx="38">
                  <c:v>45.108899999999998</c:v>
                </c:pt>
                <c:pt idx="39">
                  <c:v>45.512300000000003</c:v>
                </c:pt>
                <c:pt idx="40">
                  <c:v>45.9193</c:v>
                </c:pt>
                <c:pt idx="41">
                  <c:v>46.323999999999998</c:v>
                </c:pt>
                <c:pt idx="42">
                  <c:v>46.732399999999998</c:v>
                </c:pt>
                <c:pt idx="43">
                  <c:v>47.137900000000002</c:v>
                </c:pt>
                <c:pt idx="44">
                  <c:v>47.5426</c:v>
                </c:pt>
                <c:pt idx="45">
                  <c:v>47.947800000000001</c:v>
                </c:pt>
                <c:pt idx="46">
                  <c:v>48.356200000000001</c:v>
                </c:pt>
                <c:pt idx="47">
                  <c:v>48.762900000000002</c:v>
                </c:pt>
                <c:pt idx="48">
                  <c:v>49.171100000000003</c:v>
                </c:pt>
                <c:pt idx="49">
                  <c:v>49.575000000000003</c:v>
                </c:pt>
                <c:pt idx="50">
                  <c:v>49.980200000000004</c:v>
                </c:pt>
                <c:pt idx="51">
                  <c:v>50.385899999999999</c:v>
                </c:pt>
                <c:pt idx="52">
                  <c:v>50.793399999999998</c:v>
                </c:pt>
                <c:pt idx="53">
                  <c:v>51.206699999999998</c:v>
                </c:pt>
                <c:pt idx="54">
                  <c:v>51.605699999999999</c:v>
                </c:pt>
                <c:pt idx="55">
                  <c:v>52.011499999999998</c:v>
                </c:pt>
                <c:pt idx="56">
                  <c:v>52.418900000000001</c:v>
                </c:pt>
                <c:pt idx="57">
                  <c:v>52.826999999999998</c:v>
                </c:pt>
                <c:pt idx="58">
                  <c:v>53.2333</c:v>
                </c:pt>
                <c:pt idx="59">
                  <c:v>53.6389</c:v>
                </c:pt>
                <c:pt idx="60">
                  <c:v>54.044199999999996</c:v>
                </c:pt>
                <c:pt idx="61">
                  <c:v>54.447899999999997</c:v>
                </c:pt>
                <c:pt idx="62">
                  <c:v>54.859099999999998</c:v>
                </c:pt>
                <c:pt idx="63">
                  <c:v>55.264499999999998</c:v>
                </c:pt>
                <c:pt idx="64">
                  <c:v>55.670400000000001</c:v>
                </c:pt>
                <c:pt idx="65">
                  <c:v>56.073799999999999</c:v>
                </c:pt>
                <c:pt idx="66">
                  <c:v>56.484699999999997</c:v>
                </c:pt>
                <c:pt idx="67">
                  <c:v>56.890900000000002</c:v>
                </c:pt>
                <c:pt idx="68">
                  <c:v>57.294400000000003</c:v>
                </c:pt>
                <c:pt idx="69">
                  <c:v>57.703099999999999</c:v>
                </c:pt>
                <c:pt idx="70">
                  <c:v>58.106900000000003</c:v>
                </c:pt>
                <c:pt idx="71">
                  <c:v>58.514699999999998</c:v>
                </c:pt>
                <c:pt idx="72">
                  <c:v>58.9253</c:v>
                </c:pt>
                <c:pt idx="73">
                  <c:v>59.327100000000002</c:v>
                </c:pt>
                <c:pt idx="74">
                  <c:v>59.73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3.9776199999999999</c:v>
                </c:pt>
                <c:pt idx="1">
                  <c:v>4.0031699999999999</c:v>
                </c:pt>
                <c:pt idx="2">
                  <c:v>4.0209899999999994</c:v>
                </c:pt>
                <c:pt idx="3">
                  <c:v>4.0350599999999996</c:v>
                </c:pt>
                <c:pt idx="4">
                  <c:v>4.0454400000000001</c:v>
                </c:pt>
                <c:pt idx="5">
                  <c:v>4.0532500000000002</c:v>
                </c:pt>
                <c:pt idx="6">
                  <c:v>4.0602900000000002</c:v>
                </c:pt>
                <c:pt idx="7">
                  <c:v>4.0676499999999995</c:v>
                </c:pt>
                <c:pt idx="8">
                  <c:v>4.0731200000000003</c:v>
                </c:pt>
                <c:pt idx="9">
                  <c:v>4.0784000000000002</c:v>
                </c:pt>
                <c:pt idx="10">
                  <c:v>4.0854099999999995</c:v>
                </c:pt>
                <c:pt idx="11">
                  <c:v>4.0943800000000001</c:v>
                </c:pt>
                <c:pt idx="12">
                  <c:v>4.1049100000000003</c:v>
                </c:pt>
                <c:pt idx="13">
                  <c:v>4.1168500000000003</c:v>
                </c:pt>
                <c:pt idx="14">
                  <c:v>4.1277100000000004</c:v>
                </c:pt>
                <c:pt idx="15">
                  <c:v>4.1366399999999999</c:v>
                </c:pt>
                <c:pt idx="16">
                  <c:v>4.1435599999999999</c:v>
                </c:pt>
                <c:pt idx="17">
                  <c:v>4.1476600000000001</c:v>
                </c:pt>
                <c:pt idx="18">
                  <c:v>4.1471200000000001</c:v>
                </c:pt>
                <c:pt idx="19">
                  <c:v>4.1426800000000004</c:v>
                </c:pt>
                <c:pt idx="20">
                  <c:v>4.1367399999999996</c:v>
                </c:pt>
                <c:pt idx="21">
                  <c:v>4.13028</c:v>
                </c:pt>
                <c:pt idx="22">
                  <c:v>4.1249000000000002</c:v>
                </c:pt>
                <c:pt idx="23">
                  <c:v>4.1193999999999997</c:v>
                </c:pt>
                <c:pt idx="24">
                  <c:v>4.1146500000000001</c:v>
                </c:pt>
                <c:pt idx="25">
                  <c:v>4.1083799999999995</c:v>
                </c:pt>
                <c:pt idx="26">
                  <c:v>4.0999799999999995</c:v>
                </c:pt>
                <c:pt idx="27">
                  <c:v>4.0902899999999995</c:v>
                </c:pt>
                <c:pt idx="28">
                  <c:v>4.0785599999999995</c:v>
                </c:pt>
                <c:pt idx="29">
                  <c:v>4.0648900000000001</c:v>
                </c:pt>
                <c:pt idx="30">
                  <c:v>4.0493299999999994</c:v>
                </c:pt>
                <c:pt idx="31">
                  <c:v>4.0324200000000001</c:v>
                </c:pt>
                <c:pt idx="32">
                  <c:v>4.0129999999999999</c:v>
                </c:pt>
                <c:pt idx="33">
                  <c:v>3.9930399999999997</c:v>
                </c:pt>
                <c:pt idx="34">
                  <c:v>3.9711800000000004</c:v>
                </c:pt>
                <c:pt idx="35">
                  <c:v>3.9440900000000001</c:v>
                </c:pt>
                <c:pt idx="36">
                  <c:v>3.91059</c:v>
                </c:pt>
                <c:pt idx="37">
                  <c:v>3.8712900000000001</c:v>
                </c:pt>
                <c:pt idx="38">
                  <c:v>3.8307700000000002</c:v>
                </c:pt>
                <c:pt idx="39">
                  <c:v>3.7899699999999998</c:v>
                </c:pt>
                <c:pt idx="40">
                  <c:v>3.7509300000000003</c:v>
                </c:pt>
                <c:pt idx="41">
                  <c:v>3.71408</c:v>
                </c:pt>
                <c:pt idx="42">
                  <c:v>3.6796600000000002</c:v>
                </c:pt>
                <c:pt idx="43">
                  <c:v>3.6506300000000005</c:v>
                </c:pt>
                <c:pt idx="44">
                  <c:v>3.6273300000000002</c:v>
                </c:pt>
                <c:pt idx="45">
                  <c:v>3.6084000000000001</c:v>
                </c:pt>
                <c:pt idx="46">
                  <c:v>3.59388</c:v>
                </c:pt>
                <c:pt idx="47">
                  <c:v>3.5795599999999999</c:v>
                </c:pt>
                <c:pt idx="48">
                  <c:v>3.5661500000000004</c:v>
                </c:pt>
                <c:pt idx="49">
                  <c:v>3.55315</c:v>
                </c:pt>
                <c:pt idx="50">
                  <c:v>3.5426200000000003</c:v>
                </c:pt>
                <c:pt idx="51">
                  <c:v>3.5314800000000002</c:v>
                </c:pt>
                <c:pt idx="52">
                  <c:v>3.5251300000000003</c:v>
                </c:pt>
                <c:pt idx="53">
                  <c:v>3.5228299999999999</c:v>
                </c:pt>
                <c:pt idx="54">
                  <c:v>3.52318</c:v>
                </c:pt>
                <c:pt idx="55">
                  <c:v>3.5267900000000001</c:v>
                </c:pt>
                <c:pt idx="56">
                  <c:v>3.52989</c:v>
                </c:pt>
                <c:pt idx="57">
                  <c:v>3.53199</c:v>
                </c:pt>
                <c:pt idx="58">
                  <c:v>3.5331000000000001</c:v>
                </c:pt>
                <c:pt idx="59">
                  <c:v>3.5346100000000003</c:v>
                </c:pt>
                <c:pt idx="60">
                  <c:v>3.53878</c:v>
                </c:pt>
                <c:pt idx="61">
                  <c:v>3.5478900000000002</c:v>
                </c:pt>
                <c:pt idx="62">
                  <c:v>3.5612599999999999</c:v>
                </c:pt>
                <c:pt idx="63">
                  <c:v>3.5756199999999998</c:v>
                </c:pt>
                <c:pt idx="64">
                  <c:v>3.5919400000000001</c:v>
                </c:pt>
                <c:pt idx="65">
                  <c:v>3.6083400000000001</c:v>
                </c:pt>
                <c:pt idx="66">
                  <c:v>3.6236200000000003</c:v>
                </c:pt>
                <c:pt idx="67">
                  <c:v>3.6398999999999999</c:v>
                </c:pt>
                <c:pt idx="68">
                  <c:v>3.65374</c:v>
                </c:pt>
                <c:pt idx="69">
                  <c:v>3.6642299999999999</c:v>
                </c:pt>
                <c:pt idx="70">
                  <c:v>3.66812</c:v>
                </c:pt>
                <c:pt idx="71">
                  <c:v>3.6590800000000003</c:v>
                </c:pt>
                <c:pt idx="72">
                  <c:v>3.6520200000000003</c:v>
                </c:pt>
                <c:pt idx="73">
                  <c:v>3.64534</c:v>
                </c:pt>
                <c:pt idx="74">
                  <c:v>3.6451699999999998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14.932499999999999</c:v>
                </c:pt>
                <c:pt idx="1">
                  <c:v>44.797499999999999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2.9387690540540534</c:v>
                </c:pt>
                <c:pt idx="1">
                  <c:v>3.8386281081081086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0.37495600000000001</c:v>
                </c:pt>
                <c:pt idx="2">
                  <c:v>0.77658099999999997</c:v>
                </c:pt>
                <c:pt idx="3">
                  <c:v>1.1829000000000001</c:v>
                </c:pt>
                <c:pt idx="4">
                  <c:v>1.5906199999999999</c:v>
                </c:pt>
                <c:pt idx="5">
                  <c:v>2.0009000000000001</c:v>
                </c:pt>
                <c:pt idx="6">
                  <c:v>2.4041899999999998</c:v>
                </c:pt>
                <c:pt idx="7">
                  <c:v>2.8087800000000001</c:v>
                </c:pt>
                <c:pt idx="8">
                  <c:v>3.2154500000000001</c:v>
                </c:pt>
                <c:pt idx="9">
                  <c:v>3.6226400000000001</c:v>
                </c:pt>
                <c:pt idx="10">
                  <c:v>4.0308200000000003</c:v>
                </c:pt>
                <c:pt idx="11">
                  <c:v>4.43309</c:v>
                </c:pt>
                <c:pt idx="12">
                  <c:v>4.8399000000000001</c:v>
                </c:pt>
                <c:pt idx="13">
                  <c:v>5.2475899999999998</c:v>
                </c:pt>
                <c:pt idx="14">
                  <c:v>5.6538300000000001</c:v>
                </c:pt>
                <c:pt idx="15">
                  <c:v>6.0609599999999997</c:v>
                </c:pt>
                <c:pt idx="16">
                  <c:v>6.46875</c:v>
                </c:pt>
                <c:pt idx="17">
                  <c:v>6.8724499999999997</c:v>
                </c:pt>
                <c:pt idx="18">
                  <c:v>7.2775800000000004</c:v>
                </c:pt>
                <c:pt idx="19">
                  <c:v>7.6849499999999997</c:v>
                </c:pt>
                <c:pt idx="20">
                  <c:v>8.0916399999999999</c:v>
                </c:pt>
                <c:pt idx="21">
                  <c:v>8.4984800000000007</c:v>
                </c:pt>
                <c:pt idx="22">
                  <c:v>8.9064800000000002</c:v>
                </c:pt>
                <c:pt idx="23">
                  <c:v>9.3103599999999993</c:v>
                </c:pt>
                <c:pt idx="24">
                  <c:v>9.7147199999999998</c:v>
                </c:pt>
                <c:pt idx="25">
                  <c:v>10.1249</c:v>
                </c:pt>
                <c:pt idx="26">
                  <c:v>10.530099999999999</c:v>
                </c:pt>
                <c:pt idx="27">
                  <c:v>10.934900000000001</c:v>
                </c:pt>
                <c:pt idx="28">
                  <c:v>11.3398</c:v>
                </c:pt>
                <c:pt idx="29">
                  <c:v>11.746700000000001</c:v>
                </c:pt>
                <c:pt idx="30">
                  <c:v>12.1549</c:v>
                </c:pt>
                <c:pt idx="31">
                  <c:v>12.5616</c:v>
                </c:pt>
                <c:pt idx="32">
                  <c:v>12.967000000000001</c:v>
                </c:pt>
                <c:pt idx="33">
                  <c:v>13.370699999999999</c:v>
                </c:pt>
                <c:pt idx="34">
                  <c:v>13.7805</c:v>
                </c:pt>
                <c:pt idx="35">
                  <c:v>14.1875</c:v>
                </c:pt>
                <c:pt idx="36">
                  <c:v>14.590299999999999</c:v>
                </c:pt>
                <c:pt idx="37">
                  <c:v>14.9961</c:v>
                </c:pt>
                <c:pt idx="38">
                  <c:v>15.403499999999999</c:v>
                </c:pt>
                <c:pt idx="39">
                  <c:v>15.8072</c:v>
                </c:pt>
                <c:pt idx="40">
                  <c:v>16.217500000000001</c:v>
                </c:pt>
                <c:pt idx="41">
                  <c:v>16.6218</c:v>
                </c:pt>
                <c:pt idx="42">
                  <c:v>17.031099999999999</c:v>
                </c:pt>
                <c:pt idx="43">
                  <c:v>17.433900000000001</c:v>
                </c:pt>
                <c:pt idx="44">
                  <c:v>17.839600000000001</c:v>
                </c:pt>
                <c:pt idx="45">
                  <c:v>18.2484</c:v>
                </c:pt>
                <c:pt idx="46">
                  <c:v>18.653300000000002</c:v>
                </c:pt>
                <c:pt idx="47">
                  <c:v>19.059899999999999</c:v>
                </c:pt>
                <c:pt idx="48">
                  <c:v>19.4666</c:v>
                </c:pt>
                <c:pt idx="49">
                  <c:v>19.873999999999999</c:v>
                </c:pt>
                <c:pt idx="50">
                  <c:v>20.2788</c:v>
                </c:pt>
                <c:pt idx="51">
                  <c:v>20.686199999999999</c:v>
                </c:pt>
                <c:pt idx="52">
                  <c:v>21.090499999999999</c:v>
                </c:pt>
                <c:pt idx="53">
                  <c:v>21.498699999999999</c:v>
                </c:pt>
                <c:pt idx="54">
                  <c:v>21.904599999999999</c:v>
                </c:pt>
                <c:pt idx="55">
                  <c:v>22.311699999999998</c:v>
                </c:pt>
                <c:pt idx="56">
                  <c:v>22.7163</c:v>
                </c:pt>
                <c:pt idx="57">
                  <c:v>23.122800000000002</c:v>
                </c:pt>
                <c:pt idx="58">
                  <c:v>23.527799999999999</c:v>
                </c:pt>
                <c:pt idx="59">
                  <c:v>23.9345</c:v>
                </c:pt>
                <c:pt idx="60">
                  <c:v>24.3443</c:v>
                </c:pt>
                <c:pt idx="61">
                  <c:v>24.749099999999999</c:v>
                </c:pt>
                <c:pt idx="62">
                  <c:v>25.150300000000001</c:v>
                </c:pt>
                <c:pt idx="63">
                  <c:v>25.558</c:v>
                </c:pt>
                <c:pt idx="64">
                  <c:v>25.968299999999999</c:v>
                </c:pt>
                <c:pt idx="65">
                  <c:v>26.373999999999999</c:v>
                </c:pt>
                <c:pt idx="66">
                  <c:v>26.776299999999999</c:v>
                </c:pt>
                <c:pt idx="67">
                  <c:v>27.183599999999998</c:v>
                </c:pt>
                <c:pt idx="68">
                  <c:v>27.590900000000001</c:v>
                </c:pt>
                <c:pt idx="69">
                  <c:v>28.002700000000001</c:v>
                </c:pt>
                <c:pt idx="70">
                  <c:v>28.404900000000001</c:v>
                </c:pt>
                <c:pt idx="71">
                  <c:v>28.808299999999999</c:v>
                </c:pt>
                <c:pt idx="72">
                  <c:v>29.2149</c:v>
                </c:pt>
                <c:pt idx="73">
                  <c:v>29.621400000000001</c:v>
                </c:pt>
                <c:pt idx="74">
                  <c:v>30.029599999999999</c:v>
                </c:pt>
                <c:pt idx="75">
                  <c:v>30.499199999999998</c:v>
                </c:pt>
                <c:pt idx="76">
                  <c:v>30.904399999999999</c:v>
                </c:pt>
                <c:pt idx="77">
                  <c:v>31.294899999999998</c:v>
                </c:pt>
                <c:pt idx="78">
                  <c:v>31.699100000000001</c:v>
                </c:pt>
                <c:pt idx="79">
                  <c:v>32.109699999999997</c:v>
                </c:pt>
                <c:pt idx="80">
                  <c:v>32.5137</c:v>
                </c:pt>
                <c:pt idx="81">
                  <c:v>32.922699999999999</c:v>
                </c:pt>
                <c:pt idx="82">
                  <c:v>33.326999999999998</c:v>
                </c:pt>
                <c:pt idx="83">
                  <c:v>33.7346</c:v>
                </c:pt>
                <c:pt idx="84">
                  <c:v>34.135599999999997</c:v>
                </c:pt>
                <c:pt idx="85">
                  <c:v>34.545000000000002</c:v>
                </c:pt>
                <c:pt idx="86">
                  <c:v>34.952800000000003</c:v>
                </c:pt>
                <c:pt idx="87">
                  <c:v>35.36</c:v>
                </c:pt>
                <c:pt idx="88">
                  <c:v>35.761699999999998</c:v>
                </c:pt>
                <c:pt idx="89">
                  <c:v>36.1708</c:v>
                </c:pt>
                <c:pt idx="90">
                  <c:v>36.576999999999998</c:v>
                </c:pt>
                <c:pt idx="91">
                  <c:v>36.981400000000001</c:v>
                </c:pt>
                <c:pt idx="92">
                  <c:v>37.389299999999999</c:v>
                </c:pt>
                <c:pt idx="93">
                  <c:v>37.7986</c:v>
                </c:pt>
                <c:pt idx="94">
                  <c:v>38.200299999999999</c:v>
                </c:pt>
                <c:pt idx="95">
                  <c:v>38.607599999999998</c:v>
                </c:pt>
                <c:pt idx="96">
                  <c:v>39.014299999999999</c:v>
                </c:pt>
                <c:pt idx="97">
                  <c:v>39.416600000000003</c:v>
                </c:pt>
                <c:pt idx="98">
                  <c:v>39.825499999999998</c:v>
                </c:pt>
                <c:pt idx="99">
                  <c:v>40.230600000000003</c:v>
                </c:pt>
                <c:pt idx="100">
                  <c:v>40.641399999999997</c:v>
                </c:pt>
                <c:pt idx="101">
                  <c:v>41.045499999999997</c:v>
                </c:pt>
                <c:pt idx="102">
                  <c:v>41.450299999999999</c:v>
                </c:pt>
                <c:pt idx="103">
                  <c:v>41.857300000000002</c:v>
                </c:pt>
                <c:pt idx="104">
                  <c:v>42.262099999999997</c:v>
                </c:pt>
                <c:pt idx="105">
                  <c:v>42.669899999999998</c:v>
                </c:pt>
                <c:pt idx="106">
                  <c:v>43.077100000000002</c:v>
                </c:pt>
                <c:pt idx="107">
                  <c:v>43.4816</c:v>
                </c:pt>
                <c:pt idx="108">
                  <c:v>43.887799999999999</c:v>
                </c:pt>
                <c:pt idx="109">
                  <c:v>44.294499999999999</c:v>
                </c:pt>
                <c:pt idx="110">
                  <c:v>44.699599999999997</c:v>
                </c:pt>
                <c:pt idx="111">
                  <c:v>45.108899999999998</c:v>
                </c:pt>
                <c:pt idx="112">
                  <c:v>45.512300000000003</c:v>
                </c:pt>
                <c:pt idx="113">
                  <c:v>45.9193</c:v>
                </c:pt>
                <c:pt idx="114">
                  <c:v>46.323999999999998</c:v>
                </c:pt>
                <c:pt idx="115">
                  <c:v>46.732399999999998</c:v>
                </c:pt>
                <c:pt idx="116">
                  <c:v>47.137900000000002</c:v>
                </c:pt>
                <c:pt idx="117">
                  <c:v>47.5426</c:v>
                </c:pt>
                <c:pt idx="118">
                  <c:v>47.947800000000001</c:v>
                </c:pt>
                <c:pt idx="119">
                  <c:v>48.356200000000001</c:v>
                </c:pt>
                <c:pt idx="120">
                  <c:v>48.762900000000002</c:v>
                </c:pt>
                <c:pt idx="121">
                  <c:v>49.171100000000003</c:v>
                </c:pt>
                <c:pt idx="122">
                  <c:v>49.575000000000003</c:v>
                </c:pt>
                <c:pt idx="123">
                  <c:v>49.980200000000004</c:v>
                </c:pt>
                <c:pt idx="124">
                  <c:v>50.385899999999999</c:v>
                </c:pt>
                <c:pt idx="125">
                  <c:v>50.793399999999998</c:v>
                </c:pt>
                <c:pt idx="126">
                  <c:v>51.206699999999998</c:v>
                </c:pt>
                <c:pt idx="127">
                  <c:v>51.605699999999999</c:v>
                </c:pt>
                <c:pt idx="128">
                  <c:v>52.011499999999998</c:v>
                </c:pt>
                <c:pt idx="129">
                  <c:v>52.418900000000001</c:v>
                </c:pt>
                <c:pt idx="130">
                  <c:v>52.826999999999998</c:v>
                </c:pt>
                <c:pt idx="131">
                  <c:v>53.2333</c:v>
                </c:pt>
                <c:pt idx="132">
                  <c:v>53.6389</c:v>
                </c:pt>
                <c:pt idx="133">
                  <c:v>54.044199999999996</c:v>
                </c:pt>
                <c:pt idx="134">
                  <c:v>54.447899999999997</c:v>
                </c:pt>
                <c:pt idx="135">
                  <c:v>54.859099999999998</c:v>
                </c:pt>
                <c:pt idx="136">
                  <c:v>55.264499999999998</c:v>
                </c:pt>
                <c:pt idx="137">
                  <c:v>55.670400000000001</c:v>
                </c:pt>
                <c:pt idx="138">
                  <c:v>56.073799999999999</c:v>
                </c:pt>
                <c:pt idx="139">
                  <c:v>56.484699999999997</c:v>
                </c:pt>
                <c:pt idx="140">
                  <c:v>56.890900000000002</c:v>
                </c:pt>
                <c:pt idx="141">
                  <c:v>57.294400000000003</c:v>
                </c:pt>
                <c:pt idx="142">
                  <c:v>57.703099999999999</c:v>
                </c:pt>
                <c:pt idx="143">
                  <c:v>58.106900000000003</c:v>
                </c:pt>
                <c:pt idx="144">
                  <c:v>58.514699999999998</c:v>
                </c:pt>
                <c:pt idx="145">
                  <c:v>58.9253</c:v>
                </c:pt>
                <c:pt idx="146">
                  <c:v>59.327100000000002</c:v>
                </c:pt>
                <c:pt idx="147">
                  <c:v>59.73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62.049799999999998</c:v>
                </c:pt>
                <c:pt idx="1">
                  <c:v>61.586799999999997</c:v>
                </c:pt>
                <c:pt idx="2">
                  <c:v>61.065300000000001</c:v>
                </c:pt>
                <c:pt idx="3">
                  <c:v>60.4499</c:v>
                </c:pt>
                <c:pt idx="4">
                  <c:v>59.7834</c:v>
                </c:pt>
                <c:pt idx="5">
                  <c:v>59.0075</c:v>
                </c:pt>
                <c:pt idx="6">
                  <c:v>58.209699999999998</c:v>
                </c:pt>
                <c:pt idx="7">
                  <c:v>57.459199999999996</c:v>
                </c:pt>
                <c:pt idx="8">
                  <c:v>56.738699999999994</c:v>
                </c:pt>
                <c:pt idx="9">
                  <c:v>56.0929</c:v>
                </c:pt>
                <c:pt idx="10">
                  <c:v>55.631500000000003</c:v>
                </c:pt>
                <c:pt idx="11">
                  <c:v>55.231499999999997</c:v>
                </c:pt>
                <c:pt idx="12">
                  <c:v>54.901200000000003</c:v>
                </c:pt>
                <c:pt idx="13">
                  <c:v>54.588000000000001</c:v>
                </c:pt>
                <c:pt idx="14">
                  <c:v>54.288599999999995</c:v>
                </c:pt>
                <c:pt idx="15">
                  <c:v>53.989899999999999</c:v>
                </c:pt>
                <c:pt idx="16">
                  <c:v>53.719799999999992</c:v>
                </c:pt>
                <c:pt idx="17">
                  <c:v>53.476599999999998</c:v>
                </c:pt>
                <c:pt idx="18">
                  <c:v>53.227899999999991</c:v>
                </c:pt>
                <c:pt idx="19">
                  <c:v>52.971500000000006</c:v>
                </c:pt>
                <c:pt idx="20">
                  <c:v>52.677799999999998</c:v>
                </c:pt>
                <c:pt idx="21">
                  <c:v>52.346400000000003</c:v>
                </c:pt>
                <c:pt idx="22">
                  <c:v>52.028500000000001</c:v>
                </c:pt>
                <c:pt idx="23">
                  <c:v>51.757200000000005</c:v>
                </c:pt>
                <c:pt idx="24">
                  <c:v>51.500999999999998</c:v>
                </c:pt>
                <c:pt idx="25">
                  <c:v>51.277099999999997</c:v>
                </c:pt>
                <c:pt idx="26">
                  <c:v>51.0625</c:v>
                </c:pt>
                <c:pt idx="27">
                  <c:v>50.859099999999998</c:v>
                </c:pt>
                <c:pt idx="28">
                  <c:v>50.710799999999999</c:v>
                </c:pt>
                <c:pt idx="29">
                  <c:v>50.555999999999997</c:v>
                </c:pt>
                <c:pt idx="30">
                  <c:v>50.421999999999997</c:v>
                </c:pt>
                <c:pt idx="31">
                  <c:v>50.364699999999999</c:v>
                </c:pt>
                <c:pt idx="32">
                  <c:v>50.333500000000001</c:v>
                </c:pt>
                <c:pt idx="33">
                  <c:v>50.348000000000006</c:v>
                </c:pt>
                <c:pt idx="34">
                  <c:v>50.363100000000003</c:v>
                </c:pt>
                <c:pt idx="35">
                  <c:v>50.304700000000004</c:v>
                </c:pt>
                <c:pt idx="36">
                  <c:v>50.299400000000006</c:v>
                </c:pt>
                <c:pt idx="37">
                  <c:v>50.244299999999996</c:v>
                </c:pt>
                <c:pt idx="38">
                  <c:v>50.201799999999999</c:v>
                </c:pt>
                <c:pt idx="39">
                  <c:v>50.184399999999997</c:v>
                </c:pt>
                <c:pt idx="40">
                  <c:v>50.104700000000001</c:v>
                </c:pt>
                <c:pt idx="41">
                  <c:v>49.915599999999998</c:v>
                </c:pt>
                <c:pt idx="42">
                  <c:v>49.727600000000002</c:v>
                </c:pt>
                <c:pt idx="43">
                  <c:v>49.557299999999998</c:v>
                </c:pt>
                <c:pt idx="44">
                  <c:v>49.4664</c:v>
                </c:pt>
                <c:pt idx="45">
                  <c:v>49.431000000000004</c:v>
                </c:pt>
                <c:pt idx="46">
                  <c:v>49.423499999999997</c:v>
                </c:pt>
                <c:pt idx="47">
                  <c:v>49.417200000000001</c:v>
                </c:pt>
                <c:pt idx="48">
                  <c:v>49.3782</c:v>
                </c:pt>
                <c:pt idx="49">
                  <c:v>49.2864</c:v>
                </c:pt>
                <c:pt idx="50">
                  <c:v>49.212899999999998</c:v>
                </c:pt>
                <c:pt idx="51">
                  <c:v>48.960999999999999</c:v>
                </c:pt>
                <c:pt idx="52">
                  <c:v>48.642800000000001</c:v>
                </c:pt>
                <c:pt idx="53">
                  <c:v>47.984300000000005</c:v>
                </c:pt>
                <c:pt idx="54">
                  <c:v>47.833500000000001</c:v>
                </c:pt>
                <c:pt idx="55">
                  <c:v>47.171800000000005</c:v>
                </c:pt>
                <c:pt idx="56">
                  <c:v>46.73</c:v>
                </c:pt>
                <c:pt idx="57">
                  <c:v>46.576799999999999</c:v>
                </c:pt>
                <c:pt idx="58">
                  <c:v>46.096599999999995</c:v>
                </c:pt>
                <c:pt idx="59">
                  <c:v>45.665900000000001</c:v>
                </c:pt>
                <c:pt idx="60">
                  <c:v>44.962200000000003</c:v>
                </c:pt>
                <c:pt idx="61">
                  <c:v>44.768900000000002</c:v>
                </c:pt>
                <c:pt idx="62">
                  <c:v>44.824100000000001</c:v>
                </c:pt>
                <c:pt idx="63">
                  <c:v>44.731400000000001</c:v>
                </c:pt>
                <c:pt idx="64">
                  <c:v>44.495000000000005</c:v>
                </c:pt>
                <c:pt idx="65">
                  <c:v>44.4011</c:v>
                </c:pt>
                <c:pt idx="66">
                  <c:v>44.438400000000001</c:v>
                </c:pt>
                <c:pt idx="67">
                  <c:v>44.1434</c:v>
                </c:pt>
                <c:pt idx="68">
                  <c:v>44.154199999999996</c:v>
                </c:pt>
                <c:pt idx="69">
                  <c:v>44.074000000000005</c:v>
                </c:pt>
                <c:pt idx="70">
                  <c:v>44.2104</c:v>
                </c:pt>
                <c:pt idx="71">
                  <c:v>44.3795</c:v>
                </c:pt>
                <c:pt idx="72">
                  <c:v>44.6218</c:v>
                </c:pt>
                <c:pt idx="73">
                  <c:v>44.843600000000002</c:v>
                </c:pt>
                <c:pt idx="74">
                  <c:v>44.962600000000002</c:v>
                </c:pt>
                <c:pt idx="75">
                  <c:v>44.845500000000001</c:v>
                </c:pt>
                <c:pt idx="76">
                  <c:v>44.676300000000005</c:v>
                </c:pt>
                <c:pt idx="77">
                  <c:v>44.399899999999995</c:v>
                </c:pt>
                <c:pt idx="78">
                  <c:v>44.061900000000001</c:v>
                </c:pt>
                <c:pt idx="79">
                  <c:v>43.742899999999999</c:v>
                </c:pt>
                <c:pt idx="80">
                  <c:v>43.444700000000005</c:v>
                </c:pt>
                <c:pt idx="81">
                  <c:v>43.134799999999998</c:v>
                </c:pt>
                <c:pt idx="82">
                  <c:v>42.834499999999998</c:v>
                </c:pt>
                <c:pt idx="83">
                  <c:v>42.567700000000002</c:v>
                </c:pt>
                <c:pt idx="84">
                  <c:v>42.280699999999996</c:v>
                </c:pt>
                <c:pt idx="85">
                  <c:v>41.918100000000003</c:v>
                </c:pt>
                <c:pt idx="86">
                  <c:v>41.519500000000001</c:v>
                </c:pt>
                <c:pt idx="87">
                  <c:v>41.136400000000002</c:v>
                </c:pt>
                <c:pt idx="88">
                  <c:v>40.7697</c:v>
                </c:pt>
                <c:pt idx="89">
                  <c:v>40.405999999999999</c:v>
                </c:pt>
                <c:pt idx="90">
                  <c:v>40.104500000000002</c:v>
                </c:pt>
                <c:pt idx="91">
                  <c:v>39.904699999999998</c:v>
                </c:pt>
                <c:pt idx="92">
                  <c:v>39.740299999999998</c:v>
                </c:pt>
                <c:pt idx="93">
                  <c:v>39.543099999999995</c:v>
                </c:pt>
                <c:pt idx="94">
                  <c:v>39.286000000000001</c:v>
                </c:pt>
                <c:pt idx="95">
                  <c:v>39.033499999999997</c:v>
                </c:pt>
                <c:pt idx="96">
                  <c:v>38.804499999999997</c:v>
                </c:pt>
                <c:pt idx="97">
                  <c:v>38.580999999999996</c:v>
                </c:pt>
                <c:pt idx="98">
                  <c:v>38.438699999999997</c:v>
                </c:pt>
                <c:pt idx="99">
                  <c:v>38.394500000000001</c:v>
                </c:pt>
                <c:pt idx="100">
                  <c:v>38.375799999999998</c:v>
                </c:pt>
                <c:pt idx="101">
                  <c:v>38.349800000000002</c:v>
                </c:pt>
                <c:pt idx="102">
                  <c:v>38.321300000000001</c:v>
                </c:pt>
                <c:pt idx="103">
                  <c:v>38.266600000000004</c:v>
                </c:pt>
                <c:pt idx="104">
                  <c:v>38.158099999999997</c:v>
                </c:pt>
                <c:pt idx="105">
                  <c:v>38.028800000000004</c:v>
                </c:pt>
                <c:pt idx="106">
                  <c:v>37.938499999999998</c:v>
                </c:pt>
                <c:pt idx="107">
                  <c:v>37.890099999999997</c:v>
                </c:pt>
                <c:pt idx="108">
                  <c:v>37.841700000000003</c:v>
                </c:pt>
                <c:pt idx="109">
                  <c:v>37.858799999999995</c:v>
                </c:pt>
                <c:pt idx="110">
                  <c:v>38.039899999999996</c:v>
                </c:pt>
                <c:pt idx="111">
                  <c:v>38.353099999999998</c:v>
                </c:pt>
                <c:pt idx="112">
                  <c:v>38.7333</c:v>
                </c:pt>
                <c:pt idx="113">
                  <c:v>39.1905</c:v>
                </c:pt>
                <c:pt idx="114">
                  <c:v>39.741999999999997</c:v>
                </c:pt>
                <c:pt idx="115">
                  <c:v>40.345300000000002</c:v>
                </c:pt>
                <c:pt idx="116">
                  <c:v>40.950699999999998</c:v>
                </c:pt>
                <c:pt idx="117">
                  <c:v>41.476500000000001</c:v>
                </c:pt>
                <c:pt idx="118">
                  <c:v>41.984000000000002</c:v>
                </c:pt>
                <c:pt idx="119">
                  <c:v>42.509399999999999</c:v>
                </c:pt>
                <c:pt idx="120">
                  <c:v>43.044800000000002</c:v>
                </c:pt>
                <c:pt idx="121">
                  <c:v>43.537300000000002</c:v>
                </c:pt>
                <c:pt idx="122">
                  <c:v>44.028399999999998</c:v>
                </c:pt>
                <c:pt idx="123">
                  <c:v>44.446300000000001</c:v>
                </c:pt>
                <c:pt idx="124">
                  <c:v>44.602899999999998</c:v>
                </c:pt>
                <c:pt idx="125">
                  <c:v>44.663599999999995</c:v>
                </c:pt>
                <c:pt idx="126">
                  <c:v>44.686799999999998</c:v>
                </c:pt>
                <c:pt idx="127">
                  <c:v>44.676400000000001</c:v>
                </c:pt>
                <c:pt idx="128">
                  <c:v>44.639899999999997</c:v>
                </c:pt>
                <c:pt idx="129">
                  <c:v>44.629400000000004</c:v>
                </c:pt>
                <c:pt idx="130">
                  <c:v>44.65</c:v>
                </c:pt>
                <c:pt idx="131">
                  <c:v>44.694400000000002</c:v>
                </c:pt>
                <c:pt idx="132">
                  <c:v>44.764700000000005</c:v>
                </c:pt>
                <c:pt idx="133">
                  <c:v>44.917200000000001</c:v>
                </c:pt>
                <c:pt idx="134">
                  <c:v>45.120800000000003</c:v>
                </c:pt>
                <c:pt idx="135">
                  <c:v>45.353500000000004</c:v>
                </c:pt>
                <c:pt idx="136">
                  <c:v>45.57</c:v>
                </c:pt>
                <c:pt idx="137">
                  <c:v>45.831499999999998</c:v>
                </c:pt>
                <c:pt idx="138">
                  <c:v>46.106299999999997</c:v>
                </c:pt>
                <c:pt idx="139">
                  <c:v>46.417400000000001</c:v>
                </c:pt>
                <c:pt idx="140">
                  <c:v>46.647199999999998</c:v>
                </c:pt>
                <c:pt idx="141">
                  <c:v>46.672799999999995</c:v>
                </c:pt>
                <c:pt idx="142">
                  <c:v>46.831499999999998</c:v>
                </c:pt>
                <c:pt idx="143">
                  <c:v>47.118700000000004</c:v>
                </c:pt>
                <c:pt idx="144">
                  <c:v>47.466900000000003</c:v>
                </c:pt>
                <c:pt idx="145">
                  <c:v>47.691600000000001</c:v>
                </c:pt>
                <c:pt idx="146">
                  <c:v>47.8919</c:v>
                </c:pt>
                <c:pt idx="147">
                  <c:v>48.146599999999999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0.37495600000000001</c:v>
                </c:pt>
                <c:pt idx="2">
                  <c:v>0.77658099999999997</c:v>
                </c:pt>
                <c:pt idx="3">
                  <c:v>1.1829000000000001</c:v>
                </c:pt>
                <c:pt idx="4">
                  <c:v>1.5906199999999999</c:v>
                </c:pt>
                <c:pt idx="5">
                  <c:v>2.0009000000000001</c:v>
                </c:pt>
                <c:pt idx="6">
                  <c:v>2.4041899999999998</c:v>
                </c:pt>
                <c:pt idx="7">
                  <c:v>2.8087800000000001</c:v>
                </c:pt>
                <c:pt idx="8">
                  <c:v>3.2154500000000001</c:v>
                </c:pt>
                <c:pt idx="9">
                  <c:v>3.6226400000000001</c:v>
                </c:pt>
                <c:pt idx="10">
                  <c:v>4.0308200000000003</c:v>
                </c:pt>
                <c:pt idx="11">
                  <c:v>4.43309</c:v>
                </c:pt>
                <c:pt idx="12">
                  <c:v>4.8399000000000001</c:v>
                </c:pt>
                <c:pt idx="13">
                  <c:v>5.2475899999999998</c:v>
                </c:pt>
                <c:pt idx="14">
                  <c:v>5.6538300000000001</c:v>
                </c:pt>
                <c:pt idx="15">
                  <c:v>6.0609599999999997</c:v>
                </c:pt>
                <c:pt idx="16">
                  <c:v>6.46875</c:v>
                </c:pt>
                <c:pt idx="17">
                  <c:v>6.8724499999999997</c:v>
                </c:pt>
                <c:pt idx="18">
                  <c:v>7.2775800000000004</c:v>
                </c:pt>
                <c:pt idx="19">
                  <c:v>7.6849499999999997</c:v>
                </c:pt>
                <c:pt idx="20">
                  <c:v>8.0916399999999999</c:v>
                </c:pt>
                <c:pt idx="21">
                  <c:v>8.4984800000000007</c:v>
                </c:pt>
                <c:pt idx="22">
                  <c:v>8.9064800000000002</c:v>
                </c:pt>
                <c:pt idx="23">
                  <c:v>9.3103599999999993</c:v>
                </c:pt>
                <c:pt idx="24">
                  <c:v>9.7147199999999998</c:v>
                </c:pt>
                <c:pt idx="25">
                  <c:v>10.1249</c:v>
                </c:pt>
                <c:pt idx="26">
                  <c:v>10.530099999999999</c:v>
                </c:pt>
                <c:pt idx="27">
                  <c:v>10.934900000000001</c:v>
                </c:pt>
                <c:pt idx="28">
                  <c:v>11.3398</c:v>
                </c:pt>
                <c:pt idx="29">
                  <c:v>11.746700000000001</c:v>
                </c:pt>
                <c:pt idx="30">
                  <c:v>12.1549</c:v>
                </c:pt>
                <c:pt idx="31">
                  <c:v>12.5616</c:v>
                </c:pt>
                <c:pt idx="32">
                  <c:v>12.967000000000001</c:v>
                </c:pt>
                <c:pt idx="33">
                  <c:v>13.370699999999999</c:v>
                </c:pt>
                <c:pt idx="34">
                  <c:v>13.7805</c:v>
                </c:pt>
                <c:pt idx="35">
                  <c:v>14.1875</c:v>
                </c:pt>
                <c:pt idx="36">
                  <c:v>14.590299999999999</c:v>
                </c:pt>
                <c:pt idx="37">
                  <c:v>14.9961</c:v>
                </c:pt>
                <c:pt idx="38">
                  <c:v>15.403499999999999</c:v>
                </c:pt>
                <c:pt idx="39">
                  <c:v>15.8072</c:v>
                </c:pt>
                <c:pt idx="40">
                  <c:v>16.217500000000001</c:v>
                </c:pt>
                <c:pt idx="41">
                  <c:v>16.6218</c:v>
                </c:pt>
                <c:pt idx="42">
                  <c:v>17.031099999999999</c:v>
                </c:pt>
                <c:pt idx="43">
                  <c:v>17.433900000000001</c:v>
                </c:pt>
                <c:pt idx="44">
                  <c:v>17.839600000000001</c:v>
                </c:pt>
                <c:pt idx="45">
                  <c:v>18.2484</c:v>
                </c:pt>
                <c:pt idx="46">
                  <c:v>18.653300000000002</c:v>
                </c:pt>
                <c:pt idx="47">
                  <c:v>19.059899999999999</c:v>
                </c:pt>
                <c:pt idx="48">
                  <c:v>19.4666</c:v>
                </c:pt>
                <c:pt idx="49">
                  <c:v>19.873999999999999</c:v>
                </c:pt>
                <c:pt idx="50">
                  <c:v>20.2788</c:v>
                </c:pt>
                <c:pt idx="51">
                  <c:v>20.686199999999999</c:v>
                </c:pt>
                <c:pt idx="52">
                  <c:v>21.090499999999999</c:v>
                </c:pt>
                <c:pt idx="53">
                  <c:v>21.498699999999999</c:v>
                </c:pt>
                <c:pt idx="54">
                  <c:v>21.904599999999999</c:v>
                </c:pt>
                <c:pt idx="55">
                  <c:v>22.311699999999998</c:v>
                </c:pt>
                <c:pt idx="56">
                  <c:v>22.7163</c:v>
                </c:pt>
                <c:pt idx="57">
                  <c:v>23.122800000000002</c:v>
                </c:pt>
                <c:pt idx="58">
                  <c:v>23.527799999999999</c:v>
                </c:pt>
                <c:pt idx="59">
                  <c:v>23.9345</c:v>
                </c:pt>
                <c:pt idx="60">
                  <c:v>24.3443</c:v>
                </c:pt>
                <c:pt idx="61">
                  <c:v>24.749099999999999</c:v>
                </c:pt>
                <c:pt idx="62">
                  <c:v>25.150300000000001</c:v>
                </c:pt>
                <c:pt idx="63">
                  <c:v>25.558</c:v>
                </c:pt>
                <c:pt idx="64">
                  <c:v>25.968299999999999</c:v>
                </c:pt>
                <c:pt idx="65">
                  <c:v>26.373999999999999</c:v>
                </c:pt>
                <c:pt idx="66">
                  <c:v>26.776299999999999</c:v>
                </c:pt>
                <c:pt idx="67">
                  <c:v>27.183599999999998</c:v>
                </c:pt>
                <c:pt idx="68">
                  <c:v>27.590900000000001</c:v>
                </c:pt>
                <c:pt idx="69">
                  <c:v>28.002700000000001</c:v>
                </c:pt>
                <c:pt idx="70">
                  <c:v>28.404900000000001</c:v>
                </c:pt>
                <c:pt idx="71">
                  <c:v>28.808299999999999</c:v>
                </c:pt>
                <c:pt idx="72">
                  <c:v>29.2149</c:v>
                </c:pt>
                <c:pt idx="73">
                  <c:v>29.621400000000001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62.049799999999998</c:v>
                </c:pt>
                <c:pt idx="1">
                  <c:v>61.586799999999997</c:v>
                </c:pt>
                <c:pt idx="2">
                  <c:v>61.065300000000001</c:v>
                </c:pt>
                <c:pt idx="3">
                  <c:v>60.4499</c:v>
                </c:pt>
                <c:pt idx="4">
                  <c:v>59.7834</c:v>
                </c:pt>
                <c:pt idx="5">
                  <c:v>59.0075</c:v>
                </c:pt>
                <c:pt idx="6">
                  <c:v>58.209699999999998</c:v>
                </c:pt>
                <c:pt idx="7">
                  <c:v>57.459199999999996</c:v>
                </c:pt>
                <c:pt idx="8">
                  <c:v>56.738699999999994</c:v>
                </c:pt>
                <c:pt idx="9">
                  <c:v>56.0929</c:v>
                </c:pt>
                <c:pt idx="10">
                  <c:v>55.631500000000003</c:v>
                </c:pt>
                <c:pt idx="11">
                  <c:v>55.231499999999997</c:v>
                </c:pt>
                <c:pt idx="12">
                  <c:v>54.901200000000003</c:v>
                </c:pt>
                <c:pt idx="13">
                  <c:v>54.588000000000001</c:v>
                </c:pt>
                <c:pt idx="14">
                  <c:v>54.288599999999995</c:v>
                </c:pt>
                <c:pt idx="15">
                  <c:v>53.989899999999999</c:v>
                </c:pt>
                <c:pt idx="16">
                  <c:v>53.719799999999992</c:v>
                </c:pt>
                <c:pt idx="17">
                  <c:v>53.476599999999998</c:v>
                </c:pt>
                <c:pt idx="18">
                  <c:v>53.227899999999991</c:v>
                </c:pt>
                <c:pt idx="19">
                  <c:v>52.971500000000006</c:v>
                </c:pt>
                <c:pt idx="20">
                  <c:v>52.677799999999998</c:v>
                </c:pt>
                <c:pt idx="21">
                  <c:v>52.346400000000003</c:v>
                </c:pt>
                <c:pt idx="22">
                  <c:v>52.028500000000001</c:v>
                </c:pt>
                <c:pt idx="23">
                  <c:v>51.757200000000005</c:v>
                </c:pt>
                <c:pt idx="24">
                  <c:v>51.500999999999998</c:v>
                </c:pt>
                <c:pt idx="25">
                  <c:v>51.277099999999997</c:v>
                </c:pt>
                <c:pt idx="26">
                  <c:v>51.0625</c:v>
                </c:pt>
                <c:pt idx="27">
                  <c:v>50.859099999999998</c:v>
                </c:pt>
                <c:pt idx="28">
                  <c:v>50.710799999999999</c:v>
                </c:pt>
                <c:pt idx="29">
                  <c:v>50.555999999999997</c:v>
                </c:pt>
                <c:pt idx="30">
                  <c:v>50.421999999999997</c:v>
                </c:pt>
                <c:pt idx="31">
                  <c:v>50.364699999999999</c:v>
                </c:pt>
                <c:pt idx="32">
                  <c:v>50.333500000000001</c:v>
                </c:pt>
                <c:pt idx="33">
                  <c:v>50.348000000000006</c:v>
                </c:pt>
                <c:pt idx="34">
                  <c:v>50.363100000000003</c:v>
                </c:pt>
                <c:pt idx="35">
                  <c:v>50.304700000000004</c:v>
                </c:pt>
                <c:pt idx="36">
                  <c:v>50.299400000000006</c:v>
                </c:pt>
                <c:pt idx="37">
                  <c:v>50.244299999999996</c:v>
                </c:pt>
                <c:pt idx="38">
                  <c:v>50.201799999999999</c:v>
                </c:pt>
                <c:pt idx="39">
                  <c:v>50.184399999999997</c:v>
                </c:pt>
                <c:pt idx="40">
                  <c:v>50.104700000000001</c:v>
                </c:pt>
                <c:pt idx="41">
                  <c:v>49.915599999999998</c:v>
                </c:pt>
                <c:pt idx="42">
                  <c:v>49.727600000000002</c:v>
                </c:pt>
                <c:pt idx="43">
                  <c:v>49.557299999999998</c:v>
                </c:pt>
                <c:pt idx="44">
                  <c:v>49.4664</c:v>
                </c:pt>
                <c:pt idx="45">
                  <c:v>49.431000000000004</c:v>
                </c:pt>
                <c:pt idx="46">
                  <c:v>49.423499999999997</c:v>
                </c:pt>
                <c:pt idx="47">
                  <c:v>49.417200000000001</c:v>
                </c:pt>
                <c:pt idx="48">
                  <c:v>49.3782</c:v>
                </c:pt>
                <c:pt idx="49">
                  <c:v>49.2864</c:v>
                </c:pt>
                <c:pt idx="50">
                  <c:v>49.212899999999998</c:v>
                </c:pt>
                <c:pt idx="51">
                  <c:v>48.960999999999999</c:v>
                </c:pt>
                <c:pt idx="52">
                  <c:v>48.642800000000001</c:v>
                </c:pt>
                <c:pt idx="53">
                  <c:v>47.984300000000005</c:v>
                </c:pt>
                <c:pt idx="54">
                  <c:v>47.833500000000001</c:v>
                </c:pt>
                <c:pt idx="55">
                  <c:v>47.171800000000005</c:v>
                </c:pt>
                <c:pt idx="56">
                  <c:v>46.73</c:v>
                </c:pt>
                <c:pt idx="57">
                  <c:v>46.576799999999999</c:v>
                </c:pt>
                <c:pt idx="58">
                  <c:v>46.096599999999995</c:v>
                </c:pt>
                <c:pt idx="59">
                  <c:v>45.665900000000001</c:v>
                </c:pt>
                <c:pt idx="60">
                  <c:v>44.962200000000003</c:v>
                </c:pt>
                <c:pt idx="61">
                  <c:v>44.768900000000002</c:v>
                </c:pt>
                <c:pt idx="62">
                  <c:v>44.824100000000001</c:v>
                </c:pt>
                <c:pt idx="63">
                  <c:v>44.731400000000001</c:v>
                </c:pt>
                <c:pt idx="64">
                  <c:v>44.495000000000005</c:v>
                </c:pt>
                <c:pt idx="65">
                  <c:v>44.4011</c:v>
                </c:pt>
                <c:pt idx="66">
                  <c:v>44.438400000000001</c:v>
                </c:pt>
                <c:pt idx="67">
                  <c:v>44.1434</c:v>
                </c:pt>
                <c:pt idx="68">
                  <c:v>44.154199999999996</c:v>
                </c:pt>
                <c:pt idx="69">
                  <c:v>44.074000000000005</c:v>
                </c:pt>
                <c:pt idx="70">
                  <c:v>44.2104</c:v>
                </c:pt>
                <c:pt idx="71">
                  <c:v>44.3795</c:v>
                </c:pt>
                <c:pt idx="72">
                  <c:v>44.6218</c:v>
                </c:pt>
                <c:pt idx="73">
                  <c:v>44.843600000000002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29.621400000000001</c:v>
                </c:pt>
                <c:pt idx="1">
                  <c:v>30.029599999999999</c:v>
                </c:pt>
                <c:pt idx="2">
                  <c:v>30.499199999999998</c:v>
                </c:pt>
                <c:pt idx="3">
                  <c:v>30.904399999999999</c:v>
                </c:pt>
                <c:pt idx="4">
                  <c:v>31.294899999999998</c:v>
                </c:pt>
                <c:pt idx="5">
                  <c:v>31.699100000000001</c:v>
                </c:pt>
                <c:pt idx="6">
                  <c:v>32.109699999999997</c:v>
                </c:pt>
                <c:pt idx="7">
                  <c:v>32.5137</c:v>
                </c:pt>
                <c:pt idx="8">
                  <c:v>32.922699999999999</c:v>
                </c:pt>
                <c:pt idx="9">
                  <c:v>33.326999999999998</c:v>
                </c:pt>
                <c:pt idx="10">
                  <c:v>33.7346</c:v>
                </c:pt>
                <c:pt idx="11">
                  <c:v>34.135599999999997</c:v>
                </c:pt>
                <c:pt idx="12">
                  <c:v>34.545000000000002</c:v>
                </c:pt>
                <c:pt idx="13">
                  <c:v>34.952800000000003</c:v>
                </c:pt>
                <c:pt idx="14">
                  <c:v>35.36</c:v>
                </c:pt>
                <c:pt idx="15">
                  <c:v>35.761699999999998</c:v>
                </c:pt>
                <c:pt idx="16">
                  <c:v>36.1708</c:v>
                </c:pt>
                <c:pt idx="17">
                  <c:v>36.576999999999998</c:v>
                </c:pt>
                <c:pt idx="18">
                  <c:v>36.981400000000001</c:v>
                </c:pt>
                <c:pt idx="19">
                  <c:v>37.389299999999999</c:v>
                </c:pt>
                <c:pt idx="20">
                  <c:v>37.7986</c:v>
                </c:pt>
                <c:pt idx="21">
                  <c:v>38.200299999999999</c:v>
                </c:pt>
                <c:pt idx="22">
                  <c:v>38.607599999999998</c:v>
                </c:pt>
                <c:pt idx="23">
                  <c:v>39.014299999999999</c:v>
                </c:pt>
                <c:pt idx="24">
                  <c:v>39.416600000000003</c:v>
                </c:pt>
                <c:pt idx="25">
                  <c:v>39.825499999999998</c:v>
                </c:pt>
                <c:pt idx="26">
                  <c:v>40.230600000000003</c:v>
                </c:pt>
                <c:pt idx="27">
                  <c:v>40.641399999999997</c:v>
                </c:pt>
                <c:pt idx="28">
                  <c:v>41.045499999999997</c:v>
                </c:pt>
                <c:pt idx="29">
                  <c:v>41.450299999999999</c:v>
                </c:pt>
                <c:pt idx="30">
                  <c:v>41.857300000000002</c:v>
                </c:pt>
                <c:pt idx="31">
                  <c:v>42.262099999999997</c:v>
                </c:pt>
                <c:pt idx="32">
                  <c:v>42.669899999999998</c:v>
                </c:pt>
                <c:pt idx="33">
                  <c:v>43.077100000000002</c:v>
                </c:pt>
                <c:pt idx="34">
                  <c:v>43.4816</c:v>
                </c:pt>
                <c:pt idx="35">
                  <c:v>43.887799999999999</c:v>
                </c:pt>
                <c:pt idx="36">
                  <c:v>44.294499999999999</c:v>
                </c:pt>
                <c:pt idx="37">
                  <c:v>44.699599999999997</c:v>
                </c:pt>
                <c:pt idx="38">
                  <c:v>45.108899999999998</c:v>
                </c:pt>
                <c:pt idx="39">
                  <c:v>45.512300000000003</c:v>
                </c:pt>
                <c:pt idx="40">
                  <c:v>45.9193</c:v>
                </c:pt>
                <c:pt idx="41">
                  <c:v>46.323999999999998</c:v>
                </c:pt>
                <c:pt idx="42">
                  <c:v>46.732399999999998</c:v>
                </c:pt>
                <c:pt idx="43">
                  <c:v>47.137900000000002</c:v>
                </c:pt>
                <c:pt idx="44">
                  <c:v>47.5426</c:v>
                </c:pt>
                <c:pt idx="45">
                  <c:v>47.947800000000001</c:v>
                </c:pt>
                <c:pt idx="46">
                  <c:v>48.356200000000001</c:v>
                </c:pt>
                <c:pt idx="47">
                  <c:v>48.762900000000002</c:v>
                </c:pt>
                <c:pt idx="48">
                  <c:v>49.171100000000003</c:v>
                </c:pt>
                <c:pt idx="49">
                  <c:v>49.575000000000003</c:v>
                </c:pt>
                <c:pt idx="50">
                  <c:v>49.980200000000004</c:v>
                </c:pt>
                <c:pt idx="51">
                  <c:v>50.385899999999999</c:v>
                </c:pt>
                <c:pt idx="52">
                  <c:v>50.793399999999998</c:v>
                </c:pt>
                <c:pt idx="53">
                  <c:v>51.206699999999998</c:v>
                </c:pt>
                <c:pt idx="54">
                  <c:v>51.605699999999999</c:v>
                </c:pt>
                <c:pt idx="55">
                  <c:v>52.011499999999998</c:v>
                </c:pt>
                <c:pt idx="56">
                  <c:v>52.418900000000001</c:v>
                </c:pt>
                <c:pt idx="57">
                  <c:v>52.826999999999998</c:v>
                </c:pt>
                <c:pt idx="58">
                  <c:v>53.2333</c:v>
                </c:pt>
                <c:pt idx="59">
                  <c:v>53.6389</c:v>
                </c:pt>
                <c:pt idx="60">
                  <c:v>54.044199999999996</c:v>
                </c:pt>
                <c:pt idx="61">
                  <c:v>54.447899999999997</c:v>
                </c:pt>
                <c:pt idx="62">
                  <c:v>54.859099999999998</c:v>
                </c:pt>
                <c:pt idx="63">
                  <c:v>55.264499999999998</c:v>
                </c:pt>
                <c:pt idx="64">
                  <c:v>55.670400000000001</c:v>
                </c:pt>
                <c:pt idx="65">
                  <c:v>56.073799999999999</c:v>
                </c:pt>
                <c:pt idx="66">
                  <c:v>56.484699999999997</c:v>
                </c:pt>
                <c:pt idx="67">
                  <c:v>56.890900000000002</c:v>
                </c:pt>
                <c:pt idx="68">
                  <c:v>57.294400000000003</c:v>
                </c:pt>
                <c:pt idx="69">
                  <c:v>57.703099999999999</c:v>
                </c:pt>
                <c:pt idx="70">
                  <c:v>58.106900000000003</c:v>
                </c:pt>
                <c:pt idx="71">
                  <c:v>58.514699999999998</c:v>
                </c:pt>
                <c:pt idx="72">
                  <c:v>58.9253</c:v>
                </c:pt>
                <c:pt idx="73">
                  <c:v>59.327100000000002</c:v>
                </c:pt>
                <c:pt idx="74">
                  <c:v>59.73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44.843600000000002</c:v>
                </c:pt>
                <c:pt idx="1">
                  <c:v>44.962600000000002</c:v>
                </c:pt>
                <c:pt idx="2">
                  <c:v>44.845500000000001</c:v>
                </c:pt>
                <c:pt idx="3">
                  <c:v>44.676300000000005</c:v>
                </c:pt>
                <c:pt idx="4">
                  <c:v>44.399899999999995</c:v>
                </c:pt>
                <c:pt idx="5">
                  <c:v>44.061900000000001</c:v>
                </c:pt>
                <c:pt idx="6">
                  <c:v>43.742899999999999</c:v>
                </c:pt>
                <c:pt idx="7">
                  <c:v>43.444700000000005</c:v>
                </c:pt>
                <c:pt idx="8">
                  <c:v>43.134799999999998</c:v>
                </c:pt>
                <c:pt idx="9">
                  <c:v>42.834499999999998</c:v>
                </c:pt>
                <c:pt idx="10">
                  <c:v>42.567700000000002</c:v>
                </c:pt>
                <c:pt idx="11">
                  <c:v>42.280699999999996</c:v>
                </c:pt>
                <c:pt idx="12">
                  <c:v>41.918100000000003</c:v>
                </c:pt>
                <c:pt idx="13">
                  <c:v>41.519500000000001</c:v>
                </c:pt>
                <c:pt idx="14">
                  <c:v>41.136400000000002</c:v>
                </c:pt>
                <c:pt idx="15">
                  <c:v>40.7697</c:v>
                </c:pt>
                <c:pt idx="16">
                  <c:v>40.405999999999999</c:v>
                </c:pt>
                <c:pt idx="17">
                  <c:v>40.104500000000002</c:v>
                </c:pt>
                <c:pt idx="18">
                  <c:v>39.904699999999998</c:v>
                </c:pt>
                <c:pt idx="19">
                  <c:v>39.740299999999998</c:v>
                </c:pt>
                <c:pt idx="20">
                  <c:v>39.543099999999995</c:v>
                </c:pt>
                <c:pt idx="21">
                  <c:v>39.286000000000001</c:v>
                </c:pt>
                <c:pt idx="22">
                  <c:v>39.033499999999997</c:v>
                </c:pt>
                <c:pt idx="23">
                  <c:v>38.804499999999997</c:v>
                </c:pt>
                <c:pt idx="24">
                  <c:v>38.580999999999996</c:v>
                </c:pt>
                <c:pt idx="25">
                  <c:v>38.438699999999997</c:v>
                </c:pt>
                <c:pt idx="26">
                  <c:v>38.394500000000001</c:v>
                </c:pt>
                <c:pt idx="27">
                  <c:v>38.375799999999998</c:v>
                </c:pt>
                <c:pt idx="28">
                  <c:v>38.349800000000002</c:v>
                </c:pt>
                <c:pt idx="29">
                  <c:v>38.321300000000001</c:v>
                </c:pt>
                <c:pt idx="30">
                  <c:v>38.266600000000004</c:v>
                </c:pt>
                <c:pt idx="31">
                  <c:v>38.158099999999997</c:v>
                </c:pt>
                <c:pt idx="32">
                  <c:v>38.028800000000004</c:v>
                </c:pt>
                <c:pt idx="33">
                  <c:v>37.938499999999998</c:v>
                </c:pt>
                <c:pt idx="34">
                  <c:v>37.890099999999997</c:v>
                </c:pt>
                <c:pt idx="35">
                  <c:v>37.841700000000003</c:v>
                </c:pt>
                <c:pt idx="36">
                  <c:v>37.858799999999995</c:v>
                </c:pt>
                <c:pt idx="37">
                  <c:v>38.039899999999996</c:v>
                </c:pt>
                <c:pt idx="38">
                  <c:v>38.353099999999998</c:v>
                </c:pt>
                <c:pt idx="39">
                  <c:v>38.7333</c:v>
                </c:pt>
                <c:pt idx="40">
                  <c:v>39.1905</c:v>
                </c:pt>
                <c:pt idx="41">
                  <c:v>39.741999999999997</c:v>
                </c:pt>
                <c:pt idx="42">
                  <c:v>40.345300000000002</c:v>
                </c:pt>
                <c:pt idx="43">
                  <c:v>40.950699999999998</c:v>
                </c:pt>
                <c:pt idx="44">
                  <c:v>41.476500000000001</c:v>
                </c:pt>
                <c:pt idx="45">
                  <c:v>41.984000000000002</c:v>
                </c:pt>
                <c:pt idx="46">
                  <c:v>42.509399999999999</c:v>
                </c:pt>
                <c:pt idx="47">
                  <c:v>43.044800000000002</c:v>
                </c:pt>
                <c:pt idx="48">
                  <c:v>43.537300000000002</c:v>
                </c:pt>
                <c:pt idx="49">
                  <c:v>44.028399999999998</c:v>
                </c:pt>
                <c:pt idx="50">
                  <c:v>44.446300000000001</c:v>
                </c:pt>
                <c:pt idx="51">
                  <c:v>44.602899999999998</c:v>
                </c:pt>
                <c:pt idx="52">
                  <c:v>44.663599999999995</c:v>
                </c:pt>
                <c:pt idx="53">
                  <c:v>44.686799999999998</c:v>
                </c:pt>
                <c:pt idx="54">
                  <c:v>44.676400000000001</c:v>
                </c:pt>
                <c:pt idx="55">
                  <c:v>44.639899999999997</c:v>
                </c:pt>
                <c:pt idx="56">
                  <c:v>44.629400000000004</c:v>
                </c:pt>
                <c:pt idx="57">
                  <c:v>44.65</c:v>
                </c:pt>
                <c:pt idx="58">
                  <c:v>44.694400000000002</c:v>
                </c:pt>
                <c:pt idx="59">
                  <c:v>44.764700000000005</c:v>
                </c:pt>
                <c:pt idx="60">
                  <c:v>44.917200000000001</c:v>
                </c:pt>
                <c:pt idx="61">
                  <c:v>45.120800000000003</c:v>
                </c:pt>
                <c:pt idx="62">
                  <c:v>45.353500000000004</c:v>
                </c:pt>
                <c:pt idx="63">
                  <c:v>45.57</c:v>
                </c:pt>
                <c:pt idx="64">
                  <c:v>45.831499999999998</c:v>
                </c:pt>
                <c:pt idx="65">
                  <c:v>46.106299999999997</c:v>
                </c:pt>
                <c:pt idx="66">
                  <c:v>46.417400000000001</c:v>
                </c:pt>
                <c:pt idx="67">
                  <c:v>46.647199999999998</c:v>
                </c:pt>
                <c:pt idx="68">
                  <c:v>46.672799999999995</c:v>
                </c:pt>
                <c:pt idx="69">
                  <c:v>46.831499999999998</c:v>
                </c:pt>
                <c:pt idx="70">
                  <c:v>47.118700000000004</c:v>
                </c:pt>
                <c:pt idx="71">
                  <c:v>47.466900000000003</c:v>
                </c:pt>
                <c:pt idx="72">
                  <c:v>47.691600000000001</c:v>
                </c:pt>
                <c:pt idx="73">
                  <c:v>47.8919</c:v>
                </c:pt>
                <c:pt idx="74">
                  <c:v>48.146599999999999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14.932499999999999</c:v>
                </c:pt>
                <c:pt idx="1">
                  <c:v>44.797499999999999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50.620858108108102</c:v>
                </c:pt>
                <c:pt idx="1">
                  <c:v>42.374797297297292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30.655799999999999</c:v>
                </c:pt>
                <c:pt idx="1">
                  <c:v>22.3705</c:v>
                </c:pt>
                <c:pt idx="2">
                  <c:v>21.022099999999998</c:v>
                </c:pt>
                <c:pt idx="3">
                  <c:v>23.441500000000001</c:v>
                </c:pt>
                <c:pt idx="4">
                  <c:v>69.7834</c:v>
                </c:pt>
                <c:pt idx="5">
                  <c:v>84.718199999999996</c:v>
                </c:pt>
                <c:pt idx="6">
                  <c:v>16.825800000000001</c:v>
                </c:pt>
                <c:pt idx="7">
                  <c:v>77.320400000000006</c:v>
                </c:pt>
                <c:pt idx="8">
                  <c:v>18.052099999999999</c:v>
                </c:pt>
                <c:pt idx="9">
                  <c:v>29.736000000000001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41.150500000000001</c:v>
                </c:pt>
                <c:pt idx="1">
                  <c:v>26.800599999999999</c:v>
                </c:pt>
                <c:pt idx="2">
                  <c:v>15.1455</c:v>
                </c:pt>
                <c:pt idx="3">
                  <c:v>27.364599999999999</c:v>
                </c:pt>
                <c:pt idx="4">
                  <c:v>69.509200000000007</c:v>
                </c:pt>
                <c:pt idx="5">
                  <c:v>77.090199999999996</c:v>
                </c:pt>
                <c:pt idx="6">
                  <c:v>27.461099999999998</c:v>
                </c:pt>
                <c:pt idx="7">
                  <c:v>72.705399999999997</c:v>
                </c:pt>
                <c:pt idx="8">
                  <c:v>20.2163</c:v>
                </c:pt>
                <c:pt idx="9">
                  <c:v>26.212399999999999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0.5629159507998277</c:v>
                </c:pt>
                <c:pt idx="1">
                  <c:v>0.22070824576722628</c:v>
                </c:pt>
                <c:pt idx="2">
                  <c:v>0.2163758034329461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463</c:v>
                </c:pt>
                <c:pt idx="7">
                  <c:v>0</c:v>
                </c:pt>
                <c:pt idx="8">
                  <c:v>1104</c:v>
                </c:pt>
                <c:pt idx="9">
                  <c:v>0</c:v>
                </c:pt>
                <c:pt idx="10">
                  <c:v>0</c:v>
                </c:pt>
                <c:pt idx="11">
                  <c:v>2463</c:v>
                </c:pt>
                <c:pt idx="12">
                  <c:v>0</c:v>
                </c:pt>
                <c:pt idx="13">
                  <c:v>985</c:v>
                </c:pt>
                <c:pt idx="14">
                  <c:v>0</c:v>
                </c:pt>
                <c:pt idx="15">
                  <c:v>0</c:v>
                </c:pt>
                <c:pt idx="16">
                  <c:v>2646</c:v>
                </c:pt>
                <c:pt idx="17">
                  <c:v>0</c:v>
                </c:pt>
                <c:pt idx="18">
                  <c:v>0</c:v>
                </c:pt>
                <c:pt idx="19">
                  <c:v>4701</c:v>
                </c:pt>
                <c:pt idx="20">
                  <c:v>0</c:v>
                </c:pt>
                <c:pt idx="21">
                  <c:v>8529</c:v>
                </c:pt>
                <c:pt idx="22">
                  <c:v>0</c:v>
                </c:pt>
                <c:pt idx="23">
                  <c:v>0</c:v>
                </c:pt>
                <c:pt idx="24">
                  <c:v>11257</c:v>
                </c:pt>
                <c:pt idx="25">
                  <c:v>0</c:v>
                </c:pt>
                <c:pt idx="26">
                  <c:v>16871</c:v>
                </c:pt>
                <c:pt idx="27">
                  <c:v>0</c:v>
                </c:pt>
                <c:pt idx="28">
                  <c:v>0</c:v>
                </c:pt>
                <c:pt idx="29">
                  <c:v>24423</c:v>
                </c:pt>
                <c:pt idx="30">
                  <c:v>0</c:v>
                </c:pt>
                <c:pt idx="31">
                  <c:v>33521</c:v>
                </c:pt>
                <c:pt idx="32">
                  <c:v>0</c:v>
                </c:pt>
                <c:pt idx="33">
                  <c:v>0</c:v>
                </c:pt>
                <c:pt idx="34">
                  <c:v>42750</c:v>
                </c:pt>
                <c:pt idx="35">
                  <c:v>0</c:v>
                </c:pt>
                <c:pt idx="36">
                  <c:v>0</c:v>
                </c:pt>
                <c:pt idx="37">
                  <c:v>52433</c:v>
                </c:pt>
                <c:pt idx="38">
                  <c:v>0</c:v>
                </c:pt>
                <c:pt idx="39">
                  <c:v>66542</c:v>
                </c:pt>
                <c:pt idx="40">
                  <c:v>0</c:v>
                </c:pt>
                <c:pt idx="41">
                  <c:v>0</c:v>
                </c:pt>
                <c:pt idx="42">
                  <c:v>79799</c:v>
                </c:pt>
                <c:pt idx="43">
                  <c:v>0</c:v>
                </c:pt>
                <c:pt idx="44">
                  <c:v>109160</c:v>
                </c:pt>
                <c:pt idx="45">
                  <c:v>0</c:v>
                </c:pt>
                <c:pt idx="46">
                  <c:v>0</c:v>
                </c:pt>
                <c:pt idx="47">
                  <c:v>112696</c:v>
                </c:pt>
                <c:pt idx="48">
                  <c:v>0</c:v>
                </c:pt>
                <c:pt idx="49">
                  <c:v>108456</c:v>
                </c:pt>
                <c:pt idx="50">
                  <c:v>0</c:v>
                </c:pt>
                <c:pt idx="51">
                  <c:v>0</c:v>
                </c:pt>
                <c:pt idx="52">
                  <c:v>105445</c:v>
                </c:pt>
                <c:pt idx="53">
                  <c:v>0</c:v>
                </c:pt>
                <c:pt idx="54">
                  <c:v>0</c:v>
                </c:pt>
                <c:pt idx="55">
                  <c:v>118578</c:v>
                </c:pt>
                <c:pt idx="56">
                  <c:v>0</c:v>
                </c:pt>
                <c:pt idx="57">
                  <c:v>119128</c:v>
                </c:pt>
                <c:pt idx="58">
                  <c:v>0</c:v>
                </c:pt>
                <c:pt idx="59">
                  <c:v>0</c:v>
                </c:pt>
                <c:pt idx="60">
                  <c:v>120766</c:v>
                </c:pt>
                <c:pt idx="61">
                  <c:v>0</c:v>
                </c:pt>
                <c:pt idx="62">
                  <c:v>123020</c:v>
                </c:pt>
                <c:pt idx="63">
                  <c:v>0</c:v>
                </c:pt>
                <c:pt idx="64">
                  <c:v>0</c:v>
                </c:pt>
                <c:pt idx="65">
                  <c:v>121127</c:v>
                </c:pt>
                <c:pt idx="66">
                  <c:v>0</c:v>
                </c:pt>
                <c:pt idx="67">
                  <c:v>111656</c:v>
                </c:pt>
                <c:pt idx="68">
                  <c:v>0</c:v>
                </c:pt>
                <c:pt idx="69">
                  <c:v>0</c:v>
                </c:pt>
                <c:pt idx="70">
                  <c:v>113500</c:v>
                </c:pt>
                <c:pt idx="71">
                  <c:v>0</c:v>
                </c:pt>
                <c:pt idx="72">
                  <c:v>0</c:v>
                </c:pt>
                <c:pt idx="73">
                  <c:v>93971</c:v>
                </c:pt>
                <c:pt idx="74">
                  <c:v>0</c:v>
                </c:pt>
                <c:pt idx="75">
                  <c:v>81572</c:v>
                </c:pt>
                <c:pt idx="76">
                  <c:v>0</c:v>
                </c:pt>
                <c:pt idx="77">
                  <c:v>0</c:v>
                </c:pt>
                <c:pt idx="78">
                  <c:v>70057</c:v>
                </c:pt>
                <c:pt idx="79">
                  <c:v>0</c:v>
                </c:pt>
                <c:pt idx="80">
                  <c:v>66262</c:v>
                </c:pt>
                <c:pt idx="81">
                  <c:v>0</c:v>
                </c:pt>
                <c:pt idx="82">
                  <c:v>0</c:v>
                </c:pt>
                <c:pt idx="83">
                  <c:v>60151</c:v>
                </c:pt>
                <c:pt idx="84">
                  <c:v>0</c:v>
                </c:pt>
                <c:pt idx="85">
                  <c:v>0</c:v>
                </c:pt>
                <c:pt idx="86">
                  <c:v>61458</c:v>
                </c:pt>
                <c:pt idx="87">
                  <c:v>0</c:v>
                </c:pt>
                <c:pt idx="88">
                  <c:v>59545</c:v>
                </c:pt>
                <c:pt idx="89">
                  <c:v>0</c:v>
                </c:pt>
                <c:pt idx="90">
                  <c:v>0</c:v>
                </c:pt>
                <c:pt idx="91">
                  <c:v>52344</c:v>
                </c:pt>
                <c:pt idx="92">
                  <c:v>0</c:v>
                </c:pt>
                <c:pt idx="93">
                  <c:v>46731</c:v>
                </c:pt>
                <c:pt idx="94">
                  <c:v>0</c:v>
                </c:pt>
                <c:pt idx="95">
                  <c:v>0</c:v>
                </c:pt>
                <c:pt idx="96">
                  <c:v>42750</c:v>
                </c:pt>
                <c:pt idx="97">
                  <c:v>0</c:v>
                </c:pt>
                <c:pt idx="98">
                  <c:v>42939</c:v>
                </c:pt>
                <c:pt idx="99">
                  <c:v>0</c:v>
                </c:pt>
                <c:pt idx="100">
                  <c:v>0</c:v>
                </c:pt>
                <c:pt idx="101">
                  <c:v>39331</c:v>
                </c:pt>
                <c:pt idx="102">
                  <c:v>0</c:v>
                </c:pt>
                <c:pt idx="103">
                  <c:v>0</c:v>
                </c:pt>
                <c:pt idx="104">
                  <c:v>36797</c:v>
                </c:pt>
                <c:pt idx="105">
                  <c:v>0</c:v>
                </c:pt>
                <c:pt idx="106">
                  <c:v>35445</c:v>
                </c:pt>
                <c:pt idx="107">
                  <c:v>0</c:v>
                </c:pt>
                <c:pt idx="108">
                  <c:v>0</c:v>
                </c:pt>
                <c:pt idx="109">
                  <c:v>35629</c:v>
                </c:pt>
                <c:pt idx="110">
                  <c:v>0</c:v>
                </c:pt>
                <c:pt idx="111">
                  <c:v>33563</c:v>
                </c:pt>
                <c:pt idx="112">
                  <c:v>0</c:v>
                </c:pt>
                <c:pt idx="113">
                  <c:v>0</c:v>
                </c:pt>
                <c:pt idx="114">
                  <c:v>27424</c:v>
                </c:pt>
                <c:pt idx="115">
                  <c:v>0</c:v>
                </c:pt>
                <c:pt idx="116">
                  <c:v>31087</c:v>
                </c:pt>
                <c:pt idx="117">
                  <c:v>0</c:v>
                </c:pt>
                <c:pt idx="118">
                  <c:v>0</c:v>
                </c:pt>
                <c:pt idx="119">
                  <c:v>23438</c:v>
                </c:pt>
                <c:pt idx="120">
                  <c:v>0</c:v>
                </c:pt>
                <c:pt idx="121">
                  <c:v>0</c:v>
                </c:pt>
                <c:pt idx="122">
                  <c:v>16216</c:v>
                </c:pt>
                <c:pt idx="123">
                  <c:v>0</c:v>
                </c:pt>
                <c:pt idx="124">
                  <c:v>15797</c:v>
                </c:pt>
                <c:pt idx="125">
                  <c:v>0</c:v>
                </c:pt>
                <c:pt idx="126">
                  <c:v>0</c:v>
                </c:pt>
                <c:pt idx="127">
                  <c:v>12312</c:v>
                </c:pt>
                <c:pt idx="128">
                  <c:v>0</c:v>
                </c:pt>
                <c:pt idx="129">
                  <c:v>12293</c:v>
                </c:pt>
                <c:pt idx="130">
                  <c:v>0</c:v>
                </c:pt>
                <c:pt idx="131">
                  <c:v>0</c:v>
                </c:pt>
                <c:pt idx="132">
                  <c:v>9145</c:v>
                </c:pt>
                <c:pt idx="133">
                  <c:v>0</c:v>
                </c:pt>
                <c:pt idx="134">
                  <c:v>7483</c:v>
                </c:pt>
                <c:pt idx="135">
                  <c:v>0</c:v>
                </c:pt>
                <c:pt idx="136">
                  <c:v>0</c:v>
                </c:pt>
                <c:pt idx="137">
                  <c:v>5324</c:v>
                </c:pt>
                <c:pt idx="138">
                  <c:v>0</c:v>
                </c:pt>
                <c:pt idx="139">
                  <c:v>0</c:v>
                </c:pt>
                <c:pt idx="140">
                  <c:v>2660</c:v>
                </c:pt>
                <c:pt idx="141">
                  <c:v>0</c:v>
                </c:pt>
                <c:pt idx="142">
                  <c:v>1914</c:v>
                </c:pt>
                <c:pt idx="143">
                  <c:v>0</c:v>
                </c:pt>
                <c:pt idx="144">
                  <c:v>0</c:v>
                </c:pt>
                <c:pt idx="145">
                  <c:v>1815</c:v>
                </c:pt>
                <c:pt idx="146">
                  <c:v>0</c:v>
                </c:pt>
                <c:pt idx="147">
                  <c:v>701</c:v>
                </c:pt>
                <c:pt idx="148">
                  <c:v>0</c:v>
                </c:pt>
                <c:pt idx="149">
                  <c:v>0</c:v>
                </c:pt>
                <c:pt idx="150">
                  <c:v>558</c:v>
                </c:pt>
                <c:pt idx="151">
                  <c:v>0</c:v>
                </c:pt>
                <c:pt idx="152">
                  <c:v>76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41</c:v>
                </c:pt>
                <c:pt idx="7">
                  <c:v>0</c:v>
                </c:pt>
                <c:pt idx="8">
                  <c:v>81</c:v>
                </c:pt>
                <c:pt idx="9">
                  <c:v>0</c:v>
                </c:pt>
                <c:pt idx="10">
                  <c:v>0</c:v>
                </c:pt>
                <c:pt idx="11">
                  <c:v>203</c:v>
                </c:pt>
                <c:pt idx="12">
                  <c:v>0</c:v>
                </c:pt>
                <c:pt idx="13">
                  <c:v>1489</c:v>
                </c:pt>
                <c:pt idx="14">
                  <c:v>0</c:v>
                </c:pt>
                <c:pt idx="15">
                  <c:v>0</c:v>
                </c:pt>
                <c:pt idx="16">
                  <c:v>2107</c:v>
                </c:pt>
                <c:pt idx="17">
                  <c:v>0</c:v>
                </c:pt>
                <c:pt idx="18">
                  <c:v>0</c:v>
                </c:pt>
                <c:pt idx="19">
                  <c:v>1108</c:v>
                </c:pt>
                <c:pt idx="20">
                  <c:v>0</c:v>
                </c:pt>
                <c:pt idx="21">
                  <c:v>1346</c:v>
                </c:pt>
                <c:pt idx="22">
                  <c:v>0</c:v>
                </c:pt>
                <c:pt idx="23">
                  <c:v>0</c:v>
                </c:pt>
                <c:pt idx="24">
                  <c:v>2342</c:v>
                </c:pt>
                <c:pt idx="25">
                  <c:v>0</c:v>
                </c:pt>
                <c:pt idx="26">
                  <c:v>3271</c:v>
                </c:pt>
                <c:pt idx="27">
                  <c:v>0</c:v>
                </c:pt>
                <c:pt idx="28">
                  <c:v>0</c:v>
                </c:pt>
                <c:pt idx="29">
                  <c:v>4027</c:v>
                </c:pt>
                <c:pt idx="30">
                  <c:v>0</c:v>
                </c:pt>
                <c:pt idx="31">
                  <c:v>5978</c:v>
                </c:pt>
                <c:pt idx="32">
                  <c:v>0</c:v>
                </c:pt>
                <c:pt idx="33">
                  <c:v>0</c:v>
                </c:pt>
                <c:pt idx="34">
                  <c:v>10790</c:v>
                </c:pt>
                <c:pt idx="35">
                  <c:v>0</c:v>
                </c:pt>
                <c:pt idx="36">
                  <c:v>0</c:v>
                </c:pt>
                <c:pt idx="37">
                  <c:v>13693</c:v>
                </c:pt>
                <c:pt idx="38">
                  <c:v>0</c:v>
                </c:pt>
                <c:pt idx="39">
                  <c:v>16591</c:v>
                </c:pt>
                <c:pt idx="40">
                  <c:v>0</c:v>
                </c:pt>
                <c:pt idx="41">
                  <c:v>0</c:v>
                </c:pt>
                <c:pt idx="42">
                  <c:v>24348</c:v>
                </c:pt>
                <c:pt idx="43">
                  <c:v>0</c:v>
                </c:pt>
                <c:pt idx="44">
                  <c:v>24524</c:v>
                </c:pt>
                <c:pt idx="45">
                  <c:v>0</c:v>
                </c:pt>
                <c:pt idx="46">
                  <c:v>0</c:v>
                </c:pt>
                <c:pt idx="47">
                  <c:v>32655</c:v>
                </c:pt>
                <c:pt idx="48">
                  <c:v>0</c:v>
                </c:pt>
                <c:pt idx="49">
                  <c:v>49514</c:v>
                </c:pt>
                <c:pt idx="50">
                  <c:v>0</c:v>
                </c:pt>
                <c:pt idx="51">
                  <c:v>0</c:v>
                </c:pt>
                <c:pt idx="52">
                  <c:v>60635</c:v>
                </c:pt>
                <c:pt idx="53">
                  <c:v>0</c:v>
                </c:pt>
                <c:pt idx="54">
                  <c:v>0</c:v>
                </c:pt>
                <c:pt idx="55">
                  <c:v>79210</c:v>
                </c:pt>
                <c:pt idx="56">
                  <c:v>0</c:v>
                </c:pt>
                <c:pt idx="57">
                  <c:v>74528</c:v>
                </c:pt>
                <c:pt idx="58">
                  <c:v>0</c:v>
                </c:pt>
                <c:pt idx="59">
                  <c:v>0</c:v>
                </c:pt>
                <c:pt idx="60">
                  <c:v>76503</c:v>
                </c:pt>
                <c:pt idx="61">
                  <c:v>0</c:v>
                </c:pt>
                <c:pt idx="62">
                  <c:v>84738</c:v>
                </c:pt>
                <c:pt idx="63">
                  <c:v>0</c:v>
                </c:pt>
                <c:pt idx="64">
                  <c:v>0</c:v>
                </c:pt>
                <c:pt idx="65">
                  <c:v>87334</c:v>
                </c:pt>
                <c:pt idx="66">
                  <c:v>0</c:v>
                </c:pt>
                <c:pt idx="67">
                  <c:v>108699</c:v>
                </c:pt>
                <c:pt idx="68">
                  <c:v>0</c:v>
                </c:pt>
                <c:pt idx="69">
                  <c:v>0</c:v>
                </c:pt>
                <c:pt idx="70">
                  <c:v>108137</c:v>
                </c:pt>
                <c:pt idx="71">
                  <c:v>0</c:v>
                </c:pt>
                <c:pt idx="72">
                  <c:v>0</c:v>
                </c:pt>
                <c:pt idx="73">
                  <c:v>110616</c:v>
                </c:pt>
                <c:pt idx="74">
                  <c:v>0</c:v>
                </c:pt>
                <c:pt idx="75">
                  <c:v>129905</c:v>
                </c:pt>
                <c:pt idx="76">
                  <c:v>0</c:v>
                </c:pt>
                <c:pt idx="77">
                  <c:v>0</c:v>
                </c:pt>
                <c:pt idx="78">
                  <c:v>140732</c:v>
                </c:pt>
                <c:pt idx="79">
                  <c:v>0</c:v>
                </c:pt>
                <c:pt idx="80">
                  <c:v>141869</c:v>
                </c:pt>
                <c:pt idx="81">
                  <c:v>0</c:v>
                </c:pt>
                <c:pt idx="82">
                  <c:v>0</c:v>
                </c:pt>
                <c:pt idx="83">
                  <c:v>155226</c:v>
                </c:pt>
                <c:pt idx="84">
                  <c:v>0</c:v>
                </c:pt>
                <c:pt idx="85">
                  <c:v>0</c:v>
                </c:pt>
                <c:pt idx="86">
                  <c:v>153646</c:v>
                </c:pt>
                <c:pt idx="87">
                  <c:v>0</c:v>
                </c:pt>
                <c:pt idx="88">
                  <c:v>149608</c:v>
                </c:pt>
                <c:pt idx="89">
                  <c:v>0</c:v>
                </c:pt>
                <c:pt idx="90">
                  <c:v>0</c:v>
                </c:pt>
                <c:pt idx="91">
                  <c:v>157309</c:v>
                </c:pt>
                <c:pt idx="92">
                  <c:v>0</c:v>
                </c:pt>
                <c:pt idx="93">
                  <c:v>142751</c:v>
                </c:pt>
                <c:pt idx="94">
                  <c:v>0</c:v>
                </c:pt>
                <c:pt idx="95">
                  <c:v>0</c:v>
                </c:pt>
                <c:pt idx="96">
                  <c:v>140997</c:v>
                </c:pt>
                <c:pt idx="97">
                  <c:v>0</c:v>
                </c:pt>
                <c:pt idx="98">
                  <c:v>140574</c:v>
                </c:pt>
                <c:pt idx="99">
                  <c:v>0</c:v>
                </c:pt>
                <c:pt idx="100">
                  <c:v>0</c:v>
                </c:pt>
                <c:pt idx="101">
                  <c:v>135085</c:v>
                </c:pt>
                <c:pt idx="102">
                  <c:v>0</c:v>
                </c:pt>
                <c:pt idx="103">
                  <c:v>0</c:v>
                </c:pt>
                <c:pt idx="104">
                  <c:v>128755</c:v>
                </c:pt>
                <c:pt idx="105">
                  <c:v>0</c:v>
                </c:pt>
                <c:pt idx="106">
                  <c:v>128654</c:v>
                </c:pt>
                <c:pt idx="107">
                  <c:v>0</c:v>
                </c:pt>
                <c:pt idx="108">
                  <c:v>0</c:v>
                </c:pt>
                <c:pt idx="109">
                  <c:v>129497</c:v>
                </c:pt>
                <c:pt idx="110">
                  <c:v>0</c:v>
                </c:pt>
                <c:pt idx="111">
                  <c:v>130554</c:v>
                </c:pt>
                <c:pt idx="112">
                  <c:v>0</c:v>
                </c:pt>
                <c:pt idx="113">
                  <c:v>0</c:v>
                </c:pt>
                <c:pt idx="114">
                  <c:v>142582</c:v>
                </c:pt>
                <c:pt idx="115">
                  <c:v>0</c:v>
                </c:pt>
                <c:pt idx="116">
                  <c:v>129031</c:v>
                </c:pt>
                <c:pt idx="117">
                  <c:v>0</c:v>
                </c:pt>
                <c:pt idx="118">
                  <c:v>0</c:v>
                </c:pt>
                <c:pt idx="119">
                  <c:v>124855</c:v>
                </c:pt>
                <c:pt idx="120">
                  <c:v>0</c:v>
                </c:pt>
                <c:pt idx="121">
                  <c:v>0</c:v>
                </c:pt>
                <c:pt idx="122">
                  <c:v>119221</c:v>
                </c:pt>
                <c:pt idx="123">
                  <c:v>0</c:v>
                </c:pt>
                <c:pt idx="124">
                  <c:v>105775</c:v>
                </c:pt>
                <c:pt idx="125">
                  <c:v>0</c:v>
                </c:pt>
                <c:pt idx="126">
                  <c:v>0</c:v>
                </c:pt>
                <c:pt idx="127">
                  <c:v>103871</c:v>
                </c:pt>
                <c:pt idx="128">
                  <c:v>0</c:v>
                </c:pt>
                <c:pt idx="129">
                  <c:v>94617</c:v>
                </c:pt>
                <c:pt idx="130">
                  <c:v>0</c:v>
                </c:pt>
                <c:pt idx="131">
                  <c:v>0</c:v>
                </c:pt>
                <c:pt idx="132">
                  <c:v>78259</c:v>
                </c:pt>
                <c:pt idx="133">
                  <c:v>0</c:v>
                </c:pt>
                <c:pt idx="134">
                  <c:v>79696</c:v>
                </c:pt>
                <c:pt idx="135">
                  <c:v>0</c:v>
                </c:pt>
                <c:pt idx="136">
                  <c:v>0</c:v>
                </c:pt>
                <c:pt idx="137">
                  <c:v>66085</c:v>
                </c:pt>
                <c:pt idx="138">
                  <c:v>0</c:v>
                </c:pt>
                <c:pt idx="139">
                  <c:v>0</c:v>
                </c:pt>
                <c:pt idx="140">
                  <c:v>64668</c:v>
                </c:pt>
                <c:pt idx="141">
                  <c:v>0</c:v>
                </c:pt>
                <c:pt idx="142">
                  <c:v>59695</c:v>
                </c:pt>
                <c:pt idx="143">
                  <c:v>0</c:v>
                </c:pt>
                <c:pt idx="144">
                  <c:v>0</c:v>
                </c:pt>
                <c:pt idx="145">
                  <c:v>49592</c:v>
                </c:pt>
                <c:pt idx="146">
                  <c:v>0</c:v>
                </c:pt>
                <c:pt idx="147">
                  <c:v>44277</c:v>
                </c:pt>
                <c:pt idx="148">
                  <c:v>0</c:v>
                </c:pt>
                <c:pt idx="149">
                  <c:v>0</c:v>
                </c:pt>
                <c:pt idx="150">
                  <c:v>45443</c:v>
                </c:pt>
                <c:pt idx="151">
                  <c:v>0</c:v>
                </c:pt>
                <c:pt idx="152">
                  <c:v>36179</c:v>
                </c:pt>
                <c:pt idx="153">
                  <c:v>0</c:v>
                </c:pt>
                <c:pt idx="154">
                  <c:v>0</c:v>
                </c:pt>
                <c:pt idx="155">
                  <c:v>32010</c:v>
                </c:pt>
                <c:pt idx="156">
                  <c:v>0</c:v>
                </c:pt>
                <c:pt idx="157">
                  <c:v>0</c:v>
                </c:pt>
                <c:pt idx="158">
                  <c:v>32243</c:v>
                </c:pt>
                <c:pt idx="159">
                  <c:v>0</c:v>
                </c:pt>
                <c:pt idx="160">
                  <c:v>27611</c:v>
                </c:pt>
                <c:pt idx="161">
                  <c:v>0</c:v>
                </c:pt>
                <c:pt idx="162">
                  <c:v>0</c:v>
                </c:pt>
                <c:pt idx="163">
                  <c:v>26518</c:v>
                </c:pt>
                <c:pt idx="164">
                  <c:v>0</c:v>
                </c:pt>
                <c:pt idx="165">
                  <c:v>21483</c:v>
                </c:pt>
                <c:pt idx="166">
                  <c:v>0</c:v>
                </c:pt>
                <c:pt idx="167">
                  <c:v>0</c:v>
                </c:pt>
                <c:pt idx="168">
                  <c:v>22126</c:v>
                </c:pt>
                <c:pt idx="169">
                  <c:v>0</c:v>
                </c:pt>
                <c:pt idx="170">
                  <c:v>0</c:v>
                </c:pt>
                <c:pt idx="171">
                  <c:v>12321</c:v>
                </c:pt>
                <c:pt idx="172">
                  <c:v>0</c:v>
                </c:pt>
                <c:pt idx="173">
                  <c:v>10381</c:v>
                </c:pt>
                <c:pt idx="174">
                  <c:v>0</c:v>
                </c:pt>
                <c:pt idx="175">
                  <c:v>0</c:v>
                </c:pt>
                <c:pt idx="176">
                  <c:v>6162</c:v>
                </c:pt>
                <c:pt idx="177">
                  <c:v>0</c:v>
                </c:pt>
                <c:pt idx="178">
                  <c:v>3456</c:v>
                </c:pt>
                <c:pt idx="179">
                  <c:v>0</c:v>
                </c:pt>
                <c:pt idx="180">
                  <c:v>0</c:v>
                </c:pt>
                <c:pt idx="181">
                  <c:v>2609</c:v>
                </c:pt>
                <c:pt idx="182">
                  <c:v>0</c:v>
                </c:pt>
                <c:pt idx="183">
                  <c:v>1012</c:v>
                </c:pt>
                <c:pt idx="184">
                  <c:v>0</c:v>
                </c:pt>
                <c:pt idx="185">
                  <c:v>0</c:v>
                </c:pt>
                <c:pt idx="186">
                  <c:v>841</c:v>
                </c:pt>
                <c:pt idx="187">
                  <c:v>0</c:v>
                </c:pt>
                <c:pt idx="188">
                  <c:v>0</c:v>
                </c:pt>
                <c:pt idx="189">
                  <c:v>257</c:v>
                </c:pt>
                <c:pt idx="190">
                  <c:v>0</c:v>
                </c:pt>
                <c:pt idx="191">
                  <c:v>173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0.17307234663709431</c:v>
                </c:pt>
                <c:pt idx="1">
                  <c:v>0.35068509861368258</c:v>
                </c:pt>
                <c:pt idx="2">
                  <c:v>0.47624255474922311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0.54826571454915696</c:v>
                </c:pt>
                <c:pt idx="1">
                  <c:v>0.24542324830115236</c:v>
                </c:pt>
                <c:pt idx="2">
                  <c:v>0.20631103714969082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6.5486500000000003</c:v>
                </c:pt>
                <c:pt idx="1">
                  <c:v>20.415205</c:v>
                </c:pt>
                <c:pt idx="2">
                  <c:v>27.619350000000001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0.37495600000000001</c:v>
                </c:pt>
                <c:pt idx="2">
                  <c:v>0.77658099999999997</c:v>
                </c:pt>
                <c:pt idx="3">
                  <c:v>1.1829000000000001</c:v>
                </c:pt>
                <c:pt idx="4">
                  <c:v>1.5906199999999999</c:v>
                </c:pt>
                <c:pt idx="5">
                  <c:v>2.0009000000000001</c:v>
                </c:pt>
                <c:pt idx="6">
                  <c:v>2.4041899999999998</c:v>
                </c:pt>
                <c:pt idx="7">
                  <c:v>2.8087800000000001</c:v>
                </c:pt>
                <c:pt idx="8">
                  <c:v>3.2154500000000001</c:v>
                </c:pt>
                <c:pt idx="9">
                  <c:v>3.6226400000000001</c:v>
                </c:pt>
                <c:pt idx="10">
                  <c:v>4.0308200000000003</c:v>
                </c:pt>
                <c:pt idx="11">
                  <c:v>4.43309</c:v>
                </c:pt>
                <c:pt idx="12">
                  <c:v>4.8399000000000001</c:v>
                </c:pt>
                <c:pt idx="13">
                  <c:v>5.2475899999999998</c:v>
                </c:pt>
                <c:pt idx="14">
                  <c:v>5.6538300000000001</c:v>
                </c:pt>
                <c:pt idx="15">
                  <c:v>6.0609599999999997</c:v>
                </c:pt>
                <c:pt idx="16">
                  <c:v>6.46875</c:v>
                </c:pt>
                <c:pt idx="17">
                  <c:v>6.8724499999999997</c:v>
                </c:pt>
                <c:pt idx="18">
                  <c:v>7.2775800000000004</c:v>
                </c:pt>
                <c:pt idx="19">
                  <c:v>7.6849499999999997</c:v>
                </c:pt>
                <c:pt idx="20">
                  <c:v>8.0916399999999999</c:v>
                </c:pt>
                <c:pt idx="21">
                  <c:v>8.4984800000000007</c:v>
                </c:pt>
                <c:pt idx="22">
                  <c:v>8.9064800000000002</c:v>
                </c:pt>
                <c:pt idx="23">
                  <c:v>9.3103599999999993</c:v>
                </c:pt>
                <c:pt idx="24">
                  <c:v>9.7147199999999998</c:v>
                </c:pt>
                <c:pt idx="25">
                  <c:v>10.1249</c:v>
                </c:pt>
                <c:pt idx="26">
                  <c:v>10.530099999999999</c:v>
                </c:pt>
                <c:pt idx="27">
                  <c:v>10.934900000000001</c:v>
                </c:pt>
                <c:pt idx="28">
                  <c:v>11.3398</c:v>
                </c:pt>
                <c:pt idx="29">
                  <c:v>11.746700000000001</c:v>
                </c:pt>
                <c:pt idx="30">
                  <c:v>12.1549</c:v>
                </c:pt>
                <c:pt idx="31">
                  <c:v>12.5616</c:v>
                </c:pt>
                <c:pt idx="32">
                  <c:v>12.967000000000001</c:v>
                </c:pt>
                <c:pt idx="33">
                  <c:v>13.370699999999999</c:v>
                </c:pt>
                <c:pt idx="34">
                  <c:v>13.7805</c:v>
                </c:pt>
                <c:pt idx="35">
                  <c:v>14.1875</c:v>
                </c:pt>
                <c:pt idx="36">
                  <c:v>14.590299999999999</c:v>
                </c:pt>
                <c:pt idx="37">
                  <c:v>14.9961</c:v>
                </c:pt>
                <c:pt idx="38">
                  <c:v>15.403499999999999</c:v>
                </c:pt>
                <c:pt idx="39">
                  <c:v>15.8072</c:v>
                </c:pt>
                <c:pt idx="40">
                  <c:v>16.217500000000001</c:v>
                </c:pt>
                <c:pt idx="41">
                  <c:v>16.6218</c:v>
                </c:pt>
                <c:pt idx="42">
                  <c:v>17.031099999999999</c:v>
                </c:pt>
                <c:pt idx="43">
                  <c:v>17.433900000000001</c:v>
                </c:pt>
                <c:pt idx="44">
                  <c:v>17.839600000000001</c:v>
                </c:pt>
                <c:pt idx="45">
                  <c:v>18.2484</c:v>
                </c:pt>
                <c:pt idx="46">
                  <c:v>18.653300000000002</c:v>
                </c:pt>
                <c:pt idx="47">
                  <c:v>19.059899999999999</c:v>
                </c:pt>
                <c:pt idx="48">
                  <c:v>19.4666</c:v>
                </c:pt>
                <c:pt idx="49">
                  <c:v>19.873999999999999</c:v>
                </c:pt>
                <c:pt idx="50">
                  <c:v>20.2788</c:v>
                </c:pt>
                <c:pt idx="51">
                  <c:v>20.686199999999999</c:v>
                </c:pt>
                <c:pt idx="52">
                  <c:v>21.090499999999999</c:v>
                </c:pt>
                <c:pt idx="53">
                  <c:v>21.498699999999999</c:v>
                </c:pt>
                <c:pt idx="54">
                  <c:v>21.904599999999999</c:v>
                </c:pt>
                <c:pt idx="55">
                  <c:v>22.311699999999998</c:v>
                </c:pt>
                <c:pt idx="56">
                  <c:v>22.7163</c:v>
                </c:pt>
                <c:pt idx="57">
                  <c:v>23.122800000000002</c:v>
                </c:pt>
                <c:pt idx="58">
                  <c:v>23.527799999999999</c:v>
                </c:pt>
                <c:pt idx="59">
                  <c:v>23.9345</c:v>
                </c:pt>
                <c:pt idx="60">
                  <c:v>24.3443</c:v>
                </c:pt>
                <c:pt idx="61">
                  <c:v>24.749099999999999</c:v>
                </c:pt>
                <c:pt idx="62">
                  <c:v>25.150300000000001</c:v>
                </c:pt>
                <c:pt idx="63">
                  <c:v>25.558</c:v>
                </c:pt>
                <c:pt idx="64">
                  <c:v>25.968299999999999</c:v>
                </c:pt>
                <c:pt idx="65">
                  <c:v>26.373999999999999</c:v>
                </c:pt>
                <c:pt idx="66">
                  <c:v>26.776299999999999</c:v>
                </c:pt>
                <c:pt idx="67">
                  <c:v>27.183599999999998</c:v>
                </c:pt>
                <c:pt idx="68">
                  <c:v>27.590900000000001</c:v>
                </c:pt>
                <c:pt idx="69">
                  <c:v>28.002700000000001</c:v>
                </c:pt>
                <c:pt idx="70">
                  <c:v>28.404900000000001</c:v>
                </c:pt>
                <c:pt idx="71">
                  <c:v>28.808299999999999</c:v>
                </c:pt>
                <c:pt idx="72">
                  <c:v>29.2149</c:v>
                </c:pt>
                <c:pt idx="73">
                  <c:v>29.621400000000001</c:v>
                </c:pt>
                <c:pt idx="74">
                  <c:v>30.029599999999999</c:v>
                </c:pt>
                <c:pt idx="75">
                  <c:v>30.499199999999998</c:v>
                </c:pt>
                <c:pt idx="76">
                  <c:v>30.904399999999999</c:v>
                </c:pt>
                <c:pt idx="77">
                  <c:v>31.294899999999998</c:v>
                </c:pt>
                <c:pt idx="78">
                  <c:v>31.699100000000001</c:v>
                </c:pt>
                <c:pt idx="79">
                  <c:v>32.109699999999997</c:v>
                </c:pt>
                <c:pt idx="80">
                  <c:v>32.5137</c:v>
                </c:pt>
                <c:pt idx="81">
                  <c:v>32.922699999999999</c:v>
                </c:pt>
                <c:pt idx="82">
                  <c:v>33.326999999999998</c:v>
                </c:pt>
                <c:pt idx="83">
                  <c:v>33.7346</c:v>
                </c:pt>
                <c:pt idx="84">
                  <c:v>34.135599999999997</c:v>
                </c:pt>
                <c:pt idx="85">
                  <c:v>34.545000000000002</c:v>
                </c:pt>
                <c:pt idx="86">
                  <c:v>34.952800000000003</c:v>
                </c:pt>
                <c:pt idx="87">
                  <c:v>35.36</c:v>
                </c:pt>
                <c:pt idx="88">
                  <c:v>35.761699999999998</c:v>
                </c:pt>
                <c:pt idx="89">
                  <c:v>36.1708</c:v>
                </c:pt>
                <c:pt idx="90">
                  <c:v>36.576999999999998</c:v>
                </c:pt>
                <c:pt idx="91">
                  <c:v>36.981400000000001</c:v>
                </c:pt>
                <c:pt idx="92">
                  <c:v>37.389299999999999</c:v>
                </c:pt>
                <c:pt idx="93">
                  <c:v>37.7986</c:v>
                </c:pt>
                <c:pt idx="94">
                  <c:v>38.200299999999999</c:v>
                </c:pt>
                <c:pt idx="95">
                  <c:v>38.607599999999998</c:v>
                </c:pt>
                <c:pt idx="96">
                  <c:v>39.014299999999999</c:v>
                </c:pt>
                <c:pt idx="97">
                  <c:v>39.416600000000003</c:v>
                </c:pt>
                <c:pt idx="98">
                  <c:v>39.825499999999998</c:v>
                </c:pt>
                <c:pt idx="99">
                  <c:v>40.230600000000003</c:v>
                </c:pt>
                <c:pt idx="100">
                  <c:v>40.641399999999997</c:v>
                </c:pt>
                <c:pt idx="101">
                  <c:v>41.045499999999997</c:v>
                </c:pt>
                <c:pt idx="102">
                  <c:v>41.450299999999999</c:v>
                </c:pt>
                <c:pt idx="103">
                  <c:v>41.857300000000002</c:v>
                </c:pt>
                <c:pt idx="104">
                  <c:v>42.262099999999997</c:v>
                </c:pt>
                <c:pt idx="105">
                  <c:v>42.669899999999998</c:v>
                </c:pt>
                <c:pt idx="106">
                  <c:v>43.077100000000002</c:v>
                </c:pt>
                <c:pt idx="107">
                  <c:v>43.4816</c:v>
                </c:pt>
                <c:pt idx="108">
                  <c:v>43.887799999999999</c:v>
                </c:pt>
                <c:pt idx="109">
                  <c:v>44.294499999999999</c:v>
                </c:pt>
                <c:pt idx="110">
                  <c:v>44.699599999999997</c:v>
                </c:pt>
                <c:pt idx="111">
                  <c:v>45.108899999999998</c:v>
                </c:pt>
                <c:pt idx="112">
                  <c:v>45.512300000000003</c:v>
                </c:pt>
                <c:pt idx="113">
                  <c:v>45.9193</c:v>
                </c:pt>
                <c:pt idx="114">
                  <c:v>46.323999999999998</c:v>
                </c:pt>
                <c:pt idx="115">
                  <c:v>46.732399999999998</c:v>
                </c:pt>
                <c:pt idx="116">
                  <c:v>47.137900000000002</c:v>
                </c:pt>
                <c:pt idx="117">
                  <c:v>47.5426</c:v>
                </c:pt>
                <c:pt idx="118">
                  <c:v>47.947800000000001</c:v>
                </c:pt>
                <c:pt idx="119">
                  <c:v>48.356200000000001</c:v>
                </c:pt>
                <c:pt idx="120">
                  <c:v>48.762900000000002</c:v>
                </c:pt>
                <c:pt idx="121">
                  <c:v>49.171100000000003</c:v>
                </c:pt>
                <c:pt idx="122">
                  <c:v>49.575000000000003</c:v>
                </c:pt>
                <c:pt idx="123">
                  <c:v>49.980200000000004</c:v>
                </c:pt>
                <c:pt idx="124">
                  <c:v>50.385899999999999</c:v>
                </c:pt>
                <c:pt idx="125">
                  <c:v>50.793399999999998</c:v>
                </c:pt>
                <c:pt idx="126">
                  <c:v>51.206699999999998</c:v>
                </c:pt>
                <c:pt idx="127">
                  <c:v>51.605699999999999</c:v>
                </c:pt>
                <c:pt idx="128">
                  <c:v>52.011499999999998</c:v>
                </c:pt>
                <c:pt idx="129">
                  <c:v>52.418900000000001</c:v>
                </c:pt>
                <c:pt idx="130">
                  <c:v>52.826999999999998</c:v>
                </c:pt>
                <c:pt idx="131">
                  <c:v>53.2333</c:v>
                </c:pt>
                <c:pt idx="132">
                  <c:v>53.6389</c:v>
                </c:pt>
                <c:pt idx="133">
                  <c:v>54.044199999999996</c:v>
                </c:pt>
                <c:pt idx="134">
                  <c:v>54.447899999999997</c:v>
                </c:pt>
                <c:pt idx="135">
                  <c:v>54.859099999999998</c:v>
                </c:pt>
                <c:pt idx="136">
                  <c:v>55.264499999999998</c:v>
                </c:pt>
                <c:pt idx="137">
                  <c:v>55.670400000000001</c:v>
                </c:pt>
                <c:pt idx="138">
                  <c:v>56.073799999999999</c:v>
                </c:pt>
                <c:pt idx="139">
                  <c:v>56.484699999999997</c:v>
                </c:pt>
                <c:pt idx="140">
                  <c:v>56.890900000000002</c:v>
                </c:pt>
                <c:pt idx="141">
                  <c:v>57.294400000000003</c:v>
                </c:pt>
                <c:pt idx="142">
                  <c:v>57.703099999999999</c:v>
                </c:pt>
                <c:pt idx="143">
                  <c:v>58.106900000000003</c:v>
                </c:pt>
                <c:pt idx="144">
                  <c:v>58.514699999999998</c:v>
                </c:pt>
                <c:pt idx="145">
                  <c:v>58.9253</c:v>
                </c:pt>
                <c:pt idx="146">
                  <c:v>59.327100000000002</c:v>
                </c:pt>
                <c:pt idx="147">
                  <c:v>59.73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2.30775</c:v>
                </c:pt>
                <c:pt idx="1">
                  <c:v>2.35229</c:v>
                </c:pt>
                <c:pt idx="2">
                  <c:v>2.3943600000000003</c:v>
                </c:pt>
                <c:pt idx="3">
                  <c:v>2.43526</c:v>
                </c:pt>
                <c:pt idx="4">
                  <c:v>2.4740000000000002</c:v>
                </c:pt>
                <c:pt idx="5">
                  <c:v>2.51112</c:v>
                </c:pt>
                <c:pt idx="6">
                  <c:v>2.5469399999999998</c:v>
                </c:pt>
                <c:pt idx="7">
                  <c:v>2.58195</c:v>
                </c:pt>
                <c:pt idx="8">
                  <c:v>2.6153500000000003</c:v>
                </c:pt>
                <c:pt idx="9">
                  <c:v>2.6466499999999997</c:v>
                </c:pt>
                <c:pt idx="10">
                  <c:v>2.6753100000000001</c:v>
                </c:pt>
                <c:pt idx="11">
                  <c:v>2.7013100000000003</c:v>
                </c:pt>
                <c:pt idx="12">
                  <c:v>2.7202100000000002</c:v>
                </c:pt>
                <c:pt idx="13">
                  <c:v>2.7363300000000002</c:v>
                </c:pt>
                <c:pt idx="14">
                  <c:v>2.74892</c:v>
                </c:pt>
                <c:pt idx="15">
                  <c:v>2.7579599999999997</c:v>
                </c:pt>
                <c:pt idx="16">
                  <c:v>2.7645199999999996</c:v>
                </c:pt>
                <c:pt idx="17">
                  <c:v>2.7673700000000001</c:v>
                </c:pt>
                <c:pt idx="18">
                  <c:v>2.7680600000000002</c:v>
                </c:pt>
                <c:pt idx="19">
                  <c:v>2.7656299999999998</c:v>
                </c:pt>
                <c:pt idx="20">
                  <c:v>2.7620699999999996</c:v>
                </c:pt>
                <c:pt idx="21">
                  <c:v>2.7587800000000002</c:v>
                </c:pt>
                <c:pt idx="22">
                  <c:v>2.7562899999999999</c:v>
                </c:pt>
                <c:pt idx="23">
                  <c:v>2.7549899999999998</c:v>
                </c:pt>
                <c:pt idx="24">
                  <c:v>2.7528700000000002</c:v>
                </c:pt>
                <c:pt idx="25">
                  <c:v>2.7487499999999998</c:v>
                </c:pt>
                <c:pt idx="26">
                  <c:v>2.7430399999999997</c:v>
                </c:pt>
                <c:pt idx="27">
                  <c:v>2.7362299999999999</c:v>
                </c:pt>
                <c:pt idx="28">
                  <c:v>2.7288099999999997</c:v>
                </c:pt>
                <c:pt idx="29">
                  <c:v>2.7208300000000003</c:v>
                </c:pt>
                <c:pt idx="30">
                  <c:v>2.7114700000000003</c:v>
                </c:pt>
                <c:pt idx="31">
                  <c:v>2.6999299999999997</c:v>
                </c:pt>
                <c:pt idx="32">
                  <c:v>2.6900200000000001</c:v>
                </c:pt>
                <c:pt idx="33">
                  <c:v>2.6795299999999997</c:v>
                </c:pt>
                <c:pt idx="34">
                  <c:v>2.6690700000000001</c:v>
                </c:pt>
                <c:pt idx="35">
                  <c:v>2.6584400000000001</c:v>
                </c:pt>
                <c:pt idx="36">
                  <c:v>2.64961</c:v>
                </c:pt>
                <c:pt idx="37">
                  <c:v>2.6483099999999999</c:v>
                </c:pt>
                <c:pt idx="38">
                  <c:v>2.6490599999999995</c:v>
                </c:pt>
                <c:pt idx="39">
                  <c:v>2.6565899999999996</c:v>
                </c:pt>
                <c:pt idx="40">
                  <c:v>2.6695799999999998</c:v>
                </c:pt>
                <c:pt idx="41">
                  <c:v>2.68716</c:v>
                </c:pt>
                <c:pt idx="42">
                  <c:v>2.7083499999999998</c:v>
                </c:pt>
                <c:pt idx="43">
                  <c:v>2.7325700000000004</c:v>
                </c:pt>
                <c:pt idx="44">
                  <c:v>2.7581199999999999</c:v>
                </c:pt>
                <c:pt idx="45">
                  <c:v>2.7835000000000001</c:v>
                </c:pt>
                <c:pt idx="46">
                  <c:v>2.8079999999999998</c:v>
                </c:pt>
                <c:pt idx="47">
                  <c:v>2.8304800000000001</c:v>
                </c:pt>
                <c:pt idx="48">
                  <c:v>2.8529300000000002</c:v>
                </c:pt>
                <c:pt idx="49">
                  <c:v>2.87812</c:v>
                </c:pt>
                <c:pt idx="50">
                  <c:v>2.8966099999999999</c:v>
                </c:pt>
                <c:pt idx="51">
                  <c:v>2.9319899999999999</c:v>
                </c:pt>
                <c:pt idx="52">
                  <c:v>2.9729699999999997</c:v>
                </c:pt>
                <c:pt idx="53">
                  <c:v>3.0357400000000001</c:v>
                </c:pt>
                <c:pt idx="54">
                  <c:v>3.0666599999999997</c:v>
                </c:pt>
                <c:pt idx="55">
                  <c:v>3.1386099999999999</c:v>
                </c:pt>
                <c:pt idx="56">
                  <c:v>3.1954199999999999</c:v>
                </c:pt>
                <c:pt idx="57">
                  <c:v>3.2326600000000001</c:v>
                </c:pt>
                <c:pt idx="58">
                  <c:v>3.2898000000000001</c:v>
                </c:pt>
                <c:pt idx="59">
                  <c:v>3.34775</c:v>
                </c:pt>
                <c:pt idx="60">
                  <c:v>3.42543</c:v>
                </c:pt>
                <c:pt idx="61">
                  <c:v>3.4809400000000004</c:v>
                </c:pt>
                <c:pt idx="62">
                  <c:v>3.5196499999999995</c:v>
                </c:pt>
                <c:pt idx="63">
                  <c:v>3.5733600000000001</c:v>
                </c:pt>
                <c:pt idx="64">
                  <c:v>3.63585</c:v>
                </c:pt>
                <c:pt idx="65">
                  <c:v>3.6832399999999996</c:v>
                </c:pt>
                <c:pt idx="66">
                  <c:v>3.7181999999999999</c:v>
                </c:pt>
                <c:pt idx="67">
                  <c:v>3.7739799999999999</c:v>
                </c:pt>
                <c:pt idx="68">
                  <c:v>3.8067200000000003</c:v>
                </c:pt>
                <c:pt idx="69">
                  <c:v>3.8541500000000002</c:v>
                </c:pt>
                <c:pt idx="70">
                  <c:v>3.8845800000000001</c:v>
                </c:pt>
                <c:pt idx="71">
                  <c:v>3.9214199999999999</c:v>
                </c:pt>
                <c:pt idx="72">
                  <c:v>3.9507700000000003</c:v>
                </c:pt>
                <c:pt idx="73">
                  <c:v>3.9776199999999999</c:v>
                </c:pt>
                <c:pt idx="74">
                  <c:v>4.0031699999999999</c:v>
                </c:pt>
                <c:pt idx="75">
                  <c:v>4.0209899999999994</c:v>
                </c:pt>
                <c:pt idx="76">
                  <c:v>4.0350599999999996</c:v>
                </c:pt>
                <c:pt idx="77">
                  <c:v>4.0454400000000001</c:v>
                </c:pt>
                <c:pt idx="78">
                  <c:v>4.0532500000000002</c:v>
                </c:pt>
                <c:pt idx="79">
                  <c:v>4.0602900000000002</c:v>
                </c:pt>
                <c:pt idx="80">
                  <c:v>4.0676499999999995</c:v>
                </c:pt>
                <c:pt idx="81">
                  <c:v>4.0731200000000003</c:v>
                </c:pt>
                <c:pt idx="82">
                  <c:v>4.0784000000000002</c:v>
                </c:pt>
                <c:pt idx="83">
                  <c:v>4.0854099999999995</c:v>
                </c:pt>
                <c:pt idx="84">
                  <c:v>4.0943800000000001</c:v>
                </c:pt>
                <c:pt idx="85">
                  <c:v>4.1049100000000003</c:v>
                </c:pt>
                <c:pt idx="86">
                  <c:v>4.1168500000000003</c:v>
                </c:pt>
                <c:pt idx="87">
                  <c:v>4.1277100000000004</c:v>
                </c:pt>
                <c:pt idx="88">
                  <c:v>4.1366399999999999</c:v>
                </c:pt>
                <c:pt idx="89">
                  <c:v>4.1435599999999999</c:v>
                </c:pt>
                <c:pt idx="90">
                  <c:v>4.1476600000000001</c:v>
                </c:pt>
                <c:pt idx="91">
                  <c:v>4.1471200000000001</c:v>
                </c:pt>
                <c:pt idx="92">
                  <c:v>4.1426800000000004</c:v>
                </c:pt>
                <c:pt idx="93">
                  <c:v>4.1367399999999996</c:v>
                </c:pt>
                <c:pt idx="94">
                  <c:v>4.13028</c:v>
                </c:pt>
                <c:pt idx="95">
                  <c:v>4.1249000000000002</c:v>
                </c:pt>
                <c:pt idx="96">
                  <c:v>4.1193999999999997</c:v>
                </c:pt>
                <c:pt idx="97">
                  <c:v>4.1146500000000001</c:v>
                </c:pt>
                <c:pt idx="98">
                  <c:v>4.1083799999999995</c:v>
                </c:pt>
                <c:pt idx="99">
                  <c:v>4.0999799999999995</c:v>
                </c:pt>
                <c:pt idx="100">
                  <c:v>4.0902899999999995</c:v>
                </c:pt>
                <c:pt idx="101">
                  <c:v>4.0785599999999995</c:v>
                </c:pt>
                <c:pt idx="102">
                  <c:v>4.0648900000000001</c:v>
                </c:pt>
                <c:pt idx="103">
                  <c:v>4.0493299999999994</c:v>
                </c:pt>
                <c:pt idx="104">
                  <c:v>4.0324200000000001</c:v>
                </c:pt>
                <c:pt idx="105">
                  <c:v>4.0129999999999999</c:v>
                </c:pt>
                <c:pt idx="106">
                  <c:v>3.9930399999999997</c:v>
                </c:pt>
                <c:pt idx="107">
                  <c:v>3.9711800000000004</c:v>
                </c:pt>
                <c:pt idx="108">
                  <c:v>3.9440900000000001</c:v>
                </c:pt>
                <c:pt idx="109">
                  <c:v>3.91059</c:v>
                </c:pt>
                <c:pt idx="110">
                  <c:v>3.8712900000000001</c:v>
                </c:pt>
                <c:pt idx="111">
                  <c:v>3.8307700000000002</c:v>
                </c:pt>
                <c:pt idx="112">
                  <c:v>3.7899699999999998</c:v>
                </c:pt>
                <c:pt idx="113">
                  <c:v>3.7509300000000003</c:v>
                </c:pt>
                <c:pt idx="114">
                  <c:v>3.71408</c:v>
                </c:pt>
                <c:pt idx="115">
                  <c:v>3.6796600000000002</c:v>
                </c:pt>
                <c:pt idx="116">
                  <c:v>3.6506300000000005</c:v>
                </c:pt>
                <c:pt idx="117">
                  <c:v>3.6273300000000002</c:v>
                </c:pt>
                <c:pt idx="118">
                  <c:v>3.6084000000000001</c:v>
                </c:pt>
                <c:pt idx="119">
                  <c:v>3.59388</c:v>
                </c:pt>
                <c:pt idx="120">
                  <c:v>3.5795599999999999</c:v>
                </c:pt>
                <c:pt idx="121">
                  <c:v>3.5661500000000004</c:v>
                </c:pt>
                <c:pt idx="122">
                  <c:v>3.55315</c:v>
                </c:pt>
                <c:pt idx="123">
                  <c:v>3.5426200000000003</c:v>
                </c:pt>
                <c:pt idx="124">
                  <c:v>3.5314800000000002</c:v>
                </c:pt>
                <c:pt idx="125">
                  <c:v>3.5251300000000003</c:v>
                </c:pt>
                <c:pt idx="126">
                  <c:v>3.5228299999999999</c:v>
                </c:pt>
                <c:pt idx="127">
                  <c:v>3.52318</c:v>
                </c:pt>
                <c:pt idx="128">
                  <c:v>3.5267900000000001</c:v>
                </c:pt>
                <c:pt idx="129">
                  <c:v>3.52989</c:v>
                </c:pt>
                <c:pt idx="130">
                  <c:v>3.53199</c:v>
                </c:pt>
                <c:pt idx="131">
                  <c:v>3.5331000000000001</c:v>
                </c:pt>
                <c:pt idx="132">
                  <c:v>3.5346100000000003</c:v>
                </c:pt>
                <c:pt idx="133">
                  <c:v>3.53878</c:v>
                </c:pt>
                <c:pt idx="134">
                  <c:v>3.5478900000000002</c:v>
                </c:pt>
                <c:pt idx="135">
                  <c:v>3.5612599999999999</c:v>
                </c:pt>
                <c:pt idx="136">
                  <c:v>3.5756199999999998</c:v>
                </c:pt>
                <c:pt idx="137">
                  <c:v>3.5919400000000001</c:v>
                </c:pt>
                <c:pt idx="138">
                  <c:v>3.6083400000000001</c:v>
                </c:pt>
                <c:pt idx="139">
                  <c:v>3.6236200000000003</c:v>
                </c:pt>
                <c:pt idx="140">
                  <c:v>3.6398999999999999</c:v>
                </c:pt>
                <c:pt idx="141">
                  <c:v>3.65374</c:v>
                </c:pt>
                <c:pt idx="142">
                  <c:v>3.6642299999999999</c:v>
                </c:pt>
                <c:pt idx="143">
                  <c:v>3.66812</c:v>
                </c:pt>
                <c:pt idx="144">
                  <c:v>3.6590800000000003</c:v>
                </c:pt>
                <c:pt idx="145">
                  <c:v>3.6520200000000003</c:v>
                </c:pt>
                <c:pt idx="146">
                  <c:v>3.64534</c:v>
                </c:pt>
                <c:pt idx="147">
                  <c:v>3.6451699999999998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0.37495600000000001</c:v>
                </c:pt>
                <c:pt idx="2">
                  <c:v>0.77658099999999997</c:v>
                </c:pt>
                <c:pt idx="3">
                  <c:v>1.1829000000000001</c:v>
                </c:pt>
                <c:pt idx="4">
                  <c:v>1.5906199999999999</c:v>
                </c:pt>
                <c:pt idx="5">
                  <c:v>2.0009000000000001</c:v>
                </c:pt>
                <c:pt idx="6">
                  <c:v>2.4041899999999998</c:v>
                </c:pt>
                <c:pt idx="7">
                  <c:v>2.8087800000000001</c:v>
                </c:pt>
                <c:pt idx="8">
                  <c:v>3.2154500000000001</c:v>
                </c:pt>
                <c:pt idx="9">
                  <c:v>3.6226400000000001</c:v>
                </c:pt>
                <c:pt idx="10">
                  <c:v>4.0308200000000003</c:v>
                </c:pt>
                <c:pt idx="11">
                  <c:v>4.43309</c:v>
                </c:pt>
                <c:pt idx="12">
                  <c:v>4.8399000000000001</c:v>
                </c:pt>
                <c:pt idx="13">
                  <c:v>5.2475899999999998</c:v>
                </c:pt>
                <c:pt idx="14">
                  <c:v>5.6538300000000001</c:v>
                </c:pt>
                <c:pt idx="15">
                  <c:v>6.0609599999999997</c:v>
                </c:pt>
                <c:pt idx="16">
                  <c:v>6.46875</c:v>
                </c:pt>
                <c:pt idx="17">
                  <c:v>6.8724499999999997</c:v>
                </c:pt>
                <c:pt idx="18">
                  <c:v>7.2775800000000004</c:v>
                </c:pt>
                <c:pt idx="19">
                  <c:v>7.6849499999999997</c:v>
                </c:pt>
                <c:pt idx="20">
                  <c:v>8.0916399999999999</c:v>
                </c:pt>
                <c:pt idx="21">
                  <c:v>8.4984800000000007</c:v>
                </c:pt>
                <c:pt idx="22">
                  <c:v>8.9064800000000002</c:v>
                </c:pt>
                <c:pt idx="23">
                  <c:v>9.3103599999999993</c:v>
                </c:pt>
                <c:pt idx="24">
                  <c:v>9.7147199999999998</c:v>
                </c:pt>
                <c:pt idx="25">
                  <c:v>10.1249</c:v>
                </c:pt>
                <c:pt idx="26">
                  <c:v>10.530099999999999</c:v>
                </c:pt>
                <c:pt idx="27">
                  <c:v>10.934900000000001</c:v>
                </c:pt>
                <c:pt idx="28">
                  <c:v>11.3398</c:v>
                </c:pt>
                <c:pt idx="29">
                  <c:v>11.746700000000001</c:v>
                </c:pt>
                <c:pt idx="30">
                  <c:v>12.1549</c:v>
                </c:pt>
                <c:pt idx="31">
                  <c:v>12.5616</c:v>
                </c:pt>
                <c:pt idx="32">
                  <c:v>12.967000000000001</c:v>
                </c:pt>
                <c:pt idx="33">
                  <c:v>13.370699999999999</c:v>
                </c:pt>
                <c:pt idx="34">
                  <c:v>13.7805</c:v>
                </c:pt>
                <c:pt idx="35">
                  <c:v>14.1875</c:v>
                </c:pt>
                <c:pt idx="36">
                  <c:v>14.590299999999999</c:v>
                </c:pt>
                <c:pt idx="37">
                  <c:v>14.9961</c:v>
                </c:pt>
                <c:pt idx="38">
                  <c:v>15.403499999999999</c:v>
                </c:pt>
                <c:pt idx="39">
                  <c:v>15.8072</c:v>
                </c:pt>
                <c:pt idx="40">
                  <c:v>16.217500000000001</c:v>
                </c:pt>
                <c:pt idx="41">
                  <c:v>16.6218</c:v>
                </c:pt>
                <c:pt idx="42">
                  <c:v>17.031099999999999</c:v>
                </c:pt>
                <c:pt idx="43">
                  <c:v>17.433900000000001</c:v>
                </c:pt>
                <c:pt idx="44">
                  <c:v>17.839600000000001</c:v>
                </c:pt>
                <c:pt idx="45">
                  <c:v>18.2484</c:v>
                </c:pt>
                <c:pt idx="46">
                  <c:v>18.653300000000002</c:v>
                </c:pt>
                <c:pt idx="47">
                  <c:v>19.059899999999999</c:v>
                </c:pt>
                <c:pt idx="48">
                  <c:v>19.4666</c:v>
                </c:pt>
                <c:pt idx="49">
                  <c:v>19.873999999999999</c:v>
                </c:pt>
                <c:pt idx="50">
                  <c:v>20.2788</c:v>
                </c:pt>
                <c:pt idx="51">
                  <c:v>20.686199999999999</c:v>
                </c:pt>
                <c:pt idx="52">
                  <c:v>21.090499999999999</c:v>
                </c:pt>
                <c:pt idx="53">
                  <c:v>21.498699999999999</c:v>
                </c:pt>
                <c:pt idx="54">
                  <c:v>21.904599999999999</c:v>
                </c:pt>
                <c:pt idx="55">
                  <c:v>22.311699999999998</c:v>
                </c:pt>
                <c:pt idx="56">
                  <c:v>22.7163</c:v>
                </c:pt>
                <c:pt idx="57">
                  <c:v>23.122800000000002</c:v>
                </c:pt>
                <c:pt idx="58">
                  <c:v>23.527799999999999</c:v>
                </c:pt>
                <c:pt idx="59">
                  <c:v>23.9345</c:v>
                </c:pt>
                <c:pt idx="60">
                  <c:v>24.3443</c:v>
                </c:pt>
                <c:pt idx="61">
                  <c:v>24.749099999999999</c:v>
                </c:pt>
                <c:pt idx="62">
                  <c:v>25.150300000000001</c:v>
                </c:pt>
                <c:pt idx="63">
                  <c:v>25.558</c:v>
                </c:pt>
                <c:pt idx="64">
                  <c:v>25.968299999999999</c:v>
                </c:pt>
                <c:pt idx="65">
                  <c:v>26.373999999999999</c:v>
                </c:pt>
                <c:pt idx="66">
                  <c:v>26.776299999999999</c:v>
                </c:pt>
                <c:pt idx="67">
                  <c:v>27.183599999999998</c:v>
                </c:pt>
                <c:pt idx="68">
                  <c:v>27.590900000000001</c:v>
                </c:pt>
                <c:pt idx="69">
                  <c:v>28.002700000000001</c:v>
                </c:pt>
                <c:pt idx="70">
                  <c:v>28.404900000000001</c:v>
                </c:pt>
                <c:pt idx="71">
                  <c:v>28.808299999999999</c:v>
                </c:pt>
                <c:pt idx="72">
                  <c:v>29.2149</c:v>
                </c:pt>
                <c:pt idx="73">
                  <c:v>29.621400000000001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2.30775</c:v>
                </c:pt>
                <c:pt idx="1">
                  <c:v>2.35229</c:v>
                </c:pt>
                <c:pt idx="2">
                  <c:v>2.3943600000000003</c:v>
                </c:pt>
                <c:pt idx="3">
                  <c:v>2.43526</c:v>
                </c:pt>
                <c:pt idx="4">
                  <c:v>2.4740000000000002</c:v>
                </c:pt>
                <c:pt idx="5">
                  <c:v>2.51112</c:v>
                </c:pt>
                <c:pt idx="6">
                  <c:v>2.5469399999999998</c:v>
                </c:pt>
                <c:pt idx="7">
                  <c:v>2.58195</c:v>
                </c:pt>
                <c:pt idx="8">
                  <c:v>2.6153500000000003</c:v>
                </c:pt>
                <c:pt idx="9">
                  <c:v>2.6466499999999997</c:v>
                </c:pt>
                <c:pt idx="10">
                  <c:v>2.6753100000000001</c:v>
                </c:pt>
                <c:pt idx="11">
                  <c:v>2.7013100000000003</c:v>
                </c:pt>
                <c:pt idx="12">
                  <c:v>2.7202100000000002</c:v>
                </c:pt>
                <c:pt idx="13">
                  <c:v>2.7363300000000002</c:v>
                </c:pt>
                <c:pt idx="14">
                  <c:v>2.74892</c:v>
                </c:pt>
                <c:pt idx="15">
                  <c:v>2.7579599999999997</c:v>
                </c:pt>
                <c:pt idx="16">
                  <c:v>2.7645199999999996</c:v>
                </c:pt>
                <c:pt idx="17">
                  <c:v>2.7673700000000001</c:v>
                </c:pt>
                <c:pt idx="18">
                  <c:v>2.7680600000000002</c:v>
                </c:pt>
                <c:pt idx="19">
                  <c:v>2.7656299999999998</c:v>
                </c:pt>
                <c:pt idx="20">
                  <c:v>2.7620699999999996</c:v>
                </c:pt>
                <c:pt idx="21">
                  <c:v>2.7587800000000002</c:v>
                </c:pt>
                <c:pt idx="22">
                  <c:v>2.7562899999999999</c:v>
                </c:pt>
                <c:pt idx="23">
                  <c:v>2.7549899999999998</c:v>
                </c:pt>
                <c:pt idx="24">
                  <c:v>2.7528700000000002</c:v>
                </c:pt>
                <c:pt idx="25">
                  <c:v>2.7487499999999998</c:v>
                </c:pt>
                <c:pt idx="26">
                  <c:v>2.7430399999999997</c:v>
                </c:pt>
                <c:pt idx="27">
                  <c:v>2.7362299999999999</c:v>
                </c:pt>
                <c:pt idx="28">
                  <c:v>2.7288099999999997</c:v>
                </c:pt>
                <c:pt idx="29">
                  <c:v>2.7208300000000003</c:v>
                </c:pt>
                <c:pt idx="30">
                  <c:v>2.7114700000000003</c:v>
                </c:pt>
                <c:pt idx="31">
                  <c:v>2.6999299999999997</c:v>
                </c:pt>
                <c:pt idx="32">
                  <c:v>2.6900200000000001</c:v>
                </c:pt>
                <c:pt idx="33">
                  <c:v>2.6795299999999997</c:v>
                </c:pt>
                <c:pt idx="34">
                  <c:v>2.6690700000000001</c:v>
                </c:pt>
                <c:pt idx="35">
                  <c:v>2.6584400000000001</c:v>
                </c:pt>
                <c:pt idx="36">
                  <c:v>2.64961</c:v>
                </c:pt>
                <c:pt idx="37">
                  <c:v>2.6483099999999999</c:v>
                </c:pt>
                <c:pt idx="38">
                  <c:v>2.6490599999999995</c:v>
                </c:pt>
                <c:pt idx="39">
                  <c:v>2.6565899999999996</c:v>
                </c:pt>
                <c:pt idx="40">
                  <c:v>2.6695799999999998</c:v>
                </c:pt>
                <c:pt idx="41">
                  <c:v>2.68716</c:v>
                </c:pt>
                <c:pt idx="42">
                  <c:v>2.7083499999999998</c:v>
                </c:pt>
                <c:pt idx="43">
                  <c:v>2.7325700000000004</c:v>
                </c:pt>
                <c:pt idx="44">
                  <c:v>2.7581199999999999</c:v>
                </c:pt>
                <c:pt idx="45">
                  <c:v>2.7835000000000001</c:v>
                </c:pt>
                <c:pt idx="46">
                  <c:v>2.8079999999999998</c:v>
                </c:pt>
                <c:pt idx="47">
                  <c:v>2.8304800000000001</c:v>
                </c:pt>
                <c:pt idx="48">
                  <c:v>2.8529300000000002</c:v>
                </c:pt>
                <c:pt idx="49">
                  <c:v>2.87812</c:v>
                </c:pt>
                <c:pt idx="50">
                  <c:v>2.8966099999999999</c:v>
                </c:pt>
                <c:pt idx="51">
                  <c:v>2.9319899999999999</c:v>
                </c:pt>
                <c:pt idx="52">
                  <c:v>2.9729699999999997</c:v>
                </c:pt>
                <c:pt idx="53">
                  <c:v>3.0357400000000001</c:v>
                </c:pt>
                <c:pt idx="54">
                  <c:v>3.0666599999999997</c:v>
                </c:pt>
                <c:pt idx="55">
                  <c:v>3.1386099999999999</c:v>
                </c:pt>
                <c:pt idx="56">
                  <c:v>3.1954199999999999</c:v>
                </c:pt>
                <c:pt idx="57">
                  <c:v>3.2326600000000001</c:v>
                </c:pt>
                <c:pt idx="58">
                  <c:v>3.2898000000000001</c:v>
                </c:pt>
                <c:pt idx="59">
                  <c:v>3.34775</c:v>
                </c:pt>
                <c:pt idx="60">
                  <c:v>3.42543</c:v>
                </c:pt>
                <c:pt idx="61">
                  <c:v>3.4809400000000004</c:v>
                </c:pt>
                <c:pt idx="62">
                  <c:v>3.5196499999999995</c:v>
                </c:pt>
                <c:pt idx="63">
                  <c:v>3.5733600000000001</c:v>
                </c:pt>
                <c:pt idx="64">
                  <c:v>3.63585</c:v>
                </c:pt>
                <c:pt idx="65">
                  <c:v>3.6832399999999996</c:v>
                </c:pt>
                <c:pt idx="66">
                  <c:v>3.7181999999999999</c:v>
                </c:pt>
                <c:pt idx="67">
                  <c:v>3.7739799999999999</c:v>
                </c:pt>
                <c:pt idx="68">
                  <c:v>3.8067200000000003</c:v>
                </c:pt>
                <c:pt idx="69">
                  <c:v>3.8541500000000002</c:v>
                </c:pt>
                <c:pt idx="70">
                  <c:v>3.8845800000000001</c:v>
                </c:pt>
                <c:pt idx="71">
                  <c:v>3.9214199999999999</c:v>
                </c:pt>
                <c:pt idx="72">
                  <c:v>3.9507700000000003</c:v>
                </c:pt>
                <c:pt idx="73">
                  <c:v>3.9776199999999999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29.621400000000001</c:v>
                </c:pt>
                <c:pt idx="1">
                  <c:v>30.029599999999999</c:v>
                </c:pt>
                <c:pt idx="2">
                  <c:v>30.499199999999998</c:v>
                </c:pt>
                <c:pt idx="3">
                  <c:v>30.904399999999999</c:v>
                </c:pt>
                <c:pt idx="4">
                  <c:v>31.294899999999998</c:v>
                </c:pt>
                <c:pt idx="5">
                  <c:v>31.699100000000001</c:v>
                </c:pt>
                <c:pt idx="6">
                  <c:v>32.109699999999997</c:v>
                </c:pt>
                <c:pt idx="7">
                  <c:v>32.5137</c:v>
                </c:pt>
                <c:pt idx="8">
                  <c:v>32.922699999999999</c:v>
                </c:pt>
                <c:pt idx="9">
                  <c:v>33.326999999999998</c:v>
                </c:pt>
                <c:pt idx="10">
                  <c:v>33.7346</c:v>
                </c:pt>
                <c:pt idx="11">
                  <c:v>34.135599999999997</c:v>
                </c:pt>
                <c:pt idx="12">
                  <c:v>34.545000000000002</c:v>
                </c:pt>
                <c:pt idx="13">
                  <c:v>34.952800000000003</c:v>
                </c:pt>
                <c:pt idx="14">
                  <c:v>35.36</c:v>
                </c:pt>
                <c:pt idx="15">
                  <c:v>35.761699999999998</c:v>
                </c:pt>
                <c:pt idx="16">
                  <c:v>36.1708</c:v>
                </c:pt>
                <c:pt idx="17">
                  <c:v>36.576999999999998</c:v>
                </c:pt>
                <c:pt idx="18">
                  <c:v>36.981400000000001</c:v>
                </c:pt>
                <c:pt idx="19">
                  <c:v>37.389299999999999</c:v>
                </c:pt>
                <c:pt idx="20">
                  <c:v>37.7986</c:v>
                </c:pt>
                <c:pt idx="21">
                  <c:v>38.200299999999999</c:v>
                </c:pt>
                <c:pt idx="22">
                  <c:v>38.607599999999998</c:v>
                </c:pt>
                <c:pt idx="23">
                  <c:v>39.014299999999999</c:v>
                </c:pt>
                <c:pt idx="24">
                  <c:v>39.416600000000003</c:v>
                </c:pt>
                <c:pt idx="25">
                  <c:v>39.825499999999998</c:v>
                </c:pt>
                <c:pt idx="26">
                  <c:v>40.230600000000003</c:v>
                </c:pt>
                <c:pt idx="27">
                  <c:v>40.641399999999997</c:v>
                </c:pt>
                <c:pt idx="28">
                  <c:v>41.045499999999997</c:v>
                </c:pt>
                <c:pt idx="29">
                  <c:v>41.450299999999999</c:v>
                </c:pt>
                <c:pt idx="30">
                  <c:v>41.857300000000002</c:v>
                </c:pt>
                <c:pt idx="31">
                  <c:v>42.262099999999997</c:v>
                </c:pt>
                <c:pt idx="32">
                  <c:v>42.669899999999998</c:v>
                </c:pt>
                <c:pt idx="33">
                  <c:v>43.077100000000002</c:v>
                </c:pt>
                <c:pt idx="34">
                  <c:v>43.4816</c:v>
                </c:pt>
                <c:pt idx="35">
                  <c:v>43.887799999999999</c:v>
                </c:pt>
                <c:pt idx="36">
                  <c:v>44.294499999999999</c:v>
                </c:pt>
                <c:pt idx="37">
                  <c:v>44.699599999999997</c:v>
                </c:pt>
                <c:pt idx="38">
                  <c:v>45.108899999999998</c:v>
                </c:pt>
                <c:pt idx="39">
                  <c:v>45.512300000000003</c:v>
                </c:pt>
                <c:pt idx="40">
                  <c:v>45.9193</c:v>
                </c:pt>
                <c:pt idx="41">
                  <c:v>46.323999999999998</c:v>
                </c:pt>
                <c:pt idx="42">
                  <c:v>46.732399999999998</c:v>
                </c:pt>
                <c:pt idx="43">
                  <c:v>47.137900000000002</c:v>
                </c:pt>
                <c:pt idx="44">
                  <c:v>47.5426</c:v>
                </c:pt>
                <c:pt idx="45">
                  <c:v>47.947800000000001</c:v>
                </c:pt>
                <c:pt idx="46">
                  <c:v>48.356200000000001</c:v>
                </c:pt>
                <c:pt idx="47">
                  <c:v>48.762900000000002</c:v>
                </c:pt>
                <c:pt idx="48">
                  <c:v>49.171100000000003</c:v>
                </c:pt>
                <c:pt idx="49">
                  <c:v>49.575000000000003</c:v>
                </c:pt>
                <c:pt idx="50">
                  <c:v>49.980200000000004</c:v>
                </c:pt>
                <c:pt idx="51">
                  <c:v>50.385899999999999</c:v>
                </c:pt>
                <c:pt idx="52">
                  <c:v>50.793399999999998</c:v>
                </c:pt>
                <c:pt idx="53">
                  <c:v>51.206699999999998</c:v>
                </c:pt>
                <c:pt idx="54">
                  <c:v>51.605699999999999</c:v>
                </c:pt>
                <c:pt idx="55">
                  <c:v>52.011499999999998</c:v>
                </c:pt>
                <c:pt idx="56">
                  <c:v>52.418900000000001</c:v>
                </c:pt>
                <c:pt idx="57">
                  <c:v>52.826999999999998</c:v>
                </c:pt>
                <c:pt idx="58">
                  <c:v>53.2333</c:v>
                </c:pt>
                <c:pt idx="59">
                  <c:v>53.6389</c:v>
                </c:pt>
                <c:pt idx="60">
                  <c:v>54.044199999999996</c:v>
                </c:pt>
                <c:pt idx="61">
                  <c:v>54.447899999999997</c:v>
                </c:pt>
                <c:pt idx="62">
                  <c:v>54.859099999999998</c:v>
                </c:pt>
                <c:pt idx="63">
                  <c:v>55.264499999999998</c:v>
                </c:pt>
                <c:pt idx="64">
                  <c:v>55.670400000000001</c:v>
                </c:pt>
                <c:pt idx="65">
                  <c:v>56.073799999999999</c:v>
                </c:pt>
                <c:pt idx="66">
                  <c:v>56.484699999999997</c:v>
                </c:pt>
                <c:pt idx="67">
                  <c:v>56.890900000000002</c:v>
                </c:pt>
                <c:pt idx="68">
                  <c:v>57.294400000000003</c:v>
                </c:pt>
                <c:pt idx="69">
                  <c:v>57.703099999999999</c:v>
                </c:pt>
                <c:pt idx="70">
                  <c:v>58.106900000000003</c:v>
                </c:pt>
                <c:pt idx="71">
                  <c:v>58.514699999999998</c:v>
                </c:pt>
                <c:pt idx="72">
                  <c:v>58.9253</c:v>
                </c:pt>
                <c:pt idx="73">
                  <c:v>59.327100000000002</c:v>
                </c:pt>
                <c:pt idx="74">
                  <c:v>59.73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3.9776199999999999</c:v>
                </c:pt>
                <c:pt idx="1">
                  <c:v>4.0031699999999999</c:v>
                </c:pt>
                <c:pt idx="2">
                  <c:v>4.0209899999999994</c:v>
                </c:pt>
                <c:pt idx="3">
                  <c:v>4.0350599999999996</c:v>
                </c:pt>
                <c:pt idx="4">
                  <c:v>4.0454400000000001</c:v>
                </c:pt>
                <c:pt idx="5">
                  <c:v>4.0532500000000002</c:v>
                </c:pt>
                <c:pt idx="6">
                  <c:v>4.0602900000000002</c:v>
                </c:pt>
                <c:pt idx="7">
                  <c:v>4.0676499999999995</c:v>
                </c:pt>
                <c:pt idx="8">
                  <c:v>4.0731200000000003</c:v>
                </c:pt>
                <c:pt idx="9">
                  <c:v>4.0784000000000002</c:v>
                </c:pt>
                <c:pt idx="10">
                  <c:v>4.0854099999999995</c:v>
                </c:pt>
                <c:pt idx="11">
                  <c:v>4.0943800000000001</c:v>
                </c:pt>
                <c:pt idx="12">
                  <c:v>4.1049100000000003</c:v>
                </c:pt>
                <c:pt idx="13">
                  <c:v>4.1168500000000003</c:v>
                </c:pt>
                <c:pt idx="14">
                  <c:v>4.1277100000000004</c:v>
                </c:pt>
                <c:pt idx="15">
                  <c:v>4.1366399999999999</c:v>
                </c:pt>
                <c:pt idx="16">
                  <c:v>4.1435599999999999</c:v>
                </c:pt>
                <c:pt idx="17">
                  <c:v>4.1476600000000001</c:v>
                </c:pt>
                <c:pt idx="18">
                  <c:v>4.1471200000000001</c:v>
                </c:pt>
                <c:pt idx="19">
                  <c:v>4.1426800000000004</c:v>
                </c:pt>
                <c:pt idx="20">
                  <c:v>4.1367399999999996</c:v>
                </c:pt>
                <c:pt idx="21">
                  <c:v>4.13028</c:v>
                </c:pt>
                <c:pt idx="22">
                  <c:v>4.1249000000000002</c:v>
                </c:pt>
                <c:pt idx="23">
                  <c:v>4.1193999999999997</c:v>
                </c:pt>
                <c:pt idx="24">
                  <c:v>4.1146500000000001</c:v>
                </c:pt>
                <c:pt idx="25">
                  <c:v>4.1083799999999995</c:v>
                </c:pt>
                <c:pt idx="26">
                  <c:v>4.0999799999999995</c:v>
                </c:pt>
                <c:pt idx="27">
                  <c:v>4.0902899999999995</c:v>
                </c:pt>
                <c:pt idx="28">
                  <c:v>4.0785599999999995</c:v>
                </c:pt>
                <c:pt idx="29">
                  <c:v>4.0648900000000001</c:v>
                </c:pt>
                <c:pt idx="30">
                  <c:v>4.0493299999999994</c:v>
                </c:pt>
                <c:pt idx="31">
                  <c:v>4.0324200000000001</c:v>
                </c:pt>
                <c:pt idx="32">
                  <c:v>4.0129999999999999</c:v>
                </c:pt>
                <c:pt idx="33">
                  <c:v>3.9930399999999997</c:v>
                </c:pt>
                <c:pt idx="34">
                  <c:v>3.9711800000000004</c:v>
                </c:pt>
                <c:pt idx="35">
                  <c:v>3.9440900000000001</c:v>
                </c:pt>
                <c:pt idx="36">
                  <c:v>3.91059</c:v>
                </c:pt>
                <c:pt idx="37">
                  <c:v>3.8712900000000001</c:v>
                </c:pt>
                <c:pt idx="38">
                  <c:v>3.8307700000000002</c:v>
                </c:pt>
                <c:pt idx="39">
                  <c:v>3.7899699999999998</c:v>
                </c:pt>
                <c:pt idx="40">
                  <c:v>3.7509300000000003</c:v>
                </c:pt>
                <c:pt idx="41">
                  <c:v>3.71408</c:v>
                </c:pt>
                <c:pt idx="42">
                  <c:v>3.6796600000000002</c:v>
                </c:pt>
                <c:pt idx="43">
                  <c:v>3.6506300000000005</c:v>
                </c:pt>
                <c:pt idx="44">
                  <c:v>3.6273300000000002</c:v>
                </c:pt>
                <c:pt idx="45">
                  <c:v>3.6084000000000001</c:v>
                </c:pt>
                <c:pt idx="46">
                  <c:v>3.59388</c:v>
                </c:pt>
                <c:pt idx="47">
                  <c:v>3.5795599999999999</c:v>
                </c:pt>
                <c:pt idx="48">
                  <c:v>3.5661500000000004</c:v>
                </c:pt>
                <c:pt idx="49">
                  <c:v>3.55315</c:v>
                </c:pt>
                <c:pt idx="50">
                  <c:v>3.5426200000000003</c:v>
                </c:pt>
                <c:pt idx="51">
                  <c:v>3.5314800000000002</c:v>
                </c:pt>
                <c:pt idx="52">
                  <c:v>3.5251300000000003</c:v>
                </c:pt>
                <c:pt idx="53">
                  <c:v>3.5228299999999999</c:v>
                </c:pt>
                <c:pt idx="54">
                  <c:v>3.52318</c:v>
                </c:pt>
                <c:pt idx="55">
                  <c:v>3.5267900000000001</c:v>
                </c:pt>
                <c:pt idx="56">
                  <c:v>3.52989</c:v>
                </c:pt>
                <c:pt idx="57">
                  <c:v>3.53199</c:v>
                </c:pt>
                <c:pt idx="58">
                  <c:v>3.5331000000000001</c:v>
                </c:pt>
                <c:pt idx="59">
                  <c:v>3.5346100000000003</c:v>
                </c:pt>
                <c:pt idx="60">
                  <c:v>3.53878</c:v>
                </c:pt>
                <c:pt idx="61">
                  <c:v>3.5478900000000002</c:v>
                </c:pt>
                <c:pt idx="62">
                  <c:v>3.5612599999999999</c:v>
                </c:pt>
                <c:pt idx="63">
                  <c:v>3.5756199999999998</c:v>
                </c:pt>
                <c:pt idx="64">
                  <c:v>3.5919400000000001</c:v>
                </c:pt>
                <c:pt idx="65">
                  <c:v>3.6083400000000001</c:v>
                </c:pt>
                <c:pt idx="66">
                  <c:v>3.6236200000000003</c:v>
                </c:pt>
                <c:pt idx="67">
                  <c:v>3.6398999999999999</c:v>
                </c:pt>
                <c:pt idx="68">
                  <c:v>3.65374</c:v>
                </c:pt>
                <c:pt idx="69">
                  <c:v>3.6642299999999999</c:v>
                </c:pt>
                <c:pt idx="70">
                  <c:v>3.66812</c:v>
                </c:pt>
                <c:pt idx="71">
                  <c:v>3.6590800000000003</c:v>
                </c:pt>
                <c:pt idx="72">
                  <c:v>3.6520200000000003</c:v>
                </c:pt>
                <c:pt idx="73">
                  <c:v>3.64534</c:v>
                </c:pt>
                <c:pt idx="74">
                  <c:v>3.6451699999999998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2.30775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14.932499999999999</c:v>
                </c:pt>
                <c:pt idx="1">
                  <c:v>44.797499999999999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2.9387690540540534</c:v>
                </c:pt>
                <c:pt idx="1">
                  <c:v>3.8386281081081086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0.37495600000000001</c:v>
                </c:pt>
                <c:pt idx="2">
                  <c:v>0.77658099999999997</c:v>
                </c:pt>
                <c:pt idx="3">
                  <c:v>1.1829000000000001</c:v>
                </c:pt>
                <c:pt idx="4">
                  <c:v>1.5906199999999999</c:v>
                </c:pt>
                <c:pt idx="5">
                  <c:v>2.0009000000000001</c:v>
                </c:pt>
                <c:pt idx="6">
                  <c:v>2.4041899999999998</c:v>
                </c:pt>
                <c:pt idx="7">
                  <c:v>2.8087800000000001</c:v>
                </c:pt>
                <c:pt idx="8">
                  <c:v>3.2154500000000001</c:v>
                </c:pt>
                <c:pt idx="9">
                  <c:v>3.6226400000000001</c:v>
                </c:pt>
                <c:pt idx="10">
                  <c:v>4.0308200000000003</c:v>
                </c:pt>
                <c:pt idx="11">
                  <c:v>4.43309</c:v>
                </c:pt>
                <c:pt idx="12">
                  <c:v>4.8399000000000001</c:v>
                </c:pt>
                <c:pt idx="13">
                  <c:v>5.2475899999999998</c:v>
                </c:pt>
                <c:pt idx="14">
                  <c:v>5.6538300000000001</c:v>
                </c:pt>
                <c:pt idx="15">
                  <c:v>6.0609599999999997</c:v>
                </c:pt>
                <c:pt idx="16">
                  <c:v>6.46875</c:v>
                </c:pt>
                <c:pt idx="17">
                  <c:v>6.8724499999999997</c:v>
                </c:pt>
                <c:pt idx="18">
                  <c:v>7.2775800000000004</c:v>
                </c:pt>
                <c:pt idx="19">
                  <c:v>7.6849499999999997</c:v>
                </c:pt>
                <c:pt idx="20">
                  <c:v>8.0916399999999999</c:v>
                </c:pt>
                <c:pt idx="21">
                  <c:v>8.4984800000000007</c:v>
                </c:pt>
                <c:pt idx="22">
                  <c:v>8.9064800000000002</c:v>
                </c:pt>
                <c:pt idx="23">
                  <c:v>9.3103599999999993</c:v>
                </c:pt>
                <c:pt idx="24">
                  <c:v>9.7147199999999998</c:v>
                </c:pt>
                <c:pt idx="25">
                  <c:v>10.1249</c:v>
                </c:pt>
                <c:pt idx="26">
                  <c:v>10.530099999999999</c:v>
                </c:pt>
                <c:pt idx="27">
                  <c:v>10.934900000000001</c:v>
                </c:pt>
                <c:pt idx="28">
                  <c:v>11.3398</c:v>
                </c:pt>
                <c:pt idx="29">
                  <c:v>11.746700000000001</c:v>
                </c:pt>
                <c:pt idx="30">
                  <c:v>12.1549</c:v>
                </c:pt>
                <c:pt idx="31">
                  <c:v>12.5616</c:v>
                </c:pt>
                <c:pt idx="32">
                  <c:v>12.967000000000001</c:v>
                </c:pt>
                <c:pt idx="33">
                  <c:v>13.370699999999999</c:v>
                </c:pt>
                <c:pt idx="34">
                  <c:v>13.7805</c:v>
                </c:pt>
                <c:pt idx="35">
                  <c:v>14.1875</c:v>
                </c:pt>
                <c:pt idx="36">
                  <c:v>14.590299999999999</c:v>
                </c:pt>
                <c:pt idx="37">
                  <c:v>14.9961</c:v>
                </c:pt>
                <c:pt idx="38">
                  <c:v>15.403499999999999</c:v>
                </c:pt>
                <c:pt idx="39">
                  <c:v>15.8072</c:v>
                </c:pt>
                <c:pt idx="40">
                  <c:v>16.217500000000001</c:v>
                </c:pt>
                <c:pt idx="41">
                  <c:v>16.6218</c:v>
                </c:pt>
                <c:pt idx="42">
                  <c:v>17.031099999999999</c:v>
                </c:pt>
                <c:pt idx="43">
                  <c:v>17.433900000000001</c:v>
                </c:pt>
                <c:pt idx="44">
                  <c:v>17.839600000000001</c:v>
                </c:pt>
                <c:pt idx="45">
                  <c:v>18.2484</c:v>
                </c:pt>
                <c:pt idx="46">
                  <c:v>18.653300000000002</c:v>
                </c:pt>
                <c:pt idx="47">
                  <c:v>19.059899999999999</c:v>
                </c:pt>
                <c:pt idx="48">
                  <c:v>19.4666</c:v>
                </c:pt>
                <c:pt idx="49">
                  <c:v>19.873999999999999</c:v>
                </c:pt>
                <c:pt idx="50">
                  <c:v>20.2788</c:v>
                </c:pt>
                <c:pt idx="51">
                  <c:v>20.686199999999999</c:v>
                </c:pt>
                <c:pt idx="52">
                  <c:v>21.090499999999999</c:v>
                </c:pt>
                <c:pt idx="53">
                  <c:v>21.498699999999999</c:v>
                </c:pt>
                <c:pt idx="54">
                  <c:v>21.904599999999999</c:v>
                </c:pt>
                <c:pt idx="55">
                  <c:v>22.311699999999998</c:v>
                </c:pt>
                <c:pt idx="56">
                  <c:v>22.7163</c:v>
                </c:pt>
                <c:pt idx="57">
                  <c:v>23.122800000000002</c:v>
                </c:pt>
                <c:pt idx="58">
                  <c:v>23.527799999999999</c:v>
                </c:pt>
                <c:pt idx="59">
                  <c:v>23.9345</c:v>
                </c:pt>
                <c:pt idx="60">
                  <c:v>24.3443</c:v>
                </c:pt>
                <c:pt idx="61">
                  <c:v>24.749099999999999</c:v>
                </c:pt>
                <c:pt idx="62">
                  <c:v>25.150300000000001</c:v>
                </c:pt>
                <c:pt idx="63">
                  <c:v>25.558</c:v>
                </c:pt>
                <c:pt idx="64">
                  <c:v>25.968299999999999</c:v>
                </c:pt>
                <c:pt idx="65">
                  <c:v>26.373999999999999</c:v>
                </c:pt>
                <c:pt idx="66">
                  <c:v>26.776299999999999</c:v>
                </c:pt>
                <c:pt idx="67">
                  <c:v>27.183599999999998</c:v>
                </c:pt>
                <c:pt idx="68">
                  <c:v>27.590900000000001</c:v>
                </c:pt>
                <c:pt idx="69">
                  <c:v>28.002700000000001</c:v>
                </c:pt>
                <c:pt idx="70">
                  <c:v>28.404900000000001</c:v>
                </c:pt>
                <c:pt idx="71">
                  <c:v>28.808299999999999</c:v>
                </c:pt>
                <c:pt idx="72">
                  <c:v>29.2149</c:v>
                </c:pt>
                <c:pt idx="73">
                  <c:v>29.621400000000001</c:v>
                </c:pt>
                <c:pt idx="74">
                  <c:v>30.029599999999999</c:v>
                </c:pt>
                <c:pt idx="75">
                  <c:v>30.499199999999998</c:v>
                </c:pt>
                <c:pt idx="76">
                  <c:v>30.904399999999999</c:v>
                </c:pt>
                <c:pt idx="77">
                  <c:v>31.294899999999998</c:v>
                </c:pt>
                <c:pt idx="78">
                  <c:v>31.699100000000001</c:v>
                </c:pt>
                <c:pt idx="79">
                  <c:v>32.109699999999997</c:v>
                </c:pt>
                <c:pt idx="80">
                  <c:v>32.5137</c:v>
                </c:pt>
                <c:pt idx="81">
                  <c:v>32.922699999999999</c:v>
                </c:pt>
                <c:pt idx="82">
                  <c:v>33.326999999999998</c:v>
                </c:pt>
                <c:pt idx="83">
                  <c:v>33.7346</c:v>
                </c:pt>
                <c:pt idx="84">
                  <c:v>34.135599999999997</c:v>
                </c:pt>
                <c:pt idx="85">
                  <c:v>34.545000000000002</c:v>
                </c:pt>
                <c:pt idx="86">
                  <c:v>34.952800000000003</c:v>
                </c:pt>
                <c:pt idx="87">
                  <c:v>35.36</c:v>
                </c:pt>
                <c:pt idx="88">
                  <c:v>35.761699999999998</c:v>
                </c:pt>
                <c:pt idx="89">
                  <c:v>36.1708</c:v>
                </c:pt>
                <c:pt idx="90">
                  <c:v>36.576999999999998</c:v>
                </c:pt>
                <c:pt idx="91">
                  <c:v>36.981400000000001</c:v>
                </c:pt>
                <c:pt idx="92">
                  <c:v>37.389299999999999</c:v>
                </c:pt>
                <c:pt idx="93">
                  <c:v>37.7986</c:v>
                </c:pt>
                <c:pt idx="94">
                  <c:v>38.200299999999999</c:v>
                </c:pt>
                <c:pt idx="95">
                  <c:v>38.607599999999998</c:v>
                </c:pt>
                <c:pt idx="96">
                  <c:v>39.014299999999999</c:v>
                </c:pt>
                <c:pt idx="97">
                  <c:v>39.416600000000003</c:v>
                </c:pt>
                <c:pt idx="98">
                  <c:v>39.825499999999998</c:v>
                </c:pt>
                <c:pt idx="99">
                  <c:v>40.230600000000003</c:v>
                </c:pt>
                <c:pt idx="100">
                  <c:v>40.641399999999997</c:v>
                </c:pt>
                <c:pt idx="101">
                  <c:v>41.045499999999997</c:v>
                </c:pt>
                <c:pt idx="102">
                  <c:v>41.450299999999999</c:v>
                </c:pt>
                <c:pt idx="103">
                  <c:v>41.857300000000002</c:v>
                </c:pt>
                <c:pt idx="104">
                  <c:v>42.262099999999997</c:v>
                </c:pt>
                <c:pt idx="105">
                  <c:v>42.669899999999998</c:v>
                </c:pt>
                <c:pt idx="106">
                  <c:v>43.077100000000002</c:v>
                </c:pt>
                <c:pt idx="107">
                  <c:v>43.4816</c:v>
                </c:pt>
                <c:pt idx="108">
                  <c:v>43.887799999999999</c:v>
                </c:pt>
                <c:pt idx="109">
                  <c:v>44.294499999999999</c:v>
                </c:pt>
                <c:pt idx="110">
                  <c:v>44.699599999999997</c:v>
                </c:pt>
                <c:pt idx="111">
                  <c:v>45.108899999999998</c:v>
                </c:pt>
                <c:pt idx="112">
                  <c:v>45.512300000000003</c:v>
                </c:pt>
                <c:pt idx="113">
                  <c:v>45.9193</c:v>
                </c:pt>
                <c:pt idx="114">
                  <c:v>46.323999999999998</c:v>
                </c:pt>
                <c:pt idx="115">
                  <c:v>46.732399999999998</c:v>
                </c:pt>
                <c:pt idx="116">
                  <c:v>47.137900000000002</c:v>
                </c:pt>
                <c:pt idx="117">
                  <c:v>47.5426</c:v>
                </c:pt>
                <c:pt idx="118">
                  <c:v>47.947800000000001</c:v>
                </c:pt>
                <c:pt idx="119">
                  <c:v>48.356200000000001</c:v>
                </c:pt>
                <c:pt idx="120">
                  <c:v>48.762900000000002</c:v>
                </c:pt>
                <c:pt idx="121">
                  <c:v>49.171100000000003</c:v>
                </c:pt>
                <c:pt idx="122">
                  <c:v>49.575000000000003</c:v>
                </c:pt>
                <c:pt idx="123">
                  <c:v>49.980200000000004</c:v>
                </c:pt>
                <c:pt idx="124">
                  <c:v>50.385899999999999</c:v>
                </c:pt>
                <c:pt idx="125">
                  <c:v>50.793399999999998</c:v>
                </c:pt>
                <c:pt idx="126">
                  <c:v>51.206699999999998</c:v>
                </c:pt>
                <c:pt idx="127">
                  <c:v>51.605699999999999</c:v>
                </c:pt>
                <c:pt idx="128">
                  <c:v>52.011499999999998</c:v>
                </c:pt>
                <c:pt idx="129">
                  <c:v>52.418900000000001</c:v>
                </c:pt>
                <c:pt idx="130">
                  <c:v>52.826999999999998</c:v>
                </c:pt>
                <c:pt idx="131">
                  <c:v>53.2333</c:v>
                </c:pt>
                <c:pt idx="132">
                  <c:v>53.6389</c:v>
                </c:pt>
                <c:pt idx="133">
                  <c:v>54.044199999999996</c:v>
                </c:pt>
                <c:pt idx="134">
                  <c:v>54.447899999999997</c:v>
                </c:pt>
                <c:pt idx="135">
                  <c:v>54.859099999999998</c:v>
                </c:pt>
                <c:pt idx="136">
                  <c:v>55.264499999999998</c:v>
                </c:pt>
                <c:pt idx="137">
                  <c:v>55.670400000000001</c:v>
                </c:pt>
                <c:pt idx="138">
                  <c:v>56.073799999999999</c:v>
                </c:pt>
                <c:pt idx="139">
                  <c:v>56.484699999999997</c:v>
                </c:pt>
                <c:pt idx="140">
                  <c:v>56.890900000000002</c:v>
                </c:pt>
                <c:pt idx="141">
                  <c:v>57.294400000000003</c:v>
                </c:pt>
                <c:pt idx="142">
                  <c:v>57.703099999999999</c:v>
                </c:pt>
                <c:pt idx="143">
                  <c:v>58.106900000000003</c:v>
                </c:pt>
                <c:pt idx="144">
                  <c:v>58.514699999999998</c:v>
                </c:pt>
                <c:pt idx="145">
                  <c:v>58.9253</c:v>
                </c:pt>
                <c:pt idx="146">
                  <c:v>59.327100000000002</c:v>
                </c:pt>
                <c:pt idx="147">
                  <c:v>59.73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62.049799999999998</c:v>
                </c:pt>
                <c:pt idx="1">
                  <c:v>61.586799999999997</c:v>
                </c:pt>
                <c:pt idx="2">
                  <c:v>61.065300000000001</c:v>
                </c:pt>
                <c:pt idx="3">
                  <c:v>60.4499</c:v>
                </c:pt>
                <c:pt idx="4">
                  <c:v>59.7834</c:v>
                </c:pt>
                <c:pt idx="5">
                  <c:v>59.0075</c:v>
                </c:pt>
                <c:pt idx="6">
                  <c:v>58.209699999999998</c:v>
                </c:pt>
                <c:pt idx="7">
                  <c:v>57.459199999999996</c:v>
                </c:pt>
                <c:pt idx="8">
                  <c:v>56.738699999999994</c:v>
                </c:pt>
                <c:pt idx="9">
                  <c:v>56.0929</c:v>
                </c:pt>
                <c:pt idx="10">
                  <c:v>55.631500000000003</c:v>
                </c:pt>
                <c:pt idx="11">
                  <c:v>55.231499999999997</c:v>
                </c:pt>
                <c:pt idx="12">
                  <c:v>54.901200000000003</c:v>
                </c:pt>
                <c:pt idx="13">
                  <c:v>54.588000000000001</c:v>
                </c:pt>
                <c:pt idx="14">
                  <c:v>54.288599999999995</c:v>
                </c:pt>
                <c:pt idx="15">
                  <c:v>53.989899999999999</c:v>
                </c:pt>
                <c:pt idx="16">
                  <c:v>53.719799999999992</c:v>
                </c:pt>
                <c:pt idx="17">
                  <c:v>53.476599999999998</c:v>
                </c:pt>
                <c:pt idx="18">
                  <c:v>53.227899999999991</c:v>
                </c:pt>
                <c:pt idx="19">
                  <c:v>52.971500000000006</c:v>
                </c:pt>
                <c:pt idx="20">
                  <c:v>52.677799999999998</c:v>
                </c:pt>
                <c:pt idx="21">
                  <c:v>52.346400000000003</c:v>
                </c:pt>
                <c:pt idx="22">
                  <c:v>52.028500000000001</c:v>
                </c:pt>
                <c:pt idx="23">
                  <c:v>51.757200000000005</c:v>
                </c:pt>
                <c:pt idx="24">
                  <c:v>51.500999999999998</c:v>
                </c:pt>
                <c:pt idx="25">
                  <c:v>51.277099999999997</c:v>
                </c:pt>
                <c:pt idx="26">
                  <c:v>51.0625</c:v>
                </c:pt>
                <c:pt idx="27">
                  <c:v>50.859099999999998</c:v>
                </c:pt>
                <c:pt idx="28">
                  <c:v>50.710799999999999</c:v>
                </c:pt>
                <c:pt idx="29">
                  <c:v>50.555999999999997</c:v>
                </c:pt>
                <c:pt idx="30">
                  <c:v>50.421999999999997</c:v>
                </c:pt>
                <c:pt idx="31">
                  <c:v>50.364699999999999</c:v>
                </c:pt>
                <c:pt idx="32">
                  <c:v>50.333500000000001</c:v>
                </c:pt>
                <c:pt idx="33">
                  <c:v>50.348000000000006</c:v>
                </c:pt>
                <c:pt idx="34">
                  <c:v>50.363100000000003</c:v>
                </c:pt>
                <c:pt idx="35">
                  <c:v>50.304700000000004</c:v>
                </c:pt>
                <c:pt idx="36">
                  <c:v>50.299400000000006</c:v>
                </c:pt>
                <c:pt idx="37">
                  <c:v>50.244299999999996</c:v>
                </c:pt>
                <c:pt idx="38">
                  <c:v>50.201799999999999</c:v>
                </c:pt>
                <c:pt idx="39">
                  <c:v>50.184399999999997</c:v>
                </c:pt>
                <c:pt idx="40">
                  <c:v>50.104700000000001</c:v>
                </c:pt>
                <c:pt idx="41">
                  <c:v>49.915599999999998</c:v>
                </c:pt>
                <c:pt idx="42">
                  <c:v>49.727600000000002</c:v>
                </c:pt>
                <c:pt idx="43">
                  <c:v>49.557299999999998</c:v>
                </c:pt>
                <c:pt idx="44">
                  <c:v>49.4664</c:v>
                </c:pt>
                <c:pt idx="45">
                  <c:v>49.431000000000004</c:v>
                </c:pt>
                <c:pt idx="46">
                  <c:v>49.423499999999997</c:v>
                </c:pt>
                <c:pt idx="47">
                  <c:v>49.417200000000001</c:v>
                </c:pt>
                <c:pt idx="48">
                  <c:v>49.3782</c:v>
                </c:pt>
                <c:pt idx="49">
                  <c:v>49.2864</c:v>
                </c:pt>
                <c:pt idx="50">
                  <c:v>49.212899999999998</c:v>
                </c:pt>
                <c:pt idx="51">
                  <c:v>48.960999999999999</c:v>
                </c:pt>
                <c:pt idx="52">
                  <c:v>48.642800000000001</c:v>
                </c:pt>
                <c:pt idx="53">
                  <c:v>47.984300000000005</c:v>
                </c:pt>
                <c:pt idx="54">
                  <c:v>47.833500000000001</c:v>
                </c:pt>
                <c:pt idx="55">
                  <c:v>47.171800000000005</c:v>
                </c:pt>
                <c:pt idx="56">
                  <c:v>46.73</c:v>
                </c:pt>
                <c:pt idx="57">
                  <c:v>46.576799999999999</c:v>
                </c:pt>
                <c:pt idx="58">
                  <c:v>46.096599999999995</c:v>
                </c:pt>
                <c:pt idx="59">
                  <c:v>45.665900000000001</c:v>
                </c:pt>
                <c:pt idx="60">
                  <c:v>44.962200000000003</c:v>
                </c:pt>
                <c:pt idx="61">
                  <c:v>44.768900000000002</c:v>
                </c:pt>
                <c:pt idx="62">
                  <c:v>44.824100000000001</c:v>
                </c:pt>
                <c:pt idx="63">
                  <c:v>44.731400000000001</c:v>
                </c:pt>
                <c:pt idx="64">
                  <c:v>44.495000000000005</c:v>
                </c:pt>
                <c:pt idx="65">
                  <c:v>44.4011</c:v>
                </c:pt>
                <c:pt idx="66">
                  <c:v>44.438400000000001</c:v>
                </c:pt>
                <c:pt idx="67">
                  <c:v>44.1434</c:v>
                </c:pt>
                <c:pt idx="68">
                  <c:v>44.154199999999996</c:v>
                </c:pt>
                <c:pt idx="69">
                  <c:v>44.074000000000005</c:v>
                </c:pt>
                <c:pt idx="70">
                  <c:v>44.2104</c:v>
                </c:pt>
                <c:pt idx="71">
                  <c:v>44.3795</c:v>
                </c:pt>
                <c:pt idx="72">
                  <c:v>44.6218</c:v>
                </c:pt>
                <c:pt idx="73">
                  <c:v>44.843600000000002</c:v>
                </c:pt>
                <c:pt idx="74">
                  <c:v>44.962600000000002</c:v>
                </c:pt>
                <c:pt idx="75">
                  <c:v>44.845500000000001</c:v>
                </c:pt>
                <c:pt idx="76">
                  <c:v>44.676300000000005</c:v>
                </c:pt>
                <c:pt idx="77">
                  <c:v>44.399899999999995</c:v>
                </c:pt>
                <c:pt idx="78">
                  <c:v>44.061900000000001</c:v>
                </c:pt>
                <c:pt idx="79">
                  <c:v>43.742899999999999</c:v>
                </c:pt>
                <c:pt idx="80">
                  <c:v>43.444700000000005</c:v>
                </c:pt>
                <c:pt idx="81">
                  <c:v>43.134799999999998</c:v>
                </c:pt>
                <c:pt idx="82">
                  <c:v>42.834499999999998</c:v>
                </c:pt>
                <c:pt idx="83">
                  <c:v>42.567700000000002</c:v>
                </c:pt>
                <c:pt idx="84">
                  <c:v>42.280699999999996</c:v>
                </c:pt>
                <c:pt idx="85">
                  <c:v>41.918100000000003</c:v>
                </c:pt>
                <c:pt idx="86">
                  <c:v>41.519500000000001</c:v>
                </c:pt>
                <c:pt idx="87">
                  <c:v>41.136400000000002</c:v>
                </c:pt>
                <c:pt idx="88">
                  <c:v>40.7697</c:v>
                </c:pt>
                <c:pt idx="89">
                  <c:v>40.405999999999999</c:v>
                </c:pt>
                <c:pt idx="90">
                  <c:v>40.104500000000002</c:v>
                </c:pt>
                <c:pt idx="91">
                  <c:v>39.904699999999998</c:v>
                </c:pt>
                <c:pt idx="92">
                  <c:v>39.740299999999998</c:v>
                </c:pt>
                <c:pt idx="93">
                  <c:v>39.543099999999995</c:v>
                </c:pt>
                <c:pt idx="94">
                  <c:v>39.286000000000001</c:v>
                </c:pt>
                <c:pt idx="95">
                  <c:v>39.033499999999997</c:v>
                </c:pt>
                <c:pt idx="96">
                  <c:v>38.804499999999997</c:v>
                </c:pt>
                <c:pt idx="97">
                  <c:v>38.580999999999996</c:v>
                </c:pt>
                <c:pt idx="98">
                  <c:v>38.438699999999997</c:v>
                </c:pt>
                <c:pt idx="99">
                  <c:v>38.394500000000001</c:v>
                </c:pt>
                <c:pt idx="100">
                  <c:v>38.375799999999998</c:v>
                </c:pt>
                <c:pt idx="101">
                  <c:v>38.349800000000002</c:v>
                </c:pt>
                <c:pt idx="102">
                  <c:v>38.321300000000001</c:v>
                </c:pt>
                <c:pt idx="103">
                  <c:v>38.266600000000004</c:v>
                </c:pt>
                <c:pt idx="104">
                  <c:v>38.158099999999997</c:v>
                </c:pt>
                <c:pt idx="105">
                  <c:v>38.028800000000004</c:v>
                </c:pt>
                <c:pt idx="106">
                  <c:v>37.938499999999998</c:v>
                </c:pt>
                <c:pt idx="107">
                  <c:v>37.890099999999997</c:v>
                </c:pt>
                <c:pt idx="108">
                  <c:v>37.841700000000003</c:v>
                </c:pt>
                <c:pt idx="109">
                  <c:v>37.858799999999995</c:v>
                </c:pt>
                <c:pt idx="110">
                  <c:v>38.039899999999996</c:v>
                </c:pt>
                <c:pt idx="111">
                  <c:v>38.353099999999998</c:v>
                </c:pt>
                <c:pt idx="112">
                  <c:v>38.7333</c:v>
                </c:pt>
                <c:pt idx="113">
                  <c:v>39.1905</c:v>
                </c:pt>
                <c:pt idx="114">
                  <c:v>39.741999999999997</c:v>
                </c:pt>
                <c:pt idx="115">
                  <c:v>40.345300000000002</c:v>
                </c:pt>
                <c:pt idx="116">
                  <c:v>40.950699999999998</c:v>
                </c:pt>
                <c:pt idx="117">
                  <c:v>41.476500000000001</c:v>
                </c:pt>
                <c:pt idx="118">
                  <c:v>41.984000000000002</c:v>
                </c:pt>
                <c:pt idx="119">
                  <c:v>42.509399999999999</c:v>
                </c:pt>
                <c:pt idx="120">
                  <c:v>43.044800000000002</c:v>
                </c:pt>
                <c:pt idx="121">
                  <c:v>43.537300000000002</c:v>
                </c:pt>
                <c:pt idx="122">
                  <c:v>44.028399999999998</c:v>
                </c:pt>
                <c:pt idx="123">
                  <c:v>44.446300000000001</c:v>
                </c:pt>
                <c:pt idx="124">
                  <c:v>44.602899999999998</c:v>
                </c:pt>
                <c:pt idx="125">
                  <c:v>44.663599999999995</c:v>
                </c:pt>
                <c:pt idx="126">
                  <c:v>44.686799999999998</c:v>
                </c:pt>
                <c:pt idx="127">
                  <c:v>44.676400000000001</c:v>
                </c:pt>
                <c:pt idx="128">
                  <c:v>44.639899999999997</c:v>
                </c:pt>
                <c:pt idx="129">
                  <c:v>44.629400000000004</c:v>
                </c:pt>
                <c:pt idx="130">
                  <c:v>44.65</c:v>
                </c:pt>
                <c:pt idx="131">
                  <c:v>44.694400000000002</c:v>
                </c:pt>
                <c:pt idx="132">
                  <c:v>44.764700000000005</c:v>
                </c:pt>
                <c:pt idx="133">
                  <c:v>44.917200000000001</c:v>
                </c:pt>
                <c:pt idx="134">
                  <c:v>45.120800000000003</c:v>
                </c:pt>
                <c:pt idx="135">
                  <c:v>45.353500000000004</c:v>
                </c:pt>
                <c:pt idx="136">
                  <c:v>45.57</c:v>
                </c:pt>
                <c:pt idx="137">
                  <c:v>45.831499999999998</c:v>
                </c:pt>
                <c:pt idx="138">
                  <c:v>46.106299999999997</c:v>
                </c:pt>
                <c:pt idx="139">
                  <c:v>46.417400000000001</c:v>
                </c:pt>
                <c:pt idx="140">
                  <c:v>46.647199999999998</c:v>
                </c:pt>
                <c:pt idx="141">
                  <c:v>46.672799999999995</c:v>
                </c:pt>
                <c:pt idx="142">
                  <c:v>46.831499999999998</c:v>
                </c:pt>
                <c:pt idx="143">
                  <c:v>47.118700000000004</c:v>
                </c:pt>
                <c:pt idx="144">
                  <c:v>47.466900000000003</c:v>
                </c:pt>
                <c:pt idx="145">
                  <c:v>47.691600000000001</c:v>
                </c:pt>
                <c:pt idx="146">
                  <c:v>47.8919</c:v>
                </c:pt>
                <c:pt idx="147">
                  <c:v>48.146599999999999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0.37495600000000001</c:v>
                </c:pt>
                <c:pt idx="2">
                  <c:v>0.77658099999999997</c:v>
                </c:pt>
                <c:pt idx="3">
                  <c:v>1.1829000000000001</c:v>
                </c:pt>
                <c:pt idx="4">
                  <c:v>1.5906199999999999</c:v>
                </c:pt>
                <c:pt idx="5">
                  <c:v>2.0009000000000001</c:v>
                </c:pt>
                <c:pt idx="6">
                  <c:v>2.4041899999999998</c:v>
                </c:pt>
                <c:pt idx="7">
                  <c:v>2.8087800000000001</c:v>
                </c:pt>
                <c:pt idx="8">
                  <c:v>3.2154500000000001</c:v>
                </c:pt>
                <c:pt idx="9">
                  <c:v>3.6226400000000001</c:v>
                </c:pt>
                <c:pt idx="10">
                  <c:v>4.0308200000000003</c:v>
                </c:pt>
                <c:pt idx="11">
                  <c:v>4.43309</c:v>
                </c:pt>
                <c:pt idx="12">
                  <c:v>4.8399000000000001</c:v>
                </c:pt>
                <c:pt idx="13">
                  <c:v>5.2475899999999998</c:v>
                </c:pt>
                <c:pt idx="14">
                  <c:v>5.6538300000000001</c:v>
                </c:pt>
                <c:pt idx="15">
                  <c:v>6.0609599999999997</c:v>
                </c:pt>
                <c:pt idx="16">
                  <c:v>6.46875</c:v>
                </c:pt>
                <c:pt idx="17">
                  <c:v>6.8724499999999997</c:v>
                </c:pt>
                <c:pt idx="18">
                  <c:v>7.2775800000000004</c:v>
                </c:pt>
                <c:pt idx="19">
                  <c:v>7.6849499999999997</c:v>
                </c:pt>
                <c:pt idx="20">
                  <c:v>8.0916399999999999</c:v>
                </c:pt>
                <c:pt idx="21">
                  <c:v>8.4984800000000007</c:v>
                </c:pt>
                <c:pt idx="22">
                  <c:v>8.9064800000000002</c:v>
                </c:pt>
                <c:pt idx="23">
                  <c:v>9.3103599999999993</c:v>
                </c:pt>
                <c:pt idx="24">
                  <c:v>9.7147199999999998</c:v>
                </c:pt>
                <c:pt idx="25">
                  <c:v>10.1249</c:v>
                </c:pt>
                <c:pt idx="26">
                  <c:v>10.530099999999999</c:v>
                </c:pt>
                <c:pt idx="27">
                  <c:v>10.934900000000001</c:v>
                </c:pt>
                <c:pt idx="28">
                  <c:v>11.3398</c:v>
                </c:pt>
                <c:pt idx="29">
                  <c:v>11.746700000000001</c:v>
                </c:pt>
                <c:pt idx="30">
                  <c:v>12.1549</c:v>
                </c:pt>
                <c:pt idx="31">
                  <c:v>12.5616</c:v>
                </c:pt>
                <c:pt idx="32">
                  <c:v>12.967000000000001</c:v>
                </c:pt>
                <c:pt idx="33">
                  <c:v>13.370699999999999</c:v>
                </c:pt>
                <c:pt idx="34">
                  <c:v>13.7805</c:v>
                </c:pt>
                <c:pt idx="35">
                  <c:v>14.1875</c:v>
                </c:pt>
                <c:pt idx="36">
                  <c:v>14.590299999999999</c:v>
                </c:pt>
                <c:pt idx="37">
                  <c:v>14.9961</c:v>
                </c:pt>
                <c:pt idx="38">
                  <c:v>15.403499999999999</c:v>
                </c:pt>
                <c:pt idx="39">
                  <c:v>15.8072</c:v>
                </c:pt>
                <c:pt idx="40">
                  <c:v>16.217500000000001</c:v>
                </c:pt>
                <c:pt idx="41">
                  <c:v>16.6218</c:v>
                </c:pt>
                <c:pt idx="42">
                  <c:v>17.031099999999999</c:v>
                </c:pt>
                <c:pt idx="43">
                  <c:v>17.433900000000001</c:v>
                </c:pt>
                <c:pt idx="44">
                  <c:v>17.839600000000001</c:v>
                </c:pt>
                <c:pt idx="45">
                  <c:v>18.2484</c:v>
                </c:pt>
                <c:pt idx="46">
                  <c:v>18.653300000000002</c:v>
                </c:pt>
                <c:pt idx="47">
                  <c:v>19.059899999999999</c:v>
                </c:pt>
                <c:pt idx="48">
                  <c:v>19.4666</c:v>
                </c:pt>
                <c:pt idx="49">
                  <c:v>19.873999999999999</c:v>
                </c:pt>
                <c:pt idx="50">
                  <c:v>20.2788</c:v>
                </c:pt>
                <c:pt idx="51">
                  <c:v>20.686199999999999</c:v>
                </c:pt>
                <c:pt idx="52">
                  <c:v>21.090499999999999</c:v>
                </c:pt>
                <c:pt idx="53">
                  <c:v>21.498699999999999</c:v>
                </c:pt>
                <c:pt idx="54">
                  <c:v>21.904599999999999</c:v>
                </c:pt>
                <c:pt idx="55">
                  <c:v>22.311699999999998</c:v>
                </c:pt>
                <c:pt idx="56">
                  <c:v>22.7163</c:v>
                </c:pt>
                <c:pt idx="57">
                  <c:v>23.122800000000002</c:v>
                </c:pt>
                <c:pt idx="58">
                  <c:v>23.527799999999999</c:v>
                </c:pt>
                <c:pt idx="59">
                  <c:v>23.9345</c:v>
                </c:pt>
                <c:pt idx="60">
                  <c:v>24.3443</c:v>
                </c:pt>
                <c:pt idx="61">
                  <c:v>24.749099999999999</c:v>
                </c:pt>
                <c:pt idx="62">
                  <c:v>25.150300000000001</c:v>
                </c:pt>
                <c:pt idx="63">
                  <c:v>25.558</c:v>
                </c:pt>
                <c:pt idx="64">
                  <c:v>25.968299999999999</c:v>
                </c:pt>
                <c:pt idx="65">
                  <c:v>26.373999999999999</c:v>
                </c:pt>
                <c:pt idx="66">
                  <c:v>26.776299999999999</c:v>
                </c:pt>
                <c:pt idx="67">
                  <c:v>27.183599999999998</c:v>
                </c:pt>
                <c:pt idx="68">
                  <c:v>27.590900000000001</c:v>
                </c:pt>
                <c:pt idx="69">
                  <c:v>28.002700000000001</c:v>
                </c:pt>
                <c:pt idx="70">
                  <c:v>28.404900000000001</c:v>
                </c:pt>
                <c:pt idx="71">
                  <c:v>28.808299999999999</c:v>
                </c:pt>
                <c:pt idx="72">
                  <c:v>29.2149</c:v>
                </c:pt>
                <c:pt idx="73">
                  <c:v>29.621400000000001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62.049799999999998</c:v>
                </c:pt>
                <c:pt idx="1">
                  <c:v>61.586799999999997</c:v>
                </c:pt>
                <c:pt idx="2">
                  <c:v>61.065300000000001</c:v>
                </c:pt>
                <c:pt idx="3">
                  <c:v>60.4499</c:v>
                </c:pt>
                <c:pt idx="4">
                  <c:v>59.7834</c:v>
                </c:pt>
                <c:pt idx="5">
                  <c:v>59.0075</c:v>
                </c:pt>
                <c:pt idx="6">
                  <c:v>58.209699999999998</c:v>
                </c:pt>
                <c:pt idx="7">
                  <c:v>57.459199999999996</c:v>
                </c:pt>
                <c:pt idx="8">
                  <c:v>56.738699999999994</c:v>
                </c:pt>
                <c:pt idx="9">
                  <c:v>56.0929</c:v>
                </c:pt>
                <c:pt idx="10">
                  <c:v>55.631500000000003</c:v>
                </c:pt>
                <c:pt idx="11">
                  <c:v>55.231499999999997</c:v>
                </c:pt>
                <c:pt idx="12">
                  <c:v>54.901200000000003</c:v>
                </c:pt>
                <c:pt idx="13">
                  <c:v>54.588000000000001</c:v>
                </c:pt>
                <c:pt idx="14">
                  <c:v>54.288599999999995</c:v>
                </c:pt>
                <c:pt idx="15">
                  <c:v>53.989899999999999</c:v>
                </c:pt>
                <c:pt idx="16">
                  <c:v>53.719799999999992</c:v>
                </c:pt>
                <c:pt idx="17">
                  <c:v>53.476599999999998</c:v>
                </c:pt>
                <c:pt idx="18">
                  <c:v>53.227899999999991</c:v>
                </c:pt>
                <c:pt idx="19">
                  <c:v>52.971500000000006</c:v>
                </c:pt>
                <c:pt idx="20">
                  <c:v>52.677799999999998</c:v>
                </c:pt>
                <c:pt idx="21">
                  <c:v>52.346400000000003</c:v>
                </c:pt>
                <c:pt idx="22">
                  <c:v>52.028500000000001</c:v>
                </c:pt>
                <c:pt idx="23">
                  <c:v>51.757200000000005</c:v>
                </c:pt>
                <c:pt idx="24">
                  <c:v>51.500999999999998</c:v>
                </c:pt>
                <c:pt idx="25">
                  <c:v>51.277099999999997</c:v>
                </c:pt>
                <c:pt idx="26">
                  <c:v>51.0625</c:v>
                </c:pt>
                <c:pt idx="27">
                  <c:v>50.859099999999998</c:v>
                </c:pt>
                <c:pt idx="28">
                  <c:v>50.710799999999999</c:v>
                </c:pt>
                <c:pt idx="29">
                  <c:v>50.555999999999997</c:v>
                </c:pt>
                <c:pt idx="30">
                  <c:v>50.421999999999997</c:v>
                </c:pt>
                <c:pt idx="31">
                  <c:v>50.364699999999999</c:v>
                </c:pt>
                <c:pt idx="32">
                  <c:v>50.333500000000001</c:v>
                </c:pt>
                <c:pt idx="33">
                  <c:v>50.348000000000006</c:v>
                </c:pt>
                <c:pt idx="34">
                  <c:v>50.363100000000003</c:v>
                </c:pt>
                <c:pt idx="35">
                  <c:v>50.304700000000004</c:v>
                </c:pt>
                <c:pt idx="36">
                  <c:v>50.299400000000006</c:v>
                </c:pt>
                <c:pt idx="37">
                  <c:v>50.244299999999996</c:v>
                </c:pt>
                <c:pt idx="38">
                  <c:v>50.201799999999999</c:v>
                </c:pt>
                <c:pt idx="39">
                  <c:v>50.184399999999997</c:v>
                </c:pt>
                <c:pt idx="40">
                  <c:v>50.104700000000001</c:v>
                </c:pt>
                <c:pt idx="41">
                  <c:v>49.915599999999998</c:v>
                </c:pt>
                <c:pt idx="42">
                  <c:v>49.727600000000002</c:v>
                </c:pt>
                <c:pt idx="43">
                  <c:v>49.557299999999998</c:v>
                </c:pt>
                <c:pt idx="44">
                  <c:v>49.4664</c:v>
                </c:pt>
                <c:pt idx="45">
                  <c:v>49.431000000000004</c:v>
                </c:pt>
                <c:pt idx="46">
                  <c:v>49.423499999999997</c:v>
                </c:pt>
                <c:pt idx="47">
                  <c:v>49.417200000000001</c:v>
                </c:pt>
                <c:pt idx="48">
                  <c:v>49.3782</c:v>
                </c:pt>
                <c:pt idx="49">
                  <c:v>49.2864</c:v>
                </c:pt>
                <c:pt idx="50">
                  <c:v>49.212899999999998</c:v>
                </c:pt>
                <c:pt idx="51">
                  <c:v>48.960999999999999</c:v>
                </c:pt>
                <c:pt idx="52">
                  <c:v>48.642800000000001</c:v>
                </c:pt>
                <c:pt idx="53">
                  <c:v>47.984300000000005</c:v>
                </c:pt>
                <c:pt idx="54">
                  <c:v>47.833500000000001</c:v>
                </c:pt>
                <c:pt idx="55">
                  <c:v>47.171800000000005</c:v>
                </c:pt>
                <c:pt idx="56">
                  <c:v>46.73</c:v>
                </c:pt>
                <c:pt idx="57">
                  <c:v>46.576799999999999</c:v>
                </c:pt>
                <c:pt idx="58">
                  <c:v>46.096599999999995</c:v>
                </c:pt>
                <c:pt idx="59">
                  <c:v>45.665900000000001</c:v>
                </c:pt>
                <c:pt idx="60">
                  <c:v>44.962200000000003</c:v>
                </c:pt>
                <c:pt idx="61">
                  <c:v>44.768900000000002</c:v>
                </c:pt>
                <c:pt idx="62">
                  <c:v>44.824100000000001</c:v>
                </c:pt>
                <c:pt idx="63">
                  <c:v>44.731400000000001</c:v>
                </c:pt>
                <c:pt idx="64">
                  <c:v>44.495000000000005</c:v>
                </c:pt>
                <c:pt idx="65">
                  <c:v>44.4011</c:v>
                </c:pt>
                <c:pt idx="66">
                  <c:v>44.438400000000001</c:v>
                </c:pt>
                <c:pt idx="67">
                  <c:v>44.1434</c:v>
                </c:pt>
                <c:pt idx="68">
                  <c:v>44.154199999999996</c:v>
                </c:pt>
                <c:pt idx="69">
                  <c:v>44.074000000000005</c:v>
                </c:pt>
                <c:pt idx="70">
                  <c:v>44.2104</c:v>
                </c:pt>
                <c:pt idx="71">
                  <c:v>44.3795</c:v>
                </c:pt>
                <c:pt idx="72">
                  <c:v>44.6218</c:v>
                </c:pt>
                <c:pt idx="73">
                  <c:v>44.843600000000002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29.621400000000001</c:v>
                </c:pt>
                <c:pt idx="1">
                  <c:v>30.029599999999999</c:v>
                </c:pt>
                <c:pt idx="2">
                  <c:v>30.499199999999998</c:v>
                </c:pt>
                <c:pt idx="3">
                  <c:v>30.904399999999999</c:v>
                </c:pt>
                <c:pt idx="4">
                  <c:v>31.294899999999998</c:v>
                </c:pt>
                <c:pt idx="5">
                  <c:v>31.699100000000001</c:v>
                </c:pt>
                <c:pt idx="6">
                  <c:v>32.109699999999997</c:v>
                </c:pt>
                <c:pt idx="7">
                  <c:v>32.5137</c:v>
                </c:pt>
                <c:pt idx="8">
                  <c:v>32.922699999999999</c:v>
                </c:pt>
                <c:pt idx="9">
                  <c:v>33.326999999999998</c:v>
                </c:pt>
                <c:pt idx="10">
                  <c:v>33.7346</c:v>
                </c:pt>
                <c:pt idx="11">
                  <c:v>34.135599999999997</c:v>
                </c:pt>
                <c:pt idx="12">
                  <c:v>34.545000000000002</c:v>
                </c:pt>
                <c:pt idx="13">
                  <c:v>34.952800000000003</c:v>
                </c:pt>
                <c:pt idx="14">
                  <c:v>35.36</c:v>
                </c:pt>
                <c:pt idx="15">
                  <c:v>35.761699999999998</c:v>
                </c:pt>
                <c:pt idx="16">
                  <c:v>36.1708</c:v>
                </c:pt>
                <c:pt idx="17">
                  <c:v>36.576999999999998</c:v>
                </c:pt>
                <c:pt idx="18">
                  <c:v>36.981400000000001</c:v>
                </c:pt>
                <c:pt idx="19">
                  <c:v>37.389299999999999</c:v>
                </c:pt>
                <c:pt idx="20">
                  <c:v>37.7986</c:v>
                </c:pt>
                <c:pt idx="21">
                  <c:v>38.200299999999999</c:v>
                </c:pt>
                <c:pt idx="22">
                  <c:v>38.607599999999998</c:v>
                </c:pt>
                <c:pt idx="23">
                  <c:v>39.014299999999999</c:v>
                </c:pt>
                <c:pt idx="24">
                  <c:v>39.416600000000003</c:v>
                </c:pt>
                <c:pt idx="25">
                  <c:v>39.825499999999998</c:v>
                </c:pt>
                <c:pt idx="26">
                  <c:v>40.230600000000003</c:v>
                </c:pt>
                <c:pt idx="27">
                  <c:v>40.641399999999997</c:v>
                </c:pt>
                <c:pt idx="28">
                  <c:v>41.045499999999997</c:v>
                </c:pt>
                <c:pt idx="29">
                  <c:v>41.450299999999999</c:v>
                </c:pt>
                <c:pt idx="30">
                  <c:v>41.857300000000002</c:v>
                </c:pt>
                <c:pt idx="31">
                  <c:v>42.262099999999997</c:v>
                </c:pt>
                <c:pt idx="32">
                  <c:v>42.669899999999998</c:v>
                </c:pt>
                <c:pt idx="33">
                  <c:v>43.077100000000002</c:v>
                </c:pt>
                <c:pt idx="34">
                  <c:v>43.4816</c:v>
                </c:pt>
                <c:pt idx="35">
                  <c:v>43.887799999999999</c:v>
                </c:pt>
                <c:pt idx="36">
                  <c:v>44.294499999999999</c:v>
                </c:pt>
                <c:pt idx="37">
                  <c:v>44.699599999999997</c:v>
                </c:pt>
                <c:pt idx="38">
                  <c:v>45.108899999999998</c:v>
                </c:pt>
                <c:pt idx="39">
                  <c:v>45.512300000000003</c:v>
                </c:pt>
                <c:pt idx="40">
                  <c:v>45.9193</c:v>
                </c:pt>
                <c:pt idx="41">
                  <c:v>46.323999999999998</c:v>
                </c:pt>
                <c:pt idx="42">
                  <c:v>46.732399999999998</c:v>
                </c:pt>
                <c:pt idx="43">
                  <c:v>47.137900000000002</c:v>
                </c:pt>
                <c:pt idx="44">
                  <c:v>47.5426</c:v>
                </c:pt>
                <c:pt idx="45">
                  <c:v>47.947800000000001</c:v>
                </c:pt>
                <c:pt idx="46">
                  <c:v>48.356200000000001</c:v>
                </c:pt>
                <c:pt idx="47">
                  <c:v>48.762900000000002</c:v>
                </c:pt>
                <c:pt idx="48">
                  <c:v>49.171100000000003</c:v>
                </c:pt>
                <c:pt idx="49">
                  <c:v>49.575000000000003</c:v>
                </c:pt>
                <c:pt idx="50">
                  <c:v>49.980200000000004</c:v>
                </c:pt>
                <c:pt idx="51">
                  <c:v>50.385899999999999</c:v>
                </c:pt>
                <c:pt idx="52">
                  <c:v>50.793399999999998</c:v>
                </c:pt>
                <c:pt idx="53">
                  <c:v>51.206699999999998</c:v>
                </c:pt>
                <c:pt idx="54">
                  <c:v>51.605699999999999</c:v>
                </c:pt>
                <c:pt idx="55">
                  <c:v>52.011499999999998</c:v>
                </c:pt>
                <c:pt idx="56">
                  <c:v>52.418900000000001</c:v>
                </c:pt>
                <c:pt idx="57">
                  <c:v>52.826999999999998</c:v>
                </c:pt>
                <c:pt idx="58">
                  <c:v>53.2333</c:v>
                </c:pt>
                <c:pt idx="59">
                  <c:v>53.6389</c:v>
                </c:pt>
                <c:pt idx="60">
                  <c:v>54.044199999999996</c:v>
                </c:pt>
                <c:pt idx="61">
                  <c:v>54.447899999999997</c:v>
                </c:pt>
                <c:pt idx="62">
                  <c:v>54.859099999999998</c:v>
                </c:pt>
                <c:pt idx="63">
                  <c:v>55.264499999999998</c:v>
                </c:pt>
                <c:pt idx="64">
                  <c:v>55.670400000000001</c:v>
                </c:pt>
                <c:pt idx="65">
                  <c:v>56.073799999999999</c:v>
                </c:pt>
                <c:pt idx="66">
                  <c:v>56.484699999999997</c:v>
                </c:pt>
                <c:pt idx="67">
                  <c:v>56.890900000000002</c:v>
                </c:pt>
                <c:pt idx="68">
                  <c:v>57.294400000000003</c:v>
                </c:pt>
                <c:pt idx="69">
                  <c:v>57.703099999999999</c:v>
                </c:pt>
                <c:pt idx="70">
                  <c:v>58.106900000000003</c:v>
                </c:pt>
                <c:pt idx="71">
                  <c:v>58.514699999999998</c:v>
                </c:pt>
                <c:pt idx="72">
                  <c:v>58.9253</c:v>
                </c:pt>
                <c:pt idx="73">
                  <c:v>59.327100000000002</c:v>
                </c:pt>
                <c:pt idx="74">
                  <c:v>59.73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44.843600000000002</c:v>
                </c:pt>
                <c:pt idx="1">
                  <c:v>44.962600000000002</c:v>
                </c:pt>
                <c:pt idx="2">
                  <c:v>44.845500000000001</c:v>
                </c:pt>
                <c:pt idx="3">
                  <c:v>44.676300000000005</c:v>
                </c:pt>
                <c:pt idx="4">
                  <c:v>44.399899999999995</c:v>
                </c:pt>
                <c:pt idx="5">
                  <c:v>44.061900000000001</c:v>
                </c:pt>
                <c:pt idx="6">
                  <c:v>43.742899999999999</c:v>
                </c:pt>
                <c:pt idx="7">
                  <c:v>43.444700000000005</c:v>
                </c:pt>
                <c:pt idx="8">
                  <c:v>43.134799999999998</c:v>
                </c:pt>
                <c:pt idx="9">
                  <c:v>42.834499999999998</c:v>
                </c:pt>
                <c:pt idx="10">
                  <c:v>42.567700000000002</c:v>
                </c:pt>
                <c:pt idx="11">
                  <c:v>42.280699999999996</c:v>
                </c:pt>
                <c:pt idx="12">
                  <c:v>41.918100000000003</c:v>
                </c:pt>
                <c:pt idx="13">
                  <c:v>41.519500000000001</c:v>
                </c:pt>
                <c:pt idx="14">
                  <c:v>41.136400000000002</c:v>
                </c:pt>
                <c:pt idx="15">
                  <c:v>40.7697</c:v>
                </c:pt>
                <c:pt idx="16">
                  <c:v>40.405999999999999</c:v>
                </c:pt>
                <c:pt idx="17">
                  <c:v>40.104500000000002</c:v>
                </c:pt>
                <c:pt idx="18">
                  <c:v>39.904699999999998</c:v>
                </c:pt>
                <c:pt idx="19">
                  <c:v>39.740299999999998</c:v>
                </c:pt>
                <c:pt idx="20">
                  <c:v>39.543099999999995</c:v>
                </c:pt>
                <c:pt idx="21">
                  <c:v>39.286000000000001</c:v>
                </c:pt>
                <c:pt idx="22">
                  <c:v>39.033499999999997</c:v>
                </c:pt>
                <c:pt idx="23">
                  <c:v>38.804499999999997</c:v>
                </c:pt>
                <c:pt idx="24">
                  <c:v>38.580999999999996</c:v>
                </c:pt>
                <c:pt idx="25">
                  <c:v>38.438699999999997</c:v>
                </c:pt>
                <c:pt idx="26">
                  <c:v>38.394500000000001</c:v>
                </c:pt>
                <c:pt idx="27">
                  <c:v>38.375799999999998</c:v>
                </c:pt>
                <c:pt idx="28">
                  <c:v>38.349800000000002</c:v>
                </c:pt>
                <c:pt idx="29">
                  <c:v>38.321300000000001</c:v>
                </c:pt>
                <c:pt idx="30">
                  <c:v>38.266600000000004</c:v>
                </c:pt>
                <c:pt idx="31">
                  <c:v>38.158099999999997</c:v>
                </c:pt>
                <c:pt idx="32">
                  <c:v>38.028800000000004</c:v>
                </c:pt>
                <c:pt idx="33">
                  <c:v>37.938499999999998</c:v>
                </c:pt>
                <c:pt idx="34">
                  <c:v>37.890099999999997</c:v>
                </c:pt>
                <c:pt idx="35">
                  <c:v>37.841700000000003</c:v>
                </c:pt>
                <c:pt idx="36">
                  <c:v>37.858799999999995</c:v>
                </c:pt>
                <c:pt idx="37">
                  <c:v>38.039899999999996</c:v>
                </c:pt>
                <c:pt idx="38">
                  <c:v>38.353099999999998</c:v>
                </c:pt>
                <c:pt idx="39">
                  <c:v>38.7333</c:v>
                </c:pt>
                <c:pt idx="40">
                  <c:v>39.1905</c:v>
                </c:pt>
                <c:pt idx="41">
                  <c:v>39.741999999999997</c:v>
                </c:pt>
                <c:pt idx="42">
                  <c:v>40.345300000000002</c:v>
                </c:pt>
                <c:pt idx="43">
                  <c:v>40.950699999999998</c:v>
                </c:pt>
                <c:pt idx="44">
                  <c:v>41.476500000000001</c:v>
                </c:pt>
                <c:pt idx="45">
                  <c:v>41.984000000000002</c:v>
                </c:pt>
                <c:pt idx="46">
                  <c:v>42.509399999999999</c:v>
                </c:pt>
                <c:pt idx="47">
                  <c:v>43.044800000000002</c:v>
                </c:pt>
                <c:pt idx="48">
                  <c:v>43.537300000000002</c:v>
                </c:pt>
                <c:pt idx="49">
                  <c:v>44.028399999999998</c:v>
                </c:pt>
                <c:pt idx="50">
                  <c:v>44.446300000000001</c:v>
                </c:pt>
                <c:pt idx="51">
                  <c:v>44.602899999999998</c:v>
                </c:pt>
                <c:pt idx="52">
                  <c:v>44.663599999999995</c:v>
                </c:pt>
                <c:pt idx="53">
                  <c:v>44.686799999999998</c:v>
                </c:pt>
                <c:pt idx="54">
                  <c:v>44.676400000000001</c:v>
                </c:pt>
                <c:pt idx="55">
                  <c:v>44.639899999999997</c:v>
                </c:pt>
                <c:pt idx="56">
                  <c:v>44.629400000000004</c:v>
                </c:pt>
                <c:pt idx="57">
                  <c:v>44.65</c:v>
                </c:pt>
                <c:pt idx="58">
                  <c:v>44.694400000000002</c:v>
                </c:pt>
                <c:pt idx="59">
                  <c:v>44.764700000000005</c:v>
                </c:pt>
                <c:pt idx="60">
                  <c:v>44.917200000000001</c:v>
                </c:pt>
                <c:pt idx="61">
                  <c:v>45.120800000000003</c:v>
                </c:pt>
                <c:pt idx="62">
                  <c:v>45.353500000000004</c:v>
                </c:pt>
                <c:pt idx="63">
                  <c:v>45.57</c:v>
                </c:pt>
                <c:pt idx="64">
                  <c:v>45.831499999999998</c:v>
                </c:pt>
                <c:pt idx="65">
                  <c:v>46.106299999999997</c:v>
                </c:pt>
                <c:pt idx="66">
                  <c:v>46.417400000000001</c:v>
                </c:pt>
                <c:pt idx="67">
                  <c:v>46.647199999999998</c:v>
                </c:pt>
                <c:pt idx="68">
                  <c:v>46.672799999999995</c:v>
                </c:pt>
                <c:pt idx="69">
                  <c:v>46.831499999999998</c:v>
                </c:pt>
                <c:pt idx="70">
                  <c:v>47.118700000000004</c:v>
                </c:pt>
                <c:pt idx="71">
                  <c:v>47.466900000000003</c:v>
                </c:pt>
                <c:pt idx="72">
                  <c:v>47.691600000000001</c:v>
                </c:pt>
                <c:pt idx="73">
                  <c:v>47.8919</c:v>
                </c:pt>
                <c:pt idx="74">
                  <c:v>48.146599999999999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14.932499999999999</c:v>
                </c:pt>
                <c:pt idx="1">
                  <c:v>44.797499999999999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50.620858108108102</c:v>
                </c:pt>
                <c:pt idx="1">
                  <c:v>42.374797297297292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2.30775</c:v>
                </c:pt>
                <c:pt idx="1">
                  <c:v>2.35229</c:v>
                </c:pt>
                <c:pt idx="2">
                  <c:v>2.3943600000000003</c:v>
                </c:pt>
                <c:pt idx="3">
                  <c:v>2.43526</c:v>
                </c:pt>
                <c:pt idx="4">
                  <c:v>2.4740000000000002</c:v>
                </c:pt>
                <c:pt idx="5">
                  <c:v>2.51112</c:v>
                </c:pt>
                <c:pt idx="6">
                  <c:v>2.5469399999999998</c:v>
                </c:pt>
                <c:pt idx="7">
                  <c:v>2.58195</c:v>
                </c:pt>
                <c:pt idx="8">
                  <c:v>2.6153500000000003</c:v>
                </c:pt>
                <c:pt idx="9">
                  <c:v>2.6466499999999997</c:v>
                </c:pt>
                <c:pt idx="10">
                  <c:v>2.6753100000000001</c:v>
                </c:pt>
                <c:pt idx="11">
                  <c:v>2.7013100000000003</c:v>
                </c:pt>
                <c:pt idx="12">
                  <c:v>2.7202100000000002</c:v>
                </c:pt>
                <c:pt idx="13">
                  <c:v>2.7363300000000002</c:v>
                </c:pt>
                <c:pt idx="14">
                  <c:v>2.74892</c:v>
                </c:pt>
                <c:pt idx="15">
                  <c:v>2.7579599999999997</c:v>
                </c:pt>
                <c:pt idx="16">
                  <c:v>2.7645199999999996</c:v>
                </c:pt>
                <c:pt idx="17">
                  <c:v>2.7673700000000001</c:v>
                </c:pt>
                <c:pt idx="18">
                  <c:v>2.7680600000000002</c:v>
                </c:pt>
                <c:pt idx="19">
                  <c:v>2.7656299999999998</c:v>
                </c:pt>
                <c:pt idx="20">
                  <c:v>2.7620699999999996</c:v>
                </c:pt>
                <c:pt idx="21">
                  <c:v>2.7587800000000002</c:v>
                </c:pt>
                <c:pt idx="22">
                  <c:v>2.7562899999999999</c:v>
                </c:pt>
                <c:pt idx="23">
                  <c:v>2.7549899999999998</c:v>
                </c:pt>
                <c:pt idx="24">
                  <c:v>2.7528700000000002</c:v>
                </c:pt>
                <c:pt idx="25">
                  <c:v>2.7487499999999998</c:v>
                </c:pt>
                <c:pt idx="26">
                  <c:v>2.7430399999999997</c:v>
                </c:pt>
                <c:pt idx="27">
                  <c:v>2.7362299999999999</c:v>
                </c:pt>
                <c:pt idx="28">
                  <c:v>2.7288099999999997</c:v>
                </c:pt>
                <c:pt idx="29">
                  <c:v>2.7208300000000003</c:v>
                </c:pt>
                <c:pt idx="30">
                  <c:v>2.7114700000000003</c:v>
                </c:pt>
                <c:pt idx="31">
                  <c:v>2.6999299999999997</c:v>
                </c:pt>
                <c:pt idx="32">
                  <c:v>2.6900200000000001</c:v>
                </c:pt>
                <c:pt idx="33">
                  <c:v>2.6795299999999997</c:v>
                </c:pt>
                <c:pt idx="34">
                  <c:v>2.6690700000000001</c:v>
                </c:pt>
                <c:pt idx="35">
                  <c:v>2.6584400000000001</c:v>
                </c:pt>
                <c:pt idx="36">
                  <c:v>2.64961</c:v>
                </c:pt>
                <c:pt idx="37">
                  <c:v>2.6483099999999999</c:v>
                </c:pt>
                <c:pt idx="38">
                  <c:v>2.6490599999999995</c:v>
                </c:pt>
                <c:pt idx="39">
                  <c:v>2.6565899999999996</c:v>
                </c:pt>
                <c:pt idx="40">
                  <c:v>2.6695799999999998</c:v>
                </c:pt>
                <c:pt idx="41">
                  <c:v>2.68716</c:v>
                </c:pt>
                <c:pt idx="42">
                  <c:v>2.7083499999999998</c:v>
                </c:pt>
                <c:pt idx="43">
                  <c:v>2.7325700000000004</c:v>
                </c:pt>
                <c:pt idx="44">
                  <c:v>2.7581199999999999</c:v>
                </c:pt>
                <c:pt idx="45">
                  <c:v>2.7835000000000001</c:v>
                </c:pt>
                <c:pt idx="46">
                  <c:v>2.8079999999999998</c:v>
                </c:pt>
                <c:pt idx="47">
                  <c:v>2.8304800000000001</c:v>
                </c:pt>
                <c:pt idx="48">
                  <c:v>2.8529300000000002</c:v>
                </c:pt>
                <c:pt idx="49">
                  <c:v>2.87812</c:v>
                </c:pt>
                <c:pt idx="50">
                  <c:v>2.8966099999999999</c:v>
                </c:pt>
                <c:pt idx="51">
                  <c:v>2.9319899999999999</c:v>
                </c:pt>
                <c:pt idx="52">
                  <c:v>2.9729699999999997</c:v>
                </c:pt>
                <c:pt idx="53">
                  <c:v>3.0357400000000001</c:v>
                </c:pt>
                <c:pt idx="54">
                  <c:v>3.0666599999999997</c:v>
                </c:pt>
                <c:pt idx="55">
                  <c:v>3.1386099999999999</c:v>
                </c:pt>
                <c:pt idx="56">
                  <c:v>3.1954199999999999</c:v>
                </c:pt>
                <c:pt idx="57">
                  <c:v>3.2326600000000001</c:v>
                </c:pt>
                <c:pt idx="58">
                  <c:v>3.2898000000000001</c:v>
                </c:pt>
                <c:pt idx="59">
                  <c:v>3.34775</c:v>
                </c:pt>
                <c:pt idx="60">
                  <c:v>3.42543</c:v>
                </c:pt>
                <c:pt idx="61">
                  <c:v>3.4809400000000004</c:v>
                </c:pt>
                <c:pt idx="62">
                  <c:v>3.5196499999999995</c:v>
                </c:pt>
                <c:pt idx="63">
                  <c:v>3.5733600000000001</c:v>
                </c:pt>
                <c:pt idx="64">
                  <c:v>3.63585</c:v>
                </c:pt>
                <c:pt idx="65">
                  <c:v>3.6832399999999996</c:v>
                </c:pt>
                <c:pt idx="66">
                  <c:v>3.7181999999999999</c:v>
                </c:pt>
                <c:pt idx="67">
                  <c:v>3.7739799999999999</c:v>
                </c:pt>
                <c:pt idx="68">
                  <c:v>3.8067200000000003</c:v>
                </c:pt>
                <c:pt idx="69">
                  <c:v>3.8541500000000002</c:v>
                </c:pt>
                <c:pt idx="70">
                  <c:v>3.8845800000000001</c:v>
                </c:pt>
                <c:pt idx="71">
                  <c:v>3.9214199999999999</c:v>
                </c:pt>
                <c:pt idx="72">
                  <c:v>3.9507700000000003</c:v>
                </c:pt>
                <c:pt idx="73">
                  <c:v>3.9776199999999999</c:v>
                </c:pt>
                <c:pt idx="74">
                  <c:v>4.0031699999999999</c:v>
                </c:pt>
                <c:pt idx="75">
                  <c:v>4.0209899999999994</c:v>
                </c:pt>
                <c:pt idx="76">
                  <c:v>4.0350599999999996</c:v>
                </c:pt>
                <c:pt idx="77">
                  <c:v>4.0454400000000001</c:v>
                </c:pt>
                <c:pt idx="78">
                  <c:v>4.0532500000000002</c:v>
                </c:pt>
                <c:pt idx="79">
                  <c:v>4.0602900000000002</c:v>
                </c:pt>
                <c:pt idx="80">
                  <c:v>4.0676499999999995</c:v>
                </c:pt>
                <c:pt idx="81">
                  <c:v>4.0731200000000003</c:v>
                </c:pt>
                <c:pt idx="82">
                  <c:v>4.0784000000000002</c:v>
                </c:pt>
                <c:pt idx="83">
                  <c:v>4.0854099999999995</c:v>
                </c:pt>
                <c:pt idx="84">
                  <c:v>4.0943800000000001</c:v>
                </c:pt>
                <c:pt idx="85">
                  <c:v>4.1049100000000003</c:v>
                </c:pt>
                <c:pt idx="86">
                  <c:v>4.1168500000000003</c:v>
                </c:pt>
                <c:pt idx="87">
                  <c:v>4.1277100000000004</c:v>
                </c:pt>
                <c:pt idx="88">
                  <c:v>4.1366399999999999</c:v>
                </c:pt>
                <c:pt idx="89">
                  <c:v>4.1435599999999999</c:v>
                </c:pt>
                <c:pt idx="90">
                  <c:v>4.1476600000000001</c:v>
                </c:pt>
                <c:pt idx="91">
                  <c:v>4.1471200000000001</c:v>
                </c:pt>
                <c:pt idx="92">
                  <c:v>4.1426800000000004</c:v>
                </c:pt>
                <c:pt idx="93">
                  <c:v>4.1367399999999996</c:v>
                </c:pt>
                <c:pt idx="94">
                  <c:v>4.13028</c:v>
                </c:pt>
                <c:pt idx="95">
                  <c:v>4.1249000000000002</c:v>
                </c:pt>
                <c:pt idx="96">
                  <c:v>4.1193999999999997</c:v>
                </c:pt>
                <c:pt idx="97">
                  <c:v>4.1146500000000001</c:v>
                </c:pt>
                <c:pt idx="98">
                  <c:v>4.1083799999999995</c:v>
                </c:pt>
                <c:pt idx="99">
                  <c:v>4.0999799999999995</c:v>
                </c:pt>
                <c:pt idx="100">
                  <c:v>4.0902899999999995</c:v>
                </c:pt>
                <c:pt idx="101">
                  <c:v>4.0785599999999995</c:v>
                </c:pt>
                <c:pt idx="102">
                  <c:v>4.0648900000000001</c:v>
                </c:pt>
                <c:pt idx="103">
                  <c:v>4.0493299999999994</c:v>
                </c:pt>
                <c:pt idx="104">
                  <c:v>4.0324200000000001</c:v>
                </c:pt>
                <c:pt idx="105">
                  <c:v>4.0129999999999999</c:v>
                </c:pt>
                <c:pt idx="106">
                  <c:v>3.9930399999999997</c:v>
                </c:pt>
                <c:pt idx="107">
                  <c:v>3.9711800000000004</c:v>
                </c:pt>
                <c:pt idx="108">
                  <c:v>3.9440900000000001</c:v>
                </c:pt>
                <c:pt idx="109">
                  <c:v>3.91059</c:v>
                </c:pt>
                <c:pt idx="110">
                  <c:v>3.8712900000000001</c:v>
                </c:pt>
                <c:pt idx="111">
                  <c:v>3.8307700000000002</c:v>
                </c:pt>
                <c:pt idx="112">
                  <c:v>3.7899699999999998</c:v>
                </c:pt>
                <c:pt idx="113">
                  <c:v>3.7509300000000003</c:v>
                </c:pt>
                <c:pt idx="114">
                  <c:v>3.71408</c:v>
                </c:pt>
                <c:pt idx="115">
                  <c:v>3.6796600000000002</c:v>
                </c:pt>
                <c:pt idx="116">
                  <c:v>3.6506300000000005</c:v>
                </c:pt>
                <c:pt idx="117">
                  <c:v>3.6273300000000002</c:v>
                </c:pt>
                <c:pt idx="118">
                  <c:v>3.6084000000000001</c:v>
                </c:pt>
                <c:pt idx="119">
                  <c:v>3.59388</c:v>
                </c:pt>
                <c:pt idx="120">
                  <c:v>3.5795599999999999</c:v>
                </c:pt>
                <c:pt idx="121">
                  <c:v>3.5661500000000004</c:v>
                </c:pt>
                <c:pt idx="122">
                  <c:v>3.55315</c:v>
                </c:pt>
                <c:pt idx="123">
                  <c:v>3.5426200000000003</c:v>
                </c:pt>
                <c:pt idx="124">
                  <c:v>3.5314800000000002</c:v>
                </c:pt>
                <c:pt idx="125">
                  <c:v>3.5251300000000003</c:v>
                </c:pt>
                <c:pt idx="126">
                  <c:v>3.5228299999999999</c:v>
                </c:pt>
                <c:pt idx="127">
                  <c:v>3.52318</c:v>
                </c:pt>
                <c:pt idx="128">
                  <c:v>3.5267900000000001</c:v>
                </c:pt>
                <c:pt idx="129">
                  <c:v>3.52989</c:v>
                </c:pt>
                <c:pt idx="130">
                  <c:v>3.53199</c:v>
                </c:pt>
                <c:pt idx="131">
                  <c:v>3.5331000000000001</c:v>
                </c:pt>
                <c:pt idx="132">
                  <c:v>3.5346100000000003</c:v>
                </c:pt>
                <c:pt idx="133">
                  <c:v>3.53878</c:v>
                </c:pt>
                <c:pt idx="134">
                  <c:v>3.5478900000000002</c:v>
                </c:pt>
                <c:pt idx="135">
                  <c:v>3.5612599999999999</c:v>
                </c:pt>
                <c:pt idx="136">
                  <c:v>3.5756199999999998</c:v>
                </c:pt>
                <c:pt idx="137">
                  <c:v>3.5919400000000001</c:v>
                </c:pt>
                <c:pt idx="138">
                  <c:v>3.6083400000000001</c:v>
                </c:pt>
                <c:pt idx="139">
                  <c:v>3.6236200000000003</c:v>
                </c:pt>
                <c:pt idx="140">
                  <c:v>3.6398999999999999</c:v>
                </c:pt>
                <c:pt idx="141">
                  <c:v>3.65374</c:v>
                </c:pt>
                <c:pt idx="142">
                  <c:v>3.6642299999999999</c:v>
                </c:pt>
                <c:pt idx="143">
                  <c:v>3.66812</c:v>
                </c:pt>
                <c:pt idx="144">
                  <c:v>3.6590800000000003</c:v>
                </c:pt>
                <c:pt idx="145">
                  <c:v>3.6520200000000003</c:v>
                </c:pt>
                <c:pt idx="146">
                  <c:v>3.64534</c:v>
                </c:pt>
                <c:pt idx="147">
                  <c:v>3.6451699999999998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62.049799999999998</c:v>
                </c:pt>
                <c:pt idx="1">
                  <c:v>61.586799999999997</c:v>
                </c:pt>
                <c:pt idx="2">
                  <c:v>61.065300000000001</c:v>
                </c:pt>
                <c:pt idx="3">
                  <c:v>60.4499</c:v>
                </c:pt>
                <c:pt idx="4">
                  <c:v>59.7834</c:v>
                </c:pt>
                <c:pt idx="5">
                  <c:v>59.0075</c:v>
                </c:pt>
                <c:pt idx="6">
                  <c:v>58.209699999999998</c:v>
                </c:pt>
                <c:pt idx="7">
                  <c:v>57.459199999999996</c:v>
                </c:pt>
                <c:pt idx="8">
                  <c:v>56.738699999999994</c:v>
                </c:pt>
                <c:pt idx="9">
                  <c:v>56.0929</c:v>
                </c:pt>
                <c:pt idx="10">
                  <c:v>55.631500000000003</c:v>
                </c:pt>
                <c:pt idx="11">
                  <c:v>55.231499999999997</c:v>
                </c:pt>
                <c:pt idx="12">
                  <c:v>54.901200000000003</c:v>
                </c:pt>
                <c:pt idx="13">
                  <c:v>54.588000000000001</c:v>
                </c:pt>
                <c:pt idx="14">
                  <c:v>54.288599999999995</c:v>
                </c:pt>
                <c:pt idx="15">
                  <c:v>53.989899999999999</c:v>
                </c:pt>
                <c:pt idx="16">
                  <c:v>53.719799999999992</c:v>
                </c:pt>
                <c:pt idx="17">
                  <c:v>53.476599999999998</c:v>
                </c:pt>
                <c:pt idx="18">
                  <c:v>53.227899999999991</c:v>
                </c:pt>
                <c:pt idx="19">
                  <c:v>52.971500000000006</c:v>
                </c:pt>
                <c:pt idx="20">
                  <c:v>52.677799999999998</c:v>
                </c:pt>
                <c:pt idx="21">
                  <c:v>52.346400000000003</c:v>
                </c:pt>
                <c:pt idx="22">
                  <c:v>52.028500000000001</c:v>
                </c:pt>
                <c:pt idx="23">
                  <c:v>51.757200000000005</c:v>
                </c:pt>
                <c:pt idx="24">
                  <c:v>51.500999999999998</c:v>
                </c:pt>
                <c:pt idx="25">
                  <c:v>51.277099999999997</c:v>
                </c:pt>
                <c:pt idx="26">
                  <c:v>51.0625</c:v>
                </c:pt>
                <c:pt idx="27">
                  <c:v>50.859099999999998</c:v>
                </c:pt>
                <c:pt idx="28">
                  <c:v>50.710799999999999</c:v>
                </c:pt>
                <c:pt idx="29">
                  <c:v>50.555999999999997</c:v>
                </c:pt>
                <c:pt idx="30">
                  <c:v>50.421999999999997</c:v>
                </c:pt>
                <c:pt idx="31">
                  <c:v>50.364699999999999</c:v>
                </c:pt>
                <c:pt idx="32">
                  <c:v>50.333500000000001</c:v>
                </c:pt>
                <c:pt idx="33">
                  <c:v>50.348000000000006</c:v>
                </c:pt>
                <c:pt idx="34">
                  <c:v>50.363100000000003</c:v>
                </c:pt>
                <c:pt idx="35">
                  <c:v>50.304700000000004</c:v>
                </c:pt>
                <c:pt idx="36">
                  <c:v>50.299400000000006</c:v>
                </c:pt>
                <c:pt idx="37">
                  <c:v>50.244299999999996</c:v>
                </c:pt>
                <c:pt idx="38">
                  <c:v>50.201799999999999</c:v>
                </c:pt>
                <c:pt idx="39">
                  <c:v>50.184399999999997</c:v>
                </c:pt>
                <c:pt idx="40">
                  <c:v>50.104700000000001</c:v>
                </c:pt>
                <c:pt idx="41">
                  <c:v>49.915599999999998</c:v>
                </c:pt>
                <c:pt idx="42">
                  <c:v>49.727600000000002</c:v>
                </c:pt>
                <c:pt idx="43">
                  <c:v>49.557299999999998</c:v>
                </c:pt>
                <c:pt idx="44">
                  <c:v>49.4664</c:v>
                </c:pt>
                <c:pt idx="45">
                  <c:v>49.431000000000004</c:v>
                </c:pt>
                <c:pt idx="46">
                  <c:v>49.423499999999997</c:v>
                </c:pt>
                <c:pt idx="47">
                  <c:v>49.417200000000001</c:v>
                </c:pt>
                <c:pt idx="48">
                  <c:v>49.3782</c:v>
                </c:pt>
                <c:pt idx="49">
                  <c:v>49.2864</c:v>
                </c:pt>
                <c:pt idx="50">
                  <c:v>49.212899999999998</c:v>
                </c:pt>
                <c:pt idx="51">
                  <c:v>48.960999999999999</c:v>
                </c:pt>
                <c:pt idx="52">
                  <c:v>48.642800000000001</c:v>
                </c:pt>
                <c:pt idx="53">
                  <c:v>47.984300000000005</c:v>
                </c:pt>
                <c:pt idx="54">
                  <c:v>47.833500000000001</c:v>
                </c:pt>
                <c:pt idx="55">
                  <c:v>47.171800000000005</c:v>
                </c:pt>
                <c:pt idx="56">
                  <c:v>46.73</c:v>
                </c:pt>
                <c:pt idx="57">
                  <c:v>46.576799999999999</c:v>
                </c:pt>
                <c:pt idx="58">
                  <c:v>46.096599999999995</c:v>
                </c:pt>
                <c:pt idx="59">
                  <c:v>45.665900000000001</c:v>
                </c:pt>
                <c:pt idx="60">
                  <c:v>44.962200000000003</c:v>
                </c:pt>
                <c:pt idx="61">
                  <c:v>44.768900000000002</c:v>
                </c:pt>
                <c:pt idx="62">
                  <c:v>44.824100000000001</c:v>
                </c:pt>
                <c:pt idx="63">
                  <c:v>44.731400000000001</c:v>
                </c:pt>
                <c:pt idx="64">
                  <c:v>44.495000000000005</c:v>
                </c:pt>
                <c:pt idx="65">
                  <c:v>44.4011</c:v>
                </c:pt>
                <c:pt idx="66">
                  <c:v>44.438400000000001</c:v>
                </c:pt>
                <c:pt idx="67">
                  <c:v>44.1434</c:v>
                </c:pt>
                <c:pt idx="68">
                  <c:v>44.154199999999996</c:v>
                </c:pt>
                <c:pt idx="69">
                  <c:v>44.074000000000005</c:v>
                </c:pt>
                <c:pt idx="70">
                  <c:v>44.2104</c:v>
                </c:pt>
                <c:pt idx="71">
                  <c:v>44.3795</c:v>
                </c:pt>
                <c:pt idx="72">
                  <c:v>44.6218</c:v>
                </c:pt>
                <c:pt idx="73">
                  <c:v>44.843600000000002</c:v>
                </c:pt>
                <c:pt idx="74">
                  <c:v>44.962600000000002</c:v>
                </c:pt>
                <c:pt idx="75">
                  <c:v>44.845500000000001</c:v>
                </c:pt>
                <c:pt idx="76">
                  <c:v>44.676300000000005</c:v>
                </c:pt>
                <c:pt idx="77">
                  <c:v>44.399899999999995</c:v>
                </c:pt>
                <c:pt idx="78">
                  <c:v>44.061900000000001</c:v>
                </c:pt>
                <c:pt idx="79">
                  <c:v>43.742899999999999</c:v>
                </c:pt>
                <c:pt idx="80">
                  <c:v>43.444700000000005</c:v>
                </c:pt>
                <c:pt idx="81">
                  <c:v>43.134799999999998</c:v>
                </c:pt>
                <c:pt idx="82">
                  <c:v>42.834499999999998</c:v>
                </c:pt>
                <c:pt idx="83">
                  <c:v>42.567700000000002</c:v>
                </c:pt>
                <c:pt idx="84">
                  <c:v>42.280699999999996</c:v>
                </c:pt>
                <c:pt idx="85">
                  <c:v>41.918100000000003</c:v>
                </c:pt>
                <c:pt idx="86">
                  <c:v>41.519500000000001</c:v>
                </c:pt>
                <c:pt idx="87">
                  <c:v>41.136400000000002</c:v>
                </c:pt>
                <c:pt idx="88">
                  <c:v>40.7697</c:v>
                </c:pt>
                <c:pt idx="89">
                  <c:v>40.405999999999999</c:v>
                </c:pt>
                <c:pt idx="90">
                  <c:v>40.104500000000002</c:v>
                </c:pt>
                <c:pt idx="91">
                  <c:v>39.904699999999998</c:v>
                </c:pt>
                <c:pt idx="92">
                  <c:v>39.740299999999998</c:v>
                </c:pt>
                <c:pt idx="93">
                  <c:v>39.543099999999995</c:v>
                </c:pt>
                <c:pt idx="94">
                  <c:v>39.286000000000001</c:v>
                </c:pt>
                <c:pt idx="95">
                  <c:v>39.033499999999997</c:v>
                </c:pt>
                <c:pt idx="96">
                  <c:v>38.804499999999997</c:v>
                </c:pt>
                <c:pt idx="97">
                  <c:v>38.580999999999996</c:v>
                </c:pt>
                <c:pt idx="98">
                  <c:v>38.438699999999997</c:v>
                </c:pt>
                <c:pt idx="99">
                  <c:v>38.394500000000001</c:v>
                </c:pt>
                <c:pt idx="100">
                  <c:v>38.375799999999998</c:v>
                </c:pt>
                <c:pt idx="101">
                  <c:v>38.349800000000002</c:v>
                </c:pt>
                <c:pt idx="102">
                  <c:v>38.321300000000001</c:v>
                </c:pt>
                <c:pt idx="103">
                  <c:v>38.266600000000004</c:v>
                </c:pt>
                <c:pt idx="104">
                  <c:v>38.158099999999997</c:v>
                </c:pt>
                <c:pt idx="105">
                  <c:v>38.028800000000004</c:v>
                </c:pt>
                <c:pt idx="106">
                  <c:v>37.938499999999998</c:v>
                </c:pt>
                <c:pt idx="107">
                  <c:v>37.890099999999997</c:v>
                </c:pt>
                <c:pt idx="108">
                  <c:v>37.841700000000003</c:v>
                </c:pt>
                <c:pt idx="109">
                  <c:v>37.858799999999995</c:v>
                </c:pt>
                <c:pt idx="110">
                  <c:v>38.039899999999996</c:v>
                </c:pt>
                <c:pt idx="111">
                  <c:v>38.353099999999998</c:v>
                </c:pt>
                <c:pt idx="112">
                  <c:v>38.7333</c:v>
                </c:pt>
                <c:pt idx="113">
                  <c:v>39.1905</c:v>
                </c:pt>
                <c:pt idx="114">
                  <c:v>39.741999999999997</c:v>
                </c:pt>
                <c:pt idx="115">
                  <c:v>40.345300000000002</c:v>
                </c:pt>
                <c:pt idx="116">
                  <c:v>40.950699999999998</c:v>
                </c:pt>
                <c:pt idx="117">
                  <c:v>41.476500000000001</c:v>
                </c:pt>
                <c:pt idx="118">
                  <c:v>41.984000000000002</c:v>
                </c:pt>
                <c:pt idx="119">
                  <c:v>42.509399999999999</c:v>
                </c:pt>
                <c:pt idx="120">
                  <c:v>43.044800000000002</c:v>
                </c:pt>
                <c:pt idx="121">
                  <c:v>43.537300000000002</c:v>
                </c:pt>
                <c:pt idx="122">
                  <c:v>44.028399999999998</c:v>
                </c:pt>
                <c:pt idx="123">
                  <c:v>44.446300000000001</c:v>
                </c:pt>
                <c:pt idx="124">
                  <c:v>44.602899999999998</c:v>
                </c:pt>
                <c:pt idx="125">
                  <c:v>44.663599999999995</c:v>
                </c:pt>
                <c:pt idx="126">
                  <c:v>44.686799999999998</c:v>
                </c:pt>
                <c:pt idx="127">
                  <c:v>44.676400000000001</c:v>
                </c:pt>
                <c:pt idx="128">
                  <c:v>44.639899999999997</c:v>
                </c:pt>
                <c:pt idx="129">
                  <c:v>44.629400000000004</c:v>
                </c:pt>
                <c:pt idx="130">
                  <c:v>44.65</c:v>
                </c:pt>
                <c:pt idx="131">
                  <c:v>44.694400000000002</c:v>
                </c:pt>
                <c:pt idx="132">
                  <c:v>44.764700000000005</c:v>
                </c:pt>
                <c:pt idx="133">
                  <c:v>44.917200000000001</c:v>
                </c:pt>
                <c:pt idx="134">
                  <c:v>45.120800000000003</c:v>
                </c:pt>
                <c:pt idx="135">
                  <c:v>45.353500000000004</c:v>
                </c:pt>
                <c:pt idx="136">
                  <c:v>45.57</c:v>
                </c:pt>
                <c:pt idx="137">
                  <c:v>45.831499999999998</c:v>
                </c:pt>
                <c:pt idx="138">
                  <c:v>46.106299999999997</c:v>
                </c:pt>
                <c:pt idx="139">
                  <c:v>46.417400000000001</c:v>
                </c:pt>
                <c:pt idx="140">
                  <c:v>46.647199999999998</c:v>
                </c:pt>
                <c:pt idx="141">
                  <c:v>46.672799999999995</c:v>
                </c:pt>
                <c:pt idx="142">
                  <c:v>46.831499999999998</c:v>
                </c:pt>
                <c:pt idx="143">
                  <c:v>47.118700000000004</c:v>
                </c:pt>
                <c:pt idx="144">
                  <c:v>47.466900000000003</c:v>
                </c:pt>
                <c:pt idx="145">
                  <c:v>47.691600000000001</c:v>
                </c:pt>
                <c:pt idx="146">
                  <c:v>47.8919</c:v>
                </c:pt>
                <c:pt idx="147">
                  <c:v>48.146599999999999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2.30775</c:v>
                </c:pt>
                <c:pt idx="1">
                  <c:v>2.35229</c:v>
                </c:pt>
                <c:pt idx="2">
                  <c:v>2.3943600000000003</c:v>
                </c:pt>
                <c:pt idx="3">
                  <c:v>2.43526</c:v>
                </c:pt>
                <c:pt idx="4">
                  <c:v>2.4740000000000002</c:v>
                </c:pt>
                <c:pt idx="5">
                  <c:v>2.51112</c:v>
                </c:pt>
                <c:pt idx="6">
                  <c:v>2.5469399999999998</c:v>
                </c:pt>
                <c:pt idx="7">
                  <c:v>2.58195</c:v>
                </c:pt>
                <c:pt idx="8">
                  <c:v>2.6153500000000003</c:v>
                </c:pt>
                <c:pt idx="9">
                  <c:v>2.6466499999999997</c:v>
                </c:pt>
                <c:pt idx="10">
                  <c:v>2.6753100000000001</c:v>
                </c:pt>
                <c:pt idx="11">
                  <c:v>2.7013100000000003</c:v>
                </c:pt>
                <c:pt idx="12">
                  <c:v>2.7202100000000002</c:v>
                </c:pt>
                <c:pt idx="13">
                  <c:v>2.7363300000000002</c:v>
                </c:pt>
                <c:pt idx="14">
                  <c:v>2.74892</c:v>
                </c:pt>
                <c:pt idx="15">
                  <c:v>2.7579599999999997</c:v>
                </c:pt>
                <c:pt idx="16">
                  <c:v>2.7645199999999996</c:v>
                </c:pt>
                <c:pt idx="17">
                  <c:v>2.7673700000000001</c:v>
                </c:pt>
                <c:pt idx="18">
                  <c:v>2.7680600000000002</c:v>
                </c:pt>
                <c:pt idx="19">
                  <c:v>2.7656299999999998</c:v>
                </c:pt>
                <c:pt idx="20">
                  <c:v>2.7620699999999996</c:v>
                </c:pt>
                <c:pt idx="21">
                  <c:v>2.7587800000000002</c:v>
                </c:pt>
                <c:pt idx="22">
                  <c:v>2.7562899999999999</c:v>
                </c:pt>
                <c:pt idx="23">
                  <c:v>2.7549899999999998</c:v>
                </c:pt>
                <c:pt idx="24">
                  <c:v>2.7528700000000002</c:v>
                </c:pt>
                <c:pt idx="25">
                  <c:v>2.7487499999999998</c:v>
                </c:pt>
                <c:pt idx="26">
                  <c:v>2.7430399999999997</c:v>
                </c:pt>
                <c:pt idx="27">
                  <c:v>2.7362299999999999</c:v>
                </c:pt>
                <c:pt idx="28">
                  <c:v>2.7288099999999997</c:v>
                </c:pt>
                <c:pt idx="29">
                  <c:v>2.7208300000000003</c:v>
                </c:pt>
                <c:pt idx="30">
                  <c:v>2.7114700000000003</c:v>
                </c:pt>
                <c:pt idx="31">
                  <c:v>2.6999299999999997</c:v>
                </c:pt>
                <c:pt idx="32">
                  <c:v>2.6900200000000001</c:v>
                </c:pt>
                <c:pt idx="33">
                  <c:v>2.6795299999999997</c:v>
                </c:pt>
                <c:pt idx="34">
                  <c:v>2.6690700000000001</c:v>
                </c:pt>
                <c:pt idx="35">
                  <c:v>2.6584400000000001</c:v>
                </c:pt>
                <c:pt idx="36">
                  <c:v>2.64961</c:v>
                </c:pt>
                <c:pt idx="37">
                  <c:v>2.6483099999999999</c:v>
                </c:pt>
                <c:pt idx="38">
                  <c:v>2.6490599999999995</c:v>
                </c:pt>
                <c:pt idx="39">
                  <c:v>2.6565899999999996</c:v>
                </c:pt>
                <c:pt idx="40">
                  <c:v>2.6695799999999998</c:v>
                </c:pt>
                <c:pt idx="41">
                  <c:v>2.68716</c:v>
                </c:pt>
                <c:pt idx="42">
                  <c:v>2.7083499999999998</c:v>
                </c:pt>
                <c:pt idx="43">
                  <c:v>2.7325700000000004</c:v>
                </c:pt>
                <c:pt idx="44">
                  <c:v>2.7581199999999999</c:v>
                </c:pt>
                <c:pt idx="45">
                  <c:v>2.7835000000000001</c:v>
                </c:pt>
                <c:pt idx="46">
                  <c:v>2.8079999999999998</c:v>
                </c:pt>
                <c:pt idx="47">
                  <c:v>2.8304800000000001</c:v>
                </c:pt>
                <c:pt idx="48">
                  <c:v>2.8529300000000002</c:v>
                </c:pt>
                <c:pt idx="49">
                  <c:v>2.87812</c:v>
                </c:pt>
                <c:pt idx="50">
                  <c:v>2.8966099999999999</c:v>
                </c:pt>
                <c:pt idx="51">
                  <c:v>2.9319899999999999</c:v>
                </c:pt>
                <c:pt idx="52">
                  <c:v>2.9729699999999997</c:v>
                </c:pt>
                <c:pt idx="53">
                  <c:v>3.0357400000000001</c:v>
                </c:pt>
                <c:pt idx="54">
                  <c:v>3.0666599999999997</c:v>
                </c:pt>
                <c:pt idx="55">
                  <c:v>3.1386099999999999</c:v>
                </c:pt>
                <c:pt idx="56">
                  <c:v>3.1954199999999999</c:v>
                </c:pt>
                <c:pt idx="57">
                  <c:v>3.2326600000000001</c:v>
                </c:pt>
                <c:pt idx="58">
                  <c:v>3.2898000000000001</c:v>
                </c:pt>
                <c:pt idx="59">
                  <c:v>3.34775</c:v>
                </c:pt>
                <c:pt idx="60">
                  <c:v>3.42543</c:v>
                </c:pt>
                <c:pt idx="61">
                  <c:v>3.4809400000000004</c:v>
                </c:pt>
                <c:pt idx="62">
                  <c:v>3.5196499999999995</c:v>
                </c:pt>
                <c:pt idx="63">
                  <c:v>3.5733600000000001</c:v>
                </c:pt>
                <c:pt idx="64">
                  <c:v>3.63585</c:v>
                </c:pt>
                <c:pt idx="65">
                  <c:v>3.6832399999999996</c:v>
                </c:pt>
                <c:pt idx="66">
                  <c:v>3.7181999999999999</c:v>
                </c:pt>
                <c:pt idx="67">
                  <c:v>3.7739799999999999</c:v>
                </c:pt>
                <c:pt idx="68">
                  <c:v>3.8067200000000003</c:v>
                </c:pt>
                <c:pt idx="69">
                  <c:v>3.8541500000000002</c:v>
                </c:pt>
                <c:pt idx="70">
                  <c:v>3.8845800000000001</c:v>
                </c:pt>
                <c:pt idx="71">
                  <c:v>3.9214199999999999</c:v>
                </c:pt>
                <c:pt idx="72">
                  <c:v>3.9507700000000003</c:v>
                </c:pt>
                <c:pt idx="73">
                  <c:v>3.9776199999999999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62.049799999999998</c:v>
                </c:pt>
                <c:pt idx="1">
                  <c:v>61.586799999999997</c:v>
                </c:pt>
                <c:pt idx="2">
                  <c:v>61.065300000000001</c:v>
                </c:pt>
                <c:pt idx="3">
                  <c:v>60.4499</c:v>
                </c:pt>
                <c:pt idx="4">
                  <c:v>59.7834</c:v>
                </c:pt>
                <c:pt idx="5">
                  <c:v>59.0075</c:v>
                </c:pt>
                <c:pt idx="6">
                  <c:v>58.209699999999998</c:v>
                </c:pt>
                <c:pt idx="7">
                  <c:v>57.459199999999996</c:v>
                </c:pt>
                <c:pt idx="8">
                  <c:v>56.738699999999994</c:v>
                </c:pt>
                <c:pt idx="9">
                  <c:v>56.0929</c:v>
                </c:pt>
                <c:pt idx="10">
                  <c:v>55.631500000000003</c:v>
                </c:pt>
                <c:pt idx="11">
                  <c:v>55.231499999999997</c:v>
                </c:pt>
                <c:pt idx="12">
                  <c:v>54.901200000000003</c:v>
                </c:pt>
                <c:pt idx="13">
                  <c:v>54.588000000000001</c:v>
                </c:pt>
                <c:pt idx="14">
                  <c:v>54.288599999999995</c:v>
                </c:pt>
                <c:pt idx="15">
                  <c:v>53.989899999999999</c:v>
                </c:pt>
                <c:pt idx="16">
                  <c:v>53.719799999999992</c:v>
                </c:pt>
                <c:pt idx="17">
                  <c:v>53.476599999999998</c:v>
                </c:pt>
                <c:pt idx="18">
                  <c:v>53.227899999999991</c:v>
                </c:pt>
                <c:pt idx="19">
                  <c:v>52.971500000000006</c:v>
                </c:pt>
                <c:pt idx="20">
                  <c:v>52.677799999999998</c:v>
                </c:pt>
                <c:pt idx="21">
                  <c:v>52.346400000000003</c:v>
                </c:pt>
                <c:pt idx="22">
                  <c:v>52.028500000000001</c:v>
                </c:pt>
                <c:pt idx="23">
                  <c:v>51.757200000000005</c:v>
                </c:pt>
                <c:pt idx="24">
                  <c:v>51.500999999999998</c:v>
                </c:pt>
                <c:pt idx="25">
                  <c:v>51.277099999999997</c:v>
                </c:pt>
                <c:pt idx="26">
                  <c:v>51.0625</c:v>
                </c:pt>
                <c:pt idx="27">
                  <c:v>50.859099999999998</c:v>
                </c:pt>
                <c:pt idx="28">
                  <c:v>50.710799999999999</c:v>
                </c:pt>
                <c:pt idx="29">
                  <c:v>50.555999999999997</c:v>
                </c:pt>
                <c:pt idx="30">
                  <c:v>50.421999999999997</c:v>
                </c:pt>
                <c:pt idx="31">
                  <c:v>50.364699999999999</c:v>
                </c:pt>
                <c:pt idx="32">
                  <c:v>50.333500000000001</c:v>
                </c:pt>
                <c:pt idx="33">
                  <c:v>50.348000000000006</c:v>
                </c:pt>
                <c:pt idx="34">
                  <c:v>50.363100000000003</c:v>
                </c:pt>
                <c:pt idx="35">
                  <c:v>50.304700000000004</c:v>
                </c:pt>
                <c:pt idx="36">
                  <c:v>50.299400000000006</c:v>
                </c:pt>
                <c:pt idx="37">
                  <c:v>50.244299999999996</c:v>
                </c:pt>
                <c:pt idx="38">
                  <c:v>50.201799999999999</c:v>
                </c:pt>
                <c:pt idx="39">
                  <c:v>50.184399999999997</c:v>
                </c:pt>
                <c:pt idx="40">
                  <c:v>50.104700000000001</c:v>
                </c:pt>
                <c:pt idx="41">
                  <c:v>49.915599999999998</c:v>
                </c:pt>
                <c:pt idx="42">
                  <c:v>49.727600000000002</c:v>
                </c:pt>
                <c:pt idx="43">
                  <c:v>49.557299999999998</c:v>
                </c:pt>
                <c:pt idx="44">
                  <c:v>49.4664</c:v>
                </c:pt>
                <c:pt idx="45">
                  <c:v>49.431000000000004</c:v>
                </c:pt>
                <c:pt idx="46">
                  <c:v>49.423499999999997</c:v>
                </c:pt>
                <c:pt idx="47">
                  <c:v>49.417200000000001</c:v>
                </c:pt>
                <c:pt idx="48">
                  <c:v>49.3782</c:v>
                </c:pt>
                <c:pt idx="49">
                  <c:v>49.2864</c:v>
                </c:pt>
                <c:pt idx="50">
                  <c:v>49.212899999999998</c:v>
                </c:pt>
                <c:pt idx="51">
                  <c:v>48.960999999999999</c:v>
                </c:pt>
                <c:pt idx="52">
                  <c:v>48.642800000000001</c:v>
                </c:pt>
                <c:pt idx="53">
                  <c:v>47.984300000000005</c:v>
                </c:pt>
                <c:pt idx="54">
                  <c:v>47.833500000000001</c:v>
                </c:pt>
                <c:pt idx="55">
                  <c:v>47.171800000000005</c:v>
                </c:pt>
                <c:pt idx="56">
                  <c:v>46.73</c:v>
                </c:pt>
                <c:pt idx="57">
                  <c:v>46.576799999999999</c:v>
                </c:pt>
                <c:pt idx="58">
                  <c:v>46.096599999999995</c:v>
                </c:pt>
                <c:pt idx="59">
                  <c:v>45.665900000000001</c:v>
                </c:pt>
                <c:pt idx="60">
                  <c:v>44.962200000000003</c:v>
                </c:pt>
                <c:pt idx="61">
                  <c:v>44.768900000000002</c:v>
                </c:pt>
                <c:pt idx="62">
                  <c:v>44.824100000000001</c:v>
                </c:pt>
                <c:pt idx="63">
                  <c:v>44.731400000000001</c:v>
                </c:pt>
                <c:pt idx="64">
                  <c:v>44.495000000000005</c:v>
                </c:pt>
                <c:pt idx="65">
                  <c:v>44.4011</c:v>
                </c:pt>
                <c:pt idx="66">
                  <c:v>44.438400000000001</c:v>
                </c:pt>
                <c:pt idx="67">
                  <c:v>44.1434</c:v>
                </c:pt>
                <c:pt idx="68">
                  <c:v>44.154199999999996</c:v>
                </c:pt>
                <c:pt idx="69">
                  <c:v>44.074000000000005</c:v>
                </c:pt>
                <c:pt idx="70">
                  <c:v>44.2104</c:v>
                </c:pt>
                <c:pt idx="71">
                  <c:v>44.3795</c:v>
                </c:pt>
                <c:pt idx="72">
                  <c:v>44.6218</c:v>
                </c:pt>
                <c:pt idx="73">
                  <c:v>44.843600000000002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3.9776199999999999</c:v>
                </c:pt>
                <c:pt idx="1">
                  <c:v>4.0031699999999999</c:v>
                </c:pt>
                <c:pt idx="2">
                  <c:v>4.0209899999999994</c:v>
                </c:pt>
                <c:pt idx="3">
                  <c:v>4.0350599999999996</c:v>
                </c:pt>
                <c:pt idx="4">
                  <c:v>4.0454400000000001</c:v>
                </c:pt>
                <c:pt idx="5">
                  <c:v>4.0532500000000002</c:v>
                </c:pt>
                <c:pt idx="6">
                  <c:v>4.0602900000000002</c:v>
                </c:pt>
                <c:pt idx="7">
                  <c:v>4.0676499999999995</c:v>
                </c:pt>
                <c:pt idx="8">
                  <c:v>4.0731200000000003</c:v>
                </c:pt>
                <c:pt idx="9">
                  <c:v>4.0784000000000002</c:v>
                </c:pt>
                <c:pt idx="10">
                  <c:v>4.0854099999999995</c:v>
                </c:pt>
                <c:pt idx="11">
                  <c:v>4.0943800000000001</c:v>
                </c:pt>
                <c:pt idx="12">
                  <c:v>4.1049100000000003</c:v>
                </c:pt>
                <c:pt idx="13">
                  <c:v>4.1168500000000003</c:v>
                </c:pt>
                <c:pt idx="14">
                  <c:v>4.1277100000000004</c:v>
                </c:pt>
                <c:pt idx="15">
                  <c:v>4.1366399999999999</c:v>
                </c:pt>
                <c:pt idx="16">
                  <c:v>4.1435599999999999</c:v>
                </c:pt>
                <c:pt idx="17">
                  <c:v>4.1476600000000001</c:v>
                </c:pt>
                <c:pt idx="18">
                  <c:v>4.1471200000000001</c:v>
                </c:pt>
                <c:pt idx="19">
                  <c:v>4.1426800000000004</c:v>
                </c:pt>
                <c:pt idx="20">
                  <c:v>4.1367399999999996</c:v>
                </c:pt>
                <c:pt idx="21">
                  <c:v>4.13028</c:v>
                </c:pt>
                <c:pt idx="22">
                  <c:v>4.1249000000000002</c:v>
                </c:pt>
                <c:pt idx="23">
                  <c:v>4.1193999999999997</c:v>
                </c:pt>
                <c:pt idx="24">
                  <c:v>4.1146500000000001</c:v>
                </c:pt>
                <c:pt idx="25">
                  <c:v>4.1083799999999995</c:v>
                </c:pt>
                <c:pt idx="26">
                  <c:v>4.0999799999999995</c:v>
                </c:pt>
                <c:pt idx="27">
                  <c:v>4.0902899999999995</c:v>
                </c:pt>
                <c:pt idx="28">
                  <c:v>4.0785599999999995</c:v>
                </c:pt>
                <c:pt idx="29">
                  <c:v>4.0648900000000001</c:v>
                </c:pt>
                <c:pt idx="30">
                  <c:v>4.0493299999999994</c:v>
                </c:pt>
                <c:pt idx="31">
                  <c:v>4.0324200000000001</c:v>
                </c:pt>
                <c:pt idx="32">
                  <c:v>4.0129999999999999</c:v>
                </c:pt>
                <c:pt idx="33">
                  <c:v>3.9930399999999997</c:v>
                </c:pt>
                <c:pt idx="34">
                  <c:v>3.9711800000000004</c:v>
                </c:pt>
                <c:pt idx="35">
                  <c:v>3.9440900000000001</c:v>
                </c:pt>
                <c:pt idx="36">
                  <c:v>3.91059</c:v>
                </c:pt>
                <c:pt idx="37">
                  <c:v>3.8712900000000001</c:v>
                </c:pt>
                <c:pt idx="38">
                  <c:v>3.8307700000000002</c:v>
                </c:pt>
                <c:pt idx="39">
                  <c:v>3.7899699999999998</c:v>
                </c:pt>
                <c:pt idx="40">
                  <c:v>3.7509300000000003</c:v>
                </c:pt>
                <c:pt idx="41">
                  <c:v>3.71408</c:v>
                </c:pt>
                <c:pt idx="42">
                  <c:v>3.6796600000000002</c:v>
                </c:pt>
                <c:pt idx="43">
                  <c:v>3.6506300000000005</c:v>
                </c:pt>
                <c:pt idx="44">
                  <c:v>3.6273300000000002</c:v>
                </c:pt>
                <c:pt idx="45">
                  <c:v>3.6084000000000001</c:v>
                </c:pt>
                <c:pt idx="46">
                  <c:v>3.59388</c:v>
                </c:pt>
                <c:pt idx="47">
                  <c:v>3.5795599999999999</c:v>
                </c:pt>
                <c:pt idx="48">
                  <c:v>3.5661500000000004</c:v>
                </c:pt>
                <c:pt idx="49">
                  <c:v>3.55315</c:v>
                </c:pt>
                <c:pt idx="50">
                  <c:v>3.5426200000000003</c:v>
                </c:pt>
                <c:pt idx="51">
                  <c:v>3.5314800000000002</c:v>
                </c:pt>
                <c:pt idx="52">
                  <c:v>3.5251300000000003</c:v>
                </c:pt>
                <c:pt idx="53">
                  <c:v>3.5228299999999999</c:v>
                </c:pt>
                <c:pt idx="54">
                  <c:v>3.52318</c:v>
                </c:pt>
                <c:pt idx="55">
                  <c:v>3.5267900000000001</c:v>
                </c:pt>
                <c:pt idx="56">
                  <c:v>3.52989</c:v>
                </c:pt>
                <c:pt idx="57">
                  <c:v>3.53199</c:v>
                </c:pt>
                <c:pt idx="58">
                  <c:v>3.5331000000000001</c:v>
                </c:pt>
                <c:pt idx="59">
                  <c:v>3.5346100000000003</c:v>
                </c:pt>
                <c:pt idx="60">
                  <c:v>3.53878</c:v>
                </c:pt>
                <c:pt idx="61">
                  <c:v>3.5478900000000002</c:v>
                </c:pt>
                <c:pt idx="62">
                  <c:v>3.5612599999999999</c:v>
                </c:pt>
                <c:pt idx="63">
                  <c:v>3.5756199999999998</c:v>
                </c:pt>
                <c:pt idx="64">
                  <c:v>3.5919400000000001</c:v>
                </c:pt>
                <c:pt idx="65">
                  <c:v>3.6083400000000001</c:v>
                </c:pt>
                <c:pt idx="66">
                  <c:v>3.6236200000000003</c:v>
                </c:pt>
                <c:pt idx="67">
                  <c:v>3.6398999999999999</c:v>
                </c:pt>
                <c:pt idx="68">
                  <c:v>3.65374</c:v>
                </c:pt>
                <c:pt idx="69">
                  <c:v>3.6642299999999999</c:v>
                </c:pt>
                <c:pt idx="70">
                  <c:v>3.66812</c:v>
                </c:pt>
                <c:pt idx="71">
                  <c:v>3.6590800000000003</c:v>
                </c:pt>
                <c:pt idx="72">
                  <c:v>3.6520200000000003</c:v>
                </c:pt>
                <c:pt idx="73">
                  <c:v>3.64534</c:v>
                </c:pt>
                <c:pt idx="74">
                  <c:v>3.6451699999999998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44.843600000000002</c:v>
                </c:pt>
                <c:pt idx="1">
                  <c:v>44.962600000000002</c:v>
                </c:pt>
                <c:pt idx="2">
                  <c:v>44.845500000000001</c:v>
                </c:pt>
                <c:pt idx="3">
                  <c:v>44.676300000000005</c:v>
                </c:pt>
                <c:pt idx="4">
                  <c:v>44.399899999999995</c:v>
                </c:pt>
                <c:pt idx="5">
                  <c:v>44.061900000000001</c:v>
                </c:pt>
                <c:pt idx="6">
                  <c:v>43.742899999999999</c:v>
                </c:pt>
                <c:pt idx="7">
                  <c:v>43.444700000000005</c:v>
                </c:pt>
                <c:pt idx="8">
                  <c:v>43.134799999999998</c:v>
                </c:pt>
                <c:pt idx="9">
                  <c:v>42.834499999999998</c:v>
                </c:pt>
                <c:pt idx="10">
                  <c:v>42.567700000000002</c:v>
                </c:pt>
                <c:pt idx="11">
                  <c:v>42.280699999999996</c:v>
                </c:pt>
                <c:pt idx="12">
                  <c:v>41.918100000000003</c:v>
                </c:pt>
                <c:pt idx="13">
                  <c:v>41.519500000000001</c:v>
                </c:pt>
                <c:pt idx="14">
                  <c:v>41.136400000000002</c:v>
                </c:pt>
                <c:pt idx="15">
                  <c:v>40.7697</c:v>
                </c:pt>
                <c:pt idx="16">
                  <c:v>40.405999999999999</c:v>
                </c:pt>
                <c:pt idx="17">
                  <c:v>40.104500000000002</c:v>
                </c:pt>
                <c:pt idx="18">
                  <c:v>39.904699999999998</c:v>
                </c:pt>
                <c:pt idx="19">
                  <c:v>39.740299999999998</c:v>
                </c:pt>
                <c:pt idx="20">
                  <c:v>39.543099999999995</c:v>
                </c:pt>
                <c:pt idx="21">
                  <c:v>39.286000000000001</c:v>
                </c:pt>
                <c:pt idx="22">
                  <c:v>39.033499999999997</c:v>
                </c:pt>
                <c:pt idx="23">
                  <c:v>38.804499999999997</c:v>
                </c:pt>
                <c:pt idx="24">
                  <c:v>38.580999999999996</c:v>
                </c:pt>
                <c:pt idx="25">
                  <c:v>38.438699999999997</c:v>
                </c:pt>
                <c:pt idx="26">
                  <c:v>38.394500000000001</c:v>
                </c:pt>
                <c:pt idx="27">
                  <c:v>38.375799999999998</c:v>
                </c:pt>
                <c:pt idx="28">
                  <c:v>38.349800000000002</c:v>
                </c:pt>
                <c:pt idx="29">
                  <c:v>38.321300000000001</c:v>
                </c:pt>
                <c:pt idx="30">
                  <c:v>38.266600000000004</c:v>
                </c:pt>
                <c:pt idx="31">
                  <c:v>38.158099999999997</c:v>
                </c:pt>
                <c:pt idx="32">
                  <c:v>38.028800000000004</c:v>
                </c:pt>
                <c:pt idx="33">
                  <c:v>37.938499999999998</c:v>
                </c:pt>
                <c:pt idx="34">
                  <c:v>37.890099999999997</c:v>
                </c:pt>
                <c:pt idx="35">
                  <c:v>37.841700000000003</c:v>
                </c:pt>
                <c:pt idx="36">
                  <c:v>37.858799999999995</c:v>
                </c:pt>
                <c:pt idx="37">
                  <c:v>38.039899999999996</c:v>
                </c:pt>
                <c:pt idx="38">
                  <c:v>38.353099999999998</c:v>
                </c:pt>
                <c:pt idx="39">
                  <c:v>38.7333</c:v>
                </c:pt>
                <c:pt idx="40">
                  <c:v>39.1905</c:v>
                </c:pt>
                <c:pt idx="41">
                  <c:v>39.741999999999997</c:v>
                </c:pt>
                <c:pt idx="42">
                  <c:v>40.345300000000002</c:v>
                </c:pt>
                <c:pt idx="43">
                  <c:v>40.950699999999998</c:v>
                </c:pt>
                <c:pt idx="44">
                  <c:v>41.476500000000001</c:v>
                </c:pt>
                <c:pt idx="45">
                  <c:v>41.984000000000002</c:v>
                </c:pt>
                <c:pt idx="46">
                  <c:v>42.509399999999999</c:v>
                </c:pt>
                <c:pt idx="47">
                  <c:v>43.044800000000002</c:v>
                </c:pt>
                <c:pt idx="48">
                  <c:v>43.537300000000002</c:v>
                </c:pt>
                <c:pt idx="49">
                  <c:v>44.028399999999998</c:v>
                </c:pt>
                <c:pt idx="50">
                  <c:v>44.446300000000001</c:v>
                </c:pt>
                <c:pt idx="51">
                  <c:v>44.602899999999998</c:v>
                </c:pt>
                <c:pt idx="52">
                  <c:v>44.663599999999995</c:v>
                </c:pt>
                <c:pt idx="53">
                  <c:v>44.686799999999998</c:v>
                </c:pt>
                <c:pt idx="54">
                  <c:v>44.676400000000001</c:v>
                </c:pt>
                <c:pt idx="55">
                  <c:v>44.639899999999997</c:v>
                </c:pt>
                <c:pt idx="56">
                  <c:v>44.629400000000004</c:v>
                </c:pt>
                <c:pt idx="57">
                  <c:v>44.65</c:v>
                </c:pt>
                <c:pt idx="58">
                  <c:v>44.694400000000002</c:v>
                </c:pt>
                <c:pt idx="59">
                  <c:v>44.764700000000005</c:v>
                </c:pt>
                <c:pt idx="60">
                  <c:v>44.917200000000001</c:v>
                </c:pt>
                <c:pt idx="61">
                  <c:v>45.120800000000003</c:v>
                </c:pt>
                <c:pt idx="62">
                  <c:v>45.353500000000004</c:v>
                </c:pt>
                <c:pt idx="63">
                  <c:v>45.57</c:v>
                </c:pt>
                <c:pt idx="64">
                  <c:v>45.831499999999998</c:v>
                </c:pt>
                <c:pt idx="65">
                  <c:v>46.106299999999997</c:v>
                </c:pt>
                <c:pt idx="66">
                  <c:v>46.417400000000001</c:v>
                </c:pt>
                <c:pt idx="67">
                  <c:v>46.647199999999998</c:v>
                </c:pt>
                <c:pt idx="68">
                  <c:v>46.672799999999995</c:v>
                </c:pt>
                <c:pt idx="69">
                  <c:v>46.831499999999998</c:v>
                </c:pt>
                <c:pt idx="70">
                  <c:v>47.118700000000004</c:v>
                </c:pt>
                <c:pt idx="71">
                  <c:v>47.466900000000003</c:v>
                </c:pt>
                <c:pt idx="72">
                  <c:v>47.691600000000001</c:v>
                </c:pt>
                <c:pt idx="73">
                  <c:v>47.8919</c:v>
                </c:pt>
                <c:pt idx="74">
                  <c:v>48.146599999999999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2.30775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62.049799999999998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2.9387690540540534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50.620858108108102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3.8386281081081086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42.374797297297292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3.8386281081081086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42.374797297297292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569</v>
      </c>
      <c r="D5" s="151"/>
      <c r="E5" s="151"/>
      <c r="F5" s="152"/>
      <c r="G5" s="48" t="str">
        <f>lang!B27</f>
        <v>编号</v>
      </c>
      <c r="H5" s="150">
        <v>13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568</v>
      </c>
      <c r="D6" s="188"/>
      <c r="E6" s="188"/>
      <c r="F6" s="189"/>
      <c r="G6" s="49" t="str">
        <f>lang!B28</f>
        <v xml:space="preserve"> 日期</v>
      </c>
      <c r="H6" s="172">
        <f>FH_info!A2</f>
        <v>43628.410185185188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20</v>
      </c>
      <c r="D7" s="191"/>
      <c r="E7" s="191"/>
      <c r="F7" s="192"/>
      <c r="G7" s="50" t="str">
        <f>lang!B29</f>
        <v>误差率（%）</v>
      </c>
      <c r="H7" s="175">
        <f>M!B17*1</f>
        <v>19.060400000000001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33.990600000000001</v>
      </c>
      <c r="O8" s="59">
        <f>M!C5*1</f>
        <v>7.4887300000000003</v>
      </c>
      <c r="P8" s="59">
        <f>M!D5*1</f>
        <v>22.0318</v>
      </c>
      <c r="Q8" s="59">
        <f>M!E5*1</f>
        <v>20</v>
      </c>
      <c r="R8" s="59">
        <f>M!F5*1</f>
        <v>14.644299999999999</v>
      </c>
      <c r="S8" s="59">
        <f>M!G5*1</f>
        <v>50</v>
      </c>
      <c r="T8" s="59">
        <f>M!H5*1</f>
        <v>48.195399999999999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22.9236</v>
      </c>
      <c r="O9" s="59">
        <f>M!C6*1</f>
        <v>3.0331700000000001</v>
      </c>
      <c r="P9" s="59">
        <f>M!D6*1</f>
        <v>13.2316</v>
      </c>
      <c r="Q9" s="59">
        <f>M!E6*1</f>
        <v>20</v>
      </c>
      <c r="R9" s="59">
        <f>M!F6*1</f>
        <v>18.642600000000002</v>
      </c>
      <c r="S9" s="59">
        <f>M!G6*1</f>
        <v>40</v>
      </c>
      <c r="T9" s="59">
        <f>M!H6*1</f>
        <v>29.896799999999999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14.644299999999999</v>
      </c>
      <c r="D10" s="99">
        <f>N8</f>
        <v>33.990600000000001</v>
      </c>
      <c r="E10" s="100">
        <f>T8</f>
        <v>48.195399999999999</v>
      </c>
      <c r="F10" s="91">
        <f>P8</f>
        <v>22.0318</v>
      </c>
      <c r="G10" s="81" t="str">
        <f>CONCATENATE(M9,"
(20 ~ 40)")</f>
        <v>压力
(20 ~ 40)</v>
      </c>
      <c r="H10" s="98">
        <f>R9</f>
        <v>18.642600000000002</v>
      </c>
      <c r="I10" s="108">
        <f>N9</f>
        <v>22.9236</v>
      </c>
      <c r="J10" s="98">
        <f>T9</f>
        <v>29.896799999999999</v>
      </c>
      <c r="K10" s="92">
        <f>P9</f>
        <v>13.2316</v>
      </c>
      <c r="L10" s="6"/>
      <c r="M10" s="27" t="str">
        <f>lang!B16</f>
        <v>焦虑</v>
      </c>
      <c r="N10" s="59">
        <f>M!B7*1</f>
        <v>16.683299999999999</v>
      </c>
      <c r="O10" s="59">
        <f>M!C7*1</f>
        <v>7.7465599999999997</v>
      </c>
      <c r="P10" s="59">
        <f>M!D7*1</f>
        <v>46.432899999999997</v>
      </c>
      <c r="Q10" s="59">
        <f>M!E7*1</f>
        <v>15</v>
      </c>
      <c r="R10" s="59">
        <f>M!F7*1</f>
        <v>6.8802399999999997</v>
      </c>
      <c r="S10" s="59">
        <f>M!G7*1</f>
        <v>40</v>
      </c>
      <c r="T10" s="59">
        <f>M!H7*1</f>
        <v>42.609499999999997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6.8802399999999997</v>
      </c>
      <c r="D11" s="102">
        <f>N10</f>
        <v>16.683299999999999</v>
      </c>
      <c r="E11" s="103">
        <f>T10</f>
        <v>42.609499999999997</v>
      </c>
      <c r="F11" s="94">
        <f>P10</f>
        <v>46.432899999999997</v>
      </c>
      <c r="G11" s="52" t="str">
        <f>CONCATENATE(M11,"
(20 ~ 50)")</f>
        <v>可疑
(20 ~ 50)</v>
      </c>
      <c r="H11" s="101">
        <f>R11</f>
        <v>20.545500000000001</v>
      </c>
      <c r="I11" s="104">
        <f>N11</f>
        <v>25.465</v>
      </c>
      <c r="J11" s="101">
        <f>T11</f>
        <v>34.719700000000003</v>
      </c>
      <c r="K11" s="95">
        <f>P11</f>
        <v>12.381500000000001</v>
      </c>
      <c r="L11" s="4"/>
      <c r="M11" s="27" t="str">
        <f>lang!B17</f>
        <v>可疑</v>
      </c>
      <c r="N11" s="59">
        <f>M!B8*1</f>
        <v>25.465</v>
      </c>
      <c r="O11" s="59">
        <f>M!C8*1</f>
        <v>3.1529600000000002</v>
      </c>
      <c r="P11" s="59">
        <f>M!D8*1</f>
        <v>12.381500000000001</v>
      </c>
      <c r="Q11" s="59">
        <f>M!E8*1</f>
        <v>20</v>
      </c>
      <c r="R11" s="59">
        <f>M!F8*1</f>
        <v>20.545500000000001</v>
      </c>
      <c r="S11" s="59">
        <f>M!G8*1</f>
        <v>50</v>
      </c>
      <c r="T11" s="59">
        <f>M!H8*1</f>
        <v>34.719700000000003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51.515700000000002</v>
      </c>
      <c r="D12" s="104">
        <f>N12</f>
        <v>69.559100000000001</v>
      </c>
      <c r="E12" s="101">
        <f>T12</f>
        <v>79.511300000000006</v>
      </c>
      <c r="F12" s="93">
        <f>P12</f>
        <v>9.3891100000000005</v>
      </c>
      <c r="G12" s="52" t="str">
        <f>CONCATENATE(M13,"
(40 ~ 100)")</f>
        <v>自信
(40 ~ 100)</v>
      </c>
      <c r="H12" s="101">
        <f>R13</f>
        <v>73.152500000000003</v>
      </c>
      <c r="I12" s="104">
        <f>N13</f>
        <v>82.438100000000006</v>
      </c>
      <c r="J12" s="101">
        <f>T13</f>
        <v>89.661100000000005</v>
      </c>
      <c r="K12" s="95">
        <f>P13</f>
        <v>5.8164600000000002</v>
      </c>
      <c r="L12" s="4"/>
      <c r="M12" s="27" t="str">
        <f>lang!B18</f>
        <v>平衡</v>
      </c>
      <c r="N12" s="59">
        <f>M!B9*1</f>
        <v>69.559100000000001</v>
      </c>
      <c r="O12" s="59">
        <f>M!C9*1</f>
        <v>6.5309799999999996</v>
      </c>
      <c r="P12" s="59">
        <f>M!D9*1</f>
        <v>9.3891100000000005</v>
      </c>
      <c r="Q12" s="59">
        <f>M!E9*1</f>
        <v>50</v>
      </c>
      <c r="R12" s="59">
        <f>M!F9*1</f>
        <v>51.515700000000002</v>
      </c>
      <c r="S12" s="59">
        <f>M!G9*1</f>
        <v>100</v>
      </c>
      <c r="T12" s="59">
        <f>M!H9*1</f>
        <v>79.511300000000006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11.3764</v>
      </c>
      <c r="D13" s="102">
        <f>N14</f>
        <v>22.2087</v>
      </c>
      <c r="E13" s="103">
        <f>T14</f>
        <v>31.083300000000001</v>
      </c>
      <c r="F13" s="94">
        <f>P14</f>
        <v>24.6264</v>
      </c>
      <c r="G13" s="52" t="str">
        <f>CONCATENATE(M15,"
(50 ~ 100)")</f>
        <v>自我调节
(50 ~ 100)</v>
      </c>
      <c r="H13" s="101">
        <f>R15</f>
        <v>66.480800000000002</v>
      </c>
      <c r="I13" s="104">
        <f>N15</f>
        <v>74.680199999999999</v>
      </c>
      <c r="J13" s="101">
        <f>T15</f>
        <v>84.357699999999994</v>
      </c>
      <c r="K13" s="95">
        <f>P15</f>
        <v>5.9856400000000001</v>
      </c>
      <c r="L13" s="4"/>
      <c r="M13" s="27" t="str">
        <f>lang!B19</f>
        <v>自信</v>
      </c>
      <c r="N13" s="59">
        <f>M!B10*1</f>
        <v>82.438100000000006</v>
      </c>
      <c r="O13" s="59">
        <f>M!C10*1</f>
        <v>4.7949799999999998</v>
      </c>
      <c r="P13" s="59">
        <f>M!D10*1</f>
        <v>5.8164600000000002</v>
      </c>
      <c r="Q13" s="59">
        <f>M!E10*1</f>
        <v>40</v>
      </c>
      <c r="R13" s="59">
        <f>M!F10*1</f>
        <v>73.152500000000003</v>
      </c>
      <c r="S13" s="59">
        <f>M!G10*1</f>
        <v>100</v>
      </c>
      <c r="T13" s="59">
        <f>M!H10*1</f>
        <v>89.661100000000005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14.936199999999999</v>
      </c>
      <c r="D14" s="106">
        <f>N16</f>
        <v>19.712</v>
      </c>
      <c r="E14" s="107">
        <f>T16</f>
        <v>28.476099999999999</v>
      </c>
      <c r="F14" s="96">
        <f>P16</f>
        <v>14.823499999999999</v>
      </c>
      <c r="G14" s="112" t="str">
        <f>CONCATENATE(M17,"
(10 ~ 50)")</f>
        <v>神经质
(10 ~ 50)</v>
      </c>
      <c r="H14" s="105">
        <f>R17</f>
        <v>2.4518300000000002</v>
      </c>
      <c r="I14" s="106">
        <f>N17</f>
        <v>29.22</v>
      </c>
      <c r="J14" s="107">
        <f>T17</f>
        <v>33.966000000000001</v>
      </c>
      <c r="K14" s="97">
        <f>P17</f>
        <v>35.885399999999997</v>
      </c>
      <c r="M14" s="27" t="str">
        <f>lang!B20</f>
        <v>活力</v>
      </c>
      <c r="N14" s="59">
        <f>M!B11*1</f>
        <v>22.2087</v>
      </c>
      <c r="O14" s="59">
        <f>M!C11*1</f>
        <v>5.46922</v>
      </c>
      <c r="P14" s="59">
        <f>M!D11*1</f>
        <v>24.6264</v>
      </c>
      <c r="Q14" s="59">
        <f>M!E11*1</f>
        <v>10</v>
      </c>
      <c r="R14" s="59">
        <f>M!F11*1</f>
        <v>11.3764</v>
      </c>
      <c r="S14" s="59">
        <f>M!G11*1</f>
        <v>50</v>
      </c>
      <c r="T14" s="59">
        <f>M!H11*1</f>
        <v>31.083300000000001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74.680199999999999</v>
      </c>
      <c r="O15" s="59">
        <f>M!C12*1</f>
        <v>4.4700899999999999</v>
      </c>
      <c r="P15" s="59">
        <f>M!D12*1</f>
        <v>5.9856400000000001</v>
      </c>
      <c r="Q15" s="59">
        <f>M!E12*1</f>
        <v>50</v>
      </c>
      <c r="R15" s="59">
        <f>M!F12*1</f>
        <v>66.480800000000002</v>
      </c>
      <c r="S15" s="59">
        <f>M!G12*1</f>
        <v>100</v>
      </c>
      <c r="T15" s="59">
        <f>M!H12*1</f>
        <v>84.357699999999994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19.712</v>
      </c>
      <c r="O16" s="59">
        <f>M!C13*1</f>
        <v>2.9220000000000002</v>
      </c>
      <c r="P16" s="59">
        <f>M!D13*1</f>
        <v>14.823499999999999</v>
      </c>
      <c r="Q16" s="59">
        <f>M!E13*1</f>
        <v>10</v>
      </c>
      <c r="R16" s="59">
        <f>M!F13*1</f>
        <v>14.936199999999999</v>
      </c>
      <c r="S16" s="59">
        <f>M!G13*1</f>
        <v>25</v>
      </c>
      <c r="T16" s="59">
        <f>M!H13*1</f>
        <v>28.476099999999999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29.22</v>
      </c>
      <c r="O17" s="59">
        <f>M!C14*1</f>
        <v>10.4857</v>
      </c>
      <c r="P17" s="59">
        <f>M!D14*1</f>
        <v>35.885399999999997</v>
      </c>
      <c r="Q17" s="59">
        <f>M!E14*1</f>
        <v>10</v>
      </c>
      <c r="R17" s="59">
        <f>M!F14*1</f>
        <v>2.4518300000000002</v>
      </c>
      <c r="S17" s="59">
        <f>M!G14*1</f>
        <v>50</v>
      </c>
      <c r="T17" s="59">
        <f>M!H14*1</f>
        <v>33.966000000000001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62.221525</v>
      </c>
      <c r="O18" s="22">
        <f>N18/(N18+N19+N20)</f>
        <v>0.55827515866532262</v>
      </c>
      <c r="P18" s="65">
        <f>SUM(P12:P15)/4</f>
        <v>11.4544025</v>
      </c>
      <c r="Q18" s="22">
        <f>P18/(P18+P19+P20)</f>
        <v>0.18986780707115039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24.765625</v>
      </c>
      <c r="O19" s="22">
        <f>N19/(N18+N19+N20)</f>
        <v>0.2222065953272743</v>
      </c>
      <c r="P19" s="18">
        <f>SUM(P8:P11)/4</f>
        <v>23.519450000000003</v>
      </c>
      <c r="Q19" s="22">
        <f>P19/(P18+P19+P20)</f>
        <v>0.38985764600288564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24.466000000000001</v>
      </c>
      <c r="O20" s="22">
        <f>N20/(N18+N19+N20)</f>
        <v>0.21951824600740313</v>
      </c>
      <c r="P20" s="18">
        <f>(P16+P17)/2</f>
        <v>25.35445</v>
      </c>
      <c r="Q20" s="22">
        <f>P20/(P18+P19+P20)</f>
        <v>0.42027454692596394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-0.17244651351351359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1.701633746426499</v>
      </c>
      <c r="D25" s="44" t="str">
        <f>lang!B11</f>
        <v>频率方差</v>
      </c>
      <c r="E25" s="142">
        <f ca="1">FH!L3</f>
        <v>0.61606247381760559</v>
      </c>
      <c r="F25" s="143"/>
      <c r="G25" s="134" t="str">
        <f>lang!B12</f>
        <v>生理变化率</v>
      </c>
      <c r="H25" s="135"/>
      <c r="I25" s="62" t="str">
        <f ca="1">CONCATENATE(info!M7,"-",info!M8)</f>
        <v>37.8-62</v>
      </c>
      <c r="J25" s="42" t="str">
        <f>lang!B13</f>
        <v>千卡l/分钟</v>
      </c>
      <c r="K25" s="41" t="str">
        <f ca="1">CONCATENATE(info!M5,"-",info!M6)</f>
        <v>2.3-4.1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64.782799999999995</v>
      </c>
      <c r="F28" s="164"/>
      <c r="G28" s="178" t="str">
        <f>lang!B33</f>
        <v>稳定性</v>
      </c>
      <c r="H28" s="179"/>
      <c r="I28" s="180"/>
      <c r="J28" s="181">
        <f>M!B19*100</f>
        <v>67.210800000000006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43628.410185185188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10.494700000000002</v>
      </c>
      <c r="O7" s="59">
        <f t="shared" ref="O7:T7" si="2">AG7-X7</f>
        <v>-1.4367700000000001</v>
      </c>
      <c r="P7" s="59">
        <f t="shared" si="2"/>
        <v>-7.4730799999999995</v>
      </c>
      <c r="Q7" s="59">
        <f t="shared" si="2"/>
        <v>0</v>
      </c>
      <c r="R7" s="59">
        <f t="shared" si="2"/>
        <v>18.841099999999997</v>
      </c>
      <c r="S7" s="59">
        <f t="shared" si="2"/>
        <v>0</v>
      </c>
      <c r="T7" s="59">
        <f t="shared" si="2"/>
        <v>13.9375</v>
      </c>
      <c r="U7" s="14"/>
      <c r="V7" s="27" t="str">
        <f>M7</f>
        <v>攻击性</v>
      </c>
      <c r="W7" s="59">
        <f>'M1'!B5*1</f>
        <v>30.655799999999999</v>
      </c>
      <c r="X7" s="59">
        <f>'M1'!C5*1</f>
        <v>4.78606</v>
      </c>
      <c r="Y7" s="59">
        <f>'M1'!D5*1</f>
        <v>15.6122</v>
      </c>
      <c r="Z7" s="59">
        <f>'M1'!E5*1</f>
        <v>20</v>
      </c>
      <c r="AA7" s="59">
        <f>'M1'!F5*1</f>
        <v>14.644299999999999</v>
      </c>
      <c r="AB7" s="59">
        <f>'M1'!G5*1</f>
        <v>50</v>
      </c>
      <c r="AC7" s="59">
        <f>'M1'!H5*1</f>
        <v>34.257899999999999</v>
      </c>
      <c r="AE7" s="27" t="str">
        <f>V7</f>
        <v>攻击性</v>
      </c>
      <c r="AF7" s="59">
        <f>'M2'!B5*1</f>
        <v>41.150500000000001</v>
      </c>
      <c r="AG7" s="59">
        <f>'M2'!C5*1</f>
        <v>3.3492899999999999</v>
      </c>
      <c r="AH7" s="59">
        <f>'M2'!D5*1</f>
        <v>8.1391200000000001</v>
      </c>
      <c r="AI7" s="59">
        <f>'M2'!E5*1</f>
        <v>20</v>
      </c>
      <c r="AJ7" s="59">
        <f>'M2'!F5*1</f>
        <v>33.485399999999998</v>
      </c>
      <c r="AK7" s="59">
        <f>'M2'!G5*1</f>
        <v>50</v>
      </c>
      <c r="AL7" s="59">
        <f>'M2'!H5*1</f>
        <v>48.195399999999999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4.4300999999999995</v>
      </c>
      <c r="O8" s="59">
        <f t="shared" ref="O8:O16" si="5">AG8-X8</f>
        <v>1.4860500000000001</v>
      </c>
      <c r="P8" s="59">
        <f t="shared" ref="P8:P16" si="6">AH8-Y8</f>
        <v>4.1262299999999996</v>
      </c>
      <c r="Q8" s="59">
        <f t="shared" ref="Q8:Q16" si="7">AI8-Z8</f>
        <v>0</v>
      </c>
      <c r="R8" s="59">
        <f t="shared" ref="R8:R16" si="8">AJ8-AA8</f>
        <v>0.23299999999999699</v>
      </c>
      <c r="S8" s="59">
        <f t="shared" ref="S8:S16" si="9">AK8-AB8</f>
        <v>0</v>
      </c>
      <c r="T8" s="59">
        <f t="shared" ref="T8:T16" si="10">AL8-AC8</f>
        <v>2.6782000000000004</v>
      </c>
      <c r="U8" s="15"/>
      <c r="V8" s="27" t="str">
        <f t="shared" ref="V8:V16" si="11">M8</f>
        <v>压力</v>
      </c>
      <c r="W8" s="59">
        <f>'M1'!B6*1</f>
        <v>22.3705</v>
      </c>
      <c r="X8" s="59">
        <f>'M1'!C6*1</f>
        <v>1.91981</v>
      </c>
      <c r="Y8" s="59">
        <f>'M1'!D6*1</f>
        <v>8.5818700000000003</v>
      </c>
      <c r="Z8" s="59">
        <f>'M1'!E6*1</f>
        <v>20</v>
      </c>
      <c r="AA8" s="59">
        <f>'M1'!F6*1</f>
        <v>18.642600000000002</v>
      </c>
      <c r="AB8" s="59">
        <f>'M1'!G6*1</f>
        <v>40</v>
      </c>
      <c r="AC8" s="59">
        <f>'M1'!H6*1</f>
        <v>27.218599999999999</v>
      </c>
      <c r="AE8" s="27" t="str">
        <f t="shared" ref="AE8:AE16" si="12">V8</f>
        <v>压力</v>
      </c>
      <c r="AF8" s="59">
        <f>'M2'!B6*1</f>
        <v>26.800599999999999</v>
      </c>
      <c r="AG8" s="59">
        <f>'M2'!C6*1</f>
        <v>3.4058600000000001</v>
      </c>
      <c r="AH8" s="59">
        <f>'M2'!D6*1</f>
        <v>12.7081</v>
      </c>
      <c r="AI8" s="59">
        <f>'M2'!E6*1</f>
        <v>20</v>
      </c>
      <c r="AJ8" s="59">
        <f>'M2'!F6*1</f>
        <v>18.875599999999999</v>
      </c>
      <c r="AK8" s="59">
        <f>'M2'!G6*1</f>
        <v>40</v>
      </c>
      <c r="AL8" s="59">
        <f>'M2'!H6*1</f>
        <v>29.896799999999999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18.841099999999997</v>
      </c>
      <c r="D9" s="78">
        <f>N7</f>
        <v>10.494700000000002</v>
      </c>
      <c r="E9" s="79">
        <f>T7</f>
        <v>13.9375</v>
      </c>
      <c r="F9" s="79">
        <f>P7</f>
        <v>-7.4730799999999995</v>
      </c>
      <c r="G9" s="80" t="str">
        <f>CONCATENATE(M8,"
(20 ~ 40)")</f>
        <v>压力
(20 ~ 40)</v>
      </c>
      <c r="H9" s="77">
        <f>R8</f>
        <v>0.23299999999999699</v>
      </c>
      <c r="I9" s="81">
        <f>N8</f>
        <v>4.4300999999999995</v>
      </c>
      <c r="J9" s="77">
        <f>T8</f>
        <v>2.6782000000000004</v>
      </c>
      <c r="K9" s="82">
        <f>P8</f>
        <v>4.1262299999999996</v>
      </c>
      <c r="L9" s="6"/>
      <c r="M9" s="27" t="str">
        <f>lang!B16</f>
        <v>焦虑</v>
      </c>
      <c r="N9" s="59">
        <f t="shared" si="4"/>
        <v>-5.876599999999998</v>
      </c>
      <c r="O9" s="59">
        <f t="shared" si="5"/>
        <v>0.10484999999999989</v>
      </c>
      <c r="P9" s="59">
        <f t="shared" si="6"/>
        <v>14.365099999999998</v>
      </c>
      <c r="Q9" s="59">
        <f t="shared" si="7"/>
        <v>0</v>
      </c>
      <c r="R9" s="59">
        <f t="shared" si="8"/>
        <v>-4.2428600000000012</v>
      </c>
      <c r="S9" s="59">
        <f t="shared" si="9"/>
        <v>0</v>
      </c>
      <c r="T9" s="59">
        <f t="shared" si="10"/>
        <v>-3.1564999999999941</v>
      </c>
      <c r="U9" s="14"/>
      <c r="V9" s="27" t="str">
        <f t="shared" si="11"/>
        <v>焦虑</v>
      </c>
      <c r="W9" s="59">
        <f>'M1'!B7*1</f>
        <v>21.022099999999998</v>
      </c>
      <c r="X9" s="59">
        <f>'M1'!C7*1</f>
        <v>7.4077500000000001</v>
      </c>
      <c r="Y9" s="59">
        <f>'M1'!D7*1</f>
        <v>35.237900000000003</v>
      </c>
      <c r="Z9" s="59">
        <f>'M1'!E7*1</f>
        <v>15</v>
      </c>
      <c r="AA9" s="59">
        <f>'M1'!F7*1</f>
        <v>11.123100000000001</v>
      </c>
      <c r="AB9" s="59">
        <f>'M1'!G7*1</f>
        <v>40</v>
      </c>
      <c r="AC9" s="59">
        <f>'M1'!H7*1</f>
        <v>42.609499999999997</v>
      </c>
      <c r="AE9" s="27" t="str">
        <f t="shared" si="12"/>
        <v>焦虑</v>
      </c>
      <c r="AF9" s="59">
        <f>'M2'!B7*1</f>
        <v>15.1455</v>
      </c>
      <c r="AG9" s="59">
        <f>'M2'!C7*1</f>
        <v>7.5125999999999999</v>
      </c>
      <c r="AH9" s="59">
        <f>'M2'!D7*1</f>
        <v>49.603000000000002</v>
      </c>
      <c r="AI9" s="59">
        <f>'M2'!E7*1</f>
        <v>15</v>
      </c>
      <c r="AJ9" s="59">
        <f>'M2'!F7*1</f>
        <v>6.8802399999999997</v>
      </c>
      <c r="AK9" s="59">
        <f>'M2'!G7*1</f>
        <v>40</v>
      </c>
      <c r="AL9" s="59">
        <f>'M2'!H7*1</f>
        <v>39.453000000000003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-4.2428600000000012</v>
      </c>
      <c r="D10" s="51">
        <f>N9</f>
        <v>-5.876599999999998</v>
      </c>
      <c r="E10" s="53">
        <f>T9</f>
        <v>-3.1564999999999941</v>
      </c>
      <c r="F10" s="53">
        <f>P9</f>
        <v>14.365099999999998</v>
      </c>
      <c r="G10" s="73" t="str">
        <f>CONCATENATE(M10,"
(20 ~ 50)")</f>
        <v>可疑
(20 ~ 50)</v>
      </c>
      <c r="H10" s="24">
        <f>R10</f>
        <v>1.7971000000000004</v>
      </c>
      <c r="I10" s="52">
        <f>N10</f>
        <v>3.923099999999998</v>
      </c>
      <c r="J10" s="24">
        <f>T10</f>
        <v>5.8072000000000017</v>
      </c>
      <c r="K10" s="25">
        <f>P10</f>
        <v>2.8559399999999986</v>
      </c>
      <c r="L10" s="4"/>
      <c r="M10" s="27" t="str">
        <f>lang!B17</f>
        <v>可疑</v>
      </c>
      <c r="N10" s="59">
        <f t="shared" si="4"/>
        <v>3.923099999999998</v>
      </c>
      <c r="O10" s="59">
        <f t="shared" si="5"/>
        <v>1.1092900000000001</v>
      </c>
      <c r="P10" s="59">
        <f t="shared" si="6"/>
        <v>2.8559399999999986</v>
      </c>
      <c r="Q10" s="59">
        <f t="shared" si="7"/>
        <v>0</v>
      </c>
      <c r="R10" s="59">
        <f t="shared" si="8"/>
        <v>1.7971000000000004</v>
      </c>
      <c r="S10" s="59">
        <f t="shared" si="9"/>
        <v>0</v>
      </c>
      <c r="T10" s="59">
        <f t="shared" si="10"/>
        <v>5.8072000000000017</v>
      </c>
      <c r="U10" s="14"/>
      <c r="V10" s="27" t="str">
        <f t="shared" si="11"/>
        <v>可疑</v>
      </c>
      <c r="W10" s="59">
        <f>'M1'!B8*1</f>
        <v>23.441500000000001</v>
      </c>
      <c r="X10" s="59">
        <f>'M1'!C8*1</f>
        <v>1.9584600000000001</v>
      </c>
      <c r="Y10" s="59">
        <f>'M1'!D8*1</f>
        <v>8.3546600000000009</v>
      </c>
      <c r="Z10" s="59">
        <f>'M1'!E8*1</f>
        <v>20</v>
      </c>
      <c r="AA10" s="59">
        <f>'M1'!F8*1</f>
        <v>20.545500000000001</v>
      </c>
      <c r="AB10" s="59">
        <f>'M1'!G8*1</f>
        <v>50</v>
      </c>
      <c r="AC10" s="59">
        <f>'M1'!H8*1</f>
        <v>28.912500000000001</v>
      </c>
      <c r="AE10" s="27" t="str">
        <f t="shared" si="12"/>
        <v>可疑</v>
      </c>
      <c r="AF10" s="59">
        <f>'M2'!B8*1</f>
        <v>27.364599999999999</v>
      </c>
      <c r="AG10" s="59">
        <f>'M2'!C8*1</f>
        <v>3.0677500000000002</v>
      </c>
      <c r="AH10" s="59">
        <f>'M2'!D8*1</f>
        <v>11.210599999999999</v>
      </c>
      <c r="AI10" s="59">
        <f>'M2'!E8*1</f>
        <v>20</v>
      </c>
      <c r="AJ10" s="59">
        <f>'M2'!F8*1</f>
        <v>22.342600000000001</v>
      </c>
      <c r="AK10" s="59">
        <f>'M2'!G8*1</f>
        <v>50</v>
      </c>
      <c r="AL10" s="59">
        <f>'M2'!H8*1</f>
        <v>34.719700000000003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4.3570999999999955</v>
      </c>
      <c r="D11" s="52">
        <f>N11</f>
        <v>-0.27419999999999334</v>
      </c>
      <c r="E11" s="24">
        <f>T11</f>
        <v>-1.5457999999999998</v>
      </c>
      <c r="F11" s="24">
        <f>P11</f>
        <v>-3.9132099999999994</v>
      </c>
      <c r="G11" s="73" t="str">
        <f>CONCATENATE(M12,"
(40 ~ 100)")</f>
        <v>自信
(40 ~ 100)</v>
      </c>
      <c r="H11" s="24">
        <f>R12</f>
        <v>-6.1854999999999905</v>
      </c>
      <c r="I11" s="52">
        <f>N12</f>
        <v>-7.6280000000000001</v>
      </c>
      <c r="J11" s="24">
        <f>T12</f>
        <v>-6.1036000000000001</v>
      </c>
      <c r="K11" s="25">
        <f>P12</f>
        <v>1.4067199999999995</v>
      </c>
      <c r="L11" s="4"/>
      <c r="M11" s="27" t="str">
        <f>lang!B18</f>
        <v>平衡</v>
      </c>
      <c r="N11" s="59">
        <f t="shared" si="4"/>
        <v>-0.27419999999999334</v>
      </c>
      <c r="O11" s="59">
        <f t="shared" si="5"/>
        <v>-2.7502899999999997</v>
      </c>
      <c r="P11" s="59">
        <f t="shared" si="6"/>
        <v>-3.9132099999999994</v>
      </c>
      <c r="Q11" s="59">
        <f t="shared" si="7"/>
        <v>0</v>
      </c>
      <c r="R11" s="59">
        <f t="shared" si="8"/>
        <v>4.3570999999999955</v>
      </c>
      <c r="S11" s="59">
        <f t="shared" si="9"/>
        <v>0</v>
      </c>
      <c r="T11" s="59">
        <f t="shared" si="10"/>
        <v>-1.5457999999999998</v>
      </c>
      <c r="U11" s="14"/>
      <c r="V11" s="27" t="str">
        <f t="shared" si="11"/>
        <v>平衡</v>
      </c>
      <c r="W11" s="59">
        <f>'M1'!B9*1</f>
        <v>69.7834</v>
      </c>
      <c r="X11" s="59">
        <f>'M1'!C9*1</f>
        <v>7.68919</v>
      </c>
      <c r="Y11" s="59">
        <f>'M1'!D9*1</f>
        <v>11.018599999999999</v>
      </c>
      <c r="Z11" s="59">
        <f>'M1'!E9*1</f>
        <v>50</v>
      </c>
      <c r="AA11" s="59">
        <f>'M1'!F9*1</f>
        <v>51.515700000000002</v>
      </c>
      <c r="AB11" s="59">
        <f>'M1'!G9*1</f>
        <v>100</v>
      </c>
      <c r="AC11" s="59">
        <f>'M1'!H9*1</f>
        <v>79.511300000000006</v>
      </c>
      <c r="AE11" s="27" t="str">
        <f t="shared" si="12"/>
        <v>平衡</v>
      </c>
      <c r="AF11" s="59">
        <f>'M2'!B9*1</f>
        <v>69.509200000000007</v>
      </c>
      <c r="AG11" s="59">
        <f>'M2'!C9*1</f>
        <v>4.9389000000000003</v>
      </c>
      <c r="AH11" s="59">
        <f>'M2'!D9*1</f>
        <v>7.1053899999999999</v>
      </c>
      <c r="AI11" s="59">
        <f>'M2'!E9*1</f>
        <v>50</v>
      </c>
      <c r="AJ11" s="59">
        <f>'M2'!F9*1</f>
        <v>55.872799999999998</v>
      </c>
      <c r="AK11" s="59">
        <f>'M2'!G9*1</f>
        <v>100</v>
      </c>
      <c r="AL11" s="59">
        <f>'M2'!H9*1</f>
        <v>77.965500000000006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10.704599999999999</v>
      </c>
      <c r="D12" s="51">
        <f>N13</f>
        <v>10.635299999999997</v>
      </c>
      <c r="E12" s="53">
        <f>T13</f>
        <v>8.1336000000000013</v>
      </c>
      <c r="F12" s="53">
        <f>P13</f>
        <v>-3.3078299999999992</v>
      </c>
      <c r="G12" s="73" t="str">
        <f>CONCATENATE(M14,"
(50 ~ 100)")</f>
        <v>自我调节
(50 ~ 100)</v>
      </c>
      <c r="H12" s="24">
        <f>R14</f>
        <v>-0.49729999999999563</v>
      </c>
      <c r="I12" s="52">
        <f>N14</f>
        <v>-4.6150000000000091</v>
      </c>
      <c r="J12" s="24">
        <f>T14</f>
        <v>-4.052899999999994</v>
      </c>
      <c r="K12" s="25">
        <f>P14</f>
        <v>-1.44557</v>
      </c>
      <c r="L12" s="4"/>
      <c r="M12" s="27" t="str">
        <f>lang!B19</f>
        <v>自信</v>
      </c>
      <c r="N12" s="59">
        <f t="shared" si="4"/>
        <v>-7.6280000000000001</v>
      </c>
      <c r="O12" s="59">
        <f t="shared" si="5"/>
        <v>0.8479000000000001</v>
      </c>
      <c r="P12" s="59">
        <f t="shared" si="6"/>
        <v>1.4067199999999995</v>
      </c>
      <c r="Q12" s="59">
        <f t="shared" si="7"/>
        <v>0</v>
      </c>
      <c r="R12" s="59">
        <f t="shared" si="8"/>
        <v>-6.1854999999999905</v>
      </c>
      <c r="S12" s="59">
        <f t="shared" si="9"/>
        <v>0</v>
      </c>
      <c r="T12" s="59">
        <f t="shared" si="10"/>
        <v>-6.1036000000000001</v>
      </c>
      <c r="U12" s="15"/>
      <c r="V12" s="27" t="str">
        <f t="shared" si="11"/>
        <v>自信</v>
      </c>
      <c r="W12" s="59">
        <f>'M1'!B10*1</f>
        <v>84.718199999999996</v>
      </c>
      <c r="X12" s="59">
        <f>'M1'!C10*1</f>
        <v>2.6270799999999999</v>
      </c>
      <c r="Y12" s="59">
        <f>'M1'!D10*1</f>
        <v>3.1009600000000002</v>
      </c>
      <c r="Z12" s="59">
        <f>'M1'!E10*1</f>
        <v>40</v>
      </c>
      <c r="AA12" s="59">
        <f>'M1'!F10*1</f>
        <v>79.337999999999994</v>
      </c>
      <c r="AB12" s="59">
        <f>'M1'!G10*1</f>
        <v>100</v>
      </c>
      <c r="AC12" s="59">
        <f>'M1'!H10*1</f>
        <v>89.661100000000005</v>
      </c>
      <c r="AE12" s="27" t="str">
        <f t="shared" si="12"/>
        <v>自信</v>
      </c>
      <c r="AF12" s="59">
        <f>'M2'!B10*1</f>
        <v>77.090199999999996</v>
      </c>
      <c r="AG12" s="59">
        <f>'M2'!C10*1</f>
        <v>3.47498</v>
      </c>
      <c r="AH12" s="59">
        <f>'M2'!D10*1</f>
        <v>4.5076799999999997</v>
      </c>
      <c r="AI12" s="59">
        <f>'M2'!E10*1</f>
        <v>40</v>
      </c>
      <c r="AJ12" s="59">
        <f>'M2'!F10*1</f>
        <v>73.152500000000003</v>
      </c>
      <c r="AK12" s="59">
        <f>'M2'!G10*1</f>
        <v>100</v>
      </c>
      <c r="AL12" s="59">
        <f>'M2'!H10*1</f>
        <v>83.557500000000005</v>
      </c>
    </row>
    <row r="13" spans="2:38" ht="25.5" customHeight="1" thickBot="1">
      <c r="B13" s="72" t="str">
        <f>CONCATENATE(M15,"
(10 ~ 25)")</f>
        <v>抑郁
(10 ~ 25)</v>
      </c>
      <c r="C13" s="54">
        <f>R15</f>
        <v>0.7563000000000013</v>
      </c>
      <c r="D13" s="55">
        <f>N15</f>
        <v>2.164200000000001</v>
      </c>
      <c r="E13" s="56">
        <f>T15</f>
        <v>-0.60500000000000043</v>
      </c>
      <c r="F13" s="56">
        <f>P15</f>
        <v>-3.5063000000000013</v>
      </c>
      <c r="G13" s="74" t="str">
        <f>CONCATENATE(M16,"
(10 ~ 50)")</f>
        <v>神经质
(10 ~ 50)</v>
      </c>
      <c r="H13" s="54">
        <f>R16</f>
        <v>-0.34274000000000004</v>
      </c>
      <c r="I13" s="55">
        <f>N16</f>
        <v>-3.5236000000000018</v>
      </c>
      <c r="J13" s="56">
        <f>T16</f>
        <v>0.22070000000000078</v>
      </c>
      <c r="K13" s="57">
        <f>P16</f>
        <v>12.716699999999999</v>
      </c>
      <c r="M13" s="27" t="str">
        <f>lang!B20</f>
        <v>活力</v>
      </c>
      <c r="N13" s="59">
        <f t="shared" si="4"/>
        <v>10.635299999999997</v>
      </c>
      <c r="O13" s="59">
        <f t="shared" si="5"/>
        <v>0.47746000000000022</v>
      </c>
      <c r="P13" s="59">
        <f t="shared" si="6"/>
        <v>-3.3078299999999992</v>
      </c>
      <c r="Q13" s="59">
        <f t="shared" si="7"/>
        <v>0</v>
      </c>
      <c r="R13" s="59">
        <f t="shared" si="8"/>
        <v>10.704599999999999</v>
      </c>
      <c r="S13" s="59">
        <f t="shared" si="9"/>
        <v>0</v>
      </c>
      <c r="T13" s="59">
        <f t="shared" si="10"/>
        <v>8.1336000000000013</v>
      </c>
      <c r="U13" s="14"/>
      <c r="V13" s="27" t="str">
        <f t="shared" si="11"/>
        <v>活力</v>
      </c>
      <c r="W13" s="59">
        <f>'M1'!B11*1</f>
        <v>16.825800000000001</v>
      </c>
      <c r="X13" s="59">
        <f>'M1'!C11*1</f>
        <v>2.1924899999999998</v>
      </c>
      <c r="Y13" s="59">
        <f>'M1'!D11*1</f>
        <v>13.0305</v>
      </c>
      <c r="Z13" s="59">
        <f>'M1'!E11*1</f>
        <v>10</v>
      </c>
      <c r="AA13" s="59">
        <f>'M1'!F11*1</f>
        <v>11.3764</v>
      </c>
      <c r="AB13" s="59">
        <f>'M1'!G11*1</f>
        <v>50</v>
      </c>
      <c r="AC13" s="59">
        <f>'M1'!H11*1</f>
        <v>22.9497</v>
      </c>
      <c r="AE13" s="27" t="str">
        <f t="shared" si="12"/>
        <v>活力</v>
      </c>
      <c r="AF13" s="59">
        <f>'M2'!B11*1</f>
        <v>27.461099999999998</v>
      </c>
      <c r="AG13" s="59">
        <f>'M2'!C11*1</f>
        <v>2.66995</v>
      </c>
      <c r="AH13" s="59">
        <f>'M2'!D11*1</f>
        <v>9.7226700000000008</v>
      </c>
      <c r="AI13" s="59">
        <f>'M2'!E11*1</f>
        <v>10</v>
      </c>
      <c r="AJ13" s="59">
        <f>'M2'!F11*1</f>
        <v>22.081</v>
      </c>
      <c r="AK13" s="59">
        <f>'M2'!G11*1</f>
        <v>50</v>
      </c>
      <c r="AL13" s="59">
        <f>'M2'!H11*1</f>
        <v>31.083300000000001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-4.6150000000000091</v>
      </c>
      <c r="O14" s="59">
        <f t="shared" si="5"/>
        <v>-1.3419499999999998</v>
      </c>
      <c r="P14" s="59">
        <f t="shared" si="6"/>
        <v>-1.44557</v>
      </c>
      <c r="Q14" s="59">
        <f t="shared" si="7"/>
        <v>0</v>
      </c>
      <c r="R14" s="59">
        <f t="shared" si="8"/>
        <v>-0.49729999999999563</v>
      </c>
      <c r="S14" s="59">
        <f t="shared" si="9"/>
        <v>0</v>
      </c>
      <c r="T14" s="59">
        <f t="shared" si="10"/>
        <v>-4.052899999999994</v>
      </c>
      <c r="U14" s="14"/>
      <c r="V14" s="27" t="str">
        <f t="shared" si="11"/>
        <v>自我调节</v>
      </c>
      <c r="W14" s="59">
        <f>'M1'!B12*1</f>
        <v>77.320400000000006</v>
      </c>
      <c r="X14" s="59">
        <f>'M1'!C12*1</f>
        <v>4.8746099999999997</v>
      </c>
      <c r="Y14" s="59">
        <f>'M1'!D12*1</f>
        <v>6.30443</v>
      </c>
      <c r="Z14" s="59">
        <f>'M1'!E12*1</f>
        <v>50</v>
      </c>
      <c r="AA14" s="59">
        <f>'M1'!F12*1</f>
        <v>66.978099999999998</v>
      </c>
      <c r="AB14" s="59">
        <f>'M1'!G12*1</f>
        <v>100</v>
      </c>
      <c r="AC14" s="59">
        <f>'M1'!H12*1</f>
        <v>84.357699999999994</v>
      </c>
      <c r="AE14" s="27" t="str">
        <f t="shared" si="12"/>
        <v>自我调节</v>
      </c>
      <c r="AF14" s="59">
        <f>'M2'!B12*1</f>
        <v>72.705399999999997</v>
      </c>
      <c r="AG14" s="59">
        <f>'M2'!C12*1</f>
        <v>3.5326599999999999</v>
      </c>
      <c r="AH14" s="59">
        <f>'M2'!D12*1</f>
        <v>4.85886</v>
      </c>
      <c r="AI14" s="59">
        <f>'M2'!E12*1</f>
        <v>50</v>
      </c>
      <c r="AJ14" s="59">
        <f>'M2'!F12*1</f>
        <v>66.480800000000002</v>
      </c>
      <c r="AK14" s="59">
        <f>'M2'!G12*1</f>
        <v>100</v>
      </c>
      <c r="AL14" s="59">
        <f>'M2'!H12*1</f>
        <v>80.3048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2.164200000000001</v>
      </c>
      <c r="O15" s="59">
        <f t="shared" si="5"/>
        <v>-0.35236000000000001</v>
      </c>
      <c r="P15" s="59">
        <f t="shared" si="6"/>
        <v>-3.5063000000000013</v>
      </c>
      <c r="Q15" s="59">
        <f t="shared" si="7"/>
        <v>0</v>
      </c>
      <c r="R15" s="59">
        <f t="shared" si="8"/>
        <v>0.7563000000000013</v>
      </c>
      <c r="S15" s="59">
        <f t="shared" si="9"/>
        <v>0</v>
      </c>
      <c r="T15" s="59">
        <f t="shared" si="10"/>
        <v>-0.60500000000000043</v>
      </c>
      <c r="U15" s="14"/>
      <c r="V15" s="27" t="str">
        <f t="shared" si="11"/>
        <v>抑郁</v>
      </c>
      <c r="W15" s="59">
        <f>'M1'!B13*1</f>
        <v>18.052099999999999</v>
      </c>
      <c r="X15" s="59">
        <f>'M1'!C13*1</f>
        <v>2.9735999999999998</v>
      </c>
      <c r="Y15" s="59">
        <f>'M1'!D13*1</f>
        <v>16.472300000000001</v>
      </c>
      <c r="Z15" s="59">
        <f>'M1'!E13*1</f>
        <v>10</v>
      </c>
      <c r="AA15" s="59">
        <f>'M1'!F13*1</f>
        <v>14.936199999999999</v>
      </c>
      <c r="AB15" s="59">
        <f>'M1'!G13*1</f>
        <v>25</v>
      </c>
      <c r="AC15" s="59">
        <f>'M1'!H13*1</f>
        <v>28.476099999999999</v>
      </c>
      <c r="AE15" s="27" t="str">
        <f t="shared" si="12"/>
        <v>抑郁</v>
      </c>
      <c r="AF15" s="59">
        <f>'M2'!B13*1</f>
        <v>20.2163</v>
      </c>
      <c r="AG15" s="59">
        <f>'M2'!C13*1</f>
        <v>2.6212399999999998</v>
      </c>
      <c r="AH15" s="59">
        <f>'M2'!D13*1</f>
        <v>12.965999999999999</v>
      </c>
      <c r="AI15" s="59">
        <f>'M2'!E13*1</f>
        <v>10</v>
      </c>
      <c r="AJ15" s="59">
        <f>'M2'!F13*1</f>
        <v>15.692500000000001</v>
      </c>
      <c r="AK15" s="59">
        <f>'M2'!G13*1</f>
        <v>25</v>
      </c>
      <c r="AL15" s="59">
        <f>'M2'!H13*1</f>
        <v>27.871099999999998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-3.5236000000000018</v>
      </c>
      <c r="O16" s="59">
        <f t="shared" si="5"/>
        <v>2.2919099999999997</v>
      </c>
      <c r="P16" s="59">
        <f t="shared" si="6"/>
        <v>12.716699999999999</v>
      </c>
      <c r="Q16" s="59">
        <f t="shared" si="7"/>
        <v>0</v>
      </c>
      <c r="R16" s="59">
        <f t="shared" si="8"/>
        <v>-0.34274000000000004</v>
      </c>
      <c r="S16" s="59">
        <f t="shared" si="9"/>
        <v>0</v>
      </c>
      <c r="T16" s="59">
        <f t="shared" si="10"/>
        <v>0.22070000000000078</v>
      </c>
      <c r="U16" s="15"/>
      <c r="V16" s="27" t="str">
        <f t="shared" si="11"/>
        <v>神经质</v>
      </c>
      <c r="W16" s="59">
        <f>'M1'!B14*1</f>
        <v>29.736000000000001</v>
      </c>
      <c r="X16" s="59">
        <f>'M1'!C14*1</f>
        <v>8.7887900000000005</v>
      </c>
      <c r="Y16" s="59">
        <f>'M1'!D14*1</f>
        <v>29.556000000000001</v>
      </c>
      <c r="Z16" s="59">
        <f>'M1'!E14*1</f>
        <v>10</v>
      </c>
      <c r="AA16" s="59">
        <f>'M1'!F14*1</f>
        <v>2.7945700000000002</v>
      </c>
      <c r="AB16" s="59">
        <f>'M1'!G14*1</f>
        <v>50</v>
      </c>
      <c r="AC16" s="59">
        <f>'M1'!H14*1</f>
        <v>33.7453</v>
      </c>
      <c r="AE16" s="27" t="str">
        <f t="shared" si="12"/>
        <v>神经质</v>
      </c>
      <c r="AF16" s="59">
        <f>'M2'!B14*1</f>
        <v>26.212399999999999</v>
      </c>
      <c r="AG16" s="59">
        <f>'M2'!C14*1</f>
        <v>11.0807</v>
      </c>
      <c r="AH16" s="59">
        <f>'M2'!D14*1</f>
        <v>42.2727</v>
      </c>
      <c r="AI16" s="59">
        <f>'M2'!E14*1</f>
        <v>10</v>
      </c>
      <c r="AJ16" s="59">
        <f>'M2'!F14*1</f>
        <v>2.4518300000000002</v>
      </c>
      <c r="AK16" s="59">
        <f>'M2'!G14*1</f>
        <v>50</v>
      </c>
      <c r="AL16" s="59">
        <f>'M2'!H14*1</f>
        <v>33.966000000000001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-0.47047500000000131</v>
      </c>
      <c r="O17" s="22">
        <f>N17/(N17+N18+N19)</f>
        <v>-0.22482259336248375</v>
      </c>
      <c r="P17" s="65">
        <f>SUM(P11:P14)/4</f>
        <v>-1.8149724999999997</v>
      </c>
      <c r="Q17" s="22">
        <f>P17/(P17+P18+P19)</f>
        <v>-0.2899884562074847</v>
      </c>
      <c r="R17" s="14"/>
      <c r="S17" s="14"/>
      <c r="T17" s="14"/>
      <c r="U17" s="14"/>
      <c r="V17" s="21" t="str">
        <f>M17</f>
        <v>Positive</v>
      </c>
      <c r="W17" s="65">
        <f>SUM(W11:W14)/4</f>
        <v>62.161950000000004</v>
      </c>
      <c r="X17" s="22">
        <f>W17/(W17+W18+W19)</f>
        <v>0.5629159507998277</v>
      </c>
      <c r="Y17" s="65">
        <f>SUM(Y11:Y14)/4</f>
        <v>8.3636225</v>
      </c>
      <c r="Z17" s="22">
        <f>Y17/(Y17+Y18+Y19)</f>
        <v>0.17307234663709431</v>
      </c>
      <c r="AA17" s="14"/>
      <c r="AB17" s="14"/>
      <c r="AC17" s="14"/>
      <c r="AE17" s="21" t="str">
        <f>V17</f>
        <v>Positive</v>
      </c>
      <c r="AF17" s="65">
        <f>SUM(AF11:AF14)/4</f>
        <v>61.691474999999997</v>
      </c>
      <c r="AG17" s="22">
        <f>AF17/(AF17+AF18+AF19)</f>
        <v>0.54826571454915696</v>
      </c>
      <c r="AH17" s="65">
        <f>SUM(AH11:AH14)/4</f>
        <v>6.5486500000000003</v>
      </c>
      <c r="AI17" s="22">
        <f>AH17/(AH17+AH18+AH19)</f>
        <v>0.11997554925548984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3.2428250000000003</v>
      </c>
      <c r="O18" s="22">
        <f>N18/(N17+N18+N19)</f>
        <v>1.5496260722051001</v>
      </c>
      <c r="P18" s="18">
        <f>SUM(P7:P10)/4</f>
        <v>3.4685474999999992</v>
      </c>
      <c r="Q18" s="22">
        <f>P18/(P17+P18+P19)</f>
        <v>0.55418951791684479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24.372475000000001</v>
      </c>
      <c r="X18" s="22">
        <f>W18/(W17+W18+W19)</f>
        <v>0.22070824576722628</v>
      </c>
      <c r="Y18" s="18">
        <f>SUM(Y7:Y10)/4</f>
        <v>16.946657500000001</v>
      </c>
      <c r="Z18" s="22">
        <f>Y18/(Y17+Y18+Y19)</f>
        <v>0.35068509861368258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27.615299999999998</v>
      </c>
      <c r="AG18" s="22">
        <f>AF18/(AF17+AF18+AF19)</f>
        <v>0.24542324830115236</v>
      </c>
      <c r="AH18" s="18">
        <f>SUM(AH7:AH10)/4</f>
        <v>20.415205</v>
      </c>
      <c r="AI18" s="22">
        <f>AH18/(AH17+AH18+AH19)</f>
        <v>0.37401990227580073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-0.67970000000000041</v>
      </c>
      <c r="O19" s="22">
        <f>N19/(N17+N18+N19)</f>
        <v>-0.32480347884261623</v>
      </c>
      <c r="P19" s="18">
        <f>(P15+P16)/2</f>
        <v>4.6051999999999991</v>
      </c>
      <c r="Q19" s="22">
        <f>P19/(P17+P18+P19)</f>
        <v>0.73579893829064003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23.89405</v>
      </c>
      <c r="X19" s="22">
        <f>W19/(W17+W18+W19)</f>
        <v>0.2163758034329461</v>
      </c>
      <c r="Y19" s="18">
        <f>(Y15+Y16)/2</f>
        <v>23.014150000000001</v>
      </c>
      <c r="Z19" s="22">
        <f>Y19/(Y17+Y18+Y19)</f>
        <v>0.47624255474922311</v>
      </c>
      <c r="AA19" s="14"/>
      <c r="AB19" s="14"/>
      <c r="AC19" s="14"/>
      <c r="AE19" s="21" t="str">
        <f t="shared" si="14"/>
        <v>Physiological</v>
      </c>
      <c r="AF19" s="18">
        <f>(AF15+AF16)/2</f>
        <v>23.21435</v>
      </c>
      <c r="AG19" s="22">
        <f>AF19/(AF17+AF18+AF19)</f>
        <v>0.20631103714969082</v>
      </c>
      <c r="AH19" s="18">
        <f>(AH15+AH16)/2</f>
        <v>27.619350000000001</v>
      </c>
      <c r="AI19" s="22">
        <f>AH19/(AH17+AH18+AH19)</f>
        <v>0.50600454846870935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1.32/1.91</v>
      </c>
      <c r="D24" s="44" t="str">
        <f>lang!B11</f>
        <v>频率方差</v>
      </c>
      <c r="E24" s="142" t="str">
        <f ca="1">CONCATENATE(ROUND('FH1'!L3,2),"/",ROUND('FH2'!L3,2))</f>
        <v>0.48/0.58</v>
      </c>
      <c r="F24" s="143"/>
      <c r="G24" s="134" t="str">
        <f>lang!B12</f>
        <v>生理变化率</v>
      </c>
      <c r="H24" s="135"/>
      <c r="I24" s="62" t="str">
        <f ca="1">CONCATENATE(info!M7,"-",info!M8)</f>
        <v>37.8-62</v>
      </c>
      <c r="J24" s="42" t="str">
        <f>lang!B13</f>
        <v>千卡l/分钟</v>
      </c>
      <c r="K24" s="41" t="str">
        <f ca="1">CONCATENATE(info!M5,"-",info!M6)</f>
        <v>2.3-4.1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11.736699999999999</v>
      </c>
      <c r="F27" s="164"/>
      <c r="G27" s="178" t="str">
        <f>lang!B33</f>
        <v>稳定性</v>
      </c>
      <c r="H27" s="179"/>
      <c r="I27" s="180"/>
      <c r="J27" s="181">
        <f>dM!B19*100</f>
        <v>15.234999999999999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-0.83511644906591198</v>
      </c>
      <c r="C2">
        <f t="array" aca="1" ref="C2" ca="1">CORREL(FT_E02,FT_PH02)</f>
        <v>-0.61537858458366423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2.30775</v>
      </c>
      <c r="G2" s="61">
        <f>IF(FT!B2&lt;&gt;"",FT!B2*100,"")</f>
        <v>62.049799999999998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2.35229</v>
      </c>
      <c r="G3" s="61">
        <f>IF(FT!B3&lt;&gt;"",FT!B3*100,"")</f>
        <v>61.586799999999997</v>
      </c>
      <c r="H3" s="61">
        <f t="shared" ref="H3:H66" si="1">(IF(F3&lt;&gt;"",1,""))</f>
        <v>1</v>
      </c>
      <c r="I3" t="str">
        <f>IF(FT!B3&lt;&gt;"",FT!E3,"")</f>
        <v>1 [0.374956]</v>
      </c>
      <c r="J3">
        <f>IF(FT!B3&lt;&gt;"",FT!C3,"")</f>
        <v>0.37495600000000001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0.50620858108108102</v>
      </c>
      <c r="V3">
        <f ca="1">AVERAGE(OFFSET(FT!B2,info!$L$3/2,0,info!$L$3/2,1))</f>
        <v>0.42374797297297295</v>
      </c>
      <c r="W3">
        <f ca="1">AVERAGE(OFFSET(FT!A2,0,0,info!$L$3/2,1))</f>
        <v>0.29387690540540534</v>
      </c>
      <c r="X3">
        <f ca="1">AVERAGE(OFFSET(FT!A2,info!$L$3/2,0,info!$L$3/2,1))</f>
        <v>0.38386281081081086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2.3943600000000003</v>
      </c>
      <c r="G4" s="61">
        <f>IF(FT!B4&lt;&gt;"",FT!B4*100,"")</f>
        <v>61.065300000000001</v>
      </c>
      <c r="H4" s="61">
        <f t="shared" si="1"/>
        <v>1</v>
      </c>
      <c r="I4" t="str">
        <f>IF(FT!B4&lt;&gt;"",FT!E4,"")</f>
        <v>1 [0.776581]</v>
      </c>
      <c r="J4">
        <f>IF(FT!B4&lt;&gt;"",FT!C4,"")</f>
        <v>0.77658099999999997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14.932499999999999</v>
      </c>
      <c r="V4">
        <f>U4*3</f>
        <v>44.797499999999999</v>
      </c>
      <c r="W4">
        <f>U4</f>
        <v>14.932499999999999</v>
      </c>
      <c r="X4">
        <f>V4</f>
        <v>44.797499999999999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2.43526</v>
      </c>
      <c r="G5" s="61">
        <f>IF(FT!B5&lt;&gt;"",FT!B5*100,"")</f>
        <v>60.4499</v>
      </c>
      <c r="H5" s="61">
        <f t="shared" si="1"/>
        <v>1</v>
      </c>
      <c r="I5" t="str">
        <f>IF(FT!B5&lt;&gt;"",FT!E5,"")</f>
        <v>1 [1.182902]</v>
      </c>
      <c r="J5">
        <f>IF(FT!B5&lt;&gt;"",FT!C5,"")</f>
        <v>1.1829000000000001</v>
      </c>
      <c r="K5" t="s">
        <v>53</v>
      </c>
      <c r="L5" s="63">
        <f ca="1">MIN(FT_E)</f>
        <v>2.30775</v>
      </c>
      <c r="M5" s="63">
        <f ca="1">ROUND(L5,1)</f>
        <v>2.2999999999999998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50.620858108108102</v>
      </c>
      <c r="V5">
        <f ca="1">V3*100</f>
        <v>42.374797297297292</v>
      </c>
      <c r="W5">
        <f ca="1">W3*10</f>
        <v>2.9387690540540534</v>
      </c>
      <c r="X5">
        <f ca="1">X3*10</f>
        <v>3.8386281081081086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2.4740000000000002</v>
      </c>
      <c r="G6" s="61">
        <f>IF(FT!B6&lt;&gt;"",FT!B6*100,"")</f>
        <v>59.7834</v>
      </c>
      <c r="H6" s="61">
        <f t="shared" si="1"/>
        <v>1</v>
      </c>
      <c r="I6" t="str">
        <f>IF(FT!B6&lt;&gt;"",FT!E6,"")</f>
        <v>1 [1.590616]</v>
      </c>
      <c r="J6">
        <f>IF(FT!B6&lt;&gt;"",FT!C6,"")</f>
        <v>1.5906199999999999</v>
      </c>
      <c r="K6" t="s">
        <v>54</v>
      </c>
      <c r="L6" s="63">
        <f ca="1">MAX(FT_E)</f>
        <v>4.1476600000000001</v>
      </c>
      <c r="M6" s="63">
        <f ca="1">ROUND(L6,1)</f>
        <v>4.0999999999999996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2.51112</v>
      </c>
      <c r="G7" s="61">
        <f>IF(FT!B7&lt;&gt;"",FT!B7*100,"")</f>
        <v>59.0075</v>
      </c>
      <c r="H7" s="61">
        <f t="shared" si="1"/>
        <v>1</v>
      </c>
      <c r="I7" t="str">
        <f>IF(FT!B7&lt;&gt;"",FT!E7,"")</f>
        <v>1 [2.000897]</v>
      </c>
      <c r="J7">
        <f>IF(FT!B7&lt;&gt;"",FT!C7,"")</f>
        <v>2.0009000000000001</v>
      </c>
      <c r="K7" t="s">
        <v>55</v>
      </c>
      <c r="L7" s="63">
        <f ca="1">MIN(FT_PH)</f>
        <v>37.841700000000003</v>
      </c>
      <c r="M7" s="63">
        <f ca="1">ROUND(L7,1)</f>
        <v>37.799999999999997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504</v>
      </c>
      <c r="D8" s="61">
        <f>FH!B8*1</f>
        <v>504</v>
      </c>
      <c r="E8">
        <f t="shared" si="3"/>
        <v>6</v>
      </c>
      <c r="F8" s="61">
        <f>IF(FT!A8&lt;&gt;"",FT!A8*10,"")</f>
        <v>2.5469399999999998</v>
      </c>
      <c r="G8" s="61">
        <f>IF(FT!B8&lt;&gt;"",FT!B8*100,"")</f>
        <v>58.209699999999998</v>
      </c>
      <c r="H8" s="61">
        <f t="shared" si="1"/>
        <v>1</v>
      </c>
      <c r="I8" t="str">
        <f>IF(FT!B8&lt;&gt;"",FT!E8,"")</f>
        <v>1 [2.404189]</v>
      </c>
      <c r="J8">
        <f>IF(FT!B8&lt;&gt;"",FT!C8,"")</f>
        <v>2.4041899999999998</v>
      </c>
      <c r="K8" t="s">
        <v>56</v>
      </c>
      <c r="L8" s="63">
        <f ca="1">MAX(FT_PH)</f>
        <v>62.049799999999998</v>
      </c>
      <c r="M8" s="63">
        <f ca="1">ROUND(L8,1)</f>
        <v>62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2.58195</v>
      </c>
      <c r="G9" s="61">
        <f>IF(FT!B9&lt;&gt;"",FT!B9*100,"")</f>
        <v>57.459199999999996</v>
      </c>
      <c r="H9" s="61">
        <f t="shared" si="1"/>
        <v>1</v>
      </c>
      <c r="I9" t="str">
        <f>IF(FT!B9&lt;&gt;"",FT!E9,"")</f>
        <v>1 [2.808783]</v>
      </c>
      <c r="J9">
        <f>IF(FT!B9&lt;&gt;"",FT!C9,"")</f>
        <v>2.8087800000000001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1185</v>
      </c>
      <c r="D10" s="61">
        <f>FH!B10*1</f>
        <v>1185</v>
      </c>
      <c r="E10">
        <f t="shared" si="3"/>
        <v>8</v>
      </c>
      <c r="F10" s="61">
        <f>IF(FT!A10&lt;&gt;"",FT!A10*10,"")</f>
        <v>2.6153500000000003</v>
      </c>
      <c r="G10" s="61">
        <f>IF(FT!B10&lt;&gt;"",FT!B10*100,"")</f>
        <v>56.738699999999994</v>
      </c>
      <c r="H10" s="61">
        <f t="shared" si="1"/>
        <v>1</v>
      </c>
      <c r="I10" t="str">
        <f>IF(FT!B10&lt;&gt;"",FT!E10,"")</f>
        <v>1 [3.215449]</v>
      </c>
      <c r="J10">
        <f>IF(FT!B10&lt;&gt;"",FT!C10,"")</f>
        <v>3.2154500000000001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2.6466499999999997</v>
      </c>
      <c r="G11" s="61">
        <f>IF(FT!B11&lt;&gt;"",FT!B11*100,"")</f>
        <v>56.0929</v>
      </c>
      <c r="H11" s="61">
        <f t="shared" si="1"/>
        <v>1</v>
      </c>
      <c r="I11" t="str">
        <f>IF(FT!B11&lt;&gt;"",FT!E11,"")</f>
        <v>1 [3.622640]</v>
      </c>
      <c r="J11">
        <f>IF(FT!B11&lt;&gt;"",FT!C11,"")</f>
        <v>3.6226400000000001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2.6753100000000001</v>
      </c>
      <c r="G12" s="61">
        <f>IF(FT!B12&lt;&gt;"",FT!B12*100,"")</f>
        <v>55.631500000000003</v>
      </c>
      <c r="H12" s="61">
        <f t="shared" si="1"/>
        <v>1</v>
      </c>
      <c r="I12" t="str">
        <f>IF(FT!B12&lt;&gt;"",FT!E12,"")</f>
        <v>1 [4.030818]</v>
      </c>
      <c r="J12">
        <f>IF(FT!B12&lt;&gt;"",FT!C12,"")</f>
        <v>4.0308200000000003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2666</v>
      </c>
      <c r="D13" s="61">
        <f>FH!B13*1</f>
        <v>2666</v>
      </c>
      <c r="E13">
        <f t="shared" si="3"/>
        <v>11</v>
      </c>
      <c r="F13" s="61">
        <f>IF(FT!A13&lt;&gt;"",FT!A13*10,"")</f>
        <v>2.7013100000000003</v>
      </c>
      <c r="G13" s="61">
        <f>IF(FT!B13&lt;&gt;"",FT!B13*100,"")</f>
        <v>55.231499999999997</v>
      </c>
      <c r="H13" s="61">
        <f t="shared" si="1"/>
        <v>1</v>
      </c>
      <c r="I13" t="str">
        <f>IF(FT!B13&lt;&gt;"",FT!E13,"")</f>
        <v>1 [4.433088]</v>
      </c>
      <c r="J13">
        <f>IF(FT!B13&lt;&gt;"",FT!C13,"")</f>
        <v>4.43309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2.7202100000000002</v>
      </c>
      <c r="G14" s="61">
        <f>IF(FT!B14&lt;&gt;"",FT!B14*100,"")</f>
        <v>54.901200000000003</v>
      </c>
      <c r="H14" s="61">
        <f t="shared" si="1"/>
        <v>1</v>
      </c>
      <c r="I14" t="str">
        <f>IF(FT!B14&lt;&gt;"",FT!E14,"")</f>
        <v>1 [4.839899]</v>
      </c>
      <c r="J14">
        <f>IF(FT!B14&lt;&gt;"",FT!C14,"")</f>
        <v>4.8399000000000001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2445</v>
      </c>
      <c r="D15" s="61">
        <f>FH!B15*1</f>
        <v>2445</v>
      </c>
      <c r="E15">
        <f t="shared" si="3"/>
        <v>13</v>
      </c>
      <c r="F15" s="61">
        <f>IF(FT!A15&lt;&gt;"",FT!A15*10,"")</f>
        <v>2.7363300000000002</v>
      </c>
      <c r="G15" s="61">
        <f>IF(FT!B15&lt;&gt;"",FT!B15*100,"")</f>
        <v>54.588000000000001</v>
      </c>
      <c r="H15" s="61">
        <f t="shared" si="1"/>
        <v>1</v>
      </c>
      <c r="I15" t="str">
        <f>IF(FT!B15&lt;&gt;"",FT!E15,"")</f>
        <v>1 [5.247588]</v>
      </c>
      <c r="J15">
        <f>IF(FT!B15&lt;&gt;"",FT!C15,"")</f>
        <v>5.2475899999999998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2.74892</v>
      </c>
      <c r="G16" s="61">
        <f>IF(FT!B16&lt;&gt;"",FT!B16*100,"")</f>
        <v>54.288599999999995</v>
      </c>
      <c r="H16" s="61">
        <f t="shared" si="1"/>
        <v>1</v>
      </c>
      <c r="I16" t="str">
        <f>IF(FT!B16&lt;&gt;"",FT!E16,"")</f>
        <v>1 [5.653832]</v>
      </c>
      <c r="J16">
        <f>IF(FT!B16&lt;&gt;"",FT!C16,"")</f>
        <v>5.6538300000000001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2.7579599999999997</v>
      </c>
      <c r="G17" s="61">
        <f>IF(FT!B17&lt;&gt;"",FT!B17*100,"")</f>
        <v>53.989899999999999</v>
      </c>
      <c r="H17" s="61">
        <f t="shared" si="1"/>
        <v>1</v>
      </c>
      <c r="I17" t="str">
        <f>IF(FT!B17&lt;&gt;"",FT!E17,"")</f>
        <v>1 [6.060959]</v>
      </c>
      <c r="J17">
        <f>IF(FT!B17&lt;&gt;"",FT!C17,"")</f>
        <v>6.0609599999999997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4664</v>
      </c>
      <c r="D18" s="61">
        <f>FH!B18*1</f>
        <v>4664</v>
      </c>
      <c r="E18">
        <f t="shared" si="3"/>
        <v>16</v>
      </c>
      <c r="F18" s="61">
        <f>IF(FT!A18&lt;&gt;"",FT!A18*10,"")</f>
        <v>2.7645199999999996</v>
      </c>
      <c r="G18" s="61">
        <f>IF(FT!B18&lt;&gt;"",FT!B18*100,"")</f>
        <v>53.719799999999992</v>
      </c>
      <c r="H18" s="61">
        <f t="shared" si="1"/>
        <v>1</v>
      </c>
      <c r="I18" t="str">
        <f>IF(FT!B18&lt;&gt;"",FT!E18,"")</f>
        <v>1 [6.468751]</v>
      </c>
      <c r="J18">
        <f>IF(FT!B18&lt;&gt;"",FT!C18,"")</f>
        <v>6.46875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2.7673700000000001</v>
      </c>
      <c r="G19" s="61">
        <f>IF(FT!B19&lt;&gt;"",FT!B19*100,"")</f>
        <v>53.476599999999998</v>
      </c>
      <c r="H19" s="61">
        <f t="shared" si="1"/>
        <v>1</v>
      </c>
      <c r="I19" t="str">
        <f>IF(FT!B19&lt;&gt;"",FT!E19,"")</f>
        <v>1 [6.872451]</v>
      </c>
      <c r="J19">
        <f>IF(FT!B19&lt;&gt;"",FT!C19,"")</f>
        <v>6.8724499999999997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2.7680600000000002</v>
      </c>
      <c r="G20" s="61">
        <f>IF(FT!B20&lt;&gt;"",FT!B20*100,"")</f>
        <v>53.227899999999991</v>
      </c>
      <c r="H20" s="61">
        <f t="shared" si="1"/>
        <v>1</v>
      </c>
      <c r="I20" t="str">
        <f>IF(FT!B20&lt;&gt;"",FT!E20,"")</f>
        <v>1 [7.277584]</v>
      </c>
      <c r="J20">
        <f>IF(FT!B20&lt;&gt;"",FT!C20,"")</f>
        <v>7.2775800000000004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5809</v>
      </c>
      <c r="D21" s="61">
        <f>FH!B21*1</f>
        <v>5809</v>
      </c>
      <c r="E21">
        <f t="shared" si="3"/>
        <v>19</v>
      </c>
      <c r="F21" s="61">
        <f>IF(FT!A21&lt;&gt;"",FT!A21*10,"")</f>
        <v>2.7656299999999998</v>
      </c>
      <c r="G21" s="61">
        <f>IF(FT!B21&lt;&gt;"",FT!B21*100,"")</f>
        <v>52.971500000000006</v>
      </c>
      <c r="H21" s="61">
        <f t="shared" si="1"/>
        <v>1</v>
      </c>
      <c r="I21" t="str">
        <f>IF(FT!B21&lt;&gt;"",FT!E21,"")</f>
        <v>1 [7.684950]</v>
      </c>
      <c r="J21">
        <f>IF(FT!B21&lt;&gt;"",FT!C21,"")</f>
        <v>7.6849499999999997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2.7620699999999996</v>
      </c>
      <c r="G22" s="61">
        <f>IF(FT!B22&lt;&gt;"",FT!B22*100,"")</f>
        <v>52.677799999999998</v>
      </c>
      <c r="H22" s="61">
        <f t="shared" si="1"/>
        <v>1</v>
      </c>
      <c r="I22" t="str">
        <f>IF(FT!B22&lt;&gt;"",FT!E22,"")</f>
        <v>1 [8.091643]</v>
      </c>
      <c r="J22">
        <f>IF(FT!B22&lt;&gt;"",FT!C22,"")</f>
        <v>8.0916399999999999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9748</v>
      </c>
      <c r="D23" s="61">
        <f>FH!B23*1</f>
        <v>9748</v>
      </c>
      <c r="E23">
        <f t="shared" si="3"/>
        <v>21</v>
      </c>
      <c r="F23" s="61">
        <f>IF(FT!A23&lt;&gt;"",FT!A23*10,"")</f>
        <v>2.7587800000000002</v>
      </c>
      <c r="G23" s="61">
        <f>IF(FT!B23&lt;&gt;"",FT!B23*100,"")</f>
        <v>52.346400000000003</v>
      </c>
      <c r="H23" s="61">
        <f t="shared" si="1"/>
        <v>1</v>
      </c>
      <c r="I23" t="str">
        <f>IF(FT!B23&lt;&gt;"",FT!E23,"")</f>
        <v>1 [8.498477]</v>
      </c>
      <c r="J23">
        <f>IF(FT!B23&lt;&gt;"",FT!C23,"")</f>
        <v>8.4984800000000007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2.7562899999999999</v>
      </c>
      <c r="G24" s="61">
        <f>IF(FT!B24&lt;&gt;"",FT!B24*100,"")</f>
        <v>52.028500000000001</v>
      </c>
      <c r="H24" s="61">
        <f t="shared" si="1"/>
        <v>1</v>
      </c>
      <c r="I24" t="str">
        <f>IF(FT!B24&lt;&gt;"",FT!E24,"")</f>
        <v>1 [8.906479]</v>
      </c>
      <c r="J24">
        <f>IF(FT!B24&lt;&gt;"",FT!C24,"")</f>
        <v>8.9064800000000002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2.7549899999999998</v>
      </c>
      <c r="G25" s="61">
        <f>IF(FT!B25&lt;&gt;"",FT!B25*100,"")</f>
        <v>51.757200000000005</v>
      </c>
      <c r="H25" s="61">
        <f t="shared" si="1"/>
        <v>1</v>
      </c>
      <c r="I25" t="str">
        <f>IF(FT!B25&lt;&gt;"",FT!E25,"")</f>
        <v>1 [9.310358]</v>
      </c>
      <c r="J25">
        <f>IF(FT!B25&lt;&gt;"",FT!C25,"")</f>
        <v>9.3103599999999993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13404</v>
      </c>
      <c r="D26" s="61">
        <f>FH!B26*1</f>
        <v>13404</v>
      </c>
      <c r="E26">
        <f t="shared" si="3"/>
        <v>24</v>
      </c>
      <c r="F26" s="61">
        <f>IF(FT!A26&lt;&gt;"",FT!A26*10,"")</f>
        <v>2.7528700000000002</v>
      </c>
      <c r="G26" s="61">
        <f>IF(FT!B26&lt;&gt;"",FT!B26*100,"")</f>
        <v>51.500999999999998</v>
      </c>
      <c r="H26" s="61">
        <f t="shared" si="1"/>
        <v>1</v>
      </c>
      <c r="I26" t="str">
        <f>IF(FT!B26&lt;&gt;"",FT!E26,"")</f>
        <v>1 [9.714715]</v>
      </c>
      <c r="J26">
        <f>IF(FT!B26&lt;&gt;"",FT!C26,"")</f>
        <v>9.7147199999999998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2.7487499999999998</v>
      </c>
      <c r="G27" s="61">
        <f>IF(FT!B27&lt;&gt;"",FT!B27*100,"")</f>
        <v>51.277099999999997</v>
      </c>
      <c r="H27" s="61">
        <f t="shared" si="1"/>
        <v>1</v>
      </c>
      <c r="I27" t="str">
        <f>IF(FT!B27&lt;&gt;"",FT!E27,"")</f>
        <v>1 [10.124869]</v>
      </c>
      <c r="J27">
        <f>IF(FT!B27&lt;&gt;"",FT!C27,"")</f>
        <v>10.1249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19932</v>
      </c>
      <c r="D28" s="61">
        <f>FH!B28*1</f>
        <v>19932</v>
      </c>
      <c r="E28">
        <f t="shared" si="3"/>
        <v>26</v>
      </c>
      <c r="F28" s="61">
        <f>IF(FT!A28&lt;&gt;"",FT!A28*10,"")</f>
        <v>2.7430399999999997</v>
      </c>
      <c r="G28" s="61">
        <f>IF(FT!B28&lt;&gt;"",FT!B28*100,"")</f>
        <v>51.0625</v>
      </c>
      <c r="H28" s="61">
        <f t="shared" si="1"/>
        <v>1</v>
      </c>
      <c r="I28" t="str">
        <f>IF(FT!B28&lt;&gt;"",FT!E28,"")</f>
        <v>1 [10.530063]</v>
      </c>
      <c r="J28">
        <f>IF(FT!B28&lt;&gt;"",FT!C28,"")</f>
        <v>10.530099999999999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2.7362299999999999</v>
      </c>
      <c r="G29" s="61">
        <f>IF(FT!B29&lt;&gt;"",FT!B29*100,"")</f>
        <v>50.859099999999998</v>
      </c>
      <c r="H29" s="61">
        <f t="shared" si="1"/>
        <v>1</v>
      </c>
      <c r="I29" t="str">
        <f>IF(FT!B29&lt;&gt;"",FT!E29,"")</f>
        <v>1 [10.934893]</v>
      </c>
      <c r="J29">
        <f>IF(FT!B29&lt;&gt;"",FT!C29,"")</f>
        <v>10.934900000000001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2.7288099999999997</v>
      </c>
      <c r="G30" s="61">
        <f>IF(FT!B30&lt;&gt;"",FT!B30*100,"")</f>
        <v>50.710799999999999</v>
      </c>
      <c r="H30" s="61">
        <f t="shared" si="1"/>
        <v>1</v>
      </c>
      <c r="I30" t="str">
        <f>IF(FT!B30&lt;&gt;"",FT!E30,"")</f>
        <v>1 [11.339832]</v>
      </c>
      <c r="J30">
        <f>IF(FT!B30&lt;&gt;"",FT!C30,"")</f>
        <v>11.3398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28372</v>
      </c>
      <c r="D31" s="61">
        <f>FH!B31*1</f>
        <v>28372</v>
      </c>
      <c r="E31">
        <f t="shared" si="3"/>
        <v>29</v>
      </c>
      <c r="F31" s="61">
        <f>IF(FT!A31&lt;&gt;"",FT!A31*10,"")</f>
        <v>2.7208300000000003</v>
      </c>
      <c r="G31" s="61">
        <f>IF(FT!B31&lt;&gt;"",FT!B31*100,"")</f>
        <v>50.555999999999997</v>
      </c>
      <c r="H31" s="61">
        <f t="shared" si="1"/>
        <v>1</v>
      </c>
      <c r="I31" t="str">
        <f>IF(FT!B31&lt;&gt;"",FT!E31,"")</f>
        <v>1 [11.746721]</v>
      </c>
      <c r="J31">
        <f>IF(FT!B31&lt;&gt;"",FT!C31,"")</f>
        <v>11.746700000000001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2.7114700000000003</v>
      </c>
      <c r="G32" s="61">
        <f>IF(FT!B32&lt;&gt;"",FT!B32*100,"")</f>
        <v>50.421999999999997</v>
      </c>
      <c r="H32" s="61">
        <f t="shared" si="1"/>
        <v>1</v>
      </c>
      <c r="I32" t="str">
        <f>IF(FT!B32&lt;&gt;"",FT!E32,"")</f>
        <v>1 [12.154899]</v>
      </c>
      <c r="J32">
        <f>IF(FT!B32&lt;&gt;"",FT!C32,"")</f>
        <v>12.1549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39263</v>
      </c>
      <c r="D33" s="61">
        <f>FH!B33*1</f>
        <v>39263</v>
      </c>
      <c r="E33">
        <f t="shared" si="3"/>
        <v>31</v>
      </c>
      <c r="F33" s="61">
        <f>IF(FT!A33&lt;&gt;"",FT!A33*10,"")</f>
        <v>2.6999299999999997</v>
      </c>
      <c r="G33" s="61">
        <f>IF(FT!B33&lt;&gt;"",FT!B33*100,"")</f>
        <v>50.364699999999999</v>
      </c>
      <c r="H33" s="61">
        <f t="shared" si="1"/>
        <v>1</v>
      </c>
      <c r="I33" t="str">
        <f>IF(FT!B33&lt;&gt;"",FT!E33,"")</f>
        <v>1 [12.561611]</v>
      </c>
      <c r="J33">
        <f>IF(FT!B33&lt;&gt;"",FT!C33,"")</f>
        <v>12.5616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2.6900200000000001</v>
      </c>
      <c r="G34" s="61">
        <f>IF(FT!B34&lt;&gt;"",FT!B34*100,"")</f>
        <v>50.333500000000001</v>
      </c>
      <c r="H34" s="61">
        <f t="shared" si="1"/>
        <v>1</v>
      </c>
      <c r="I34" t="str">
        <f>IF(FT!B34&lt;&gt;"",FT!E34,"")</f>
        <v>1 [12.967043]</v>
      </c>
      <c r="J34">
        <f>IF(FT!B34&lt;&gt;"",FT!C34,"")</f>
        <v>12.967000000000001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2.6795299999999997</v>
      </c>
      <c r="G35" s="61">
        <f>IF(FT!B35&lt;&gt;"",FT!B35*100,"")</f>
        <v>50.348000000000006</v>
      </c>
      <c r="H35" s="61">
        <f t="shared" si="1"/>
        <v>1</v>
      </c>
      <c r="I35" t="str">
        <f>IF(FT!B35&lt;&gt;"",FT!E35,"")</f>
        <v>1 [13.370749]</v>
      </c>
      <c r="J35">
        <f>IF(FT!B35&lt;&gt;"",FT!C35,"")</f>
        <v>13.370699999999999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53336</v>
      </c>
      <c r="D36" s="61">
        <f>FH!B36*1</f>
        <v>53336</v>
      </c>
      <c r="E36">
        <f t="shared" si="3"/>
        <v>34</v>
      </c>
      <c r="F36" s="61">
        <f>IF(FT!A36&lt;&gt;"",FT!A36*10,"")</f>
        <v>2.6690700000000001</v>
      </c>
      <c r="G36" s="61">
        <f>IF(FT!B36&lt;&gt;"",FT!B36*100,"")</f>
        <v>50.363100000000003</v>
      </c>
      <c r="H36" s="61">
        <f t="shared" si="1"/>
        <v>1</v>
      </c>
      <c r="I36" t="str">
        <f>IF(FT!B36&lt;&gt;"",FT!E36,"")</f>
        <v>1 [13.780545]</v>
      </c>
      <c r="J36">
        <f>IF(FT!B36&lt;&gt;"",FT!C36,"")</f>
        <v>13.7805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2.6584400000000001</v>
      </c>
      <c r="G37" s="61">
        <f>IF(FT!B37&lt;&gt;"",FT!B37*100,"")</f>
        <v>50.304700000000004</v>
      </c>
      <c r="H37" s="61">
        <f t="shared" si="1"/>
        <v>1</v>
      </c>
      <c r="I37" t="str">
        <f>IF(FT!B37&lt;&gt;"",FT!E37,"")</f>
        <v>1 [14.187504]</v>
      </c>
      <c r="J37">
        <f>IF(FT!B37&lt;&gt;"",FT!C37,"")</f>
        <v>14.1875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2.64961</v>
      </c>
      <c r="G38" s="61">
        <f>IF(FT!B38&lt;&gt;"",FT!B38*100,"")</f>
        <v>50.299400000000006</v>
      </c>
      <c r="H38" s="61">
        <f t="shared" si="1"/>
        <v>1</v>
      </c>
      <c r="I38" t="str">
        <f>IF(FT!B38&lt;&gt;"",FT!E38,"")</f>
        <v>1 [14.590324]</v>
      </c>
      <c r="J38">
        <f>IF(FT!B38&lt;&gt;"",FT!C38,"")</f>
        <v>14.590299999999999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65609</v>
      </c>
      <c r="D39" s="61">
        <f>FH!B39*1</f>
        <v>65609</v>
      </c>
      <c r="E39">
        <f t="shared" si="3"/>
        <v>37</v>
      </c>
      <c r="F39" s="61">
        <f>IF(FT!A39&lt;&gt;"",FT!A39*10,"")</f>
        <v>2.6483099999999999</v>
      </c>
      <c r="G39" s="61">
        <f>IF(FT!B39&lt;&gt;"",FT!B39*100,"")</f>
        <v>50.244299999999996</v>
      </c>
      <c r="H39" s="61">
        <f t="shared" si="1"/>
        <v>1</v>
      </c>
      <c r="I39" t="str">
        <f>IF(FT!B39&lt;&gt;"",FT!E39,"")</f>
        <v>1 [14.996065]</v>
      </c>
      <c r="J39">
        <f>IF(FT!B39&lt;&gt;"",FT!C39,"")</f>
        <v>14.9961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2.6490599999999995</v>
      </c>
      <c r="G40" s="61">
        <f>IF(FT!B40&lt;&gt;"",FT!B40*100,"")</f>
        <v>50.201799999999999</v>
      </c>
      <c r="H40" s="61">
        <f t="shared" si="1"/>
        <v>1</v>
      </c>
      <c r="I40" t="str">
        <f>IF(FT!B40&lt;&gt;"",FT!E40,"")</f>
        <v>1 [15.403519]</v>
      </c>
      <c r="J40">
        <f>IF(FT!B40&lt;&gt;"",FT!C40,"")</f>
        <v>15.403499999999999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82438</v>
      </c>
      <c r="D41" s="61">
        <f>FH!B41*1</f>
        <v>82438</v>
      </c>
      <c r="E41">
        <f t="shared" si="3"/>
        <v>39</v>
      </c>
      <c r="F41" s="61">
        <f>IF(FT!A41&lt;&gt;"",FT!A41*10,"")</f>
        <v>2.6565899999999996</v>
      </c>
      <c r="G41" s="61">
        <f>IF(FT!B41&lt;&gt;"",FT!B41*100,"")</f>
        <v>50.184399999999997</v>
      </c>
      <c r="H41" s="61">
        <f t="shared" si="1"/>
        <v>1</v>
      </c>
      <c r="I41" t="str">
        <f>IF(FT!B41&lt;&gt;"",FT!E41,"")</f>
        <v>1 [15.807183]</v>
      </c>
      <c r="J41">
        <f>IF(FT!B41&lt;&gt;"",FT!C41,"")</f>
        <v>15.8072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2.6695799999999998</v>
      </c>
      <c r="G42" s="61">
        <f>IF(FT!B42&lt;&gt;"",FT!B42*100,"")</f>
        <v>50.104700000000001</v>
      </c>
      <c r="H42" s="61">
        <f t="shared" si="1"/>
        <v>1</v>
      </c>
      <c r="I42" t="str">
        <f>IF(FT!B42&lt;&gt;"",FT!E42,"")</f>
        <v>1 [16.217485]</v>
      </c>
      <c r="J42">
        <f>IF(FT!B42&lt;&gt;"",FT!C42,"")</f>
        <v>16.217500000000001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2.68716</v>
      </c>
      <c r="G43" s="61">
        <f>IF(FT!B43&lt;&gt;"",FT!B43*100,"")</f>
        <v>49.915599999999998</v>
      </c>
      <c r="H43" s="61">
        <f t="shared" si="1"/>
        <v>1</v>
      </c>
      <c r="I43" t="str">
        <f>IF(FT!B43&lt;&gt;"",FT!E43,"")</f>
        <v>1 [16.621808]</v>
      </c>
      <c r="J43">
        <f>IF(FT!B43&lt;&gt;"",FT!C43,"")</f>
        <v>16.6218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102937</v>
      </c>
      <c r="D44" s="61">
        <f>FH!B44*1</f>
        <v>102937</v>
      </c>
      <c r="E44">
        <f t="shared" si="3"/>
        <v>42</v>
      </c>
      <c r="F44" s="61">
        <f>IF(FT!A44&lt;&gt;"",FT!A44*10,"")</f>
        <v>2.7083499999999998</v>
      </c>
      <c r="G44" s="61">
        <f>IF(FT!B44&lt;&gt;"",FT!B44*100,"")</f>
        <v>49.727600000000002</v>
      </c>
      <c r="H44" s="61">
        <f t="shared" si="1"/>
        <v>1</v>
      </c>
      <c r="I44" t="str">
        <f>IF(FT!B44&lt;&gt;"",FT!E44,"")</f>
        <v>1 [17.031095]</v>
      </c>
      <c r="J44">
        <f>IF(FT!B44&lt;&gt;"",FT!C44,"")</f>
        <v>17.031099999999999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2.7325700000000004</v>
      </c>
      <c r="G45" s="61">
        <f>IF(FT!B45&lt;&gt;"",FT!B45*100,"")</f>
        <v>49.557299999999998</v>
      </c>
      <c r="H45" s="61">
        <f t="shared" si="1"/>
        <v>1</v>
      </c>
      <c r="I45" t="str">
        <f>IF(FT!B45&lt;&gt;"",FT!E45,"")</f>
        <v>1 [17.433884]</v>
      </c>
      <c r="J45">
        <f>IF(FT!B45&lt;&gt;"",FT!C45,"")</f>
        <v>17.433900000000001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131868</v>
      </c>
      <c r="D46" s="61">
        <f>FH!B46*1</f>
        <v>131868</v>
      </c>
      <c r="E46">
        <f t="shared" si="3"/>
        <v>44</v>
      </c>
      <c r="F46" s="61">
        <f>IF(FT!A46&lt;&gt;"",FT!A46*10,"")</f>
        <v>2.7581199999999999</v>
      </c>
      <c r="G46" s="61">
        <f>IF(FT!B46&lt;&gt;"",FT!B46*100,"")</f>
        <v>49.4664</v>
      </c>
      <c r="H46" s="61">
        <f t="shared" si="1"/>
        <v>1</v>
      </c>
      <c r="I46" t="str">
        <f>IF(FT!B46&lt;&gt;"",FT!E46,"")</f>
        <v>1 [17.839626]</v>
      </c>
      <c r="J46">
        <f>IF(FT!B46&lt;&gt;"",FT!C46,"")</f>
        <v>17.839600000000001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2.7835000000000001</v>
      </c>
      <c r="G47" s="61">
        <f>IF(FT!B47&lt;&gt;"",FT!B47*100,"")</f>
        <v>49.431000000000004</v>
      </c>
      <c r="H47" s="61">
        <f t="shared" si="1"/>
        <v>1</v>
      </c>
      <c r="I47" t="str">
        <f>IF(FT!B47&lt;&gt;"",FT!E47,"")</f>
        <v>1 [18.248393]</v>
      </c>
      <c r="J47">
        <f>IF(FT!B47&lt;&gt;"",FT!C47,"")</f>
        <v>18.2484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2.8079999999999998</v>
      </c>
      <c r="G48" s="61">
        <f>IF(FT!B48&lt;&gt;"",FT!B48*100,"")</f>
        <v>49.423499999999997</v>
      </c>
      <c r="H48" s="61">
        <f t="shared" si="1"/>
        <v>1</v>
      </c>
      <c r="I48" t="str">
        <f>IF(FT!B48&lt;&gt;"",FT!E48,"")</f>
        <v>1 [18.653287]</v>
      </c>
      <c r="J48">
        <f>IF(FT!B48&lt;&gt;"",FT!C48,"")</f>
        <v>18.653300000000002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142486</v>
      </c>
      <c r="D49" s="61">
        <f>FH!B49*1</f>
        <v>142486</v>
      </c>
      <c r="E49">
        <f t="shared" si="3"/>
        <v>47</v>
      </c>
      <c r="F49" s="61">
        <f>IF(FT!A49&lt;&gt;"",FT!A49*10,"")</f>
        <v>2.8304800000000001</v>
      </c>
      <c r="G49" s="61">
        <f>IF(FT!B49&lt;&gt;"",FT!B49*100,"")</f>
        <v>49.417200000000001</v>
      </c>
      <c r="H49" s="61">
        <f t="shared" si="1"/>
        <v>1</v>
      </c>
      <c r="I49" t="str">
        <f>IF(FT!B49&lt;&gt;"",FT!E49,"")</f>
        <v>1 [19.059947]</v>
      </c>
      <c r="J49">
        <f>IF(FT!B49&lt;&gt;"",FT!C49,"")</f>
        <v>19.059899999999999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2.8529300000000002</v>
      </c>
      <c r="G50" s="61">
        <f>IF(FT!B50&lt;&gt;"",FT!B50*100,"")</f>
        <v>49.3782</v>
      </c>
      <c r="H50" s="61">
        <f t="shared" si="1"/>
        <v>1</v>
      </c>
      <c r="I50" t="str">
        <f>IF(FT!B50&lt;&gt;"",FT!E50,"")</f>
        <v>1 [19.466566]</v>
      </c>
      <c r="J50">
        <f>IF(FT!B50&lt;&gt;"",FT!C50,"")</f>
        <v>19.4666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154216</v>
      </c>
      <c r="D51" s="61">
        <f>FH!B51*1</f>
        <v>154216</v>
      </c>
      <c r="E51">
        <f t="shared" si="3"/>
        <v>49</v>
      </c>
      <c r="F51" s="61">
        <f>IF(FT!A51&lt;&gt;"",FT!A51*10,"")</f>
        <v>2.87812</v>
      </c>
      <c r="G51" s="61">
        <f>IF(FT!B51&lt;&gt;"",FT!B51*100,"")</f>
        <v>49.2864</v>
      </c>
      <c r="H51" s="61">
        <f t="shared" si="1"/>
        <v>1</v>
      </c>
      <c r="I51" t="str">
        <f>IF(FT!B51&lt;&gt;"",FT!E51,"")</f>
        <v>1 [19.873952]</v>
      </c>
      <c r="J51">
        <f>IF(FT!B51&lt;&gt;"",FT!C51,"")</f>
        <v>19.873999999999999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2.8966099999999999</v>
      </c>
      <c r="G52" s="61">
        <f>IF(FT!B52&lt;&gt;"",FT!B52*100,"")</f>
        <v>49.212899999999998</v>
      </c>
      <c r="H52" s="61">
        <f t="shared" si="1"/>
        <v>1</v>
      </c>
      <c r="I52" t="str">
        <f>IF(FT!B52&lt;&gt;"",FT!E52,"")</f>
        <v>1 [20.278841]</v>
      </c>
      <c r="J52">
        <f>IF(FT!B52&lt;&gt;"",FT!C52,"")</f>
        <v>20.2788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2.9319899999999999</v>
      </c>
      <c r="G53" s="61">
        <f>IF(FT!B53&lt;&gt;"",FT!B53*100,"")</f>
        <v>48.960999999999999</v>
      </c>
      <c r="H53" s="61">
        <f t="shared" si="1"/>
        <v>1</v>
      </c>
      <c r="I53" t="str">
        <f>IF(FT!B53&lt;&gt;"",FT!E53,"")</f>
        <v>1 [20.686169]</v>
      </c>
      <c r="J53">
        <f>IF(FT!B53&lt;&gt;"",FT!C53,"")</f>
        <v>20.686199999999999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162975</v>
      </c>
      <c r="D54" s="61">
        <f>FH!B54*1</f>
        <v>162975</v>
      </c>
      <c r="E54">
        <f t="shared" si="3"/>
        <v>52</v>
      </c>
      <c r="F54" s="61">
        <f>IF(FT!A54&lt;&gt;"",FT!A54*10,"")</f>
        <v>2.9729699999999997</v>
      </c>
      <c r="G54" s="61">
        <f>IF(FT!B54&lt;&gt;"",FT!B54*100,"")</f>
        <v>48.642800000000001</v>
      </c>
      <c r="H54" s="61">
        <f t="shared" si="1"/>
        <v>1</v>
      </c>
      <c r="I54" t="str">
        <f>IF(FT!B54&lt;&gt;"",FT!E54,"")</f>
        <v>1 [21.090541]</v>
      </c>
      <c r="J54">
        <f>IF(FT!B54&lt;&gt;"",FT!C54,"")</f>
        <v>21.090499999999999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3.0357400000000001</v>
      </c>
      <c r="G55" s="61">
        <f>IF(FT!B55&lt;&gt;"",FT!B55*100,"")</f>
        <v>47.984300000000005</v>
      </c>
      <c r="H55" s="61">
        <f t="shared" si="1"/>
        <v>1</v>
      </c>
      <c r="I55" t="str">
        <f>IF(FT!B55&lt;&gt;"",FT!E55,"")</f>
        <v>1 [21.498713]</v>
      </c>
      <c r="J55">
        <f>IF(FT!B55&lt;&gt;"",FT!C55,"")</f>
        <v>21.498699999999999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3.0666599999999997</v>
      </c>
      <c r="G56" s="61">
        <f>IF(FT!B56&lt;&gt;"",FT!B56*100,"")</f>
        <v>47.833500000000001</v>
      </c>
      <c r="H56" s="61">
        <f t="shared" si="1"/>
        <v>1</v>
      </c>
      <c r="I56" t="str">
        <f>IF(FT!B56&lt;&gt;"",FT!E56,"")</f>
        <v>1 [21.904578]</v>
      </c>
      <c r="J56">
        <f>IF(FT!B56&lt;&gt;"",FT!C56,"")</f>
        <v>21.904599999999999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194533</v>
      </c>
      <c r="D57" s="61">
        <f>FH!B57*1</f>
        <v>194533</v>
      </c>
      <c r="E57">
        <f t="shared" si="3"/>
        <v>55</v>
      </c>
      <c r="F57" s="61">
        <f>IF(FT!A57&lt;&gt;"",FT!A57*10,"")</f>
        <v>3.1386099999999999</v>
      </c>
      <c r="G57" s="61">
        <f>IF(FT!B57&lt;&gt;"",FT!B57*100,"")</f>
        <v>47.171800000000005</v>
      </c>
      <c r="H57" s="61">
        <f t="shared" si="1"/>
        <v>1</v>
      </c>
      <c r="I57" t="str">
        <f>IF(FT!B57&lt;&gt;"",FT!E57,"")</f>
        <v>1 [22.311657]</v>
      </c>
      <c r="J57">
        <f>IF(FT!B57&lt;&gt;"",FT!C57,"")</f>
        <v>22.311699999999998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3.1954199999999999</v>
      </c>
      <c r="G58" s="61">
        <f>IF(FT!B58&lt;&gt;"",FT!B58*100,"")</f>
        <v>46.73</v>
      </c>
      <c r="H58" s="61">
        <f t="shared" si="1"/>
        <v>1</v>
      </c>
      <c r="I58" t="str">
        <f>IF(FT!B58&lt;&gt;"",FT!E58,"")</f>
        <v>1 [22.716281]</v>
      </c>
      <c r="J58">
        <f>IF(FT!B58&lt;&gt;"",FT!C58,"")</f>
        <v>22.7163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190623</v>
      </c>
      <c r="D59" s="61">
        <f>FH!B59*1</f>
        <v>190623</v>
      </c>
      <c r="E59">
        <f t="shared" si="3"/>
        <v>57</v>
      </c>
      <c r="F59" s="61">
        <f>IF(FT!A59&lt;&gt;"",FT!A59*10,"")</f>
        <v>3.2326600000000001</v>
      </c>
      <c r="G59" s="61">
        <f>IF(FT!B59&lt;&gt;"",FT!B59*100,"")</f>
        <v>46.576799999999999</v>
      </c>
      <c r="H59" s="61">
        <f t="shared" si="1"/>
        <v>1</v>
      </c>
      <c r="I59" t="str">
        <f>IF(FT!B59&lt;&gt;"",FT!E59,"")</f>
        <v>1 [23.122849]</v>
      </c>
      <c r="J59">
        <f>IF(FT!B59&lt;&gt;"",FT!C59,"")</f>
        <v>23.122800000000002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3.2898000000000001</v>
      </c>
      <c r="G60" s="61">
        <f>IF(FT!B60&lt;&gt;"",FT!B60*100,"")</f>
        <v>46.096599999999995</v>
      </c>
      <c r="H60" s="61">
        <f t="shared" si="1"/>
        <v>1</v>
      </c>
      <c r="I60" t="str">
        <f>IF(FT!B60&lt;&gt;"",FT!E60,"")</f>
        <v>1 [23.527779]</v>
      </c>
      <c r="J60">
        <f>IF(FT!B60&lt;&gt;"",FT!C60,"")</f>
        <v>23.527799999999999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3.34775</v>
      </c>
      <c r="G61" s="61">
        <f>IF(FT!B61&lt;&gt;"",FT!B61*100,"")</f>
        <v>45.665900000000001</v>
      </c>
      <c r="H61" s="61">
        <f t="shared" si="1"/>
        <v>1</v>
      </c>
      <c r="I61" t="str">
        <f>IF(FT!B61&lt;&gt;"",FT!E61,"")</f>
        <v>1 [23.934454]</v>
      </c>
      <c r="J61">
        <f>IF(FT!B61&lt;&gt;"",FT!C61,"")</f>
        <v>23.9345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193341</v>
      </c>
      <c r="D62" s="61">
        <f>FH!B62*1</f>
        <v>193341</v>
      </c>
      <c r="E62">
        <f t="shared" si="3"/>
        <v>60</v>
      </c>
      <c r="F62" s="61">
        <f>IF(FT!A62&lt;&gt;"",FT!A62*10,"")</f>
        <v>3.42543</v>
      </c>
      <c r="G62" s="61">
        <f>IF(FT!B62&lt;&gt;"",FT!B62*100,"")</f>
        <v>44.962200000000003</v>
      </c>
      <c r="H62" s="61">
        <f t="shared" si="1"/>
        <v>1</v>
      </c>
      <c r="I62" t="str">
        <f>IF(FT!B62&lt;&gt;"",FT!E62,"")</f>
        <v>1 [24.344311]</v>
      </c>
      <c r="J62">
        <f>IF(FT!B62&lt;&gt;"",FT!C62,"")</f>
        <v>24.3443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3.4809400000000004</v>
      </c>
      <c r="G63" s="61">
        <f>IF(FT!B63&lt;&gt;"",FT!B63*100,"")</f>
        <v>44.768900000000002</v>
      </c>
      <c r="H63" s="61">
        <f t="shared" si="1"/>
        <v>1</v>
      </c>
      <c r="I63" t="str">
        <f>IF(FT!B63&lt;&gt;"",FT!E63,"")</f>
        <v>1 [24.749054]</v>
      </c>
      <c r="J63">
        <f>IF(FT!B63&lt;&gt;"",FT!C63,"")</f>
        <v>24.749099999999999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203746</v>
      </c>
      <c r="D64" s="61">
        <f>FH!B64*1</f>
        <v>203746</v>
      </c>
      <c r="E64">
        <f t="shared" si="3"/>
        <v>62</v>
      </c>
      <c r="F64" s="61">
        <f>IF(FT!A64&lt;&gt;"",FT!A64*10,"")</f>
        <v>3.5196499999999995</v>
      </c>
      <c r="G64" s="61">
        <f>IF(FT!B64&lt;&gt;"",FT!B64*100,"")</f>
        <v>44.824100000000001</v>
      </c>
      <c r="H64" s="61">
        <f t="shared" si="1"/>
        <v>1</v>
      </c>
      <c r="I64" t="str">
        <f>IF(FT!B64&lt;&gt;"",FT!E64,"")</f>
        <v>1 [25.150269]</v>
      </c>
      <c r="J64">
        <f>IF(FT!B64&lt;&gt;"",FT!C64,"")</f>
        <v>25.150300000000001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3.5733600000000001</v>
      </c>
      <c r="G65" s="61">
        <f>IF(FT!B65&lt;&gt;"",FT!B65*100,"")</f>
        <v>44.731400000000001</v>
      </c>
      <c r="H65" s="61">
        <f t="shared" si="1"/>
        <v>1</v>
      </c>
      <c r="I65" t="str">
        <f>IF(FT!B65&lt;&gt;"",FT!E65,"")</f>
        <v>1 [25.557972]</v>
      </c>
      <c r="J65">
        <f>IF(FT!B65&lt;&gt;"",FT!C65,"")</f>
        <v>25.558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3.63585</v>
      </c>
      <c r="G66" s="61">
        <f>IF(FT!B66&lt;&gt;"",FT!B66*100,"")</f>
        <v>44.495000000000005</v>
      </c>
      <c r="H66" s="61">
        <f t="shared" si="1"/>
        <v>1</v>
      </c>
      <c r="I66" t="str">
        <f>IF(FT!B66&lt;&gt;"",FT!E66,"")</f>
        <v>1 [25.968288]</v>
      </c>
      <c r="J66">
        <f>IF(FT!B66&lt;&gt;"",FT!C66,"")</f>
        <v>25.968299999999999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202599</v>
      </c>
      <c r="D67" s="61">
        <f>FH!B67*1</f>
        <v>202599</v>
      </c>
      <c r="E67">
        <f t="shared" si="3"/>
        <v>65</v>
      </c>
      <c r="F67" s="61">
        <f>IF(FT!A67&lt;&gt;"",FT!A67*10,"")</f>
        <v>3.6832399999999996</v>
      </c>
      <c r="G67" s="61">
        <f>IF(FT!B67&lt;&gt;"",FT!B67*100,"")</f>
        <v>44.4011</v>
      </c>
      <c r="H67" s="61">
        <f t="shared" ref="H67:H130" si="9">(IF(F67&lt;&gt;"",1,""))</f>
        <v>1</v>
      </c>
      <c r="I67" t="str">
        <f>IF(FT!B67&lt;&gt;"",FT!E67,"")</f>
        <v>1 [26.373970]</v>
      </c>
      <c r="J67">
        <f>IF(FT!B67&lt;&gt;"",FT!C67,"")</f>
        <v>26.373999999999999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3.7181999999999999</v>
      </c>
      <c r="G68" s="61">
        <f>IF(FT!B68&lt;&gt;"",FT!B68*100,"")</f>
        <v>44.438400000000001</v>
      </c>
      <c r="H68" s="61">
        <f t="shared" si="9"/>
        <v>1</v>
      </c>
      <c r="I68" t="str">
        <f>IF(FT!B68&lt;&gt;"",FT!E68,"")</f>
        <v>1 [26.776284]</v>
      </c>
      <c r="J68">
        <f>IF(FT!B68&lt;&gt;"",FT!C68,"")</f>
        <v>26.776299999999999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214814</v>
      </c>
      <c r="D69" s="61">
        <f>FH!B69*1</f>
        <v>214814</v>
      </c>
      <c r="E69">
        <f t="shared" si="11"/>
        <v>67</v>
      </c>
      <c r="F69" s="61">
        <f>IF(FT!A69&lt;&gt;"",FT!A69*10,"")</f>
        <v>3.7739799999999999</v>
      </c>
      <c r="G69" s="61">
        <f>IF(FT!B69&lt;&gt;"",FT!B69*100,"")</f>
        <v>44.1434</v>
      </c>
      <c r="H69" s="61">
        <f t="shared" si="9"/>
        <v>1</v>
      </c>
      <c r="I69" t="str">
        <f>IF(FT!B69&lt;&gt;"",FT!E69,"")</f>
        <v>1 [27.183588]</v>
      </c>
      <c r="J69">
        <f>IF(FT!B69&lt;&gt;"",FT!C69,"")</f>
        <v>27.183599999999998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3.8067200000000003</v>
      </c>
      <c r="G70" s="61">
        <f>IF(FT!B70&lt;&gt;"",FT!B70*100,"")</f>
        <v>44.154199999999996</v>
      </c>
      <c r="H70" s="61">
        <f t="shared" si="9"/>
        <v>1</v>
      </c>
      <c r="I70" t="str">
        <f>IF(FT!B70&lt;&gt;"",FT!E70,"")</f>
        <v>1 [27.590949]</v>
      </c>
      <c r="J70">
        <f>IF(FT!B70&lt;&gt;"",FT!C70,"")</f>
        <v>27.590900000000001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3.8541500000000002</v>
      </c>
      <c r="G71" s="61">
        <f>IF(FT!B71&lt;&gt;"",FT!B71*100,"")</f>
        <v>44.074000000000005</v>
      </c>
      <c r="H71" s="61">
        <f t="shared" si="9"/>
        <v>1</v>
      </c>
      <c r="I71" t="str">
        <f>IF(FT!B71&lt;&gt;"",FT!E71,"")</f>
        <v>1 [28.002709]</v>
      </c>
      <c r="J71">
        <f>IF(FT!B71&lt;&gt;"",FT!C71,"")</f>
        <v>28.002700000000001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215356</v>
      </c>
      <c r="D72" s="61">
        <f>FH!B72*1</f>
        <v>215356</v>
      </c>
      <c r="E72">
        <f t="shared" si="11"/>
        <v>70</v>
      </c>
      <c r="F72" s="61">
        <f>IF(FT!A72&lt;&gt;"",FT!A72*10,"")</f>
        <v>3.8845800000000001</v>
      </c>
      <c r="G72" s="61">
        <f>IF(FT!B72&lt;&gt;"",FT!B72*100,"")</f>
        <v>44.2104</v>
      </c>
      <c r="H72" s="61">
        <f t="shared" si="9"/>
        <v>1</v>
      </c>
      <c r="I72" t="str">
        <f>IF(FT!B72&lt;&gt;"",FT!E72,"")</f>
        <v>1 [28.404901]</v>
      </c>
      <c r="J72">
        <f>IF(FT!B72&lt;&gt;"",FT!C72,"")</f>
        <v>28.404900000000001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3.9214199999999999</v>
      </c>
      <c r="G73" s="61">
        <f>IF(FT!B73&lt;&gt;"",FT!B73*100,"")</f>
        <v>44.3795</v>
      </c>
      <c r="H73" s="61">
        <f t="shared" si="9"/>
        <v>1</v>
      </c>
      <c r="I73" t="str">
        <f>IF(FT!B73&lt;&gt;"",FT!E73,"")</f>
        <v>1 [28.808304]</v>
      </c>
      <c r="J73">
        <f>IF(FT!B73&lt;&gt;"",FT!C73,"")</f>
        <v>28.808299999999999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3.9507700000000003</v>
      </c>
      <c r="G74" s="61">
        <f>IF(FT!B74&lt;&gt;"",FT!B74*100,"")</f>
        <v>44.6218</v>
      </c>
      <c r="H74" s="61">
        <f t="shared" si="9"/>
        <v>1</v>
      </c>
      <c r="I74" t="str">
        <f>IF(FT!B74&lt;&gt;"",FT!E74,"")</f>
        <v>1 [29.214930]</v>
      </c>
      <c r="J74">
        <f>IF(FT!B74&lt;&gt;"",FT!C74,"")</f>
        <v>29.2149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199120</v>
      </c>
      <c r="D75" s="61">
        <f>FH!B75*1</f>
        <v>199120</v>
      </c>
      <c r="E75">
        <f t="shared" si="11"/>
        <v>73</v>
      </c>
      <c r="F75" s="61">
        <f>IF(FT!A75&lt;&gt;"",FT!A75*10,"")</f>
        <v>3.9776199999999999</v>
      </c>
      <c r="G75" s="61">
        <f>IF(FT!B75&lt;&gt;"",FT!B75*100,"")</f>
        <v>44.843600000000002</v>
      </c>
      <c r="H75" s="61">
        <f t="shared" si="9"/>
        <v>1</v>
      </c>
      <c r="I75" t="str">
        <f>IF(FT!B75&lt;&gt;"",FT!E75,"")</f>
        <v>1 [29.621370]</v>
      </c>
      <c r="J75">
        <f>IF(FT!B75&lt;&gt;"",FT!C75,"")</f>
        <v>29.621400000000001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4.0031699999999999</v>
      </c>
      <c r="G76" s="61">
        <f>IF(FT!B76&lt;&gt;"",FT!B76*100,"")</f>
        <v>44.962600000000002</v>
      </c>
      <c r="H76" s="61">
        <f t="shared" si="9"/>
        <v>1</v>
      </c>
      <c r="I76" t="str">
        <f>IF(FT!B76&lt;&gt;"",FT!E76,"")</f>
        <v>2 [30.029628]</v>
      </c>
      <c r="J76">
        <f>IF(FT!B76&lt;&gt;"",FT!C76,"")</f>
        <v>30.029599999999999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206951</v>
      </c>
      <c r="D77" s="61">
        <f>FH!B77*1</f>
        <v>206951</v>
      </c>
      <c r="E77">
        <f t="shared" si="11"/>
        <v>75</v>
      </c>
      <c r="F77" s="61">
        <f>IF(FT!A77&lt;&gt;"",FT!A77*10,"")</f>
        <v>4.0209899999999994</v>
      </c>
      <c r="G77" s="61">
        <f>IF(FT!B77&lt;&gt;"",FT!B77*100,"")</f>
        <v>44.845500000000001</v>
      </c>
      <c r="H77" s="61">
        <f t="shared" si="9"/>
        <v>1</v>
      </c>
      <c r="I77" t="str">
        <f>IF(FT!B77&lt;&gt;"",FT!E77,"")</f>
        <v>2 [30.499191]</v>
      </c>
      <c r="J77">
        <f>IF(FT!B77&lt;&gt;"",FT!C77,"")</f>
        <v>30.499199999999998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4.0350599999999996</v>
      </c>
      <c r="G78" s="61">
        <f>IF(FT!B78&lt;&gt;"",FT!B78*100,"")</f>
        <v>44.676300000000005</v>
      </c>
      <c r="H78" s="61">
        <f t="shared" si="9"/>
        <v>1</v>
      </c>
      <c r="I78" t="str">
        <f>IF(FT!B78&lt;&gt;"",FT!E78,"")</f>
        <v>2 [30.904395]</v>
      </c>
      <c r="J78">
        <f>IF(FT!B78&lt;&gt;"",FT!C78,"")</f>
        <v>30.904399999999999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4.0454400000000001</v>
      </c>
      <c r="G79" s="61">
        <f>IF(FT!B79&lt;&gt;"",FT!B79*100,"")</f>
        <v>44.399899999999995</v>
      </c>
      <c r="H79" s="61">
        <f t="shared" si="9"/>
        <v>1</v>
      </c>
      <c r="I79" t="str">
        <f>IF(FT!B79&lt;&gt;"",FT!E79,"")</f>
        <v>2 [31.294931]</v>
      </c>
      <c r="J79">
        <f>IF(FT!B79&lt;&gt;"",FT!C79,"")</f>
        <v>31.294899999999998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205691</v>
      </c>
      <c r="D80" s="61">
        <f>FH!B80*1</f>
        <v>205691</v>
      </c>
      <c r="E80">
        <f t="shared" si="11"/>
        <v>78</v>
      </c>
      <c r="F80" s="61">
        <f>IF(FT!A80&lt;&gt;"",FT!A80*10,"")</f>
        <v>4.0532500000000002</v>
      </c>
      <c r="G80" s="61">
        <f>IF(FT!B80&lt;&gt;"",FT!B80*100,"")</f>
        <v>44.061900000000001</v>
      </c>
      <c r="H80" s="61">
        <f t="shared" si="9"/>
        <v>1</v>
      </c>
      <c r="I80" t="str">
        <f>IF(FT!B80&lt;&gt;"",FT!E80,"")</f>
        <v>2 [31.699057]</v>
      </c>
      <c r="J80">
        <f>IF(FT!B80&lt;&gt;"",FT!C80,"")</f>
        <v>31.699100000000001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4.0602900000000002</v>
      </c>
      <c r="G81" s="61">
        <f>IF(FT!B81&lt;&gt;"",FT!B81*100,"")</f>
        <v>43.742899999999999</v>
      </c>
      <c r="H81" s="61">
        <f t="shared" si="9"/>
        <v>1</v>
      </c>
      <c r="I81" t="str">
        <f>IF(FT!B81&lt;&gt;"",FT!E81,"")</f>
        <v>2 [32.109666]</v>
      </c>
      <c r="J81">
        <f>IF(FT!B81&lt;&gt;"",FT!C81,"")</f>
        <v>32.109699999999997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202826</v>
      </c>
      <c r="D82" s="61">
        <f>FH!B82*1</f>
        <v>202826</v>
      </c>
      <c r="E82">
        <f t="shared" si="11"/>
        <v>80</v>
      </c>
      <c r="F82" s="61">
        <f>IF(FT!A82&lt;&gt;"",FT!A82*10,"")</f>
        <v>4.0676499999999995</v>
      </c>
      <c r="G82" s="61">
        <f>IF(FT!B82&lt;&gt;"",FT!B82*100,"")</f>
        <v>43.444700000000005</v>
      </c>
      <c r="H82" s="61">
        <f t="shared" si="9"/>
        <v>1</v>
      </c>
      <c r="I82" t="str">
        <f>IF(FT!B82&lt;&gt;"",FT!E82,"")</f>
        <v>2 [32.513666]</v>
      </c>
      <c r="J82">
        <f>IF(FT!B82&lt;&gt;"",FT!C82,"")</f>
        <v>32.5137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4.0731200000000003</v>
      </c>
      <c r="G83" s="61">
        <f>IF(FT!B83&lt;&gt;"",FT!B83*100,"")</f>
        <v>43.134799999999998</v>
      </c>
      <c r="H83" s="61">
        <f t="shared" si="9"/>
        <v>1</v>
      </c>
      <c r="I83" t="str">
        <f>IF(FT!B83&lt;&gt;"",FT!E83,"")</f>
        <v>2 [32.922665]</v>
      </c>
      <c r="J83">
        <f>IF(FT!B83&lt;&gt;"",FT!C83,"")</f>
        <v>32.922699999999999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4.0784000000000002</v>
      </c>
      <c r="G84" s="61">
        <f>IF(FT!B84&lt;&gt;"",FT!B84*100,"")</f>
        <v>42.834499999999998</v>
      </c>
      <c r="H84" s="61">
        <f t="shared" si="9"/>
        <v>1</v>
      </c>
      <c r="I84" t="str">
        <f>IF(FT!B84&lt;&gt;"",FT!E84,"")</f>
        <v>2 [33.326976]</v>
      </c>
      <c r="J84">
        <f>IF(FT!B84&lt;&gt;"",FT!C84,"")</f>
        <v>33.326999999999998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211201</v>
      </c>
      <c r="D85" s="61">
        <f>FH!B85*1</f>
        <v>211201</v>
      </c>
      <c r="E85">
        <f t="shared" si="11"/>
        <v>83</v>
      </c>
      <c r="F85" s="61">
        <f>IF(FT!A85&lt;&gt;"",FT!A85*10,"")</f>
        <v>4.0854099999999995</v>
      </c>
      <c r="G85" s="61">
        <f>IF(FT!B85&lt;&gt;"",FT!B85*100,"")</f>
        <v>42.567700000000002</v>
      </c>
      <c r="H85" s="61">
        <f t="shared" si="9"/>
        <v>1</v>
      </c>
      <c r="I85" t="str">
        <f>IF(FT!B85&lt;&gt;"",FT!E85,"")</f>
        <v>2 [33.734646]</v>
      </c>
      <c r="J85">
        <f>IF(FT!B85&lt;&gt;"",FT!C85,"")</f>
        <v>33.7346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4.0943800000000001</v>
      </c>
      <c r="G86" s="61">
        <f>IF(FT!B86&lt;&gt;"",FT!B86*100,"")</f>
        <v>42.280699999999996</v>
      </c>
      <c r="H86" s="61">
        <f t="shared" si="9"/>
        <v>1</v>
      </c>
      <c r="I86" t="str">
        <f>IF(FT!B86&lt;&gt;"",FT!E86,"")</f>
        <v>2 [34.135558]</v>
      </c>
      <c r="J86">
        <f>IF(FT!B86&lt;&gt;"",FT!C86,"")</f>
        <v>34.135599999999997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4.1049100000000003</v>
      </c>
      <c r="G87" s="61">
        <f>IF(FT!B87&lt;&gt;"",FT!B87*100,"")</f>
        <v>41.918100000000003</v>
      </c>
      <c r="H87" s="61">
        <f t="shared" si="9"/>
        <v>1</v>
      </c>
      <c r="I87" t="str">
        <f>IF(FT!B87&lt;&gt;"",FT!E87,"")</f>
        <v>2 [34.545045]</v>
      </c>
      <c r="J87">
        <f>IF(FT!B87&lt;&gt;"",FT!C87,"")</f>
        <v>34.545000000000002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210875</v>
      </c>
      <c r="D88" s="61">
        <f>FH!B88*1</f>
        <v>210875</v>
      </c>
      <c r="E88">
        <f t="shared" si="11"/>
        <v>86</v>
      </c>
      <c r="F88" s="61">
        <f>IF(FT!A88&lt;&gt;"",FT!A88*10,"")</f>
        <v>4.1168500000000003</v>
      </c>
      <c r="G88" s="61">
        <f>IF(FT!B88&lt;&gt;"",FT!B88*100,"")</f>
        <v>41.519500000000001</v>
      </c>
      <c r="H88" s="61">
        <f t="shared" si="9"/>
        <v>1</v>
      </c>
      <c r="I88" t="str">
        <f>IF(FT!B88&lt;&gt;"",FT!E88,"")</f>
        <v>2 [34.952796]</v>
      </c>
      <c r="J88">
        <f>IF(FT!B88&lt;&gt;"",FT!C88,"")</f>
        <v>34.952800000000003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4.1277100000000004</v>
      </c>
      <c r="G89" s="61">
        <f>IF(FT!B89&lt;&gt;"",FT!B89*100,"")</f>
        <v>41.136400000000002</v>
      </c>
      <c r="H89" s="61">
        <f t="shared" si="9"/>
        <v>1</v>
      </c>
      <c r="I89" t="str">
        <f>IF(FT!B89&lt;&gt;"",FT!E89,"")</f>
        <v>2 [35.359978]</v>
      </c>
      <c r="J89">
        <f>IF(FT!B89&lt;&gt;"",FT!C89,"")</f>
        <v>35.36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205048</v>
      </c>
      <c r="D90" s="61">
        <f>FH!B90*1</f>
        <v>205048</v>
      </c>
      <c r="E90">
        <f t="shared" si="11"/>
        <v>88</v>
      </c>
      <c r="F90" s="61">
        <f>IF(FT!A90&lt;&gt;"",FT!A90*10,"")</f>
        <v>4.1366399999999999</v>
      </c>
      <c r="G90" s="61">
        <f>IF(FT!B90&lt;&gt;"",FT!B90*100,"")</f>
        <v>40.7697</v>
      </c>
      <c r="H90" s="61">
        <f t="shared" si="9"/>
        <v>1</v>
      </c>
      <c r="I90" t="str">
        <f>IF(FT!B90&lt;&gt;"",FT!E90,"")</f>
        <v>2 [35.761693]</v>
      </c>
      <c r="J90">
        <f>IF(FT!B90&lt;&gt;"",FT!C90,"")</f>
        <v>35.761699999999998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4.1435599999999999</v>
      </c>
      <c r="G91" s="61">
        <f>IF(FT!B91&lt;&gt;"",FT!B91*100,"")</f>
        <v>40.405999999999999</v>
      </c>
      <c r="H91" s="61">
        <f t="shared" si="9"/>
        <v>1</v>
      </c>
      <c r="I91" t="str">
        <f>IF(FT!B91&lt;&gt;"",FT!E91,"")</f>
        <v>2 [36.170794]</v>
      </c>
      <c r="J91">
        <f>IF(FT!B91&lt;&gt;"",FT!C91,"")</f>
        <v>36.1708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4.1476600000000001</v>
      </c>
      <c r="G92" s="61">
        <f>IF(FT!B92&lt;&gt;"",FT!B92*100,"")</f>
        <v>40.104500000000002</v>
      </c>
      <c r="H92" s="61">
        <f t="shared" si="9"/>
        <v>1</v>
      </c>
      <c r="I92" t="str">
        <f>IF(FT!B92&lt;&gt;"",FT!E92,"")</f>
        <v>2 [36.577019]</v>
      </c>
      <c r="J92">
        <f>IF(FT!B92&lt;&gt;"",FT!C92,"")</f>
        <v>36.576999999999998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205622</v>
      </c>
      <c r="D93" s="61">
        <f>FH!B93*1</f>
        <v>205622</v>
      </c>
      <c r="E93">
        <f t="shared" si="11"/>
        <v>91</v>
      </c>
      <c r="F93" s="61">
        <f>IF(FT!A93&lt;&gt;"",FT!A93*10,"")</f>
        <v>4.1471200000000001</v>
      </c>
      <c r="G93" s="61">
        <f>IF(FT!B93&lt;&gt;"",FT!B93*100,"")</f>
        <v>39.904699999999998</v>
      </c>
      <c r="H93" s="61">
        <f t="shared" si="9"/>
        <v>1</v>
      </c>
      <c r="I93" t="str">
        <f>IF(FT!B93&lt;&gt;"",FT!E93,"")</f>
        <v>2 [36.981420]</v>
      </c>
      <c r="J93">
        <f>IF(FT!B93&lt;&gt;"",FT!C93,"")</f>
        <v>36.981400000000001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4.1426800000000004</v>
      </c>
      <c r="G94" s="61">
        <f>IF(FT!B94&lt;&gt;"",FT!B94*100,"")</f>
        <v>39.740299999999998</v>
      </c>
      <c r="H94" s="61">
        <f t="shared" si="9"/>
        <v>1</v>
      </c>
      <c r="I94" t="str">
        <f>IF(FT!B94&lt;&gt;"",FT!E94,"")</f>
        <v>2 [37.389332]</v>
      </c>
      <c r="J94">
        <f>IF(FT!B94&lt;&gt;"",FT!C94,"")</f>
        <v>37.389299999999999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185661</v>
      </c>
      <c r="D95" s="61">
        <f>FH!B95*1</f>
        <v>185661</v>
      </c>
      <c r="E95">
        <f t="shared" si="11"/>
        <v>93</v>
      </c>
      <c r="F95" s="61">
        <f>IF(FT!A95&lt;&gt;"",FT!A95*10,"")</f>
        <v>4.1367399999999996</v>
      </c>
      <c r="G95" s="61">
        <f>IF(FT!B95&lt;&gt;"",FT!B95*100,"")</f>
        <v>39.543099999999995</v>
      </c>
      <c r="H95" s="61">
        <f t="shared" si="9"/>
        <v>1</v>
      </c>
      <c r="I95" t="str">
        <f>IF(FT!B95&lt;&gt;"",FT!E95,"")</f>
        <v>2 [37.798625]</v>
      </c>
      <c r="J95">
        <f>IF(FT!B95&lt;&gt;"",FT!C95,"")</f>
        <v>37.7986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4.13028</v>
      </c>
      <c r="G96" s="61">
        <f>IF(FT!B96&lt;&gt;"",FT!B96*100,"")</f>
        <v>39.286000000000001</v>
      </c>
      <c r="H96" s="61">
        <f t="shared" si="9"/>
        <v>1</v>
      </c>
      <c r="I96" t="str">
        <f>IF(FT!B96&lt;&gt;"",FT!E96,"")</f>
        <v>2 [38.200341]</v>
      </c>
      <c r="J96">
        <f>IF(FT!B96&lt;&gt;"",FT!C96,"")</f>
        <v>38.200299999999999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4.1249000000000002</v>
      </c>
      <c r="G97" s="61">
        <f>IF(FT!B97&lt;&gt;"",FT!B97*100,"")</f>
        <v>39.033499999999997</v>
      </c>
      <c r="H97" s="61">
        <f t="shared" si="9"/>
        <v>1</v>
      </c>
      <c r="I97" t="str">
        <f>IF(FT!B97&lt;&gt;"",FT!E97,"")</f>
        <v>2 [38.607595]</v>
      </c>
      <c r="J97">
        <f>IF(FT!B97&lt;&gt;"",FT!C97,"")</f>
        <v>38.607599999999998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179700</v>
      </c>
      <c r="D98" s="61">
        <f>FH!B98*1</f>
        <v>179700</v>
      </c>
      <c r="E98">
        <f t="shared" si="11"/>
        <v>96</v>
      </c>
      <c r="F98" s="61">
        <f>IF(FT!A98&lt;&gt;"",FT!A98*10,"")</f>
        <v>4.1193999999999997</v>
      </c>
      <c r="G98" s="61">
        <f>IF(FT!B98&lt;&gt;"",FT!B98*100,"")</f>
        <v>38.804499999999997</v>
      </c>
      <c r="H98" s="61">
        <f t="shared" si="9"/>
        <v>1</v>
      </c>
      <c r="I98" t="str">
        <f>IF(FT!B98&lt;&gt;"",FT!E98,"")</f>
        <v>2 [39.014344]</v>
      </c>
      <c r="J98">
        <f>IF(FT!B98&lt;&gt;"",FT!C98,"")</f>
        <v>39.014299999999999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4.1146500000000001</v>
      </c>
      <c r="G99" s="61">
        <f>IF(FT!B99&lt;&gt;"",FT!B99*100,"")</f>
        <v>38.580999999999996</v>
      </c>
      <c r="H99" s="61">
        <f t="shared" si="9"/>
        <v>1</v>
      </c>
      <c r="I99" t="str">
        <f>IF(FT!B99&lt;&gt;"",FT!E99,"")</f>
        <v>2 [39.416596]</v>
      </c>
      <c r="J99">
        <f>IF(FT!B99&lt;&gt;"",FT!C99,"")</f>
        <v>39.416600000000003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179299</v>
      </c>
      <c r="D100" s="61">
        <f>FH!B100*1</f>
        <v>179299</v>
      </c>
      <c r="E100">
        <f t="shared" si="11"/>
        <v>98</v>
      </c>
      <c r="F100" s="61">
        <f>IF(FT!A100&lt;&gt;"",FT!A100*10,"")</f>
        <v>4.1083799999999995</v>
      </c>
      <c r="G100" s="61">
        <f>IF(FT!B100&lt;&gt;"",FT!B100*100,"")</f>
        <v>38.438699999999997</v>
      </c>
      <c r="H100" s="61">
        <f t="shared" si="9"/>
        <v>1</v>
      </c>
      <c r="I100" t="str">
        <f>IF(FT!B100&lt;&gt;"",FT!E100,"")</f>
        <v>2 [39.825481]</v>
      </c>
      <c r="J100">
        <f>IF(FT!B100&lt;&gt;"",FT!C100,"")</f>
        <v>39.825499999999998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4.0999799999999995</v>
      </c>
      <c r="G101" s="61">
        <f>IF(FT!B101&lt;&gt;"",FT!B101*100,"")</f>
        <v>38.394500000000001</v>
      </c>
      <c r="H101" s="61">
        <f t="shared" si="9"/>
        <v>1</v>
      </c>
      <c r="I101" t="str">
        <f>IF(FT!B101&lt;&gt;"",FT!E101,"")</f>
        <v>2 [40.230631]</v>
      </c>
      <c r="J101">
        <f>IF(FT!B101&lt;&gt;"",FT!C101,"")</f>
        <v>40.230600000000003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4.0902899999999995</v>
      </c>
      <c r="G102" s="61">
        <f>IF(FT!B102&lt;&gt;"",FT!B102*100,"")</f>
        <v>38.375799999999998</v>
      </c>
      <c r="H102" s="61">
        <f t="shared" si="9"/>
        <v>1</v>
      </c>
      <c r="I102" t="str">
        <f>IF(FT!B102&lt;&gt;"",FT!E102,"")</f>
        <v>2 [40.641351]</v>
      </c>
      <c r="J102">
        <f>IF(FT!B102&lt;&gt;"",FT!C102,"")</f>
        <v>40.641399999999997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169657</v>
      </c>
      <c r="D103" s="61">
        <f>FH!B103*1</f>
        <v>169657</v>
      </c>
      <c r="E103">
        <f t="shared" si="11"/>
        <v>101</v>
      </c>
      <c r="F103" s="61">
        <f>IF(FT!A103&lt;&gt;"",FT!A103*10,"")</f>
        <v>4.0785599999999995</v>
      </c>
      <c r="G103" s="61">
        <f>IF(FT!B103&lt;&gt;"",FT!B103*100,"")</f>
        <v>38.349800000000002</v>
      </c>
      <c r="H103" s="61">
        <f t="shared" si="9"/>
        <v>1</v>
      </c>
      <c r="I103" t="str">
        <f>IF(FT!B103&lt;&gt;"",FT!E103,"")</f>
        <v>2 [41.045491]</v>
      </c>
      <c r="J103">
        <f>IF(FT!B103&lt;&gt;"",FT!C103,"")</f>
        <v>41.045499999999997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4.0648900000000001</v>
      </c>
      <c r="G104" s="61">
        <f>IF(FT!B104&lt;&gt;"",FT!B104*100,"")</f>
        <v>38.321300000000001</v>
      </c>
      <c r="H104" s="61">
        <f t="shared" si="9"/>
        <v>1</v>
      </c>
      <c r="I104" t="str">
        <f>IF(FT!B104&lt;&gt;"",FT!E104,"")</f>
        <v>2 [41.450251]</v>
      </c>
      <c r="J104">
        <f>IF(FT!B104&lt;&gt;"",FT!C104,"")</f>
        <v>41.450299999999999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4.0493299999999994</v>
      </c>
      <c r="G105" s="61">
        <f>IF(FT!B105&lt;&gt;"",FT!B105*100,"")</f>
        <v>38.266600000000004</v>
      </c>
      <c r="H105" s="61">
        <f t="shared" si="9"/>
        <v>1</v>
      </c>
      <c r="I105" t="str">
        <f>IF(FT!B105&lt;&gt;"",FT!E105,"")</f>
        <v>2 [41.857284]</v>
      </c>
      <c r="J105">
        <f>IF(FT!B105&lt;&gt;"",FT!C105,"")</f>
        <v>41.857300000000002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162303</v>
      </c>
      <c r="D106" s="61">
        <f>FH!B106*1</f>
        <v>162303</v>
      </c>
      <c r="E106">
        <f t="shared" si="11"/>
        <v>104</v>
      </c>
      <c r="F106" s="61">
        <f>IF(FT!A106&lt;&gt;"",FT!A106*10,"")</f>
        <v>4.0324200000000001</v>
      </c>
      <c r="G106" s="61">
        <f>IF(FT!B106&lt;&gt;"",FT!B106*100,"")</f>
        <v>38.158099999999997</v>
      </c>
      <c r="H106" s="61">
        <f t="shared" si="9"/>
        <v>1</v>
      </c>
      <c r="I106" t="str">
        <f>IF(FT!B106&lt;&gt;"",FT!E106,"")</f>
        <v>2 [42.262150]</v>
      </c>
      <c r="J106">
        <f>IF(FT!B106&lt;&gt;"",FT!C106,"")</f>
        <v>42.262099999999997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4.0129999999999999</v>
      </c>
      <c r="G107" s="61">
        <f>IF(FT!B107&lt;&gt;"",FT!B107*100,"")</f>
        <v>38.028800000000004</v>
      </c>
      <c r="H107" s="61">
        <f t="shared" si="9"/>
        <v>1</v>
      </c>
      <c r="I107" t="str">
        <f>IF(FT!B107&lt;&gt;"",FT!E107,"")</f>
        <v>2 [42.669867]</v>
      </c>
      <c r="J107">
        <f>IF(FT!B107&lt;&gt;"",FT!C107,"")</f>
        <v>42.669899999999998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161125</v>
      </c>
      <c r="D108" s="61">
        <f>FH!B108*1</f>
        <v>161125</v>
      </c>
      <c r="E108">
        <f t="shared" si="11"/>
        <v>106</v>
      </c>
      <c r="F108" s="61">
        <f>IF(FT!A108&lt;&gt;"",FT!A108*10,"")</f>
        <v>3.9930399999999997</v>
      </c>
      <c r="G108" s="61">
        <f>IF(FT!B108&lt;&gt;"",FT!B108*100,"")</f>
        <v>37.938499999999998</v>
      </c>
      <c r="H108" s="61">
        <f t="shared" si="9"/>
        <v>1</v>
      </c>
      <c r="I108" t="str">
        <f>IF(FT!B108&lt;&gt;"",FT!E108,"")</f>
        <v>2 [43.077074]</v>
      </c>
      <c r="J108">
        <f>IF(FT!B108&lt;&gt;"",FT!C108,"")</f>
        <v>43.077100000000002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3.9711800000000004</v>
      </c>
      <c r="G109" s="61">
        <f>IF(FT!B109&lt;&gt;"",FT!B109*100,"")</f>
        <v>37.890099999999997</v>
      </c>
      <c r="H109" s="61">
        <f t="shared" si="9"/>
        <v>1</v>
      </c>
      <c r="I109" t="str">
        <f>IF(FT!B109&lt;&gt;"",FT!E109,"")</f>
        <v>2 [43.481559]</v>
      </c>
      <c r="J109">
        <f>IF(FT!B109&lt;&gt;"",FT!C109,"")</f>
        <v>43.4816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3.9440900000000001</v>
      </c>
      <c r="G110" s="61">
        <f>IF(FT!B110&lt;&gt;"",FT!B110*100,"")</f>
        <v>37.841700000000003</v>
      </c>
      <c r="H110" s="61">
        <f t="shared" si="9"/>
        <v>1</v>
      </c>
      <c r="I110" t="str">
        <f>IF(FT!B110&lt;&gt;"",FT!E110,"")</f>
        <v>2 [43.887779]</v>
      </c>
      <c r="J110">
        <f>IF(FT!B110&lt;&gt;"",FT!C110,"")</f>
        <v>43.887799999999999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163328</v>
      </c>
      <c r="D111" s="61">
        <f>FH!B111*1</f>
        <v>163328</v>
      </c>
      <c r="E111">
        <f t="shared" si="11"/>
        <v>109</v>
      </c>
      <c r="F111" s="61">
        <f>IF(FT!A111&lt;&gt;"",FT!A111*10,"")</f>
        <v>3.91059</v>
      </c>
      <c r="G111" s="61">
        <f>IF(FT!B111&lt;&gt;"",FT!B111*100,"")</f>
        <v>37.858799999999995</v>
      </c>
      <c r="H111" s="61">
        <f t="shared" si="9"/>
        <v>1</v>
      </c>
      <c r="I111" t="str">
        <f>IF(FT!B111&lt;&gt;"",FT!E111,"")</f>
        <v>2 [44.294458]</v>
      </c>
      <c r="J111">
        <f>IF(FT!B111&lt;&gt;"",FT!C111,"")</f>
        <v>44.294499999999999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3.8712900000000001</v>
      </c>
      <c r="G112" s="61">
        <f>IF(FT!B112&lt;&gt;"",FT!B112*100,"")</f>
        <v>38.039899999999996</v>
      </c>
      <c r="H112" s="61">
        <f t="shared" si="9"/>
        <v>1</v>
      </c>
      <c r="I112" t="str">
        <f>IF(FT!B112&lt;&gt;"",FT!E112,"")</f>
        <v>2 [44.699613]</v>
      </c>
      <c r="J112">
        <f>IF(FT!B112&lt;&gt;"",FT!C112,"")</f>
        <v>44.699599999999997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162243</v>
      </c>
      <c r="D113" s="61">
        <f>FH!B113*1</f>
        <v>162243</v>
      </c>
      <c r="E113">
        <f t="shared" si="11"/>
        <v>111</v>
      </c>
      <c r="F113" s="61">
        <f>IF(FT!A113&lt;&gt;"",FT!A113*10,"")</f>
        <v>3.8307700000000002</v>
      </c>
      <c r="G113" s="61">
        <f>IF(FT!B113&lt;&gt;"",FT!B113*100,"")</f>
        <v>38.353099999999998</v>
      </c>
      <c r="H113" s="61">
        <f t="shared" si="9"/>
        <v>1</v>
      </c>
      <c r="I113" t="str">
        <f>IF(FT!B113&lt;&gt;"",FT!E113,"")</f>
        <v>2 [45.108854]</v>
      </c>
      <c r="J113">
        <f>IF(FT!B113&lt;&gt;"",FT!C113,"")</f>
        <v>45.108899999999998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3.7899699999999998</v>
      </c>
      <c r="G114" s="61">
        <f>IF(FT!B114&lt;&gt;"",FT!B114*100,"")</f>
        <v>38.7333</v>
      </c>
      <c r="H114" s="61">
        <f t="shared" si="9"/>
        <v>1</v>
      </c>
      <c r="I114" t="str">
        <f>IF(FT!B114&lt;&gt;"",FT!E114,"")</f>
        <v>2 [45.512350]</v>
      </c>
      <c r="J114">
        <f>IF(FT!B114&lt;&gt;"",FT!C114,"")</f>
        <v>45.512300000000003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3.7509300000000003</v>
      </c>
      <c r="G115" s="61">
        <f>IF(FT!B115&lt;&gt;"",FT!B115*100,"")</f>
        <v>39.1905</v>
      </c>
      <c r="H115" s="61">
        <f t="shared" si="9"/>
        <v>1</v>
      </c>
      <c r="I115" t="str">
        <f>IF(FT!B115&lt;&gt;"",FT!E115,"")</f>
        <v>2 [45.919295]</v>
      </c>
      <c r="J115">
        <f>IF(FT!B115&lt;&gt;"",FT!C115,"")</f>
        <v>45.9193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168599</v>
      </c>
      <c r="D116" s="61">
        <f>FH!B116*1</f>
        <v>168599</v>
      </c>
      <c r="E116">
        <f t="shared" si="11"/>
        <v>114</v>
      </c>
      <c r="F116" s="61">
        <f>IF(FT!A116&lt;&gt;"",FT!A116*10,"")</f>
        <v>3.71408</v>
      </c>
      <c r="G116" s="61">
        <f>IF(FT!B116&lt;&gt;"",FT!B116*100,"")</f>
        <v>39.741999999999997</v>
      </c>
      <c r="H116" s="61">
        <f t="shared" si="9"/>
        <v>1</v>
      </c>
      <c r="I116" t="str">
        <f>IF(FT!B116&lt;&gt;"",FT!E116,"")</f>
        <v>2 [46.324008]</v>
      </c>
      <c r="J116">
        <f>IF(FT!B116&lt;&gt;"",FT!C116,"")</f>
        <v>46.323999999999998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3.6796600000000002</v>
      </c>
      <c r="G117" s="61">
        <f>IF(FT!B117&lt;&gt;"",FT!B117*100,"")</f>
        <v>40.345300000000002</v>
      </c>
      <c r="H117" s="61">
        <f t="shared" si="9"/>
        <v>1</v>
      </c>
      <c r="I117" t="str">
        <f>IF(FT!B117&lt;&gt;"",FT!E117,"")</f>
        <v>2 [46.732425]</v>
      </c>
      <c r="J117">
        <f>IF(FT!B117&lt;&gt;"",FT!C117,"")</f>
        <v>46.732399999999998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158119</v>
      </c>
      <c r="D118" s="61">
        <f>FH!B118*1</f>
        <v>158119</v>
      </c>
      <c r="E118">
        <f t="shared" si="11"/>
        <v>116</v>
      </c>
      <c r="F118" s="61">
        <f>IF(FT!A118&lt;&gt;"",FT!A118*10,"")</f>
        <v>3.6506300000000005</v>
      </c>
      <c r="G118" s="61">
        <f>IF(FT!B118&lt;&gt;"",FT!B118*100,"")</f>
        <v>40.950699999999998</v>
      </c>
      <c r="H118" s="61">
        <f t="shared" si="9"/>
        <v>1</v>
      </c>
      <c r="I118" t="str">
        <f>IF(FT!B118&lt;&gt;"",FT!E118,"")</f>
        <v>2 [47.137905]</v>
      </c>
      <c r="J118">
        <f>IF(FT!B118&lt;&gt;"",FT!C118,"")</f>
        <v>47.137900000000002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3.6273300000000002</v>
      </c>
      <c r="G119" s="61">
        <f>IF(FT!B119&lt;&gt;"",FT!B119*100,"")</f>
        <v>41.476500000000001</v>
      </c>
      <c r="H119" s="61">
        <f t="shared" si="9"/>
        <v>1</v>
      </c>
      <c r="I119" t="str">
        <f>IF(FT!B119&lt;&gt;"",FT!E119,"")</f>
        <v>2 [47.542607]</v>
      </c>
      <c r="J119">
        <f>IF(FT!B119&lt;&gt;"",FT!C119,"")</f>
        <v>47.5426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3.6084000000000001</v>
      </c>
      <c r="G120" s="61">
        <f>IF(FT!B120&lt;&gt;"",FT!B120*100,"")</f>
        <v>41.984000000000002</v>
      </c>
      <c r="H120" s="61">
        <f t="shared" si="9"/>
        <v>1</v>
      </c>
      <c r="I120" t="str">
        <f>IF(FT!B120&lt;&gt;"",FT!E120,"")</f>
        <v>2 [47.947827]</v>
      </c>
      <c r="J120">
        <f>IF(FT!B120&lt;&gt;"",FT!C120,"")</f>
        <v>47.947800000000001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145781</v>
      </c>
      <c r="D121" s="61">
        <f>FH!B121*1</f>
        <v>145781</v>
      </c>
      <c r="E121">
        <f t="shared" si="11"/>
        <v>119</v>
      </c>
      <c r="F121" s="61">
        <f>IF(FT!A121&lt;&gt;"",FT!A121*10,"")</f>
        <v>3.59388</v>
      </c>
      <c r="G121" s="61">
        <f>IF(FT!B121&lt;&gt;"",FT!B121*100,"")</f>
        <v>42.509399999999999</v>
      </c>
      <c r="H121" s="61">
        <f t="shared" si="9"/>
        <v>1</v>
      </c>
      <c r="I121" t="str">
        <f>IF(FT!B121&lt;&gt;"",FT!E121,"")</f>
        <v>2 [48.356204]</v>
      </c>
      <c r="J121">
        <f>IF(FT!B121&lt;&gt;"",FT!C121,"")</f>
        <v>48.356200000000001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3.5795599999999999</v>
      </c>
      <c r="G122" s="61">
        <f>IF(FT!B122&lt;&gt;"",FT!B122*100,"")</f>
        <v>43.044800000000002</v>
      </c>
      <c r="H122" s="61">
        <f t="shared" si="9"/>
        <v>1</v>
      </c>
      <c r="I122" t="str">
        <f>IF(FT!B122&lt;&gt;"",FT!E122,"")</f>
        <v>2 [48.762946]</v>
      </c>
      <c r="J122">
        <f>IF(FT!B122&lt;&gt;"",FT!C122,"")</f>
        <v>48.762900000000002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3.5661500000000004</v>
      </c>
      <c r="G123" s="61">
        <f>IF(FT!B123&lt;&gt;"",FT!B123*100,"")</f>
        <v>43.537300000000002</v>
      </c>
      <c r="H123" s="61">
        <f t="shared" si="9"/>
        <v>1</v>
      </c>
      <c r="I123" t="str">
        <f>IF(FT!B123&lt;&gt;"",FT!E123,"")</f>
        <v>2 [49.171079]</v>
      </c>
      <c r="J123">
        <f>IF(FT!B123&lt;&gt;"",FT!C123,"")</f>
        <v>49.171100000000003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133653</v>
      </c>
      <c r="D124" s="61">
        <f>FH!B124*1</f>
        <v>133653</v>
      </c>
      <c r="E124">
        <f t="shared" si="11"/>
        <v>122</v>
      </c>
      <c r="F124" s="61">
        <f>IF(FT!A124&lt;&gt;"",FT!A124*10,"")</f>
        <v>3.55315</v>
      </c>
      <c r="G124" s="61">
        <f>IF(FT!B124&lt;&gt;"",FT!B124*100,"")</f>
        <v>44.028399999999998</v>
      </c>
      <c r="H124" s="61">
        <f t="shared" si="9"/>
        <v>1</v>
      </c>
      <c r="I124" t="str">
        <f>IF(FT!B124&lt;&gt;"",FT!E124,"")</f>
        <v>2 [49.574988]</v>
      </c>
      <c r="J124">
        <f>IF(FT!B124&lt;&gt;"",FT!C124,"")</f>
        <v>49.575000000000003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3.5426200000000003</v>
      </c>
      <c r="G125" s="61">
        <f>IF(FT!B125&lt;&gt;"",FT!B125*100,"")</f>
        <v>44.446300000000001</v>
      </c>
      <c r="H125" s="61">
        <f t="shared" si="9"/>
        <v>1</v>
      </c>
      <c r="I125" t="str">
        <f>IF(FT!B125&lt;&gt;"",FT!E125,"")</f>
        <v>2 [49.980168]</v>
      </c>
      <c r="J125">
        <f>IF(FT!B125&lt;&gt;"",FT!C125,"")</f>
        <v>49.980200000000004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119781</v>
      </c>
      <c r="D126" s="61">
        <f>FH!B126*1</f>
        <v>119781</v>
      </c>
      <c r="E126">
        <f t="shared" si="11"/>
        <v>124</v>
      </c>
      <c r="F126" s="61">
        <f>IF(FT!A126&lt;&gt;"",FT!A126*10,"")</f>
        <v>3.5314800000000002</v>
      </c>
      <c r="G126" s="61">
        <f>IF(FT!B126&lt;&gt;"",FT!B126*100,"")</f>
        <v>44.602899999999998</v>
      </c>
      <c r="H126" s="61">
        <f t="shared" si="9"/>
        <v>1</v>
      </c>
      <c r="I126" t="str">
        <f>IF(FT!B126&lt;&gt;"",FT!E126,"")</f>
        <v>2 [50.385876]</v>
      </c>
      <c r="J126">
        <f>IF(FT!B126&lt;&gt;"",FT!C126,"")</f>
        <v>50.385899999999999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3.5251300000000003</v>
      </c>
      <c r="G127" s="61">
        <f>IF(FT!B127&lt;&gt;"",FT!B127*100,"")</f>
        <v>44.663599999999995</v>
      </c>
      <c r="H127" s="61">
        <f t="shared" si="9"/>
        <v>1</v>
      </c>
      <c r="I127" t="str">
        <f>IF(FT!B127&lt;&gt;"",FT!E127,"")</f>
        <v>2 [50.793441]</v>
      </c>
      <c r="J127">
        <f>IF(FT!B127&lt;&gt;"",FT!C127,"")</f>
        <v>50.793399999999998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3.5228299999999999</v>
      </c>
      <c r="G128" s="61">
        <f>IF(FT!B128&lt;&gt;"",FT!B128*100,"")</f>
        <v>44.686799999999998</v>
      </c>
      <c r="H128" s="61">
        <f t="shared" si="9"/>
        <v>1</v>
      </c>
      <c r="I128" t="str">
        <f>IF(FT!B128&lt;&gt;"",FT!E128,"")</f>
        <v>2 [51.206688]</v>
      </c>
      <c r="J128">
        <f>IF(FT!B128&lt;&gt;"",FT!C128,"")</f>
        <v>51.206699999999998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114890</v>
      </c>
      <c r="D129" s="61">
        <f>FH!B129*1</f>
        <v>114890</v>
      </c>
      <c r="E129">
        <f t="shared" si="11"/>
        <v>127</v>
      </c>
      <c r="F129" s="61">
        <f>IF(FT!A129&lt;&gt;"",FT!A129*10,"")</f>
        <v>3.52318</v>
      </c>
      <c r="G129" s="61">
        <f>IF(FT!B129&lt;&gt;"",FT!B129*100,"")</f>
        <v>44.676400000000001</v>
      </c>
      <c r="H129" s="61">
        <f t="shared" si="9"/>
        <v>1</v>
      </c>
      <c r="I129" t="str">
        <f>IF(FT!B129&lt;&gt;"",FT!E129,"")</f>
        <v>2 [51.605684]</v>
      </c>
      <c r="J129">
        <f>IF(FT!B129&lt;&gt;"",FT!C129,"")</f>
        <v>51.605699999999999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3.5267900000000001</v>
      </c>
      <c r="G130" s="61">
        <f>IF(FT!B130&lt;&gt;"",FT!B130*100,"")</f>
        <v>44.639899999999997</v>
      </c>
      <c r="H130" s="61">
        <f t="shared" si="9"/>
        <v>1</v>
      </c>
      <c r="I130" t="str">
        <f>IF(FT!B130&lt;&gt;"",FT!E130,"")</f>
        <v>2 [52.011491]</v>
      </c>
      <c r="J130">
        <f>IF(FT!B130&lt;&gt;"",FT!C130,"")</f>
        <v>52.011499999999998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105469</v>
      </c>
      <c r="D131" s="61">
        <f>FH!B131*1</f>
        <v>105469</v>
      </c>
      <c r="E131">
        <f t="shared" si="11"/>
        <v>129</v>
      </c>
      <c r="F131" s="61">
        <f>IF(FT!A131&lt;&gt;"",FT!A131*10,"")</f>
        <v>3.52989</v>
      </c>
      <c r="G131" s="61">
        <f>IF(FT!B131&lt;&gt;"",FT!B131*100,"")</f>
        <v>44.629400000000004</v>
      </c>
      <c r="H131" s="61">
        <f t="shared" ref="H131:H194" si="13">(IF(F131&lt;&gt;"",1,""))</f>
        <v>1</v>
      </c>
      <c r="I131" t="str">
        <f>IF(FT!B131&lt;&gt;"",FT!E131,"")</f>
        <v>2 [52.418871]</v>
      </c>
      <c r="J131">
        <f>IF(FT!B131&lt;&gt;"",FT!C131,"")</f>
        <v>52.418900000000001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3.53199</v>
      </c>
      <c r="G132" s="61">
        <f>IF(FT!B132&lt;&gt;"",FT!B132*100,"")</f>
        <v>44.65</v>
      </c>
      <c r="H132" s="61">
        <f t="shared" si="13"/>
        <v>1</v>
      </c>
      <c r="I132" t="str">
        <f>IF(FT!B132&lt;&gt;"",FT!E132,"")</f>
        <v>2 [52.826979]</v>
      </c>
      <c r="J132">
        <f>IF(FT!B132&lt;&gt;"",FT!C132,"")</f>
        <v>52.826999999999998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3.5331000000000001</v>
      </c>
      <c r="G133" s="61">
        <f>IF(FT!B133&lt;&gt;"",FT!B133*100,"")</f>
        <v>44.694400000000002</v>
      </c>
      <c r="H133" s="61">
        <f t="shared" si="13"/>
        <v>1</v>
      </c>
      <c r="I133" t="str">
        <f>IF(FT!B133&lt;&gt;"",FT!E133,"")</f>
        <v>2 [53.233290]</v>
      </c>
      <c r="J133">
        <f>IF(FT!B133&lt;&gt;"",FT!C133,"")</f>
        <v>53.2333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85390</v>
      </c>
      <c r="D134" s="61">
        <f>FH!B134*1</f>
        <v>85390</v>
      </c>
      <c r="E134">
        <f t="shared" si="15"/>
        <v>132</v>
      </c>
      <c r="F134" s="61">
        <f>IF(FT!A134&lt;&gt;"",FT!A134*10,"")</f>
        <v>3.5346100000000003</v>
      </c>
      <c r="G134" s="61">
        <f>IF(FT!B134&lt;&gt;"",FT!B134*100,"")</f>
        <v>44.764700000000005</v>
      </c>
      <c r="H134" s="61">
        <f t="shared" si="13"/>
        <v>1</v>
      </c>
      <c r="I134" t="str">
        <f>IF(FT!B134&lt;&gt;"",FT!E134,"")</f>
        <v>2 [53.638862]</v>
      </c>
      <c r="J134">
        <f>IF(FT!B134&lt;&gt;"",FT!C134,"")</f>
        <v>53.6389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3.53878</v>
      </c>
      <c r="G135" s="61">
        <f>IF(FT!B135&lt;&gt;"",FT!B135*100,"")</f>
        <v>44.917200000000001</v>
      </c>
      <c r="H135" s="61">
        <f t="shared" si="13"/>
        <v>1</v>
      </c>
      <c r="I135" t="str">
        <f>IF(FT!B135&lt;&gt;"",FT!E135,"")</f>
        <v>2 [54.044191]</v>
      </c>
      <c r="J135">
        <f>IF(FT!B135&lt;&gt;"",FT!C135,"")</f>
        <v>54.044199999999996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86350</v>
      </c>
      <c r="D136" s="61">
        <f>FH!B136*1</f>
        <v>86350</v>
      </c>
      <c r="E136">
        <f t="shared" si="15"/>
        <v>134</v>
      </c>
      <c r="F136" s="61">
        <f>IF(FT!A136&lt;&gt;"",FT!A136*10,"")</f>
        <v>3.5478900000000002</v>
      </c>
      <c r="G136" s="61">
        <f>IF(FT!B136&lt;&gt;"",FT!B136*100,"")</f>
        <v>45.120800000000003</v>
      </c>
      <c r="H136" s="61">
        <f t="shared" si="13"/>
        <v>1</v>
      </c>
      <c r="I136" t="str">
        <f>IF(FT!B136&lt;&gt;"",FT!E136,"")</f>
        <v>2 [54.447937]</v>
      </c>
      <c r="J136">
        <f>IF(FT!B136&lt;&gt;"",FT!C136,"")</f>
        <v>54.447899999999997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3.5612599999999999</v>
      </c>
      <c r="G137" s="61">
        <f>IF(FT!B137&lt;&gt;"",FT!B137*100,"")</f>
        <v>45.353500000000004</v>
      </c>
      <c r="H137" s="61">
        <f t="shared" si="13"/>
        <v>1</v>
      </c>
      <c r="I137" t="str">
        <f>IF(FT!B137&lt;&gt;"",FT!E137,"")</f>
        <v>2 [54.859096]</v>
      </c>
      <c r="J137">
        <f>IF(FT!B137&lt;&gt;"",FT!C137,"")</f>
        <v>54.859099999999998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3.5756199999999998</v>
      </c>
      <c r="G138" s="61">
        <f>IF(FT!B138&lt;&gt;"",FT!B138*100,"")</f>
        <v>45.57</v>
      </c>
      <c r="H138" s="61">
        <f t="shared" si="13"/>
        <v>1</v>
      </c>
      <c r="I138" t="str">
        <f>IF(FT!B138&lt;&gt;"",FT!E138,"")</f>
        <v>2 [55.264525]</v>
      </c>
      <c r="J138">
        <f>IF(FT!B138&lt;&gt;"",FT!C138,"")</f>
        <v>55.264499999999998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70851</v>
      </c>
      <c r="D139" s="61">
        <f>FH!B139*1</f>
        <v>70851</v>
      </c>
      <c r="E139">
        <f t="shared" si="15"/>
        <v>137</v>
      </c>
      <c r="F139" s="61">
        <f>IF(FT!A139&lt;&gt;"",FT!A139*10,"")</f>
        <v>3.5919400000000001</v>
      </c>
      <c r="G139" s="61">
        <f>IF(FT!B139&lt;&gt;"",FT!B139*100,"")</f>
        <v>45.831499999999998</v>
      </c>
      <c r="H139" s="61">
        <f t="shared" si="13"/>
        <v>1</v>
      </c>
      <c r="I139" t="str">
        <f>IF(FT!B139&lt;&gt;"",FT!E139,"")</f>
        <v>2 [55.670392]</v>
      </c>
      <c r="J139">
        <f>IF(FT!B139&lt;&gt;"",FT!C139,"")</f>
        <v>55.670400000000001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3.6083400000000001</v>
      </c>
      <c r="G140" s="61">
        <f>IF(FT!B140&lt;&gt;"",FT!B140*100,"")</f>
        <v>46.106299999999997</v>
      </c>
      <c r="H140" s="61">
        <f t="shared" si="13"/>
        <v>1</v>
      </c>
      <c r="I140" t="str">
        <f>IF(FT!B140&lt;&gt;"",FT!E140,"")</f>
        <v>2 [56.073819]</v>
      </c>
      <c r="J140">
        <f>IF(FT!B140&lt;&gt;"",FT!C140,"")</f>
        <v>56.073799999999999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3.6236200000000003</v>
      </c>
      <c r="G141" s="61">
        <f>IF(FT!B141&lt;&gt;"",FT!B141*100,"")</f>
        <v>46.417400000000001</v>
      </c>
      <c r="H141" s="61">
        <f t="shared" si="13"/>
        <v>1</v>
      </c>
      <c r="I141" t="str">
        <f>IF(FT!B141&lt;&gt;"",FT!E141,"")</f>
        <v>2 [56.484710]</v>
      </c>
      <c r="J141">
        <f>IF(FT!B141&lt;&gt;"",FT!C141,"")</f>
        <v>56.484699999999997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66978</v>
      </c>
      <c r="D142" s="61">
        <f>FH!B142*1</f>
        <v>66978</v>
      </c>
      <c r="E142">
        <f t="shared" si="15"/>
        <v>140</v>
      </c>
      <c r="F142" s="61">
        <f>IF(FT!A142&lt;&gt;"",FT!A142*10,"")</f>
        <v>3.6398999999999999</v>
      </c>
      <c r="G142" s="61">
        <f>IF(FT!B142&lt;&gt;"",FT!B142*100,"")</f>
        <v>46.647199999999998</v>
      </c>
      <c r="H142" s="61">
        <f t="shared" si="13"/>
        <v>1</v>
      </c>
      <c r="I142" t="str">
        <f>IF(FT!B142&lt;&gt;"",FT!E142,"")</f>
        <v>2 [56.890863]</v>
      </c>
      <c r="J142">
        <f>IF(FT!B142&lt;&gt;"",FT!C142,"")</f>
        <v>56.890900000000002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3.65374</v>
      </c>
      <c r="G143" s="61">
        <f>IF(FT!B143&lt;&gt;"",FT!B143*100,"")</f>
        <v>46.672799999999995</v>
      </c>
      <c r="H143" s="61">
        <f t="shared" si="13"/>
        <v>1</v>
      </c>
      <c r="I143" t="str">
        <f>IF(FT!B143&lt;&gt;"",FT!E143,"")</f>
        <v>2 [57.294377]</v>
      </c>
      <c r="J143">
        <f>IF(FT!B143&lt;&gt;"",FT!C143,"")</f>
        <v>57.294400000000003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61123</v>
      </c>
      <c r="D144" s="61">
        <f>FH!B144*1</f>
        <v>61123</v>
      </c>
      <c r="E144">
        <f t="shared" si="15"/>
        <v>142</v>
      </c>
      <c r="F144" s="61">
        <f>IF(FT!A144&lt;&gt;"",FT!A144*10,"")</f>
        <v>3.6642299999999999</v>
      </c>
      <c r="G144" s="61">
        <f>IF(FT!B144&lt;&gt;"",FT!B144*100,"")</f>
        <v>46.831499999999998</v>
      </c>
      <c r="H144" s="61">
        <f t="shared" si="13"/>
        <v>1</v>
      </c>
      <c r="I144" t="str">
        <f>IF(FT!B144&lt;&gt;"",FT!E144,"")</f>
        <v>2 [57.703075]</v>
      </c>
      <c r="J144">
        <f>IF(FT!B144&lt;&gt;"",FT!C144,"")</f>
        <v>57.703099999999999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3.66812</v>
      </c>
      <c r="G145" s="61">
        <f>IF(FT!B145&lt;&gt;"",FT!B145*100,"")</f>
        <v>47.118700000000004</v>
      </c>
      <c r="H145" s="61">
        <f t="shared" si="13"/>
        <v>1</v>
      </c>
      <c r="I145" t="str">
        <f>IF(FT!B145&lt;&gt;"",FT!E145,"")</f>
        <v>2 [58.106857]</v>
      </c>
      <c r="J145">
        <f>IF(FT!B145&lt;&gt;"",FT!C145,"")</f>
        <v>58.106900000000003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3.6590800000000003</v>
      </c>
      <c r="G146" s="61">
        <f>IF(FT!B146&lt;&gt;"",FT!B146*100,"")</f>
        <v>47.466900000000003</v>
      </c>
      <c r="H146" s="61">
        <f t="shared" si="13"/>
        <v>1</v>
      </c>
      <c r="I146" t="str">
        <f>IF(FT!B146&lt;&gt;"",FT!E146,"")</f>
        <v>2 [58.514738]</v>
      </c>
      <c r="J146">
        <f>IF(FT!B146&lt;&gt;"",FT!C146,"")</f>
        <v>58.514699999999998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50869</v>
      </c>
      <c r="D147" s="61">
        <f>FH!B147*1</f>
        <v>50869</v>
      </c>
      <c r="E147">
        <f t="shared" si="15"/>
        <v>145</v>
      </c>
      <c r="F147" s="61">
        <f>IF(FT!A147&lt;&gt;"",FT!A147*10,"")</f>
        <v>3.6520200000000003</v>
      </c>
      <c r="G147" s="61">
        <f>IF(FT!B147&lt;&gt;"",FT!B147*100,"")</f>
        <v>47.691600000000001</v>
      </c>
      <c r="H147" s="61">
        <f t="shared" si="13"/>
        <v>1</v>
      </c>
      <c r="I147" t="str">
        <f>IF(FT!B147&lt;&gt;"",FT!E147,"")</f>
        <v>2 [58.925298]</v>
      </c>
      <c r="J147">
        <f>IF(FT!B147&lt;&gt;"",FT!C147,"")</f>
        <v>58.9253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3.64534</v>
      </c>
      <c r="G148" s="61">
        <f>IF(FT!B148&lt;&gt;"",FT!B148*100,"")</f>
        <v>47.8919</v>
      </c>
      <c r="H148" s="61">
        <f t="shared" si="13"/>
        <v>1</v>
      </c>
      <c r="I148" t="str">
        <f>IF(FT!B148&lt;&gt;"",FT!E148,"")</f>
        <v>2 [59.327099]</v>
      </c>
      <c r="J148">
        <f>IF(FT!B148&lt;&gt;"",FT!C148,"")</f>
        <v>59.327100000000002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44664</v>
      </c>
      <c r="D149" s="61">
        <f>FH!B149*1</f>
        <v>44664</v>
      </c>
      <c r="E149">
        <f t="shared" si="15"/>
        <v>147</v>
      </c>
      <c r="F149" s="61">
        <f>IF(FT!A149&lt;&gt;"",FT!A149*10,"")</f>
        <v>3.6451699999999998</v>
      </c>
      <c r="G149" s="61">
        <f>IF(FT!B149&lt;&gt;"",FT!B149*100,"")</f>
        <v>48.146599999999999</v>
      </c>
      <c r="H149" s="61">
        <f t="shared" si="13"/>
        <v>1</v>
      </c>
      <c r="I149" t="str">
        <f>IF(FT!B149&lt;&gt;"",FT!E149,"")</f>
        <v>2 [59.729989]</v>
      </c>
      <c r="J149">
        <f>IF(FT!B149&lt;&gt;"",FT!C149,"")</f>
        <v>59.73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45623</v>
      </c>
      <c r="D152" s="61">
        <f>FH!B152*1</f>
        <v>45623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36179</v>
      </c>
      <c r="D154" s="61">
        <f>FH!B154*1</f>
        <v>36179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32010</v>
      </c>
      <c r="D157" s="61">
        <f>FH!B157*1</f>
        <v>32010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32243</v>
      </c>
      <c r="D160" s="61">
        <f>FH!B160*1</f>
        <v>32243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27611</v>
      </c>
      <c r="D162" s="61">
        <f>FH!B162*1</f>
        <v>27611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26518</v>
      </c>
      <c r="D165" s="61">
        <f>FH!B165*1</f>
        <v>26518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21483</v>
      </c>
      <c r="D167" s="61">
        <f>FH!B167*1</f>
        <v>21483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22126</v>
      </c>
      <c r="D170" s="61">
        <f>FH!B170*1</f>
        <v>22126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12321</v>
      </c>
      <c r="D173" s="61">
        <f>FH!B173*1</f>
        <v>12321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10381</v>
      </c>
      <c r="D175" s="61">
        <f>FH!B175*1</f>
        <v>10381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6162</v>
      </c>
      <c r="D178" s="61">
        <f>FH!B178*1</f>
        <v>6162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3456</v>
      </c>
      <c r="D180" s="61">
        <f>FH!B180*1</f>
        <v>3456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2609</v>
      </c>
      <c r="D183" s="61">
        <f>FH!B183*1</f>
        <v>2609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1012</v>
      </c>
      <c r="D185" s="61">
        <f>FH!B185*1</f>
        <v>1012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841</v>
      </c>
      <c r="D188" s="61">
        <f>FH!B188*1</f>
        <v>841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257</v>
      </c>
      <c r="D191" s="61">
        <f>FH!B191*1</f>
        <v>257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173</v>
      </c>
      <c r="D193" s="61">
        <f>FH!B193*1</f>
        <v>173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33.990600000000001</v>
      </c>
      <c r="C5" s="66">
        <v>7.4887300000000003</v>
      </c>
      <c r="D5" s="66">
        <v>22.0318</v>
      </c>
      <c r="E5" s="66">
        <v>20</v>
      </c>
      <c r="F5" s="66">
        <v>14.644299999999999</v>
      </c>
      <c r="G5" s="66">
        <v>50</v>
      </c>
      <c r="H5" s="66">
        <v>48.195399999999999</v>
      </c>
    </row>
    <row r="6" spans="1:8">
      <c r="A6" s="58" t="s">
        <v>303</v>
      </c>
      <c r="B6" s="66">
        <v>22.9236</v>
      </c>
      <c r="C6" s="66">
        <v>3.0331700000000001</v>
      </c>
      <c r="D6" s="66">
        <v>13.2316</v>
      </c>
      <c r="E6" s="66">
        <v>20</v>
      </c>
      <c r="F6" s="66">
        <v>18.642600000000002</v>
      </c>
      <c r="G6" s="66">
        <v>40</v>
      </c>
      <c r="H6" s="66">
        <v>29.896799999999999</v>
      </c>
    </row>
    <row r="7" spans="1:8">
      <c r="A7" s="58" t="s">
        <v>304</v>
      </c>
      <c r="B7" s="66">
        <v>16.683299999999999</v>
      </c>
      <c r="C7" s="66">
        <v>7.7465599999999997</v>
      </c>
      <c r="D7" s="66">
        <v>46.432899999999997</v>
      </c>
      <c r="E7" s="66">
        <v>15</v>
      </c>
      <c r="F7" s="66">
        <v>6.8802399999999997</v>
      </c>
      <c r="G7" s="66">
        <v>40</v>
      </c>
      <c r="H7" s="66">
        <v>42.609499999999997</v>
      </c>
    </row>
    <row r="8" spans="1:8">
      <c r="A8" s="58" t="s">
        <v>305</v>
      </c>
      <c r="B8" s="66">
        <v>25.465</v>
      </c>
      <c r="C8" s="66">
        <v>3.1529600000000002</v>
      </c>
      <c r="D8" s="66">
        <v>12.381500000000001</v>
      </c>
      <c r="E8" s="66">
        <v>20</v>
      </c>
      <c r="F8" s="66">
        <v>20.545500000000001</v>
      </c>
      <c r="G8" s="66">
        <v>50</v>
      </c>
      <c r="H8" s="66">
        <v>34.719700000000003</v>
      </c>
    </row>
    <row r="9" spans="1:8">
      <c r="A9" s="58" t="s">
        <v>306</v>
      </c>
      <c r="B9" s="66">
        <v>69.559100000000001</v>
      </c>
      <c r="C9" s="66">
        <v>6.5309799999999996</v>
      </c>
      <c r="D9" s="66">
        <v>9.3891100000000005</v>
      </c>
      <c r="E9" s="66">
        <v>50</v>
      </c>
      <c r="F9" s="66">
        <v>51.515700000000002</v>
      </c>
      <c r="G9" s="66">
        <v>100</v>
      </c>
      <c r="H9" s="66">
        <v>79.511300000000006</v>
      </c>
    </row>
    <row r="10" spans="1:8">
      <c r="A10" s="58" t="s">
        <v>307</v>
      </c>
      <c r="B10" s="66">
        <v>82.438100000000006</v>
      </c>
      <c r="C10" s="66">
        <v>4.7949799999999998</v>
      </c>
      <c r="D10" s="66">
        <v>5.8164600000000002</v>
      </c>
      <c r="E10" s="66">
        <v>40</v>
      </c>
      <c r="F10" s="66">
        <v>73.152500000000003</v>
      </c>
      <c r="G10" s="66">
        <v>100</v>
      </c>
      <c r="H10" s="66">
        <v>89.661100000000005</v>
      </c>
    </row>
    <row r="11" spans="1:8">
      <c r="A11" s="58" t="s">
        <v>308</v>
      </c>
      <c r="B11" s="66">
        <v>22.2087</v>
      </c>
      <c r="C11" s="66">
        <v>5.46922</v>
      </c>
      <c r="D11" s="66">
        <v>24.6264</v>
      </c>
      <c r="E11" s="66">
        <v>10</v>
      </c>
      <c r="F11" s="66">
        <v>11.3764</v>
      </c>
      <c r="G11" s="66">
        <v>50</v>
      </c>
      <c r="H11" s="66">
        <v>31.083300000000001</v>
      </c>
    </row>
    <row r="12" spans="1:8">
      <c r="A12" s="58" t="s">
        <v>309</v>
      </c>
      <c r="B12" s="66">
        <v>74.680199999999999</v>
      </c>
      <c r="C12" s="66">
        <v>4.4700899999999999</v>
      </c>
      <c r="D12" s="66">
        <v>5.9856400000000001</v>
      </c>
      <c r="E12" s="66">
        <v>50</v>
      </c>
      <c r="F12" s="66">
        <v>66.480800000000002</v>
      </c>
      <c r="G12" s="66">
        <v>100</v>
      </c>
      <c r="H12" s="66">
        <v>84.357699999999994</v>
      </c>
    </row>
    <row r="13" spans="1:8">
      <c r="A13" s="58" t="s">
        <v>310</v>
      </c>
      <c r="B13" s="66">
        <v>19.712</v>
      </c>
      <c r="C13" s="66">
        <v>2.9220000000000002</v>
      </c>
      <c r="D13" s="66">
        <v>14.823499999999999</v>
      </c>
      <c r="E13" s="66">
        <v>10</v>
      </c>
      <c r="F13" s="66">
        <v>14.936199999999999</v>
      </c>
      <c r="G13" s="66">
        <v>25</v>
      </c>
      <c r="H13" s="66">
        <v>28.476099999999999</v>
      </c>
    </row>
    <row r="14" spans="1:8">
      <c r="A14" s="58" t="s">
        <v>311</v>
      </c>
      <c r="B14" s="66">
        <v>29.22</v>
      </c>
      <c r="C14" s="66">
        <v>10.4857</v>
      </c>
      <c r="D14" s="66">
        <v>35.885399999999997</v>
      </c>
      <c r="E14" s="66">
        <v>10</v>
      </c>
      <c r="F14" s="66">
        <v>2.4518300000000002</v>
      </c>
      <c r="G14" s="66">
        <v>50</v>
      </c>
      <c r="H14" s="66">
        <v>33.966000000000001</v>
      </c>
    </row>
    <row r="15" spans="1:8">
      <c r="A15" s="58" t="s">
        <v>312</v>
      </c>
      <c r="B15" s="66">
        <v>4.6623100000000001E-2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6.6722900000000002E-2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19.060400000000001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0.64782799999999996</v>
      </c>
      <c r="C18" s="66">
        <v>3.8656900000000002E-3</v>
      </c>
      <c r="D18" s="66">
        <v>5.9671500000000001E-3</v>
      </c>
      <c r="E18" s="66">
        <v>0</v>
      </c>
      <c r="F18" s="66">
        <v>0.64396299999999995</v>
      </c>
      <c r="G18" s="66">
        <v>0</v>
      </c>
      <c r="H18" s="66">
        <v>0.651694</v>
      </c>
    </row>
    <row r="19" spans="1:8">
      <c r="A19" s="58" t="s">
        <v>316</v>
      </c>
      <c r="B19" s="66">
        <v>0.67210800000000004</v>
      </c>
      <c r="C19" s="66">
        <v>2.3970700000000001E-2</v>
      </c>
      <c r="D19" s="66">
        <v>3.5665000000000002E-2</v>
      </c>
      <c r="E19" s="66">
        <v>0</v>
      </c>
      <c r="F19" s="66">
        <v>0.64813699999999996</v>
      </c>
      <c r="G19" s="66">
        <v>0</v>
      </c>
      <c r="H19" s="66">
        <v>0.69607799999999997</v>
      </c>
    </row>
    <row r="20" spans="1:8">
      <c r="A20" s="58" t="s">
        <v>317</v>
      </c>
      <c r="B20" s="66">
        <v>3.8344899999999999E-3</v>
      </c>
      <c r="C20" s="66">
        <v>5.5585099999999998E-2</v>
      </c>
      <c r="D20" s="66">
        <v>14.4961</v>
      </c>
      <c r="E20" s="66">
        <v>0</v>
      </c>
      <c r="F20" s="66">
        <v>0</v>
      </c>
      <c r="G20" s="66">
        <v>0</v>
      </c>
      <c r="H20" s="66">
        <v>0.48156599999999999</v>
      </c>
    </row>
    <row r="21" spans="1:8">
      <c r="A21" s="58" t="s">
        <v>318</v>
      </c>
      <c r="B21" s="66">
        <v>0.21549099999999999</v>
      </c>
      <c r="C21" s="66">
        <v>0.72620499999999999</v>
      </c>
      <c r="D21" s="66">
        <v>3.3700100000000002</v>
      </c>
      <c r="E21" s="66">
        <v>0</v>
      </c>
      <c r="F21" s="66">
        <v>1.9131300000000001E-3</v>
      </c>
      <c r="G21" s="66">
        <v>0</v>
      </c>
      <c r="H21" s="66">
        <v>3.6999499999999999</v>
      </c>
    </row>
    <row r="22" spans="1:8">
      <c r="A22" s="58" t="s">
        <v>319</v>
      </c>
      <c r="B22" s="66">
        <v>47.285400000000003</v>
      </c>
      <c r="C22" s="66">
        <v>20.981000000000002</v>
      </c>
      <c r="D22" s="66">
        <v>0.44371100000000002</v>
      </c>
      <c r="E22" s="66">
        <v>0</v>
      </c>
      <c r="F22" s="66">
        <v>25.971299999999999</v>
      </c>
      <c r="G22" s="66">
        <v>0</v>
      </c>
      <c r="H22" s="66">
        <v>117.37</v>
      </c>
    </row>
    <row r="23" spans="1:8">
      <c r="A23" s="58" t="s">
        <v>320</v>
      </c>
      <c r="B23" s="66">
        <v>24.095800000000001</v>
      </c>
      <c r="C23" s="66">
        <v>8.0838599999999996</v>
      </c>
      <c r="D23" s="66">
        <v>0.33548899999999998</v>
      </c>
      <c r="E23" s="66">
        <v>0</v>
      </c>
      <c r="F23" s="66">
        <v>10.6905</v>
      </c>
      <c r="G23" s="66">
        <v>0</v>
      </c>
      <c r="H23" s="66">
        <v>36.161700000000003</v>
      </c>
    </row>
    <row r="24" spans="1:8">
      <c r="A24" s="58" t="s">
        <v>321</v>
      </c>
      <c r="B24" s="66">
        <v>5.0662700000000003E-3</v>
      </c>
      <c r="C24" s="66">
        <v>5.0624599999999999E-2</v>
      </c>
      <c r="D24" s="66">
        <v>9.9924800000000005</v>
      </c>
      <c r="E24" s="66">
        <v>0</v>
      </c>
      <c r="F24" s="66">
        <v>1.1127E-4</v>
      </c>
      <c r="G24" s="66">
        <v>0</v>
      </c>
      <c r="H24" s="66">
        <v>0.33470800000000001</v>
      </c>
    </row>
    <row r="25" spans="1:8">
      <c r="A25" s="58" t="s">
        <v>322</v>
      </c>
      <c r="B25" s="66">
        <v>0.29708699999999999</v>
      </c>
      <c r="C25" s="66">
        <v>0.57505600000000001</v>
      </c>
      <c r="D25" s="66">
        <v>1.9356500000000001</v>
      </c>
      <c r="E25" s="66">
        <v>0</v>
      </c>
      <c r="F25" s="66">
        <v>3.8085099999999997E-2</v>
      </c>
      <c r="G25" s="66">
        <v>0</v>
      </c>
      <c r="H25" s="66">
        <v>2.49024</v>
      </c>
    </row>
    <row r="26" spans="1:8">
      <c r="A26" s="58" t="s">
        <v>323</v>
      </c>
      <c r="B26" s="66">
        <v>1.00939E-3</v>
      </c>
      <c r="C26" s="66">
        <v>6.75364E-3</v>
      </c>
      <c r="D26" s="66">
        <v>6.6908300000000001</v>
      </c>
      <c r="E26" s="66">
        <v>0</v>
      </c>
      <c r="F26" s="66">
        <v>0</v>
      </c>
      <c r="G26" s="66">
        <v>0</v>
      </c>
      <c r="H26" s="66">
        <v>4.9523999999999999E-2</v>
      </c>
    </row>
    <row r="27" spans="1:8">
      <c r="A27" s="58" t="s">
        <v>324</v>
      </c>
      <c r="B27" s="196">
        <v>6.5651299999999996E-6</v>
      </c>
      <c r="C27" s="66">
        <v>1.64551E-3</v>
      </c>
      <c r="D27" s="66">
        <v>250.64400000000001</v>
      </c>
      <c r="E27" s="66">
        <v>0</v>
      </c>
      <c r="F27" s="66">
        <v>-1.7413999999999999E-2</v>
      </c>
      <c r="G27" s="66">
        <v>0</v>
      </c>
      <c r="H27" s="66">
        <v>1.3639E-2</v>
      </c>
    </row>
    <row r="28" spans="1:8">
      <c r="A28" s="58" t="s">
        <v>325</v>
      </c>
      <c r="B28" s="66">
        <v>2.5670599999999998E-2</v>
      </c>
      <c r="C28" s="66">
        <v>4.2704100000000002E-2</v>
      </c>
      <c r="D28" s="66">
        <v>1.66354</v>
      </c>
      <c r="E28" s="66">
        <v>0</v>
      </c>
      <c r="F28" s="66">
        <v>4.36198E-4</v>
      </c>
      <c r="G28" s="66">
        <v>0</v>
      </c>
      <c r="H28" s="66">
        <v>0.194408</v>
      </c>
    </row>
    <row r="29" spans="1:8">
      <c r="A29" s="58" t="s">
        <v>326</v>
      </c>
      <c r="B29" s="66">
        <v>76.495599999999996</v>
      </c>
      <c r="C29" s="66">
        <v>11.4817</v>
      </c>
      <c r="D29" s="66">
        <v>0.15009700000000001</v>
      </c>
      <c r="E29" s="66">
        <v>0</v>
      </c>
      <c r="F29" s="66">
        <v>43.944800000000001</v>
      </c>
      <c r="G29" s="66">
        <v>0</v>
      </c>
      <c r="H29" s="66">
        <v>110.986</v>
      </c>
    </row>
    <row r="30" spans="1:8">
      <c r="A30" s="58" t="s">
        <v>327</v>
      </c>
      <c r="B30" s="66">
        <v>29.844899999999999</v>
      </c>
      <c r="C30" s="66">
        <v>7.6585700000000001</v>
      </c>
      <c r="D30" s="66">
        <v>0.25661200000000001</v>
      </c>
      <c r="E30" s="66">
        <v>0</v>
      </c>
      <c r="F30" s="66">
        <v>12.9221</v>
      </c>
      <c r="G30" s="66">
        <v>0</v>
      </c>
      <c r="H30" s="66">
        <v>39.631700000000002</v>
      </c>
    </row>
    <row r="31" spans="1:8">
      <c r="A31" s="58" t="s">
        <v>328</v>
      </c>
      <c r="B31" s="66">
        <v>118.325</v>
      </c>
      <c r="C31" s="66">
        <v>41.323700000000002</v>
      </c>
      <c r="D31" s="66">
        <v>0.34923999999999999</v>
      </c>
      <c r="E31" s="66">
        <v>0</v>
      </c>
      <c r="F31" s="66">
        <v>74.339600000000004</v>
      </c>
      <c r="G31" s="66">
        <v>0</v>
      </c>
      <c r="H31" s="66">
        <v>208.35900000000001</v>
      </c>
    </row>
    <row r="32" spans="1:8">
      <c r="A32" s="58" t="s">
        <v>329</v>
      </c>
      <c r="B32" s="66">
        <v>0.16683300000000001</v>
      </c>
      <c r="C32" s="66">
        <v>7.7465599999999996E-2</v>
      </c>
      <c r="D32" s="66">
        <v>0.46432899999999999</v>
      </c>
      <c r="E32" s="66">
        <v>0.15</v>
      </c>
      <c r="F32" s="66">
        <v>6.88024E-2</v>
      </c>
      <c r="G32" s="66">
        <v>0.4</v>
      </c>
      <c r="H32" s="66">
        <v>0.426095</v>
      </c>
    </row>
    <row r="33" spans="1:8">
      <c r="A33" s="58" t="s">
        <v>330</v>
      </c>
      <c r="B33" s="66">
        <v>0.30227999999999999</v>
      </c>
      <c r="C33" s="66">
        <v>2.6685799999999999E-2</v>
      </c>
      <c r="D33" s="66">
        <v>8.8281499999999999E-2</v>
      </c>
      <c r="E33" s="66">
        <v>0</v>
      </c>
      <c r="F33" s="66">
        <v>0.228071</v>
      </c>
      <c r="G33" s="66">
        <v>0</v>
      </c>
      <c r="H33" s="66">
        <v>0.36764200000000002</v>
      </c>
    </row>
    <row r="34" spans="1:8">
      <c r="A34" s="58" t="s">
        <v>331</v>
      </c>
      <c r="B34" s="66">
        <v>0.19711999999999999</v>
      </c>
      <c r="C34" s="66">
        <v>2.9219999999999999E-2</v>
      </c>
      <c r="D34" s="66">
        <v>0.14823500000000001</v>
      </c>
      <c r="E34" s="66">
        <v>0.1</v>
      </c>
      <c r="F34" s="66">
        <v>0.14936199999999999</v>
      </c>
      <c r="G34" s="66">
        <v>0.25</v>
      </c>
      <c r="H34" s="66">
        <v>0.28476099999999999</v>
      </c>
    </row>
    <row r="35" spans="1:8">
      <c r="A35" s="58" t="s">
        <v>332</v>
      </c>
      <c r="B35" s="66">
        <v>7.8396199999999999E-2</v>
      </c>
      <c r="C35" s="66">
        <v>2.1144400000000001E-2</v>
      </c>
      <c r="D35" s="66">
        <v>0.26971299999999998</v>
      </c>
      <c r="E35" s="66">
        <v>0</v>
      </c>
      <c r="F35" s="66">
        <v>3.8503200000000001E-2</v>
      </c>
      <c r="G35" s="66">
        <v>0</v>
      </c>
      <c r="H35" s="66">
        <v>0.131828</v>
      </c>
    </row>
    <row r="36" spans="1:8">
      <c r="A36" s="58" t="s">
        <v>333</v>
      </c>
      <c r="B36" s="66">
        <v>0.168625</v>
      </c>
      <c r="C36" s="66">
        <v>8.9023400000000003E-2</v>
      </c>
      <c r="D36" s="66">
        <v>0.52793699999999999</v>
      </c>
      <c r="E36" s="66">
        <v>0</v>
      </c>
      <c r="F36" s="66">
        <v>4.3612400000000003E-2</v>
      </c>
      <c r="G36" s="66">
        <v>0</v>
      </c>
      <c r="H36" s="66">
        <v>0.50961199999999995</v>
      </c>
    </row>
    <row r="37" spans="1:8">
      <c r="A37" s="58" t="s">
        <v>334</v>
      </c>
      <c r="B37" s="66">
        <v>0.29220000000000002</v>
      </c>
      <c r="C37" s="66">
        <v>0.10485700000000001</v>
      </c>
      <c r="D37" s="66">
        <v>0.35885400000000001</v>
      </c>
      <c r="E37" s="66">
        <v>0.1</v>
      </c>
      <c r="F37" s="66">
        <v>2.45183E-2</v>
      </c>
      <c r="G37" s="66">
        <v>0.5</v>
      </c>
      <c r="H37" s="66">
        <v>0.33966000000000002</v>
      </c>
    </row>
    <row r="38" spans="1:8">
      <c r="A38" s="58" t="s">
        <v>335</v>
      </c>
      <c r="B38" s="66">
        <v>-14.1488</v>
      </c>
      <c r="C38" s="66">
        <v>42.359900000000003</v>
      </c>
      <c r="D38" s="66">
        <v>-2.9938899999999999</v>
      </c>
      <c r="E38" s="66">
        <v>0</v>
      </c>
      <c r="F38" s="66">
        <v>-148.69</v>
      </c>
      <c r="G38" s="66">
        <v>0</v>
      </c>
      <c r="H38" s="66">
        <v>143.36000000000001</v>
      </c>
    </row>
    <row r="39" spans="1:8">
      <c r="A39" s="58" t="s">
        <v>336</v>
      </c>
      <c r="B39" s="66">
        <v>-6.3479099999999997</v>
      </c>
      <c r="C39" s="66">
        <v>12.1701</v>
      </c>
      <c r="D39" s="66">
        <v>-1.9171800000000001</v>
      </c>
      <c r="E39" s="66">
        <v>0</v>
      </c>
      <c r="F39" s="66">
        <v>-63.346499999999999</v>
      </c>
      <c r="G39" s="66">
        <v>0</v>
      </c>
      <c r="H39" s="66">
        <v>12.1312</v>
      </c>
    </row>
    <row r="40" spans="1:8">
      <c r="A40" s="58" t="s">
        <v>337</v>
      </c>
      <c r="B40" s="66">
        <v>-6.7269399999999999</v>
      </c>
      <c r="C40" s="66">
        <v>4.5733899999999998</v>
      </c>
      <c r="D40" s="66">
        <v>-0.67986199999999997</v>
      </c>
      <c r="E40" s="66">
        <v>0</v>
      </c>
      <c r="F40" s="66">
        <v>-15.0876</v>
      </c>
      <c r="G40" s="66">
        <v>0</v>
      </c>
      <c r="H40" s="66">
        <v>-0.45350099999999999</v>
      </c>
    </row>
    <row r="41" spans="1:8">
      <c r="A41" s="58" t="s">
        <v>338</v>
      </c>
      <c r="B41" s="66">
        <v>-0.10390099999999999</v>
      </c>
      <c r="C41" s="66">
        <v>0.22941300000000001</v>
      </c>
      <c r="D41" s="66">
        <v>-2.2079800000000001</v>
      </c>
      <c r="E41" s="66">
        <v>0</v>
      </c>
      <c r="F41" s="66">
        <v>-1</v>
      </c>
      <c r="G41" s="66">
        <v>0</v>
      </c>
      <c r="H41" s="66">
        <v>0.75342500000000001</v>
      </c>
    </row>
    <row r="42" spans="1:8">
      <c r="A42" s="58" t="s">
        <v>339</v>
      </c>
      <c r="B42" s="66">
        <v>-0.117719</v>
      </c>
      <c r="C42" s="66">
        <v>0.112681</v>
      </c>
      <c r="D42" s="66">
        <v>-0.95720099999999997</v>
      </c>
      <c r="E42" s="66">
        <v>0</v>
      </c>
      <c r="F42" s="66">
        <v>-0.44303999999999999</v>
      </c>
      <c r="G42" s="66">
        <v>0</v>
      </c>
      <c r="H42" s="66">
        <v>0.240645</v>
      </c>
    </row>
    <row r="43" spans="1:8">
      <c r="A43" s="58" t="s">
        <v>340</v>
      </c>
      <c r="B43" s="66">
        <v>-0.166517</v>
      </c>
      <c r="C43" s="66">
        <v>6.5587099999999995E-2</v>
      </c>
      <c r="D43" s="66">
        <v>-0.393876</v>
      </c>
      <c r="E43" s="66">
        <v>0</v>
      </c>
      <c r="F43" s="66">
        <v>-0.31467699999999998</v>
      </c>
      <c r="G43" s="66">
        <v>0</v>
      </c>
      <c r="H43" s="66">
        <v>-5.22643E-2</v>
      </c>
    </row>
    <row r="44" spans="1:8">
      <c r="A44" s="58" t="s">
        <v>341</v>
      </c>
      <c r="B44" s="66">
        <v>-2.2651599999999998</v>
      </c>
      <c r="C44" s="66">
        <v>9.3748500000000003</v>
      </c>
      <c r="D44" s="66">
        <v>-4.1387099999999997</v>
      </c>
      <c r="E44" s="66">
        <v>0</v>
      </c>
      <c r="F44" s="66">
        <v>-29.743600000000001</v>
      </c>
      <c r="G44" s="66">
        <v>0</v>
      </c>
      <c r="H44" s="66">
        <v>10.8917</v>
      </c>
    </row>
    <row r="45" spans="1:8">
      <c r="A45" s="58" t="s">
        <v>342</v>
      </c>
      <c r="B45" s="66">
        <v>45.696599999999997</v>
      </c>
      <c r="C45" s="66">
        <v>8.3082899999999995</v>
      </c>
      <c r="D45" s="66">
        <v>0.181814</v>
      </c>
      <c r="E45" s="66">
        <v>0</v>
      </c>
      <c r="F45" s="66">
        <v>29.095700000000001</v>
      </c>
      <c r="G45" s="66">
        <v>0</v>
      </c>
      <c r="H45" s="66">
        <v>67.395799999999994</v>
      </c>
    </row>
    <row r="46" spans="1:8">
      <c r="A46" s="58" t="s">
        <v>343</v>
      </c>
      <c r="B46" s="66">
        <v>24.1037</v>
      </c>
      <c r="C46" s="66">
        <v>4.4081099999999998</v>
      </c>
      <c r="D46" s="66">
        <v>0.18288099999999999</v>
      </c>
      <c r="E46" s="66">
        <v>0</v>
      </c>
      <c r="F46" s="66">
        <v>10.117699999999999</v>
      </c>
      <c r="G46" s="66">
        <v>0</v>
      </c>
      <c r="H46" s="66">
        <v>30.890999999999998</v>
      </c>
    </row>
    <row r="47" spans="1:8">
      <c r="A47" s="58" t="s">
        <v>344</v>
      </c>
      <c r="B47" s="66">
        <v>1.53416</v>
      </c>
      <c r="C47" s="66">
        <v>1.2431000000000001</v>
      </c>
      <c r="D47" s="66">
        <v>0.81027800000000005</v>
      </c>
      <c r="E47" s="66">
        <v>0</v>
      </c>
      <c r="F47" s="66">
        <v>0.46389900000000001</v>
      </c>
      <c r="G47" s="66">
        <v>0</v>
      </c>
      <c r="H47" s="66">
        <v>7.7955699999999997</v>
      </c>
    </row>
    <row r="48" spans="1:8">
      <c r="A48" s="58" t="s">
        <v>345</v>
      </c>
      <c r="B48" s="66">
        <v>1.0064</v>
      </c>
      <c r="C48" s="66">
        <v>0.1681</v>
      </c>
      <c r="D48" s="66">
        <v>0.16703200000000001</v>
      </c>
      <c r="E48" s="66">
        <v>0</v>
      </c>
      <c r="F48" s="66">
        <v>0.68141600000000002</v>
      </c>
      <c r="G48" s="66">
        <v>0</v>
      </c>
      <c r="H48" s="66">
        <v>1.3878699999999999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10.494700000000002</v>
      </c>
      <c r="C5" s="66">
        <f>'M2'!C5-'M1'!C5</f>
        <v>-1.4367700000000001</v>
      </c>
      <c r="D5" s="66">
        <f>'M2'!D5-'M1'!D5</f>
        <v>-7.4730799999999995</v>
      </c>
      <c r="E5" s="66">
        <f>'M2'!E5-'M1'!E5</f>
        <v>0</v>
      </c>
      <c r="F5" s="66">
        <f>'M2'!F5-'M1'!F5</f>
        <v>18.841099999999997</v>
      </c>
      <c r="G5" s="66">
        <f>'M2'!G5-'M1'!G5</f>
        <v>0</v>
      </c>
      <c r="H5" s="66">
        <f>'M2'!H5-'M1'!H5</f>
        <v>13.9375</v>
      </c>
    </row>
    <row r="6" spans="1:8">
      <c r="A6" s="66" t="s">
        <v>244</v>
      </c>
      <c r="B6" s="66">
        <f>'M2'!B6-'M1'!B6</f>
        <v>4.4300999999999995</v>
      </c>
      <c r="C6" s="66">
        <f>'M2'!C6-'M1'!C6</f>
        <v>1.4860500000000001</v>
      </c>
      <c r="D6" s="66">
        <f>'M2'!D6-'M1'!D6</f>
        <v>4.1262299999999996</v>
      </c>
      <c r="E6" s="66">
        <f>'M2'!E6-'M1'!E6</f>
        <v>0</v>
      </c>
      <c r="F6" s="66">
        <f>'M2'!F6-'M1'!F6</f>
        <v>0.23299999999999699</v>
      </c>
      <c r="G6" s="66">
        <f>'M2'!G6-'M1'!G6</f>
        <v>0</v>
      </c>
      <c r="H6" s="66">
        <f>'M2'!H6-'M1'!H6</f>
        <v>2.6782000000000004</v>
      </c>
    </row>
    <row r="7" spans="1:8">
      <c r="A7" s="66" t="s">
        <v>245</v>
      </c>
      <c r="B7" s="66">
        <f>'M2'!B7-'M1'!B7</f>
        <v>-5.876599999999998</v>
      </c>
      <c r="C7" s="66">
        <f>'M2'!C7-'M1'!C7</f>
        <v>0.10484999999999989</v>
      </c>
      <c r="D7" s="66">
        <f>'M2'!D7-'M1'!D7</f>
        <v>14.365099999999998</v>
      </c>
      <c r="E7" s="66">
        <f>'M2'!E7-'M1'!E7</f>
        <v>0</v>
      </c>
      <c r="F7" s="66">
        <f>'M2'!F7-'M1'!F7</f>
        <v>-4.2428600000000012</v>
      </c>
      <c r="G7" s="66">
        <f>'M2'!G7-'M1'!G7</f>
        <v>0</v>
      </c>
      <c r="H7" s="66">
        <f>'M2'!H7-'M1'!H7</f>
        <v>-3.1564999999999941</v>
      </c>
    </row>
    <row r="8" spans="1:8">
      <c r="A8" s="66" t="s">
        <v>246</v>
      </c>
      <c r="B8" s="66">
        <f>'M2'!B8-'M1'!B8</f>
        <v>3.923099999999998</v>
      </c>
      <c r="C8" s="66">
        <f>'M2'!C8-'M1'!C8</f>
        <v>1.1092900000000001</v>
      </c>
      <c r="D8" s="66">
        <f>'M2'!D8-'M1'!D8</f>
        <v>2.8559399999999986</v>
      </c>
      <c r="E8" s="66">
        <f>'M2'!E8-'M1'!E8</f>
        <v>0</v>
      </c>
      <c r="F8" s="66">
        <f>'M2'!F8-'M1'!F8</f>
        <v>1.7971000000000004</v>
      </c>
      <c r="G8" s="66">
        <f>'M2'!G8-'M1'!G8</f>
        <v>0</v>
      </c>
      <c r="H8" s="66">
        <f>'M2'!H8-'M1'!H8</f>
        <v>5.8072000000000017</v>
      </c>
    </row>
    <row r="9" spans="1:8">
      <c r="A9" s="66" t="s">
        <v>247</v>
      </c>
      <c r="B9" s="66">
        <f>'M2'!B9-'M1'!B9</f>
        <v>-0.27419999999999334</v>
      </c>
      <c r="C9" s="66">
        <f>'M2'!C9-'M1'!C9</f>
        <v>-2.7502899999999997</v>
      </c>
      <c r="D9" s="66">
        <f>'M2'!D9-'M1'!D9</f>
        <v>-3.9132099999999994</v>
      </c>
      <c r="E9" s="66">
        <f>'M2'!E9-'M1'!E9</f>
        <v>0</v>
      </c>
      <c r="F9" s="66">
        <f>'M2'!F9-'M1'!F9</f>
        <v>4.3570999999999955</v>
      </c>
      <c r="G9" s="66">
        <f>'M2'!G9-'M1'!G9</f>
        <v>0</v>
      </c>
      <c r="H9" s="66">
        <f>'M2'!H9-'M1'!H9</f>
        <v>-1.5457999999999998</v>
      </c>
    </row>
    <row r="10" spans="1:8">
      <c r="A10" s="66" t="s">
        <v>248</v>
      </c>
      <c r="B10" s="66">
        <f>'M2'!B10-'M1'!B10</f>
        <v>-7.6280000000000001</v>
      </c>
      <c r="C10" s="66">
        <f>'M2'!C10-'M1'!C10</f>
        <v>0.8479000000000001</v>
      </c>
      <c r="D10" s="66">
        <f>'M2'!D10-'M1'!D10</f>
        <v>1.4067199999999995</v>
      </c>
      <c r="E10" s="66">
        <f>'M2'!E10-'M1'!E10</f>
        <v>0</v>
      </c>
      <c r="F10" s="66">
        <f>'M2'!F10-'M1'!F10</f>
        <v>-6.1854999999999905</v>
      </c>
      <c r="G10" s="66">
        <f>'M2'!G10-'M1'!G10</f>
        <v>0</v>
      </c>
      <c r="H10" s="66">
        <f>'M2'!H10-'M1'!H10</f>
        <v>-6.1036000000000001</v>
      </c>
    </row>
    <row r="11" spans="1:8">
      <c r="A11" s="66" t="s">
        <v>249</v>
      </c>
      <c r="B11" s="66">
        <f>'M2'!B11-'M1'!B11</f>
        <v>10.635299999999997</v>
      </c>
      <c r="C11" s="66">
        <f>'M2'!C11-'M1'!C11</f>
        <v>0.47746000000000022</v>
      </c>
      <c r="D11" s="66">
        <f>'M2'!D11-'M1'!D11</f>
        <v>-3.3078299999999992</v>
      </c>
      <c r="E11" s="66">
        <f>'M2'!E11-'M1'!E11</f>
        <v>0</v>
      </c>
      <c r="F11" s="66">
        <f>'M2'!F11-'M1'!F11</f>
        <v>10.704599999999999</v>
      </c>
      <c r="G11" s="66">
        <f>'M2'!G11-'M1'!G11</f>
        <v>0</v>
      </c>
      <c r="H11" s="66">
        <f>'M2'!H11-'M1'!H11</f>
        <v>8.1336000000000013</v>
      </c>
    </row>
    <row r="12" spans="1:8">
      <c r="A12" s="66" t="s">
        <v>250</v>
      </c>
      <c r="B12" s="66">
        <f>'M2'!B12-'M1'!B12</f>
        <v>-4.6150000000000091</v>
      </c>
      <c r="C12" s="66">
        <f>'M2'!C12-'M1'!C12</f>
        <v>-1.3419499999999998</v>
      </c>
      <c r="D12" s="66">
        <f>'M2'!D12-'M1'!D12</f>
        <v>-1.44557</v>
      </c>
      <c r="E12" s="66">
        <f>'M2'!E12-'M1'!E12</f>
        <v>0</v>
      </c>
      <c r="F12" s="66">
        <f>'M2'!F12-'M1'!F12</f>
        <v>-0.49729999999999563</v>
      </c>
      <c r="G12" s="66">
        <f>'M2'!G12-'M1'!G12</f>
        <v>0</v>
      </c>
      <c r="H12" s="66">
        <f>'M2'!H12-'M1'!H12</f>
        <v>-4.052899999999994</v>
      </c>
    </row>
    <row r="13" spans="1:8">
      <c r="A13" s="66" t="s">
        <v>251</v>
      </c>
      <c r="B13" s="66">
        <f>'M2'!B13-'M1'!B13</f>
        <v>2.164200000000001</v>
      </c>
      <c r="C13" s="66">
        <f>'M2'!C13-'M1'!C13</f>
        <v>-0.35236000000000001</v>
      </c>
      <c r="D13" s="66">
        <f>'M2'!D13-'M1'!D13</f>
        <v>-3.5063000000000013</v>
      </c>
      <c r="E13" s="66">
        <f>'M2'!E13-'M1'!E13</f>
        <v>0</v>
      </c>
      <c r="F13" s="66">
        <f>'M2'!F13-'M1'!F13</f>
        <v>0.7563000000000013</v>
      </c>
      <c r="G13" s="66">
        <f>'M2'!G13-'M1'!G13</f>
        <v>0</v>
      </c>
      <c r="H13" s="66">
        <f>'M2'!H13-'M1'!H13</f>
        <v>-0.60500000000000043</v>
      </c>
    </row>
    <row r="14" spans="1:8">
      <c r="A14" s="66" t="s">
        <v>252</v>
      </c>
      <c r="B14" s="66">
        <f>'M2'!B14-'M1'!B14</f>
        <v>-3.5236000000000018</v>
      </c>
      <c r="C14" s="66">
        <f>'M2'!C14-'M1'!C14</f>
        <v>2.2919099999999997</v>
      </c>
      <c r="D14" s="66">
        <f>'M2'!D14-'M1'!D14</f>
        <v>12.716699999999999</v>
      </c>
      <c r="E14" s="66">
        <f>'M2'!E14-'M1'!E14</f>
        <v>0</v>
      </c>
      <c r="F14" s="66">
        <f>'M2'!F14-'M1'!F14</f>
        <v>-0.34274000000000004</v>
      </c>
      <c r="G14" s="66">
        <f>'M2'!G14-'M1'!G14</f>
        <v>0</v>
      </c>
      <c r="H14" s="66">
        <f>'M2'!H14-'M1'!H14</f>
        <v>0.22070000000000078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0.117367</v>
      </c>
      <c r="C18" s="66">
        <f>'M2'!C18-'M1'!C18</f>
        <v>3.8656900000000002E-3</v>
      </c>
      <c r="D18" s="66">
        <f>'M2'!D18-'M1'!D18</f>
        <v>5.9671500000000001E-3</v>
      </c>
      <c r="E18" s="66">
        <f>'M2'!E18-'M1'!E18</f>
        <v>0</v>
      </c>
      <c r="F18" s="66">
        <f>'M2'!F18-'M1'!F18</f>
        <v>0.64396299999999995</v>
      </c>
      <c r="G18" s="66">
        <f>'M2'!G18-'M1'!G18</f>
        <v>0</v>
      </c>
      <c r="H18" s="66">
        <f>'M2'!H18-'M1'!H18</f>
        <v>0.651694</v>
      </c>
    </row>
    <row r="19" spans="1:8">
      <c r="A19" s="66" t="s">
        <v>256</v>
      </c>
      <c r="B19" s="66">
        <f>'M2'!B19-'M1'!B19</f>
        <v>0.15234999999999999</v>
      </c>
      <c r="C19" s="66">
        <f>'M2'!C19-'M1'!C19</f>
        <v>2.3970700000000001E-2</v>
      </c>
      <c r="D19" s="66">
        <f>'M2'!D19-'M1'!D19</f>
        <v>3.5665000000000002E-2</v>
      </c>
      <c r="E19" s="66">
        <f>'M2'!E19-'M1'!E19</f>
        <v>0</v>
      </c>
      <c r="F19" s="66">
        <f>'M2'!F19-'M1'!F19</f>
        <v>0.64813699999999996</v>
      </c>
      <c r="G19" s="66">
        <f>'M2'!G19-'M1'!G19</f>
        <v>0</v>
      </c>
      <c r="H19" s="66">
        <f>'M2'!H19-'M1'!H19</f>
        <v>0.69607799999999997</v>
      </c>
    </row>
    <row r="20" spans="1:8">
      <c r="A20" s="66" t="s">
        <v>63</v>
      </c>
      <c r="B20" s="66">
        <f>'M2'!B20-'M1'!B20</f>
        <v>6.9864599999999999E-3</v>
      </c>
      <c r="C20" s="66">
        <f>'M2'!C20-'M1'!C20</f>
        <v>5.8703700000000004E-2</v>
      </c>
      <c r="D20" s="66">
        <f>'M2'!D20-'M1'!D20</f>
        <v>0.14715999999999951</v>
      </c>
      <c r="E20" s="66">
        <f>'M2'!E20-'M1'!E20</f>
        <v>0</v>
      </c>
      <c r="F20" s="66">
        <f>'M2'!F20-'M1'!F20</f>
        <v>2.2707599999999999E-5</v>
      </c>
      <c r="G20" s="66">
        <f>'M2'!G20-'M1'!G20</f>
        <v>0</v>
      </c>
      <c r="H20" s="66">
        <f>'M2'!H20-'M1'!H20</f>
        <v>0.36161500000000002</v>
      </c>
    </row>
    <row r="21" spans="1:8">
      <c r="A21" s="66" t="s">
        <v>64</v>
      </c>
      <c r="B21" s="66">
        <f>'M2'!B21-'M1'!B21</f>
        <v>0.18762399999999999</v>
      </c>
      <c r="C21" s="66">
        <f>'M2'!C21-'M1'!C21</f>
        <v>0.61740899999999999</v>
      </c>
      <c r="D21" s="66">
        <f>'M2'!D21-'M1'!D21</f>
        <v>0.74238000000000026</v>
      </c>
      <c r="E21" s="66">
        <f>'M2'!E21-'M1'!E21</f>
        <v>0</v>
      </c>
      <c r="F21" s="66">
        <f>'M2'!F21-'M1'!F21</f>
        <v>2.9035800000000002E-3</v>
      </c>
      <c r="G21" s="66">
        <f>'M2'!G21-'M1'!G21</f>
        <v>0</v>
      </c>
      <c r="H21" s="66">
        <f>'M2'!H21-'M1'!H21</f>
        <v>2.2991799999999998</v>
      </c>
    </row>
    <row r="22" spans="1:8">
      <c r="A22" s="66" t="s">
        <v>65</v>
      </c>
      <c r="B22" s="66">
        <f>'M2'!B22-'M1'!B22</f>
        <v>11.102399999999996</v>
      </c>
      <c r="C22" s="66">
        <f>'M2'!C22-'M1'!C22</f>
        <v>9.5256000000000007</v>
      </c>
      <c r="D22" s="66">
        <f>'M2'!D22-'M1'!D22</f>
        <v>0.10949800000000004</v>
      </c>
      <c r="E22" s="66">
        <f>'M2'!E22-'M1'!E22</f>
        <v>0</v>
      </c>
      <c r="F22" s="66">
        <f>'M2'!F22-'M1'!F22</f>
        <v>2.1304000000000016</v>
      </c>
      <c r="G22" s="66">
        <f>'M2'!G22-'M1'!G22</f>
        <v>0</v>
      </c>
      <c r="H22" s="66">
        <f>'M2'!H22-'M1'!H22</f>
        <v>38.314999999999998</v>
      </c>
    </row>
    <row r="23" spans="1:8">
      <c r="A23" s="66" t="s">
        <v>66</v>
      </c>
      <c r="B23" s="66">
        <f>'M2'!B23-'M1'!B23</f>
        <v>16.170400000000001</v>
      </c>
      <c r="C23" s="66">
        <f>'M2'!C23-'M1'!C23</f>
        <v>-0.44555000000000033</v>
      </c>
      <c r="D23" s="66">
        <f>'M2'!D23-'M1'!D23</f>
        <v>-0.147984</v>
      </c>
      <c r="E23" s="66">
        <f>'M2'!E23-'M1'!E23</f>
        <v>0</v>
      </c>
      <c r="F23" s="66">
        <f>'M2'!F23-'M1'!F23</f>
        <v>13.761600000000001</v>
      </c>
      <c r="G23" s="66">
        <f>'M2'!G23-'M1'!G23</f>
        <v>0</v>
      </c>
      <c r="H23" s="66">
        <f>'M2'!H23-'M1'!H23</f>
        <v>12.422300000000003</v>
      </c>
    </row>
    <row r="24" spans="1:8">
      <c r="A24" s="66" t="s">
        <v>67</v>
      </c>
      <c r="B24" s="66">
        <f>'M2'!B24-'M1'!B24</f>
        <v>8.2778899999999996E-3</v>
      </c>
      <c r="C24" s="66">
        <f>'M2'!C24-'M1'!C24</f>
        <v>5.3672399999999995E-2</v>
      </c>
      <c r="D24" s="66">
        <f>'M2'!D24-'M1'!D24</f>
        <v>1.2221400000000004</v>
      </c>
      <c r="E24" s="66">
        <f>'M2'!E24-'M1'!E24</f>
        <v>0</v>
      </c>
      <c r="F24" s="66">
        <f>'M2'!F24-'M1'!F24</f>
        <v>1.97684E-4</v>
      </c>
      <c r="G24" s="66">
        <f>'M2'!G24-'M1'!G24</f>
        <v>0</v>
      </c>
      <c r="H24" s="66">
        <f>'M2'!H24-'M1'!H24</f>
        <v>0.24467339999999999</v>
      </c>
    </row>
    <row r="25" spans="1:8">
      <c r="A25" s="66" t="s">
        <v>68</v>
      </c>
      <c r="B25" s="66">
        <f>'M2'!B25-'M1'!B25</f>
        <v>0.36121400000000004</v>
      </c>
      <c r="C25" s="66">
        <f>'M2'!C25-'M1'!C25</f>
        <v>0.48833800000000005</v>
      </c>
      <c r="D25" s="66">
        <f>'M2'!D25-'M1'!D25</f>
        <v>0.15449999999999986</v>
      </c>
      <c r="E25" s="66">
        <f>'M2'!E25-'M1'!E25</f>
        <v>0</v>
      </c>
      <c r="F25" s="66">
        <f>'M2'!F25-'M1'!F25</f>
        <v>1.5639E-2</v>
      </c>
      <c r="G25" s="66">
        <f>'M2'!G25-'M1'!G25</f>
        <v>0</v>
      </c>
      <c r="H25" s="66">
        <f>'M2'!H25-'M1'!H25</f>
        <v>1.7090179999999999</v>
      </c>
    </row>
    <row r="26" spans="1:8">
      <c r="A26" s="66" t="s">
        <v>69</v>
      </c>
      <c r="B26" s="66">
        <f>'M2'!B26-'M1'!B26</f>
        <v>1.5149029999999997E-3</v>
      </c>
      <c r="C26" s="66">
        <f>'M2'!C26-'M1'!C26</f>
        <v>6.7487899999999993E-3</v>
      </c>
      <c r="D26" s="66">
        <f>'M2'!D26-'M1'!D26</f>
        <v>0.37768000000000024</v>
      </c>
      <c r="E26" s="66">
        <f>'M2'!E26-'M1'!E26</f>
        <v>0</v>
      </c>
      <c r="F26" s="66">
        <f>'M2'!F26-'M1'!F26</f>
        <v>3.2825599999999999E-6</v>
      </c>
      <c r="G26" s="66">
        <f>'M2'!G26-'M1'!G26</f>
        <v>0</v>
      </c>
      <c r="H26" s="66">
        <f>'M2'!H26-'M1'!H26</f>
        <v>3.5697800000000002E-2</v>
      </c>
    </row>
    <row r="27" spans="1:8">
      <c r="A27" s="66" t="s">
        <v>70</v>
      </c>
      <c r="B27" s="66">
        <f>'M2'!B27-'M1'!B27</f>
        <v>9.84774E-6</v>
      </c>
      <c r="C27" s="66">
        <f>'M2'!C27-'M1'!C27</f>
        <v>1.637571E-3</v>
      </c>
      <c r="D27" s="66">
        <f>'M2'!D27-'M1'!D27</f>
        <v>-14.369</v>
      </c>
      <c r="E27" s="66">
        <f>'M2'!E27-'M1'!E27</f>
        <v>0</v>
      </c>
      <c r="F27" s="66">
        <f>'M2'!F27-'M1'!F27</f>
        <v>-1.4348089999999999E-2</v>
      </c>
      <c r="G27" s="66">
        <f>'M2'!G27-'M1'!G27</f>
        <v>0</v>
      </c>
      <c r="H27" s="66">
        <f>'M2'!H27-'M1'!H27</f>
        <v>1.026124E-2</v>
      </c>
    </row>
    <row r="28" spans="1:8">
      <c r="A28" s="66" t="s">
        <v>71</v>
      </c>
      <c r="B28" s="66">
        <f>'M2'!B28-'M1'!B28</f>
        <v>1.7845099999999999E-2</v>
      </c>
      <c r="C28" s="66">
        <f>'M2'!C28-'M1'!C28</f>
        <v>2.84417E-2</v>
      </c>
      <c r="D28" s="66">
        <f>'M2'!D28-'M1'!D28</f>
        <v>0.19889000000000001</v>
      </c>
      <c r="E28" s="66">
        <f>'M2'!E28-'M1'!E28</f>
        <v>0</v>
      </c>
      <c r="F28" s="66">
        <f>'M2'!F28-'M1'!F28</f>
        <v>7.1940199999999985E-4</v>
      </c>
      <c r="G28" s="66">
        <f>'M2'!G28-'M1'!G28</f>
        <v>0</v>
      </c>
      <c r="H28" s="66">
        <f>'M2'!H28-'M1'!H28</f>
        <v>9.5072099999999993E-2</v>
      </c>
    </row>
    <row r="29" spans="1:8">
      <c r="A29" s="66" t="s">
        <v>72</v>
      </c>
      <c r="B29" s="66">
        <f>'M2'!B29-'M1'!B29</f>
        <v>5.1170999999999935</v>
      </c>
      <c r="C29" s="66">
        <f>'M2'!C29-'M1'!C29</f>
        <v>1.3920999999999992</v>
      </c>
      <c r="D29" s="66">
        <f>'M2'!D29-'M1'!D29</f>
        <v>8.4819999999999895E-3</v>
      </c>
      <c r="E29" s="66">
        <f>'M2'!E29-'M1'!E29</f>
        <v>0</v>
      </c>
      <c r="F29" s="66">
        <f>'M2'!F29-'M1'!F29</f>
        <v>-11.433700000000002</v>
      </c>
      <c r="G29" s="66">
        <f>'M2'!G29-'M1'!G29</f>
        <v>0</v>
      </c>
      <c r="H29" s="66">
        <f>'M2'!H29-'M1'!H29</f>
        <v>9.9990000000000094</v>
      </c>
    </row>
    <row r="30" spans="1:8">
      <c r="A30" s="66" t="s">
        <v>73</v>
      </c>
      <c r="B30" s="66">
        <f>'M2'!B30-'M1'!B30</f>
        <v>14.670900000000003</v>
      </c>
      <c r="C30" s="66">
        <f>'M2'!C30-'M1'!C30</f>
        <v>-1.5276899999999998</v>
      </c>
      <c r="D30" s="66">
        <f>'M2'!D30-'M1'!D30</f>
        <v>-0.13677709999999998</v>
      </c>
      <c r="E30" s="66">
        <f>'M2'!E30-'M1'!E30</f>
        <v>0</v>
      </c>
      <c r="F30" s="66">
        <f>'M2'!F30-'M1'!F30</f>
        <v>16.636499999999998</v>
      </c>
      <c r="G30" s="66">
        <f>'M2'!G30-'M1'!G30</f>
        <v>0</v>
      </c>
      <c r="H30" s="66">
        <f>'M2'!H30-'M1'!H30</f>
        <v>8.7379000000000033</v>
      </c>
    </row>
    <row r="31" spans="1:8">
      <c r="A31" s="66" t="s">
        <v>74</v>
      </c>
      <c r="B31" s="66">
        <f>'M2'!B31-'M1'!B31</f>
        <v>82.845299999999995</v>
      </c>
      <c r="C31" s="66">
        <f>'M2'!C31-'M1'!C31</f>
        <v>11.643300000000002</v>
      </c>
      <c r="D31" s="66">
        <f>'M2'!D31-'M1'!D31</f>
        <v>2.3729999999999862E-3</v>
      </c>
      <c r="E31" s="66">
        <f>'M2'!E31-'M1'!E31</f>
        <v>0</v>
      </c>
      <c r="F31" s="66">
        <f>'M2'!F31-'M1'!F31</f>
        <v>47.51339999999999</v>
      </c>
      <c r="G31" s="66">
        <f>'M2'!G31-'M1'!G31</f>
        <v>0</v>
      </c>
      <c r="H31" s="66">
        <f>'M2'!H31-'M1'!H31</f>
        <v>93.563000000000002</v>
      </c>
    </row>
    <row r="32" spans="1:8">
      <c r="A32" s="66" t="s">
        <v>75</v>
      </c>
      <c r="B32" s="66">
        <f>'M2'!B32-'M1'!B32</f>
        <v>-5.8765999999999985E-2</v>
      </c>
      <c r="C32" s="66">
        <f>'M2'!C32-'M1'!C32</f>
        <v>1.0484999999999939E-3</v>
      </c>
      <c r="D32" s="66">
        <f>'M2'!D32-'M1'!D32</f>
        <v>0.14365100000000003</v>
      </c>
      <c r="E32" s="66">
        <f>'M2'!E32-'M1'!E32</f>
        <v>0</v>
      </c>
      <c r="F32" s="66">
        <f>'M2'!F32-'M1'!F32</f>
        <v>-4.2428599999999997E-2</v>
      </c>
      <c r="G32" s="66">
        <f>'M2'!G32-'M1'!G32</f>
        <v>0</v>
      </c>
      <c r="H32" s="66">
        <f>'M2'!H32-'M1'!H32</f>
        <v>-3.156500000000001E-2</v>
      </c>
    </row>
    <row r="33" spans="1:8">
      <c r="A33" s="66" t="s">
        <v>76</v>
      </c>
      <c r="B33" s="66">
        <f>'M2'!B33-'M1'!B33</f>
        <v>-1.8988000000000005E-2</v>
      </c>
      <c r="C33" s="66">
        <f>'M2'!C33-'M1'!C33</f>
        <v>-1.3092700000000002E-2</v>
      </c>
      <c r="D33" s="66">
        <f>'M2'!D33-'M1'!D33</f>
        <v>-3.8440700000000008E-2</v>
      </c>
      <c r="E33" s="66">
        <f>'M2'!E33-'M1'!E33</f>
        <v>0</v>
      </c>
      <c r="F33" s="66">
        <f>'M2'!F33-'M1'!F33</f>
        <v>2.3758000000000029E-2</v>
      </c>
      <c r="G33" s="66">
        <f>'M2'!G33-'M1'!G33</f>
        <v>0</v>
      </c>
      <c r="H33" s="66">
        <f>'M2'!H33-'M1'!H33</f>
        <v>-2.5421000000000027E-2</v>
      </c>
    </row>
    <row r="34" spans="1:8">
      <c r="A34" s="66" t="s">
        <v>77</v>
      </c>
      <c r="B34" s="66">
        <f>'M2'!B34-'M1'!B34</f>
        <v>2.1642000000000022E-2</v>
      </c>
      <c r="C34" s="66">
        <f>'M2'!C34-'M1'!C34</f>
        <v>-3.5235999999999983E-3</v>
      </c>
      <c r="D34" s="66">
        <f>'M2'!D34-'M1'!D34</f>
        <v>-3.5063000000000011E-2</v>
      </c>
      <c r="E34" s="66">
        <f>'M2'!E34-'M1'!E34</f>
        <v>0</v>
      </c>
      <c r="F34" s="66">
        <f>'M2'!F34-'M1'!F34</f>
        <v>7.5630000000000142E-3</v>
      </c>
      <c r="G34" s="66">
        <f>'M2'!G34-'M1'!G34</f>
        <v>0</v>
      </c>
      <c r="H34" s="66">
        <f>'M2'!H34-'M1'!H34</f>
        <v>-6.0499999999999998E-3</v>
      </c>
    </row>
    <row r="35" spans="1:8">
      <c r="A35" s="66" t="s">
        <v>78</v>
      </c>
      <c r="B35" s="66">
        <f>'M2'!B35-'M1'!B35</f>
        <v>8.9579000000000047E-3</v>
      </c>
      <c r="C35" s="66">
        <f>'M2'!C35-'M1'!C35</f>
        <v>1.4871999999999976E-3</v>
      </c>
      <c r="D35" s="66">
        <f>'M2'!D35-'M1'!D35</f>
        <v>-1.1288999999999993E-2</v>
      </c>
      <c r="E35" s="66">
        <f>'M2'!E35-'M1'!E35</f>
        <v>0</v>
      </c>
      <c r="F35" s="66">
        <f>'M2'!F35-'M1'!F35</f>
        <v>-7.0433999999999983E-3</v>
      </c>
      <c r="G35" s="66">
        <f>'M2'!G35-'M1'!G35</f>
        <v>0</v>
      </c>
      <c r="H35" s="66">
        <f>'M2'!H35-'M1'!H35</f>
        <v>1.0261000000000006E-2</v>
      </c>
    </row>
    <row r="36" spans="1:8">
      <c r="A36" s="66" t="s">
        <v>79</v>
      </c>
      <c r="B36" s="66">
        <f>'M2'!B36-'M1'!B36</f>
        <v>2.0223000000000019E-2</v>
      </c>
      <c r="C36" s="66">
        <f>'M2'!C36-'M1'!C36</f>
        <v>6.0764999999999986E-3</v>
      </c>
      <c r="D36" s="66">
        <f>'M2'!D36-'M1'!D36</f>
        <v>-2.8100000000000014E-2</v>
      </c>
      <c r="E36" s="66">
        <f>'M2'!E36-'M1'!E36</f>
        <v>0</v>
      </c>
      <c r="F36" s="66">
        <f>'M2'!F36-'M1'!F36</f>
        <v>5.8027000000000009E-3</v>
      </c>
      <c r="G36" s="66">
        <f>'M2'!G36-'M1'!G36</f>
        <v>0</v>
      </c>
      <c r="H36" s="66">
        <f>'M2'!H36-'M1'!H36</f>
        <v>5.7674999999999976E-2</v>
      </c>
    </row>
    <row r="37" spans="1:8">
      <c r="A37" s="66" t="s">
        <v>80</v>
      </c>
      <c r="B37" s="66">
        <f>'M2'!B37-'M1'!B37</f>
        <v>-3.523599999999999E-2</v>
      </c>
      <c r="C37" s="66">
        <f>'M2'!C37-'M1'!C37</f>
        <v>2.2919099999999998E-2</v>
      </c>
      <c r="D37" s="66">
        <f>'M2'!D37-'M1'!D37</f>
        <v>0.12716700000000003</v>
      </c>
      <c r="E37" s="66">
        <f>'M2'!E37-'M1'!E37</f>
        <v>0</v>
      </c>
      <c r="F37" s="66">
        <f>'M2'!F37-'M1'!F37</f>
        <v>-3.4274000000000006E-3</v>
      </c>
      <c r="G37" s="66">
        <f>'M2'!G37-'M1'!G37</f>
        <v>0</v>
      </c>
      <c r="H37" s="66">
        <f>'M2'!H37-'M1'!H37</f>
        <v>2.2070000000000145E-3</v>
      </c>
    </row>
    <row r="38" spans="1:8">
      <c r="A38" s="66" t="s">
        <v>81</v>
      </c>
      <c r="B38" s="66">
        <f>'M2'!B38-'M1'!B38</f>
        <v>-11.081319999999998</v>
      </c>
      <c r="C38" s="66">
        <f>'M2'!C38-'M1'!C38</f>
        <v>7.5326000000000022</v>
      </c>
      <c r="D38" s="66">
        <f>'M2'!D38-'M1'!D38</f>
        <v>1.73874</v>
      </c>
      <c r="E38" s="66">
        <f>'M2'!E38-'M1'!E38</f>
        <v>0</v>
      </c>
      <c r="F38" s="66">
        <f>'M2'!F38-'M1'!F38</f>
        <v>-10.812000000000012</v>
      </c>
      <c r="G38" s="66">
        <f>'M2'!G38-'M1'!G38</f>
        <v>0</v>
      </c>
      <c r="H38" s="66">
        <f>'M2'!H38-'M1'!H38</f>
        <v>-81.40900000000002</v>
      </c>
    </row>
    <row r="39" spans="1:8">
      <c r="A39" s="66" t="s">
        <v>82</v>
      </c>
      <c r="B39" s="66">
        <f>'M2'!B39-'M1'!B39</f>
        <v>-6.1762100000000011</v>
      </c>
      <c r="C39" s="66">
        <f>'M2'!C39-'M1'!C39</f>
        <v>9.8281399999999994</v>
      </c>
      <c r="D39" s="66">
        <f>'M2'!D39-'M1'!D39</f>
        <v>-0.11072000000000015</v>
      </c>
      <c r="E39" s="66">
        <f>'M2'!E39-'M1'!E39</f>
        <v>0</v>
      </c>
      <c r="F39" s="66">
        <f>'M2'!F39-'M1'!F39</f>
        <v>-41.875799999999998</v>
      </c>
      <c r="G39" s="66">
        <f>'M2'!G39-'M1'!G39</f>
        <v>0</v>
      </c>
      <c r="H39" s="66">
        <f>'M2'!H39-'M1'!H39</f>
        <v>0.33360000000000056</v>
      </c>
    </row>
    <row r="40" spans="1:8">
      <c r="A40" s="66" t="s">
        <v>83</v>
      </c>
      <c r="B40" s="66">
        <f>'M2'!B40-'M1'!B40</f>
        <v>-9.6321100000000008</v>
      </c>
      <c r="C40" s="66">
        <f>'M2'!C40-'M1'!C40</f>
        <v>0.98611000000000004</v>
      </c>
      <c r="D40" s="66">
        <f>'M2'!D40-'M1'!D40</f>
        <v>0.40570400000000006</v>
      </c>
      <c r="E40" s="66">
        <f>'M2'!E40-'M1'!E40</f>
        <v>0</v>
      </c>
      <c r="F40" s="66">
        <f>'M2'!F40-'M1'!F40</f>
        <v>-7.8426999999999998</v>
      </c>
      <c r="G40" s="66">
        <f>'M2'!G40-'M1'!G40</f>
        <v>0</v>
      </c>
      <c r="H40" s="66">
        <f>'M2'!H40-'M1'!H40</f>
        <v>-4.7097790000000002</v>
      </c>
    </row>
    <row r="41" spans="1:8">
      <c r="A41" s="66" t="s">
        <v>84</v>
      </c>
      <c r="B41" s="66">
        <f>'M2'!B41-'M1'!B41</f>
        <v>-6.6495300000000007E-2</v>
      </c>
      <c r="C41" s="66">
        <f>'M2'!C41-'M1'!C41</f>
        <v>-6.2756000000000034E-2</v>
      </c>
      <c r="D41" s="66">
        <f>'M2'!D41-'M1'!D41</f>
        <v>2.63401</v>
      </c>
      <c r="E41" s="66">
        <f>'M2'!E41-'M1'!E41</f>
        <v>0</v>
      </c>
      <c r="F41" s="66">
        <f>'M2'!F41-'M1'!F41</f>
        <v>0.50208199999999992</v>
      </c>
      <c r="G41" s="66">
        <f>'M2'!G41-'M1'!G41</f>
        <v>0</v>
      </c>
      <c r="H41" s="66">
        <f>'M2'!H41-'M1'!H41</f>
        <v>-0.13298699999999997</v>
      </c>
    </row>
    <row r="42" spans="1:8">
      <c r="A42" s="66" t="s">
        <v>85</v>
      </c>
      <c r="B42" s="66">
        <f>'M2'!B42-'M1'!B42</f>
        <v>-3.3861000000000002E-2</v>
      </c>
      <c r="C42" s="66">
        <f>'M2'!C42-'M1'!C42</f>
        <v>1.8896999999999997E-2</v>
      </c>
      <c r="D42" s="66">
        <f>'M2'!D42-'M1'!D42</f>
        <v>9.8462000000000049E-2</v>
      </c>
      <c r="E42" s="66">
        <f>'M2'!E42-'M1'!E42</f>
        <v>0</v>
      </c>
      <c r="F42" s="66">
        <f>'M2'!F42-'M1'!F42</f>
        <v>0.13954</v>
      </c>
      <c r="G42" s="66">
        <f>'M2'!G42-'M1'!G42</f>
        <v>0</v>
      </c>
      <c r="H42" s="66">
        <f>'M2'!H42-'M1'!H42</f>
        <v>9.4646000000000008E-2</v>
      </c>
    </row>
    <row r="43" spans="1:8">
      <c r="A43" s="66" t="s">
        <v>86</v>
      </c>
      <c r="B43" s="66">
        <f>'M2'!B43-'M1'!B43</f>
        <v>3.6519999999999997E-2</v>
      </c>
      <c r="C43" s="66">
        <f>'M2'!C43-'M1'!C43</f>
        <v>-1.9631200000000001E-2</v>
      </c>
      <c r="D43" s="66">
        <f>'M2'!D43-'M1'!D43</f>
        <v>3.8076999999999972E-2</v>
      </c>
      <c r="E43" s="66">
        <f>'M2'!E43-'M1'!E43</f>
        <v>0</v>
      </c>
      <c r="F43" s="66">
        <f>'M2'!F43-'M1'!F43</f>
        <v>4.0001000000000009E-2</v>
      </c>
      <c r="G43" s="66">
        <f>'M2'!G43-'M1'!G43</f>
        <v>0</v>
      </c>
      <c r="H43" s="66">
        <f>'M2'!H43-'M1'!H43</f>
        <v>2.583000000000002E-3</v>
      </c>
    </row>
    <row r="44" spans="1:8">
      <c r="A44" s="66" t="s">
        <v>87</v>
      </c>
      <c r="B44" s="66">
        <f>'M2'!B44-'M1'!B44</f>
        <v>-12.6038763</v>
      </c>
      <c r="C44" s="66">
        <f>'M2'!C44-'M1'!C44</f>
        <v>6.0430700000000002</v>
      </c>
      <c r="D44" s="66">
        <f>'M2'!D44-'M1'!D44</f>
        <v>-47.026685000000001</v>
      </c>
      <c r="E44" s="66">
        <f>'M2'!E44-'M1'!E44</f>
        <v>0</v>
      </c>
      <c r="F44" s="66">
        <f>'M2'!F44-'M1'!F44</f>
        <v>-21.62285</v>
      </c>
      <c r="G44" s="66">
        <f>'M2'!G44-'M1'!G44</f>
        <v>0</v>
      </c>
      <c r="H44" s="66">
        <f>'M2'!H44-'M1'!H44</f>
        <v>3.7051600000000002</v>
      </c>
    </row>
    <row r="45" spans="1:8">
      <c r="A45" s="66" t="s">
        <v>88</v>
      </c>
      <c r="B45" s="66">
        <f>'M2'!B45-'M1'!B45</f>
        <v>-4.7884999999999991</v>
      </c>
      <c r="C45" s="66">
        <f>'M2'!C45-'M1'!C45</f>
        <v>1.79718</v>
      </c>
      <c r="D45" s="66">
        <f>'M2'!D45-'M1'!D45</f>
        <v>5.7540999999999981E-2</v>
      </c>
      <c r="E45" s="66">
        <f>'M2'!E45-'M1'!E45</f>
        <v>0</v>
      </c>
      <c r="F45" s="66">
        <f>'M2'!F45-'M1'!F45</f>
        <v>-5.6940999999999988</v>
      </c>
      <c r="G45" s="66">
        <f>'M2'!G45-'M1'!G45</f>
        <v>0</v>
      </c>
      <c r="H45" s="66">
        <f>'M2'!H45-'M1'!H45</f>
        <v>3.1958999999999946</v>
      </c>
    </row>
    <row r="46" spans="1:8">
      <c r="A46" s="66" t="s">
        <v>89</v>
      </c>
      <c r="B46" s="66">
        <f>'M2'!B46-'M1'!B46</f>
        <v>4.6311999999999998</v>
      </c>
      <c r="C46" s="66">
        <f>'M2'!C46-'M1'!C46</f>
        <v>-2.03451</v>
      </c>
      <c r="D46" s="66">
        <f>'M2'!D46-'M1'!D46</f>
        <v>-0.10297900000000001</v>
      </c>
      <c r="E46" s="66">
        <f>'M2'!E46-'M1'!E46</f>
        <v>0</v>
      </c>
      <c r="F46" s="66">
        <f>'M2'!F46-'M1'!F46</f>
        <v>13.822900000000001</v>
      </c>
      <c r="G46" s="66">
        <f>'M2'!G46-'M1'!G46</f>
        <v>0</v>
      </c>
      <c r="H46" s="66">
        <f>'M2'!H46-'M1'!H46</f>
        <v>6.4975999999999985</v>
      </c>
    </row>
    <row r="47" spans="1:8">
      <c r="A47" s="66" t="s">
        <v>90</v>
      </c>
      <c r="B47" s="66">
        <f>'M2'!B47-'M1'!B47</f>
        <v>0.68236000000000008</v>
      </c>
      <c r="C47" s="66">
        <f>'M2'!C47-'M1'!C47</f>
        <v>0.80055899999999991</v>
      </c>
      <c r="D47" s="66">
        <f>'M2'!D47-'M1'!D47</f>
        <v>0.20471799999999996</v>
      </c>
      <c r="E47" s="66">
        <f>'M2'!E47-'M1'!E47</f>
        <v>0</v>
      </c>
      <c r="F47" s="66">
        <f>'M2'!F47-'M1'!F47</f>
        <v>-5.2010000000000112E-3</v>
      </c>
      <c r="G47" s="66">
        <f>'M2'!G47-'M1'!G47</f>
        <v>0</v>
      </c>
      <c r="H47" s="66">
        <f>'M2'!H47-'M1'!H47</f>
        <v>4.5606200000000001</v>
      </c>
    </row>
    <row r="48" spans="1:8">
      <c r="A48" s="66" t="s">
        <v>91</v>
      </c>
      <c r="B48" s="66">
        <f>'M2'!B48-'M1'!B48</f>
        <v>0.16579400000000011</v>
      </c>
      <c r="C48" s="66">
        <f>'M2'!C48-'M1'!C48</f>
        <v>-2.6794999999999985E-2</v>
      </c>
      <c r="D48" s="66">
        <f>'M2'!D48-'M1'!D48</f>
        <v>-5.0434999999999994E-2</v>
      </c>
      <c r="E48" s="66">
        <f>'M2'!E48-'M1'!E48</f>
        <v>0</v>
      </c>
      <c r="F48" s="66">
        <f>'M2'!F48-'M1'!F48</f>
        <v>-2.2067999999999977E-2</v>
      </c>
      <c r="G48" s="66">
        <f>'M2'!G48-'M1'!G48</f>
        <v>0</v>
      </c>
      <c r="H48" s="66">
        <f>'M2'!H48-'M1'!H48</f>
        <v>-3.2989999999999853E-2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30.655799999999999</v>
      </c>
      <c r="C5" s="66">
        <v>4.78606</v>
      </c>
      <c r="D5" s="66">
        <v>15.6122</v>
      </c>
      <c r="E5" s="66">
        <v>20</v>
      </c>
      <c r="F5" s="66">
        <v>14.644299999999999</v>
      </c>
      <c r="G5" s="66">
        <v>50</v>
      </c>
      <c r="H5" s="66">
        <v>34.257899999999999</v>
      </c>
    </row>
    <row r="6" spans="1:8">
      <c r="A6" s="66" t="s">
        <v>358</v>
      </c>
      <c r="B6" s="66">
        <v>22.3705</v>
      </c>
      <c r="C6" s="66">
        <v>1.91981</v>
      </c>
      <c r="D6" s="66">
        <v>8.5818700000000003</v>
      </c>
      <c r="E6" s="66">
        <v>20</v>
      </c>
      <c r="F6" s="66">
        <v>18.642600000000002</v>
      </c>
      <c r="G6" s="66">
        <v>40</v>
      </c>
      <c r="H6" s="66">
        <v>27.218599999999999</v>
      </c>
    </row>
    <row r="7" spans="1:8">
      <c r="A7" s="66" t="s">
        <v>359</v>
      </c>
      <c r="B7" s="66">
        <v>21.022099999999998</v>
      </c>
      <c r="C7" s="66">
        <v>7.4077500000000001</v>
      </c>
      <c r="D7" s="66">
        <v>35.237900000000003</v>
      </c>
      <c r="E7" s="66">
        <v>15</v>
      </c>
      <c r="F7" s="66">
        <v>11.123100000000001</v>
      </c>
      <c r="G7" s="66">
        <v>40</v>
      </c>
      <c r="H7" s="66">
        <v>42.609499999999997</v>
      </c>
    </row>
    <row r="8" spans="1:8">
      <c r="A8" s="66" t="s">
        <v>360</v>
      </c>
      <c r="B8" s="66">
        <v>23.441500000000001</v>
      </c>
      <c r="C8" s="66">
        <v>1.9584600000000001</v>
      </c>
      <c r="D8" s="66">
        <v>8.3546600000000009</v>
      </c>
      <c r="E8" s="66">
        <v>20</v>
      </c>
      <c r="F8" s="66">
        <v>20.545500000000001</v>
      </c>
      <c r="G8" s="66">
        <v>50</v>
      </c>
      <c r="H8" s="66">
        <v>28.912500000000001</v>
      </c>
    </row>
    <row r="9" spans="1:8">
      <c r="A9" s="66" t="s">
        <v>361</v>
      </c>
      <c r="B9" s="66">
        <v>69.7834</v>
      </c>
      <c r="C9" s="66">
        <v>7.68919</v>
      </c>
      <c r="D9" s="66">
        <v>11.018599999999999</v>
      </c>
      <c r="E9" s="66">
        <v>50</v>
      </c>
      <c r="F9" s="66">
        <v>51.515700000000002</v>
      </c>
      <c r="G9" s="66">
        <v>100</v>
      </c>
      <c r="H9" s="66">
        <v>79.511300000000006</v>
      </c>
    </row>
    <row r="10" spans="1:8">
      <c r="A10" s="66" t="s">
        <v>362</v>
      </c>
      <c r="B10" s="66">
        <v>84.718199999999996</v>
      </c>
      <c r="C10" s="66">
        <v>2.6270799999999999</v>
      </c>
      <c r="D10" s="66">
        <v>3.1009600000000002</v>
      </c>
      <c r="E10" s="66">
        <v>40</v>
      </c>
      <c r="F10" s="66">
        <v>79.337999999999994</v>
      </c>
      <c r="G10" s="66">
        <v>100</v>
      </c>
      <c r="H10" s="66">
        <v>89.661100000000005</v>
      </c>
    </row>
    <row r="11" spans="1:8">
      <c r="A11" s="66" t="s">
        <v>363</v>
      </c>
      <c r="B11" s="66">
        <v>16.825800000000001</v>
      </c>
      <c r="C11" s="66">
        <v>2.1924899999999998</v>
      </c>
      <c r="D11" s="66">
        <v>13.0305</v>
      </c>
      <c r="E11" s="66">
        <v>10</v>
      </c>
      <c r="F11" s="66">
        <v>11.3764</v>
      </c>
      <c r="G11" s="66">
        <v>50</v>
      </c>
      <c r="H11" s="66">
        <v>22.9497</v>
      </c>
    </row>
    <row r="12" spans="1:8">
      <c r="A12" s="66" t="s">
        <v>364</v>
      </c>
      <c r="B12" s="66">
        <v>77.320400000000006</v>
      </c>
      <c r="C12" s="66">
        <v>4.8746099999999997</v>
      </c>
      <c r="D12" s="66">
        <v>6.30443</v>
      </c>
      <c r="E12" s="66">
        <v>50</v>
      </c>
      <c r="F12" s="66">
        <v>66.978099999999998</v>
      </c>
      <c r="G12" s="66">
        <v>100</v>
      </c>
      <c r="H12" s="66">
        <v>84.357699999999994</v>
      </c>
    </row>
    <row r="13" spans="1:8">
      <c r="A13" s="66" t="s">
        <v>365</v>
      </c>
      <c r="B13" s="66">
        <v>18.052099999999999</v>
      </c>
      <c r="C13" s="66">
        <v>2.9735999999999998</v>
      </c>
      <c r="D13" s="66">
        <v>16.472300000000001</v>
      </c>
      <c r="E13" s="66">
        <v>10</v>
      </c>
      <c r="F13" s="66">
        <v>14.936199999999999</v>
      </c>
      <c r="G13" s="66">
        <v>25</v>
      </c>
      <c r="H13" s="66">
        <v>28.476099999999999</v>
      </c>
    </row>
    <row r="14" spans="1:8">
      <c r="A14" s="66" t="s">
        <v>366</v>
      </c>
      <c r="B14" s="66">
        <v>29.736000000000001</v>
      </c>
      <c r="C14" s="66">
        <v>8.7887900000000005</v>
      </c>
      <c r="D14" s="66">
        <v>29.556000000000001</v>
      </c>
      <c r="E14" s="66">
        <v>10</v>
      </c>
      <c r="F14" s="66">
        <v>2.7945700000000002</v>
      </c>
      <c r="G14" s="66">
        <v>50</v>
      </c>
      <c r="H14" s="66">
        <v>33.7453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0.53046099999999996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0.51975800000000005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1.79816E-3</v>
      </c>
      <c r="C20" s="66">
        <v>1.4776299999999999E-2</v>
      </c>
      <c r="D20" s="66">
        <v>8.2174600000000009</v>
      </c>
      <c r="E20" s="66">
        <v>0</v>
      </c>
      <c r="F20" s="66">
        <v>0</v>
      </c>
      <c r="G20" s="66">
        <v>0</v>
      </c>
      <c r="H20" s="66">
        <v>0.119951</v>
      </c>
    </row>
    <row r="21" spans="1:8">
      <c r="A21" s="66" t="s">
        <v>373</v>
      </c>
      <c r="B21" s="66">
        <v>0.155191</v>
      </c>
      <c r="C21" s="66">
        <v>0.300176</v>
      </c>
      <c r="D21" s="66">
        <v>1.93424</v>
      </c>
      <c r="E21" s="66">
        <v>0</v>
      </c>
      <c r="F21" s="66">
        <v>1.9131300000000001E-3</v>
      </c>
      <c r="G21" s="66">
        <v>0</v>
      </c>
      <c r="H21" s="66">
        <v>1.4007700000000001</v>
      </c>
    </row>
    <row r="22" spans="1:8">
      <c r="A22" s="66" t="s">
        <v>374</v>
      </c>
      <c r="B22" s="66">
        <v>41.370800000000003</v>
      </c>
      <c r="C22" s="66">
        <v>14.085100000000001</v>
      </c>
      <c r="D22" s="66">
        <v>0.34045999999999998</v>
      </c>
      <c r="E22" s="66">
        <v>0</v>
      </c>
      <c r="F22" s="66">
        <v>25.971299999999999</v>
      </c>
      <c r="G22" s="66">
        <v>0</v>
      </c>
      <c r="H22" s="66">
        <v>79.055000000000007</v>
      </c>
    </row>
    <row r="23" spans="1:8">
      <c r="A23" s="66" t="s">
        <v>375</v>
      </c>
      <c r="B23" s="66">
        <v>13.8773</v>
      </c>
      <c r="C23" s="66">
        <v>3.4336700000000002</v>
      </c>
      <c r="D23" s="66">
        <v>0.24743000000000001</v>
      </c>
      <c r="E23" s="66">
        <v>0</v>
      </c>
      <c r="F23" s="66">
        <v>10.6905</v>
      </c>
      <c r="G23" s="66">
        <v>0</v>
      </c>
      <c r="H23" s="66">
        <v>23.7394</v>
      </c>
    </row>
    <row r="24" spans="1:8">
      <c r="A24" s="66" t="s">
        <v>376</v>
      </c>
      <c r="B24" s="66">
        <v>2.5669099999999999E-3</v>
      </c>
      <c r="C24" s="66">
        <v>1.25335E-2</v>
      </c>
      <c r="D24" s="66">
        <v>4.8827199999999999</v>
      </c>
      <c r="E24" s="66">
        <v>0</v>
      </c>
      <c r="F24" s="66">
        <v>1.1127E-4</v>
      </c>
      <c r="G24" s="66">
        <v>0</v>
      </c>
      <c r="H24" s="66">
        <v>9.0034600000000006E-2</v>
      </c>
    </row>
    <row r="25" spans="1:8">
      <c r="A25" s="66" t="s">
        <v>377</v>
      </c>
      <c r="B25" s="66">
        <v>0.18604299999999999</v>
      </c>
      <c r="C25" s="66">
        <v>0.20796899999999999</v>
      </c>
      <c r="D25" s="66">
        <v>1.1178600000000001</v>
      </c>
      <c r="E25" s="66">
        <v>0</v>
      </c>
      <c r="F25" s="66">
        <v>3.8085099999999997E-2</v>
      </c>
      <c r="G25" s="66">
        <v>0</v>
      </c>
      <c r="H25" s="66">
        <v>0.78122199999999997</v>
      </c>
    </row>
    <row r="26" spans="1:8">
      <c r="A26" s="66" t="s">
        <v>378</v>
      </c>
      <c r="B26" s="66">
        <v>5.0879699999999996E-4</v>
      </c>
      <c r="C26" s="66">
        <v>2.0099599999999999E-3</v>
      </c>
      <c r="D26" s="66">
        <v>3.9504100000000002</v>
      </c>
      <c r="E26" s="66">
        <v>0</v>
      </c>
      <c r="F26" s="66">
        <v>0</v>
      </c>
      <c r="G26" s="66">
        <v>0</v>
      </c>
      <c r="H26" s="66">
        <v>1.38262E-2</v>
      </c>
    </row>
    <row r="27" spans="1:8">
      <c r="A27" s="66" t="s">
        <v>379</v>
      </c>
      <c r="B27" s="196">
        <v>3.2825599999999999E-6</v>
      </c>
      <c r="C27" s="66">
        <v>6.0874900000000001E-4</v>
      </c>
      <c r="D27" s="66">
        <v>185.44900000000001</v>
      </c>
      <c r="E27" s="66">
        <v>0</v>
      </c>
      <c r="F27" s="66">
        <v>-3.0659099999999998E-3</v>
      </c>
      <c r="G27" s="66">
        <v>0</v>
      </c>
      <c r="H27" s="66">
        <v>3.3777600000000001E-3</v>
      </c>
    </row>
    <row r="28" spans="1:8">
      <c r="A28" s="66" t="s">
        <v>380</v>
      </c>
      <c r="B28" s="66">
        <v>1.96875E-2</v>
      </c>
      <c r="C28" s="66">
        <v>2.31424E-2</v>
      </c>
      <c r="D28" s="66">
        <v>1.1754899999999999</v>
      </c>
      <c r="E28" s="66">
        <v>0</v>
      </c>
      <c r="F28" s="66">
        <v>4.36198E-4</v>
      </c>
      <c r="G28" s="66">
        <v>0</v>
      </c>
      <c r="H28" s="66">
        <v>9.9335900000000005E-2</v>
      </c>
    </row>
    <row r="29" spans="1:8">
      <c r="A29" s="66" t="s">
        <v>381</v>
      </c>
      <c r="B29" s="66">
        <v>73.631200000000007</v>
      </c>
      <c r="C29" s="66">
        <v>10.418100000000001</v>
      </c>
      <c r="D29" s="66">
        <v>0.14149100000000001</v>
      </c>
      <c r="E29" s="66">
        <v>0</v>
      </c>
      <c r="F29" s="66">
        <v>55.378500000000003</v>
      </c>
      <c r="G29" s="66">
        <v>0</v>
      </c>
      <c r="H29" s="66">
        <v>100.98699999999999</v>
      </c>
    </row>
    <row r="30" spans="1:8">
      <c r="A30" s="66" t="s">
        <v>382</v>
      </c>
      <c r="B30" s="66">
        <v>19.994599999999998</v>
      </c>
      <c r="C30" s="66">
        <v>4.3799599999999996</v>
      </c>
      <c r="D30" s="66">
        <v>0.219057</v>
      </c>
      <c r="E30" s="66">
        <v>0</v>
      </c>
      <c r="F30" s="66">
        <v>12.9221</v>
      </c>
      <c r="G30" s="66">
        <v>0</v>
      </c>
      <c r="H30" s="66">
        <v>30.893799999999999</v>
      </c>
    </row>
    <row r="31" spans="1:8">
      <c r="A31" s="66" t="s">
        <v>383</v>
      </c>
      <c r="B31" s="66">
        <v>83.878699999999995</v>
      </c>
      <c r="C31" s="66">
        <v>11.388199999999999</v>
      </c>
      <c r="D31" s="66">
        <v>0.135769</v>
      </c>
      <c r="E31" s="66">
        <v>0</v>
      </c>
      <c r="F31" s="66">
        <v>74.339600000000004</v>
      </c>
      <c r="G31" s="66">
        <v>0</v>
      </c>
      <c r="H31" s="66">
        <v>114.79600000000001</v>
      </c>
    </row>
    <row r="32" spans="1:8">
      <c r="A32" s="66" t="s">
        <v>384</v>
      </c>
      <c r="B32" s="66">
        <v>0.21022099999999999</v>
      </c>
      <c r="C32" s="66">
        <v>7.4077500000000004E-2</v>
      </c>
      <c r="D32" s="66">
        <v>0.352379</v>
      </c>
      <c r="E32" s="66">
        <v>0.15</v>
      </c>
      <c r="F32" s="66">
        <v>0.111231</v>
      </c>
      <c r="G32" s="66">
        <v>0.4</v>
      </c>
      <c r="H32" s="66">
        <v>0.426095</v>
      </c>
    </row>
    <row r="33" spans="1:8">
      <c r="A33" s="66" t="s">
        <v>385</v>
      </c>
      <c r="B33" s="66">
        <v>0.311394</v>
      </c>
      <c r="C33" s="66">
        <v>3.0378100000000002E-2</v>
      </c>
      <c r="D33" s="66">
        <v>9.7555100000000006E-2</v>
      </c>
      <c r="E33" s="66">
        <v>0</v>
      </c>
      <c r="F33" s="66">
        <v>0.228071</v>
      </c>
      <c r="G33" s="66">
        <v>0</v>
      </c>
      <c r="H33" s="66">
        <v>0.36764200000000002</v>
      </c>
    </row>
    <row r="34" spans="1:8">
      <c r="A34" s="66" t="s">
        <v>386</v>
      </c>
      <c r="B34" s="66">
        <v>0.18052099999999999</v>
      </c>
      <c r="C34" s="66">
        <v>2.9735999999999999E-2</v>
      </c>
      <c r="D34" s="66">
        <v>0.16472300000000001</v>
      </c>
      <c r="E34" s="66">
        <v>0.1</v>
      </c>
      <c r="F34" s="66">
        <v>0.14936199999999999</v>
      </c>
      <c r="G34" s="66">
        <v>0.25</v>
      </c>
      <c r="H34" s="66">
        <v>0.28476099999999999</v>
      </c>
    </row>
    <row r="35" spans="1:8">
      <c r="A35" s="66" t="s">
        <v>387</v>
      </c>
      <c r="B35" s="66">
        <v>7.4770299999999998E-2</v>
      </c>
      <c r="C35" s="66">
        <v>2.0303100000000001E-2</v>
      </c>
      <c r="D35" s="66">
        <v>0.27154</v>
      </c>
      <c r="E35" s="66">
        <v>0</v>
      </c>
      <c r="F35" s="66">
        <v>4.55466E-2</v>
      </c>
      <c r="G35" s="66">
        <v>0</v>
      </c>
      <c r="H35" s="66">
        <v>0.12156699999999999</v>
      </c>
    </row>
    <row r="36" spans="1:8">
      <c r="A36" s="66" t="s">
        <v>388</v>
      </c>
      <c r="B36" s="66">
        <v>0.15706999999999999</v>
      </c>
      <c r="C36" s="66">
        <v>8.5892099999999999E-2</v>
      </c>
      <c r="D36" s="66">
        <v>0.54683899999999996</v>
      </c>
      <c r="E36" s="66">
        <v>0</v>
      </c>
      <c r="F36" s="66">
        <v>4.3612400000000003E-2</v>
      </c>
      <c r="G36" s="66">
        <v>0</v>
      </c>
      <c r="H36" s="66">
        <v>0.45193699999999998</v>
      </c>
    </row>
    <row r="37" spans="1:8">
      <c r="A37" s="66" t="s">
        <v>389</v>
      </c>
      <c r="B37" s="66">
        <v>0.29736000000000001</v>
      </c>
      <c r="C37" s="66">
        <v>8.7887900000000005E-2</v>
      </c>
      <c r="D37" s="66">
        <v>0.29555999999999999</v>
      </c>
      <c r="E37" s="66">
        <v>0.1</v>
      </c>
      <c r="F37" s="66">
        <v>2.79457E-2</v>
      </c>
      <c r="G37" s="66">
        <v>0.5</v>
      </c>
      <c r="H37" s="66">
        <v>0.337453</v>
      </c>
    </row>
    <row r="38" spans="1:8">
      <c r="A38" s="66" t="s">
        <v>390</v>
      </c>
      <c r="B38" s="66">
        <v>-9.5870800000000003</v>
      </c>
      <c r="C38" s="66">
        <v>37.607900000000001</v>
      </c>
      <c r="D38" s="66">
        <v>-3.9227699999999999</v>
      </c>
      <c r="E38" s="66">
        <v>0</v>
      </c>
      <c r="F38" s="66">
        <v>-137.87799999999999</v>
      </c>
      <c r="G38" s="66">
        <v>0</v>
      </c>
      <c r="H38" s="66">
        <v>143.36000000000001</v>
      </c>
    </row>
    <row r="39" spans="1:8">
      <c r="A39" s="66" t="s">
        <v>391</v>
      </c>
      <c r="B39" s="66">
        <v>-3.8106399999999998</v>
      </c>
      <c r="C39" s="66">
        <v>5.3816600000000001</v>
      </c>
      <c r="D39" s="66">
        <v>-1.4122699999999999</v>
      </c>
      <c r="E39" s="66">
        <v>0</v>
      </c>
      <c r="F39" s="66">
        <v>-21.470700000000001</v>
      </c>
      <c r="G39" s="66">
        <v>0</v>
      </c>
      <c r="H39" s="66">
        <v>11.797599999999999</v>
      </c>
    </row>
    <row r="40" spans="1:8">
      <c r="A40" s="66" t="s">
        <v>392</v>
      </c>
      <c r="B40" s="66">
        <v>-3.0550899999999999</v>
      </c>
      <c r="C40" s="66">
        <v>1.94537</v>
      </c>
      <c r="D40" s="66">
        <v>-0.63676200000000005</v>
      </c>
      <c r="E40" s="66">
        <v>0</v>
      </c>
      <c r="F40" s="66">
        <v>-7.2449000000000003</v>
      </c>
      <c r="G40" s="66">
        <v>0</v>
      </c>
      <c r="H40" s="66">
        <v>-0.45350099999999999</v>
      </c>
    </row>
    <row r="41" spans="1:8">
      <c r="A41" s="66" t="s">
        <v>393</v>
      </c>
      <c r="B41" s="66">
        <v>-6.2123699999999997E-2</v>
      </c>
      <c r="C41" s="66">
        <v>0.25788100000000003</v>
      </c>
      <c r="D41" s="66">
        <v>-4.1510899999999999</v>
      </c>
      <c r="E41" s="66">
        <v>0</v>
      </c>
      <c r="F41" s="66">
        <v>-1</v>
      </c>
      <c r="G41" s="66">
        <v>0</v>
      </c>
      <c r="H41" s="66">
        <v>0.75342500000000001</v>
      </c>
    </row>
    <row r="42" spans="1:8">
      <c r="A42" s="66" t="s">
        <v>394</v>
      </c>
      <c r="B42" s="66">
        <v>-0.106437</v>
      </c>
      <c r="C42" s="66">
        <v>0.10281700000000001</v>
      </c>
      <c r="D42" s="66">
        <v>-0.96599699999999999</v>
      </c>
      <c r="E42" s="66">
        <v>0</v>
      </c>
      <c r="F42" s="66">
        <v>-0.44303999999999999</v>
      </c>
      <c r="G42" s="66">
        <v>0</v>
      </c>
      <c r="H42" s="66">
        <v>0.14599899999999999</v>
      </c>
    </row>
    <row r="43" spans="1:8">
      <c r="A43" s="66" t="s">
        <v>395</v>
      </c>
      <c r="B43" s="66">
        <v>-0.201959</v>
      </c>
      <c r="C43" s="66">
        <v>7.3725499999999999E-2</v>
      </c>
      <c r="D43" s="66">
        <v>-0.36505199999999999</v>
      </c>
      <c r="E43" s="66">
        <v>0</v>
      </c>
      <c r="F43" s="66">
        <v>-0.31467699999999998</v>
      </c>
      <c r="G43" s="66">
        <v>0</v>
      </c>
      <c r="H43" s="66">
        <v>-5.4847300000000002E-2</v>
      </c>
    </row>
    <row r="44" spans="1:8">
      <c r="A44" s="66" t="s">
        <v>396</v>
      </c>
      <c r="B44" s="66">
        <v>7.0976300000000006E-2</v>
      </c>
      <c r="C44" s="66">
        <v>3.2849499999999998</v>
      </c>
      <c r="D44" s="66">
        <v>46.282400000000003</v>
      </c>
      <c r="E44" s="66">
        <v>0</v>
      </c>
      <c r="F44" s="66">
        <v>-8.1207499999999992</v>
      </c>
      <c r="G44" s="66">
        <v>0</v>
      </c>
      <c r="H44" s="66">
        <v>7.1865399999999999</v>
      </c>
    </row>
    <row r="45" spans="1:8">
      <c r="A45" s="66" t="s">
        <v>397</v>
      </c>
      <c r="B45" s="66">
        <v>48.029499999999999</v>
      </c>
      <c r="C45" s="66">
        <v>6.9303800000000004</v>
      </c>
      <c r="D45" s="66">
        <v>0.14429400000000001</v>
      </c>
      <c r="E45" s="66">
        <v>0</v>
      </c>
      <c r="F45" s="66">
        <v>34.7898</v>
      </c>
      <c r="G45" s="66">
        <v>0</v>
      </c>
      <c r="H45" s="66">
        <v>64.1999</v>
      </c>
    </row>
    <row r="46" spans="1:8">
      <c r="A46" s="66" t="s">
        <v>398</v>
      </c>
      <c r="B46" s="66">
        <v>22.661899999999999</v>
      </c>
      <c r="C46" s="66">
        <v>3.7978100000000001</v>
      </c>
      <c r="D46" s="66">
        <v>0.16758500000000001</v>
      </c>
      <c r="E46" s="66">
        <v>0</v>
      </c>
      <c r="F46" s="66">
        <v>10.117699999999999</v>
      </c>
      <c r="G46" s="66">
        <v>0</v>
      </c>
      <c r="H46" s="66">
        <v>24.3934</v>
      </c>
    </row>
    <row r="47" spans="1:8">
      <c r="A47" s="66" t="s">
        <v>399</v>
      </c>
      <c r="B47" s="66">
        <v>1.0841799999999999</v>
      </c>
      <c r="C47" s="66">
        <v>0.69739099999999998</v>
      </c>
      <c r="D47" s="66">
        <v>0.64324000000000003</v>
      </c>
      <c r="E47" s="66">
        <v>0</v>
      </c>
      <c r="F47" s="66">
        <v>0.46910000000000002</v>
      </c>
      <c r="G47" s="66">
        <v>0</v>
      </c>
      <c r="H47" s="66">
        <v>3.23495</v>
      </c>
    </row>
    <row r="48" spans="1:8">
      <c r="A48" s="66" t="s">
        <v>400</v>
      </c>
      <c r="B48" s="66">
        <v>0.93796599999999997</v>
      </c>
      <c r="C48" s="66">
        <v>0.16334599999999999</v>
      </c>
      <c r="D48" s="66">
        <v>0.174149</v>
      </c>
      <c r="E48" s="66">
        <v>0</v>
      </c>
      <c r="F48" s="66">
        <v>0.703484</v>
      </c>
      <c r="G48" s="66">
        <v>0</v>
      </c>
      <c r="H48" s="66">
        <v>1.3878699999999999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41.150500000000001</v>
      </c>
      <c r="C5" s="66">
        <v>3.3492899999999999</v>
      </c>
      <c r="D5" s="66">
        <v>8.1391200000000001</v>
      </c>
      <c r="E5" s="66">
        <v>20</v>
      </c>
      <c r="F5" s="66">
        <v>33.485399999999998</v>
      </c>
      <c r="G5" s="66">
        <v>50</v>
      </c>
      <c r="H5" s="66">
        <v>48.195399999999999</v>
      </c>
    </row>
    <row r="6" spans="1:8">
      <c r="A6" s="66" t="s">
        <v>358</v>
      </c>
      <c r="B6" s="66">
        <v>26.800599999999999</v>
      </c>
      <c r="C6" s="66">
        <v>3.4058600000000001</v>
      </c>
      <c r="D6" s="66">
        <v>12.7081</v>
      </c>
      <c r="E6" s="66">
        <v>20</v>
      </c>
      <c r="F6" s="66">
        <v>18.875599999999999</v>
      </c>
      <c r="G6" s="66">
        <v>40</v>
      </c>
      <c r="H6" s="66">
        <v>29.896799999999999</v>
      </c>
    </row>
    <row r="7" spans="1:8">
      <c r="A7" s="66" t="s">
        <v>359</v>
      </c>
      <c r="B7" s="66">
        <v>15.1455</v>
      </c>
      <c r="C7" s="66">
        <v>7.5125999999999999</v>
      </c>
      <c r="D7" s="66">
        <v>49.603000000000002</v>
      </c>
      <c r="E7" s="66">
        <v>15</v>
      </c>
      <c r="F7" s="66">
        <v>6.8802399999999997</v>
      </c>
      <c r="G7" s="66">
        <v>40</v>
      </c>
      <c r="H7" s="66">
        <v>39.453000000000003</v>
      </c>
    </row>
    <row r="8" spans="1:8">
      <c r="A8" s="66" t="s">
        <v>360</v>
      </c>
      <c r="B8" s="66">
        <v>27.364599999999999</v>
      </c>
      <c r="C8" s="66">
        <v>3.0677500000000002</v>
      </c>
      <c r="D8" s="66">
        <v>11.210599999999999</v>
      </c>
      <c r="E8" s="66">
        <v>20</v>
      </c>
      <c r="F8" s="66">
        <v>22.342600000000001</v>
      </c>
      <c r="G8" s="66">
        <v>50</v>
      </c>
      <c r="H8" s="66">
        <v>34.719700000000003</v>
      </c>
    </row>
    <row r="9" spans="1:8">
      <c r="A9" s="66" t="s">
        <v>361</v>
      </c>
      <c r="B9" s="66">
        <v>69.509200000000007</v>
      </c>
      <c r="C9" s="66">
        <v>4.9389000000000003</v>
      </c>
      <c r="D9" s="66">
        <v>7.1053899999999999</v>
      </c>
      <c r="E9" s="66">
        <v>50</v>
      </c>
      <c r="F9" s="66">
        <v>55.872799999999998</v>
      </c>
      <c r="G9" s="66">
        <v>100</v>
      </c>
      <c r="H9" s="66">
        <v>77.965500000000006</v>
      </c>
    </row>
    <row r="10" spans="1:8">
      <c r="A10" s="66" t="s">
        <v>362</v>
      </c>
      <c r="B10" s="66">
        <v>77.090199999999996</v>
      </c>
      <c r="C10" s="66">
        <v>3.47498</v>
      </c>
      <c r="D10" s="66">
        <v>4.5076799999999997</v>
      </c>
      <c r="E10" s="66">
        <v>40</v>
      </c>
      <c r="F10" s="66">
        <v>73.152500000000003</v>
      </c>
      <c r="G10" s="66">
        <v>100</v>
      </c>
      <c r="H10" s="66">
        <v>83.557500000000005</v>
      </c>
    </row>
    <row r="11" spans="1:8">
      <c r="A11" s="66" t="s">
        <v>363</v>
      </c>
      <c r="B11" s="66">
        <v>27.461099999999998</v>
      </c>
      <c r="C11" s="66">
        <v>2.66995</v>
      </c>
      <c r="D11" s="66">
        <v>9.7226700000000008</v>
      </c>
      <c r="E11" s="66">
        <v>10</v>
      </c>
      <c r="F11" s="66">
        <v>22.081</v>
      </c>
      <c r="G11" s="66">
        <v>50</v>
      </c>
      <c r="H11" s="66">
        <v>31.083300000000001</v>
      </c>
    </row>
    <row r="12" spans="1:8">
      <c r="A12" s="66" t="s">
        <v>364</v>
      </c>
      <c r="B12" s="66">
        <v>72.705399999999997</v>
      </c>
      <c r="C12" s="66">
        <v>3.5326599999999999</v>
      </c>
      <c r="D12" s="66">
        <v>4.85886</v>
      </c>
      <c r="E12" s="66">
        <v>50</v>
      </c>
      <c r="F12" s="66">
        <v>66.480800000000002</v>
      </c>
      <c r="G12" s="66">
        <v>100</v>
      </c>
      <c r="H12" s="66">
        <v>80.3048</v>
      </c>
    </row>
    <row r="13" spans="1:8">
      <c r="A13" s="66" t="s">
        <v>365</v>
      </c>
      <c r="B13" s="66">
        <v>20.2163</v>
      </c>
      <c r="C13" s="66">
        <v>2.6212399999999998</v>
      </c>
      <c r="D13" s="66">
        <v>12.965999999999999</v>
      </c>
      <c r="E13" s="66">
        <v>10</v>
      </c>
      <c r="F13" s="66">
        <v>15.692500000000001</v>
      </c>
      <c r="G13" s="66">
        <v>25</v>
      </c>
      <c r="H13" s="66">
        <v>27.871099999999998</v>
      </c>
    </row>
    <row r="14" spans="1:8">
      <c r="A14" s="66" t="s">
        <v>366</v>
      </c>
      <c r="B14" s="66">
        <v>26.212399999999999</v>
      </c>
      <c r="C14" s="66">
        <v>11.0807</v>
      </c>
      <c r="D14" s="66">
        <v>42.2727</v>
      </c>
      <c r="E14" s="66">
        <v>10</v>
      </c>
      <c r="F14" s="66">
        <v>2.4518300000000002</v>
      </c>
      <c r="G14" s="66">
        <v>50</v>
      </c>
      <c r="H14" s="66">
        <v>33.966000000000001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0.64782799999999996</v>
      </c>
      <c r="C18" s="66">
        <v>3.8656900000000002E-3</v>
      </c>
      <c r="D18" s="66">
        <v>5.9671500000000001E-3</v>
      </c>
      <c r="E18" s="66">
        <v>0</v>
      </c>
      <c r="F18" s="66">
        <v>0.64396299999999995</v>
      </c>
      <c r="G18" s="66">
        <v>0</v>
      </c>
      <c r="H18" s="66">
        <v>0.651694</v>
      </c>
    </row>
    <row r="19" spans="1:8">
      <c r="A19" s="66" t="s">
        <v>371</v>
      </c>
      <c r="B19" s="66">
        <v>0.67210800000000004</v>
      </c>
      <c r="C19" s="66">
        <v>2.3970700000000001E-2</v>
      </c>
      <c r="D19" s="66">
        <v>3.5665000000000002E-2</v>
      </c>
      <c r="E19" s="66">
        <v>0</v>
      </c>
      <c r="F19" s="66">
        <v>0.64813699999999996</v>
      </c>
      <c r="G19" s="66">
        <v>0</v>
      </c>
      <c r="H19" s="66">
        <v>0.69607799999999997</v>
      </c>
    </row>
    <row r="20" spans="1:8">
      <c r="A20" s="66" t="s">
        <v>372</v>
      </c>
      <c r="B20" s="66">
        <v>8.7846199999999999E-3</v>
      </c>
      <c r="C20" s="66">
        <v>7.3480000000000004E-2</v>
      </c>
      <c r="D20" s="66">
        <v>8.3646200000000004</v>
      </c>
      <c r="E20" s="66">
        <v>0</v>
      </c>
      <c r="F20" s="196">
        <v>2.2707599999999999E-5</v>
      </c>
      <c r="G20" s="66">
        <v>0</v>
      </c>
      <c r="H20" s="66">
        <v>0.48156599999999999</v>
      </c>
    </row>
    <row r="21" spans="1:8">
      <c r="A21" s="66" t="s">
        <v>373</v>
      </c>
      <c r="B21" s="66">
        <v>0.34281499999999998</v>
      </c>
      <c r="C21" s="66">
        <v>0.91758499999999998</v>
      </c>
      <c r="D21" s="66">
        <v>2.6766200000000002</v>
      </c>
      <c r="E21" s="66">
        <v>0</v>
      </c>
      <c r="F21" s="66">
        <v>4.8167100000000001E-3</v>
      </c>
      <c r="G21" s="66">
        <v>0</v>
      </c>
      <c r="H21" s="66">
        <v>3.6999499999999999</v>
      </c>
    </row>
    <row r="22" spans="1:8">
      <c r="A22" s="66" t="s">
        <v>374</v>
      </c>
      <c r="B22" s="66">
        <v>52.473199999999999</v>
      </c>
      <c r="C22" s="66">
        <v>23.610700000000001</v>
      </c>
      <c r="D22" s="66">
        <v>0.44995800000000002</v>
      </c>
      <c r="E22" s="66">
        <v>0</v>
      </c>
      <c r="F22" s="66">
        <v>28.101700000000001</v>
      </c>
      <c r="G22" s="66">
        <v>0</v>
      </c>
      <c r="H22" s="66">
        <v>117.37</v>
      </c>
    </row>
    <row r="23" spans="1:8">
      <c r="A23" s="66" t="s">
        <v>375</v>
      </c>
      <c r="B23" s="66">
        <v>30.047699999999999</v>
      </c>
      <c r="C23" s="66">
        <v>2.9881199999999999</v>
      </c>
      <c r="D23" s="66">
        <v>9.9446000000000007E-2</v>
      </c>
      <c r="E23" s="66">
        <v>0</v>
      </c>
      <c r="F23" s="66">
        <v>24.452100000000002</v>
      </c>
      <c r="G23" s="66">
        <v>0</v>
      </c>
      <c r="H23" s="66">
        <v>36.161700000000003</v>
      </c>
    </row>
    <row r="24" spans="1:8">
      <c r="A24" s="66" t="s">
        <v>376</v>
      </c>
      <c r="B24" s="66">
        <v>1.08448E-2</v>
      </c>
      <c r="C24" s="66">
        <v>6.6205899999999998E-2</v>
      </c>
      <c r="D24" s="66">
        <v>6.1048600000000004</v>
      </c>
      <c r="E24" s="66">
        <v>0</v>
      </c>
      <c r="F24" s="66">
        <v>3.0895400000000001E-4</v>
      </c>
      <c r="G24" s="66">
        <v>0</v>
      </c>
      <c r="H24" s="66">
        <v>0.33470800000000001</v>
      </c>
    </row>
    <row r="25" spans="1:8">
      <c r="A25" s="66" t="s">
        <v>377</v>
      </c>
      <c r="B25" s="66">
        <v>0.54725699999999999</v>
      </c>
      <c r="C25" s="66">
        <v>0.69630700000000001</v>
      </c>
      <c r="D25" s="66">
        <v>1.2723599999999999</v>
      </c>
      <c r="E25" s="66">
        <v>0</v>
      </c>
      <c r="F25" s="66">
        <v>5.3724099999999997E-2</v>
      </c>
      <c r="G25" s="66">
        <v>0</v>
      </c>
      <c r="H25" s="66">
        <v>2.49024</v>
      </c>
    </row>
    <row r="26" spans="1:8">
      <c r="A26" s="66" t="s">
        <v>378</v>
      </c>
      <c r="B26" s="66">
        <v>2.0236999999999998E-3</v>
      </c>
      <c r="C26" s="66">
        <v>8.7587499999999992E-3</v>
      </c>
      <c r="D26" s="66">
        <v>4.3280900000000004</v>
      </c>
      <c r="E26" s="66">
        <v>0</v>
      </c>
      <c r="F26" s="196">
        <v>3.2825599999999999E-6</v>
      </c>
      <c r="G26" s="66">
        <v>0</v>
      </c>
      <c r="H26" s="66">
        <v>4.9523999999999999E-2</v>
      </c>
    </row>
    <row r="27" spans="1:8">
      <c r="A27" s="66" t="s">
        <v>379</v>
      </c>
      <c r="B27" s="196">
        <v>1.31303E-5</v>
      </c>
      <c r="C27" s="66">
        <v>2.24632E-3</v>
      </c>
      <c r="D27" s="66">
        <v>171.08</v>
      </c>
      <c r="E27" s="66">
        <v>0</v>
      </c>
      <c r="F27" s="66">
        <v>-1.7413999999999999E-2</v>
      </c>
      <c r="G27" s="66">
        <v>0</v>
      </c>
      <c r="H27" s="66">
        <v>1.3639E-2</v>
      </c>
    </row>
    <row r="28" spans="1:8">
      <c r="A28" s="66" t="s">
        <v>380</v>
      </c>
      <c r="B28" s="66">
        <v>3.7532599999999999E-2</v>
      </c>
      <c r="C28" s="66">
        <v>5.1584100000000001E-2</v>
      </c>
      <c r="D28" s="66">
        <v>1.3743799999999999</v>
      </c>
      <c r="E28" s="66">
        <v>0</v>
      </c>
      <c r="F28" s="66">
        <v>1.1555999999999999E-3</v>
      </c>
      <c r="G28" s="66">
        <v>0</v>
      </c>
      <c r="H28" s="66">
        <v>0.194408</v>
      </c>
    </row>
    <row r="29" spans="1:8">
      <c r="A29" s="66" t="s">
        <v>381</v>
      </c>
      <c r="B29" s="66">
        <v>78.7483</v>
      </c>
      <c r="C29" s="66">
        <v>11.8102</v>
      </c>
      <c r="D29" s="66">
        <v>0.149973</v>
      </c>
      <c r="E29" s="66">
        <v>0</v>
      </c>
      <c r="F29" s="66">
        <v>43.944800000000001</v>
      </c>
      <c r="G29" s="66">
        <v>0</v>
      </c>
      <c r="H29" s="66">
        <v>110.986</v>
      </c>
    </row>
    <row r="30" spans="1:8">
      <c r="A30" s="66" t="s">
        <v>382</v>
      </c>
      <c r="B30" s="66">
        <v>34.665500000000002</v>
      </c>
      <c r="C30" s="66">
        <v>2.8522699999999999</v>
      </c>
      <c r="D30" s="66">
        <v>8.2279900000000003E-2</v>
      </c>
      <c r="E30" s="66">
        <v>0</v>
      </c>
      <c r="F30" s="66">
        <v>29.558599999999998</v>
      </c>
      <c r="G30" s="66">
        <v>0</v>
      </c>
      <c r="H30" s="66">
        <v>39.631700000000002</v>
      </c>
    </row>
    <row r="31" spans="1:8">
      <c r="A31" s="66" t="s">
        <v>383</v>
      </c>
      <c r="B31" s="66">
        <v>166.72399999999999</v>
      </c>
      <c r="C31" s="66">
        <v>23.031500000000001</v>
      </c>
      <c r="D31" s="66">
        <v>0.13814199999999999</v>
      </c>
      <c r="E31" s="66">
        <v>0</v>
      </c>
      <c r="F31" s="66">
        <v>121.85299999999999</v>
      </c>
      <c r="G31" s="66">
        <v>0</v>
      </c>
      <c r="H31" s="66">
        <v>208.35900000000001</v>
      </c>
    </row>
    <row r="32" spans="1:8">
      <c r="A32" s="66" t="s">
        <v>384</v>
      </c>
      <c r="B32" s="66">
        <v>0.15145500000000001</v>
      </c>
      <c r="C32" s="66">
        <v>7.5125999999999998E-2</v>
      </c>
      <c r="D32" s="66">
        <v>0.49603000000000003</v>
      </c>
      <c r="E32" s="66">
        <v>0.15</v>
      </c>
      <c r="F32" s="66">
        <v>6.88024E-2</v>
      </c>
      <c r="G32" s="66">
        <v>0.4</v>
      </c>
      <c r="H32" s="66">
        <v>0.39452999999999999</v>
      </c>
    </row>
    <row r="33" spans="1:8">
      <c r="A33" s="66" t="s">
        <v>385</v>
      </c>
      <c r="B33" s="66">
        <v>0.292406</v>
      </c>
      <c r="C33" s="66">
        <v>1.7285399999999999E-2</v>
      </c>
      <c r="D33" s="66">
        <v>5.9114399999999998E-2</v>
      </c>
      <c r="E33" s="66">
        <v>0</v>
      </c>
      <c r="F33" s="66">
        <v>0.25182900000000003</v>
      </c>
      <c r="G33" s="66">
        <v>0</v>
      </c>
      <c r="H33" s="66">
        <v>0.342221</v>
      </c>
    </row>
    <row r="34" spans="1:8">
      <c r="A34" s="66" t="s">
        <v>386</v>
      </c>
      <c r="B34" s="66">
        <v>0.20216300000000001</v>
      </c>
      <c r="C34" s="66">
        <v>2.62124E-2</v>
      </c>
      <c r="D34" s="66">
        <v>0.12966</v>
      </c>
      <c r="E34" s="66">
        <v>0.1</v>
      </c>
      <c r="F34" s="66">
        <v>0.15692500000000001</v>
      </c>
      <c r="G34" s="66">
        <v>0.25</v>
      </c>
      <c r="H34" s="66">
        <v>0.27871099999999999</v>
      </c>
    </row>
    <row r="35" spans="1:8">
      <c r="A35" s="66" t="s">
        <v>387</v>
      </c>
      <c r="B35" s="66">
        <v>8.3728200000000003E-2</v>
      </c>
      <c r="C35" s="66">
        <v>2.1790299999999999E-2</v>
      </c>
      <c r="D35" s="66">
        <v>0.26025100000000001</v>
      </c>
      <c r="E35" s="66">
        <v>0</v>
      </c>
      <c r="F35" s="66">
        <v>3.8503200000000001E-2</v>
      </c>
      <c r="G35" s="66">
        <v>0</v>
      </c>
      <c r="H35" s="66">
        <v>0.131828</v>
      </c>
    </row>
    <row r="36" spans="1:8">
      <c r="A36" s="66" t="s">
        <v>388</v>
      </c>
      <c r="B36" s="66">
        <v>0.17729300000000001</v>
      </c>
      <c r="C36" s="66">
        <v>9.1968599999999998E-2</v>
      </c>
      <c r="D36" s="66">
        <v>0.51873899999999995</v>
      </c>
      <c r="E36" s="66">
        <v>0</v>
      </c>
      <c r="F36" s="66">
        <v>4.9415100000000003E-2</v>
      </c>
      <c r="G36" s="66">
        <v>0</v>
      </c>
      <c r="H36" s="66">
        <v>0.50961199999999995</v>
      </c>
    </row>
    <row r="37" spans="1:8">
      <c r="A37" s="66" t="s">
        <v>389</v>
      </c>
      <c r="B37" s="66">
        <v>0.26212400000000002</v>
      </c>
      <c r="C37" s="66">
        <v>0.110807</v>
      </c>
      <c r="D37" s="66">
        <v>0.42272700000000002</v>
      </c>
      <c r="E37" s="66">
        <v>0.1</v>
      </c>
      <c r="F37" s="66">
        <v>2.45183E-2</v>
      </c>
      <c r="G37" s="66">
        <v>0.5</v>
      </c>
      <c r="H37" s="66">
        <v>0.33966000000000002</v>
      </c>
    </row>
    <row r="38" spans="1:8">
      <c r="A38" s="66" t="s">
        <v>390</v>
      </c>
      <c r="B38" s="66">
        <v>-20.668399999999998</v>
      </c>
      <c r="C38" s="66">
        <v>45.140500000000003</v>
      </c>
      <c r="D38" s="66">
        <v>-2.1840299999999999</v>
      </c>
      <c r="E38" s="66">
        <v>0</v>
      </c>
      <c r="F38" s="66">
        <v>-148.69</v>
      </c>
      <c r="G38" s="66">
        <v>0</v>
      </c>
      <c r="H38" s="66">
        <v>61.951000000000001</v>
      </c>
    </row>
    <row r="39" spans="1:8">
      <c r="A39" s="66" t="s">
        <v>391</v>
      </c>
      <c r="B39" s="66">
        <v>-9.9868500000000004</v>
      </c>
      <c r="C39" s="66">
        <v>15.2098</v>
      </c>
      <c r="D39" s="66">
        <v>-1.5229900000000001</v>
      </c>
      <c r="E39" s="66">
        <v>0</v>
      </c>
      <c r="F39" s="66">
        <v>-63.346499999999999</v>
      </c>
      <c r="G39" s="66">
        <v>0</v>
      </c>
      <c r="H39" s="66">
        <v>12.1312</v>
      </c>
    </row>
    <row r="40" spans="1:8">
      <c r="A40" s="66" t="s">
        <v>392</v>
      </c>
      <c r="B40" s="66">
        <v>-12.687200000000001</v>
      </c>
      <c r="C40" s="66">
        <v>2.9314800000000001</v>
      </c>
      <c r="D40" s="66">
        <v>-0.23105800000000001</v>
      </c>
      <c r="E40" s="66">
        <v>0</v>
      </c>
      <c r="F40" s="66">
        <v>-15.0876</v>
      </c>
      <c r="G40" s="66">
        <v>0</v>
      </c>
      <c r="H40" s="66">
        <v>-5.1632800000000003</v>
      </c>
    </row>
    <row r="41" spans="1:8">
      <c r="A41" s="66" t="s">
        <v>393</v>
      </c>
      <c r="B41" s="66">
        <v>-0.12861900000000001</v>
      </c>
      <c r="C41" s="66">
        <v>0.19512499999999999</v>
      </c>
      <c r="D41" s="66">
        <v>-1.51708</v>
      </c>
      <c r="E41" s="66">
        <v>0</v>
      </c>
      <c r="F41" s="66">
        <v>-0.49791800000000003</v>
      </c>
      <c r="G41" s="66">
        <v>0</v>
      </c>
      <c r="H41" s="66">
        <v>0.62043800000000005</v>
      </c>
    </row>
    <row r="42" spans="1:8">
      <c r="A42" s="66" t="s">
        <v>394</v>
      </c>
      <c r="B42" s="66">
        <v>-0.14029800000000001</v>
      </c>
      <c r="C42" s="66">
        <v>0.121714</v>
      </c>
      <c r="D42" s="66">
        <v>-0.86753499999999995</v>
      </c>
      <c r="E42" s="66">
        <v>0</v>
      </c>
      <c r="F42" s="66">
        <v>-0.30349999999999999</v>
      </c>
      <c r="G42" s="66">
        <v>0</v>
      </c>
      <c r="H42" s="66">
        <v>0.240645</v>
      </c>
    </row>
    <row r="43" spans="1:8">
      <c r="A43" s="66" t="s">
        <v>395</v>
      </c>
      <c r="B43" s="66">
        <v>-0.165439</v>
      </c>
      <c r="C43" s="66">
        <v>5.4094299999999998E-2</v>
      </c>
      <c r="D43" s="66">
        <v>-0.32697500000000002</v>
      </c>
      <c r="E43" s="66">
        <v>0</v>
      </c>
      <c r="F43" s="66">
        <v>-0.27467599999999998</v>
      </c>
      <c r="G43" s="66">
        <v>0</v>
      </c>
      <c r="H43" s="66">
        <v>-5.22643E-2</v>
      </c>
    </row>
    <row r="44" spans="1:8">
      <c r="A44" s="66" t="s">
        <v>396</v>
      </c>
      <c r="B44" s="66">
        <v>-12.5329</v>
      </c>
      <c r="C44" s="66">
        <v>9.3280200000000004</v>
      </c>
      <c r="D44" s="66">
        <v>-0.74428499999999997</v>
      </c>
      <c r="E44" s="66">
        <v>0</v>
      </c>
      <c r="F44" s="66">
        <v>-29.743600000000001</v>
      </c>
      <c r="G44" s="66">
        <v>0</v>
      </c>
      <c r="H44" s="66">
        <v>10.8917</v>
      </c>
    </row>
    <row r="45" spans="1:8">
      <c r="A45" s="66" t="s">
        <v>397</v>
      </c>
      <c r="B45" s="66">
        <v>43.241</v>
      </c>
      <c r="C45" s="66">
        <v>8.7275600000000004</v>
      </c>
      <c r="D45" s="66">
        <v>0.20183499999999999</v>
      </c>
      <c r="E45" s="66">
        <v>0</v>
      </c>
      <c r="F45" s="66">
        <v>29.095700000000001</v>
      </c>
      <c r="G45" s="66">
        <v>0</v>
      </c>
      <c r="H45" s="66">
        <v>67.395799999999994</v>
      </c>
    </row>
    <row r="46" spans="1:8">
      <c r="A46" s="66" t="s">
        <v>398</v>
      </c>
      <c r="B46" s="66">
        <v>27.293099999999999</v>
      </c>
      <c r="C46" s="66">
        <v>1.7633000000000001</v>
      </c>
      <c r="D46" s="66">
        <v>6.4605999999999997E-2</v>
      </c>
      <c r="E46" s="66">
        <v>0</v>
      </c>
      <c r="F46" s="66">
        <v>23.9406</v>
      </c>
      <c r="G46" s="66">
        <v>0</v>
      </c>
      <c r="H46" s="66">
        <v>30.890999999999998</v>
      </c>
    </row>
    <row r="47" spans="1:8">
      <c r="A47" s="66" t="s">
        <v>399</v>
      </c>
      <c r="B47" s="66">
        <v>1.76654</v>
      </c>
      <c r="C47" s="66">
        <v>1.4979499999999999</v>
      </c>
      <c r="D47" s="66">
        <v>0.84795799999999999</v>
      </c>
      <c r="E47" s="66">
        <v>0</v>
      </c>
      <c r="F47" s="66">
        <v>0.46389900000000001</v>
      </c>
      <c r="G47" s="66">
        <v>0</v>
      </c>
      <c r="H47" s="66">
        <v>7.7955699999999997</v>
      </c>
    </row>
    <row r="48" spans="1:8">
      <c r="A48" s="66" t="s">
        <v>400</v>
      </c>
      <c r="B48" s="66">
        <v>1.1037600000000001</v>
      </c>
      <c r="C48" s="66">
        <v>0.13655100000000001</v>
      </c>
      <c r="D48" s="66">
        <v>0.123714</v>
      </c>
      <c r="E48" s="66">
        <v>0</v>
      </c>
      <c r="F48" s="66">
        <v>0.68141600000000002</v>
      </c>
      <c r="G48" s="66">
        <v>0</v>
      </c>
      <c r="H48" s="66">
        <v>1.3548800000000001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88.133347687630575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1.701633746426499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0.61606247381760559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504</v>
      </c>
      <c r="B8" s="66">
        <v>504</v>
      </c>
      <c r="D8">
        <f t="shared" si="0"/>
        <v>2.3403109270231618E-3</v>
      </c>
      <c r="E8">
        <f t="shared" si="0"/>
        <v>2.3403109270231618E-3</v>
      </c>
      <c r="G8">
        <f t="shared" ca="1" si="1"/>
        <v>6</v>
      </c>
      <c r="H8">
        <f t="shared" ca="1" si="2"/>
        <v>1.4041865562138971E-2</v>
      </c>
      <c r="I8">
        <f t="shared" ca="1" si="3"/>
        <v>15.787472596064724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1185</v>
      </c>
      <c r="B10" s="66">
        <v>1185</v>
      </c>
      <c r="D10">
        <f t="shared" si="0"/>
        <v>5.5025167629413618E-3</v>
      </c>
      <c r="E10">
        <f t="shared" si="0"/>
        <v>5.5025167629413618E-3</v>
      </c>
      <c r="G10">
        <f t="shared" ca="1" si="1"/>
        <v>8</v>
      </c>
      <c r="H10">
        <f t="shared" ca="1" si="2"/>
        <v>4.4020134103530895E-2</v>
      </c>
      <c r="I10">
        <f t="shared" ca="1" si="3"/>
        <v>35.333604788246554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2666</v>
      </c>
      <c r="B13" s="66">
        <v>2666</v>
      </c>
      <c r="D13">
        <f t="shared" si="0"/>
        <v>1.2379501848102676E-2</v>
      </c>
      <c r="E13">
        <f t="shared" si="0"/>
        <v>1.2379501848102676E-2</v>
      </c>
      <c r="G13">
        <f t="shared" ca="1" si="1"/>
        <v>11</v>
      </c>
      <c r="H13">
        <f t="shared" ca="1" si="2"/>
        <v>0.13617452032912944</v>
      </c>
      <c r="I13">
        <f t="shared" ca="1" si="3"/>
        <v>73.652506388423873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2445</v>
      </c>
      <c r="B15" s="66">
        <v>2445</v>
      </c>
      <c r="D15">
        <f t="shared" si="0"/>
        <v>1.1353294080499267E-2</v>
      </c>
      <c r="E15">
        <f t="shared" si="0"/>
        <v>1.1353294080499267E-2</v>
      </c>
      <c r="G15">
        <f t="shared" ca="1" si="1"/>
        <v>13</v>
      </c>
      <c r="H15">
        <f t="shared" ca="1" si="2"/>
        <v>0.14759282304649046</v>
      </c>
      <c r="I15">
        <f t="shared" ca="1" si="3"/>
        <v>64.089571409501886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4664</v>
      </c>
      <c r="B18" s="66">
        <v>4664</v>
      </c>
      <c r="D18">
        <f t="shared" si="0"/>
        <v>2.1657163023087352E-2</v>
      </c>
      <c r="E18">
        <f t="shared" si="0"/>
        <v>2.1657163023087352E-2</v>
      </c>
      <c r="G18">
        <f t="shared" ca="1" si="1"/>
        <v>16</v>
      </c>
      <c r="H18">
        <f t="shared" ca="1" si="2"/>
        <v>0.34651460836939763</v>
      </c>
      <c r="I18">
        <f t="shared" ca="1" si="3"/>
        <v>112.68698050662682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5809</v>
      </c>
      <c r="B21" s="66">
        <v>5809</v>
      </c>
      <c r="D21">
        <f t="shared" si="0"/>
        <v>2.6973940823566561E-2</v>
      </c>
      <c r="E21">
        <f t="shared" si="0"/>
        <v>2.6973940823566561E-2</v>
      </c>
      <c r="G21">
        <f t="shared" ca="1" si="1"/>
        <v>19</v>
      </c>
      <c r="H21">
        <f t="shared" ca="1" si="2"/>
        <v>0.5125048756477647</v>
      </c>
      <c r="I21">
        <f t="shared" ca="1" si="3"/>
        <v>128.9197858446276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9748</v>
      </c>
      <c r="B23" s="66">
        <v>9748</v>
      </c>
      <c r="D23">
        <f t="shared" si="0"/>
        <v>4.5264585152027338E-2</v>
      </c>
      <c r="E23">
        <f t="shared" si="0"/>
        <v>4.5264585152027338E-2</v>
      </c>
      <c r="G23">
        <f t="shared" ca="1" si="1"/>
        <v>21</v>
      </c>
      <c r="H23">
        <f t="shared" ca="1" si="2"/>
        <v>0.95055628819257409</v>
      </c>
      <c r="I23">
        <f t="shared" ca="1" si="3"/>
        <v>204.00234194451218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13404</v>
      </c>
      <c r="B26" s="66">
        <v>13404</v>
      </c>
      <c r="D26">
        <f t="shared" si="0"/>
        <v>6.2241126321068367E-2</v>
      </c>
      <c r="E26">
        <f t="shared" si="0"/>
        <v>6.2241126321068367E-2</v>
      </c>
      <c r="G26">
        <f t="shared" ca="1" si="1"/>
        <v>24</v>
      </c>
      <c r="H26">
        <f t="shared" ca="1" si="2"/>
        <v>1.4937870317056408</v>
      </c>
      <c r="I26">
        <f t="shared" ca="1" si="3"/>
        <v>256.00312307288453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19932</v>
      </c>
      <c r="B28" s="66">
        <v>19932</v>
      </c>
      <c r="D28">
        <f t="shared" si="0"/>
        <v>9.2553724994892173E-2</v>
      </c>
      <c r="E28">
        <f t="shared" si="0"/>
        <v>9.2553724994892173E-2</v>
      </c>
      <c r="G28">
        <f t="shared" ca="1" si="1"/>
        <v>26</v>
      </c>
      <c r="H28">
        <f t="shared" ca="1" si="2"/>
        <v>2.4063968498671966</v>
      </c>
      <c r="I28">
        <f t="shared" ca="1" si="3"/>
        <v>357.30855096021685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28372</v>
      </c>
      <c r="B31" s="66">
        <v>28372</v>
      </c>
      <c r="D31">
        <f t="shared" si="0"/>
        <v>0.13174464607440703</v>
      </c>
      <c r="E31">
        <f t="shared" si="0"/>
        <v>0.13174464607440703</v>
      </c>
      <c r="G31">
        <f t="shared" ca="1" si="1"/>
        <v>29</v>
      </c>
      <c r="H31">
        <f t="shared" ca="1" si="2"/>
        <v>3.8205947361578039</v>
      </c>
      <c r="I31">
        <f t="shared" ca="1" si="3"/>
        <v>460.67846119795735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39263</v>
      </c>
      <c r="B33" s="66">
        <v>39263</v>
      </c>
      <c r="D33">
        <f t="shared" si="0"/>
        <v>0.18231672207879046</v>
      </c>
      <c r="E33">
        <f t="shared" si="0"/>
        <v>0.18231672207879046</v>
      </c>
      <c r="G33">
        <f t="shared" ca="1" si="1"/>
        <v>31</v>
      </c>
      <c r="H33">
        <f t="shared" ca="1" si="2"/>
        <v>5.6518183844425041</v>
      </c>
      <c r="I33">
        <f t="shared" ca="1" si="3"/>
        <v>595.12178443490984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53336</v>
      </c>
      <c r="B36" s="66">
        <v>53336</v>
      </c>
      <c r="D36">
        <f t="shared" si="0"/>
        <v>0.2476643325470384</v>
      </c>
      <c r="E36">
        <f t="shared" si="0"/>
        <v>0.2476643325470384</v>
      </c>
      <c r="G36">
        <f t="shared" ca="1" si="1"/>
        <v>34</v>
      </c>
      <c r="H36">
        <f t="shared" ca="1" si="2"/>
        <v>8.4205873065993053</v>
      </c>
      <c r="I36">
        <f t="shared" ca="1" si="3"/>
        <v>725.76034791049665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65609</v>
      </c>
      <c r="B39" s="66">
        <v>65609</v>
      </c>
      <c r="D39">
        <f t="shared" si="0"/>
        <v>0.30465368970448931</v>
      </c>
      <c r="E39">
        <f t="shared" si="0"/>
        <v>0.30465368970448931</v>
      </c>
      <c r="G39">
        <f t="shared" ca="1" si="1"/>
        <v>37</v>
      </c>
      <c r="H39">
        <f t="shared" ca="1" si="2"/>
        <v>11.272186519066103</v>
      </c>
      <c r="I39">
        <f t="shared" ca="1" si="3"/>
        <v>796.55340038831355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82438</v>
      </c>
      <c r="B41" s="66">
        <v>82438</v>
      </c>
      <c r="D41">
        <f t="shared" si="0"/>
        <v>0.38279871468637977</v>
      </c>
      <c r="E41">
        <f t="shared" si="0"/>
        <v>0.38279871468637977</v>
      </c>
      <c r="G41">
        <f t="shared" ca="1" si="1"/>
        <v>39</v>
      </c>
      <c r="H41">
        <f t="shared" ca="1" si="2"/>
        <v>14.929149872768811</v>
      </c>
      <c r="I41">
        <f t="shared" ca="1" si="3"/>
        <v>924.10896243411753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102937</v>
      </c>
      <c r="B44" s="66">
        <v>102937</v>
      </c>
      <c r="D44">
        <f t="shared" si="0"/>
        <v>0.47798528947417301</v>
      </c>
      <c r="E44">
        <f t="shared" si="0"/>
        <v>0.47798528947417301</v>
      </c>
      <c r="G44">
        <f t="shared" ca="1" si="1"/>
        <v>42</v>
      </c>
      <c r="H44">
        <f t="shared" ca="1" si="2"/>
        <v>20.075382157915268</v>
      </c>
      <c r="I44">
        <f t="shared" ca="1" si="3"/>
        <v>1017.2892893160429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131868</v>
      </c>
      <c r="B46" s="66">
        <v>131868</v>
      </c>
      <c r="D46">
        <f t="shared" si="0"/>
        <v>0.61232563754898861</v>
      </c>
      <c r="E46">
        <f t="shared" si="0"/>
        <v>0.61232563754898861</v>
      </c>
      <c r="G46">
        <f t="shared" ca="1" si="1"/>
        <v>44</v>
      </c>
      <c r="H46">
        <f t="shared" ca="1" si="2"/>
        <v>26.942328052155499</v>
      </c>
      <c r="I46">
        <f t="shared" ca="1" si="3"/>
        <v>1192.6587167182265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142486</v>
      </c>
      <c r="B49" s="66">
        <v>142486</v>
      </c>
      <c r="D49">
        <f t="shared" si="0"/>
        <v>0.66163004513456791</v>
      </c>
      <c r="E49">
        <f t="shared" si="0"/>
        <v>0.66163004513456791</v>
      </c>
      <c r="G49">
        <f t="shared" ca="1" si="1"/>
        <v>47</v>
      </c>
      <c r="H49">
        <f t="shared" ca="1" si="2"/>
        <v>31.096612121324693</v>
      </c>
      <c r="I49">
        <f t="shared" ca="1" si="3"/>
        <v>1119.4464713158743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154216</v>
      </c>
      <c r="B51" s="66">
        <v>154216</v>
      </c>
      <c r="D51">
        <f t="shared" si="0"/>
        <v>0.71609799587659506</v>
      </c>
      <c r="E51">
        <f t="shared" si="0"/>
        <v>0.71609799587659506</v>
      </c>
      <c r="G51">
        <f t="shared" ca="1" si="1"/>
        <v>49</v>
      </c>
      <c r="H51">
        <f t="shared" ca="1" si="2"/>
        <v>35.08880179795316</v>
      </c>
      <c r="I51">
        <f t="shared" ca="1" si="3"/>
        <v>1096.6460060262041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162975</v>
      </c>
      <c r="B54" s="66">
        <v>162975</v>
      </c>
      <c r="D54">
        <f t="shared" si="0"/>
        <v>0.75677018518174555</v>
      </c>
      <c r="E54">
        <f t="shared" si="0"/>
        <v>0.75677018518174555</v>
      </c>
      <c r="G54">
        <f t="shared" ca="1" si="1"/>
        <v>52</v>
      </c>
      <c r="H54">
        <f t="shared" ca="1" si="2"/>
        <v>39.352049629450768</v>
      </c>
      <c r="I54">
        <f t="shared" ca="1" si="3"/>
        <v>988.05339249149938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194533</v>
      </c>
      <c r="B57" s="66">
        <v>194533</v>
      </c>
      <c r="D57">
        <f t="shared" si="0"/>
        <v>0.90330893961626335</v>
      </c>
      <c r="E57">
        <f t="shared" si="0"/>
        <v>0.90330893961626335</v>
      </c>
      <c r="G57">
        <f t="shared" ca="1" si="1"/>
        <v>55</v>
      </c>
      <c r="H57">
        <f t="shared" ca="1" si="2"/>
        <v>49.681991678894484</v>
      </c>
      <c r="I57">
        <f t="shared" ca="1" si="3"/>
        <v>991.66947197430193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190623</v>
      </c>
      <c r="B59" s="66">
        <v>190623</v>
      </c>
      <c r="D59">
        <f t="shared" si="0"/>
        <v>0.88515295603558763</v>
      </c>
      <c r="E59">
        <f t="shared" si="0"/>
        <v>0.88515295603558763</v>
      </c>
      <c r="G59">
        <f t="shared" ca="1" si="1"/>
        <v>57</v>
      </c>
      <c r="H59">
        <f t="shared" ca="1" si="2"/>
        <v>50.453718494028493</v>
      </c>
      <c r="I59">
        <f t="shared" ca="1" si="3"/>
        <v>857.96578238410973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193341</v>
      </c>
      <c r="B62" s="66">
        <v>193341</v>
      </c>
      <c r="D62">
        <f t="shared" si="0"/>
        <v>0.89777391853489108</v>
      </c>
      <c r="E62">
        <f t="shared" si="0"/>
        <v>0.89777391853489108</v>
      </c>
      <c r="G62">
        <f t="shared" ca="1" si="1"/>
        <v>60</v>
      </c>
      <c r="H62">
        <f t="shared" ca="1" si="2"/>
        <v>53.866435112093463</v>
      </c>
      <c r="I62">
        <f t="shared" ca="1" si="3"/>
        <v>710.57481625216178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203746</v>
      </c>
      <c r="B64" s="66">
        <v>203746</v>
      </c>
      <c r="D64">
        <f t="shared" si="0"/>
        <v>0.94608926614535926</v>
      </c>
      <c r="E64">
        <f t="shared" si="0"/>
        <v>0.94608926614535926</v>
      </c>
      <c r="G64">
        <f t="shared" ca="1" si="1"/>
        <v>62</v>
      </c>
      <c r="H64">
        <f t="shared" ca="1" si="2"/>
        <v>58.657534501012272</v>
      </c>
      <c r="I64">
        <f t="shared" ca="1" si="3"/>
        <v>646.13342532913646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202599</v>
      </c>
      <c r="B67" s="66">
        <v>202599</v>
      </c>
      <c r="D67">
        <f t="shared" ref="D67:E130" si="4">IFERROR( A67/MAX(A$2:A$257), 0 )</f>
        <v>0.94076320139675695</v>
      </c>
      <c r="E67">
        <f t="shared" si="4"/>
        <v>0.94076320139675695</v>
      </c>
      <c r="G67">
        <f t="shared" ref="G67:G130" ca="1" si="5">CELL("row",D67)-2</f>
        <v>65</v>
      </c>
      <c r="H67">
        <f t="shared" ref="H67:H130" ca="1" si="6">D67*G67</f>
        <v>61.149608090789201</v>
      </c>
      <c r="I67">
        <f t="shared" ref="I67:I130" ca="1" si="7">D67*((G67-$L$1)^2)</f>
        <v>503.45109730493243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214814</v>
      </c>
      <c r="B69" s="66">
        <v>214814</v>
      </c>
      <c r="D69">
        <f t="shared" si="4"/>
        <v>0.99748323705863784</v>
      </c>
      <c r="E69">
        <f t="shared" si="4"/>
        <v>0.99748323705863784</v>
      </c>
      <c r="G69">
        <f t="shared" ca="1" si="5"/>
        <v>67</v>
      </c>
      <c r="H69">
        <f t="shared" ca="1" si="6"/>
        <v>66.831376882928737</v>
      </c>
      <c r="I69">
        <f t="shared" ca="1" si="7"/>
        <v>445.49435188727449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215356</v>
      </c>
      <c r="B72" s="66">
        <v>215356</v>
      </c>
      <c r="D72">
        <f t="shared" si="4"/>
        <v>1</v>
      </c>
      <c r="E72">
        <f t="shared" si="4"/>
        <v>1</v>
      </c>
      <c r="G72">
        <f t="shared" ca="1" si="5"/>
        <v>70</v>
      </c>
      <c r="H72">
        <f t="shared" ca="1" si="6"/>
        <v>70</v>
      </c>
      <c r="I72">
        <f t="shared" ca="1" si="7"/>
        <v>328.81829836049712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199120</v>
      </c>
      <c r="B75" s="66">
        <v>199120</v>
      </c>
      <c r="D75">
        <f t="shared" si="4"/>
        <v>0.924608555136611</v>
      </c>
      <c r="E75">
        <f t="shared" si="4"/>
        <v>0.924608555136611</v>
      </c>
      <c r="G75">
        <f t="shared" ca="1" si="5"/>
        <v>73</v>
      </c>
      <c r="H75">
        <f t="shared" ca="1" si="6"/>
        <v>67.496424524972596</v>
      </c>
      <c r="I75">
        <f t="shared" ca="1" si="7"/>
        <v>211.75219831430834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206951</v>
      </c>
      <c r="B77" s="66">
        <v>206951</v>
      </c>
      <c r="D77">
        <f t="shared" si="4"/>
        <v>0.96097160051263952</v>
      </c>
      <c r="E77">
        <f t="shared" si="4"/>
        <v>0.96097160051263952</v>
      </c>
      <c r="G77">
        <f t="shared" ca="1" si="5"/>
        <v>75</v>
      </c>
      <c r="H77">
        <f t="shared" ca="1" si="6"/>
        <v>72.072870038447959</v>
      </c>
      <c r="I77">
        <f t="shared" ca="1" si="7"/>
        <v>165.7530149658003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205691</v>
      </c>
      <c r="B80" s="66">
        <v>205691</v>
      </c>
      <c r="D80">
        <f t="shared" si="4"/>
        <v>0.95512082319508163</v>
      </c>
      <c r="E80">
        <f t="shared" si="4"/>
        <v>0.95512082319508163</v>
      </c>
      <c r="G80">
        <f t="shared" ca="1" si="5"/>
        <v>78</v>
      </c>
      <c r="H80">
        <f t="shared" ca="1" si="6"/>
        <v>74.499424209216372</v>
      </c>
      <c r="I80">
        <f t="shared" ca="1" si="7"/>
        <v>98.076328965091676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202826</v>
      </c>
      <c r="B82" s="66">
        <v>202826</v>
      </c>
      <c r="D82">
        <f t="shared" si="4"/>
        <v>0.94181727000872972</v>
      </c>
      <c r="E82">
        <f t="shared" si="4"/>
        <v>0.94181727000872972</v>
      </c>
      <c r="G82">
        <f t="shared" ca="1" si="5"/>
        <v>80</v>
      </c>
      <c r="H82">
        <f t="shared" ca="1" si="6"/>
        <v>75.345381600698374</v>
      </c>
      <c r="I82">
        <f t="shared" ca="1" si="7"/>
        <v>62.302478786005537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211201</v>
      </c>
      <c r="B85" s="66">
        <v>211201</v>
      </c>
      <c r="D85">
        <f t="shared" si="4"/>
        <v>0.9807063652742436</v>
      </c>
      <c r="E85">
        <f t="shared" si="4"/>
        <v>0.9807063652742436</v>
      </c>
      <c r="G85">
        <f t="shared" ca="1" si="5"/>
        <v>83</v>
      </c>
      <c r="H85">
        <f t="shared" ca="1" si="6"/>
        <v>81.398628317762217</v>
      </c>
      <c r="I85">
        <f t="shared" ca="1" si="7"/>
        <v>25.842846926384507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210875</v>
      </c>
      <c r="B88" s="66">
        <v>210875</v>
      </c>
      <c r="D88">
        <f t="shared" si="4"/>
        <v>0.979192592730177</v>
      </c>
      <c r="E88">
        <f t="shared" si="4"/>
        <v>0.979192592730177</v>
      </c>
      <c r="G88">
        <f t="shared" ca="1" si="5"/>
        <v>86</v>
      </c>
      <c r="H88">
        <f t="shared" ca="1" si="6"/>
        <v>84.210562974795224</v>
      </c>
      <c r="I88">
        <f t="shared" ca="1" si="7"/>
        <v>4.4564742595456384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205048</v>
      </c>
      <c r="B90" s="66">
        <v>205048</v>
      </c>
      <c r="D90">
        <f t="shared" si="4"/>
        <v>0.95213506937350245</v>
      </c>
      <c r="E90">
        <f t="shared" si="4"/>
        <v>0.95213506937350245</v>
      </c>
      <c r="G90">
        <f t="shared" ca="1" si="5"/>
        <v>88</v>
      </c>
      <c r="H90">
        <f t="shared" ca="1" si="6"/>
        <v>83.787886104868221</v>
      </c>
      <c r="I90">
        <f t="shared" ca="1" si="7"/>
        <v>1.6930490468548033E-2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205622</v>
      </c>
      <c r="B93" s="66">
        <v>205622</v>
      </c>
      <c r="D93">
        <f t="shared" si="4"/>
        <v>0.9548004234848344</v>
      </c>
      <c r="E93">
        <f t="shared" si="4"/>
        <v>0.9548004234848344</v>
      </c>
      <c r="G93">
        <f t="shared" ca="1" si="5"/>
        <v>91</v>
      </c>
      <c r="H93">
        <f t="shared" ca="1" si="6"/>
        <v>86.886838537119928</v>
      </c>
      <c r="I93">
        <f t="shared" ca="1" si="7"/>
        <v>7.846259124385794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185661</v>
      </c>
      <c r="B95" s="66">
        <v>185661</v>
      </c>
      <c r="D95">
        <f t="shared" si="4"/>
        <v>0.86211203774215717</v>
      </c>
      <c r="E95">
        <f t="shared" si="4"/>
        <v>0.86211203774215717</v>
      </c>
      <c r="G95">
        <f t="shared" ca="1" si="5"/>
        <v>93</v>
      </c>
      <c r="H95">
        <f t="shared" ca="1" si="6"/>
        <v>80.176419510020622</v>
      </c>
      <c r="I95">
        <f t="shared" ca="1" si="7"/>
        <v>20.418524212847412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179700</v>
      </c>
      <c r="B98" s="66">
        <v>179700</v>
      </c>
      <c r="D98">
        <f t="shared" si="4"/>
        <v>0.83443228886123444</v>
      </c>
      <c r="E98">
        <f t="shared" si="4"/>
        <v>0.83443228886123444</v>
      </c>
      <c r="G98">
        <f t="shared" ca="1" si="5"/>
        <v>96</v>
      </c>
      <c r="H98">
        <f t="shared" ca="1" si="6"/>
        <v>80.105499730678503</v>
      </c>
      <c r="I98">
        <f t="shared" ca="1" si="7"/>
        <v>51.638190173880396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179299</v>
      </c>
      <c r="B100" s="66">
        <v>179299</v>
      </c>
      <c r="D100">
        <f t="shared" si="4"/>
        <v>0.83257025576255128</v>
      </c>
      <c r="E100">
        <f t="shared" si="4"/>
        <v>0.83257025576255128</v>
      </c>
      <c r="G100">
        <f t="shared" ca="1" si="5"/>
        <v>98</v>
      </c>
      <c r="H100">
        <f t="shared" ca="1" si="6"/>
        <v>81.591885064730022</v>
      </c>
      <c r="I100">
        <f t="shared" ca="1" si="7"/>
        <v>81.051403644422265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169657</v>
      </c>
      <c r="B103" s="66">
        <v>169657</v>
      </c>
      <c r="D103">
        <f t="shared" si="4"/>
        <v>0.78779787886104868</v>
      </c>
      <c r="E103">
        <f t="shared" si="4"/>
        <v>0.78779787886104868</v>
      </c>
      <c r="G103">
        <f t="shared" ca="1" si="5"/>
        <v>101</v>
      </c>
      <c r="H103">
        <f t="shared" ca="1" si="6"/>
        <v>79.567585764965912</v>
      </c>
      <c r="I103">
        <f t="shared" ca="1" si="7"/>
        <v>130.42052317672017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162303</v>
      </c>
      <c r="B106" s="66">
        <v>162303</v>
      </c>
      <c r="D106">
        <f t="shared" si="4"/>
        <v>0.75364977061238136</v>
      </c>
      <c r="E106">
        <f t="shared" si="4"/>
        <v>0.75364977061238136</v>
      </c>
      <c r="G106">
        <f t="shared" ca="1" si="5"/>
        <v>104</v>
      </c>
      <c r="H106">
        <f t="shared" ca="1" si="6"/>
        <v>78.379576143687657</v>
      </c>
      <c r="I106">
        <f t="shared" ca="1" si="7"/>
        <v>189.73182384567602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161125</v>
      </c>
      <c r="B108" s="66">
        <v>161125</v>
      </c>
      <c r="D108">
        <f t="shared" si="4"/>
        <v>0.74817975816787086</v>
      </c>
      <c r="E108">
        <f t="shared" si="4"/>
        <v>0.74817975816787086</v>
      </c>
      <c r="G108">
        <f t="shared" ca="1" si="5"/>
        <v>106</v>
      </c>
      <c r="H108">
        <f t="shared" ca="1" si="6"/>
        <v>79.307054365794315</v>
      </c>
      <c r="I108">
        <f t="shared" ca="1" si="7"/>
        <v>238.83189601930198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163328</v>
      </c>
      <c r="B111" s="66">
        <v>163328</v>
      </c>
      <c r="D111">
        <f t="shared" si="4"/>
        <v>0.75840933152547407</v>
      </c>
      <c r="E111">
        <f t="shared" si="4"/>
        <v>0.75840933152547407</v>
      </c>
      <c r="G111">
        <f t="shared" ca="1" si="5"/>
        <v>109</v>
      </c>
      <c r="H111">
        <f t="shared" ca="1" si="6"/>
        <v>82.66661713627667</v>
      </c>
      <c r="I111">
        <f t="shared" ca="1" si="7"/>
        <v>330.22445145177198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162243</v>
      </c>
      <c r="B113" s="66">
        <v>162243</v>
      </c>
      <c r="D113">
        <f t="shared" si="4"/>
        <v>0.75337116216868816</v>
      </c>
      <c r="E113">
        <f t="shared" si="4"/>
        <v>0.75337116216868816</v>
      </c>
      <c r="G113">
        <f t="shared" ca="1" si="5"/>
        <v>111</v>
      </c>
      <c r="H113">
        <f t="shared" ca="1" si="6"/>
        <v>83.624199000724388</v>
      </c>
      <c r="I113">
        <f t="shared" ca="1" si="7"/>
        <v>393.92556702573341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168599</v>
      </c>
      <c r="B116" s="66">
        <v>168599</v>
      </c>
      <c r="D116">
        <f t="shared" si="4"/>
        <v>0.7828850833039247</v>
      </c>
      <c r="E116">
        <f t="shared" si="4"/>
        <v>0.7828850833039247</v>
      </c>
      <c r="G116">
        <f t="shared" ca="1" si="5"/>
        <v>114</v>
      </c>
      <c r="H116">
        <f t="shared" ca="1" si="6"/>
        <v>89.248899496647411</v>
      </c>
      <c r="I116">
        <f t="shared" ca="1" si="7"/>
        <v>523.81564965935775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158119</v>
      </c>
      <c r="B118" s="66">
        <v>158119</v>
      </c>
      <c r="D118">
        <f t="shared" si="4"/>
        <v>0.73422147513883984</v>
      </c>
      <c r="E118">
        <f t="shared" si="4"/>
        <v>0.73422147513883984</v>
      </c>
      <c r="G118">
        <f t="shared" ca="1" si="5"/>
        <v>116</v>
      </c>
      <c r="H118">
        <f t="shared" ca="1" si="6"/>
        <v>85.169691116105426</v>
      </c>
      <c r="I118">
        <f t="shared" ca="1" si="7"/>
        <v>570.15991493425406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145781</v>
      </c>
      <c r="B121" s="66">
        <v>145781</v>
      </c>
      <c r="D121">
        <f t="shared" si="4"/>
        <v>0.67693029216738798</v>
      </c>
      <c r="E121">
        <f t="shared" si="4"/>
        <v>0.67693029216738798</v>
      </c>
      <c r="G121">
        <f t="shared" ca="1" si="5"/>
        <v>119</v>
      </c>
      <c r="H121">
        <f t="shared" ca="1" si="6"/>
        <v>80.554704767919176</v>
      </c>
      <c r="I121">
        <f t="shared" ca="1" si="7"/>
        <v>644.94548815331495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133653</v>
      </c>
      <c r="B124" s="66">
        <v>133653</v>
      </c>
      <c r="D124">
        <f t="shared" si="4"/>
        <v>0.62061423874886235</v>
      </c>
      <c r="E124">
        <f t="shared" si="4"/>
        <v>0.62061423874886235</v>
      </c>
      <c r="G124">
        <f t="shared" ca="1" si="5"/>
        <v>122</v>
      </c>
      <c r="H124">
        <f t="shared" ca="1" si="6"/>
        <v>75.71493712736121</v>
      </c>
      <c r="I124">
        <f t="shared" ca="1" si="7"/>
        <v>711.8135873033815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119781</v>
      </c>
      <c r="B126" s="66">
        <v>119781</v>
      </c>
      <c r="D126">
        <f t="shared" si="4"/>
        <v>0.55619996656698678</v>
      </c>
      <c r="E126">
        <f t="shared" si="4"/>
        <v>0.55619996656698678</v>
      </c>
      <c r="G126">
        <f t="shared" ca="1" si="5"/>
        <v>124</v>
      </c>
      <c r="H126">
        <f t="shared" ca="1" si="6"/>
        <v>68.968795854306364</v>
      </c>
      <c r="I126">
        <f t="shared" ca="1" si="7"/>
        <v>715.50495228242676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114890</v>
      </c>
      <c r="B129" s="66">
        <v>114890</v>
      </c>
      <c r="D129">
        <f t="shared" si="4"/>
        <v>0.53348873493192672</v>
      </c>
      <c r="E129">
        <f t="shared" si="4"/>
        <v>0.53348873493192672</v>
      </c>
      <c r="G129">
        <f t="shared" ca="1" si="5"/>
        <v>127</v>
      </c>
      <c r="H129">
        <f t="shared" ca="1" si="6"/>
        <v>67.753069336354699</v>
      </c>
      <c r="I129">
        <f t="shared" ca="1" si="7"/>
        <v>805.89697196179156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105469</v>
      </c>
      <c r="B131" s="66">
        <v>105469</v>
      </c>
      <c r="D131">
        <f t="shared" ref="D131:E194" si="8">IFERROR( A131/MAX(A$2:A$257), 0 )</f>
        <v>0.48974256579802744</v>
      </c>
      <c r="E131">
        <f t="shared" si="8"/>
        <v>0.48974256579802744</v>
      </c>
      <c r="G131">
        <f t="shared" ref="G131:G194" ca="1" si="9">CELL("row",D131)-2</f>
        <v>129</v>
      </c>
      <c r="H131">
        <f t="shared" ref="H131:H194" ca="1" si="10">D131*G131</f>
        <v>63.176790987945537</v>
      </c>
      <c r="I131">
        <f t="shared" ref="I131:I194" ca="1" si="11">D131*((G131-$L$1)^2)</f>
        <v>817.91086634368946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85390</v>
      </c>
      <c r="B134" s="66">
        <v>85390</v>
      </c>
      <c r="D134">
        <f t="shared" si="8"/>
        <v>0.39650625011608687</v>
      </c>
      <c r="E134">
        <f t="shared" si="8"/>
        <v>0.39650625011608687</v>
      </c>
      <c r="G134">
        <f t="shared" ca="1" si="9"/>
        <v>132</v>
      </c>
      <c r="H134">
        <f t="shared" ca="1" si="10"/>
        <v>52.338825015323465</v>
      </c>
      <c r="I134">
        <f t="shared" ca="1" si="11"/>
        <v>762.99030988318304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86350</v>
      </c>
      <c r="B136" s="66">
        <v>86350</v>
      </c>
      <c r="D136">
        <f t="shared" si="8"/>
        <v>0.40096398521517856</v>
      </c>
      <c r="E136">
        <f t="shared" si="8"/>
        <v>0.40096398521517856</v>
      </c>
      <c r="G136">
        <f t="shared" ca="1" si="9"/>
        <v>134</v>
      </c>
      <c r="H136">
        <f t="shared" ca="1" si="10"/>
        <v>53.72917401883393</v>
      </c>
      <c r="I136">
        <f t="shared" ca="1" si="11"/>
        <v>843.52790143569575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70851</v>
      </c>
      <c r="B139" s="66">
        <v>70851</v>
      </c>
      <c r="D139">
        <f t="shared" si="8"/>
        <v>0.32899478073515481</v>
      </c>
      <c r="E139">
        <f t="shared" si="8"/>
        <v>0.32899478073515481</v>
      </c>
      <c r="G139">
        <f t="shared" ca="1" si="9"/>
        <v>137</v>
      </c>
      <c r="H139">
        <f t="shared" ca="1" si="10"/>
        <v>45.07228496071621</v>
      </c>
      <c r="I139">
        <f t="shared" ca="1" si="11"/>
        <v>785.62299066175785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66978</v>
      </c>
      <c r="B142" s="66">
        <v>66978</v>
      </c>
      <c r="D142">
        <f t="shared" si="8"/>
        <v>0.31101060569475658</v>
      </c>
      <c r="E142">
        <f t="shared" si="8"/>
        <v>0.31101060569475658</v>
      </c>
      <c r="G142">
        <f t="shared" ca="1" si="9"/>
        <v>140</v>
      </c>
      <c r="H142">
        <f t="shared" ca="1" si="10"/>
        <v>43.541484797265923</v>
      </c>
      <c r="I142">
        <f t="shared" ca="1" si="11"/>
        <v>836.6650633764209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61123</v>
      </c>
      <c r="B144" s="66">
        <v>61123</v>
      </c>
      <c r="D144">
        <f t="shared" si="8"/>
        <v>0.28382306506435856</v>
      </c>
      <c r="E144">
        <f t="shared" si="8"/>
        <v>0.28382306506435856</v>
      </c>
      <c r="G144">
        <f t="shared" ca="1" si="9"/>
        <v>142</v>
      </c>
      <c r="H144">
        <f t="shared" ca="1" si="10"/>
        <v>40.302875239138913</v>
      </c>
      <c r="I144">
        <f t="shared" ca="1" si="11"/>
        <v>823.54561241989256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50869</v>
      </c>
      <c r="B147" s="66">
        <v>50869</v>
      </c>
      <c r="D147">
        <f t="shared" si="8"/>
        <v>0.23620888203718493</v>
      </c>
      <c r="E147">
        <f t="shared" si="8"/>
        <v>0.23620888203718493</v>
      </c>
      <c r="G147">
        <f t="shared" ca="1" si="9"/>
        <v>145</v>
      </c>
      <c r="H147">
        <f t="shared" ca="1" si="10"/>
        <v>34.250287895391814</v>
      </c>
      <c r="I147">
        <f t="shared" ca="1" si="11"/>
        <v>763.85609637524908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44664</v>
      </c>
      <c r="B149" s="66">
        <v>44664</v>
      </c>
      <c r="D149">
        <f t="shared" si="8"/>
        <v>0.20739612548524303</v>
      </c>
      <c r="E149">
        <f t="shared" si="8"/>
        <v>0.20739612548524303</v>
      </c>
      <c r="G149">
        <f t="shared" ca="1" si="9"/>
        <v>147</v>
      </c>
      <c r="H149">
        <f t="shared" ca="1" si="10"/>
        <v>30.487230446330724</v>
      </c>
      <c r="I149">
        <f t="shared" ca="1" si="11"/>
        <v>718.68621698695233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45623</v>
      </c>
      <c r="B152" s="66">
        <v>45623</v>
      </c>
      <c r="D152">
        <f t="shared" si="8"/>
        <v>0.21184921711027321</v>
      </c>
      <c r="E152">
        <f t="shared" si="8"/>
        <v>0.21184921711027321</v>
      </c>
      <c r="G152">
        <f t="shared" ca="1" si="9"/>
        <v>150</v>
      </c>
      <c r="H152">
        <f t="shared" ca="1" si="10"/>
        <v>31.777382566540982</v>
      </c>
      <c r="I152">
        <f t="shared" ca="1" si="11"/>
        <v>810.84920679088486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36179</v>
      </c>
      <c r="B154" s="66">
        <v>36179</v>
      </c>
      <c r="D154">
        <f t="shared" si="8"/>
        <v>0.16799624807295827</v>
      </c>
      <c r="E154">
        <f t="shared" si="8"/>
        <v>0.16799624807295827</v>
      </c>
      <c r="G154">
        <f t="shared" ca="1" si="9"/>
        <v>152</v>
      </c>
      <c r="H154">
        <f t="shared" ca="1" si="10"/>
        <v>25.535429707089655</v>
      </c>
      <c r="I154">
        <f t="shared" ca="1" si="11"/>
        <v>685.24817471486938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32010</v>
      </c>
      <c r="B157" s="66">
        <v>32010</v>
      </c>
      <c r="D157">
        <f t="shared" si="8"/>
        <v>0.1486376047103401</v>
      </c>
      <c r="E157">
        <f t="shared" si="8"/>
        <v>0.1486376047103401</v>
      </c>
      <c r="G157">
        <f t="shared" ca="1" si="9"/>
        <v>155</v>
      </c>
      <c r="H157">
        <f t="shared" ca="1" si="10"/>
        <v>23.038828730102715</v>
      </c>
      <c r="I157">
        <f t="shared" ca="1" si="11"/>
        <v>664.58090612167871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32243</v>
      </c>
      <c r="B160" s="66">
        <v>32243</v>
      </c>
      <c r="D160">
        <f t="shared" si="8"/>
        <v>0.14971953416668216</v>
      </c>
      <c r="E160">
        <f t="shared" si="8"/>
        <v>0.14971953416668216</v>
      </c>
      <c r="G160">
        <f t="shared" ca="1" si="9"/>
        <v>158</v>
      </c>
      <c r="H160">
        <f t="shared" ca="1" si="10"/>
        <v>23.655686398335781</v>
      </c>
      <c r="I160">
        <f t="shared" ca="1" si="11"/>
        <v>730.83331415608347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27611</v>
      </c>
      <c r="B162" s="66">
        <v>27611</v>
      </c>
      <c r="D162">
        <f t="shared" si="8"/>
        <v>0.12821096231356452</v>
      </c>
      <c r="E162">
        <f t="shared" si="8"/>
        <v>0.12821096231356452</v>
      </c>
      <c r="G162">
        <f t="shared" ca="1" si="9"/>
        <v>160</v>
      </c>
      <c r="H162">
        <f t="shared" ca="1" si="10"/>
        <v>20.513753970170324</v>
      </c>
      <c r="I162">
        <f t="shared" ca="1" si="11"/>
        <v>662.18599293941884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26518</v>
      </c>
      <c r="B165" s="66">
        <v>26518</v>
      </c>
      <c r="D165">
        <f t="shared" si="8"/>
        <v>0.12313564516428611</v>
      </c>
      <c r="E165">
        <f t="shared" si="8"/>
        <v>0.12313564516428611</v>
      </c>
      <c r="G165">
        <f t="shared" ca="1" si="9"/>
        <v>163</v>
      </c>
      <c r="H165">
        <f t="shared" ca="1" si="10"/>
        <v>20.071110161778638</v>
      </c>
      <c r="I165">
        <f t="shared" ca="1" si="11"/>
        <v>690.17721556647768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21483</v>
      </c>
      <c r="B167" s="66">
        <v>21483</v>
      </c>
      <c r="D167">
        <f t="shared" si="8"/>
        <v>9.9755753264362271E-2</v>
      </c>
      <c r="E167">
        <f t="shared" si="8"/>
        <v>9.9755753264362271E-2</v>
      </c>
      <c r="G167">
        <f t="shared" ca="1" si="9"/>
        <v>165</v>
      </c>
      <c r="H167">
        <f t="shared" ca="1" si="10"/>
        <v>16.459699288619774</v>
      </c>
      <c r="I167">
        <f t="shared" ca="1" si="11"/>
        <v>589.40509627193444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22126</v>
      </c>
      <c r="B170" s="66">
        <v>22126</v>
      </c>
      <c r="D170">
        <f t="shared" si="8"/>
        <v>0.10274150708594142</v>
      </c>
      <c r="E170">
        <f t="shared" si="8"/>
        <v>0.10274150708594142</v>
      </c>
      <c r="G170">
        <f t="shared" ca="1" si="9"/>
        <v>168</v>
      </c>
      <c r="H170">
        <f t="shared" ca="1" si="10"/>
        <v>17.260573190438159</v>
      </c>
      <c r="I170">
        <f t="shared" ca="1" si="11"/>
        <v>655.35541747602849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12321</v>
      </c>
      <c r="B173" s="66">
        <v>12321</v>
      </c>
      <c r="D173">
        <f t="shared" si="8"/>
        <v>5.7212243912405508E-2</v>
      </c>
      <c r="E173">
        <f t="shared" si="8"/>
        <v>5.7212243912405508E-2</v>
      </c>
      <c r="G173">
        <f t="shared" ca="1" si="9"/>
        <v>171</v>
      </c>
      <c r="H173">
        <f t="shared" ca="1" si="10"/>
        <v>9.7832937090213417</v>
      </c>
      <c r="I173">
        <f t="shared" ca="1" si="11"/>
        <v>392.86973164677016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10381</v>
      </c>
      <c r="B175" s="66">
        <v>10381</v>
      </c>
      <c r="D175">
        <f t="shared" si="8"/>
        <v>4.8203904232990952E-2</v>
      </c>
      <c r="E175">
        <f t="shared" si="8"/>
        <v>4.8203904232990952E-2</v>
      </c>
      <c r="G175">
        <f t="shared" ca="1" si="9"/>
        <v>173</v>
      </c>
      <c r="H175">
        <f t="shared" ca="1" si="10"/>
        <v>8.339275432307435</v>
      </c>
      <c r="I175">
        <f t="shared" ca="1" si="11"/>
        <v>347.18132576826258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6162</v>
      </c>
      <c r="B178" s="66">
        <v>6162</v>
      </c>
      <c r="D178">
        <f t="shared" si="8"/>
        <v>2.8613087167295083E-2</v>
      </c>
      <c r="E178">
        <f t="shared" si="8"/>
        <v>2.8613087167295083E-2</v>
      </c>
      <c r="G178">
        <f t="shared" ca="1" si="9"/>
        <v>176</v>
      </c>
      <c r="H178">
        <f t="shared" ca="1" si="10"/>
        <v>5.0359033414439347</v>
      </c>
      <c r="I178">
        <f t="shared" ca="1" si="11"/>
        <v>220.9087297444571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3456</v>
      </c>
      <c r="B180" s="66">
        <v>3456</v>
      </c>
      <c r="D180">
        <f t="shared" si="8"/>
        <v>1.6047846356730251E-2</v>
      </c>
      <c r="E180">
        <f t="shared" si="8"/>
        <v>1.6047846356730251E-2</v>
      </c>
      <c r="G180">
        <f t="shared" ca="1" si="9"/>
        <v>178</v>
      </c>
      <c r="H180">
        <f t="shared" ca="1" si="10"/>
        <v>2.8565166514979845</v>
      </c>
      <c r="I180">
        <f t="shared" ca="1" si="11"/>
        <v>129.60265106943109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2609</v>
      </c>
      <c r="B183" s="66">
        <v>2609</v>
      </c>
      <c r="D183">
        <f t="shared" si="8"/>
        <v>1.2114823826594104E-2</v>
      </c>
      <c r="E183">
        <f t="shared" si="8"/>
        <v>1.2114823826594104E-2</v>
      </c>
      <c r="G183">
        <f t="shared" ca="1" si="9"/>
        <v>181</v>
      </c>
      <c r="H183">
        <f t="shared" ca="1" si="10"/>
        <v>2.1927831126135326</v>
      </c>
      <c r="I183">
        <f t="shared" ca="1" si="11"/>
        <v>104.48084672097495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1012</v>
      </c>
      <c r="B185" s="66">
        <v>1012</v>
      </c>
      <c r="D185">
        <f t="shared" si="8"/>
        <v>4.6991957502925388E-3</v>
      </c>
      <c r="E185">
        <f t="shared" si="8"/>
        <v>4.6991957502925388E-3</v>
      </c>
      <c r="G185">
        <f t="shared" ca="1" si="9"/>
        <v>183</v>
      </c>
      <c r="H185">
        <f t="shared" ca="1" si="10"/>
        <v>0.85995282230353465</v>
      </c>
      <c r="I185">
        <f t="shared" ca="1" si="11"/>
        <v>42.291266097101818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841</v>
      </c>
      <c r="B188" s="66">
        <v>841</v>
      </c>
      <c r="D188">
        <f t="shared" si="8"/>
        <v>3.9051616857668234E-3</v>
      </c>
      <c r="E188">
        <f t="shared" si="8"/>
        <v>3.9051616857668234E-3</v>
      </c>
      <c r="G188">
        <f t="shared" ca="1" si="9"/>
        <v>186</v>
      </c>
      <c r="H188">
        <f t="shared" ca="1" si="10"/>
        <v>0.7263600735526291</v>
      </c>
      <c r="I188">
        <f t="shared" ca="1" si="11"/>
        <v>37.403176391148619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257</v>
      </c>
      <c r="B191" s="66">
        <v>257</v>
      </c>
      <c r="D191">
        <f t="shared" si="8"/>
        <v>1.1933728338193502E-3</v>
      </c>
      <c r="E191">
        <f t="shared" si="8"/>
        <v>1.1933728338193502E-3</v>
      </c>
      <c r="G191">
        <f t="shared" ca="1" si="9"/>
        <v>189</v>
      </c>
      <c r="H191">
        <f t="shared" ca="1" si="10"/>
        <v>0.22554746559185718</v>
      </c>
      <c r="I191">
        <f t="shared" ca="1" si="11"/>
        <v>12.141472529286558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173</v>
      </c>
      <c r="B193" s="66">
        <v>173</v>
      </c>
      <c r="D193">
        <f t="shared" si="8"/>
        <v>8.0332101264882336E-4</v>
      </c>
      <c r="E193">
        <f t="shared" si="8"/>
        <v>8.0332101264882336E-4</v>
      </c>
      <c r="G193">
        <f t="shared" ca="1" si="9"/>
        <v>191</v>
      </c>
      <c r="H193">
        <f t="shared" ca="1" si="10"/>
        <v>0.15343431341592526</v>
      </c>
      <c r="I193">
        <f t="shared" ca="1" si="11"/>
        <v>8.5003799816398171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68.607304361402683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1.3246348563371511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0.47725576152506871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463</v>
      </c>
      <c r="B8" s="66">
        <v>463</v>
      </c>
      <c r="D8">
        <f t="shared" si="0"/>
        <v>0.37636156722484149</v>
      </c>
      <c r="E8">
        <f t="shared" si="1"/>
        <v>0.37636156722484149</v>
      </c>
      <c r="G8">
        <f t="shared" ca="1" si="2"/>
        <v>6</v>
      </c>
      <c r="H8">
        <f t="shared" ca="1" si="3"/>
        <v>2.2581694033490489</v>
      </c>
      <c r="I8">
        <f t="shared" ca="1" si="4"/>
        <v>1475.2148601876177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1104</v>
      </c>
      <c r="B10" s="66">
        <v>1104</v>
      </c>
      <c r="D10">
        <f t="shared" si="0"/>
        <v>0.89741505446268899</v>
      </c>
      <c r="E10">
        <f t="shared" si="1"/>
        <v>0.89741505446268899</v>
      </c>
      <c r="G10">
        <f t="shared" ca="1" si="2"/>
        <v>8</v>
      </c>
      <c r="H10">
        <f t="shared" ca="1" si="3"/>
        <v>7.1793204357015119</v>
      </c>
      <c r="I10">
        <f t="shared" ca="1" si="4"/>
        <v>3296.4256686059935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2463</v>
      </c>
      <c r="B13" s="66">
        <v>2463</v>
      </c>
      <c r="D13">
        <f t="shared" si="0"/>
        <v>2.002113477483336</v>
      </c>
      <c r="E13">
        <f t="shared" si="1"/>
        <v>2.002113477483336</v>
      </c>
      <c r="G13">
        <f t="shared" ca="1" si="2"/>
        <v>11</v>
      </c>
      <c r="H13">
        <f t="shared" ca="1" si="3"/>
        <v>22.023248252316698</v>
      </c>
      <c r="I13">
        <f t="shared" ca="1" si="4"/>
        <v>6644.2168211543503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985</v>
      </c>
      <c r="B15" s="66">
        <v>985</v>
      </c>
      <c r="D15">
        <f t="shared" si="0"/>
        <v>0.8006828158023086</v>
      </c>
      <c r="E15">
        <f t="shared" si="1"/>
        <v>0.8006828158023086</v>
      </c>
      <c r="G15">
        <f t="shared" ca="1" si="2"/>
        <v>13</v>
      </c>
      <c r="H15">
        <f t="shared" ca="1" si="3"/>
        <v>10.408876605430011</v>
      </c>
      <c r="I15">
        <f t="shared" ca="1" si="4"/>
        <v>2475.8492227821075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2646</v>
      </c>
      <c r="B18" s="66">
        <v>2646</v>
      </c>
      <c r="D18">
        <f t="shared" si="0"/>
        <v>2.1508697772719882</v>
      </c>
      <c r="E18">
        <f t="shared" si="1"/>
        <v>2.1508697772719882</v>
      </c>
      <c r="G18">
        <f t="shared" ca="1" si="2"/>
        <v>16</v>
      </c>
      <c r="H18">
        <f t="shared" ca="1" si="3"/>
        <v>34.413916436351812</v>
      </c>
      <c r="I18">
        <f t="shared" ca="1" si="4"/>
        <v>5952.5933485371806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4701</v>
      </c>
      <c r="B21" s="66">
        <v>4701</v>
      </c>
      <c r="D21">
        <f t="shared" si="0"/>
        <v>3.8213298650625913</v>
      </c>
      <c r="E21">
        <f t="shared" si="1"/>
        <v>3.8213298650625913</v>
      </c>
      <c r="G21">
        <f t="shared" ca="1" si="2"/>
        <v>19</v>
      </c>
      <c r="H21">
        <f t="shared" ca="1" si="3"/>
        <v>72.605267436189237</v>
      </c>
      <c r="I21">
        <f t="shared" ca="1" si="4"/>
        <v>9403.8519922522846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8529</v>
      </c>
      <c r="B23" s="66">
        <v>8529</v>
      </c>
      <c r="D23">
        <f t="shared" si="0"/>
        <v>6.9330190212973504</v>
      </c>
      <c r="E23">
        <f t="shared" si="1"/>
        <v>6.9330190212973504</v>
      </c>
      <c r="G23">
        <f t="shared" ca="1" si="2"/>
        <v>21</v>
      </c>
      <c r="H23">
        <f t="shared" ca="1" si="3"/>
        <v>145.59339944724437</v>
      </c>
      <c r="I23">
        <f t="shared" ca="1" si="4"/>
        <v>15713.378597123785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11257</v>
      </c>
      <c r="B26" s="66">
        <v>11257</v>
      </c>
      <c r="D26">
        <f t="shared" si="0"/>
        <v>9.1505446268899373</v>
      </c>
      <c r="E26">
        <f t="shared" si="1"/>
        <v>9.1505446268899373</v>
      </c>
      <c r="G26">
        <f t="shared" ca="1" si="2"/>
        <v>24</v>
      </c>
      <c r="H26">
        <f t="shared" ca="1" si="3"/>
        <v>219.61307104535848</v>
      </c>
      <c r="I26">
        <f t="shared" ca="1" si="4"/>
        <v>18207.859866780527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16871</v>
      </c>
      <c r="B28" s="66">
        <v>16871</v>
      </c>
      <c r="D28">
        <f t="shared" si="0"/>
        <v>13.714030238985531</v>
      </c>
      <c r="E28">
        <f t="shared" si="1"/>
        <v>13.714030238985531</v>
      </c>
      <c r="G28">
        <f t="shared" ca="1" si="2"/>
        <v>26</v>
      </c>
      <c r="H28">
        <f t="shared" ca="1" si="3"/>
        <v>356.56478621362379</v>
      </c>
      <c r="I28">
        <f t="shared" ca="1" si="4"/>
        <v>24896.208922460202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24423</v>
      </c>
      <c r="B31" s="66">
        <v>24423</v>
      </c>
      <c r="D31">
        <f t="shared" si="0"/>
        <v>19.852869452121606</v>
      </c>
      <c r="E31">
        <f t="shared" si="1"/>
        <v>19.852869452121606</v>
      </c>
      <c r="G31">
        <f t="shared" ca="1" si="2"/>
        <v>29</v>
      </c>
      <c r="H31">
        <f t="shared" ca="1" si="3"/>
        <v>575.73321411152654</v>
      </c>
      <c r="I31">
        <f t="shared" ca="1" si="4"/>
        <v>31143.96181190497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33521</v>
      </c>
      <c r="B33" s="66">
        <v>33521</v>
      </c>
      <c r="D33">
        <f t="shared" si="0"/>
        <v>27.248414891887499</v>
      </c>
      <c r="E33">
        <f t="shared" si="1"/>
        <v>27.248414891887499</v>
      </c>
      <c r="G33">
        <f t="shared" ca="1" si="2"/>
        <v>31</v>
      </c>
      <c r="H33">
        <f t="shared" ca="1" si="3"/>
        <v>844.7008616485125</v>
      </c>
      <c r="I33">
        <f t="shared" ca="1" si="4"/>
        <v>38537.687718064051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42750</v>
      </c>
      <c r="B36" s="66">
        <v>42750</v>
      </c>
      <c r="D36">
        <f t="shared" si="0"/>
        <v>34.75044708177532</v>
      </c>
      <c r="E36">
        <f t="shared" si="1"/>
        <v>34.75044708177532</v>
      </c>
      <c r="G36">
        <f t="shared" ca="1" si="2"/>
        <v>34</v>
      </c>
      <c r="H36">
        <f t="shared" ca="1" si="3"/>
        <v>1181.5152007803608</v>
      </c>
      <c r="I36">
        <f t="shared" ca="1" si="4"/>
        <v>41619.41210633071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52433</v>
      </c>
      <c r="B39" s="66">
        <v>52433</v>
      </c>
      <c r="D39">
        <f t="shared" si="0"/>
        <v>42.621524955291825</v>
      </c>
      <c r="E39">
        <f t="shared" si="1"/>
        <v>42.621524955291825</v>
      </c>
      <c r="G39">
        <f t="shared" ca="1" si="2"/>
        <v>37</v>
      </c>
      <c r="H39">
        <f t="shared" ca="1" si="3"/>
        <v>1576.9964233457974</v>
      </c>
      <c r="I39">
        <f t="shared" ca="1" si="4"/>
        <v>42579.827848350265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66542</v>
      </c>
      <c r="B41" s="66">
        <v>66542</v>
      </c>
      <c r="D41">
        <f t="shared" si="0"/>
        <v>54.09039180621037</v>
      </c>
      <c r="E41">
        <f t="shared" si="1"/>
        <v>54.09039180621037</v>
      </c>
      <c r="G41">
        <f t="shared" ca="1" si="2"/>
        <v>39</v>
      </c>
      <c r="H41">
        <f t="shared" ca="1" si="3"/>
        <v>2109.5252804422043</v>
      </c>
      <c r="I41">
        <f t="shared" ca="1" si="4"/>
        <v>47415.230240445359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79799</v>
      </c>
      <c r="B44" s="66">
        <v>79799</v>
      </c>
      <c r="D44">
        <f t="shared" si="0"/>
        <v>64.866688343358803</v>
      </c>
      <c r="E44">
        <f t="shared" si="1"/>
        <v>64.866688343358803</v>
      </c>
      <c r="G44">
        <f t="shared" ca="1" si="2"/>
        <v>42</v>
      </c>
      <c r="H44">
        <f t="shared" ca="1" si="3"/>
        <v>2724.4009104210695</v>
      </c>
      <c r="I44">
        <f t="shared" ca="1" si="4"/>
        <v>45922.284142988145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109160</v>
      </c>
      <c r="B46" s="66">
        <v>109160</v>
      </c>
      <c r="D46">
        <f t="shared" si="0"/>
        <v>88.733539261908632</v>
      </c>
      <c r="E46">
        <f t="shared" si="1"/>
        <v>88.733539261908632</v>
      </c>
      <c r="G46">
        <f t="shared" ca="1" si="2"/>
        <v>44</v>
      </c>
      <c r="H46">
        <f t="shared" ca="1" si="3"/>
        <v>3904.2757275239796</v>
      </c>
      <c r="I46">
        <f t="shared" ca="1" si="4"/>
        <v>53729.881932492826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112696</v>
      </c>
      <c r="B49" s="66">
        <v>112696</v>
      </c>
      <c r="D49">
        <f t="shared" si="0"/>
        <v>91.607868639245652</v>
      </c>
      <c r="E49">
        <f t="shared" si="1"/>
        <v>91.607868639245652</v>
      </c>
      <c r="G49">
        <f t="shared" ca="1" si="2"/>
        <v>47</v>
      </c>
      <c r="H49">
        <f t="shared" ca="1" si="3"/>
        <v>4305.5698260445461</v>
      </c>
      <c r="I49">
        <f t="shared" ca="1" si="4"/>
        <v>42769.478797475189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108456</v>
      </c>
      <c r="B51" s="66">
        <v>108456</v>
      </c>
      <c r="D51">
        <f t="shared" si="0"/>
        <v>88.161274589497637</v>
      </c>
      <c r="E51">
        <f t="shared" si="1"/>
        <v>88.161274589497637</v>
      </c>
      <c r="G51">
        <f t="shared" ca="1" si="2"/>
        <v>49</v>
      </c>
      <c r="H51">
        <f t="shared" ca="1" si="3"/>
        <v>4319.902454885384</v>
      </c>
      <c r="I51">
        <f t="shared" ca="1" si="4"/>
        <v>33893.283253035072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105445</v>
      </c>
      <c r="B54" s="66">
        <v>105445</v>
      </c>
      <c r="D54">
        <f t="shared" si="0"/>
        <v>85.713705088603476</v>
      </c>
      <c r="E54">
        <f t="shared" si="1"/>
        <v>85.713705088603476</v>
      </c>
      <c r="G54">
        <f t="shared" ca="1" si="2"/>
        <v>52</v>
      </c>
      <c r="H54">
        <f t="shared" ca="1" si="3"/>
        <v>4457.1126646073808</v>
      </c>
      <c r="I54">
        <f t="shared" ca="1" si="4"/>
        <v>23640.059132145616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118578</v>
      </c>
      <c r="B57" s="66">
        <v>118578</v>
      </c>
      <c r="D57">
        <f t="shared" si="0"/>
        <v>96.38920500731588</v>
      </c>
      <c r="E57">
        <f t="shared" si="1"/>
        <v>96.38920500731588</v>
      </c>
      <c r="G57">
        <f t="shared" ca="1" si="2"/>
        <v>55</v>
      </c>
      <c r="H57">
        <f t="shared" ca="1" si="3"/>
        <v>5301.4062754023735</v>
      </c>
      <c r="I57">
        <f t="shared" ca="1" si="4"/>
        <v>17847.302976085826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119128</v>
      </c>
      <c r="B59" s="66">
        <v>119128</v>
      </c>
      <c r="D59">
        <f t="shared" si="0"/>
        <v>96.836286782636975</v>
      </c>
      <c r="E59">
        <f t="shared" si="1"/>
        <v>96.836286782636975</v>
      </c>
      <c r="G59">
        <f t="shared" ca="1" si="2"/>
        <v>57</v>
      </c>
      <c r="H59">
        <f t="shared" ca="1" si="3"/>
        <v>5519.6683466103077</v>
      </c>
      <c r="I59">
        <f t="shared" ca="1" si="4"/>
        <v>13046.705907910247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120766</v>
      </c>
      <c r="B62" s="66">
        <v>120766</v>
      </c>
      <c r="D62">
        <f t="shared" si="0"/>
        <v>98.167777597138681</v>
      </c>
      <c r="E62">
        <f t="shared" si="1"/>
        <v>98.167777597138681</v>
      </c>
      <c r="G62">
        <f t="shared" ca="1" si="2"/>
        <v>60</v>
      </c>
      <c r="H62">
        <f t="shared" ca="1" si="3"/>
        <v>5890.066655828321</v>
      </c>
      <c r="I62">
        <f t="shared" ca="1" si="4"/>
        <v>7272.8273790195763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123020</v>
      </c>
      <c r="B64" s="66">
        <v>123020</v>
      </c>
      <c r="D64">
        <f t="shared" si="0"/>
        <v>100</v>
      </c>
      <c r="E64">
        <f t="shared" si="1"/>
        <v>100</v>
      </c>
      <c r="G64">
        <f t="shared" ca="1" si="2"/>
        <v>62</v>
      </c>
      <c r="H64">
        <f t="shared" ca="1" si="3"/>
        <v>6200</v>
      </c>
      <c r="I64">
        <f t="shared" ca="1" si="4"/>
        <v>4365.6470924210917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121127</v>
      </c>
      <c r="B67" s="66">
        <v>121127</v>
      </c>
      <c r="D67">
        <f t="shared" ref="D67:D130" si="5">IFERROR( 100*A67/MAX(A$2:A$257), 0 )</f>
        <v>98.461225816940342</v>
      </c>
      <c r="E67">
        <f t="shared" ref="E67:E130" si="6">IFERROR( 100*B67/MAX(B$2:B$257), 0 )</f>
        <v>98.461225816940342</v>
      </c>
      <c r="G67">
        <f t="shared" ref="G67:G130" ca="1" si="7">CELL("row",D67)-2</f>
        <v>65</v>
      </c>
      <c r="H67">
        <f t="shared" ref="H67:H130" ca="1" si="8">D67*G67</f>
        <v>6399.9796781011219</v>
      </c>
      <c r="I67">
        <f t="shared" ref="I67:I130" ca="1" si="9">D67*((G67-$L$1)^2)</f>
        <v>1281.2409537759381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111656</v>
      </c>
      <c r="B69" s="66">
        <v>111656</v>
      </c>
      <c r="D69">
        <f t="shared" si="5"/>
        <v>90.762477645911233</v>
      </c>
      <c r="E69">
        <f t="shared" si="6"/>
        <v>90.762477645911233</v>
      </c>
      <c r="G69">
        <f t="shared" ca="1" si="7"/>
        <v>67</v>
      </c>
      <c r="H69">
        <f t="shared" ca="1" si="8"/>
        <v>6081.0860022760526</v>
      </c>
      <c r="I69">
        <f t="shared" ca="1" si="9"/>
        <v>234.47826349041972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113500</v>
      </c>
      <c r="B72" s="66">
        <v>113500</v>
      </c>
      <c r="D72">
        <f t="shared" si="5"/>
        <v>92.261420907169565</v>
      </c>
      <c r="E72">
        <f t="shared" si="6"/>
        <v>92.261420907169565</v>
      </c>
      <c r="G72">
        <f t="shared" ca="1" si="7"/>
        <v>70</v>
      </c>
      <c r="H72">
        <f t="shared" ca="1" si="8"/>
        <v>6458.2994635018695</v>
      </c>
      <c r="I72">
        <f t="shared" ca="1" si="9"/>
        <v>178.9503573326831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93971</v>
      </c>
      <c r="B75" s="66">
        <v>93971</v>
      </c>
      <c r="D75">
        <f t="shared" si="5"/>
        <v>76.386766379450492</v>
      </c>
      <c r="E75">
        <f t="shared" si="6"/>
        <v>76.386766379450492</v>
      </c>
      <c r="G75">
        <f t="shared" ca="1" si="7"/>
        <v>73</v>
      </c>
      <c r="H75">
        <f t="shared" ca="1" si="8"/>
        <v>5576.2339456998861</v>
      </c>
      <c r="I75">
        <f t="shared" ca="1" si="9"/>
        <v>1473.9418549998784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81572</v>
      </c>
      <c r="B77" s="66">
        <v>81572</v>
      </c>
      <c r="D77">
        <f t="shared" si="5"/>
        <v>66.307917411802961</v>
      </c>
      <c r="E77">
        <f t="shared" si="6"/>
        <v>66.307917411802961</v>
      </c>
      <c r="G77">
        <f t="shared" ca="1" si="7"/>
        <v>75</v>
      </c>
      <c r="H77">
        <f t="shared" ca="1" si="8"/>
        <v>4973.0938058852225</v>
      </c>
      <c r="I77">
        <f t="shared" ca="1" si="9"/>
        <v>2709.7763214541551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70057</v>
      </c>
      <c r="B80" s="66">
        <v>70057</v>
      </c>
      <c r="D80">
        <f t="shared" si="5"/>
        <v>56.947650788489675</v>
      </c>
      <c r="E80">
        <f t="shared" si="6"/>
        <v>56.947650788489675</v>
      </c>
      <c r="G80">
        <f t="shared" ca="1" si="7"/>
        <v>78</v>
      </c>
      <c r="H80">
        <f t="shared" ca="1" si="8"/>
        <v>4441.9167615021943</v>
      </c>
      <c r="I80">
        <f t="shared" ca="1" si="9"/>
        <v>5024.0772970575808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66262</v>
      </c>
      <c r="B82" s="66">
        <v>66262</v>
      </c>
      <c r="D82">
        <f t="shared" si="5"/>
        <v>53.862786538774181</v>
      </c>
      <c r="E82">
        <f t="shared" si="6"/>
        <v>53.862786538774181</v>
      </c>
      <c r="G82">
        <f t="shared" ca="1" si="7"/>
        <v>80</v>
      </c>
      <c r="H82">
        <f t="shared" ca="1" si="8"/>
        <v>4309.0229231019348</v>
      </c>
      <c r="I82">
        <f t="shared" ca="1" si="9"/>
        <v>6991.0403340518114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60151</v>
      </c>
      <c r="B85" s="66">
        <v>60151</v>
      </c>
      <c r="D85">
        <f t="shared" si="5"/>
        <v>48.89530157697935</v>
      </c>
      <c r="E85">
        <f t="shared" si="6"/>
        <v>48.89530157697935</v>
      </c>
      <c r="G85">
        <f t="shared" ca="1" si="7"/>
        <v>83</v>
      </c>
      <c r="H85">
        <f t="shared" ca="1" si="8"/>
        <v>4058.3100308892858</v>
      </c>
      <c r="I85">
        <f t="shared" ca="1" si="9"/>
        <v>10128.646453883461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61458</v>
      </c>
      <c r="B88" s="66">
        <v>61458</v>
      </c>
      <c r="D88">
        <f t="shared" si="5"/>
        <v>49.95773045033328</v>
      </c>
      <c r="E88">
        <f t="shared" si="6"/>
        <v>49.95773045033328</v>
      </c>
      <c r="G88">
        <f t="shared" ca="1" si="7"/>
        <v>86</v>
      </c>
      <c r="H88">
        <f t="shared" ca="1" si="8"/>
        <v>4296.3648187286617</v>
      </c>
      <c r="I88">
        <f t="shared" ca="1" si="9"/>
        <v>15112.506292303708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59545</v>
      </c>
      <c r="B90" s="66">
        <v>59545</v>
      </c>
      <c r="D90">
        <f t="shared" si="5"/>
        <v>48.402698748171026</v>
      </c>
      <c r="E90">
        <f t="shared" si="6"/>
        <v>48.402698748171026</v>
      </c>
      <c r="G90">
        <f t="shared" ca="1" si="7"/>
        <v>88</v>
      </c>
      <c r="H90">
        <f t="shared" ca="1" si="8"/>
        <v>4259.4374898390506</v>
      </c>
      <c r="I90">
        <f t="shared" ca="1" si="9"/>
        <v>18203.124512109051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52344</v>
      </c>
      <c r="B93" s="66">
        <v>52344</v>
      </c>
      <c r="D93">
        <f t="shared" si="5"/>
        <v>42.549178995285317</v>
      </c>
      <c r="E93">
        <f t="shared" si="6"/>
        <v>42.549178995285317</v>
      </c>
      <c r="G93">
        <f t="shared" ca="1" si="7"/>
        <v>91</v>
      </c>
      <c r="H93">
        <f t="shared" ca="1" si="8"/>
        <v>3871.975288570964</v>
      </c>
      <c r="I93">
        <f t="shared" ca="1" si="9"/>
        <v>21335.554725611848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46731</v>
      </c>
      <c r="B95" s="66">
        <v>46731</v>
      </c>
      <c r="D95">
        <f t="shared" si="5"/>
        <v>37.986506259144853</v>
      </c>
      <c r="E95">
        <f t="shared" si="6"/>
        <v>37.986506259144853</v>
      </c>
      <c r="G95">
        <f t="shared" ca="1" si="7"/>
        <v>93</v>
      </c>
      <c r="H95">
        <f t="shared" ca="1" si="8"/>
        <v>3532.7450821004713</v>
      </c>
      <c r="I95">
        <f t="shared" ca="1" si="9"/>
        <v>22602.107995262035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42750</v>
      </c>
      <c r="B98" s="66">
        <v>42750</v>
      </c>
      <c r="D98">
        <f t="shared" si="5"/>
        <v>34.75044708177532</v>
      </c>
      <c r="E98">
        <f t="shared" si="6"/>
        <v>34.75044708177532</v>
      </c>
      <c r="G98">
        <f t="shared" ca="1" si="7"/>
        <v>96</v>
      </c>
      <c r="H98">
        <f t="shared" ca="1" si="8"/>
        <v>3336.0429198504307</v>
      </c>
      <c r="I98">
        <f t="shared" ca="1" si="9"/>
        <v>26075.337630801834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42939</v>
      </c>
      <c r="B100" s="66">
        <v>42939</v>
      </c>
      <c r="D100">
        <f t="shared" si="5"/>
        <v>34.904080637294747</v>
      </c>
      <c r="E100">
        <f t="shared" si="6"/>
        <v>34.904080637294747</v>
      </c>
      <c r="G100">
        <f t="shared" ca="1" si="7"/>
        <v>98</v>
      </c>
      <c r="H100">
        <f t="shared" ca="1" si="8"/>
        <v>3420.5999024548851</v>
      </c>
      <c r="I100">
        <f t="shared" ca="1" si="9"/>
        <v>30154.701823172869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39331</v>
      </c>
      <c r="B103" s="66">
        <v>39331</v>
      </c>
      <c r="D103">
        <f t="shared" si="5"/>
        <v>31.971224191188426</v>
      </c>
      <c r="E103">
        <f t="shared" si="6"/>
        <v>31.971224191188426</v>
      </c>
      <c r="G103">
        <f t="shared" ca="1" si="7"/>
        <v>101</v>
      </c>
      <c r="H103">
        <f t="shared" ca="1" si="8"/>
        <v>3229.093643310031</v>
      </c>
      <c r="I103">
        <f t="shared" ca="1" si="9"/>
        <v>33546.981309161507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36797</v>
      </c>
      <c r="B106" s="66">
        <v>36797</v>
      </c>
      <c r="D106">
        <f t="shared" si="5"/>
        <v>29.911396520890911</v>
      </c>
      <c r="E106">
        <f t="shared" si="6"/>
        <v>29.911396520890911</v>
      </c>
      <c r="G106">
        <f t="shared" ca="1" si="7"/>
        <v>104</v>
      </c>
      <c r="H106">
        <f t="shared" ca="1" si="8"/>
        <v>3110.7852381726548</v>
      </c>
      <c r="I106">
        <f t="shared" ca="1" si="9"/>
        <v>37468.29861756567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35445</v>
      </c>
      <c r="B108" s="66">
        <v>35445</v>
      </c>
      <c r="D108">
        <f t="shared" si="5"/>
        <v>28.81238822955617</v>
      </c>
      <c r="E108">
        <f t="shared" si="6"/>
        <v>28.81238822955617</v>
      </c>
      <c r="G108">
        <f t="shared" ca="1" si="7"/>
        <v>106</v>
      </c>
      <c r="H108">
        <f t="shared" ca="1" si="8"/>
        <v>3054.1131523329541</v>
      </c>
      <c r="I108">
        <f t="shared" ca="1" si="9"/>
        <v>40285.875581202949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35629</v>
      </c>
      <c r="B111" s="66">
        <v>35629</v>
      </c>
      <c r="D111">
        <f t="shared" si="5"/>
        <v>28.961957405299952</v>
      </c>
      <c r="E111">
        <f t="shared" si="6"/>
        <v>28.961957405299952</v>
      </c>
      <c r="G111">
        <f t="shared" ca="1" si="7"/>
        <v>109</v>
      </c>
      <c r="H111">
        <f t="shared" ca="1" si="8"/>
        <v>3156.8533571776948</v>
      </c>
      <c r="I111">
        <f t="shared" ca="1" si="9"/>
        <v>47253.456816673381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33563</v>
      </c>
      <c r="B113" s="66">
        <v>33563</v>
      </c>
      <c r="D113">
        <f t="shared" si="5"/>
        <v>27.282555682002926</v>
      </c>
      <c r="E113">
        <f t="shared" si="6"/>
        <v>27.282555682002926</v>
      </c>
      <c r="G113">
        <f t="shared" ca="1" si="7"/>
        <v>111</v>
      </c>
      <c r="H113">
        <f t="shared" ca="1" si="8"/>
        <v>3028.3636807023249</v>
      </c>
      <c r="I113">
        <f t="shared" ca="1" si="9"/>
        <v>49030.589674863419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27424</v>
      </c>
      <c r="B116" s="66">
        <v>27424</v>
      </c>
      <c r="D116">
        <f t="shared" si="5"/>
        <v>22.292310193464477</v>
      </c>
      <c r="E116">
        <f t="shared" si="6"/>
        <v>22.292310193464477</v>
      </c>
      <c r="G116">
        <f t="shared" ca="1" si="7"/>
        <v>114</v>
      </c>
      <c r="H116">
        <f t="shared" ca="1" si="8"/>
        <v>2541.3233620549504</v>
      </c>
      <c r="I116">
        <f t="shared" ca="1" si="9"/>
        <v>45933.234204752407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31087</v>
      </c>
      <c r="B118" s="66">
        <v>31087</v>
      </c>
      <c r="D118">
        <f t="shared" si="5"/>
        <v>25.26987481710291</v>
      </c>
      <c r="E118">
        <f t="shared" si="6"/>
        <v>25.26987481710291</v>
      </c>
      <c r="G118">
        <f t="shared" ca="1" si="7"/>
        <v>116</v>
      </c>
      <c r="H118">
        <f t="shared" ca="1" si="8"/>
        <v>2931.3054787839374</v>
      </c>
      <c r="I118">
        <f t="shared" ca="1" si="9"/>
        <v>56757.84708003985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23438</v>
      </c>
      <c r="B121" s="66">
        <v>23438</v>
      </c>
      <c r="D121">
        <f t="shared" si="5"/>
        <v>19.052186636319298</v>
      </c>
      <c r="E121">
        <f t="shared" si="6"/>
        <v>19.052186636319298</v>
      </c>
      <c r="G121">
        <f t="shared" ca="1" si="7"/>
        <v>119</v>
      </c>
      <c r="H121">
        <f t="shared" ca="1" si="8"/>
        <v>2267.2102097219963</v>
      </c>
      <c r="I121">
        <f t="shared" ca="1" si="9"/>
        <v>48381.575685701726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16216</v>
      </c>
      <c r="B124" s="66">
        <v>16216</v>
      </c>
      <c r="D124">
        <f t="shared" si="5"/>
        <v>13.181596488375874</v>
      </c>
      <c r="E124">
        <f t="shared" si="6"/>
        <v>13.181596488375874</v>
      </c>
      <c r="G124">
        <f t="shared" ca="1" si="7"/>
        <v>122</v>
      </c>
      <c r="H124">
        <f t="shared" ca="1" si="8"/>
        <v>1608.1547715818565</v>
      </c>
      <c r="I124">
        <f t="shared" ca="1" si="9"/>
        <v>37577.830945835063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15797</v>
      </c>
      <c r="B126" s="66">
        <v>15797</v>
      </c>
      <c r="D126">
        <f t="shared" si="5"/>
        <v>12.841001463176719</v>
      </c>
      <c r="E126">
        <f t="shared" si="6"/>
        <v>12.841001463176719</v>
      </c>
      <c r="G126">
        <f t="shared" ca="1" si="7"/>
        <v>124</v>
      </c>
      <c r="H126">
        <f t="shared" ca="1" si="8"/>
        <v>1592.2841814339131</v>
      </c>
      <c r="I126">
        <f t="shared" ca="1" si="9"/>
        <v>39400.696214885436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12312</v>
      </c>
      <c r="B129" s="66">
        <v>12312</v>
      </c>
      <c r="D129">
        <f t="shared" si="5"/>
        <v>10.008128759551292</v>
      </c>
      <c r="E129">
        <f t="shared" si="6"/>
        <v>10.008128759551292</v>
      </c>
      <c r="G129">
        <f t="shared" ca="1" si="7"/>
        <v>127</v>
      </c>
      <c r="H129">
        <f t="shared" ca="1" si="8"/>
        <v>1271.0323524630141</v>
      </c>
      <c r="I129">
        <f t="shared" ca="1" si="9"/>
        <v>34124.785726981143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12293</v>
      </c>
      <c r="B131" s="66">
        <v>12293</v>
      </c>
      <c r="D131">
        <f t="shared" ref="D131:D194" si="10">IFERROR( 100*A131/MAX(A$2:A$257), 0 )</f>
        <v>9.9926841164038365</v>
      </c>
      <c r="E131">
        <f t="shared" ref="E131:E194" si="11">IFERROR( 100*B131/MAX(B$2:B$257), 0 )</f>
        <v>9.9926841164038365</v>
      </c>
      <c r="G131">
        <f t="shared" ref="G131:G194" ca="1" si="12">CELL("row",D131)-2</f>
        <v>129</v>
      </c>
      <c r="H131">
        <f t="shared" ref="H131:H194" ca="1" si="13">D131*G131</f>
        <v>1289.0562510160948</v>
      </c>
      <c r="I131">
        <f t="shared" ref="I131:I194" ca="1" si="14">D131*((G131-$L$1)^2)</f>
        <v>36446.093805965225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9145</v>
      </c>
      <c r="B134" s="66">
        <v>9145</v>
      </c>
      <c r="D134">
        <f t="shared" si="10"/>
        <v>7.4337506096569665</v>
      </c>
      <c r="E134">
        <f t="shared" si="11"/>
        <v>7.4337506096569665</v>
      </c>
      <c r="G134">
        <f t="shared" ca="1" si="12"/>
        <v>132</v>
      </c>
      <c r="H134">
        <f t="shared" ca="1" si="13"/>
        <v>981.25508047471953</v>
      </c>
      <c r="I134">
        <f t="shared" ca="1" si="14"/>
        <v>29873.521909200175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7483</v>
      </c>
      <c r="B136" s="66">
        <v>7483</v>
      </c>
      <c r="D136">
        <f t="shared" si="10"/>
        <v>6.0827507722321572</v>
      </c>
      <c r="E136">
        <f t="shared" si="11"/>
        <v>6.0827507722321572</v>
      </c>
      <c r="G136">
        <f t="shared" ca="1" si="12"/>
        <v>134</v>
      </c>
      <c r="H136">
        <f t="shared" ca="1" si="13"/>
        <v>815.08860347910911</v>
      </c>
      <c r="I136">
        <f t="shared" ca="1" si="14"/>
        <v>26011.087093714592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5324</v>
      </c>
      <c r="B139" s="66">
        <v>5324</v>
      </c>
      <c r="D139">
        <f t="shared" si="10"/>
        <v>4.3277515851081123</v>
      </c>
      <c r="E139">
        <f t="shared" si="11"/>
        <v>4.3277515851081123</v>
      </c>
      <c r="G139">
        <f t="shared" ca="1" si="12"/>
        <v>137</v>
      </c>
      <c r="H139">
        <f t="shared" ca="1" si="13"/>
        <v>592.90196715981142</v>
      </c>
      <c r="I139">
        <f t="shared" ca="1" si="14"/>
        <v>20243.321238972781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2660</v>
      </c>
      <c r="B142" s="66">
        <v>2660</v>
      </c>
      <c r="D142">
        <f t="shared" si="10"/>
        <v>2.1622500406437979</v>
      </c>
      <c r="E142">
        <f t="shared" si="11"/>
        <v>2.1622500406437979</v>
      </c>
      <c r="G142">
        <f t="shared" ca="1" si="12"/>
        <v>140</v>
      </c>
      <c r="H142">
        <f t="shared" ca="1" si="13"/>
        <v>302.7150056901317</v>
      </c>
      <c r="I142">
        <f t="shared" ca="1" si="14"/>
        <v>11020.808969964839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1914</v>
      </c>
      <c r="B144" s="66">
        <v>1914</v>
      </c>
      <c r="D144">
        <f t="shared" si="10"/>
        <v>1.5558445781173793</v>
      </c>
      <c r="E144">
        <f t="shared" si="11"/>
        <v>1.5558445781173793</v>
      </c>
      <c r="G144">
        <f t="shared" ca="1" si="12"/>
        <v>142</v>
      </c>
      <c r="H144">
        <f t="shared" ca="1" si="13"/>
        <v>220.92993009266786</v>
      </c>
      <c r="I144">
        <f t="shared" ca="1" si="14"/>
        <v>8380.5377968728517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1815</v>
      </c>
      <c r="B147" s="66">
        <v>1815</v>
      </c>
      <c r="D147">
        <f t="shared" si="10"/>
        <v>1.4753698585595838</v>
      </c>
      <c r="E147">
        <f t="shared" si="11"/>
        <v>1.4753698585595838</v>
      </c>
      <c r="G147">
        <f t="shared" ca="1" si="12"/>
        <v>145</v>
      </c>
      <c r="H147">
        <f t="shared" ca="1" si="13"/>
        <v>213.92862949113965</v>
      </c>
      <c r="I147">
        <f t="shared" ca="1" si="14"/>
        <v>8610.0282585599325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701</v>
      </c>
      <c r="B149" s="66">
        <v>701</v>
      </c>
      <c r="D149">
        <f t="shared" si="10"/>
        <v>0.56982604454560237</v>
      </c>
      <c r="E149">
        <f t="shared" si="11"/>
        <v>0.56982604454560237</v>
      </c>
      <c r="G149">
        <f t="shared" ca="1" si="12"/>
        <v>147</v>
      </c>
      <c r="H149">
        <f t="shared" ca="1" si="13"/>
        <v>83.764428548203554</v>
      </c>
      <c r="I149">
        <f t="shared" ca="1" si="14"/>
        <v>3501.8173673951505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558</v>
      </c>
      <c r="B152" s="66">
        <v>558</v>
      </c>
      <c r="D152">
        <f t="shared" si="10"/>
        <v>0.45358478296211996</v>
      </c>
      <c r="E152">
        <f t="shared" si="11"/>
        <v>0.45358478296211996</v>
      </c>
      <c r="G152">
        <f t="shared" ca="1" si="12"/>
        <v>150</v>
      </c>
      <c r="H152">
        <f t="shared" ca="1" si="13"/>
        <v>68.037717444317991</v>
      </c>
      <c r="I152">
        <f t="shared" ca="1" si="14"/>
        <v>3004.8952723549623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76</v>
      </c>
      <c r="B154" s="66">
        <v>76</v>
      </c>
      <c r="D154">
        <f t="shared" si="10"/>
        <v>6.1778572589822792E-2</v>
      </c>
      <c r="E154">
        <f t="shared" si="11"/>
        <v>6.1778572589822792E-2</v>
      </c>
      <c r="G154">
        <f t="shared" ca="1" si="12"/>
        <v>152</v>
      </c>
      <c r="H154">
        <f t="shared" ca="1" si="13"/>
        <v>9.390343033653064</v>
      </c>
      <c r="I154">
        <f t="shared" ca="1" si="14"/>
        <v>429.62930265505719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99.111025943943474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1.9135851617359636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0.57993240821409731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41</v>
      </c>
      <c r="B8" s="66">
        <v>41</v>
      </c>
      <c r="D8">
        <f t="shared" si="0"/>
        <v>2.6063353018581262E-2</v>
      </c>
      <c r="E8">
        <f t="shared" si="1"/>
        <v>2.6063353018581262E-2</v>
      </c>
      <c r="G8">
        <f t="shared" ca="1" si="2"/>
        <v>6</v>
      </c>
      <c r="H8">
        <f t="shared" ca="1" si="3"/>
        <v>0.15638011811148758</v>
      </c>
      <c r="I8">
        <f t="shared" ca="1" si="4"/>
        <v>225.96049129145968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81</v>
      </c>
      <c r="B10" s="66">
        <v>81</v>
      </c>
      <c r="D10">
        <f t="shared" si="0"/>
        <v>5.1491014500123958E-2</v>
      </c>
      <c r="E10">
        <f t="shared" si="1"/>
        <v>5.1491014500123958E-2</v>
      </c>
      <c r="G10">
        <f t="shared" ca="1" si="2"/>
        <v>8</v>
      </c>
      <c r="H10">
        <f t="shared" ca="1" si="3"/>
        <v>0.41192811600099166</v>
      </c>
      <c r="I10">
        <f t="shared" ca="1" si="4"/>
        <v>427.43819039800218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203</v>
      </c>
      <c r="B13" s="66">
        <v>203</v>
      </c>
      <c r="D13">
        <f t="shared" si="0"/>
        <v>0.12904538201882917</v>
      </c>
      <c r="E13">
        <f t="shared" si="1"/>
        <v>0.12904538201882917</v>
      </c>
      <c r="G13">
        <f t="shared" ca="1" si="2"/>
        <v>11</v>
      </c>
      <c r="H13">
        <f t="shared" ca="1" si="3"/>
        <v>1.4194992022071209</v>
      </c>
      <c r="I13">
        <f t="shared" ca="1" si="4"/>
        <v>1001.8506488869288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1489</v>
      </c>
      <c r="B15" s="66">
        <v>1489</v>
      </c>
      <c r="D15">
        <f t="shared" si="0"/>
        <v>0.9465446986504269</v>
      </c>
      <c r="E15">
        <f t="shared" si="1"/>
        <v>0.9465446986504269</v>
      </c>
      <c r="G15">
        <f t="shared" ca="1" si="2"/>
        <v>13</v>
      </c>
      <c r="H15">
        <f t="shared" ca="1" si="3"/>
        <v>12.305081082455549</v>
      </c>
      <c r="I15">
        <f t="shared" ca="1" si="4"/>
        <v>7018.7319142563083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2107</v>
      </c>
      <c r="B18" s="66">
        <v>2107</v>
      </c>
      <c r="D18">
        <f t="shared" si="0"/>
        <v>1.3394020685402614</v>
      </c>
      <c r="E18">
        <f t="shared" si="1"/>
        <v>1.3394020685402614</v>
      </c>
      <c r="G18">
        <f t="shared" ca="1" si="2"/>
        <v>16</v>
      </c>
      <c r="H18">
        <f t="shared" ca="1" si="3"/>
        <v>21.430433096644183</v>
      </c>
      <c r="I18">
        <f t="shared" ca="1" si="4"/>
        <v>9251.8429515726111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1108</v>
      </c>
      <c r="B21" s="66">
        <v>1108</v>
      </c>
      <c r="D21">
        <f t="shared" si="0"/>
        <v>0.70434622303873273</v>
      </c>
      <c r="E21">
        <f t="shared" si="1"/>
        <v>0.70434622303873273</v>
      </c>
      <c r="G21">
        <f t="shared" ca="1" si="2"/>
        <v>19</v>
      </c>
      <c r="H21">
        <f t="shared" ca="1" si="3"/>
        <v>13.382578237735922</v>
      </c>
      <c r="I21">
        <f t="shared" ca="1" si="4"/>
        <v>4520.336622439042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1346</v>
      </c>
      <c r="B23" s="66">
        <v>1346</v>
      </c>
      <c r="D23">
        <f t="shared" si="0"/>
        <v>0.85564080885391169</v>
      </c>
      <c r="E23">
        <f t="shared" si="1"/>
        <v>0.85564080885391169</v>
      </c>
      <c r="G23">
        <f t="shared" ca="1" si="2"/>
        <v>21</v>
      </c>
      <c r="H23">
        <f t="shared" ca="1" si="3"/>
        <v>17.968456985932146</v>
      </c>
      <c r="I23">
        <f t="shared" ca="1" si="4"/>
        <v>5220.5489675891031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2342</v>
      </c>
      <c r="B26" s="66">
        <v>2342</v>
      </c>
      <c r="D26">
        <f t="shared" si="0"/>
        <v>1.4887895797443249</v>
      </c>
      <c r="E26">
        <f t="shared" si="1"/>
        <v>1.4887895797443249</v>
      </c>
      <c r="G26">
        <f t="shared" ca="1" si="2"/>
        <v>24</v>
      </c>
      <c r="H26">
        <f t="shared" ca="1" si="3"/>
        <v>35.730949913863796</v>
      </c>
      <c r="I26">
        <f t="shared" ca="1" si="4"/>
        <v>8399.2538782776573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3271</v>
      </c>
      <c r="B28" s="66">
        <v>3271</v>
      </c>
      <c r="D28">
        <f t="shared" si="0"/>
        <v>2.0793470176531539</v>
      </c>
      <c r="E28">
        <f t="shared" si="1"/>
        <v>2.0793470176531539</v>
      </c>
      <c r="G28">
        <f t="shared" ca="1" si="2"/>
        <v>26</v>
      </c>
      <c r="H28">
        <f t="shared" ca="1" si="3"/>
        <v>54.063022458982005</v>
      </c>
      <c r="I28">
        <f t="shared" ca="1" si="4"/>
        <v>11114.57166263724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4027</v>
      </c>
      <c r="B31" s="66">
        <v>4027</v>
      </c>
      <c r="D31">
        <f t="shared" si="0"/>
        <v>2.559929819654311</v>
      </c>
      <c r="E31">
        <f t="shared" si="1"/>
        <v>2.559929819654311</v>
      </c>
      <c r="G31">
        <f t="shared" ca="1" si="2"/>
        <v>29</v>
      </c>
      <c r="H31">
        <f t="shared" ca="1" si="3"/>
        <v>74.237964769975022</v>
      </c>
      <c r="I31">
        <f t="shared" ca="1" si="4"/>
        <v>12583.478279399076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5978</v>
      </c>
      <c r="B33" s="66">
        <v>5978</v>
      </c>
      <c r="D33">
        <f t="shared" si="0"/>
        <v>3.800164008416556</v>
      </c>
      <c r="E33">
        <f t="shared" si="1"/>
        <v>3.800164008416556</v>
      </c>
      <c r="G33">
        <f t="shared" ca="1" si="2"/>
        <v>31</v>
      </c>
      <c r="H33">
        <f t="shared" ca="1" si="3"/>
        <v>117.80508426091323</v>
      </c>
      <c r="I33">
        <f t="shared" ca="1" si="4"/>
        <v>17629.385902908441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10790</v>
      </c>
      <c r="B36" s="66">
        <v>10790</v>
      </c>
      <c r="D36">
        <f t="shared" si="0"/>
        <v>6.859111684646142</v>
      </c>
      <c r="E36">
        <f t="shared" si="1"/>
        <v>6.859111684646142</v>
      </c>
      <c r="G36">
        <f t="shared" ca="1" si="2"/>
        <v>34</v>
      </c>
      <c r="H36">
        <f t="shared" ca="1" si="3"/>
        <v>233.20979727796882</v>
      </c>
      <c r="I36">
        <f t="shared" ca="1" si="4"/>
        <v>29078.831533677265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13693</v>
      </c>
      <c r="B39" s="66">
        <v>13693</v>
      </c>
      <c r="D39">
        <f t="shared" si="0"/>
        <v>8.7045242166691033</v>
      </c>
      <c r="E39">
        <f t="shared" si="1"/>
        <v>8.7045242166691033</v>
      </c>
      <c r="G39">
        <f t="shared" ca="1" si="2"/>
        <v>37</v>
      </c>
      <c r="H39">
        <f t="shared" ca="1" si="3"/>
        <v>322.06739601675685</v>
      </c>
      <c r="I39">
        <f t="shared" ca="1" si="4"/>
        <v>33580.135461658036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16591</v>
      </c>
      <c r="B41" s="66">
        <v>16591</v>
      </c>
      <c r="D41">
        <f t="shared" si="0"/>
        <v>10.546758291006872</v>
      </c>
      <c r="E41">
        <f t="shared" si="1"/>
        <v>10.546758291006872</v>
      </c>
      <c r="G41">
        <f t="shared" ca="1" si="2"/>
        <v>39</v>
      </c>
      <c r="H41">
        <f t="shared" ca="1" si="3"/>
        <v>411.32357334926803</v>
      </c>
      <c r="I41">
        <f t="shared" ca="1" si="4"/>
        <v>38108.975510361706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24348</v>
      </c>
      <c r="B44" s="66">
        <v>24348</v>
      </c>
      <c r="D44">
        <f t="shared" si="0"/>
        <v>15.477817543815039</v>
      </c>
      <c r="E44">
        <f t="shared" si="1"/>
        <v>15.477817543815039</v>
      </c>
      <c r="G44">
        <f t="shared" ca="1" si="2"/>
        <v>42</v>
      </c>
      <c r="H44">
        <f t="shared" ca="1" si="3"/>
        <v>650.06833684023161</v>
      </c>
      <c r="I44">
        <f t="shared" ca="1" si="4"/>
        <v>50483.522071741296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24524</v>
      </c>
      <c r="B46" s="66">
        <v>24524</v>
      </c>
      <c r="D46">
        <f t="shared" si="0"/>
        <v>15.589699254333826</v>
      </c>
      <c r="E46">
        <f t="shared" si="1"/>
        <v>15.589699254333826</v>
      </c>
      <c r="G46">
        <f t="shared" ca="1" si="2"/>
        <v>44</v>
      </c>
      <c r="H46">
        <f t="shared" ca="1" si="3"/>
        <v>685.94676719068832</v>
      </c>
      <c r="I46">
        <f t="shared" ca="1" si="4"/>
        <v>47349.42713315037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32655</v>
      </c>
      <c r="B49" s="66">
        <v>32655</v>
      </c>
      <c r="D49">
        <f t="shared" si="0"/>
        <v>20.758507141994418</v>
      </c>
      <c r="E49">
        <f t="shared" si="1"/>
        <v>20.758507141994418</v>
      </c>
      <c r="G49">
        <f t="shared" ca="1" si="2"/>
        <v>47</v>
      </c>
      <c r="H49">
        <f t="shared" ca="1" si="3"/>
        <v>975.64983567373758</v>
      </c>
      <c r="I49">
        <f t="shared" ca="1" si="4"/>
        <v>56370.951413524068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49514</v>
      </c>
      <c r="B51" s="66">
        <v>49514</v>
      </c>
      <c r="D51">
        <f t="shared" si="0"/>
        <v>31.475630764927626</v>
      </c>
      <c r="E51">
        <f t="shared" si="1"/>
        <v>31.475630764927626</v>
      </c>
      <c r="G51">
        <f t="shared" ca="1" si="2"/>
        <v>49</v>
      </c>
      <c r="H51">
        <f t="shared" ca="1" si="3"/>
        <v>1542.3059074814537</v>
      </c>
      <c r="I51">
        <f t="shared" ca="1" si="4"/>
        <v>79038.926066561777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60635</v>
      </c>
      <c r="B54" s="66">
        <v>60635</v>
      </c>
      <c r="D54">
        <f t="shared" si="0"/>
        <v>38.545156348333535</v>
      </c>
      <c r="E54">
        <f t="shared" si="1"/>
        <v>38.545156348333535</v>
      </c>
      <c r="G54">
        <f t="shared" ca="1" si="2"/>
        <v>52</v>
      </c>
      <c r="H54">
        <f t="shared" ca="1" si="3"/>
        <v>2004.3481301133438</v>
      </c>
      <c r="I54">
        <f t="shared" ca="1" si="4"/>
        <v>85548.999672963182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79210</v>
      </c>
      <c r="B57" s="66">
        <v>79210</v>
      </c>
      <c r="D57">
        <f t="shared" si="0"/>
        <v>50.353126648824926</v>
      </c>
      <c r="E57">
        <f t="shared" si="1"/>
        <v>50.353126648824926</v>
      </c>
      <c r="G57">
        <f t="shared" ca="1" si="2"/>
        <v>55</v>
      </c>
      <c r="H57">
        <f t="shared" ca="1" si="3"/>
        <v>2769.4219656853711</v>
      </c>
      <c r="I57">
        <f t="shared" ca="1" si="4"/>
        <v>97976.23818371282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74528</v>
      </c>
      <c r="B59" s="66">
        <v>74528</v>
      </c>
      <c r="D59">
        <f t="shared" si="0"/>
        <v>47.376818872410354</v>
      </c>
      <c r="E59">
        <f t="shared" si="1"/>
        <v>47.376818872410354</v>
      </c>
      <c r="G59">
        <f t="shared" ca="1" si="2"/>
        <v>57</v>
      </c>
      <c r="H59">
        <f t="shared" ca="1" si="3"/>
        <v>2700.4786757273901</v>
      </c>
      <c r="I59">
        <f t="shared" ca="1" si="4"/>
        <v>84015.137200671757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76503</v>
      </c>
      <c r="B62" s="66">
        <v>76503</v>
      </c>
      <c r="D62">
        <f t="shared" si="0"/>
        <v>48.632309658061523</v>
      </c>
      <c r="E62">
        <f t="shared" si="1"/>
        <v>48.632309658061523</v>
      </c>
      <c r="G62">
        <f t="shared" ca="1" si="2"/>
        <v>60</v>
      </c>
      <c r="H62">
        <f t="shared" ca="1" si="3"/>
        <v>2917.9385794836912</v>
      </c>
      <c r="I62">
        <f t="shared" ca="1" si="4"/>
        <v>74391.499419435218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84738</v>
      </c>
      <c r="B64" s="66">
        <v>84738</v>
      </c>
      <c r="D64">
        <f t="shared" si="0"/>
        <v>53.867229465574127</v>
      </c>
      <c r="E64">
        <f t="shared" si="1"/>
        <v>53.867229465574127</v>
      </c>
      <c r="G64">
        <f t="shared" ca="1" si="2"/>
        <v>62</v>
      </c>
      <c r="H64">
        <f t="shared" ca="1" si="3"/>
        <v>3339.7682268655958</v>
      </c>
      <c r="I64">
        <f t="shared" ca="1" si="4"/>
        <v>74187.469986721379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87334</v>
      </c>
      <c r="B67" s="66">
        <v>87334</v>
      </c>
      <c r="D67">
        <f t="shared" ref="D67:D130" si="5">IFERROR(100*A67/MAX(A$2:A$257), 0 )</f>
        <v>55.517484695726246</v>
      </c>
      <c r="E67">
        <f t="shared" ref="E67:E130" si="6">IFERROR(100*B67/MAX(B$2:B$257), 0 )</f>
        <v>55.517484695726246</v>
      </c>
      <c r="G67">
        <f t="shared" ref="G67:G130" ca="1" si="7">CELL("row",D67)-2</f>
        <v>65</v>
      </c>
      <c r="H67">
        <f t="shared" ref="H67:H130" ca="1" si="8">D67*G67</f>
        <v>3608.6365052222059</v>
      </c>
      <c r="I67">
        <f t="shared" ref="I67:I130" ca="1" si="9">D67*((G67-$L$1)^2)</f>
        <v>64598.040576754182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108699</v>
      </c>
      <c r="B69" s="66">
        <v>108699</v>
      </c>
      <c r="D69">
        <f t="shared" si="5"/>
        <v>69.099034384555239</v>
      </c>
      <c r="E69">
        <f t="shared" si="6"/>
        <v>69.099034384555239</v>
      </c>
      <c r="G69">
        <f t="shared" ca="1" si="7"/>
        <v>67</v>
      </c>
      <c r="H69">
        <f t="shared" ca="1" si="8"/>
        <v>4629.6353037652007</v>
      </c>
      <c r="I69">
        <f t="shared" ca="1" si="9"/>
        <v>71249.257250173629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108137</v>
      </c>
      <c r="B72" s="66">
        <v>108137</v>
      </c>
      <c r="D72">
        <f t="shared" si="5"/>
        <v>68.74177574073957</v>
      </c>
      <c r="E72">
        <f t="shared" si="6"/>
        <v>68.74177574073957</v>
      </c>
      <c r="G72">
        <f t="shared" ca="1" si="7"/>
        <v>70</v>
      </c>
      <c r="H72">
        <f t="shared" ca="1" si="8"/>
        <v>4811.92430185177</v>
      </c>
      <c r="I72">
        <f t="shared" ca="1" si="9"/>
        <v>58255.343752667257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110616</v>
      </c>
      <c r="B75" s="66">
        <v>110616</v>
      </c>
      <c r="D75">
        <f t="shared" si="5"/>
        <v>70.317655061058176</v>
      </c>
      <c r="E75">
        <f t="shared" si="6"/>
        <v>70.317655061058176</v>
      </c>
      <c r="G75">
        <f t="shared" ca="1" si="7"/>
        <v>73</v>
      </c>
      <c r="H75">
        <f t="shared" ca="1" si="8"/>
        <v>5133.1888194572466</v>
      </c>
      <c r="I75">
        <f t="shared" ca="1" si="9"/>
        <v>47941.569979659471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129905</v>
      </c>
      <c r="B77" s="66">
        <v>129905</v>
      </c>
      <c r="D77">
        <f t="shared" si="5"/>
        <v>82.579509118995105</v>
      </c>
      <c r="E77">
        <f t="shared" si="6"/>
        <v>82.579509118995105</v>
      </c>
      <c r="G77">
        <f t="shared" ca="1" si="7"/>
        <v>75</v>
      </c>
      <c r="H77">
        <f t="shared" ca="1" si="8"/>
        <v>6193.4631839246331</v>
      </c>
      <c r="I77">
        <f t="shared" ca="1" si="9"/>
        <v>48006.901651965491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140732</v>
      </c>
      <c r="B80" s="66">
        <v>140732</v>
      </c>
      <c r="D80">
        <f t="shared" si="5"/>
        <v>89.462141390511661</v>
      </c>
      <c r="E80">
        <f t="shared" si="6"/>
        <v>89.462141390511661</v>
      </c>
      <c r="G80">
        <f t="shared" ca="1" si="7"/>
        <v>78</v>
      </c>
      <c r="H80">
        <f t="shared" ca="1" si="8"/>
        <v>6978.0470284599096</v>
      </c>
      <c r="I80">
        <f t="shared" ca="1" si="9"/>
        <v>39871.077116775712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141869</v>
      </c>
      <c r="B82" s="66">
        <v>141869</v>
      </c>
      <c r="D82">
        <f t="shared" si="5"/>
        <v>90.184922668124514</v>
      </c>
      <c r="E82">
        <f t="shared" si="6"/>
        <v>90.184922668124514</v>
      </c>
      <c r="G82">
        <f t="shared" ca="1" si="7"/>
        <v>80</v>
      </c>
      <c r="H82">
        <f t="shared" ca="1" si="8"/>
        <v>7214.7938134499609</v>
      </c>
      <c r="I82">
        <f t="shared" ca="1" si="9"/>
        <v>32938.35768552142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155226</v>
      </c>
      <c r="B85" s="66">
        <v>155226</v>
      </c>
      <c r="D85">
        <f t="shared" si="5"/>
        <v>98.675854528348665</v>
      </c>
      <c r="E85">
        <f t="shared" si="6"/>
        <v>98.675854528348665</v>
      </c>
      <c r="G85">
        <f t="shared" ca="1" si="7"/>
        <v>83</v>
      </c>
      <c r="H85">
        <f t="shared" ca="1" si="8"/>
        <v>8190.0959258529392</v>
      </c>
      <c r="I85">
        <f t="shared" ca="1" si="9"/>
        <v>25612.813669446416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153646</v>
      </c>
      <c r="B88" s="66">
        <v>153646</v>
      </c>
      <c r="D88">
        <f t="shared" si="5"/>
        <v>97.671461899827733</v>
      </c>
      <c r="E88">
        <f t="shared" si="6"/>
        <v>97.671461899827733</v>
      </c>
      <c r="G88">
        <f t="shared" ca="1" si="7"/>
        <v>86</v>
      </c>
      <c r="H88">
        <f t="shared" ca="1" si="8"/>
        <v>8399.7457233851856</v>
      </c>
      <c r="I88">
        <f t="shared" ca="1" si="9"/>
        <v>16789.626756360853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149608</v>
      </c>
      <c r="B90" s="66">
        <v>149608</v>
      </c>
      <c r="D90">
        <f t="shared" si="5"/>
        <v>95.104539473265987</v>
      </c>
      <c r="E90">
        <f t="shared" si="6"/>
        <v>95.104539473265987</v>
      </c>
      <c r="G90">
        <f t="shared" ca="1" si="7"/>
        <v>88</v>
      </c>
      <c r="H90">
        <f t="shared" ca="1" si="8"/>
        <v>8369.1994736474062</v>
      </c>
      <c r="I90">
        <f t="shared" ca="1" si="9"/>
        <v>11741.121175023149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157309</v>
      </c>
      <c r="B93" s="66">
        <v>157309</v>
      </c>
      <c r="D93">
        <f t="shared" si="5"/>
        <v>100</v>
      </c>
      <c r="E93">
        <f t="shared" si="6"/>
        <v>100</v>
      </c>
      <c r="G93">
        <f t="shared" ca="1" si="7"/>
        <v>91</v>
      </c>
      <c r="H93">
        <f t="shared" ca="1" si="8"/>
        <v>9100</v>
      </c>
      <c r="I93">
        <f t="shared" ca="1" si="9"/>
        <v>6578.8741863324121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142751</v>
      </c>
      <c r="B95" s="66">
        <v>142751</v>
      </c>
      <c r="D95">
        <f t="shared" si="5"/>
        <v>90.745602603792534</v>
      </c>
      <c r="E95">
        <f t="shared" si="6"/>
        <v>90.745602603792534</v>
      </c>
      <c r="G95">
        <f t="shared" ca="1" si="7"/>
        <v>93</v>
      </c>
      <c r="H95">
        <f t="shared" ca="1" si="8"/>
        <v>8439.341042152706</v>
      </c>
      <c r="I95">
        <f t="shared" ca="1" si="9"/>
        <v>3388.8616872752882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140997</v>
      </c>
      <c r="B98" s="66">
        <v>140997</v>
      </c>
      <c r="D98">
        <f t="shared" si="5"/>
        <v>89.630599647826884</v>
      </c>
      <c r="E98">
        <f t="shared" si="6"/>
        <v>89.630599647826884</v>
      </c>
      <c r="G98">
        <f t="shared" ca="1" si="7"/>
        <v>96</v>
      </c>
      <c r="H98">
        <f t="shared" ca="1" si="8"/>
        <v>8604.5375661913804</v>
      </c>
      <c r="I98">
        <f t="shared" ca="1" si="9"/>
        <v>867.48818333415852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140574</v>
      </c>
      <c r="B100" s="66">
        <v>140574</v>
      </c>
      <c r="D100">
        <f t="shared" si="5"/>
        <v>89.361702127659569</v>
      </c>
      <c r="E100">
        <f t="shared" si="6"/>
        <v>89.361702127659569</v>
      </c>
      <c r="G100">
        <f t="shared" ca="1" si="7"/>
        <v>98</v>
      </c>
      <c r="H100">
        <f t="shared" ca="1" si="8"/>
        <v>8757.4468085106382</v>
      </c>
      <c r="I100">
        <f t="shared" ca="1" si="9"/>
        <v>110.30617706563935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135085</v>
      </c>
      <c r="B103" s="66">
        <v>135085</v>
      </c>
      <c r="D103">
        <f t="shared" si="5"/>
        <v>85.872391280854885</v>
      </c>
      <c r="E103">
        <f t="shared" si="6"/>
        <v>85.872391280854885</v>
      </c>
      <c r="G103">
        <f t="shared" ca="1" si="7"/>
        <v>101</v>
      </c>
      <c r="H103">
        <f t="shared" ca="1" si="8"/>
        <v>8673.1115193663427</v>
      </c>
      <c r="I103">
        <f t="shared" ca="1" si="9"/>
        <v>306.41184029842884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128755</v>
      </c>
      <c r="B106" s="66">
        <v>128755</v>
      </c>
      <c r="D106">
        <f t="shared" si="5"/>
        <v>81.848463851400751</v>
      </c>
      <c r="E106">
        <f t="shared" si="6"/>
        <v>81.848463851400751</v>
      </c>
      <c r="G106">
        <f t="shared" ca="1" si="7"/>
        <v>104</v>
      </c>
      <c r="H106">
        <f t="shared" ca="1" si="8"/>
        <v>8512.2402405456778</v>
      </c>
      <c r="I106">
        <f t="shared" ca="1" si="9"/>
        <v>1956.3474930797383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128654</v>
      </c>
      <c r="B108" s="66">
        <v>128654</v>
      </c>
      <c r="D108">
        <f t="shared" si="5"/>
        <v>81.784259006159857</v>
      </c>
      <c r="E108">
        <f t="shared" si="6"/>
        <v>81.784259006159857</v>
      </c>
      <c r="G108">
        <f t="shared" ca="1" si="7"/>
        <v>106</v>
      </c>
      <c r="H108">
        <f t="shared" ca="1" si="8"/>
        <v>8669.1314546529447</v>
      </c>
      <c r="I108">
        <f t="shared" ca="1" si="9"/>
        <v>3881.3143824708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129497</v>
      </c>
      <c r="B111" s="66">
        <v>129497</v>
      </c>
      <c r="D111">
        <f t="shared" si="5"/>
        <v>82.320146971883361</v>
      </c>
      <c r="E111">
        <f t="shared" si="6"/>
        <v>82.320146971883361</v>
      </c>
      <c r="G111">
        <f t="shared" ca="1" si="7"/>
        <v>109</v>
      </c>
      <c r="H111">
        <f t="shared" ca="1" si="8"/>
        <v>8972.8960199352859</v>
      </c>
      <c r="I111">
        <f t="shared" ca="1" si="9"/>
        <v>8050.2359974396586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130554</v>
      </c>
      <c r="B113" s="66">
        <v>130554</v>
      </c>
      <c r="D113">
        <f t="shared" si="5"/>
        <v>82.992072926533126</v>
      </c>
      <c r="E113">
        <f t="shared" si="6"/>
        <v>82.992072926533126</v>
      </c>
      <c r="G113">
        <f t="shared" ca="1" si="7"/>
        <v>111</v>
      </c>
      <c r="H113">
        <f t="shared" ca="1" si="8"/>
        <v>9212.1200948451769</v>
      </c>
      <c r="I113">
        <f t="shared" ca="1" si="9"/>
        <v>11730.738967128749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142582</v>
      </c>
      <c r="B116" s="66">
        <v>142582</v>
      </c>
      <c r="D116">
        <f t="shared" si="5"/>
        <v>90.638170734033011</v>
      </c>
      <c r="E116">
        <f t="shared" si="6"/>
        <v>90.638170734033011</v>
      </c>
      <c r="G116">
        <f t="shared" ca="1" si="7"/>
        <v>114</v>
      </c>
      <c r="H116">
        <f t="shared" ca="1" si="8"/>
        <v>10332.751463679764</v>
      </c>
      <c r="I116">
        <f t="shared" ca="1" si="9"/>
        <v>20092.810036263945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129031</v>
      </c>
      <c r="B118" s="66">
        <v>129031</v>
      </c>
      <c r="D118">
        <f t="shared" si="5"/>
        <v>82.023914715623391</v>
      </c>
      <c r="E118">
        <f t="shared" si="6"/>
        <v>82.023914715623391</v>
      </c>
      <c r="G118">
        <f t="shared" ca="1" si="7"/>
        <v>116</v>
      </c>
      <c r="H118">
        <f t="shared" ca="1" si="8"/>
        <v>9514.7741070123138</v>
      </c>
      <c r="I118">
        <f t="shared" ca="1" si="9"/>
        <v>23396.291834998665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124855</v>
      </c>
      <c r="B121" s="66">
        <v>124855</v>
      </c>
      <c r="D121">
        <f t="shared" si="5"/>
        <v>79.369266856950333</v>
      </c>
      <c r="E121">
        <f t="shared" si="6"/>
        <v>79.369266856950333</v>
      </c>
      <c r="G121">
        <f t="shared" ca="1" si="7"/>
        <v>119</v>
      </c>
      <c r="H121">
        <f t="shared" ca="1" si="8"/>
        <v>9444.9427559770902</v>
      </c>
      <c r="I121">
        <f t="shared" ca="1" si="9"/>
        <v>31396.203197786417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119221</v>
      </c>
      <c r="B124" s="66">
        <v>119221</v>
      </c>
      <c r="D124">
        <f t="shared" si="5"/>
        <v>75.787780737275042</v>
      </c>
      <c r="E124">
        <f t="shared" si="6"/>
        <v>75.787780737275042</v>
      </c>
      <c r="G124">
        <f t="shared" ca="1" si="7"/>
        <v>122</v>
      </c>
      <c r="H124">
        <f t="shared" ca="1" si="8"/>
        <v>9246.1092499475544</v>
      </c>
      <c r="I124">
        <f t="shared" ca="1" si="9"/>
        <v>39705.607372615996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105775</v>
      </c>
      <c r="B126" s="66">
        <v>105775</v>
      </c>
      <c r="D126">
        <f t="shared" si="5"/>
        <v>67.24027233025447</v>
      </c>
      <c r="E126">
        <f t="shared" si="6"/>
        <v>67.24027233025447</v>
      </c>
      <c r="G126">
        <f t="shared" ca="1" si="7"/>
        <v>124</v>
      </c>
      <c r="H126">
        <f t="shared" ca="1" si="8"/>
        <v>8337.7937689515547</v>
      </c>
      <c r="I126">
        <f t="shared" ca="1" si="9"/>
        <v>41652.728325799617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103871</v>
      </c>
      <c r="B129" s="66">
        <v>103871</v>
      </c>
      <c r="D129">
        <f t="shared" si="5"/>
        <v>66.029915643733034</v>
      </c>
      <c r="E129">
        <f t="shared" si="6"/>
        <v>66.029915643733034</v>
      </c>
      <c r="G129">
        <f t="shared" ca="1" si="7"/>
        <v>127</v>
      </c>
      <c r="H129">
        <f t="shared" ca="1" si="8"/>
        <v>8385.7992867540961</v>
      </c>
      <c r="I129">
        <f t="shared" ca="1" si="9"/>
        <v>51357.729911704962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94617</v>
      </c>
      <c r="B131" s="66">
        <v>94617</v>
      </c>
      <c r="D131">
        <f t="shared" ref="D131:D194" si="10">IFERROR(100*A131/MAX(A$2:A$257), 0 )</f>
        <v>60.147226159978132</v>
      </c>
      <c r="E131">
        <f t="shared" ref="E131:E194" si="11">IFERROR(100*B131/MAX(B$2:B$257), 0 )</f>
        <v>60.147226159978132</v>
      </c>
      <c r="G131">
        <f t="shared" ref="G131:G194" ca="1" si="12">CELL("row",D131)-2</f>
        <v>129</v>
      </c>
      <c r="H131">
        <f t="shared" ref="H131:H194" ca="1" si="13">D131*G131</f>
        <v>7758.9921746371792</v>
      </c>
      <c r="I131">
        <f t="shared" ref="I131:I194" ca="1" si="14">D131*((G131-$L$1)^2)</f>
        <v>53732.570810816018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78259</v>
      </c>
      <c r="B134" s="66">
        <v>78259</v>
      </c>
      <c r="D134">
        <f t="shared" si="10"/>
        <v>49.74858399710125</v>
      </c>
      <c r="E134">
        <f t="shared" si="11"/>
        <v>49.74858399710125</v>
      </c>
      <c r="G134">
        <f t="shared" ca="1" si="12"/>
        <v>132</v>
      </c>
      <c r="H134">
        <f t="shared" ca="1" si="13"/>
        <v>6566.8130876173645</v>
      </c>
      <c r="I134">
        <f t="shared" ca="1" si="14"/>
        <v>53812.27790083336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79696</v>
      </c>
      <c r="B136" s="66">
        <v>79696</v>
      </c>
      <c r="D136">
        <f t="shared" si="10"/>
        <v>50.662072735825667</v>
      </c>
      <c r="E136">
        <f t="shared" si="11"/>
        <v>50.662072735825667</v>
      </c>
      <c r="G136">
        <f t="shared" ca="1" si="12"/>
        <v>134</v>
      </c>
      <c r="H136">
        <f t="shared" ca="1" si="13"/>
        <v>6788.7177466006397</v>
      </c>
      <c r="I136">
        <f t="shared" ca="1" si="14"/>
        <v>61667.92728927578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66085</v>
      </c>
      <c r="B139" s="66">
        <v>66085</v>
      </c>
      <c r="D139">
        <f t="shared" si="10"/>
        <v>42.009675225193725</v>
      </c>
      <c r="E139">
        <f t="shared" si="11"/>
        <v>42.009675225193725</v>
      </c>
      <c r="G139">
        <f t="shared" ca="1" si="12"/>
        <v>137</v>
      </c>
      <c r="H139">
        <f t="shared" ca="1" si="13"/>
        <v>5755.3255058515406</v>
      </c>
      <c r="I139">
        <f t="shared" ca="1" si="14"/>
        <v>60308.012416029189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64668</v>
      </c>
      <c r="B142" s="66">
        <v>64668</v>
      </c>
      <c r="D142">
        <f t="shared" si="10"/>
        <v>41.108900317210079</v>
      </c>
      <c r="E142">
        <f t="shared" si="11"/>
        <v>41.108900317210079</v>
      </c>
      <c r="G142">
        <f t="shared" ca="1" si="12"/>
        <v>140</v>
      </c>
      <c r="H142">
        <f t="shared" ca="1" si="13"/>
        <v>5755.2460444094113</v>
      </c>
      <c r="I142">
        <f t="shared" ca="1" si="14"/>
        <v>68730.307506887504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59695</v>
      </c>
      <c r="B144" s="66">
        <v>59695</v>
      </c>
      <c r="D144">
        <f t="shared" si="10"/>
        <v>37.947606303517283</v>
      </c>
      <c r="E144">
        <f t="shared" si="11"/>
        <v>37.947606303517283</v>
      </c>
      <c r="G144">
        <f t="shared" ca="1" si="12"/>
        <v>142</v>
      </c>
      <c r="H144">
        <f t="shared" ca="1" si="13"/>
        <v>5388.560095099454</v>
      </c>
      <c r="I144">
        <f t="shared" ca="1" si="14"/>
        <v>69803.259308566689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49592</v>
      </c>
      <c r="B147" s="66">
        <v>49592</v>
      </c>
      <c r="D147">
        <f t="shared" si="10"/>
        <v>31.525214704816634</v>
      </c>
      <c r="E147">
        <f t="shared" si="11"/>
        <v>31.525214704816634</v>
      </c>
      <c r="G147">
        <f t="shared" ca="1" si="12"/>
        <v>145</v>
      </c>
      <c r="H147">
        <f t="shared" ca="1" si="13"/>
        <v>4571.1561321984118</v>
      </c>
      <c r="I147">
        <f t="shared" ca="1" si="14"/>
        <v>66385.732180857492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44277</v>
      </c>
      <c r="B149" s="66">
        <v>44277</v>
      </c>
      <c r="D149">
        <f t="shared" si="10"/>
        <v>28.146514185456649</v>
      </c>
      <c r="E149">
        <f t="shared" si="11"/>
        <v>28.146514185456649</v>
      </c>
      <c r="G149">
        <f t="shared" ca="1" si="12"/>
        <v>147</v>
      </c>
      <c r="H149">
        <f t="shared" ca="1" si="13"/>
        <v>4137.5375852621273</v>
      </c>
      <c r="I149">
        <f t="shared" ca="1" si="14"/>
        <v>64549.916281232516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45443</v>
      </c>
      <c r="B152" s="66">
        <v>45443</v>
      </c>
      <c r="D152">
        <f t="shared" si="10"/>
        <v>28.887730517643618</v>
      </c>
      <c r="E152">
        <f t="shared" si="11"/>
        <v>28.887730517643618</v>
      </c>
      <c r="G152">
        <f t="shared" ca="1" si="12"/>
        <v>150</v>
      </c>
      <c r="H152">
        <f t="shared" ca="1" si="13"/>
        <v>4333.1595776465429</v>
      </c>
      <c r="I152">
        <f t="shared" ca="1" si="14"/>
        <v>74810.19983850987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36179</v>
      </c>
      <c r="B154" s="66">
        <v>36179</v>
      </c>
      <c r="D154">
        <f t="shared" si="10"/>
        <v>22.99868411851833</v>
      </c>
      <c r="E154">
        <f t="shared" si="11"/>
        <v>22.99868411851833</v>
      </c>
      <c r="G154">
        <f t="shared" ca="1" si="12"/>
        <v>152</v>
      </c>
      <c r="H154">
        <f t="shared" ca="1" si="13"/>
        <v>3495.7999860147861</v>
      </c>
      <c r="I154">
        <f t="shared" ca="1" si="14"/>
        <v>64332.921423128762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32010</v>
      </c>
      <c r="B157" s="66">
        <v>32010</v>
      </c>
      <c r="D157">
        <f t="shared" si="10"/>
        <v>20.348486100604543</v>
      </c>
      <c r="E157">
        <f t="shared" si="11"/>
        <v>20.348486100604543</v>
      </c>
      <c r="G157">
        <f t="shared" ca="1" si="12"/>
        <v>155</v>
      </c>
      <c r="H157">
        <f t="shared" ca="1" si="13"/>
        <v>3154.0153455937043</v>
      </c>
      <c r="I157">
        <f t="shared" ca="1" si="14"/>
        <v>63560.071736165308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32243</v>
      </c>
      <c r="B160" s="66">
        <v>32243</v>
      </c>
      <c r="D160">
        <f t="shared" si="10"/>
        <v>20.496602228734528</v>
      </c>
      <c r="E160">
        <f t="shared" si="11"/>
        <v>20.496602228734528</v>
      </c>
      <c r="G160">
        <f t="shared" ca="1" si="12"/>
        <v>158</v>
      </c>
      <c r="H160">
        <f t="shared" ca="1" si="13"/>
        <v>3238.4631521400552</v>
      </c>
      <c r="I160">
        <f t="shared" ca="1" si="14"/>
        <v>71080.397770936717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27611</v>
      </c>
      <c r="B162" s="66">
        <v>27611</v>
      </c>
      <c r="D162">
        <f t="shared" si="10"/>
        <v>17.552079029171885</v>
      </c>
      <c r="E162">
        <f t="shared" si="11"/>
        <v>17.552079029171885</v>
      </c>
      <c r="G162">
        <f t="shared" ca="1" si="12"/>
        <v>160</v>
      </c>
      <c r="H162">
        <f t="shared" ca="1" si="13"/>
        <v>2808.3326446675019</v>
      </c>
      <c r="I162">
        <f t="shared" ca="1" si="14"/>
        <v>65073.756618447413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26518</v>
      </c>
      <c r="B165" s="66">
        <v>26518</v>
      </c>
      <c r="D165">
        <f t="shared" si="10"/>
        <v>16.857268179188729</v>
      </c>
      <c r="E165">
        <f t="shared" si="11"/>
        <v>16.857268179188729</v>
      </c>
      <c r="G165">
        <f t="shared" ca="1" si="12"/>
        <v>163</v>
      </c>
      <c r="H165">
        <f t="shared" ca="1" si="13"/>
        <v>2747.734713207763</v>
      </c>
      <c r="I165">
        <f t="shared" ca="1" si="14"/>
        <v>68808.01421113644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21483</v>
      </c>
      <c r="B167" s="66">
        <v>21483</v>
      </c>
      <c r="D167">
        <f t="shared" si="10"/>
        <v>13.656561290199544</v>
      </c>
      <c r="E167">
        <f t="shared" si="11"/>
        <v>13.656561290199544</v>
      </c>
      <c r="G167">
        <f t="shared" ca="1" si="12"/>
        <v>165</v>
      </c>
      <c r="H167">
        <f t="shared" ca="1" si="13"/>
        <v>2253.3326128829249</v>
      </c>
      <c r="I167">
        <f t="shared" ca="1" si="14"/>
        <v>59288.006616974628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22126</v>
      </c>
      <c r="B170" s="66">
        <v>22126</v>
      </c>
      <c r="D170">
        <f t="shared" si="10"/>
        <v>14.065310948515343</v>
      </c>
      <c r="E170">
        <f t="shared" si="11"/>
        <v>14.065310948515343</v>
      </c>
      <c r="G170">
        <f t="shared" ca="1" si="12"/>
        <v>168</v>
      </c>
      <c r="H170">
        <f t="shared" ca="1" si="13"/>
        <v>2362.9722393505776</v>
      </c>
      <c r="I170">
        <f t="shared" ca="1" si="14"/>
        <v>66749.616014958548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12321</v>
      </c>
      <c r="B173" s="66">
        <v>12321</v>
      </c>
      <c r="D173">
        <f t="shared" si="10"/>
        <v>7.832355427852189</v>
      </c>
      <c r="E173">
        <f t="shared" si="11"/>
        <v>7.832355427852189</v>
      </c>
      <c r="G173">
        <f t="shared" ca="1" si="12"/>
        <v>171</v>
      </c>
      <c r="H173">
        <f t="shared" ca="1" si="13"/>
        <v>1339.3327781627243</v>
      </c>
      <c r="I173">
        <f t="shared" ca="1" si="14"/>
        <v>40477.805455279493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10381</v>
      </c>
      <c r="B175" s="66">
        <v>10381</v>
      </c>
      <c r="D175">
        <f t="shared" si="10"/>
        <v>6.5991138459973682</v>
      </c>
      <c r="E175">
        <f t="shared" si="11"/>
        <v>6.5991138459973682</v>
      </c>
      <c r="G175">
        <f t="shared" ca="1" si="12"/>
        <v>173</v>
      </c>
      <c r="H175">
        <f t="shared" ca="1" si="13"/>
        <v>1141.6466953575448</v>
      </c>
      <c r="I175">
        <f t="shared" ca="1" si="14"/>
        <v>36028.393185472225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6162</v>
      </c>
      <c r="B178" s="66">
        <v>6162</v>
      </c>
      <c r="D178">
        <f t="shared" si="10"/>
        <v>3.9171312512316523</v>
      </c>
      <c r="E178">
        <f t="shared" si="11"/>
        <v>3.9171312512316523</v>
      </c>
      <c r="G178">
        <f t="shared" ca="1" si="12"/>
        <v>176</v>
      </c>
      <c r="H178">
        <f t="shared" ca="1" si="13"/>
        <v>689.41510021677084</v>
      </c>
      <c r="I178">
        <f t="shared" ca="1" si="14"/>
        <v>23157.744382103538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3456</v>
      </c>
      <c r="B180" s="66">
        <v>3456</v>
      </c>
      <c r="D180">
        <f t="shared" si="10"/>
        <v>2.1969499520052889</v>
      </c>
      <c r="E180">
        <f t="shared" si="11"/>
        <v>2.1969499520052889</v>
      </c>
      <c r="G180">
        <f t="shared" ca="1" si="12"/>
        <v>178</v>
      </c>
      <c r="H180">
        <f t="shared" ca="1" si="13"/>
        <v>391.05709145694141</v>
      </c>
      <c r="I180">
        <f t="shared" ca="1" si="14"/>
        <v>13672.652617869862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2609</v>
      </c>
      <c r="B183" s="66">
        <v>2609</v>
      </c>
      <c r="D183">
        <f t="shared" si="10"/>
        <v>1.6585192201336223</v>
      </c>
      <c r="E183">
        <f t="shared" si="11"/>
        <v>1.6585192201336223</v>
      </c>
      <c r="G183">
        <f t="shared" ca="1" si="12"/>
        <v>181</v>
      </c>
      <c r="H183">
        <f t="shared" ca="1" si="13"/>
        <v>300.19197884418566</v>
      </c>
      <c r="I183">
        <f t="shared" ca="1" si="14"/>
        <v>11121.704939785184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1012</v>
      </c>
      <c r="B185" s="66">
        <v>1012</v>
      </c>
      <c r="D185">
        <f t="shared" si="10"/>
        <v>0.64331983548303018</v>
      </c>
      <c r="E185">
        <f t="shared" si="11"/>
        <v>0.64331983548303018</v>
      </c>
      <c r="G185">
        <f t="shared" ca="1" si="12"/>
        <v>183</v>
      </c>
      <c r="H185">
        <f t="shared" ca="1" si="13"/>
        <v>117.72752989339452</v>
      </c>
      <c r="I185">
        <f t="shared" ca="1" si="14"/>
        <v>4527.2732569629561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841</v>
      </c>
      <c r="B188" s="66">
        <v>841</v>
      </c>
      <c r="D188">
        <f t="shared" si="10"/>
        <v>0.53461658264943523</v>
      </c>
      <c r="E188">
        <f t="shared" si="11"/>
        <v>0.53461658264943523</v>
      </c>
      <c r="G188">
        <f t="shared" ca="1" si="12"/>
        <v>186</v>
      </c>
      <c r="H188">
        <f t="shared" ca="1" si="13"/>
        <v>99.438684372794953</v>
      </c>
      <c r="I188">
        <f t="shared" ca="1" si="14"/>
        <v>4036.1915060958549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257</v>
      </c>
      <c r="B191" s="66">
        <v>257</v>
      </c>
      <c r="D191">
        <f t="shared" si="10"/>
        <v>0.16337272501891181</v>
      </c>
      <c r="E191">
        <f t="shared" si="11"/>
        <v>0.16337272501891181</v>
      </c>
      <c r="G191">
        <f t="shared" ca="1" si="12"/>
        <v>189</v>
      </c>
      <c r="H191">
        <f t="shared" ca="1" si="13"/>
        <v>30.877445028574332</v>
      </c>
      <c r="I191">
        <f t="shared" ca="1" si="14"/>
        <v>1320.0561365278234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173</v>
      </c>
      <c r="B193" s="66">
        <v>173</v>
      </c>
      <c r="D193">
        <f t="shared" si="10"/>
        <v>0.10997463590767216</v>
      </c>
      <c r="E193">
        <f t="shared" si="11"/>
        <v>0.10997463590767216</v>
      </c>
      <c r="G193">
        <f t="shared" ca="1" si="12"/>
        <v>191</v>
      </c>
      <c r="H193">
        <f t="shared" ca="1" si="13"/>
        <v>21.005155458365383</v>
      </c>
      <c r="I193">
        <f t="shared" ca="1" si="14"/>
        <v>928.58002700539123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403</v>
      </c>
      <c r="B1" s="68" t="s">
        <v>404</v>
      </c>
      <c r="C1" s="32" t="s">
        <v>405</v>
      </c>
      <c r="D1" s="32" t="s">
        <v>406</v>
      </c>
      <c r="E1" s="32" t="s">
        <v>407</v>
      </c>
    </row>
    <row r="2" spans="1:5">
      <c r="A2" s="68">
        <v>0.23077500000000001</v>
      </c>
      <c r="B2" s="68">
        <v>0.62049799999999999</v>
      </c>
      <c r="C2" s="68">
        <v>0</v>
      </c>
      <c r="D2" s="68">
        <v>1</v>
      </c>
      <c r="E2" s="68" t="s">
        <v>408</v>
      </c>
    </row>
    <row r="3" spans="1:5">
      <c r="A3" s="68">
        <v>0.23522899999999999</v>
      </c>
      <c r="B3" s="68">
        <v>0.61586799999999997</v>
      </c>
      <c r="C3" s="68">
        <v>0.37495600000000001</v>
      </c>
      <c r="D3" s="89">
        <v>1</v>
      </c>
      <c r="E3" s="68" t="s">
        <v>409</v>
      </c>
    </row>
    <row r="4" spans="1:5">
      <c r="A4" s="68">
        <v>0.23943600000000001</v>
      </c>
      <c r="B4" s="68">
        <v>0.610653</v>
      </c>
      <c r="C4" s="68">
        <v>0.77658099999999997</v>
      </c>
      <c r="D4" s="89">
        <v>1</v>
      </c>
      <c r="E4" s="68" t="s">
        <v>410</v>
      </c>
    </row>
    <row r="5" spans="1:5">
      <c r="A5" s="89">
        <v>0.24352599999999999</v>
      </c>
      <c r="B5" s="89">
        <v>0.60449900000000001</v>
      </c>
      <c r="C5" s="89">
        <v>1.1829000000000001</v>
      </c>
      <c r="D5" s="89">
        <v>1</v>
      </c>
      <c r="E5" s="68" t="s">
        <v>411</v>
      </c>
    </row>
    <row r="6" spans="1:5">
      <c r="A6" s="68">
        <v>0.24740000000000001</v>
      </c>
      <c r="B6" s="68">
        <v>0.59783399999999998</v>
      </c>
      <c r="C6" s="68">
        <v>1.5906199999999999</v>
      </c>
      <c r="D6" s="68">
        <v>1</v>
      </c>
      <c r="E6" s="68" t="s">
        <v>412</v>
      </c>
    </row>
    <row r="7" spans="1:5">
      <c r="A7" s="68">
        <v>0.251112</v>
      </c>
      <c r="B7" s="68">
        <v>0.59007500000000002</v>
      </c>
      <c r="C7" s="68">
        <v>2.0009000000000001</v>
      </c>
      <c r="D7" s="68">
        <v>1</v>
      </c>
      <c r="E7" s="68" t="s">
        <v>413</v>
      </c>
    </row>
    <row r="8" spans="1:5">
      <c r="A8" s="68">
        <v>0.25469399999999998</v>
      </c>
      <c r="B8" s="68">
        <v>0.58209699999999998</v>
      </c>
      <c r="C8" s="68">
        <v>2.4041899999999998</v>
      </c>
      <c r="D8" s="68">
        <v>1</v>
      </c>
      <c r="E8" s="68" t="s">
        <v>414</v>
      </c>
    </row>
    <row r="9" spans="1:5">
      <c r="A9" s="68">
        <v>0.25819500000000001</v>
      </c>
      <c r="B9" s="68">
        <v>0.57459199999999999</v>
      </c>
      <c r="C9" s="68">
        <v>2.8087800000000001</v>
      </c>
      <c r="D9" s="68">
        <v>1</v>
      </c>
      <c r="E9" s="68" t="s">
        <v>415</v>
      </c>
    </row>
    <row r="10" spans="1:5">
      <c r="A10" s="68">
        <v>0.26153500000000002</v>
      </c>
      <c r="B10" s="68">
        <v>0.56738699999999997</v>
      </c>
      <c r="C10" s="68">
        <v>3.2154500000000001</v>
      </c>
      <c r="D10" s="68">
        <v>1</v>
      </c>
      <c r="E10" s="68" t="s">
        <v>416</v>
      </c>
    </row>
    <row r="11" spans="1:5">
      <c r="A11" s="68">
        <v>0.26466499999999998</v>
      </c>
      <c r="B11" s="68">
        <v>0.56092900000000001</v>
      </c>
      <c r="C11" s="68">
        <v>3.6226400000000001</v>
      </c>
      <c r="D11" s="68">
        <v>1</v>
      </c>
      <c r="E11" s="68" t="s">
        <v>417</v>
      </c>
    </row>
    <row r="12" spans="1:5">
      <c r="A12" s="68">
        <v>0.26753100000000002</v>
      </c>
      <c r="B12" s="68">
        <v>0.556315</v>
      </c>
      <c r="C12" s="68">
        <v>4.0308200000000003</v>
      </c>
      <c r="D12" s="68">
        <v>1</v>
      </c>
      <c r="E12" s="68" t="s">
        <v>418</v>
      </c>
    </row>
    <row r="13" spans="1:5">
      <c r="A13" s="68">
        <v>0.27013100000000001</v>
      </c>
      <c r="B13" s="68">
        <v>0.552315</v>
      </c>
      <c r="C13" s="68">
        <v>4.43309</v>
      </c>
      <c r="D13" s="68">
        <v>1</v>
      </c>
      <c r="E13" s="68" t="s">
        <v>419</v>
      </c>
    </row>
    <row r="14" spans="1:5">
      <c r="A14" s="68">
        <v>0.27202100000000001</v>
      </c>
      <c r="B14" s="68">
        <v>0.54901200000000006</v>
      </c>
      <c r="C14" s="68">
        <v>4.8399000000000001</v>
      </c>
      <c r="D14" s="68">
        <v>1</v>
      </c>
      <c r="E14" s="68" t="s">
        <v>420</v>
      </c>
    </row>
    <row r="15" spans="1:5">
      <c r="A15" s="68">
        <v>0.27363300000000002</v>
      </c>
      <c r="B15" s="68">
        <v>0.54588000000000003</v>
      </c>
      <c r="C15" s="68">
        <v>5.2475899999999998</v>
      </c>
      <c r="D15" s="68">
        <v>1</v>
      </c>
      <c r="E15" s="68" t="s">
        <v>421</v>
      </c>
    </row>
    <row r="16" spans="1:5">
      <c r="A16" s="68">
        <v>0.27489200000000003</v>
      </c>
      <c r="B16" s="68">
        <v>0.54288599999999998</v>
      </c>
      <c r="C16" s="68">
        <v>5.6538300000000001</v>
      </c>
      <c r="D16" s="68">
        <v>1</v>
      </c>
      <c r="E16" s="68" t="s">
        <v>422</v>
      </c>
    </row>
    <row r="17" spans="1:5">
      <c r="A17" s="68">
        <v>0.27579599999999999</v>
      </c>
      <c r="B17" s="68">
        <v>0.53989900000000002</v>
      </c>
      <c r="C17" s="68">
        <v>6.0609599999999997</v>
      </c>
      <c r="D17" s="68">
        <v>1</v>
      </c>
      <c r="E17" s="68" t="s">
        <v>423</v>
      </c>
    </row>
    <row r="18" spans="1:5">
      <c r="A18" s="68">
        <v>0.27645199999999998</v>
      </c>
      <c r="B18" s="68">
        <v>0.53719799999999995</v>
      </c>
      <c r="C18" s="68">
        <v>6.46875</v>
      </c>
      <c r="D18" s="68">
        <v>1</v>
      </c>
      <c r="E18" s="68" t="s">
        <v>424</v>
      </c>
    </row>
    <row r="19" spans="1:5">
      <c r="A19" s="68">
        <v>0.27673700000000001</v>
      </c>
      <c r="B19" s="68">
        <v>0.53476599999999996</v>
      </c>
      <c r="C19" s="68">
        <v>6.8724499999999997</v>
      </c>
      <c r="D19" s="68">
        <v>1</v>
      </c>
      <c r="E19" s="68" t="s">
        <v>425</v>
      </c>
    </row>
    <row r="20" spans="1:5">
      <c r="A20" s="68">
        <v>0.276806</v>
      </c>
      <c r="B20" s="68">
        <v>0.53227899999999995</v>
      </c>
      <c r="C20" s="68">
        <v>7.2775800000000004</v>
      </c>
      <c r="D20" s="68">
        <v>1</v>
      </c>
      <c r="E20" s="68" t="s">
        <v>426</v>
      </c>
    </row>
    <row r="21" spans="1:5">
      <c r="A21" s="68">
        <v>0.276563</v>
      </c>
      <c r="B21" s="68">
        <v>0.52971500000000005</v>
      </c>
      <c r="C21" s="68">
        <v>7.6849499999999997</v>
      </c>
      <c r="D21" s="68">
        <v>1</v>
      </c>
      <c r="E21" s="68" t="s">
        <v>427</v>
      </c>
    </row>
    <row r="22" spans="1:5">
      <c r="A22" s="68">
        <v>0.27620699999999998</v>
      </c>
      <c r="B22" s="68">
        <v>0.52677799999999997</v>
      </c>
      <c r="C22" s="68">
        <v>8.0916399999999999</v>
      </c>
      <c r="D22" s="68">
        <v>1</v>
      </c>
      <c r="E22" s="68" t="s">
        <v>428</v>
      </c>
    </row>
    <row r="23" spans="1:5">
      <c r="A23" s="68">
        <v>0.27587800000000001</v>
      </c>
      <c r="B23" s="68">
        <v>0.52346400000000004</v>
      </c>
      <c r="C23" s="68">
        <v>8.4984800000000007</v>
      </c>
      <c r="D23" s="68">
        <v>1</v>
      </c>
      <c r="E23" s="68" t="s">
        <v>429</v>
      </c>
    </row>
    <row r="24" spans="1:5">
      <c r="A24" s="68">
        <v>0.27562900000000001</v>
      </c>
      <c r="B24" s="68">
        <v>0.520285</v>
      </c>
      <c r="C24" s="68">
        <v>8.9064800000000002</v>
      </c>
      <c r="D24" s="68">
        <v>1</v>
      </c>
      <c r="E24" s="68" t="s">
        <v>430</v>
      </c>
    </row>
    <row r="25" spans="1:5">
      <c r="A25" s="68">
        <v>0.27549899999999999</v>
      </c>
      <c r="B25" s="68">
        <v>0.51757200000000003</v>
      </c>
      <c r="C25" s="68">
        <v>9.3103599999999993</v>
      </c>
      <c r="D25" s="68">
        <v>1</v>
      </c>
      <c r="E25" s="68" t="s">
        <v>431</v>
      </c>
    </row>
    <row r="26" spans="1:5">
      <c r="A26" s="68">
        <v>0.275287</v>
      </c>
      <c r="B26" s="68">
        <v>0.51500999999999997</v>
      </c>
      <c r="C26" s="68">
        <v>9.7147199999999998</v>
      </c>
      <c r="D26" s="68">
        <v>1</v>
      </c>
      <c r="E26" s="68" t="s">
        <v>432</v>
      </c>
    </row>
    <row r="27" spans="1:5">
      <c r="A27" s="68">
        <v>0.27487499999999998</v>
      </c>
      <c r="B27" s="68">
        <v>0.51277099999999998</v>
      </c>
      <c r="C27" s="68">
        <v>10.1249</v>
      </c>
      <c r="D27" s="68">
        <v>1</v>
      </c>
      <c r="E27" s="68" t="s">
        <v>433</v>
      </c>
    </row>
    <row r="28" spans="1:5">
      <c r="A28" s="68">
        <v>0.27430399999999999</v>
      </c>
      <c r="B28" s="68">
        <v>0.510625</v>
      </c>
      <c r="C28" s="68">
        <v>10.530099999999999</v>
      </c>
      <c r="D28" s="68">
        <v>1</v>
      </c>
      <c r="E28" s="68" t="s">
        <v>434</v>
      </c>
    </row>
    <row r="29" spans="1:5">
      <c r="A29" s="68">
        <v>0.27362300000000001</v>
      </c>
      <c r="B29" s="68">
        <v>0.50859100000000002</v>
      </c>
      <c r="C29" s="68">
        <v>10.934900000000001</v>
      </c>
      <c r="D29" s="68">
        <v>1</v>
      </c>
      <c r="E29" s="68" t="s">
        <v>435</v>
      </c>
    </row>
    <row r="30" spans="1:5">
      <c r="A30" s="68">
        <v>0.27288099999999998</v>
      </c>
      <c r="B30" s="68">
        <v>0.507108</v>
      </c>
      <c r="C30" s="68">
        <v>11.3398</v>
      </c>
      <c r="D30" s="68">
        <v>1</v>
      </c>
      <c r="E30" s="68" t="s">
        <v>436</v>
      </c>
    </row>
    <row r="31" spans="1:5">
      <c r="A31" s="68">
        <v>0.27208300000000002</v>
      </c>
      <c r="B31" s="68">
        <v>0.50556000000000001</v>
      </c>
      <c r="C31" s="68">
        <v>11.746700000000001</v>
      </c>
      <c r="D31" s="68">
        <v>1</v>
      </c>
      <c r="E31" s="68" t="s">
        <v>437</v>
      </c>
    </row>
    <row r="32" spans="1:5">
      <c r="A32" s="68">
        <v>0.27114700000000003</v>
      </c>
      <c r="B32" s="68">
        <v>0.50422</v>
      </c>
      <c r="C32" s="68">
        <v>12.1549</v>
      </c>
      <c r="D32" s="68">
        <v>1</v>
      </c>
      <c r="E32" s="68" t="s">
        <v>438</v>
      </c>
    </row>
    <row r="33" spans="1:5">
      <c r="A33" s="68">
        <v>0.26999299999999998</v>
      </c>
      <c r="B33" s="68">
        <v>0.50364699999999996</v>
      </c>
      <c r="C33" s="68">
        <v>12.5616</v>
      </c>
      <c r="D33" s="68">
        <v>1</v>
      </c>
      <c r="E33" s="68" t="s">
        <v>439</v>
      </c>
    </row>
    <row r="34" spans="1:5">
      <c r="A34" s="68">
        <v>0.26900200000000002</v>
      </c>
      <c r="B34" s="68">
        <v>0.50333499999999998</v>
      </c>
      <c r="C34" s="68">
        <v>12.967000000000001</v>
      </c>
      <c r="D34" s="68">
        <v>1</v>
      </c>
      <c r="E34" s="68" t="s">
        <v>440</v>
      </c>
    </row>
    <row r="35" spans="1:5">
      <c r="A35" s="68">
        <v>0.267953</v>
      </c>
      <c r="B35" s="68">
        <v>0.50348000000000004</v>
      </c>
      <c r="C35" s="68">
        <v>13.370699999999999</v>
      </c>
      <c r="D35" s="68">
        <v>1</v>
      </c>
      <c r="E35" s="68" t="s">
        <v>441</v>
      </c>
    </row>
    <row r="36" spans="1:5">
      <c r="A36" s="68">
        <v>0.26690700000000001</v>
      </c>
      <c r="B36" s="68">
        <v>0.50363100000000005</v>
      </c>
      <c r="C36" s="68">
        <v>13.7805</v>
      </c>
      <c r="D36" s="68">
        <v>1</v>
      </c>
      <c r="E36" s="68" t="s">
        <v>442</v>
      </c>
    </row>
    <row r="37" spans="1:5">
      <c r="A37" s="68">
        <v>0.26584400000000002</v>
      </c>
      <c r="B37" s="68">
        <v>0.50304700000000002</v>
      </c>
      <c r="C37" s="68">
        <v>14.1875</v>
      </c>
      <c r="D37" s="68">
        <v>1</v>
      </c>
      <c r="E37" s="68" t="s">
        <v>443</v>
      </c>
    </row>
    <row r="38" spans="1:5">
      <c r="A38" s="68">
        <v>0.264961</v>
      </c>
      <c r="B38" s="68">
        <v>0.50299400000000005</v>
      </c>
      <c r="C38" s="68">
        <v>14.590299999999999</v>
      </c>
      <c r="D38" s="68">
        <v>1</v>
      </c>
      <c r="E38" s="68" t="s">
        <v>444</v>
      </c>
    </row>
    <row r="39" spans="1:5">
      <c r="A39" s="68">
        <v>0.26483099999999998</v>
      </c>
      <c r="B39" s="68">
        <v>0.50244299999999997</v>
      </c>
      <c r="C39" s="68">
        <v>14.9961</v>
      </c>
      <c r="D39" s="68">
        <v>1</v>
      </c>
      <c r="E39" s="68" t="s">
        <v>445</v>
      </c>
    </row>
    <row r="40" spans="1:5">
      <c r="A40" s="68">
        <v>0.26490599999999997</v>
      </c>
      <c r="B40" s="68">
        <v>0.50201799999999996</v>
      </c>
      <c r="C40" s="68">
        <v>15.403499999999999</v>
      </c>
      <c r="D40" s="68">
        <v>1</v>
      </c>
      <c r="E40" s="68" t="s">
        <v>446</v>
      </c>
    </row>
    <row r="41" spans="1:5">
      <c r="A41" s="68">
        <v>0.26565899999999998</v>
      </c>
      <c r="B41" s="68">
        <v>0.50184399999999996</v>
      </c>
      <c r="C41" s="68">
        <v>15.8072</v>
      </c>
      <c r="D41" s="68">
        <v>1</v>
      </c>
      <c r="E41" s="68" t="s">
        <v>447</v>
      </c>
    </row>
    <row r="42" spans="1:5">
      <c r="A42" s="68">
        <v>0.26695799999999997</v>
      </c>
      <c r="B42" s="68">
        <v>0.50104700000000002</v>
      </c>
      <c r="C42" s="68">
        <v>16.217500000000001</v>
      </c>
      <c r="D42" s="68">
        <v>1</v>
      </c>
      <c r="E42" s="68" t="s">
        <v>448</v>
      </c>
    </row>
    <row r="43" spans="1:5">
      <c r="A43" s="68">
        <v>0.26871600000000001</v>
      </c>
      <c r="B43" s="68">
        <v>0.49915599999999999</v>
      </c>
      <c r="C43" s="68">
        <v>16.6218</v>
      </c>
      <c r="D43" s="68">
        <v>1</v>
      </c>
      <c r="E43" s="68" t="s">
        <v>449</v>
      </c>
    </row>
    <row r="44" spans="1:5">
      <c r="A44" s="68">
        <v>0.27083499999999999</v>
      </c>
      <c r="B44" s="68">
        <v>0.497276</v>
      </c>
      <c r="C44" s="68">
        <v>17.031099999999999</v>
      </c>
      <c r="D44" s="68">
        <v>1</v>
      </c>
      <c r="E44" s="68" t="s">
        <v>450</v>
      </c>
    </row>
    <row r="45" spans="1:5">
      <c r="A45" s="68">
        <v>0.27325700000000003</v>
      </c>
      <c r="B45" s="68">
        <v>0.49557299999999999</v>
      </c>
      <c r="C45" s="68">
        <v>17.433900000000001</v>
      </c>
      <c r="D45" s="68">
        <v>1</v>
      </c>
      <c r="E45" s="68" t="s">
        <v>451</v>
      </c>
    </row>
    <row r="46" spans="1:5">
      <c r="A46" s="68">
        <v>0.275812</v>
      </c>
      <c r="B46" s="68">
        <v>0.49466399999999999</v>
      </c>
      <c r="C46" s="68">
        <v>17.839600000000001</v>
      </c>
      <c r="D46" s="68">
        <v>1</v>
      </c>
      <c r="E46" s="68" t="s">
        <v>452</v>
      </c>
    </row>
    <row r="47" spans="1:5">
      <c r="A47" s="68">
        <v>0.27834999999999999</v>
      </c>
      <c r="B47" s="68">
        <v>0.49431000000000003</v>
      </c>
      <c r="C47" s="68">
        <v>18.2484</v>
      </c>
      <c r="D47" s="68">
        <v>1</v>
      </c>
      <c r="E47" s="68" t="s">
        <v>453</v>
      </c>
    </row>
    <row r="48" spans="1:5">
      <c r="A48" s="68">
        <v>0.28079999999999999</v>
      </c>
      <c r="B48" s="68">
        <v>0.49423499999999998</v>
      </c>
      <c r="C48" s="68">
        <v>18.653300000000002</v>
      </c>
      <c r="D48" s="68">
        <v>1</v>
      </c>
      <c r="E48" s="68" t="s">
        <v>454</v>
      </c>
    </row>
    <row r="49" spans="1:5">
      <c r="A49" s="68">
        <v>0.28304800000000002</v>
      </c>
      <c r="B49" s="68">
        <v>0.494172</v>
      </c>
      <c r="C49" s="68">
        <v>19.059899999999999</v>
      </c>
      <c r="D49" s="68">
        <v>1</v>
      </c>
      <c r="E49" s="68" t="s">
        <v>455</v>
      </c>
    </row>
    <row r="50" spans="1:5">
      <c r="A50" s="68">
        <v>0.28529300000000002</v>
      </c>
      <c r="B50" s="68">
        <v>0.493782</v>
      </c>
      <c r="C50" s="68">
        <v>19.4666</v>
      </c>
      <c r="D50" s="68">
        <v>1</v>
      </c>
      <c r="E50" s="68" t="s">
        <v>456</v>
      </c>
    </row>
    <row r="51" spans="1:5">
      <c r="A51" s="68">
        <v>0.28781200000000001</v>
      </c>
      <c r="B51" s="68">
        <v>0.49286400000000002</v>
      </c>
      <c r="C51" s="68">
        <v>19.873999999999999</v>
      </c>
      <c r="D51" s="68">
        <v>1</v>
      </c>
      <c r="E51" s="68" t="s">
        <v>457</v>
      </c>
    </row>
    <row r="52" spans="1:5">
      <c r="A52" s="68">
        <v>0.289661</v>
      </c>
      <c r="B52" s="68">
        <v>0.49212899999999998</v>
      </c>
      <c r="C52" s="68">
        <v>20.2788</v>
      </c>
      <c r="D52" s="68">
        <v>1</v>
      </c>
      <c r="E52" s="68" t="s">
        <v>458</v>
      </c>
    </row>
    <row r="53" spans="1:5">
      <c r="A53" s="68">
        <v>0.29319899999999999</v>
      </c>
      <c r="B53" s="68">
        <v>0.48960999999999999</v>
      </c>
      <c r="C53" s="68">
        <v>20.686199999999999</v>
      </c>
      <c r="D53" s="68">
        <v>1</v>
      </c>
      <c r="E53" s="68" t="s">
        <v>459</v>
      </c>
    </row>
    <row r="54" spans="1:5">
      <c r="A54" s="68">
        <v>0.29729699999999998</v>
      </c>
      <c r="B54" s="68">
        <v>0.48642800000000003</v>
      </c>
      <c r="C54" s="68">
        <v>21.090499999999999</v>
      </c>
      <c r="D54" s="68">
        <v>1</v>
      </c>
      <c r="E54" s="68" t="s">
        <v>460</v>
      </c>
    </row>
    <row r="55" spans="1:5">
      <c r="A55" s="68">
        <v>0.30357400000000001</v>
      </c>
      <c r="B55" s="68">
        <v>0.47984300000000002</v>
      </c>
      <c r="C55" s="68">
        <v>21.498699999999999</v>
      </c>
      <c r="D55" s="68">
        <v>1</v>
      </c>
      <c r="E55" s="68" t="s">
        <v>461</v>
      </c>
    </row>
    <row r="56" spans="1:5">
      <c r="A56" s="68">
        <v>0.30666599999999999</v>
      </c>
      <c r="B56" s="68">
        <v>0.47833500000000001</v>
      </c>
      <c r="C56" s="68">
        <v>21.904599999999999</v>
      </c>
      <c r="D56" s="68">
        <v>1</v>
      </c>
      <c r="E56" s="68" t="s">
        <v>462</v>
      </c>
    </row>
    <row r="57" spans="1:5">
      <c r="A57" s="68">
        <v>0.313861</v>
      </c>
      <c r="B57" s="68">
        <v>0.47171800000000003</v>
      </c>
      <c r="C57" s="68">
        <v>22.311699999999998</v>
      </c>
      <c r="D57" s="68">
        <v>1</v>
      </c>
      <c r="E57" s="68" t="s">
        <v>463</v>
      </c>
    </row>
    <row r="58" spans="1:5">
      <c r="A58" s="68">
        <v>0.31954199999999999</v>
      </c>
      <c r="B58" s="68">
        <v>0.46729999999999999</v>
      </c>
      <c r="C58" s="68">
        <v>22.7163</v>
      </c>
      <c r="D58" s="68">
        <v>1</v>
      </c>
      <c r="E58" s="68" t="s">
        <v>464</v>
      </c>
    </row>
    <row r="59" spans="1:5">
      <c r="A59" s="68">
        <v>0.323266</v>
      </c>
      <c r="B59" s="68">
        <v>0.46576800000000002</v>
      </c>
      <c r="C59" s="68">
        <v>23.122800000000002</v>
      </c>
      <c r="D59" s="68">
        <v>1</v>
      </c>
      <c r="E59" s="68" t="s">
        <v>465</v>
      </c>
    </row>
    <row r="60" spans="1:5">
      <c r="A60" s="68">
        <v>0.32897999999999999</v>
      </c>
      <c r="B60" s="68">
        <v>0.46096599999999999</v>
      </c>
      <c r="C60" s="68">
        <v>23.527799999999999</v>
      </c>
      <c r="D60" s="68">
        <v>1</v>
      </c>
      <c r="E60" s="68" t="s">
        <v>466</v>
      </c>
    </row>
    <row r="61" spans="1:5">
      <c r="A61" s="68">
        <v>0.33477499999999999</v>
      </c>
      <c r="B61" s="68">
        <v>0.45665899999999998</v>
      </c>
      <c r="C61" s="68">
        <v>23.9345</v>
      </c>
      <c r="D61" s="68">
        <v>1</v>
      </c>
      <c r="E61" s="68" t="s">
        <v>467</v>
      </c>
    </row>
    <row r="62" spans="1:5">
      <c r="A62" s="68">
        <v>0.34254299999999999</v>
      </c>
      <c r="B62" s="68">
        <v>0.44962200000000002</v>
      </c>
      <c r="C62" s="68">
        <v>24.3443</v>
      </c>
      <c r="D62" s="68">
        <v>1</v>
      </c>
      <c r="E62" s="68" t="s">
        <v>468</v>
      </c>
    </row>
    <row r="63" spans="1:5">
      <c r="A63" s="68">
        <v>0.34809400000000001</v>
      </c>
      <c r="B63" s="68">
        <v>0.447689</v>
      </c>
      <c r="C63" s="68">
        <v>24.749099999999999</v>
      </c>
      <c r="D63" s="68">
        <v>1</v>
      </c>
      <c r="E63" s="68" t="s">
        <v>469</v>
      </c>
    </row>
    <row r="64" spans="1:5">
      <c r="A64" s="68">
        <v>0.35196499999999997</v>
      </c>
      <c r="B64" s="68">
        <v>0.448241</v>
      </c>
      <c r="C64" s="68">
        <v>25.150300000000001</v>
      </c>
      <c r="D64" s="68">
        <v>1</v>
      </c>
      <c r="E64" s="68" t="s">
        <v>470</v>
      </c>
    </row>
    <row r="65" spans="1:5">
      <c r="A65" s="68">
        <v>0.35733599999999999</v>
      </c>
      <c r="B65" s="68">
        <v>0.44731399999999999</v>
      </c>
      <c r="C65" s="68">
        <v>25.558</v>
      </c>
      <c r="D65" s="68">
        <v>1</v>
      </c>
      <c r="E65" s="68" t="s">
        <v>471</v>
      </c>
    </row>
    <row r="66" spans="1:5">
      <c r="A66" s="68">
        <v>0.36358499999999999</v>
      </c>
      <c r="B66" s="68">
        <v>0.44495000000000001</v>
      </c>
      <c r="C66" s="68">
        <v>25.968299999999999</v>
      </c>
      <c r="D66" s="68">
        <v>1</v>
      </c>
      <c r="E66" s="68" t="s">
        <v>472</v>
      </c>
    </row>
    <row r="67" spans="1:5">
      <c r="A67" s="68">
        <v>0.36832399999999998</v>
      </c>
      <c r="B67" s="68">
        <v>0.44401099999999999</v>
      </c>
      <c r="C67" s="68">
        <v>26.373999999999999</v>
      </c>
      <c r="D67" s="68">
        <v>1</v>
      </c>
      <c r="E67" s="68" t="s">
        <v>473</v>
      </c>
    </row>
    <row r="68" spans="1:5">
      <c r="A68" s="68">
        <v>0.37181999999999998</v>
      </c>
      <c r="B68" s="68">
        <v>0.444384</v>
      </c>
      <c r="C68" s="68">
        <v>26.776299999999999</v>
      </c>
      <c r="D68" s="68">
        <v>1</v>
      </c>
      <c r="E68" s="68" t="s">
        <v>474</v>
      </c>
    </row>
    <row r="69" spans="1:5">
      <c r="A69" s="68">
        <v>0.37739800000000001</v>
      </c>
      <c r="B69" s="68">
        <v>0.44143399999999999</v>
      </c>
      <c r="C69" s="68">
        <v>27.183599999999998</v>
      </c>
      <c r="D69" s="68">
        <v>1</v>
      </c>
      <c r="E69" s="68" t="s">
        <v>475</v>
      </c>
    </row>
    <row r="70" spans="1:5">
      <c r="A70" s="68">
        <v>0.38067200000000001</v>
      </c>
      <c r="B70" s="68">
        <v>0.44154199999999999</v>
      </c>
      <c r="C70" s="68">
        <v>27.590900000000001</v>
      </c>
      <c r="D70" s="68">
        <v>1</v>
      </c>
      <c r="E70" s="68" t="s">
        <v>476</v>
      </c>
    </row>
    <row r="71" spans="1:5">
      <c r="A71" s="68">
        <v>0.38541500000000001</v>
      </c>
      <c r="B71" s="68">
        <v>0.44074000000000002</v>
      </c>
      <c r="C71" s="68">
        <v>28.002700000000001</v>
      </c>
      <c r="D71" s="68">
        <v>1</v>
      </c>
      <c r="E71" s="68" t="s">
        <v>477</v>
      </c>
    </row>
    <row r="72" spans="1:5">
      <c r="A72" s="68">
        <v>0.38845800000000003</v>
      </c>
      <c r="B72" s="68">
        <v>0.442104</v>
      </c>
      <c r="C72" s="68">
        <v>28.404900000000001</v>
      </c>
      <c r="D72" s="68">
        <v>1</v>
      </c>
      <c r="E72" s="68" t="s">
        <v>478</v>
      </c>
    </row>
    <row r="73" spans="1:5">
      <c r="A73" s="68">
        <v>0.39214199999999999</v>
      </c>
      <c r="B73" s="68">
        <v>0.443795</v>
      </c>
      <c r="C73" s="68">
        <v>28.808299999999999</v>
      </c>
      <c r="D73" s="68">
        <v>1</v>
      </c>
      <c r="E73" s="68" t="s">
        <v>479</v>
      </c>
    </row>
    <row r="74" spans="1:5">
      <c r="A74" s="68">
        <v>0.39507700000000001</v>
      </c>
      <c r="B74" s="68">
        <v>0.446218</v>
      </c>
      <c r="C74" s="68">
        <v>29.2149</v>
      </c>
      <c r="D74" s="68">
        <v>1</v>
      </c>
      <c r="E74" s="68" t="s">
        <v>480</v>
      </c>
    </row>
    <row r="75" spans="1:5">
      <c r="A75" s="68">
        <v>0.397762</v>
      </c>
      <c r="B75" s="68">
        <v>0.448436</v>
      </c>
      <c r="C75" s="68">
        <v>29.621400000000001</v>
      </c>
      <c r="D75" s="68">
        <v>1</v>
      </c>
      <c r="E75" s="68" t="s">
        <v>481</v>
      </c>
    </row>
    <row r="76" spans="1:5">
      <c r="A76" s="68">
        <v>0.40031699999999998</v>
      </c>
      <c r="B76" s="68">
        <v>0.44962600000000003</v>
      </c>
      <c r="C76" s="68">
        <v>30.029599999999999</v>
      </c>
      <c r="D76" s="68">
        <v>2</v>
      </c>
      <c r="E76" s="68" t="s">
        <v>482</v>
      </c>
    </row>
    <row r="77" spans="1:5">
      <c r="A77" s="68">
        <v>0.40209899999999998</v>
      </c>
      <c r="B77" s="68">
        <v>0.44845499999999999</v>
      </c>
      <c r="C77" s="68">
        <v>30.499199999999998</v>
      </c>
      <c r="D77" s="68">
        <v>2</v>
      </c>
      <c r="E77" s="68" t="s">
        <v>483</v>
      </c>
    </row>
    <row r="78" spans="1:5">
      <c r="A78" s="68">
        <v>0.40350599999999998</v>
      </c>
      <c r="B78" s="68">
        <v>0.44676300000000002</v>
      </c>
      <c r="C78" s="68">
        <v>30.904399999999999</v>
      </c>
      <c r="D78" s="68">
        <v>2</v>
      </c>
      <c r="E78" s="68" t="s">
        <v>484</v>
      </c>
    </row>
    <row r="79" spans="1:5">
      <c r="A79" s="68">
        <v>0.40454400000000001</v>
      </c>
      <c r="B79" s="68">
        <v>0.44399899999999998</v>
      </c>
      <c r="C79" s="68">
        <v>31.294899999999998</v>
      </c>
      <c r="D79" s="68">
        <v>2</v>
      </c>
      <c r="E79" s="68" t="s">
        <v>485</v>
      </c>
    </row>
    <row r="80" spans="1:5">
      <c r="A80" s="68">
        <v>0.40532499999999999</v>
      </c>
      <c r="B80" s="68">
        <v>0.44061899999999998</v>
      </c>
      <c r="C80" s="68">
        <v>31.699100000000001</v>
      </c>
      <c r="D80" s="68">
        <v>2</v>
      </c>
      <c r="E80" s="68" t="s">
        <v>486</v>
      </c>
    </row>
    <row r="81" spans="1:5">
      <c r="A81" s="68">
        <v>0.40602899999999997</v>
      </c>
      <c r="B81" s="68">
        <v>0.43742900000000001</v>
      </c>
      <c r="C81" s="68">
        <v>32.109699999999997</v>
      </c>
      <c r="D81" s="68">
        <v>2</v>
      </c>
      <c r="E81" s="68" t="s">
        <v>487</v>
      </c>
    </row>
    <row r="82" spans="1:5">
      <c r="A82" s="68">
        <v>0.40676499999999999</v>
      </c>
      <c r="B82" s="68">
        <v>0.43444700000000003</v>
      </c>
      <c r="C82" s="68">
        <v>32.5137</v>
      </c>
      <c r="D82" s="68">
        <v>2</v>
      </c>
      <c r="E82" s="68" t="s">
        <v>488</v>
      </c>
    </row>
    <row r="83" spans="1:5">
      <c r="A83" s="68">
        <v>0.40731200000000001</v>
      </c>
      <c r="B83" s="68">
        <v>0.43134800000000001</v>
      </c>
      <c r="C83" s="68">
        <v>32.922699999999999</v>
      </c>
      <c r="D83" s="68">
        <v>2</v>
      </c>
      <c r="E83" s="68" t="s">
        <v>489</v>
      </c>
    </row>
    <row r="84" spans="1:5">
      <c r="A84" s="68">
        <v>0.40783999999999998</v>
      </c>
      <c r="B84" s="68">
        <v>0.42834499999999998</v>
      </c>
      <c r="C84" s="68">
        <v>33.326999999999998</v>
      </c>
      <c r="D84" s="68">
        <v>2</v>
      </c>
      <c r="E84" s="68" t="s">
        <v>490</v>
      </c>
    </row>
    <row r="85" spans="1:5">
      <c r="A85" s="68">
        <v>0.40854099999999999</v>
      </c>
      <c r="B85" s="68">
        <v>0.42567700000000003</v>
      </c>
      <c r="C85" s="68">
        <v>33.7346</v>
      </c>
      <c r="D85" s="68">
        <v>2</v>
      </c>
      <c r="E85" s="68" t="s">
        <v>491</v>
      </c>
    </row>
    <row r="86" spans="1:5">
      <c r="A86" s="68">
        <v>0.40943800000000002</v>
      </c>
      <c r="B86" s="68">
        <v>0.42280699999999999</v>
      </c>
      <c r="C86" s="68">
        <v>34.135599999999997</v>
      </c>
      <c r="D86" s="68">
        <v>2</v>
      </c>
      <c r="E86" s="68" t="s">
        <v>492</v>
      </c>
    </row>
    <row r="87" spans="1:5">
      <c r="A87" s="68">
        <v>0.41049099999999999</v>
      </c>
      <c r="B87" s="68">
        <v>0.41918100000000003</v>
      </c>
      <c r="C87" s="68">
        <v>34.545000000000002</v>
      </c>
      <c r="D87" s="68">
        <v>2</v>
      </c>
      <c r="E87" s="68" t="s">
        <v>493</v>
      </c>
    </row>
    <row r="88" spans="1:5">
      <c r="A88" s="68">
        <v>0.41168500000000002</v>
      </c>
      <c r="B88" s="68">
        <v>0.41519499999999998</v>
      </c>
      <c r="C88" s="68">
        <v>34.952800000000003</v>
      </c>
      <c r="D88" s="68">
        <v>2</v>
      </c>
      <c r="E88" s="68" t="s">
        <v>494</v>
      </c>
    </row>
    <row r="89" spans="1:5">
      <c r="A89" s="68">
        <v>0.412771</v>
      </c>
      <c r="B89" s="68">
        <v>0.41136400000000001</v>
      </c>
      <c r="C89" s="68">
        <v>35.36</v>
      </c>
      <c r="D89" s="68">
        <v>2</v>
      </c>
      <c r="E89" s="68" t="s">
        <v>495</v>
      </c>
    </row>
    <row r="90" spans="1:5">
      <c r="A90" s="68">
        <v>0.41366399999999998</v>
      </c>
      <c r="B90" s="68">
        <v>0.40769699999999998</v>
      </c>
      <c r="C90" s="68">
        <v>35.761699999999998</v>
      </c>
      <c r="D90" s="68">
        <v>2</v>
      </c>
      <c r="E90" s="68" t="s">
        <v>496</v>
      </c>
    </row>
    <row r="91" spans="1:5">
      <c r="A91" s="68">
        <v>0.414356</v>
      </c>
      <c r="B91" s="68">
        <v>0.40405999999999997</v>
      </c>
      <c r="C91" s="68">
        <v>36.1708</v>
      </c>
      <c r="D91" s="68">
        <v>2</v>
      </c>
      <c r="E91" s="68" t="s">
        <v>497</v>
      </c>
    </row>
    <row r="92" spans="1:5">
      <c r="A92" s="68">
        <v>0.41476600000000002</v>
      </c>
      <c r="B92" s="68">
        <v>0.40104499999999998</v>
      </c>
      <c r="C92" s="68">
        <v>36.576999999999998</v>
      </c>
      <c r="D92" s="68">
        <v>2</v>
      </c>
      <c r="E92" s="68" t="s">
        <v>498</v>
      </c>
    </row>
    <row r="93" spans="1:5">
      <c r="A93" s="68">
        <v>0.41471200000000003</v>
      </c>
      <c r="B93" s="68">
        <v>0.39904699999999999</v>
      </c>
      <c r="C93" s="68">
        <v>36.981400000000001</v>
      </c>
      <c r="D93" s="68">
        <v>2</v>
      </c>
      <c r="E93" s="68" t="s">
        <v>499</v>
      </c>
    </row>
    <row r="94" spans="1:5">
      <c r="A94" s="68">
        <v>0.41426800000000003</v>
      </c>
      <c r="B94" s="68">
        <v>0.39740300000000001</v>
      </c>
      <c r="C94" s="68">
        <v>37.389299999999999</v>
      </c>
      <c r="D94" s="68">
        <v>2</v>
      </c>
      <c r="E94" s="68" t="s">
        <v>500</v>
      </c>
    </row>
    <row r="95" spans="1:5">
      <c r="A95" s="68">
        <v>0.41367399999999999</v>
      </c>
      <c r="B95" s="68">
        <v>0.39543099999999998</v>
      </c>
      <c r="C95" s="68">
        <v>37.7986</v>
      </c>
      <c r="D95" s="68">
        <v>2</v>
      </c>
      <c r="E95" s="68" t="s">
        <v>501</v>
      </c>
    </row>
    <row r="96" spans="1:5">
      <c r="A96" s="68">
        <v>0.41302800000000001</v>
      </c>
      <c r="B96" s="68">
        <v>0.39285999999999999</v>
      </c>
      <c r="C96" s="68">
        <v>38.200299999999999</v>
      </c>
      <c r="D96" s="68">
        <v>2</v>
      </c>
      <c r="E96" s="68" t="s">
        <v>502</v>
      </c>
    </row>
    <row r="97" spans="1:5">
      <c r="A97" s="68">
        <v>0.41249000000000002</v>
      </c>
      <c r="B97" s="68">
        <v>0.39033499999999999</v>
      </c>
      <c r="C97" s="68">
        <v>38.607599999999998</v>
      </c>
      <c r="D97" s="68">
        <v>2</v>
      </c>
      <c r="E97" s="68" t="s">
        <v>503</v>
      </c>
    </row>
    <row r="98" spans="1:5">
      <c r="A98" s="68">
        <v>0.41193999999999997</v>
      </c>
      <c r="B98" s="68">
        <v>0.38804499999999997</v>
      </c>
      <c r="C98" s="68">
        <v>39.014299999999999</v>
      </c>
      <c r="D98" s="68">
        <v>2</v>
      </c>
      <c r="E98" s="68" t="s">
        <v>504</v>
      </c>
    </row>
    <row r="99" spans="1:5">
      <c r="A99" s="68">
        <v>0.41146500000000003</v>
      </c>
      <c r="B99" s="68">
        <v>0.38580999999999999</v>
      </c>
      <c r="C99" s="68">
        <v>39.416600000000003</v>
      </c>
      <c r="D99" s="68">
        <v>2</v>
      </c>
      <c r="E99" s="68" t="s">
        <v>505</v>
      </c>
    </row>
    <row r="100" spans="1:5">
      <c r="A100" s="68">
        <v>0.41083799999999998</v>
      </c>
      <c r="B100" s="68">
        <v>0.38438699999999998</v>
      </c>
      <c r="C100" s="68">
        <v>39.825499999999998</v>
      </c>
      <c r="D100" s="68">
        <v>2</v>
      </c>
      <c r="E100" s="68" t="s">
        <v>506</v>
      </c>
    </row>
    <row r="101" spans="1:5">
      <c r="A101" s="68">
        <v>0.40999799999999997</v>
      </c>
      <c r="B101" s="68">
        <v>0.38394499999999998</v>
      </c>
      <c r="C101" s="68">
        <v>40.230600000000003</v>
      </c>
      <c r="D101" s="68">
        <v>2</v>
      </c>
      <c r="E101" s="68" t="s">
        <v>507</v>
      </c>
    </row>
    <row r="102" spans="1:5">
      <c r="A102" s="68">
        <v>0.40902899999999998</v>
      </c>
      <c r="B102" s="68">
        <v>0.38375799999999999</v>
      </c>
      <c r="C102" s="68">
        <v>40.641399999999997</v>
      </c>
      <c r="D102" s="68">
        <v>2</v>
      </c>
      <c r="E102" s="68" t="s">
        <v>508</v>
      </c>
    </row>
    <row r="103" spans="1:5">
      <c r="A103" s="68">
        <v>0.407856</v>
      </c>
      <c r="B103" s="68">
        <v>0.38349800000000001</v>
      </c>
      <c r="C103" s="68">
        <v>41.045499999999997</v>
      </c>
      <c r="D103" s="68">
        <v>2</v>
      </c>
      <c r="E103" s="68" t="s">
        <v>509</v>
      </c>
    </row>
    <row r="104" spans="1:5">
      <c r="A104" s="68">
        <v>0.40648899999999999</v>
      </c>
      <c r="B104" s="68">
        <v>0.38321300000000003</v>
      </c>
      <c r="C104" s="68">
        <v>41.450299999999999</v>
      </c>
      <c r="D104" s="68">
        <v>2</v>
      </c>
      <c r="E104" s="68" t="s">
        <v>510</v>
      </c>
    </row>
    <row r="105" spans="1:5">
      <c r="A105" s="68">
        <v>0.40493299999999999</v>
      </c>
      <c r="B105" s="68">
        <v>0.38266600000000001</v>
      </c>
      <c r="C105" s="68">
        <v>41.857300000000002</v>
      </c>
      <c r="D105" s="68">
        <v>2</v>
      </c>
      <c r="E105" s="68" t="s">
        <v>511</v>
      </c>
    </row>
    <row r="106" spans="1:5">
      <c r="A106" s="68">
        <v>0.40324199999999999</v>
      </c>
      <c r="B106" s="68">
        <v>0.381581</v>
      </c>
      <c r="C106" s="68">
        <v>42.262099999999997</v>
      </c>
      <c r="D106" s="68">
        <v>2</v>
      </c>
      <c r="E106" s="68" t="s">
        <v>512</v>
      </c>
    </row>
    <row r="107" spans="1:5">
      <c r="A107" s="68">
        <v>0.40129999999999999</v>
      </c>
      <c r="B107" s="68">
        <v>0.38028800000000001</v>
      </c>
      <c r="C107" s="68">
        <v>42.669899999999998</v>
      </c>
      <c r="D107" s="68">
        <v>2</v>
      </c>
      <c r="E107" s="68" t="s">
        <v>513</v>
      </c>
    </row>
    <row r="108" spans="1:5">
      <c r="A108" s="68">
        <v>0.39930399999999999</v>
      </c>
      <c r="B108" s="68">
        <v>0.37938499999999997</v>
      </c>
      <c r="C108" s="68">
        <v>43.077100000000002</v>
      </c>
      <c r="D108" s="68">
        <v>2</v>
      </c>
      <c r="E108" s="68" t="s">
        <v>514</v>
      </c>
    </row>
    <row r="109" spans="1:5">
      <c r="A109" s="68">
        <v>0.39711800000000003</v>
      </c>
      <c r="B109" s="68">
        <v>0.37890099999999999</v>
      </c>
      <c r="C109" s="68">
        <v>43.4816</v>
      </c>
      <c r="D109" s="68">
        <v>2</v>
      </c>
      <c r="E109" s="68" t="s">
        <v>515</v>
      </c>
    </row>
    <row r="110" spans="1:5">
      <c r="A110" s="68">
        <v>0.39440900000000001</v>
      </c>
      <c r="B110" s="68">
        <v>0.378417</v>
      </c>
      <c r="C110" s="68">
        <v>43.887799999999999</v>
      </c>
      <c r="D110" s="68">
        <v>2</v>
      </c>
      <c r="E110" s="68" t="s">
        <v>516</v>
      </c>
    </row>
    <row r="111" spans="1:5">
      <c r="A111" s="68">
        <v>0.39105899999999999</v>
      </c>
      <c r="B111" s="68">
        <v>0.37858799999999998</v>
      </c>
      <c r="C111" s="68">
        <v>44.294499999999999</v>
      </c>
      <c r="D111" s="68">
        <v>2</v>
      </c>
      <c r="E111" s="68" t="s">
        <v>517</v>
      </c>
    </row>
    <row r="112" spans="1:5">
      <c r="A112" s="68">
        <v>0.387129</v>
      </c>
      <c r="B112" s="68">
        <v>0.38039899999999999</v>
      </c>
      <c r="C112" s="68">
        <v>44.699599999999997</v>
      </c>
      <c r="D112" s="68">
        <v>2</v>
      </c>
      <c r="E112" s="68" t="s">
        <v>518</v>
      </c>
    </row>
    <row r="113" spans="1:5">
      <c r="A113" s="68">
        <v>0.383077</v>
      </c>
      <c r="B113" s="68">
        <v>0.38353100000000001</v>
      </c>
      <c r="C113" s="68">
        <v>45.108899999999998</v>
      </c>
      <c r="D113" s="68">
        <v>2</v>
      </c>
      <c r="E113" s="68" t="s">
        <v>519</v>
      </c>
    </row>
    <row r="114" spans="1:5">
      <c r="A114" s="68">
        <v>0.37899699999999997</v>
      </c>
      <c r="B114" s="68">
        <v>0.38733299999999998</v>
      </c>
      <c r="C114" s="68">
        <v>45.512300000000003</v>
      </c>
      <c r="D114" s="68">
        <v>2</v>
      </c>
      <c r="E114" s="68" t="s">
        <v>520</v>
      </c>
    </row>
    <row r="115" spans="1:5">
      <c r="A115" s="68">
        <v>0.37509300000000001</v>
      </c>
      <c r="B115" s="68">
        <v>0.391905</v>
      </c>
      <c r="C115" s="68">
        <v>45.9193</v>
      </c>
      <c r="D115" s="68">
        <v>2</v>
      </c>
      <c r="E115" s="68" t="s">
        <v>521</v>
      </c>
    </row>
    <row r="116" spans="1:5">
      <c r="A116" s="68">
        <v>0.37140800000000002</v>
      </c>
      <c r="B116" s="68">
        <v>0.39742</v>
      </c>
      <c r="C116" s="68">
        <v>46.323999999999998</v>
      </c>
      <c r="D116" s="68">
        <v>2</v>
      </c>
      <c r="E116" s="68" t="s">
        <v>522</v>
      </c>
    </row>
    <row r="117" spans="1:5">
      <c r="A117" s="68">
        <v>0.36796600000000002</v>
      </c>
      <c r="B117" s="68">
        <v>0.40345300000000001</v>
      </c>
      <c r="C117" s="68">
        <v>46.732399999999998</v>
      </c>
      <c r="D117" s="68">
        <v>2</v>
      </c>
      <c r="E117" s="68" t="s">
        <v>523</v>
      </c>
    </row>
    <row r="118" spans="1:5">
      <c r="A118" s="68">
        <v>0.36506300000000003</v>
      </c>
      <c r="B118" s="68">
        <v>0.40950700000000001</v>
      </c>
      <c r="C118" s="68">
        <v>47.137900000000002</v>
      </c>
      <c r="D118" s="68">
        <v>2</v>
      </c>
      <c r="E118" s="68" t="s">
        <v>524</v>
      </c>
    </row>
    <row r="119" spans="1:5">
      <c r="A119" s="68">
        <v>0.36273300000000003</v>
      </c>
      <c r="B119" s="68">
        <v>0.41476499999999999</v>
      </c>
      <c r="C119" s="68">
        <v>47.5426</v>
      </c>
      <c r="D119" s="68">
        <v>2</v>
      </c>
      <c r="E119" s="68" t="s">
        <v>525</v>
      </c>
    </row>
    <row r="120" spans="1:5">
      <c r="A120" s="68">
        <v>0.36083999999999999</v>
      </c>
      <c r="B120" s="68">
        <v>0.41983999999999999</v>
      </c>
      <c r="C120" s="68">
        <v>47.947800000000001</v>
      </c>
      <c r="D120" s="68">
        <v>2</v>
      </c>
      <c r="E120" s="68" t="s">
        <v>526</v>
      </c>
    </row>
    <row r="121" spans="1:5">
      <c r="A121" s="68">
        <v>0.35938799999999999</v>
      </c>
      <c r="B121" s="68">
        <v>0.42509400000000003</v>
      </c>
      <c r="C121" s="68">
        <v>48.356200000000001</v>
      </c>
      <c r="D121" s="68">
        <v>2</v>
      </c>
      <c r="E121" s="68" t="s">
        <v>527</v>
      </c>
    </row>
    <row r="122" spans="1:5">
      <c r="A122" s="68">
        <v>0.357956</v>
      </c>
      <c r="B122" s="68">
        <v>0.430448</v>
      </c>
      <c r="C122" s="68">
        <v>48.762900000000002</v>
      </c>
      <c r="D122" s="68">
        <v>2</v>
      </c>
      <c r="E122" s="68" t="s">
        <v>528</v>
      </c>
    </row>
    <row r="123" spans="1:5">
      <c r="A123" s="68">
        <v>0.35661500000000002</v>
      </c>
      <c r="B123" s="68">
        <v>0.43537300000000001</v>
      </c>
      <c r="C123" s="68">
        <v>49.171100000000003</v>
      </c>
      <c r="D123" s="68">
        <v>2</v>
      </c>
      <c r="E123" s="68" t="s">
        <v>529</v>
      </c>
    </row>
    <row r="124" spans="1:5">
      <c r="A124" s="68">
        <v>0.35531499999999999</v>
      </c>
      <c r="B124" s="68">
        <v>0.44028400000000001</v>
      </c>
      <c r="C124" s="68">
        <v>49.575000000000003</v>
      </c>
      <c r="D124" s="68">
        <v>2</v>
      </c>
      <c r="E124" s="68" t="s">
        <v>530</v>
      </c>
    </row>
    <row r="125" spans="1:5">
      <c r="A125" s="68">
        <v>0.35426200000000002</v>
      </c>
      <c r="B125" s="68">
        <v>0.444463</v>
      </c>
      <c r="C125" s="68">
        <v>49.980200000000004</v>
      </c>
      <c r="D125" s="68">
        <v>2</v>
      </c>
      <c r="E125" s="68" t="s">
        <v>531</v>
      </c>
    </row>
    <row r="126" spans="1:5">
      <c r="A126" s="68">
        <v>0.35314800000000002</v>
      </c>
      <c r="B126" s="68">
        <v>0.44602900000000001</v>
      </c>
      <c r="C126" s="68">
        <v>50.385899999999999</v>
      </c>
      <c r="D126" s="68">
        <v>2</v>
      </c>
      <c r="E126" s="68" t="s">
        <v>532</v>
      </c>
    </row>
    <row r="127" spans="1:5">
      <c r="A127" s="68">
        <v>0.35251300000000002</v>
      </c>
      <c r="B127" s="68">
        <v>0.44663599999999998</v>
      </c>
      <c r="C127" s="68">
        <v>50.793399999999998</v>
      </c>
      <c r="D127" s="68">
        <v>2</v>
      </c>
      <c r="E127" s="68" t="s">
        <v>533</v>
      </c>
    </row>
    <row r="128" spans="1:5">
      <c r="A128" s="68">
        <v>0.35228300000000001</v>
      </c>
      <c r="B128" s="68">
        <v>0.44686799999999999</v>
      </c>
      <c r="C128" s="68">
        <v>51.206699999999998</v>
      </c>
      <c r="D128" s="68">
        <v>2</v>
      </c>
      <c r="E128" s="68" t="s">
        <v>534</v>
      </c>
    </row>
    <row r="129" spans="1:5">
      <c r="A129" s="68">
        <v>0.35231800000000002</v>
      </c>
      <c r="B129" s="68">
        <v>0.44676399999999999</v>
      </c>
      <c r="C129" s="68">
        <v>51.605699999999999</v>
      </c>
      <c r="D129" s="68">
        <v>2</v>
      </c>
      <c r="E129" s="68" t="s">
        <v>535</v>
      </c>
    </row>
    <row r="130" spans="1:5">
      <c r="A130" s="68">
        <v>0.35267900000000002</v>
      </c>
      <c r="B130" s="68">
        <v>0.44639899999999999</v>
      </c>
      <c r="C130" s="68">
        <v>52.011499999999998</v>
      </c>
      <c r="D130" s="68">
        <v>2</v>
      </c>
      <c r="E130" s="68" t="s">
        <v>536</v>
      </c>
    </row>
    <row r="131" spans="1:5">
      <c r="A131" s="68">
        <v>0.352989</v>
      </c>
      <c r="B131" s="68">
        <v>0.44629400000000002</v>
      </c>
      <c r="C131" s="68">
        <v>52.418900000000001</v>
      </c>
      <c r="D131" s="68">
        <v>2</v>
      </c>
      <c r="E131" s="68" t="s">
        <v>537</v>
      </c>
    </row>
    <row r="132" spans="1:5">
      <c r="A132" s="68">
        <v>0.35319899999999999</v>
      </c>
      <c r="B132" s="68">
        <v>0.44650000000000001</v>
      </c>
      <c r="C132" s="68">
        <v>52.826999999999998</v>
      </c>
      <c r="D132" s="68">
        <v>2</v>
      </c>
      <c r="E132" s="68" t="s">
        <v>538</v>
      </c>
    </row>
    <row r="133" spans="1:5">
      <c r="A133" s="68">
        <v>0.35331000000000001</v>
      </c>
      <c r="B133" s="68">
        <v>0.44694400000000001</v>
      </c>
      <c r="C133" s="68">
        <v>53.2333</v>
      </c>
      <c r="D133" s="68">
        <v>2</v>
      </c>
      <c r="E133" s="68" t="s">
        <v>539</v>
      </c>
    </row>
    <row r="134" spans="1:5">
      <c r="A134" s="68">
        <v>0.35346100000000003</v>
      </c>
      <c r="B134" s="68">
        <v>0.44764700000000002</v>
      </c>
      <c r="C134" s="68">
        <v>53.6389</v>
      </c>
      <c r="D134" s="68">
        <v>2</v>
      </c>
      <c r="E134" s="68" t="s">
        <v>540</v>
      </c>
    </row>
    <row r="135" spans="1:5">
      <c r="A135" s="68">
        <v>0.35387800000000003</v>
      </c>
      <c r="B135" s="68">
        <v>0.44917200000000002</v>
      </c>
      <c r="C135" s="68">
        <v>54.044199999999996</v>
      </c>
      <c r="D135" s="68">
        <v>2</v>
      </c>
      <c r="E135" s="68" t="s">
        <v>541</v>
      </c>
    </row>
    <row r="136" spans="1:5">
      <c r="A136" s="68">
        <v>0.35478900000000002</v>
      </c>
      <c r="B136" s="68">
        <v>0.451208</v>
      </c>
      <c r="C136" s="68">
        <v>54.447899999999997</v>
      </c>
      <c r="D136" s="68">
        <v>2</v>
      </c>
      <c r="E136" s="68" t="s">
        <v>542</v>
      </c>
    </row>
    <row r="137" spans="1:5">
      <c r="A137" s="68">
        <v>0.356126</v>
      </c>
      <c r="B137" s="68">
        <v>0.45353500000000002</v>
      </c>
      <c r="C137" s="68">
        <v>54.859099999999998</v>
      </c>
      <c r="D137" s="68">
        <v>2</v>
      </c>
      <c r="E137" s="68" t="s">
        <v>543</v>
      </c>
    </row>
    <row r="138" spans="1:5">
      <c r="A138" s="68">
        <v>0.35756199999999999</v>
      </c>
      <c r="B138" s="68">
        <v>0.45569999999999999</v>
      </c>
      <c r="C138" s="68">
        <v>55.264499999999998</v>
      </c>
      <c r="D138" s="68">
        <v>2</v>
      </c>
      <c r="E138" s="68" t="s">
        <v>544</v>
      </c>
    </row>
    <row r="139" spans="1:5">
      <c r="A139" s="68">
        <v>0.35919400000000001</v>
      </c>
      <c r="B139" s="68">
        <v>0.45831499999999997</v>
      </c>
      <c r="C139" s="68">
        <v>55.670400000000001</v>
      </c>
      <c r="D139" s="68">
        <v>2</v>
      </c>
      <c r="E139" s="68" t="s">
        <v>545</v>
      </c>
    </row>
    <row r="140" spans="1:5">
      <c r="A140" s="68">
        <v>0.36083399999999999</v>
      </c>
      <c r="B140" s="68">
        <v>0.461063</v>
      </c>
      <c r="C140" s="68">
        <v>56.073799999999999</v>
      </c>
      <c r="D140" s="68">
        <v>2</v>
      </c>
      <c r="E140" s="68" t="s">
        <v>546</v>
      </c>
    </row>
    <row r="141" spans="1:5">
      <c r="A141" s="68">
        <v>0.36236200000000002</v>
      </c>
      <c r="B141" s="68">
        <v>0.46417399999999998</v>
      </c>
      <c r="C141" s="68">
        <v>56.484699999999997</v>
      </c>
      <c r="D141" s="68">
        <v>2</v>
      </c>
      <c r="E141" s="68" t="s">
        <v>547</v>
      </c>
    </row>
    <row r="142" spans="1:5">
      <c r="A142" s="68">
        <v>0.36398999999999998</v>
      </c>
      <c r="B142" s="68">
        <v>0.466472</v>
      </c>
      <c r="C142" s="68">
        <v>56.890900000000002</v>
      </c>
      <c r="D142" s="68">
        <v>2</v>
      </c>
      <c r="E142" s="68" t="s">
        <v>548</v>
      </c>
    </row>
    <row r="143" spans="1:5">
      <c r="A143" s="68">
        <v>0.36537399999999998</v>
      </c>
      <c r="B143" s="68">
        <v>0.46672799999999998</v>
      </c>
      <c r="C143" s="68">
        <v>57.294400000000003</v>
      </c>
      <c r="D143" s="68">
        <v>2</v>
      </c>
      <c r="E143" s="68" t="s">
        <v>549</v>
      </c>
    </row>
    <row r="144" spans="1:5">
      <c r="A144" s="68">
        <v>0.366423</v>
      </c>
      <c r="B144" s="68">
        <v>0.46831499999999998</v>
      </c>
      <c r="C144" s="68">
        <v>57.703099999999999</v>
      </c>
      <c r="D144" s="68">
        <v>2</v>
      </c>
      <c r="E144" s="68" t="s">
        <v>550</v>
      </c>
    </row>
    <row r="145" spans="1:5">
      <c r="A145" s="68">
        <v>0.36681200000000003</v>
      </c>
      <c r="B145" s="68">
        <v>0.47118700000000002</v>
      </c>
      <c r="C145" s="68">
        <v>58.106900000000003</v>
      </c>
      <c r="D145" s="68">
        <v>2</v>
      </c>
      <c r="E145" s="68" t="s">
        <v>551</v>
      </c>
    </row>
    <row r="146" spans="1:5">
      <c r="A146" s="68">
        <v>0.36590800000000001</v>
      </c>
      <c r="B146" s="68">
        <v>0.47466900000000001</v>
      </c>
      <c r="C146" s="68">
        <v>58.514699999999998</v>
      </c>
      <c r="D146" s="68">
        <v>2</v>
      </c>
      <c r="E146" s="68" t="s">
        <v>552</v>
      </c>
    </row>
    <row r="147" spans="1:5">
      <c r="A147" s="68">
        <v>0.36520200000000003</v>
      </c>
      <c r="B147" s="68">
        <v>0.47691600000000001</v>
      </c>
      <c r="C147" s="68">
        <v>58.9253</v>
      </c>
      <c r="D147" s="68">
        <v>2</v>
      </c>
      <c r="E147" s="68" t="s">
        <v>553</v>
      </c>
    </row>
    <row r="148" spans="1:5">
      <c r="A148" s="68">
        <v>0.36453400000000002</v>
      </c>
      <c r="B148" s="68">
        <v>0.47891899999999998</v>
      </c>
      <c r="C148" s="68">
        <v>59.327100000000002</v>
      </c>
      <c r="D148" s="68">
        <v>2</v>
      </c>
      <c r="E148" s="68" t="s">
        <v>554</v>
      </c>
    </row>
    <row r="149" spans="1:5">
      <c r="A149" s="68">
        <v>0.36451699999999998</v>
      </c>
      <c r="B149" s="68">
        <v>0.48146600000000001</v>
      </c>
      <c r="C149" s="68">
        <v>59.73</v>
      </c>
      <c r="D149" s="68">
        <v>2</v>
      </c>
      <c r="E149" s="68" t="s">
        <v>555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405</v>
      </c>
      <c r="B1" s="66" t="s">
        <v>556</v>
      </c>
      <c r="C1" s="66" t="s">
        <v>558</v>
      </c>
      <c r="D1" s="66" t="s">
        <v>559</v>
      </c>
      <c r="E1" s="66" t="s">
        <v>560</v>
      </c>
      <c r="F1" s="66" t="s">
        <v>348</v>
      </c>
      <c r="G1" s="66" t="s">
        <v>349</v>
      </c>
      <c r="H1" s="66" t="s">
        <v>561</v>
      </c>
      <c r="I1" s="66" t="s">
        <v>562</v>
      </c>
      <c r="J1" s="66" t="s">
        <v>563</v>
      </c>
      <c r="K1" s="66" t="s">
        <v>564</v>
      </c>
      <c r="L1" s="66" t="s">
        <v>565</v>
      </c>
      <c r="M1" s="66" t="s">
        <v>566</v>
      </c>
      <c r="N1" s="66"/>
    </row>
    <row r="2" spans="1:14">
      <c r="A2" s="75">
        <v>43628.410185185188</v>
      </c>
      <c r="B2" s="66" t="s">
        <v>557</v>
      </c>
      <c r="C2" s="66"/>
      <c r="D2" s="66"/>
      <c r="E2" s="66">
        <v>4.9234099999999996</v>
      </c>
      <c r="F2" s="66">
        <v>1.91357</v>
      </c>
      <c r="G2" s="66">
        <v>0.579955</v>
      </c>
      <c r="H2" s="66">
        <v>0</v>
      </c>
      <c r="I2" s="66">
        <v>157309</v>
      </c>
      <c r="J2" s="66">
        <v>91</v>
      </c>
      <c r="K2" s="66">
        <v>91</v>
      </c>
      <c r="L2" s="66">
        <v>0</v>
      </c>
      <c r="M2" s="66" t="s">
        <v>567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2019-06-12T01:51:17Z</cp:lastPrinted>
  <dcterms:created xsi:type="dcterms:W3CDTF">2010-10-29T12:53:05Z</dcterms:created>
  <dcterms:modified xsi:type="dcterms:W3CDTF">2019-06-12T01:51:27Z</dcterms:modified>
</cp:coreProperties>
</file>