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<sst xmlns="http://schemas.openxmlformats.org/spreadsheetml/2006/main" count="702" uniqueCount="519">
  <si>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</si>
  <si>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</si>
  <si>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</si>
  <si>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</si>
  <si>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</si>
  <si>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</si>
  <si>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</si>
  <si>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</si>
  <si>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</si>
  <si>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</si>
  <si>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</si>
  <si>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</si>
  <si>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</si>
  <si>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</si>
  <si>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</si>
  <si>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</si>
  <si>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</si>
  <si>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</si>
  <si>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</si>
  <si>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</si>
  <si>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</si>
  <si>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</si>
  <si>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</si>
  <si>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</si>
  <si>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</si>
  <si>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</si>
  <si>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</si>
  <si>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</si>
  <si>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</si>
  <si>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</si>
  <si>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</si>
  <si>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</si>
  <si>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</si>
  <si>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</si>
  <si>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</si>
  <si>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</si>
  <si>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</si>
  <si>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</si>
  <si>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</si>
  <si>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</si>
  <si>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</si>
  <si>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</si>
  <si>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</si>
  <si>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</si>
  <si>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</si>
  <si>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</si>
  <si>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</si>
  <si>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</si>
  <si>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</si>
  <si>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</si>
  <si>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</si>
  <si>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</si>
  <si>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</si>
  <si>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</si>
  <si>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</si>
  <si>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</si>
  <si>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</si>
  <si>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</si>
  <si>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</si>
  <si>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</si>
  <si>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</si>
  <si>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</si>
  <si>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</si>
  <si>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</si>
  <si>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</si>
  <si>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</si>
  <si>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</si>
  <si>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</si>
  <si>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</si>
  <si>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</si>
  <si>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</si>
  <si>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</si>
  <si>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</si>
  <si>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</si>
  <si>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</si>
  <si>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</si>
  <si>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</si>
  <si>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</si>
  <si>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</si>
  <si>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</si>
  <si>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</si>
  <si>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</si>
  <si>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</si>
  <si>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</si>
  <si>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</si>
  <si>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</si>
  <si>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</si>
  <si>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</si>
  <si>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</si>
  <si>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</si>
  <si>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</si>
  <si>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</si>
  <si>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</si>
  <si>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</si>
  <si>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</si>
  <si>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</si>
  <si>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</si>
  <si>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</si>
  <si>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</si>
  <si>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</si>
  <si>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</si>
  <si>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</si>
  <si>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</si>
  <si>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</si>
  <si>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</si>
  <si>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</si>
  <si>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</si>
  <si>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</si>
  <si>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</si>
  <si>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</si>
  <si>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</si>
  <si>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</si>
  <si>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</si>
  <si>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</si>
  <si>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</si>
  <si>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</si>
  <si>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</si>
  <si>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</si>
  <si>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</si>
  <si>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</si>
  <si>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</si>
  <si>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</si>
  <si>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</si>
  <si>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</si>
  <si>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</si>
  <si>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</si>
  <si>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</si>
  <si>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</si>
  <si>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</si>
  <si>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</si>
  <si>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</si>
  <si>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</si>
  <si>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</si>
  <si>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</si>
  <si>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</si>
  <si>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</si>
  <si>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</si>
  <si>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</si>
  <si>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</si>
  <si>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</si>
  <si>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</si>
  <si>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</si>
  <si>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</si>
  <si>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</si>
  <si>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</si>
  <si>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</si>
  <si>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</si>
  <si>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</si>
  <si>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</si>
  <si>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</si>
  <si>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</si>
  <si>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</si>
  <si>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</si>
  <si>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</si>
  <si>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</si>
  <si>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</si>
  <si>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</si>
  <si>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</si>
  <si>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</si>
  <si>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</si>
  <si>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</si>
  <si>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</si>
  <si>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</si>
  <si>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</si>
  <si>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</si>
  <si>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</si>
  <si>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</si>
  <si>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</si>
  <si>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</si>
  <si>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</si>
  <si>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</si>
  <si>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</si>
  <si>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</si>
  <si>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</si>
  <si>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</si>
  <si>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</si>
  <si>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</si>
  <si>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</si>
  <si>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</si>
  <si>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</si>
  <si>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</si>
  <si>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</si>
  <si>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</si>
  <si>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</si>
  <si>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</si>
  <si>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</si>
  <si>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</si>
  <si>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</si>
  <si>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</si>
  <si>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</si>
  <si>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</si>
  <si>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</si>
  <si>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</si>
  <si>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</si>
  <si>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</si>
  <si>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</si>
  <si>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</si>
  <si>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</si>
  <si>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</si>
  <si>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</si>
  <si>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</si>
  <si>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</si>
  <si>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</si>
  <si>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</si>
  <si>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</si>
  <si>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</si>
  <si>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</si>
  <si>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</si>
  <si>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</si>
  <si>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</si>
  <si>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</si>
  <si>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</si>
  <si>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</si>
  <si>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</si>
  <si>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</si>
  <si>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</si>
  <si>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</si>
  <si>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</si>
  <si>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</si>
  <si>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</si>
  <si>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</si>
  <si>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</si>
  <si>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</si>
  <si>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</si>
  <si>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</si>
  <si>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</si>
  <si>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</si>
  <si>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</si>
  <si>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</si>
  <si>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</si>
  <si>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</si>
  <si>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</si>
  <si>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</si>
  <si>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</si>
  <si>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</si>
  <si>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</si>
  <si>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</si>
  <si>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</si>
  <si>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</si>
  <si>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</si>
  <si>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</si>
  <si>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</si>
  <si>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</si>
  <si>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</si>
  <si>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</si>
  <si>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</si>
  <si>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</si>
  <si>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</si>
  <si>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</si>
  <si>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</si>
  <si>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</si>
  <si>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</si>
  <si>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</si>
  <si>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</si>
  <si>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</si>
  <si>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</si>
  <si>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</si>
  <si>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</si>
  <si>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</si>
  <si>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</si>
  <si>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</si>
  <si>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</si>
  <si>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</si>
  <si>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</si>
  <si>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</si>
  <si>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</si>
  <si>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</si>
  <si>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</si>
  <si>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</si>
  <si>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</si>
  <si>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</si>
  <si>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</si>
  <si>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</si>
  <si>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</si>
  <si>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</si>
  <si>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</si>
  <si>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</si>
  <si>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</si>
  <si>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</si>
  <si>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</si>
  <si>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</si>
  <si>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</si>
  <si>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</si>
  <si>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</si>
  <si>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</si>
  <si>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</si>
  <si>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</si>
  <si>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</si>
  <si>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</si>
  <si>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</si>
  <si>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</si>
  <si>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</si>
  <si>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</si>
  <si>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</si>
  <si>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</si>
  <si>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</si>
  <si>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</si>
  <si>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</si>
  <si>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</si>
  <si>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</si>
  <si>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</si>
  <si>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</si>
  <si>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</si>
  <si>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</si>
  <si>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</si>
  <si>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</si>
  <si>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</si>
  <si>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</si>
  <si>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</si>
  <si>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</si>
  <si>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</si>
  <si>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</si>
  <si>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</si>
  <si>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</si>
  <si>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</si>
  <si>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</si>
  <si>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</si>
  <si>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</si>
  <si>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</si>
  <si>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</si>
  <si>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</si>
  <si>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</si>
  <si>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</si>
  <si>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</si>
  <si>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</si>
  <si>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</si>
  <si>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</si>
  <si>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</si>
  <si>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</si>
  <si>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</si>
  <si>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</si>
  <si>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</si>
  <si>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</si>
  <si>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</si>
  <si>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</si>
  <si>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</si>
  <si>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</si>
  <si>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</si>
  <si>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</si>
  <si>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</si>
  <si>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</si>
  <si>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</si>
  <si>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</si>
  <si>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</si>
  <si>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</si>
  <si>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</si>
  <si>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每秒输入帧率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</si>
  <si>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</si>
  <si>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</si>
  <si>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</si>
  <si>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</si>
  <si>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</si>
  <si>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</si>
  <si>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</si>
  <si>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</si>
  <si>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</si>
  <si>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</si>
  <si>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[0.378408]</t>
  </si>
  <si>
    <t>1 [0.784302]</t>
  </si>
  <si>
    <t>1 [1.191177]</t>
  </si>
  <si>
    <t>1 [1.592134]</t>
  </si>
  <si>
    <t>1 [2.000340]</t>
  </si>
  <si>
    <t>1 [2.407957]</t>
  </si>
  <si>
    <t>1 [2.811899]</t>
  </si>
  <si>
    <t>1 [3.219795]</t>
  </si>
  <si>
    <t>1 [3.627719]</t>
  </si>
  <si>
    <t>1 [4.029699]</t>
  </si>
  <si>
    <t>1 [4.440646]</t>
  </si>
  <si>
    <t>1 [4.848421]</t>
  </si>
  <si>
    <t>1 [5.253353]</t>
  </si>
  <si>
    <t>1 [5.655222]</t>
  </si>
  <si>
    <t>1 [6.065399]</t>
  </si>
  <si>
    <t>1 [6.474079]</t>
  </si>
  <si>
    <t>1 [6.878990]</t>
  </si>
  <si>
    <t>1 [7.284902]</t>
  </si>
  <si>
    <t>1 [7.685883]</t>
  </si>
  <si>
    <t>1 [8.094958]</t>
  </si>
  <si>
    <t>1 [8.503641]</t>
  </si>
  <si>
    <t>1 [8.911577]</t>
  </si>
  <si>
    <t>1 [9.315474]</t>
  </si>
  <si>
    <t>1 [9.716645]</t>
  </si>
  <si>
    <t>1 [10.124281]</t>
  </si>
  <si>
    <t>1 [10.535180]</t>
  </si>
  <si>
    <t>1 [10.939142]</t>
  </si>
  <si>
    <t>1 [11.349831]</t>
  </si>
  <si>
    <t>1 [11.752922]</t>
  </si>
  <si>
    <t>1 [12.157317]</t>
  </si>
  <si>
    <t>1 [12.566161]</t>
  </si>
  <si>
    <t>1 [12.972917]</t>
  </si>
  <si>
    <t>1 [13.375583]</t>
  </si>
  <si>
    <t>1 [13.782521]</t>
  </si>
  <si>
    <t>1 [14.189570]</t>
  </si>
  <si>
    <t>1 [14.597825]</t>
  </si>
  <si>
    <t>1 [15.002242]</t>
  </si>
  <si>
    <t>1 [15.405593]</t>
  </si>
  <si>
    <t>1 [15.813030]</t>
  </si>
  <si>
    <t>1 [16.217206]</t>
  </si>
  <si>
    <t>1 [16.625054]</t>
  </si>
  <si>
    <t>1 [17.033705]</t>
  </si>
  <si>
    <t>1 [17.437685]</t>
  </si>
  <si>
    <t>1 [17.842676]</t>
  </si>
  <si>
    <t>1 [18.250646]</t>
  </si>
  <si>
    <t>1 [18.654625]</t>
  </si>
  <si>
    <t>1 [19.066398]</t>
  </si>
  <si>
    <t>1 [19.472339]</t>
  </si>
  <si>
    <t>1 [19.878203]</t>
  </si>
  <si>
    <t>1 [20.281306]</t>
  </si>
  <si>
    <t>1 [20.687403]</t>
  </si>
  <si>
    <t>1 [21.094983]</t>
  </si>
  <si>
    <t>1 [21.503881]</t>
  </si>
  <si>
    <t>1 [21.904823]</t>
  </si>
  <si>
    <t>1 [22.312725]</t>
  </si>
  <si>
    <t>1 [22.718608]</t>
  </si>
  <si>
    <t>1 [23.124520]</t>
  </si>
  <si>
    <t>1 [23.528429]</t>
  </si>
  <si>
    <t>1 [23.937519]</t>
  </si>
  <si>
    <t>1 [24.346262]</t>
  </si>
  <si>
    <t>1 [24.752172]</t>
  </si>
  <si>
    <t>1 [25.154559]</t>
  </si>
  <si>
    <t>1 [25.563026]</t>
  </si>
  <si>
    <t>1 [25.968262]</t>
  </si>
  <si>
    <t>1 [26.376924]</t>
  </si>
  <si>
    <t>1 [26.782803]</t>
  </si>
  <si>
    <t>1 [27.184299]</t>
  </si>
  <si>
    <t>1 [27.596657]</t>
  </si>
  <si>
    <t>1 [28.000240]</t>
  </si>
  <si>
    <t>1 [28.407473]</t>
  </si>
  <si>
    <t>1 [28.816219]</t>
  </si>
  <si>
    <t>1 [29.219257]</t>
  </si>
  <si>
    <t>1 [29.624162]</t>
  </si>
  <si>
    <t>1 [30.034044]</t>
  </si>
  <si>
    <t>2 [30.640076]</t>
  </si>
  <si>
    <t>2 [31.014671]</t>
  </si>
  <si>
    <t>2 [31.391998]</t>
  </si>
  <si>
    <t>2 [31.768424]</t>
  </si>
  <si>
    <t>2 [32.144402]</t>
  </si>
  <si>
    <t>2 [32.545959]</t>
  </si>
  <si>
    <t>2 [32.952290]</t>
  </si>
  <si>
    <t>2 [33.359407]</t>
  </si>
  <si>
    <t>2 [33.771056]</t>
  </si>
  <si>
    <t>2 [34.174964]</t>
  </si>
  <si>
    <t>2 [34.578952]</t>
  </si>
  <si>
    <t>2 [34.985837]</t>
  </si>
  <si>
    <t>2 [35.387573]</t>
  </si>
  <si>
    <t>2 [35.801697]</t>
  </si>
  <si>
    <t>2 [36.204734]</t>
  </si>
  <si>
    <t>2 [36.609435]</t>
  </si>
  <si>
    <t>2 [37.013574]</t>
  </si>
  <si>
    <t>2 [37.424087]</t>
  </si>
  <si>
    <t>2 [37.828250]</t>
  </si>
  <si>
    <t>2 [38.236072]</t>
  </si>
  <si>
    <t>2 [38.645037]</t>
  </si>
  <si>
    <t>2 [39.045989]</t>
  </si>
  <si>
    <t>2 [39.451876]</t>
  </si>
  <si>
    <t>2 [39.861793]</t>
  </si>
  <si>
    <t>2 [40.268936]</t>
  </si>
  <si>
    <t>2 [40.673604]</t>
  </si>
  <si>
    <t>2 [41.078534]</t>
  </si>
  <si>
    <t>2 [41.483473]</t>
  </si>
  <si>
    <t>2 [41.891412]</t>
  </si>
  <si>
    <t>2 [42.299280]</t>
  </si>
  <si>
    <t>2 [42.708174]</t>
  </si>
  <si>
    <t>2 [43.108116]</t>
  </si>
  <si>
    <t>2 [43.516038]</t>
  </si>
  <si>
    <t>2 [43.920955]</t>
  </si>
  <si>
    <t>2 [44.327286]</t>
  </si>
  <si>
    <t>2 [44.734941]</t>
  </si>
  <si>
    <t>2 [45.138666]</t>
  </si>
  <si>
    <t>2 [45.550631]</t>
  </si>
  <si>
    <t>2 [45.955449]</t>
  </si>
  <si>
    <t>2 [46.359420]</t>
  </si>
  <si>
    <t>2 [46.765454]</t>
  </si>
  <si>
    <t>2 [47.170251]</t>
  </si>
  <si>
    <t>2 [47.582275]</t>
  </si>
  <si>
    <t>2 [47.986082]</t>
  </si>
  <si>
    <t>2 [48.387972]</t>
  </si>
  <si>
    <t>2 [48.793825]</t>
  </si>
  <si>
    <t>2 [49.201941]</t>
  </si>
  <si>
    <t>2 [49.610748]</t>
  </si>
  <si>
    <t>2 [50.016730]</t>
  </si>
  <si>
    <t>2 [50.422562]</t>
  </si>
  <si>
    <t>2 [50.827479]</t>
  </si>
  <si>
    <t>2 [51.231779]</t>
  </si>
  <si>
    <t>2 [51.644312]</t>
  </si>
  <si>
    <t>2 [52.052177]</t>
  </si>
  <si>
    <t>2 [52.451086]</t>
  </si>
  <si>
    <t>2 [52.861351]</t>
  </si>
  <si>
    <t>2 [53.262555]</t>
  </si>
  <si>
    <t>2 [53.668923]</t>
  </si>
  <si>
    <t>2 [54.082465]</t>
  </si>
  <si>
    <t>2 [54.482682]</t>
  </si>
  <si>
    <t>2 [54.889585]</t>
  </si>
  <si>
    <t>2 [55.295101]</t>
  </si>
  <si>
    <t>2 [55.700566]</t>
  </si>
  <si>
    <t>2 [56.111716]</t>
  </si>
  <si>
    <t>2 [56.515275]</t>
  </si>
  <si>
    <t>2 [56.924156]</t>
  </si>
  <si>
    <t>2 [57.326130]</t>
  </si>
  <si>
    <t>2 [57.735999]</t>
  </si>
  <si>
    <t>2 [58.139886]</t>
  </si>
  <si>
    <t>2 [58.548775]</t>
  </si>
  <si>
    <t>2 [58.951709]</t>
  </si>
  <si>
    <t>2 [59.361712]</t>
  </si>
  <si>
    <t>2 [59.768541]</t>
  </si>
  <si>
    <t>2 [60.169432]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</si>
  <si>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</si>
  <si>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</si>
  <si>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</si>
  <si>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</si>
  <si>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</si>
  <si>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</si>
  <si>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</si>
  <si>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</si>
  <si>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</si>
  <si>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</si>
  <si>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</si>
  <si>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</si>
  <si>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</si>
  <si>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王海莲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</si>
</sst>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28.169899999999998</c:v>
                </c:pt>
                <c:pt idx="1">
                  <c:v>26.504200000000001</c:v>
                </c:pt>
                <c:pt idx="2">
                  <c:v>10.4663</c:v>
                </c:pt>
                <c:pt idx="3">
                  <c:v>21.5961</c:v>
                </c:pt>
                <c:pt idx="4">
                  <c:v>74.370999999999995</c:v>
                </c:pt>
                <c:pt idx="5">
                  <c:v>77.743899999999996</c:v>
                </c:pt>
                <c:pt idx="6">
                  <c:v>18.162700000000001</c:v>
                </c:pt>
                <c:pt idx="7">
                  <c:v>76.7209</c:v>
                </c:pt>
                <c:pt idx="8">
                  <c:v>28.941099999999999</c:v>
                </c:pt>
                <c:pt idx="9">
                  <c:v>106.411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0.40864076982432634</c:v>
                </c:pt>
                <c:pt idx="1">
                  <c:v>0.14349913109540216</c:v>
                </c:pt>
                <c:pt idx="2">
                  <c:v>0.44786009908027141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1933</c:v>
                </c:pt>
                <c:pt idx="7">
                  <c:v>0</c:v>
                </c:pt>
                <c:pt idx="8">
                  <c:v>5479</c:v>
                </c:pt>
                <c:pt idx="9">
                  <c:v>0</c:v>
                </c:pt>
                <c:pt idx="10">
                  <c:v>0</c:v>
                </c:pt>
                <c:pt idx="11">
                  <c:v>11303</c:v>
                </c:pt>
                <c:pt idx="12">
                  <c:v>0</c:v>
                </c:pt>
                <c:pt idx="13">
                  <c:v>19848</c:v>
                </c:pt>
                <c:pt idx="14">
                  <c:v>0</c:v>
                </c:pt>
                <c:pt idx="15">
                  <c:v>0</c:v>
                </c:pt>
                <c:pt idx="16">
                  <c:v>26980</c:v>
                </c:pt>
                <c:pt idx="17">
                  <c:v>0</c:v>
                </c:pt>
                <c:pt idx="18">
                  <c:v>0</c:v>
                </c:pt>
                <c:pt idx="19">
                  <c:v>45047</c:v>
                </c:pt>
                <c:pt idx="20">
                  <c:v>0</c:v>
                </c:pt>
                <c:pt idx="21">
                  <c:v>57548</c:v>
                </c:pt>
                <c:pt idx="22">
                  <c:v>0</c:v>
                </c:pt>
                <c:pt idx="23">
                  <c:v>0</c:v>
                </c:pt>
                <c:pt idx="24">
                  <c:v>74678</c:v>
                </c:pt>
                <c:pt idx="25">
                  <c:v>0</c:v>
                </c:pt>
                <c:pt idx="26">
                  <c:v>86183</c:v>
                </c:pt>
                <c:pt idx="27">
                  <c:v>0</c:v>
                </c:pt>
                <c:pt idx="28">
                  <c:v>0</c:v>
                </c:pt>
                <c:pt idx="29">
                  <c:v>105024</c:v>
                </c:pt>
                <c:pt idx="30">
                  <c:v>0</c:v>
                </c:pt>
                <c:pt idx="31">
                  <c:v>87582</c:v>
                </c:pt>
                <c:pt idx="32">
                  <c:v>0</c:v>
                </c:pt>
                <c:pt idx="33">
                  <c:v>0</c:v>
                </c:pt>
                <c:pt idx="34">
                  <c:v>95446</c:v>
                </c:pt>
                <c:pt idx="35">
                  <c:v>0</c:v>
                </c:pt>
                <c:pt idx="36">
                  <c:v>0</c:v>
                </c:pt>
                <c:pt idx="37">
                  <c:v>102724</c:v>
                </c:pt>
                <c:pt idx="38">
                  <c:v>0</c:v>
                </c:pt>
                <c:pt idx="39">
                  <c:v>108198</c:v>
                </c:pt>
                <c:pt idx="40">
                  <c:v>0</c:v>
                </c:pt>
                <c:pt idx="41">
                  <c:v>0</c:v>
                </c:pt>
                <c:pt idx="42">
                  <c:v>115340</c:v>
                </c:pt>
                <c:pt idx="43">
                  <c:v>0</c:v>
                </c:pt>
                <c:pt idx="44">
                  <c:v>144456</c:v>
                </c:pt>
                <c:pt idx="45">
                  <c:v>0</c:v>
                </c:pt>
                <c:pt idx="46">
                  <c:v>0</c:v>
                </c:pt>
                <c:pt idx="47">
                  <c:v>160968</c:v>
                </c:pt>
                <c:pt idx="48">
                  <c:v>0</c:v>
                </c:pt>
                <c:pt idx="49">
                  <c:v>179923</c:v>
                </c:pt>
                <c:pt idx="50">
                  <c:v>0</c:v>
                </c:pt>
                <c:pt idx="51">
                  <c:v>0</c:v>
                </c:pt>
                <c:pt idx="52">
                  <c:v>183972</c:v>
                </c:pt>
                <c:pt idx="53">
                  <c:v>0</c:v>
                </c:pt>
                <c:pt idx="54">
                  <c:v>0</c:v>
                </c:pt>
                <c:pt idx="55">
                  <c:v>195903</c:v>
                </c:pt>
                <c:pt idx="56">
                  <c:v>0</c:v>
                </c:pt>
                <c:pt idx="57">
                  <c:v>202648</c:v>
                </c:pt>
                <c:pt idx="58">
                  <c:v>0</c:v>
                </c:pt>
                <c:pt idx="59">
                  <c:v>0</c:v>
                </c:pt>
                <c:pt idx="60">
                  <c:v>210638</c:v>
                </c:pt>
                <c:pt idx="61">
                  <c:v>0</c:v>
                </c:pt>
                <c:pt idx="62">
                  <c:v>208181</c:v>
                </c:pt>
                <c:pt idx="63">
                  <c:v>0</c:v>
                </c:pt>
                <c:pt idx="64">
                  <c:v>0</c:v>
                </c:pt>
                <c:pt idx="65">
                  <c:v>205624</c:v>
                </c:pt>
                <c:pt idx="66">
                  <c:v>0</c:v>
                </c:pt>
                <c:pt idx="67">
                  <c:v>207904</c:v>
                </c:pt>
                <c:pt idx="68">
                  <c:v>0</c:v>
                </c:pt>
                <c:pt idx="69">
                  <c:v>0</c:v>
                </c:pt>
                <c:pt idx="70">
                  <c:v>207166</c:v>
                </c:pt>
                <c:pt idx="71">
                  <c:v>0</c:v>
                </c:pt>
                <c:pt idx="72">
                  <c:v>0</c:v>
                </c:pt>
                <c:pt idx="73">
                  <c:v>212292</c:v>
                </c:pt>
                <c:pt idx="74">
                  <c:v>0</c:v>
                </c:pt>
                <c:pt idx="75">
                  <c:v>207668</c:v>
                </c:pt>
                <c:pt idx="76">
                  <c:v>0</c:v>
                </c:pt>
                <c:pt idx="77">
                  <c:v>0</c:v>
                </c:pt>
                <c:pt idx="78">
                  <c:v>217776</c:v>
                </c:pt>
                <c:pt idx="79">
                  <c:v>0</c:v>
                </c:pt>
                <c:pt idx="80">
                  <c:v>206740</c:v>
                </c:pt>
                <c:pt idx="81">
                  <c:v>0</c:v>
                </c:pt>
                <c:pt idx="82">
                  <c:v>0</c:v>
                </c:pt>
                <c:pt idx="83">
                  <c:v>211023</c:v>
                </c:pt>
                <c:pt idx="84">
                  <c:v>0</c:v>
                </c:pt>
                <c:pt idx="85">
                  <c:v>0</c:v>
                </c:pt>
                <c:pt idx="86">
                  <c:v>205645</c:v>
                </c:pt>
                <c:pt idx="87">
                  <c:v>0</c:v>
                </c:pt>
                <c:pt idx="88">
                  <c:v>188627</c:v>
                </c:pt>
                <c:pt idx="89">
                  <c:v>0</c:v>
                </c:pt>
                <c:pt idx="90">
                  <c:v>0</c:v>
                </c:pt>
                <c:pt idx="91">
                  <c:v>194029</c:v>
                </c:pt>
                <c:pt idx="92">
                  <c:v>0</c:v>
                </c:pt>
                <c:pt idx="93">
                  <c:v>179961</c:v>
                </c:pt>
                <c:pt idx="94">
                  <c:v>0</c:v>
                </c:pt>
                <c:pt idx="95">
                  <c:v>0</c:v>
                </c:pt>
                <c:pt idx="96">
                  <c:v>165862</c:v>
                </c:pt>
                <c:pt idx="97">
                  <c:v>0</c:v>
                </c:pt>
                <c:pt idx="98">
                  <c:v>151923</c:v>
                </c:pt>
                <c:pt idx="99">
                  <c:v>0</c:v>
                </c:pt>
                <c:pt idx="100">
                  <c:v>0</c:v>
                </c:pt>
                <c:pt idx="101">
                  <c:v>140780</c:v>
                </c:pt>
                <c:pt idx="102">
                  <c:v>0</c:v>
                </c:pt>
                <c:pt idx="103">
                  <c:v>0</c:v>
                </c:pt>
                <c:pt idx="104">
                  <c:v>133313</c:v>
                </c:pt>
                <c:pt idx="105">
                  <c:v>0</c:v>
                </c:pt>
                <c:pt idx="106">
                  <c:v>119198</c:v>
                </c:pt>
                <c:pt idx="107">
                  <c:v>0</c:v>
                </c:pt>
                <c:pt idx="108">
                  <c:v>0</c:v>
                </c:pt>
                <c:pt idx="109">
                  <c:v>105892</c:v>
                </c:pt>
                <c:pt idx="110">
                  <c:v>0</c:v>
                </c:pt>
                <c:pt idx="111">
                  <c:v>86832</c:v>
                </c:pt>
                <c:pt idx="112">
                  <c:v>0</c:v>
                </c:pt>
                <c:pt idx="113">
                  <c:v>0</c:v>
                </c:pt>
                <c:pt idx="114">
                  <c:v>76060</c:v>
                </c:pt>
                <c:pt idx="115">
                  <c:v>0</c:v>
                </c:pt>
                <c:pt idx="116">
                  <c:v>72713</c:v>
                </c:pt>
                <c:pt idx="117">
                  <c:v>0</c:v>
                </c:pt>
                <c:pt idx="118">
                  <c:v>0</c:v>
                </c:pt>
                <c:pt idx="119">
                  <c:v>71798</c:v>
                </c:pt>
                <c:pt idx="120">
                  <c:v>0</c:v>
                </c:pt>
                <c:pt idx="121">
                  <c:v>0</c:v>
                </c:pt>
                <c:pt idx="122">
                  <c:v>69714</c:v>
                </c:pt>
                <c:pt idx="123">
                  <c:v>0</c:v>
                </c:pt>
                <c:pt idx="124">
                  <c:v>60935</c:v>
                </c:pt>
                <c:pt idx="125">
                  <c:v>0</c:v>
                </c:pt>
                <c:pt idx="126">
                  <c:v>0</c:v>
                </c:pt>
                <c:pt idx="127">
                  <c:v>59069</c:v>
                </c:pt>
                <c:pt idx="128">
                  <c:v>0</c:v>
                </c:pt>
                <c:pt idx="129">
                  <c:v>48973</c:v>
                </c:pt>
                <c:pt idx="130">
                  <c:v>0</c:v>
                </c:pt>
                <c:pt idx="131">
                  <c:v>0</c:v>
                </c:pt>
                <c:pt idx="132">
                  <c:v>40509</c:v>
                </c:pt>
                <c:pt idx="133">
                  <c:v>0</c:v>
                </c:pt>
                <c:pt idx="134">
                  <c:v>34615</c:v>
                </c:pt>
                <c:pt idx="135">
                  <c:v>0</c:v>
                </c:pt>
                <c:pt idx="136">
                  <c:v>0</c:v>
                </c:pt>
                <c:pt idx="137">
                  <c:v>32624</c:v>
                </c:pt>
                <c:pt idx="138">
                  <c:v>0</c:v>
                </c:pt>
                <c:pt idx="139">
                  <c:v>0</c:v>
                </c:pt>
                <c:pt idx="140">
                  <c:v>28497</c:v>
                </c:pt>
                <c:pt idx="141">
                  <c:v>0</c:v>
                </c:pt>
                <c:pt idx="142">
                  <c:v>21965</c:v>
                </c:pt>
                <c:pt idx="143">
                  <c:v>0</c:v>
                </c:pt>
                <c:pt idx="144">
                  <c:v>0</c:v>
                </c:pt>
                <c:pt idx="145">
                  <c:v>15225</c:v>
                </c:pt>
                <c:pt idx="146">
                  <c:v>0</c:v>
                </c:pt>
                <c:pt idx="147">
                  <c:v>10178</c:v>
                </c:pt>
                <c:pt idx="148">
                  <c:v>0</c:v>
                </c:pt>
                <c:pt idx="149">
                  <c:v>0</c:v>
                </c:pt>
                <c:pt idx="150">
                  <c:v>8021</c:v>
                </c:pt>
                <c:pt idx="151">
                  <c:v>0</c:v>
                </c:pt>
                <c:pt idx="152">
                  <c:v>5739</c:v>
                </c:pt>
                <c:pt idx="153">
                  <c:v>0</c:v>
                </c:pt>
                <c:pt idx="154">
                  <c:v>0</c:v>
                </c:pt>
                <c:pt idx="155">
                  <c:v>3013</c:v>
                </c:pt>
                <c:pt idx="156">
                  <c:v>0</c:v>
                </c:pt>
                <c:pt idx="157">
                  <c:v>0</c:v>
                </c:pt>
                <c:pt idx="158">
                  <c:v>2170</c:v>
                </c:pt>
                <c:pt idx="159">
                  <c:v>0</c:v>
                </c:pt>
                <c:pt idx="160">
                  <c:v>3537</c:v>
                </c:pt>
                <c:pt idx="161">
                  <c:v>0</c:v>
                </c:pt>
                <c:pt idx="162">
                  <c:v>0</c:v>
                </c:pt>
                <c:pt idx="163">
                  <c:v>2389</c:v>
                </c:pt>
                <c:pt idx="164">
                  <c:v>0</c:v>
                </c:pt>
                <c:pt idx="165">
                  <c:v>1736</c:v>
                </c:pt>
                <c:pt idx="166">
                  <c:v>0</c:v>
                </c:pt>
                <c:pt idx="167">
                  <c:v>0</c:v>
                </c:pt>
                <c:pt idx="168">
                  <c:v>726</c:v>
                </c:pt>
                <c:pt idx="169">
                  <c:v>0</c:v>
                </c:pt>
                <c:pt idx="170">
                  <c:v>0</c:v>
                </c:pt>
                <c:pt idx="171">
                  <c:v>399</c:v>
                </c:pt>
                <c:pt idx="172">
                  <c:v>0</c:v>
                </c:pt>
                <c:pt idx="173">
                  <c:v>496</c:v>
                </c:pt>
                <c:pt idx="174">
                  <c:v>0</c:v>
                </c:pt>
                <c:pt idx="175">
                  <c:v>0</c:v>
                </c:pt>
                <c:pt idx="176">
                  <c:v>117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  <c:pt idx="75">
                  <c:v>2.8674100000000005</c:v>
                </c:pt>
                <c:pt idx="76">
                  <c:v>2.8850700000000002</c:v>
                </c:pt>
                <c:pt idx="77">
                  <c:v>2.90381</c:v>
                </c:pt>
                <c:pt idx="78">
                  <c:v>2.9248699999999999</c:v>
                </c:pt>
                <c:pt idx="79">
                  <c:v>2.9503900000000001</c:v>
                </c:pt>
                <c:pt idx="80">
                  <c:v>2.9784699999999997</c:v>
                </c:pt>
                <c:pt idx="81">
                  <c:v>3.0058099999999999</c:v>
                </c:pt>
                <c:pt idx="82">
                  <c:v>3.0327900000000003</c:v>
                </c:pt>
                <c:pt idx="83">
                  <c:v>3.0595499999999998</c:v>
                </c:pt>
                <c:pt idx="84">
                  <c:v>3.08602</c:v>
                </c:pt>
                <c:pt idx="85">
                  <c:v>3.1121100000000004</c:v>
                </c:pt>
                <c:pt idx="86">
                  <c:v>3.13863</c:v>
                </c:pt>
                <c:pt idx="87">
                  <c:v>3.1655899999999999</c:v>
                </c:pt>
                <c:pt idx="88">
                  <c:v>3.1888699999999996</c:v>
                </c:pt>
                <c:pt idx="89">
                  <c:v>3.2102199999999996</c:v>
                </c:pt>
                <c:pt idx="90">
                  <c:v>3.2326500000000005</c:v>
                </c:pt>
                <c:pt idx="91">
                  <c:v>3.2573400000000001</c:v>
                </c:pt>
                <c:pt idx="92">
                  <c:v>3.2815799999999999</c:v>
                </c:pt>
                <c:pt idx="93">
                  <c:v>3.3067899999999999</c:v>
                </c:pt>
                <c:pt idx="94">
                  <c:v>3.3331100000000005</c:v>
                </c:pt>
                <c:pt idx="95">
                  <c:v>3.3580999999999999</c:v>
                </c:pt>
                <c:pt idx="96">
                  <c:v>3.3843800000000002</c:v>
                </c:pt>
                <c:pt idx="97">
                  <c:v>3.4078399999999998</c:v>
                </c:pt>
                <c:pt idx="98">
                  <c:v>3.42896</c:v>
                </c:pt>
                <c:pt idx="99">
                  <c:v>3.4488999999999996</c:v>
                </c:pt>
                <c:pt idx="100">
                  <c:v>3.4674300000000002</c:v>
                </c:pt>
                <c:pt idx="101">
                  <c:v>3.4855799999999997</c:v>
                </c:pt>
                <c:pt idx="102">
                  <c:v>3.5031400000000001</c:v>
                </c:pt>
                <c:pt idx="103">
                  <c:v>3.5214600000000003</c:v>
                </c:pt>
                <c:pt idx="104">
                  <c:v>3.5432999999999999</c:v>
                </c:pt>
                <c:pt idx="105">
                  <c:v>3.5667999999999997</c:v>
                </c:pt>
                <c:pt idx="106">
                  <c:v>3.5929799999999998</c:v>
                </c:pt>
                <c:pt idx="107">
                  <c:v>3.62039</c:v>
                </c:pt>
                <c:pt idx="108">
                  <c:v>3.6451899999999999</c:v>
                </c:pt>
                <c:pt idx="109">
                  <c:v>3.6648300000000003</c:v>
                </c:pt>
                <c:pt idx="110">
                  <c:v>3.6794599999999997</c:v>
                </c:pt>
                <c:pt idx="111">
                  <c:v>3.68994</c:v>
                </c:pt>
                <c:pt idx="112">
                  <c:v>3.69665</c:v>
                </c:pt>
                <c:pt idx="113">
                  <c:v>3.70214</c:v>
                </c:pt>
                <c:pt idx="114">
                  <c:v>3.7087599999999998</c:v>
                </c:pt>
                <c:pt idx="115">
                  <c:v>3.7152600000000002</c:v>
                </c:pt>
                <c:pt idx="116">
                  <c:v>3.7156000000000002</c:v>
                </c:pt>
                <c:pt idx="117">
                  <c:v>3.7131099999999999</c:v>
                </c:pt>
                <c:pt idx="118">
                  <c:v>3.70797</c:v>
                </c:pt>
                <c:pt idx="119">
                  <c:v>3.6987999999999999</c:v>
                </c:pt>
                <c:pt idx="120">
                  <c:v>3.6885300000000001</c:v>
                </c:pt>
                <c:pt idx="121">
                  <c:v>3.6775000000000002</c:v>
                </c:pt>
                <c:pt idx="122">
                  <c:v>3.66927</c:v>
                </c:pt>
                <c:pt idx="123">
                  <c:v>3.6620499999999998</c:v>
                </c:pt>
                <c:pt idx="124">
                  <c:v>3.6601099999999995</c:v>
                </c:pt>
                <c:pt idx="125">
                  <c:v>3.6636500000000001</c:v>
                </c:pt>
                <c:pt idx="126">
                  <c:v>3.66595</c:v>
                </c:pt>
                <c:pt idx="127">
                  <c:v>3.6676799999999998</c:v>
                </c:pt>
                <c:pt idx="128">
                  <c:v>3.6660199999999996</c:v>
                </c:pt>
                <c:pt idx="129">
                  <c:v>3.65632</c:v>
                </c:pt>
                <c:pt idx="130">
                  <c:v>3.6405599999999998</c:v>
                </c:pt>
                <c:pt idx="131">
                  <c:v>3.6187900000000002</c:v>
                </c:pt>
                <c:pt idx="132">
                  <c:v>3.5915699999999999</c:v>
                </c:pt>
                <c:pt idx="133">
                  <c:v>3.5632599999999996</c:v>
                </c:pt>
                <c:pt idx="134">
                  <c:v>3.5385400000000002</c:v>
                </c:pt>
                <c:pt idx="135">
                  <c:v>3.5192800000000002</c:v>
                </c:pt>
                <c:pt idx="136">
                  <c:v>3.5039100000000003</c:v>
                </c:pt>
                <c:pt idx="137">
                  <c:v>3.4903400000000002</c:v>
                </c:pt>
                <c:pt idx="138">
                  <c:v>3.4799000000000002</c:v>
                </c:pt>
                <c:pt idx="139">
                  <c:v>3.4654400000000001</c:v>
                </c:pt>
                <c:pt idx="140">
                  <c:v>3.4443899999999998</c:v>
                </c:pt>
                <c:pt idx="141">
                  <c:v>3.4279500000000001</c:v>
                </c:pt>
                <c:pt idx="142">
                  <c:v>3.4125800000000002</c:v>
                </c:pt>
                <c:pt idx="143">
                  <c:v>3.3992599999999999</c:v>
                </c:pt>
                <c:pt idx="144">
                  <c:v>3.3932600000000002</c:v>
                </c:pt>
                <c:pt idx="145">
                  <c:v>3.3958300000000001</c:v>
                </c:pt>
                <c:pt idx="146">
                  <c:v>3.4030899999999997</c:v>
                </c:pt>
                <c:pt idx="147">
                  <c:v>3.3990900000000002</c:v>
                </c:pt>
                <c:pt idx="148">
                  <c:v>3.38063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  <c:pt idx="75">
                  <c:v>54.777000000000001</c:v>
                </c:pt>
                <c:pt idx="76">
                  <c:v>54.654599999999995</c:v>
                </c:pt>
                <c:pt idx="77">
                  <c:v>54.514600000000002</c:v>
                </c:pt>
                <c:pt idx="78">
                  <c:v>54.349199999999996</c:v>
                </c:pt>
                <c:pt idx="79">
                  <c:v>54.120199999999997</c:v>
                </c:pt>
                <c:pt idx="80">
                  <c:v>53.905200000000001</c:v>
                </c:pt>
                <c:pt idx="81">
                  <c:v>53.756800000000005</c:v>
                </c:pt>
                <c:pt idx="82">
                  <c:v>53.646599999999999</c:v>
                </c:pt>
                <c:pt idx="83">
                  <c:v>53.572399999999995</c:v>
                </c:pt>
                <c:pt idx="84">
                  <c:v>53.517099999999992</c:v>
                </c:pt>
                <c:pt idx="85">
                  <c:v>53.4617</c:v>
                </c:pt>
                <c:pt idx="86">
                  <c:v>53.387900000000002</c:v>
                </c:pt>
                <c:pt idx="87">
                  <c:v>53.259199999999993</c:v>
                </c:pt>
                <c:pt idx="88">
                  <c:v>53.186900000000001</c:v>
                </c:pt>
                <c:pt idx="89">
                  <c:v>53.16</c:v>
                </c:pt>
                <c:pt idx="90">
                  <c:v>53.117999999999995</c:v>
                </c:pt>
                <c:pt idx="91">
                  <c:v>52.990200000000002</c:v>
                </c:pt>
                <c:pt idx="92">
                  <c:v>52.856999999999999</c:v>
                </c:pt>
                <c:pt idx="93">
                  <c:v>52.724899999999998</c:v>
                </c:pt>
                <c:pt idx="94">
                  <c:v>52.572399999999995</c:v>
                </c:pt>
                <c:pt idx="95">
                  <c:v>52.482700000000001</c:v>
                </c:pt>
                <c:pt idx="96">
                  <c:v>52.436000000000007</c:v>
                </c:pt>
                <c:pt idx="97">
                  <c:v>52.466799999999999</c:v>
                </c:pt>
                <c:pt idx="98">
                  <c:v>52.501699999999992</c:v>
                </c:pt>
                <c:pt idx="99">
                  <c:v>52.534000000000006</c:v>
                </c:pt>
                <c:pt idx="100">
                  <c:v>52.5139</c:v>
                </c:pt>
                <c:pt idx="101">
                  <c:v>52.435900000000004</c:v>
                </c:pt>
                <c:pt idx="102">
                  <c:v>52.365099999999998</c:v>
                </c:pt>
                <c:pt idx="103">
                  <c:v>52.238600000000005</c:v>
                </c:pt>
                <c:pt idx="104">
                  <c:v>52.018000000000001</c:v>
                </c:pt>
                <c:pt idx="105">
                  <c:v>51.716099999999997</c:v>
                </c:pt>
                <c:pt idx="106">
                  <c:v>51.366100000000003</c:v>
                </c:pt>
                <c:pt idx="107">
                  <c:v>51.007899999999992</c:v>
                </c:pt>
                <c:pt idx="108">
                  <c:v>50.767899999999997</c:v>
                </c:pt>
                <c:pt idx="109">
                  <c:v>50.642499999999998</c:v>
                </c:pt>
                <c:pt idx="110">
                  <c:v>50.620299999999993</c:v>
                </c:pt>
                <c:pt idx="111">
                  <c:v>50.631999999999998</c:v>
                </c:pt>
                <c:pt idx="112">
                  <c:v>50.653099999999995</c:v>
                </c:pt>
                <c:pt idx="113">
                  <c:v>50.734500000000004</c:v>
                </c:pt>
                <c:pt idx="114">
                  <c:v>50.828700000000005</c:v>
                </c:pt>
                <c:pt idx="115">
                  <c:v>50.937800000000003</c:v>
                </c:pt>
                <c:pt idx="116">
                  <c:v>51.0837</c:v>
                </c:pt>
                <c:pt idx="117">
                  <c:v>51.227199999999996</c:v>
                </c:pt>
                <c:pt idx="118">
                  <c:v>51.356199999999994</c:v>
                </c:pt>
                <c:pt idx="119">
                  <c:v>51.4786</c:v>
                </c:pt>
                <c:pt idx="120">
                  <c:v>51.564799999999998</c:v>
                </c:pt>
                <c:pt idx="121">
                  <c:v>51.638500000000001</c:v>
                </c:pt>
                <c:pt idx="122">
                  <c:v>51.709099999999999</c:v>
                </c:pt>
                <c:pt idx="123">
                  <c:v>51.797699999999999</c:v>
                </c:pt>
                <c:pt idx="124">
                  <c:v>51.873999999999995</c:v>
                </c:pt>
                <c:pt idx="125">
                  <c:v>51.933599999999998</c:v>
                </c:pt>
                <c:pt idx="126">
                  <c:v>52.022400000000005</c:v>
                </c:pt>
                <c:pt idx="127">
                  <c:v>52.125999999999998</c:v>
                </c:pt>
                <c:pt idx="128">
                  <c:v>52.2532</c:v>
                </c:pt>
                <c:pt idx="129">
                  <c:v>52.444500000000005</c:v>
                </c:pt>
                <c:pt idx="130">
                  <c:v>52.7316</c:v>
                </c:pt>
                <c:pt idx="131">
                  <c:v>53.1539</c:v>
                </c:pt>
                <c:pt idx="132">
                  <c:v>53.729300000000002</c:v>
                </c:pt>
                <c:pt idx="133">
                  <c:v>54.253799999999998</c:v>
                </c:pt>
                <c:pt idx="134">
                  <c:v>54.677399999999999</c:v>
                </c:pt>
                <c:pt idx="135">
                  <c:v>54.979399999999998</c:v>
                </c:pt>
                <c:pt idx="136">
                  <c:v>55.243200000000002</c:v>
                </c:pt>
                <c:pt idx="137">
                  <c:v>55.513500000000008</c:v>
                </c:pt>
                <c:pt idx="138">
                  <c:v>55.631500000000003</c:v>
                </c:pt>
                <c:pt idx="139">
                  <c:v>55.779999999999994</c:v>
                </c:pt>
                <c:pt idx="140">
                  <c:v>56.009500000000003</c:v>
                </c:pt>
                <c:pt idx="141">
                  <c:v>56.105700000000006</c:v>
                </c:pt>
                <c:pt idx="142">
                  <c:v>56.160600000000002</c:v>
                </c:pt>
                <c:pt idx="143">
                  <c:v>56.200200000000002</c:v>
                </c:pt>
                <c:pt idx="144">
                  <c:v>56.135599999999997</c:v>
                </c:pt>
                <c:pt idx="145">
                  <c:v>55.968600000000002</c:v>
                </c:pt>
                <c:pt idx="146">
                  <c:v>55.757100000000001</c:v>
                </c:pt>
                <c:pt idx="147">
                  <c:v>55.574199999999998</c:v>
                </c:pt>
                <c:pt idx="148">
                  <c:v>55.780300000000004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2.8505000000000003</c:v>
                </c:pt>
                <c:pt idx="1">
                  <c:v>2.8674100000000005</c:v>
                </c:pt>
                <c:pt idx="2">
                  <c:v>2.8850700000000002</c:v>
                </c:pt>
                <c:pt idx="3">
                  <c:v>2.90381</c:v>
                </c:pt>
                <c:pt idx="4">
                  <c:v>2.9248699999999999</c:v>
                </c:pt>
                <c:pt idx="5">
                  <c:v>2.9503900000000001</c:v>
                </c:pt>
                <c:pt idx="6">
                  <c:v>2.9784699999999997</c:v>
                </c:pt>
                <c:pt idx="7">
                  <c:v>3.0058099999999999</c:v>
                </c:pt>
                <c:pt idx="8">
                  <c:v>3.0327900000000003</c:v>
                </c:pt>
                <c:pt idx="9">
                  <c:v>3.0595499999999998</c:v>
                </c:pt>
                <c:pt idx="10">
                  <c:v>3.08602</c:v>
                </c:pt>
                <c:pt idx="11">
                  <c:v>3.1121100000000004</c:v>
                </c:pt>
                <c:pt idx="12">
                  <c:v>3.13863</c:v>
                </c:pt>
                <c:pt idx="13">
                  <c:v>3.1655899999999999</c:v>
                </c:pt>
                <c:pt idx="14">
                  <c:v>3.1888699999999996</c:v>
                </c:pt>
                <c:pt idx="15">
                  <c:v>3.2102199999999996</c:v>
                </c:pt>
                <c:pt idx="16">
                  <c:v>3.2326500000000005</c:v>
                </c:pt>
                <c:pt idx="17">
                  <c:v>3.2573400000000001</c:v>
                </c:pt>
                <c:pt idx="18">
                  <c:v>3.2815799999999999</c:v>
                </c:pt>
                <c:pt idx="19">
                  <c:v>3.3067899999999999</c:v>
                </c:pt>
                <c:pt idx="20">
                  <c:v>3.3331100000000005</c:v>
                </c:pt>
                <c:pt idx="21">
                  <c:v>3.3580999999999999</c:v>
                </c:pt>
                <c:pt idx="22">
                  <c:v>3.3843800000000002</c:v>
                </c:pt>
                <c:pt idx="23">
                  <c:v>3.4078399999999998</c:v>
                </c:pt>
                <c:pt idx="24">
                  <c:v>3.42896</c:v>
                </c:pt>
                <c:pt idx="25">
                  <c:v>3.4488999999999996</c:v>
                </c:pt>
                <c:pt idx="26">
                  <c:v>3.4674300000000002</c:v>
                </c:pt>
                <c:pt idx="27">
                  <c:v>3.4855799999999997</c:v>
                </c:pt>
                <c:pt idx="28">
                  <c:v>3.5031400000000001</c:v>
                </c:pt>
                <c:pt idx="29">
                  <c:v>3.5214600000000003</c:v>
                </c:pt>
                <c:pt idx="30">
                  <c:v>3.5432999999999999</c:v>
                </c:pt>
                <c:pt idx="31">
                  <c:v>3.5667999999999997</c:v>
                </c:pt>
                <c:pt idx="32">
                  <c:v>3.5929799999999998</c:v>
                </c:pt>
                <c:pt idx="33">
                  <c:v>3.62039</c:v>
                </c:pt>
                <c:pt idx="34">
                  <c:v>3.6451899999999999</c:v>
                </c:pt>
                <c:pt idx="35">
                  <c:v>3.6648300000000003</c:v>
                </c:pt>
                <c:pt idx="36">
                  <c:v>3.6794599999999997</c:v>
                </c:pt>
                <c:pt idx="37">
                  <c:v>3.68994</c:v>
                </c:pt>
                <c:pt idx="38">
                  <c:v>3.69665</c:v>
                </c:pt>
                <c:pt idx="39">
                  <c:v>3.70214</c:v>
                </c:pt>
                <c:pt idx="40">
                  <c:v>3.7087599999999998</c:v>
                </c:pt>
                <c:pt idx="41">
                  <c:v>3.7152600000000002</c:v>
                </c:pt>
                <c:pt idx="42">
                  <c:v>3.7156000000000002</c:v>
                </c:pt>
                <c:pt idx="43">
                  <c:v>3.7131099999999999</c:v>
                </c:pt>
                <c:pt idx="44">
                  <c:v>3.70797</c:v>
                </c:pt>
                <c:pt idx="45">
                  <c:v>3.6987999999999999</c:v>
                </c:pt>
                <c:pt idx="46">
                  <c:v>3.6885300000000001</c:v>
                </c:pt>
                <c:pt idx="47">
                  <c:v>3.6775000000000002</c:v>
                </c:pt>
                <c:pt idx="48">
                  <c:v>3.66927</c:v>
                </c:pt>
                <c:pt idx="49">
                  <c:v>3.6620499999999998</c:v>
                </c:pt>
                <c:pt idx="50">
                  <c:v>3.6601099999999995</c:v>
                </c:pt>
                <c:pt idx="51">
                  <c:v>3.6636500000000001</c:v>
                </c:pt>
                <c:pt idx="52">
                  <c:v>3.66595</c:v>
                </c:pt>
                <c:pt idx="53">
                  <c:v>3.6676799999999998</c:v>
                </c:pt>
                <c:pt idx="54">
                  <c:v>3.6660199999999996</c:v>
                </c:pt>
                <c:pt idx="55">
                  <c:v>3.65632</c:v>
                </c:pt>
                <c:pt idx="56">
                  <c:v>3.6405599999999998</c:v>
                </c:pt>
                <c:pt idx="57">
                  <c:v>3.6187900000000002</c:v>
                </c:pt>
                <c:pt idx="58">
                  <c:v>3.5915699999999999</c:v>
                </c:pt>
                <c:pt idx="59">
                  <c:v>3.5632599999999996</c:v>
                </c:pt>
                <c:pt idx="60">
                  <c:v>3.5385400000000002</c:v>
                </c:pt>
                <c:pt idx="61">
                  <c:v>3.5192800000000002</c:v>
                </c:pt>
                <c:pt idx="62">
                  <c:v>3.5039100000000003</c:v>
                </c:pt>
                <c:pt idx="63">
                  <c:v>3.4903400000000002</c:v>
                </c:pt>
                <c:pt idx="64">
                  <c:v>3.4799000000000002</c:v>
                </c:pt>
                <c:pt idx="65">
                  <c:v>3.4654400000000001</c:v>
                </c:pt>
                <c:pt idx="66">
                  <c:v>3.4443899999999998</c:v>
                </c:pt>
                <c:pt idx="67">
                  <c:v>3.4279500000000001</c:v>
                </c:pt>
                <c:pt idx="68">
                  <c:v>3.4125800000000002</c:v>
                </c:pt>
                <c:pt idx="69">
                  <c:v>3.3992599999999999</c:v>
                </c:pt>
                <c:pt idx="70">
                  <c:v>3.3932600000000002</c:v>
                </c:pt>
                <c:pt idx="71">
                  <c:v>3.3958300000000001</c:v>
                </c:pt>
                <c:pt idx="72">
                  <c:v>3.4030899999999997</c:v>
                </c:pt>
                <c:pt idx="73">
                  <c:v>3.3990900000000002</c:v>
                </c:pt>
                <c:pt idx="74">
                  <c:v>3.38063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54.870300000000007</c:v>
                </c:pt>
                <c:pt idx="1">
                  <c:v>54.777000000000001</c:v>
                </c:pt>
                <c:pt idx="2">
                  <c:v>54.654599999999995</c:v>
                </c:pt>
                <c:pt idx="3">
                  <c:v>54.514600000000002</c:v>
                </c:pt>
                <c:pt idx="4">
                  <c:v>54.349199999999996</c:v>
                </c:pt>
                <c:pt idx="5">
                  <c:v>54.120199999999997</c:v>
                </c:pt>
                <c:pt idx="6">
                  <c:v>53.905200000000001</c:v>
                </c:pt>
                <c:pt idx="7">
                  <c:v>53.756800000000005</c:v>
                </c:pt>
                <c:pt idx="8">
                  <c:v>53.646599999999999</c:v>
                </c:pt>
                <c:pt idx="9">
                  <c:v>53.572399999999995</c:v>
                </c:pt>
                <c:pt idx="10">
                  <c:v>53.517099999999992</c:v>
                </c:pt>
                <c:pt idx="11">
                  <c:v>53.4617</c:v>
                </c:pt>
                <c:pt idx="12">
                  <c:v>53.387900000000002</c:v>
                </c:pt>
                <c:pt idx="13">
                  <c:v>53.259199999999993</c:v>
                </c:pt>
                <c:pt idx="14">
                  <c:v>53.186900000000001</c:v>
                </c:pt>
                <c:pt idx="15">
                  <c:v>53.16</c:v>
                </c:pt>
                <c:pt idx="16">
                  <c:v>53.117999999999995</c:v>
                </c:pt>
                <c:pt idx="17">
                  <c:v>52.990200000000002</c:v>
                </c:pt>
                <c:pt idx="18">
                  <c:v>52.856999999999999</c:v>
                </c:pt>
                <c:pt idx="19">
                  <c:v>52.724899999999998</c:v>
                </c:pt>
                <c:pt idx="20">
                  <c:v>52.572399999999995</c:v>
                </c:pt>
                <c:pt idx="21">
                  <c:v>52.482700000000001</c:v>
                </c:pt>
                <c:pt idx="22">
                  <c:v>52.436000000000007</c:v>
                </c:pt>
                <c:pt idx="23">
                  <c:v>52.466799999999999</c:v>
                </c:pt>
                <c:pt idx="24">
                  <c:v>52.501699999999992</c:v>
                </c:pt>
                <c:pt idx="25">
                  <c:v>52.534000000000006</c:v>
                </c:pt>
                <c:pt idx="26">
                  <c:v>52.5139</c:v>
                </c:pt>
                <c:pt idx="27">
                  <c:v>52.435900000000004</c:v>
                </c:pt>
                <c:pt idx="28">
                  <c:v>52.365099999999998</c:v>
                </c:pt>
                <c:pt idx="29">
                  <c:v>52.238600000000005</c:v>
                </c:pt>
                <c:pt idx="30">
                  <c:v>52.018000000000001</c:v>
                </c:pt>
                <c:pt idx="31">
                  <c:v>51.716099999999997</c:v>
                </c:pt>
                <c:pt idx="32">
                  <c:v>51.366100000000003</c:v>
                </c:pt>
                <c:pt idx="33">
                  <c:v>51.007899999999992</c:v>
                </c:pt>
                <c:pt idx="34">
                  <c:v>50.767899999999997</c:v>
                </c:pt>
                <c:pt idx="35">
                  <c:v>50.642499999999998</c:v>
                </c:pt>
                <c:pt idx="36">
                  <c:v>50.620299999999993</c:v>
                </c:pt>
                <c:pt idx="37">
                  <c:v>50.631999999999998</c:v>
                </c:pt>
                <c:pt idx="38">
                  <c:v>50.653099999999995</c:v>
                </c:pt>
                <c:pt idx="39">
                  <c:v>50.734500000000004</c:v>
                </c:pt>
                <c:pt idx="40">
                  <c:v>50.828700000000005</c:v>
                </c:pt>
                <c:pt idx="41">
                  <c:v>50.937800000000003</c:v>
                </c:pt>
                <c:pt idx="42">
                  <c:v>51.0837</c:v>
                </c:pt>
                <c:pt idx="43">
                  <c:v>51.227199999999996</c:v>
                </c:pt>
                <c:pt idx="44">
                  <c:v>51.356199999999994</c:v>
                </c:pt>
                <c:pt idx="45">
                  <c:v>51.4786</c:v>
                </c:pt>
                <c:pt idx="46">
                  <c:v>51.564799999999998</c:v>
                </c:pt>
                <c:pt idx="47">
                  <c:v>51.638500000000001</c:v>
                </c:pt>
                <c:pt idx="48">
                  <c:v>51.709099999999999</c:v>
                </c:pt>
                <c:pt idx="49">
                  <c:v>51.797699999999999</c:v>
                </c:pt>
                <c:pt idx="50">
                  <c:v>51.873999999999995</c:v>
                </c:pt>
                <c:pt idx="51">
                  <c:v>51.933599999999998</c:v>
                </c:pt>
                <c:pt idx="52">
                  <c:v>52.022400000000005</c:v>
                </c:pt>
                <c:pt idx="53">
                  <c:v>52.125999999999998</c:v>
                </c:pt>
                <c:pt idx="54">
                  <c:v>52.2532</c:v>
                </c:pt>
                <c:pt idx="55">
                  <c:v>52.444500000000005</c:v>
                </c:pt>
                <c:pt idx="56">
                  <c:v>52.7316</c:v>
                </c:pt>
                <c:pt idx="57">
                  <c:v>53.1539</c:v>
                </c:pt>
                <c:pt idx="58">
                  <c:v>53.729300000000002</c:v>
                </c:pt>
                <c:pt idx="59">
                  <c:v>54.253799999999998</c:v>
                </c:pt>
                <c:pt idx="60">
                  <c:v>54.677399999999999</c:v>
                </c:pt>
                <c:pt idx="61">
                  <c:v>54.979399999999998</c:v>
                </c:pt>
                <c:pt idx="62">
                  <c:v>55.243200000000002</c:v>
                </c:pt>
                <c:pt idx="63">
                  <c:v>55.513500000000008</c:v>
                </c:pt>
                <c:pt idx="64">
                  <c:v>55.631500000000003</c:v>
                </c:pt>
                <c:pt idx="65">
                  <c:v>55.779999999999994</c:v>
                </c:pt>
                <c:pt idx="66">
                  <c:v>56.009500000000003</c:v>
                </c:pt>
                <c:pt idx="67">
                  <c:v>56.105700000000006</c:v>
                </c:pt>
                <c:pt idx="68">
                  <c:v>56.160600000000002</c:v>
                </c:pt>
                <c:pt idx="69">
                  <c:v>56.200200000000002</c:v>
                </c:pt>
                <c:pt idx="70">
                  <c:v>56.135599999999997</c:v>
                </c:pt>
                <c:pt idx="71">
                  <c:v>55.968600000000002</c:v>
                </c:pt>
                <c:pt idx="72">
                  <c:v>55.757100000000001</c:v>
                </c:pt>
                <c:pt idx="73">
                  <c:v>55.574199999999998</c:v>
                </c:pt>
                <c:pt idx="74">
                  <c:v>55.780300000000004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1.1573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2.1579870270270267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63.368568918918896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3.4297658108108111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53.086708108108091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3.4297658108108111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53.086708108108091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0.16404200067715088</c:v>
                </c:pt>
                <c:pt idx="1">
                  <c:v>0.40475095650811854</c:v>
                </c:pt>
                <c:pt idx="2">
                  <c:v>0.43120704281473049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  <c:pt idx="75">
                  <c:v>30.6401</c:v>
                </c:pt>
                <c:pt idx="76">
                  <c:v>31.014700000000001</c:v>
                </c:pt>
                <c:pt idx="77">
                  <c:v>31.391999999999999</c:v>
                </c:pt>
                <c:pt idx="78">
                  <c:v>31.7684</c:v>
                </c:pt>
                <c:pt idx="79">
                  <c:v>32.144399999999997</c:v>
                </c:pt>
                <c:pt idx="80">
                  <c:v>32.545999999999999</c:v>
                </c:pt>
                <c:pt idx="81">
                  <c:v>32.952300000000001</c:v>
                </c:pt>
                <c:pt idx="82">
                  <c:v>33.359400000000001</c:v>
                </c:pt>
                <c:pt idx="83">
                  <c:v>33.771099999999997</c:v>
                </c:pt>
                <c:pt idx="84">
                  <c:v>34.174999999999997</c:v>
                </c:pt>
                <c:pt idx="85">
                  <c:v>34.579000000000001</c:v>
                </c:pt>
                <c:pt idx="86">
                  <c:v>34.985799999999998</c:v>
                </c:pt>
                <c:pt idx="87">
                  <c:v>35.387599999999999</c:v>
                </c:pt>
                <c:pt idx="88">
                  <c:v>35.801699999999997</c:v>
                </c:pt>
                <c:pt idx="89">
                  <c:v>36.204700000000003</c:v>
                </c:pt>
                <c:pt idx="90">
                  <c:v>36.609400000000001</c:v>
                </c:pt>
                <c:pt idx="91">
                  <c:v>37.013599999999997</c:v>
                </c:pt>
                <c:pt idx="92">
                  <c:v>37.424100000000003</c:v>
                </c:pt>
                <c:pt idx="93">
                  <c:v>37.828200000000002</c:v>
                </c:pt>
                <c:pt idx="94">
                  <c:v>38.2361</c:v>
                </c:pt>
                <c:pt idx="95">
                  <c:v>38.645000000000003</c:v>
                </c:pt>
                <c:pt idx="96">
                  <c:v>39.045999999999999</c:v>
                </c:pt>
                <c:pt idx="97">
                  <c:v>39.451900000000002</c:v>
                </c:pt>
                <c:pt idx="98">
                  <c:v>39.861800000000002</c:v>
                </c:pt>
                <c:pt idx="99">
                  <c:v>40.268900000000002</c:v>
                </c:pt>
                <c:pt idx="100">
                  <c:v>40.6736</c:v>
                </c:pt>
                <c:pt idx="101">
                  <c:v>41.078499999999998</c:v>
                </c:pt>
                <c:pt idx="102">
                  <c:v>41.483499999999999</c:v>
                </c:pt>
                <c:pt idx="103">
                  <c:v>41.891399999999997</c:v>
                </c:pt>
                <c:pt idx="104">
                  <c:v>42.299300000000002</c:v>
                </c:pt>
                <c:pt idx="105">
                  <c:v>42.708199999999998</c:v>
                </c:pt>
                <c:pt idx="106">
                  <c:v>43.1081</c:v>
                </c:pt>
                <c:pt idx="107">
                  <c:v>43.515999999999998</c:v>
                </c:pt>
                <c:pt idx="108">
                  <c:v>43.920999999999999</c:v>
                </c:pt>
                <c:pt idx="109">
                  <c:v>44.327300000000001</c:v>
                </c:pt>
                <c:pt idx="110">
                  <c:v>44.734900000000003</c:v>
                </c:pt>
                <c:pt idx="111">
                  <c:v>45.1387</c:v>
                </c:pt>
                <c:pt idx="112">
                  <c:v>45.550600000000003</c:v>
                </c:pt>
                <c:pt idx="113">
                  <c:v>45.955399999999997</c:v>
                </c:pt>
                <c:pt idx="114">
                  <c:v>46.359400000000001</c:v>
                </c:pt>
                <c:pt idx="115">
                  <c:v>46.765500000000003</c:v>
                </c:pt>
                <c:pt idx="116">
                  <c:v>47.170299999999997</c:v>
                </c:pt>
                <c:pt idx="117">
                  <c:v>47.582299999999996</c:v>
                </c:pt>
                <c:pt idx="118">
                  <c:v>47.9861</c:v>
                </c:pt>
                <c:pt idx="119">
                  <c:v>48.387999999999998</c:v>
                </c:pt>
                <c:pt idx="120">
                  <c:v>48.793799999999997</c:v>
                </c:pt>
                <c:pt idx="121">
                  <c:v>49.201900000000002</c:v>
                </c:pt>
                <c:pt idx="122">
                  <c:v>49.610700000000001</c:v>
                </c:pt>
                <c:pt idx="123">
                  <c:v>50.0167</c:v>
                </c:pt>
                <c:pt idx="124">
                  <c:v>50.422600000000003</c:v>
                </c:pt>
                <c:pt idx="125">
                  <c:v>50.827500000000001</c:v>
                </c:pt>
                <c:pt idx="126">
                  <c:v>51.2318</c:v>
                </c:pt>
                <c:pt idx="127">
                  <c:v>51.644300000000001</c:v>
                </c:pt>
                <c:pt idx="128">
                  <c:v>52.052199999999999</c:v>
                </c:pt>
                <c:pt idx="129">
                  <c:v>52.451099999999997</c:v>
                </c:pt>
                <c:pt idx="130">
                  <c:v>52.861400000000003</c:v>
                </c:pt>
                <c:pt idx="131">
                  <c:v>53.262599999999999</c:v>
                </c:pt>
                <c:pt idx="132">
                  <c:v>53.668900000000001</c:v>
                </c:pt>
                <c:pt idx="133">
                  <c:v>54.082500000000003</c:v>
                </c:pt>
                <c:pt idx="134">
                  <c:v>54.482700000000001</c:v>
                </c:pt>
                <c:pt idx="135">
                  <c:v>54.889600000000002</c:v>
                </c:pt>
                <c:pt idx="136">
                  <c:v>55.295099999999998</c:v>
                </c:pt>
                <c:pt idx="137">
                  <c:v>55.700600000000001</c:v>
                </c:pt>
                <c:pt idx="138">
                  <c:v>56.111699999999999</c:v>
                </c:pt>
                <c:pt idx="139">
                  <c:v>56.515300000000003</c:v>
                </c:pt>
                <c:pt idx="140">
                  <c:v>56.924199999999999</c:v>
                </c:pt>
                <c:pt idx="141">
                  <c:v>57.326099999999997</c:v>
                </c:pt>
                <c:pt idx="142">
                  <c:v>57.735999999999997</c:v>
                </c:pt>
                <c:pt idx="143">
                  <c:v>58.139899999999997</c:v>
                </c:pt>
                <c:pt idx="144">
                  <c:v>58.5488</c:v>
                </c:pt>
                <c:pt idx="145">
                  <c:v>58.951700000000002</c:v>
                </c:pt>
                <c:pt idx="146">
                  <c:v>59.361699999999999</c:v>
                </c:pt>
                <c:pt idx="147">
                  <c:v>59.768500000000003</c:v>
                </c:pt>
                <c:pt idx="148">
                  <c:v>60.169400000000003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  <c:pt idx="75">
                  <c:v>2.8674100000000005</c:v>
                </c:pt>
                <c:pt idx="76">
                  <c:v>2.8850700000000002</c:v>
                </c:pt>
                <c:pt idx="77">
                  <c:v>2.90381</c:v>
                </c:pt>
                <c:pt idx="78">
                  <c:v>2.9248699999999999</c:v>
                </c:pt>
                <c:pt idx="79">
                  <c:v>2.9503900000000001</c:v>
                </c:pt>
                <c:pt idx="80">
                  <c:v>2.9784699999999997</c:v>
                </c:pt>
                <c:pt idx="81">
                  <c:v>3.0058099999999999</c:v>
                </c:pt>
                <c:pt idx="82">
                  <c:v>3.0327900000000003</c:v>
                </c:pt>
                <c:pt idx="83">
                  <c:v>3.0595499999999998</c:v>
                </c:pt>
                <c:pt idx="84">
                  <c:v>3.08602</c:v>
                </c:pt>
                <c:pt idx="85">
                  <c:v>3.1121100000000004</c:v>
                </c:pt>
                <c:pt idx="86">
                  <c:v>3.13863</c:v>
                </c:pt>
                <c:pt idx="87">
                  <c:v>3.1655899999999999</c:v>
                </c:pt>
                <c:pt idx="88">
                  <c:v>3.1888699999999996</c:v>
                </c:pt>
                <c:pt idx="89">
                  <c:v>3.2102199999999996</c:v>
                </c:pt>
                <c:pt idx="90">
                  <c:v>3.2326500000000005</c:v>
                </c:pt>
                <c:pt idx="91">
                  <c:v>3.2573400000000001</c:v>
                </c:pt>
                <c:pt idx="92">
                  <c:v>3.2815799999999999</c:v>
                </c:pt>
                <c:pt idx="93">
                  <c:v>3.3067899999999999</c:v>
                </c:pt>
                <c:pt idx="94">
                  <c:v>3.3331100000000005</c:v>
                </c:pt>
                <c:pt idx="95">
                  <c:v>3.3580999999999999</c:v>
                </c:pt>
                <c:pt idx="96">
                  <c:v>3.3843800000000002</c:v>
                </c:pt>
                <c:pt idx="97">
                  <c:v>3.4078399999999998</c:v>
                </c:pt>
                <c:pt idx="98">
                  <c:v>3.42896</c:v>
                </c:pt>
                <c:pt idx="99">
                  <c:v>3.4488999999999996</c:v>
                </c:pt>
                <c:pt idx="100">
                  <c:v>3.4674300000000002</c:v>
                </c:pt>
                <c:pt idx="101">
                  <c:v>3.4855799999999997</c:v>
                </c:pt>
                <c:pt idx="102">
                  <c:v>3.5031400000000001</c:v>
                </c:pt>
                <c:pt idx="103">
                  <c:v>3.5214600000000003</c:v>
                </c:pt>
                <c:pt idx="104">
                  <c:v>3.5432999999999999</c:v>
                </c:pt>
                <c:pt idx="105">
                  <c:v>3.5667999999999997</c:v>
                </c:pt>
                <c:pt idx="106">
                  <c:v>3.5929799999999998</c:v>
                </c:pt>
                <c:pt idx="107">
                  <c:v>3.62039</c:v>
                </c:pt>
                <c:pt idx="108">
                  <c:v>3.6451899999999999</c:v>
                </c:pt>
                <c:pt idx="109">
                  <c:v>3.6648300000000003</c:v>
                </c:pt>
                <c:pt idx="110">
                  <c:v>3.6794599999999997</c:v>
                </c:pt>
                <c:pt idx="111">
                  <c:v>3.68994</c:v>
                </c:pt>
                <c:pt idx="112">
                  <c:v>3.69665</c:v>
                </c:pt>
                <c:pt idx="113">
                  <c:v>3.70214</c:v>
                </c:pt>
                <c:pt idx="114">
                  <c:v>3.7087599999999998</c:v>
                </c:pt>
                <c:pt idx="115">
                  <c:v>3.7152600000000002</c:v>
                </c:pt>
                <c:pt idx="116">
                  <c:v>3.7156000000000002</c:v>
                </c:pt>
                <c:pt idx="117">
                  <c:v>3.7131099999999999</c:v>
                </c:pt>
                <c:pt idx="118">
                  <c:v>3.70797</c:v>
                </c:pt>
                <c:pt idx="119">
                  <c:v>3.6987999999999999</c:v>
                </c:pt>
                <c:pt idx="120">
                  <c:v>3.6885300000000001</c:v>
                </c:pt>
                <c:pt idx="121">
                  <c:v>3.6775000000000002</c:v>
                </c:pt>
                <c:pt idx="122">
                  <c:v>3.66927</c:v>
                </c:pt>
                <c:pt idx="123">
                  <c:v>3.6620499999999998</c:v>
                </c:pt>
                <c:pt idx="124">
                  <c:v>3.6601099999999995</c:v>
                </c:pt>
                <c:pt idx="125">
                  <c:v>3.6636500000000001</c:v>
                </c:pt>
                <c:pt idx="126">
                  <c:v>3.66595</c:v>
                </c:pt>
                <c:pt idx="127">
                  <c:v>3.6676799999999998</c:v>
                </c:pt>
                <c:pt idx="128">
                  <c:v>3.6660199999999996</c:v>
                </c:pt>
                <c:pt idx="129">
                  <c:v>3.65632</c:v>
                </c:pt>
                <c:pt idx="130">
                  <c:v>3.6405599999999998</c:v>
                </c:pt>
                <c:pt idx="131">
                  <c:v>3.6187900000000002</c:v>
                </c:pt>
                <c:pt idx="132">
                  <c:v>3.5915699999999999</c:v>
                </c:pt>
                <c:pt idx="133">
                  <c:v>3.5632599999999996</c:v>
                </c:pt>
                <c:pt idx="134">
                  <c:v>3.5385400000000002</c:v>
                </c:pt>
                <c:pt idx="135">
                  <c:v>3.5192800000000002</c:v>
                </c:pt>
                <c:pt idx="136">
                  <c:v>3.5039100000000003</c:v>
                </c:pt>
                <c:pt idx="137">
                  <c:v>3.4903400000000002</c:v>
                </c:pt>
                <c:pt idx="138">
                  <c:v>3.4799000000000002</c:v>
                </c:pt>
                <c:pt idx="139">
                  <c:v>3.4654400000000001</c:v>
                </c:pt>
                <c:pt idx="140">
                  <c:v>3.4443899999999998</c:v>
                </c:pt>
                <c:pt idx="141">
                  <c:v>3.4279500000000001</c:v>
                </c:pt>
                <c:pt idx="142">
                  <c:v>3.4125800000000002</c:v>
                </c:pt>
                <c:pt idx="143">
                  <c:v>3.3992599999999999</c:v>
                </c:pt>
                <c:pt idx="144">
                  <c:v>3.3932600000000002</c:v>
                </c:pt>
                <c:pt idx="145">
                  <c:v>3.3958300000000001</c:v>
                </c:pt>
                <c:pt idx="146">
                  <c:v>3.4030899999999997</c:v>
                </c:pt>
                <c:pt idx="147">
                  <c:v>3.3990900000000002</c:v>
                </c:pt>
                <c:pt idx="148">
                  <c:v>3.38063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30.033999999999999</c:v>
                </c:pt>
                <c:pt idx="1">
                  <c:v>30.6401</c:v>
                </c:pt>
                <c:pt idx="2">
                  <c:v>31.014700000000001</c:v>
                </c:pt>
                <c:pt idx="3">
                  <c:v>31.391999999999999</c:v>
                </c:pt>
                <c:pt idx="4">
                  <c:v>31.7684</c:v>
                </c:pt>
                <c:pt idx="5">
                  <c:v>32.144399999999997</c:v>
                </c:pt>
                <c:pt idx="6">
                  <c:v>32.545999999999999</c:v>
                </c:pt>
                <c:pt idx="7">
                  <c:v>32.952300000000001</c:v>
                </c:pt>
                <c:pt idx="8">
                  <c:v>33.359400000000001</c:v>
                </c:pt>
                <c:pt idx="9">
                  <c:v>33.771099999999997</c:v>
                </c:pt>
                <c:pt idx="10">
                  <c:v>34.174999999999997</c:v>
                </c:pt>
                <c:pt idx="11">
                  <c:v>34.579000000000001</c:v>
                </c:pt>
                <c:pt idx="12">
                  <c:v>34.985799999999998</c:v>
                </c:pt>
                <c:pt idx="13">
                  <c:v>35.387599999999999</c:v>
                </c:pt>
                <c:pt idx="14">
                  <c:v>35.801699999999997</c:v>
                </c:pt>
                <c:pt idx="15">
                  <c:v>36.204700000000003</c:v>
                </c:pt>
                <c:pt idx="16">
                  <c:v>36.609400000000001</c:v>
                </c:pt>
                <c:pt idx="17">
                  <c:v>37.013599999999997</c:v>
                </c:pt>
                <c:pt idx="18">
                  <c:v>37.424100000000003</c:v>
                </c:pt>
                <c:pt idx="19">
                  <c:v>37.828200000000002</c:v>
                </c:pt>
                <c:pt idx="20">
                  <c:v>38.2361</c:v>
                </c:pt>
                <c:pt idx="21">
                  <c:v>38.645000000000003</c:v>
                </c:pt>
                <c:pt idx="22">
                  <c:v>39.045999999999999</c:v>
                </c:pt>
                <c:pt idx="23">
                  <c:v>39.451900000000002</c:v>
                </c:pt>
                <c:pt idx="24">
                  <c:v>39.861800000000002</c:v>
                </c:pt>
                <c:pt idx="25">
                  <c:v>40.268900000000002</c:v>
                </c:pt>
                <c:pt idx="26">
                  <c:v>40.6736</c:v>
                </c:pt>
                <c:pt idx="27">
                  <c:v>41.078499999999998</c:v>
                </c:pt>
                <c:pt idx="28">
                  <c:v>41.483499999999999</c:v>
                </c:pt>
                <c:pt idx="29">
                  <c:v>41.891399999999997</c:v>
                </c:pt>
                <c:pt idx="30">
                  <c:v>42.299300000000002</c:v>
                </c:pt>
                <c:pt idx="31">
                  <c:v>42.708199999999998</c:v>
                </c:pt>
                <c:pt idx="32">
                  <c:v>43.1081</c:v>
                </c:pt>
                <c:pt idx="33">
                  <c:v>43.515999999999998</c:v>
                </c:pt>
                <c:pt idx="34">
                  <c:v>43.920999999999999</c:v>
                </c:pt>
                <c:pt idx="35">
                  <c:v>44.327300000000001</c:v>
                </c:pt>
                <c:pt idx="36">
                  <c:v>44.734900000000003</c:v>
                </c:pt>
                <c:pt idx="37">
                  <c:v>45.1387</c:v>
                </c:pt>
                <c:pt idx="38">
                  <c:v>45.550600000000003</c:v>
                </c:pt>
                <c:pt idx="39">
                  <c:v>45.955399999999997</c:v>
                </c:pt>
                <c:pt idx="40">
                  <c:v>46.359400000000001</c:v>
                </c:pt>
                <c:pt idx="41">
                  <c:v>46.765500000000003</c:v>
                </c:pt>
                <c:pt idx="42">
                  <c:v>47.170299999999997</c:v>
                </c:pt>
                <c:pt idx="43">
                  <c:v>47.582299999999996</c:v>
                </c:pt>
                <c:pt idx="44">
                  <c:v>47.9861</c:v>
                </c:pt>
                <c:pt idx="45">
                  <c:v>48.387999999999998</c:v>
                </c:pt>
                <c:pt idx="46">
                  <c:v>48.793799999999997</c:v>
                </c:pt>
                <c:pt idx="47">
                  <c:v>49.201900000000002</c:v>
                </c:pt>
                <c:pt idx="48">
                  <c:v>49.610700000000001</c:v>
                </c:pt>
                <c:pt idx="49">
                  <c:v>50.0167</c:v>
                </c:pt>
                <c:pt idx="50">
                  <c:v>50.422600000000003</c:v>
                </c:pt>
                <c:pt idx="51">
                  <c:v>50.827500000000001</c:v>
                </c:pt>
                <c:pt idx="52">
                  <c:v>51.2318</c:v>
                </c:pt>
                <c:pt idx="53">
                  <c:v>51.644300000000001</c:v>
                </c:pt>
                <c:pt idx="54">
                  <c:v>52.052199999999999</c:v>
                </c:pt>
                <c:pt idx="55">
                  <c:v>52.451099999999997</c:v>
                </c:pt>
                <c:pt idx="56">
                  <c:v>52.861400000000003</c:v>
                </c:pt>
                <c:pt idx="57">
                  <c:v>53.262599999999999</c:v>
                </c:pt>
                <c:pt idx="58">
                  <c:v>53.668900000000001</c:v>
                </c:pt>
                <c:pt idx="59">
                  <c:v>54.082500000000003</c:v>
                </c:pt>
                <c:pt idx="60">
                  <c:v>54.482700000000001</c:v>
                </c:pt>
                <c:pt idx="61">
                  <c:v>54.889600000000002</c:v>
                </c:pt>
                <c:pt idx="62">
                  <c:v>55.295099999999998</c:v>
                </c:pt>
                <c:pt idx="63">
                  <c:v>55.700600000000001</c:v>
                </c:pt>
                <c:pt idx="64">
                  <c:v>56.111699999999999</c:v>
                </c:pt>
                <c:pt idx="65">
                  <c:v>56.515300000000003</c:v>
                </c:pt>
                <c:pt idx="66">
                  <c:v>56.924199999999999</c:v>
                </c:pt>
                <c:pt idx="67">
                  <c:v>57.326099999999997</c:v>
                </c:pt>
                <c:pt idx="68">
                  <c:v>57.735999999999997</c:v>
                </c:pt>
                <c:pt idx="69">
                  <c:v>58.139899999999997</c:v>
                </c:pt>
                <c:pt idx="70">
                  <c:v>58.5488</c:v>
                </c:pt>
                <c:pt idx="71">
                  <c:v>58.951700000000002</c:v>
                </c:pt>
                <c:pt idx="72">
                  <c:v>59.361699999999999</c:v>
                </c:pt>
                <c:pt idx="73">
                  <c:v>59.768500000000003</c:v>
                </c:pt>
                <c:pt idx="74">
                  <c:v>60.169400000000003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2.8505000000000003</c:v>
                </c:pt>
                <c:pt idx="1">
                  <c:v>2.8674100000000005</c:v>
                </c:pt>
                <c:pt idx="2">
                  <c:v>2.8850700000000002</c:v>
                </c:pt>
                <c:pt idx="3">
                  <c:v>2.90381</c:v>
                </c:pt>
                <c:pt idx="4">
                  <c:v>2.9248699999999999</c:v>
                </c:pt>
                <c:pt idx="5">
                  <c:v>2.9503900000000001</c:v>
                </c:pt>
                <c:pt idx="6">
                  <c:v>2.9784699999999997</c:v>
                </c:pt>
                <c:pt idx="7">
                  <c:v>3.0058099999999999</c:v>
                </c:pt>
                <c:pt idx="8">
                  <c:v>3.0327900000000003</c:v>
                </c:pt>
                <c:pt idx="9">
                  <c:v>3.0595499999999998</c:v>
                </c:pt>
                <c:pt idx="10">
                  <c:v>3.08602</c:v>
                </c:pt>
                <c:pt idx="11">
                  <c:v>3.1121100000000004</c:v>
                </c:pt>
                <c:pt idx="12">
                  <c:v>3.13863</c:v>
                </c:pt>
                <c:pt idx="13">
                  <c:v>3.1655899999999999</c:v>
                </c:pt>
                <c:pt idx="14">
                  <c:v>3.1888699999999996</c:v>
                </c:pt>
                <c:pt idx="15">
                  <c:v>3.2102199999999996</c:v>
                </c:pt>
                <c:pt idx="16">
                  <c:v>3.2326500000000005</c:v>
                </c:pt>
                <c:pt idx="17">
                  <c:v>3.2573400000000001</c:v>
                </c:pt>
                <c:pt idx="18">
                  <c:v>3.2815799999999999</c:v>
                </c:pt>
                <c:pt idx="19">
                  <c:v>3.3067899999999999</c:v>
                </c:pt>
                <c:pt idx="20">
                  <c:v>3.3331100000000005</c:v>
                </c:pt>
                <c:pt idx="21">
                  <c:v>3.3580999999999999</c:v>
                </c:pt>
                <c:pt idx="22">
                  <c:v>3.3843800000000002</c:v>
                </c:pt>
                <c:pt idx="23">
                  <c:v>3.4078399999999998</c:v>
                </c:pt>
                <c:pt idx="24">
                  <c:v>3.42896</c:v>
                </c:pt>
                <c:pt idx="25">
                  <c:v>3.4488999999999996</c:v>
                </c:pt>
                <c:pt idx="26">
                  <c:v>3.4674300000000002</c:v>
                </c:pt>
                <c:pt idx="27">
                  <c:v>3.4855799999999997</c:v>
                </c:pt>
                <c:pt idx="28">
                  <c:v>3.5031400000000001</c:v>
                </c:pt>
                <c:pt idx="29">
                  <c:v>3.5214600000000003</c:v>
                </c:pt>
                <c:pt idx="30">
                  <c:v>3.5432999999999999</c:v>
                </c:pt>
                <c:pt idx="31">
                  <c:v>3.5667999999999997</c:v>
                </c:pt>
                <c:pt idx="32">
                  <c:v>3.5929799999999998</c:v>
                </c:pt>
                <c:pt idx="33">
                  <c:v>3.62039</c:v>
                </c:pt>
                <c:pt idx="34">
                  <c:v>3.6451899999999999</c:v>
                </c:pt>
                <c:pt idx="35">
                  <c:v>3.6648300000000003</c:v>
                </c:pt>
                <c:pt idx="36">
                  <c:v>3.6794599999999997</c:v>
                </c:pt>
                <c:pt idx="37">
                  <c:v>3.68994</c:v>
                </c:pt>
                <c:pt idx="38">
                  <c:v>3.69665</c:v>
                </c:pt>
                <c:pt idx="39">
                  <c:v>3.70214</c:v>
                </c:pt>
                <c:pt idx="40">
                  <c:v>3.7087599999999998</c:v>
                </c:pt>
                <c:pt idx="41">
                  <c:v>3.7152600000000002</c:v>
                </c:pt>
                <c:pt idx="42">
                  <c:v>3.7156000000000002</c:v>
                </c:pt>
                <c:pt idx="43">
                  <c:v>3.7131099999999999</c:v>
                </c:pt>
                <c:pt idx="44">
                  <c:v>3.70797</c:v>
                </c:pt>
                <c:pt idx="45">
                  <c:v>3.6987999999999999</c:v>
                </c:pt>
                <c:pt idx="46">
                  <c:v>3.6885300000000001</c:v>
                </c:pt>
                <c:pt idx="47">
                  <c:v>3.6775000000000002</c:v>
                </c:pt>
                <c:pt idx="48">
                  <c:v>3.66927</c:v>
                </c:pt>
                <c:pt idx="49">
                  <c:v>3.6620499999999998</c:v>
                </c:pt>
                <c:pt idx="50">
                  <c:v>3.6601099999999995</c:v>
                </c:pt>
                <c:pt idx="51">
                  <c:v>3.6636500000000001</c:v>
                </c:pt>
                <c:pt idx="52">
                  <c:v>3.66595</c:v>
                </c:pt>
                <c:pt idx="53">
                  <c:v>3.6676799999999998</c:v>
                </c:pt>
                <c:pt idx="54">
                  <c:v>3.6660199999999996</c:v>
                </c:pt>
                <c:pt idx="55">
                  <c:v>3.65632</c:v>
                </c:pt>
                <c:pt idx="56">
                  <c:v>3.6405599999999998</c:v>
                </c:pt>
                <c:pt idx="57">
                  <c:v>3.6187900000000002</c:v>
                </c:pt>
                <c:pt idx="58">
                  <c:v>3.5915699999999999</c:v>
                </c:pt>
                <c:pt idx="59">
                  <c:v>3.5632599999999996</c:v>
                </c:pt>
                <c:pt idx="60">
                  <c:v>3.5385400000000002</c:v>
                </c:pt>
                <c:pt idx="61">
                  <c:v>3.5192800000000002</c:v>
                </c:pt>
                <c:pt idx="62">
                  <c:v>3.5039100000000003</c:v>
                </c:pt>
                <c:pt idx="63">
                  <c:v>3.4903400000000002</c:v>
                </c:pt>
                <c:pt idx="64">
                  <c:v>3.4799000000000002</c:v>
                </c:pt>
                <c:pt idx="65">
                  <c:v>3.4654400000000001</c:v>
                </c:pt>
                <c:pt idx="66">
                  <c:v>3.4443899999999998</c:v>
                </c:pt>
                <c:pt idx="67">
                  <c:v>3.4279500000000001</c:v>
                </c:pt>
                <c:pt idx="68">
                  <c:v>3.4125800000000002</c:v>
                </c:pt>
                <c:pt idx="69">
                  <c:v>3.3992599999999999</c:v>
                </c:pt>
                <c:pt idx="70">
                  <c:v>3.3932600000000002</c:v>
                </c:pt>
                <c:pt idx="71">
                  <c:v>3.3958300000000001</c:v>
                </c:pt>
                <c:pt idx="72">
                  <c:v>3.4030899999999997</c:v>
                </c:pt>
                <c:pt idx="73">
                  <c:v>3.3990900000000002</c:v>
                </c:pt>
                <c:pt idx="74">
                  <c:v>3.38063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15.042350000000001</c:v>
                </c:pt>
                <c:pt idx="1">
                  <c:v>45.127050000000004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2.1579870270270267</c:v>
                </c:pt>
                <c:pt idx="1">
                  <c:v>3.4297658108108111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  <c:pt idx="75">
                  <c:v>30.6401</c:v>
                </c:pt>
                <c:pt idx="76">
                  <c:v>31.014700000000001</c:v>
                </c:pt>
                <c:pt idx="77">
                  <c:v>31.391999999999999</c:v>
                </c:pt>
                <c:pt idx="78">
                  <c:v>31.7684</c:v>
                </c:pt>
                <c:pt idx="79">
                  <c:v>32.144399999999997</c:v>
                </c:pt>
                <c:pt idx="80">
                  <c:v>32.545999999999999</c:v>
                </c:pt>
                <c:pt idx="81">
                  <c:v>32.952300000000001</c:v>
                </c:pt>
                <c:pt idx="82">
                  <c:v>33.359400000000001</c:v>
                </c:pt>
                <c:pt idx="83">
                  <c:v>33.771099999999997</c:v>
                </c:pt>
                <c:pt idx="84">
                  <c:v>34.174999999999997</c:v>
                </c:pt>
                <c:pt idx="85">
                  <c:v>34.579000000000001</c:v>
                </c:pt>
                <c:pt idx="86">
                  <c:v>34.985799999999998</c:v>
                </c:pt>
                <c:pt idx="87">
                  <c:v>35.387599999999999</c:v>
                </c:pt>
                <c:pt idx="88">
                  <c:v>35.801699999999997</c:v>
                </c:pt>
                <c:pt idx="89">
                  <c:v>36.204700000000003</c:v>
                </c:pt>
                <c:pt idx="90">
                  <c:v>36.609400000000001</c:v>
                </c:pt>
                <c:pt idx="91">
                  <c:v>37.013599999999997</c:v>
                </c:pt>
                <c:pt idx="92">
                  <c:v>37.424100000000003</c:v>
                </c:pt>
                <c:pt idx="93">
                  <c:v>37.828200000000002</c:v>
                </c:pt>
                <c:pt idx="94">
                  <c:v>38.2361</c:v>
                </c:pt>
                <c:pt idx="95">
                  <c:v>38.645000000000003</c:v>
                </c:pt>
                <c:pt idx="96">
                  <c:v>39.045999999999999</c:v>
                </c:pt>
                <c:pt idx="97">
                  <c:v>39.451900000000002</c:v>
                </c:pt>
                <c:pt idx="98">
                  <c:v>39.861800000000002</c:v>
                </c:pt>
                <c:pt idx="99">
                  <c:v>40.268900000000002</c:v>
                </c:pt>
                <c:pt idx="100">
                  <c:v>40.6736</c:v>
                </c:pt>
                <c:pt idx="101">
                  <c:v>41.078499999999998</c:v>
                </c:pt>
                <c:pt idx="102">
                  <c:v>41.483499999999999</c:v>
                </c:pt>
                <c:pt idx="103">
                  <c:v>41.891399999999997</c:v>
                </c:pt>
                <c:pt idx="104">
                  <c:v>42.299300000000002</c:v>
                </c:pt>
                <c:pt idx="105">
                  <c:v>42.708199999999998</c:v>
                </c:pt>
                <c:pt idx="106">
                  <c:v>43.1081</c:v>
                </c:pt>
                <c:pt idx="107">
                  <c:v>43.515999999999998</c:v>
                </c:pt>
                <c:pt idx="108">
                  <c:v>43.920999999999999</c:v>
                </c:pt>
                <c:pt idx="109">
                  <c:v>44.327300000000001</c:v>
                </c:pt>
                <c:pt idx="110">
                  <c:v>44.734900000000003</c:v>
                </c:pt>
                <c:pt idx="111">
                  <c:v>45.1387</c:v>
                </c:pt>
                <c:pt idx="112">
                  <c:v>45.550600000000003</c:v>
                </c:pt>
                <c:pt idx="113">
                  <c:v>45.955399999999997</c:v>
                </c:pt>
                <c:pt idx="114">
                  <c:v>46.359400000000001</c:v>
                </c:pt>
                <c:pt idx="115">
                  <c:v>46.765500000000003</c:v>
                </c:pt>
                <c:pt idx="116">
                  <c:v>47.170299999999997</c:v>
                </c:pt>
                <c:pt idx="117">
                  <c:v>47.582299999999996</c:v>
                </c:pt>
                <c:pt idx="118">
                  <c:v>47.9861</c:v>
                </c:pt>
                <c:pt idx="119">
                  <c:v>48.387999999999998</c:v>
                </c:pt>
                <c:pt idx="120">
                  <c:v>48.793799999999997</c:v>
                </c:pt>
                <c:pt idx="121">
                  <c:v>49.201900000000002</c:v>
                </c:pt>
                <c:pt idx="122">
                  <c:v>49.610700000000001</c:v>
                </c:pt>
                <c:pt idx="123">
                  <c:v>50.0167</c:v>
                </c:pt>
                <c:pt idx="124">
                  <c:v>50.422600000000003</c:v>
                </c:pt>
                <c:pt idx="125">
                  <c:v>50.827500000000001</c:v>
                </c:pt>
                <c:pt idx="126">
                  <c:v>51.2318</c:v>
                </c:pt>
                <c:pt idx="127">
                  <c:v>51.644300000000001</c:v>
                </c:pt>
                <c:pt idx="128">
                  <c:v>52.052199999999999</c:v>
                </c:pt>
                <c:pt idx="129">
                  <c:v>52.451099999999997</c:v>
                </c:pt>
                <c:pt idx="130">
                  <c:v>52.861400000000003</c:v>
                </c:pt>
                <c:pt idx="131">
                  <c:v>53.262599999999999</c:v>
                </c:pt>
                <c:pt idx="132">
                  <c:v>53.668900000000001</c:v>
                </c:pt>
                <c:pt idx="133">
                  <c:v>54.082500000000003</c:v>
                </c:pt>
                <c:pt idx="134">
                  <c:v>54.482700000000001</c:v>
                </c:pt>
                <c:pt idx="135">
                  <c:v>54.889600000000002</c:v>
                </c:pt>
                <c:pt idx="136">
                  <c:v>55.295099999999998</c:v>
                </c:pt>
                <c:pt idx="137">
                  <c:v>55.700600000000001</c:v>
                </c:pt>
                <c:pt idx="138">
                  <c:v>56.111699999999999</c:v>
                </c:pt>
                <c:pt idx="139">
                  <c:v>56.515300000000003</c:v>
                </c:pt>
                <c:pt idx="140">
                  <c:v>56.924199999999999</c:v>
                </c:pt>
                <c:pt idx="141">
                  <c:v>57.326099999999997</c:v>
                </c:pt>
                <c:pt idx="142">
                  <c:v>57.735999999999997</c:v>
                </c:pt>
                <c:pt idx="143">
                  <c:v>58.139899999999997</c:v>
                </c:pt>
                <c:pt idx="144">
                  <c:v>58.5488</c:v>
                </c:pt>
                <c:pt idx="145">
                  <c:v>58.951700000000002</c:v>
                </c:pt>
                <c:pt idx="146">
                  <c:v>59.361699999999999</c:v>
                </c:pt>
                <c:pt idx="147">
                  <c:v>59.768500000000003</c:v>
                </c:pt>
                <c:pt idx="148">
                  <c:v>60.169400000000003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  <c:pt idx="75">
                  <c:v>54.777000000000001</c:v>
                </c:pt>
                <c:pt idx="76">
                  <c:v>54.654599999999995</c:v>
                </c:pt>
                <c:pt idx="77">
                  <c:v>54.514600000000002</c:v>
                </c:pt>
                <c:pt idx="78">
                  <c:v>54.349199999999996</c:v>
                </c:pt>
                <c:pt idx="79">
                  <c:v>54.120199999999997</c:v>
                </c:pt>
                <c:pt idx="80">
                  <c:v>53.905200000000001</c:v>
                </c:pt>
                <c:pt idx="81">
                  <c:v>53.756800000000005</c:v>
                </c:pt>
                <c:pt idx="82">
                  <c:v>53.646599999999999</c:v>
                </c:pt>
                <c:pt idx="83">
                  <c:v>53.572399999999995</c:v>
                </c:pt>
                <c:pt idx="84">
                  <c:v>53.517099999999992</c:v>
                </c:pt>
                <c:pt idx="85">
                  <c:v>53.4617</c:v>
                </c:pt>
                <c:pt idx="86">
                  <c:v>53.387900000000002</c:v>
                </c:pt>
                <c:pt idx="87">
                  <c:v>53.259199999999993</c:v>
                </c:pt>
                <c:pt idx="88">
                  <c:v>53.186900000000001</c:v>
                </c:pt>
                <c:pt idx="89">
                  <c:v>53.16</c:v>
                </c:pt>
                <c:pt idx="90">
                  <c:v>53.117999999999995</c:v>
                </c:pt>
                <c:pt idx="91">
                  <c:v>52.990200000000002</c:v>
                </c:pt>
                <c:pt idx="92">
                  <c:v>52.856999999999999</c:v>
                </c:pt>
                <c:pt idx="93">
                  <c:v>52.724899999999998</c:v>
                </c:pt>
                <c:pt idx="94">
                  <c:v>52.572399999999995</c:v>
                </c:pt>
                <c:pt idx="95">
                  <c:v>52.482700000000001</c:v>
                </c:pt>
                <c:pt idx="96">
                  <c:v>52.436000000000007</c:v>
                </c:pt>
                <c:pt idx="97">
                  <c:v>52.466799999999999</c:v>
                </c:pt>
                <c:pt idx="98">
                  <c:v>52.501699999999992</c:v>
                </c:pt>
                <c:pt idx="99">
                  <c:v>52.534000000000006</c:v>
                </c:pt>
                <c:pt idx="100">
                  <c:v>52.5139</c:v>
                </c:pt>
                <c:pt idx="101">
                  <c:v>52.435900000000004</c:v>
                </c:pt>
                <c:pt idx="102">
                  <c:v>52.365099999999998</c:v>
                </c:pt>
                <c:pt idx="103">
                  <c:v>52.238600000000005</c:v>
                </c:pt>
                <c:pt idx="104">
                  <c:v>52.018000000000001</c:v>
                </c:pt>
                <c:pt idx="105">
                  <c:v>51.716099999999997</c:v>
                </c:pt>
                <c:pt idx="106">
                  <c:v>51.366100000000003</c:v>
                </c:pt>
                <c:pt idx="107">
                  <c:v>51.007899999999992</c:v>
                </c:pt>
                <c:pt idx="108">
                  <c:v>50.767899999999997</c:v>
                </c:pt>
                <c:pt idx="109">
                  <c:v>50.642499999999998</c:v>
                </c:pt>
                <c:pt idx="110">
                  <c:v>50.620299999999993</c:v>
                </c:pt>
                <c:pt idx="111">
                  <c:v>50.631999999999998</c:v>
                </c:pt>
                <c:pt idx="112">
                  <c:v>50.653099999999995</c:v>
                </c:pt>
                <c:pt idx="113">
                  <c:v>50.734500000000004</c:v>
                </c:pt>
                <c:pt idx="114">
                  <c:v>50.828700000000005</c:v>
                </c:pt>
                <c:pt idx="115">
                  <c:v>50.937800000000003</c:v>
                </c:pt>
                <c:pt idx="116">
                  <c:v>51.0837</c:v>
                </c:pt>
                <c:pt idx="117">
                  <c:v>51.227199999999996</c:v>
                </c:pt>
                <c:pt idx="118">
                  <c:v>51.356199999999994</c:v>
                </c:pt>
                <c:pt idx="119">
                  <c:v>51.4786</c:v>
                </c:pt>
                <c:pt idx="120">
                  <c:v>51.564799999999998</c:v>
                </c:pt>
                <c:pt idx="121">
                  <c:v>51.638500000000001</c:v>
                </c:pt>
                <c:pt idx="122">
                  <c:v>51.709099999999999</c:v>
                </c:pt>
                <c:pt idx="123">
                  <c:v>51.797699999999999</c:v>
                </c:pt>
                <c:pt idx="124">
                  <c:v>51.873999999999995</c:v>
                </c:pt>
                <c:pt idx="125">
                  <c:v>51.933599999999998</c:v>
                </c:pt>
                <c:pt idx="126">
                  <c:v>52.022400000000005</c:v>
                </c:pt>
                <c:pt idx="127">
                  <c:v>52.125999999999998</c:v>
                </c:pt>
                <c:pt idx="128">
                  <c:v>52.2532</c:v>
                </c:pt>
                <c:pt idx="129">
                  <c:v>52.444500000000005</c:v>
                </c:pt>
                <c:pt idx="130">
                  <c:v>52.7316</c:v>
                </c:pt>
                <c:pt idx="131">
                  <c:v>53.1539</c:v>
                </c:pt>
                <c:pt idx="132">
                  <c:v>53.729300000000002</c:v>
                </c:pt>
                <c:pt idx="133">
                  <c:v>54.253799999999998</c:v>
                </c:pt>
                <c:pt idx="134">
                  <c:v>54.677399999999999</c:v>
                </c:pt>
                <c:pt idx="135">
                  <c:v>54.979399999999998</c:v>
                </c:pt>
                <c:pt idx="136">
                  <c:v>55.243200000000002</c:v>
                </c:pt>
                <c:pt idx="137">
                  <c:v>55.513500000000008</c:v>
                </c:pt>
                <c:pt idx="138">
                  <c:v>55.631500000000003</c:v>
                </c:pt>
                <c:pt idx="139">
                  <c:v>55.779999999999994</c:v>
                </c:pt>
                <c:pt idx="140">
                  <c:v>56.009500000000003</c:v>
                </c:pt>
                <c:pt idx="141">
                  <c:v>56.105700000000006</c:v>
                </c:pt>
                <c:pt idx="142">
                  <c:v>56.160600000000002</c:v>
                </c:pt>
                <c:pt idx="143">
                  <c:v>56.200200000000002</c:v>
                </c:pt>
                <c:pt idx="144">
                  <c:v>56.135599999999997</c:v>
                </c:pt>
                <c:pt idx="145">
                  <c:v>55.968600000000002</c:v>
                </c:pt>
                <c:pt idx="146">
                  <c:v>55.757100000000001</c:v>
                </c:pt>
                <c:pt idx="147">
                  <c:v>55.574199999999998</c:v>
                </c:pt>
                <c:pt idx="148">
                  <c:v>55.780300000000004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30.033999999999999</c:v>
                </c:pt>
                <c:pt idx="1">
                  <c:v>30.6401</c:v>
                </c:pt>
                <c:pt idx="2">
                  <c:v>31.014700000000001</c:v>
                </c:pt>
                <c:pt idx="3">
                  <c:v>31.391999999999999</c:v>
                </c:pt>
                <c:pt idx="4">
                  <c:v>31.7684</c:v>
                </c:pt>
                <c:pt idx="5">
                  <c:v>32.144399999999997</c:v>
                </c:pt>
                <c:pt idx="6">
                  <c:v>32.545999999999999</c:v>
                </c:pt>
                <c:pt idx="7">
                  <c:v>32.952300000000001</c:v>
                </c:pt>
                <c:pt idx="8">
                  <c:v>33.359400000000001</c:v>
                </c:pt>
                <c:pt idx="9">
                  <c:v>33.771099999999997</c:v>
                </c:pt>
                <c:pt idx="10">
                  <c:v>34.174999999999997</c:v>
                </c:pt>
                <c:pt idx="11">
                  <c:v>34.579000000000001</c:v>
                </c:pt>
                <c:pt idx="12">
                  <c:v>34.985799999999998</c:v>
                </c:pt>
                <c:pt idx="13">
                  <c:v>35.387599999999999</c:v>
                </c:pt>
                <c:pt idx="14">
                  <c:v>35.801699999999997</c:v>
                </c:pt>
                <c:pt idx="15">
                  <c:v>36.204700000000003</c:v>
                </c:pt>
                <c:pt idx="16">
                  <c:v>36.609400000000001</c:v>
                </c:pt>
                <c:pt idx="17">
                  <c:v>37.013599999999997</c:v>
                </c:pt>
                <c:pt idx="18">
                  <c:v>37.424100000000003</c:v>
                </c:pt>
                <c:pt idx="19">
                  <c:v>37.828200000000002</c:v>
                </c:pt>
                <c:pt idx="20">
                  <c:v>38.2361</c:v>
                </c:pt>
                <c:pt idx="21">
                  <c:v>38.645000000000003</c:v>
                </c:pt>
                <c:pt idx="22">
                  <c:v>39.045999999999999</c:v>
                </c:pt>
                <c:pt idx="23">
                  <c:v>39.451900000000002</c:v>
                </c:pt>
                <c:pt idx="24">
                  <c:v>39.861800000000002</c:v>
                </c:pt>
                <c:pt idx="25">
                  <c:v>40.268900000000002</c:v>
                </c:pt>
                <c:pt idx="26">
                  <c:v>40.6736</c:v>
                </c:pt>
                <c:pt idx="27">
                  <c:v>41.078499999999998</c:v>
                </c:pt>
                <c:pt idx="28">
                  <c:v>41.483499999999999</c:v>
                </c:pt>
                <c:pt idx="29">
                  <c:v>41.891399999999997</c:v>
                </c:pt>
                <c:pt idx="30">
                  <c:v>42.299300000000002</c:v>
                </c:pt>
                <c:pt idx="31">
                  <c:v>42.708199999999998</c:v>
                </c:pt>
                <c:pt idx="32">
                  <c:v>43.1081</c:v>
                </c:pt>
                <c:pt idx="33">
                  <c:v>43.515999999999998</c:v>
                </c:pt>
                <c:pt idx="34">
                  <c:v>43.920999999999999</c:v>
                </c:pt>
                <c:pt idx="35">
                  <c:v>44.327300000000001</c:v>
                </c:pt>
                <c:pt idx="36">
                  <c:v>44.734900000000003</c:v>
                </c:pt>
                <c:pt idx="37">
                  <c:v>45.1387</c:v>
                </c:pt>
                <c:pt idx="38">
                  <c:v>45.550600000000003</c:v>
                </c:pt>
                <c:pt idx="39">
                  <c:v>45.955399999999997</c:v>
                </c:pt>
                <c:pt idx="40">
                  <c:v>46.359400000000001</c:v>
                </c:pt>
                <c:pt idx="41">
                  <c:v>46.765500000000003</c:v>
                </c:pt>
                <c:pt idx="42">
                  <c:v>47.170299999999997</c:v>
                </c:pt>
                <c:pt idx="43">
                  <c:v>47.582299999999996</c:v>
                </c:pt>
                <c:pt idx="44">
                  <c:v>47.9861</c:v>
                </c:pt>
                <c:pt idx="45">
                  <c:v>48.387999999999998</c:v>
                </c:pt>
                <c:pt idx="46">
                  <c:v>48.793799999999997</c:v>
                </c:pt>
                <c:pt idx="47">
                  <c:v>49.201900000000002</c:v>
                </c:pt>
                <c:pt idx="48">
                  <c:v>49.610700000000001</c:v>
                </c:pt>
                <c:pt idx="49">
                  <c:v>50.0167</c:v>
                </c:pt>
                <c:pt idx="50">
                  <c:v>50.422600000000003</c:v>
                </c:pt>
                <c:pt idx="51">
                  <c:v>50.827500000000001</c:v>
                </c:pt>
                <c:pt idx="52">
                  <c:v>51.2318</c:v>
                </c:pt>
                <c:pt idx="53">
                  <c:v>51.644300000000001</c:v>
                </c:pt>
                <c:pt idx="54">
                  <c:v>52.052199999999999</c:v>
                </c:pt>
                <c:pt idx="55">
                  <c:v>52.451099999999997</c:v>
                </c:pt>
                <c:pt idx="56">
                  <c:v>52.861400000000003</c:v>
                </c:pt>
                <c:pt idx="57">
                  <c:v>53.262599999999999</c:v>
                </c:pt>
                <c:pt idx="58">
                  <c:v>53.668900000000001</c:v>
                </c:pt>
                <c:pt idx="59">
                  <c:v>54.082500000000003</c:v>
                </c:pt>
                <c:pt idx="60">
                  <c:v>54.482700000000001</c:v>
                </c:pt>
                <c:pt idx="61">
                  <c:v>54.889600000000002</c:v>
                </c:pt>
                <c:pt idx="62">
                  <c:v>55.295099999999998</c:v>
                </c:pt>
                <c:pt idx="63">
                  <c:v>55.700600000000001</c:v>
                </c:pt>
                <c:pt idx="64">
                  <c:v>56.111699999999999</c:v>
                </c:pt>
                <c:pt idx="65">
                  <c:v>56.515300000000003</c:v>
                </c:pt>
                <c:pt idx="66">
                  <c:v>56.924199999999999</c:v>
                </c:pt>
                <c:pt idx="67">
                  <c:v>57.326099999999997</c:v>
                </c:pt>
                <c:pt idx="68">
                  <c:v>57.735999999999997</c:v>
                </c:pt>
                <c:pt idx="69">
                  <c:v>58.139899999999997</c:v>
                </c:pt>
                <c:pt idx="70">
                  <c:v>58.5488</c:v>
                </c:pt>
                <c:pt idx="71">
                  <c:v>58.951700000000002</c:v>
                </c:pt>
                <c:pt idx="72">
                  <c:v>59.361699999999999</c:v>
                </c:pt>
                <c:pt idx="73">
                  <c:v>59.768500000000003</c:v>
                </c:pt>
                <c:pt idx="74">
                  <c:v>60.169400000000003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54.870300000000007</c:v>
                </c:pt>
                <c:pt idx="1">
                  <c:v>54.777000000000001</c:v>
                </c:pt>
                <c:pt idx="2">
                  <c:v>54.654599999999995</c:v>
                </c:pt>
                <c:pt idx="3">
                  <c:v>54.514600000000002</c:v>
                </c:pt>
                <c:pt idx="4">
                  <c:v>54.349199999999996</c:v>
                </c:pt>
                <c:pt idx="5">
                  <c:v>54.120199999999997</c:v>
                </c:pt>
                <c:pt idx="6">
                  <c:v>53.905200000000001</c:v>
                </c:pt>
                <c:pt idx="7">
                  <c:v>53.756800000000005</c:v>
                </c:pt>
                <c:pt idx="8">
                  <c:v>53.646599999999999</c:v>
                </c:pt>
                <c:pt idx="9">
                  <c:v>53.572399999999995</c:v>
                </c:pt>
                <c:pt idx="10">
                  <c:v>53.517099999999992</c:v>
                </c:pt>
                <c:pt idx="11">
                  <c:v>53.4617</c:v>
                </c:pt>
                <c:pt idx="12">
                  <c:v>53.387900000000002</c:v>
                </c:pt>
                <c:pt idx="13">
                  <c:v>53.259199999999993</c:v>
                </c:pt>
                <c:pt idx="14">
                  <c:v>53.186900000000001</c:v>
                </c:pt>
                <c:pt idx="15">
                  <c:v>53.16</c:v>
                </c:pt>
                <c:pt idx="16">
                  <c:v>53.117999999999995</c:v>
                </c:pt>
                <c:pt idx="17">
                  <c:v>52.990200000000002</c:v>
                </c:pt>
                <c:pt idx="18">
                  <c:v>52.856999999999999</c:v>
                </c:pt>
                <c:pt idx="19">
                  <c:v>52.724899999999998</c:v>
                </c:pt>
                <c:pt idx="20">
                  <c:v>52.572399999999995</c:v>
                </c:pt>
                <c:pt idx="21">
                  <c:v>52.482700000000001</c:v>
                </c:pt>
                <c:pt idx="22">
                  <c:v>52.436000000000007</c:v>
                </c:pt>
                <c:pt idx="23">
                  <c:v>52.466799999999999</c:v>
                </c:pt>
                <c:pt idx="24">
                  <c:v>52.501699999999992</c:v>
                </c:pt>
                <c:pt idx="25">
                  <c:v>52.534000000000006</c:v>
                </c:pt>
                <c:pt idx="26">
                  <c:v>52.5139</c:v>
                </c:pt>
                <c:pt idx="27">
                  <c:v>52.435900000000004</c:v>
                </c:pt>
                <c:pt idx="28">
                  <c:v>52.365099999999998</c:v>
                </c:pt>
                <c:pt idx="29">
                  <c:v>52.238600000000005</c:v>
                </c:pt>
                <c:pt idx="30">
                  <c:v>52.018000000000001</c:v>
                </c:pt>
                <c:pt idx="31">
                  <c:v>51.716099999999997</c:v>
                </c:pt>
                <c:pt idx="32">
                  <c:v>51.366100000000003</c:v>
                </c:pt>
                <c:pt idx="33">
                  <c:v>51.007899999999992</c:v>
                </c:pt>
                <c:pt idx="34">
                  <c:v>50.767899999999997</c:v>
                </c:pt>
                <c:pt idx="35">
                  <c:v>50.642499999999998</c:v>
                </c:pt>
                <c:pt idx="36">
                  <c:v>50.620299999999993</c:v>
                </c:pt>
                <c:pt idx="37">
                  <c:v>50.631999999999998</c:v>
                </c:pt>
                <c:pt idx="38">
                  <c:v>50.653099999999995</c:v>
                </c:pt>
                <c:pt idx="39">
                  <c:v>50.734500000000004</c:v>
                </c:pt>
                <c:pt idx="40">
                  <c:v>50.828700000000005</c:v>
                </c:pt>
                <c:pt idx="41">
                  <c:v>50.937800000000003</c:v>
                </c:pt>
                <c:pt idx="42">
                  <c:v>51.0837</c:v>
                </c:pt>
                <c:pt idx="43">
                  <c:v>51.227199999999996</c:v>
                </c:pt>
                <c:pt idx="44">
                  <c:v>51.356199999999994</c:v>
                </c:pt>
                <c:pt idx="45">
                  <c:v>51.4786</c:v>
                </c:pt>
                <c:pt idx="46">
                  <c:v>51.564799999999998</c:v>
                </c:pt>
                <c:pt idx="47">
                  <c:v>51.638500000000001</c:v>
                </c:pt>
                <c:pt idx="48">
                  <c:v>51.709099999999999</c:v>
                </c:pt>
                <c:pt idx="49">
                  <c:v>51.797699999999999</c:v>
                </c:pt>
                <c:pt idx="50">
                  <c:v>51.873999999999995</c:v>
                </c:pt>
                <c:pt idx="51">
                  <c:v>51.933599999999998</c:v>
                </c:pt>
                <c:pt idx="52">
                  <c:v>52.022400000000005</c:v>
                </c:pt>
                <c:pt idx="53">
                  <c:v>52.125999999999998</c:v>
                </c:pt>
                <c:pt idx="54">
                  <c:v>52.2532</c:v>
                </c:pt>
                <c:pt idx="55">
                  <c:v>52.444500000000005</c:v>
                </c:pt>
                <c:pt idx="56">
                  <c:v>52.7316</c:v>
                </c:pt>
                <c:pt idx="57">
                  <c:v>53.1539</c:v>
                </c:pt>
                <c:pt idx="58">
                  <c:v>53.729300000000002</c:v>
                </c:pt>
                <c:pt idx="59">
                  <c:v>54.253799999999998</c:v>
                </c:pt>
                <c:pt idx="60">
                  <c:v>54.677399999999999</c:v>
                </c:pt>
                <c:pt idx="61">
                  <c:v>54.979399999999998</c:v>
                </c:pt>
                <c:pt idx="62">
                  <c:v>55.243200000000002</c:v>
                </c:pt>
                <c:pt idx="63">
                  <c:v>55.513500000000008</c:v>
                </c:pt>
                <c:pt idx="64">
                  <c:v>55.631500000000003</c:v>
                </c:pt>
                <c:pt idx="65">
                  <c:v>55.779999999999994</c:v>
                </c:pt>
                <c:pt idx="66">
                  <c:v>56.009500000000003</c:v>
                </c:pt>
                <c:pt idx="67">
                  <c:v>56.105700000000006</c:v>
                </c:pt>
                <c:pt idx="68">
                  <c:v>56.160600000000002</c:v>
                </c:pt>
                <c:pt idx="69">
                  <c:v>56.200200000000002</c:v>
                </c:pt>
                <c:pt idx="70">
                  <c:v>56.135599999999997</c:v>
                </c:pt>
                <c:pt idx="71">
                  <c:v>55.968600000000002</c:v>
                </c:pt>
                <c:pt idx="72">
                  <c:v>55.757100000000001</c:v>
                </c:pt>
                <c:pt idx="73">
                  <c:v>55.574199999999998</c:v>
                </c:pt>
                <c:pt idx="74">
                  <c:v>55.780300000000004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15.042350000000001</c:v>
                </c:pt>
                <c:pt idx="1">
                  <c:v>45.127050000000004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63.368568918918896</c:v>
                </c:pt>
                <c:pt idx="1">
                  <c:v>53.086708108108091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23.223400000000002</c:v>
                </c:pt>
                <c:pt idx="1">
                  <c:v>26.9193</c:v>
                </c:pt>
                <c:pt idx="2">
                  <c:v>11.0558</c:v>
                </c:pt>
                <c:pt idx="3">
                  <c:v>19.979900000000001</c:v>
                </c:pt>
                <c:pt idx="4">
                  <c:v>73.958799999999997</c:v>
                </c:pt>
                <c:pt idx="5">
                  <c:v>82.641300000000001</c:v>
                </c:pt>
                <c:pt idx="6">
                  <c:v>14.268599999999999</c:v>
                </c:pt>
                <c:pt idx="7">
                  <c:v>77.990399999999994</c:v>
                </c:pt>
                <c:pt idx="8">
                  <c:v>23.0852</c:v>
                </c:pt>
                <c:pt idx="9">
                  <c:v>72.395200000000003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33.504100000000001</c:v>
                </c:pt>
                <c:pt idx="1">
                  <c:v>26.2165</c:v>
                </c:pt>
                <c:pt idx="2">
                  <c:v>8.1753800000000005</c:v>
                </c:pt>
                <c:pt idx="3">
                  <c:v>23.5412</c:v>
                </c:pt>
                <c:pt idx="4">
                  <c:v>74.472099999999998</c:v>
                </c:pt>
                <c:pt idx="5">
                  <c:v>76.807100000000005</c:v>
                </c:pt>
                <c:pt idx="6">
                  <c:v>25.085000000000001</c:v>
                </c:pt>
                <c:pt idx="7">
                  <c:v>75.618499999999997</c:v>
                </c:pt>
                <c:pt idx="8">
                  <c:v>35.4559</c:v>
                </c:pt>
                <c:pt idx="9">
                  <c:v>95.711100000000002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0.47765818045855429</c:v>
                </c:pt>
                <c:pt idx="1">
                  <c:v>0.15581317635777317</c:v>
                </c:pt>
                <c:pt idx="2">
                  <c:v>0.36652864318367262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1751</c:v>
                </c:pt>
                <c:pt idx="7">
                  <c:v>0</c:v>
                </c:pt>
                <c:pt idx="8">
                  <c:v>5289</c:v>
                </c:pt>
                <c:pt idx="9">
                  <c:v>0</c:v>
                </c:pt>
                <c:pt idx="10">
                  <c:v>0</c:v>
                </c:pt>
                <c:pt idx="11">
                  <c:v>10876</c:v>
                </c:pt>
                <c:pt idx="12">
                  <c:v>0</c:v>
                </c:pt>
                <c:pt idx="13">
                  <c:v>19273</c:v>
                </c:pt>
                <c:pt idx="14">
                  <c:v>0</c:v>
                </c:pt>
                <c:pt idx="15">
                  <c:v>0</c:v>
                </c:pt>
                <c:pt idx="16">
                  <c:v>26170</c:v>
                </c:pt>
                <c:pt idx="17">
                  <c:v>0</c:v>
                </c:pt>
                <c:pt idx="18">
                  <c:v>0</c:v>
                </c:pt>
                <c:pt idx="19">
                  <c:v>43204</c:v>
                </c:pt>
                <c:pt idx="20">
                  <c:v>0</c:v>
                </c:pt>
                <c:pt idx="21">
                  <c:v>54680</c:v>
                </c:pt>
                <c:pt idx="22">
                  <c:v>0</c:v>
                </c:pt>
                <c:pt idx="23">
                  <c:v>0</c:v>
                </c:pt>
                <c:pt idx="24">
                  <c:v>69048</c:v>
                </c:pt>
                <c:pt idx="25">
                  <c:v>0</c:v>
                </c:pt>
                <c:pt idx="26">
                  <c:v>78246</c:v>
                </c:pt>
                <c:pt idx="27">
                  <c:v>0</c:v>
                </c:pt>
                <c:pt idx="28">
                  <c:v>0</c:v>
                </c:pt>
                <c:pt idx="29">
                  <c:v>92299</c:v>
                </c:pt>
                <c:pt idx="30">
                  <c:v>0</c:v>
                </c:pt>
                <c:pt idx="31">
                  <c:v>74915</c:v>
                </c:pt>
                <c:pt idx="32">
                  <c:v>0</c:v>
                </c:pt>
                <c:pt idx="33">
                  <c:v>0</c:v>
                </c:pt>
                <c:pt idx="34">
                  <c:v>79506</c:v>
                </c:pt>
                <c:pt idx="35">
                  <c:v>0</c:v>
                </c:pt>
                <c:pt idx="36">
                  <c:v>0</c:v>
                </c:pt>
                <c:pt idx="37">
                  <c:v>83121</c:v>
                </c:pt>
                <c:pt idx="38">
                  <c:v>0</c:v>
                </c:pt>
                <c:pt idx="39">
                  <c:v>79915</c:v>
                </c:pt>
                <c:pt idx="40">
                  <c:v>0</c:v>
                </c:pt>
                <c:pt idx="41">
                  <c:v>0</c:v>
                </c:pt>
                <c:pt idx="42">
                  <c:v>80415</c:v>
                </c:pt>
                <c:pt idx="43">
                  <c:v>0</c:v>
                </c:pt>
                <c:pt idx="44">
                  <c:v>96434</c:v>
                </c:pt>
                <c:pt idx="45">
                  <c:v>0</c:v>
                </c:pt>
                <c:pt idx="46">
                  <c:v>0</c:v>
                </c:pt>
                <c:pt idx="47">
                  <c:v>101204</c:v>
                </c:pt>
                <c:pt idx="48">
                  <c:v>0</c:v>
                </c:pt>
                <c:pt idx="49">
                  <c:v>108388</c:v>
                </c:pt>
                <c:pt idx="50">
                  <c:v>0</c:v>
                </c:pt>
                <c:pt idx="51">
                  <c:v>0</c:v>
                </c:pt>
                <c:pt idx="52">
                  <c:v>111372</c:v>
                </c:pt>
                <c:pt idx="53">
                  <c:v>0</c:v>
                </c:pt>
                <c:pt idx="54">
                  <c:v>0</c:v>
                </c:pt>
                <c:pt idx="55">
                  <c:v>106235</c:v>
                </c:pt>
                <c:pt idx="56">
                  <c:v>0</c:v>
                </c:pt>
                <c:pt idx="57">
                  <c:v>99159</c:v>
                </c:pt>
                <c:pt idx="58">
                  <c:v>0</c:v>
                </c:pt>
                <c:pt idx="59">
                  <c:v>0</c:v>
                </c:pt>
                <c:pt idx="60">
                  <c:v>83084</c:v>
                </c:pt>
                <c:pt idx="61">
                  <c:v>0</c:v>
                </c:pt>
                <c:pt idx="62">
                  <c:v>86707</c:v>
                </c:pt>
                <c:pt idx="63">
                  <c:v>0</c:v>
                </c:pt>
                <c:pt idx="64">
                  <c:v>0</c:v>
                </c:pt>
                <c:pt idx="65">
                  <c:v>71250</c:v>
                </c:pt>
                <c:pt idx="66">
                  <c:v>0</c:v>
                </c:pt>
                <c:pt idx="67">
                  <c:v>64293</c:v>
                </c:pt>
                <c:pt idx="68">
                  <c:v>0</c:v>
                </c:pt>
                <c:pt idx="69">
                  <c:v>0</c:v>
                </c:pt>
                <c:pt idx="70">
                  <c:v>61069</c:v>
                </c:pt>
                <c:pt idx="71">
                  <c:v>0</c:v>
                </c:pt>
                <c:pt idx="72">
                  <c:v>0</c:v>
                </c:pt>
                <c:pt idx="73">
                  <c:v>52894</c:v>
                </c:pt>
                <c:pt idx="74">
                  <c:v>0</c:v>
                </c:pt>
                <c:pt idx="75">
                  <c:v>44501</c:v>
                </c:pt>
                <c:pt idx="76">
                  <c:v>0</c:v>
                </c:pt>
                <c:pt idx="77">
                  <c:v>0</c:v>
                </c:pt>
                <c:pt idx="78">
                  <c:v>44504</c:v>
                </c:pt>
                <c:pt idx="79">
                  <c:v>0</c:v>
                </c:pt>
                <c:pt idx="80">
                  <c:v>37601</c:v>
                </c:pt>
                <c:pt idx="81">
                  <c:v>0</c:v>
                </c:pt>
                <c:pt idx="82">
                  <c:v>0</c:v>
                </c:pt>
                <c:pt idx="83">
                  <c:v>35657</c:v>
                </c:pt>
                <c:pt idx="84">
                  <c:v>0</c:v>
                </c:pt>
                <c:pt idx="85">
                  <c:v>0</c:v>
                </c:pt>
                <c:pt idx="86">
                  <c:v>33322</c:v>
                </c:pt>
                <c:pt idx="87">
                  <c:v>0</c:v>
                </c:pt>
                <c:pt idx="88">
                  <c:v>28223</c:v>
                </c:pt>
                <c:pt idx="89">
                  <c:v>0</c:v>
                </c:pt>
                <c:pt idx="90">
                  <c:v>0</c:v>
                </c:pt>
                <c:pt idx="91">
                  <c:v>32734</c:v>
                </c:pt>
                <c:pt idx="92">
                  <c:v>0</c:v>
                </c:pt>
                <c:pt idx="93">
                  <c:v>21371</c:v>
                </c:pt>
                <c:pt idx="94">
                  <c:v>0</c:v>
                </c:pt>
                <c:pt idx="95">
                  <c:v>0</c:v>
                </c:pt>
                <c:pt idx="96">
                  <c:v>16974</c:v>
                </c:pt>
                <c:pt idx="97">
                  <c:v>0</c:v>
                </c:pt>
                <c:pt idx="98">
                  <c:v>11341</c:v>
                </c:pt>
                <c:pt idx="99">
                  <c:v>0</c:v>
                </c:pt>
                <c:pt idx="100">
                  <c:v>0</c:v>
                </c:pt>
                <c:pt idx="101">
                  <c:v>8489</c:v>
                </c:pt>
                <c:pt idx="102">
                  <c:v>0</c:v>
                </c:pt>
                <c:pt idx="103">
                  <c:v>0</c:v>
                </c:pt>
                <c:pt idx="104">
                  <c:v>6536</c:v>
                </c:pt>
                <c:pt idx="105">
                  <c:v>0</c:v>
                </c:pt>
                <c:pt idx="106">
                  <c:v>5332</c:v>
                </c:pt>
                <c:pt idx="107">
                  <c:v>0</c:v>
                </c:pt>
                <c:pt idx="108">
                  <c:v>0</c:v>
                </c:pt>
                <c:pt idx="109">
                  <c:v>4600</c:v>
                </c:pt>
                <c:pt idx="110">
                  <c:v>0</c:v>
                </c:pt>
                <c:pt idx="111">
                  <c:v>3980</c:v>
                </c:pt>
                <c:pt idx="112">
                  <c:v>0</c:v>
                </c:pt>
                <c:pt idx="113">
                  <c:v>0</c:v>
                </c:pt>
                <c:pt idx="114">
                  <c:v>3869</c:v>
                </c:pt>
                <c:pt idx="115">
                  <c:v>0</c:v>
                </c:pt>
                <c:pt idx="116">
                  <c:v>2000</c:v>
                </c:pt>
                <c:pt idx="117">
                  <c:v>0</c:v>
                </c:pt>
                <c:pt idx="118">
                  <c:v>0</c:v>
                </c:pt>
                <c:pt idx="119">
                  <c:v>2648</c:v>
                </c:pt>
                <c:pt idx="120">
                  <c:v>0</c:v>
                </c:pt>
                <c:pt idx="121">
                  <c:v>0</c:v>
                </c:pt>
                <c:pt idx="122">
                  <c:v>870</c:v>
                </c:pt>
                <c:pt idx="123">
                  <c:v>0</c:v>
                </c:pt>
                <c:pt idx="124">
                  <c:v>555</c:v>
                </c:pt>
                <c:pt idx="125">
                  <c:v>0</c:v>
                </c:pt>
                <c:pt idx="126">
                  <c:v>0</c:v>
                </c:pt>
                <c:pt idx="127">
                  <c:v>550</c:v>
                </c:pt>
                <c:pt idx="128">
                  <c:v>0</c:v>
                </c:pt>
                <c:pt idx="129">
                  <c:v>119</c:v>
                </c:pt>
                <c:pt idx="130">
                  <c:v>0</c:v>
                </c:pt>
                <c:pt idx="131">
                  <c:v>0</c:v>
                </c:pt>
                <c:pt idx="132">
                  <c:v>121</c:v>
                </c:pt>
                <c:pt idx="133">
                  <c:v>0</c:v>
                </c:pt>
                <c:pt idx="134">
                  <c:v>60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182</c:v>
                </c:pt>
                <c:pt idx="7">
                  <c:v>0</c:v>
                </c:pt>
                <c:pt idx="8">
                  <c:v>190</c:v>
                </c:pt>
                <c:pt idx="9">
                  <c:v>0</c:v>
                </c:pt>
                <c:pt idx="10">
                  <c:v>0</c:v>
                </c:pt>
                <c:pt idx="11">
                  <c:v>427</c:v>
                </c:pt>
                <c:pt idx="12">
                  <c:v>0</c:v>
                </c:pt>
                <c:pt idx="13">
                  <c:v>575</c:v>
                </c:pt>
                <c:pt idx="14">
                  <c:v>0</c:v>
                </c:pt>
                <c:pt idx="15">
                  <c:v>0</c:v>
                </c:pt>
                <c:pt idx="16">
                  <c:v>810</c:v>
                </c:pt>
                <c:pt idx="17">
                  <c:v>0</c:v>
                </c:pt>
                <c:pt idx="18">
                  <c:v>0</c:v>
                </c:pt>
                <c:pt idx="19">
                  <c:v>1867</c:v>
                </c:pt>
                <c:pt idx="20">
                  <c:v>0</c:v>
                </c:pt>
                <c:pt idx="21">
                  <c:v>2954</c:v>
                </c:pt>
                <c:pt idx="22">
                  <c:v>0</c:v>
                </c:pt>
                <c:pt idx="23">
                  <c:v>0</c:v>
                </c:pt>
                <c:pt idx="24">
                  <c:v>6074</c:v>
                </c:pt>
                <c:pt idx="25">
                  <c:v>0</c:v>
                </c:pt>
                <c:pt idx="26">
                  <c:v>8632</c:v>
                </c:pt>
                <c:pt idx="27">
                  <c:v>0</c:v>
                </c:pt>
                <c:pt idx="28">
                  <c:v>0</c:v>
                </c:pt>
                <c:pt idx="29">
                  <c:v>13361</c:v>
                </c:pt>
                <c:pt idx="30">
                  <c:v>0</c:v>
                </c:pt>
                <c:pt idx="31">
                  <c:v>13255</c:v>
                </c:pt>
                <c:pt idx="32">
                  <c:v>0</c:v>
                </c:pt>
                <c:pt idx="33">
                  <c:v>0</c:v>
                </c:pt>
                <c:pt idx="34">
                  <c:v>16775</c:v>
                </c:pt>
                <c:pt idx="35">
                  <c:v>0</c:v>
                </c:pt>
                <c:pt idx="36">
                  <c:v>0</c:v>
                </c:pt>
                <c:pt idx="37">
                  <c:v>20127</c:v>
                </c:pt>
                <c:pt idx="38">
                  <c:v>0</c:v>
                </c:pt>
                <c:pt idx="39">
                  <c:v>29492</c:v>
                </c:pt>
                <c:pt idx="40">
                  <c:v>0</c:v>
                </c:pt>
                <c:pt idx="41">
                  <c:v>0</c:v>
                </c:pt>
                <c:pt idx="42">
                  <c:v>35846</c:v>
                </c:pt>
                <c:pt idx="43">
                  <c:v>0</c:v>
                </c:pt>
                <c:pt idx="44">
                  <c:v>50012</c:v>
                </c:pt>
                <c:pt idx="45">
                  <c:v>0</c:v>
                </c:pt>
                <c:pt idx="46">
                  <c:v>0</c:v>
                </c:pt>
                <c:pt idx="47">
                  <c:v>61929</c:v>
                </c:pt>
                <c:pt idx="48">
                  <c:v>0</c:v>
                </c:pt>
                <c:pt idx="49">
                  <c:v>74338</c:v>
                </c:pt>
                <c:pt idx="50">
                  <c:v>0</c:v>
                </c:pt>
                <c:pt idx="51">
                  <c:v>0</c:v>
                </c:pt>
                <c:pt idx="52">
                  <c:v>75467</c:v>
                </c:pt>
                <c:pt idx="53">
                  <c:v>0</c:v>
                </c:pt>
                <c:pt idx="54">
                  <c:v>0</c:v>
                </c:pt>
                <c:pt idx="55">
                  <c:v>93453</c:v>
                </c:pt>
                <c:pt idx="56">
                  <c:v>0</c:v>
                </c:pt>
                <c:pt idx="57">
                  <c:v>107350</c:v>
                </c:pt>
                <c:pt idx="58">
                  <c:v>0</c:v>
                </c:pt>
                <c:pt idx="59">
                  <c:v>0</c:v>
                </c:pt>
                <c:pt idx="60">
                  <c:v>130807</c:v>
                </c:pt>
                <c:pt idx="61">
                  <c:v>0</c:v>
                </c:pt>
                <c:pt idx="62">
                  <c:v>124655</c:v>
                </c:pt>
                <c:pt idx="63">
                  <c:v>0</c:v>
                </c:pt>
                <c:pt idx="64">
                  <c:v>0</c:v>
                </c:pt>
                <c:pt idx="65">
                  <c:v>137423</c:v>
                </c:pt>
                <c:pt idx="66">
                  <c:v>0</c:v>
                </c:pt>
                <c:pt idx="67">
                  <c:v>146527</c:v>
                </c:pt>
                <c:pt idx="68">
                  <c:v>0</c:v>
                </c:pt>
                <c:pt idx="69">
                  <c:v>0</c:v>
                </c:pt>
                <c:pt idx="70">
                  <c:v>149028</c:v>
                </c:pt>
                <c:pt idx="71">
                  <c:v>0</c:v>
                </c:pt>
                <c:pt idx="72">
                  <c:v>0</c:v>
                </c:pt>
                <c:pt idx="73">
                  <c:v>161842</c:v>
                </c:pt>
                <c:pt idx="74">
                  <c:v>0</c:v>
                </c:pt>
                <c:pt idx="75">
                  <c:v>165444</c:v>
                </c:pt>
                <c:pt idx="76">
                  <c:v>0</c:v>
                </c:pt>
                <c:pt idx="77">
                  <c:v>0</c:v>
                </c:pt>
                <c:pt idx="78">
                  <c:v>175407</c:v>
                </c:pt>
                <c:pt idx="79">
                  <c:v>0</c:v>
                </c:pt>
                <c:pt idx="80">
                  <c:v>170805</c:v>
                </c:pt>
                <c:pt idx="81">
                  <c:v>0</c:v>
                </c:pt>
                <c:pt idx="82">
                  <c:v>0</c:v>
                </c:pt>
                <c:pt idx="83">
                  <c:v>177034</c:v>
                </c:pt>
                <c:pt idx="84">
                  <c:v>0</c:v>
                </c:pt>
                <c:pt idx="85">
                  <c:v>0</c:v>
                </c:pt>
                <c:pt idx="86">
                  <c:v>173980</c:v>
                </c:pt>
                <c:pt idx="87">
                  <c:v>0</c:v>
                </c:pt>
                <c:pt idx="88">
                  <c:v>161381</c:v>
                </c:pt>
                <c:pt idx="89">
                  <c:v>0</c:v>
                </c:pt>
                <c:pt idx="90">
                  <c:v>0</c:v>
                </c:pt>
                <c:pt idx="91">
                  <c:v>162523</c:v>
                </c:pt>
                <c:pt idx="92">
                  <c:v>0</c:v>
                </c:pt>
                <c:pt idx="93">
                  <c:v>159935</c:v>
                </c:pt>
                <c:pt idx="94">
                  <c:v>0</c:v>
                </c:pt>
                <c:pt idx="95">
                  <c:v>0</c:v>
                </c:pt>
                <c:pt idx="96">
                  <c:v>150263</c:v>
                </c:pt>
                <c:pt idx="97">
                  <c:v>0</c:v>
                </c:pt>
                <c:pt idx="98">
                  <c:v>141956</c:v>
                </c:pt>
                <c:pt idx="99">
                  <c:v>0</c:v>
                </c:pt>
                <c:pt idx="100">
                  <c:v>0</c:v>
                </c:pt>
                <c:pt idx="101">
                  <c:v>133558</c:v>
                </c:pt>
                <c:pt idx="102">
                  <c:v>0</c:v>
                </c:pt>
                <c:pt idx="103">
                  <c:v>0</c:v>
                </c:pt>
                <c:pt idx="104">
                  <c:v>127686</c:v>
                </c:pt>
                <c:pt idx="105">
                  <c:v>0</c:v>
                </c:pt>
                <c:pt idx="106">
                  <c:v>114691</c:v>
                </c:pt>
                <c:pt idx="107">
                  <c:v>0</c:v>
                </c:pt>
                <c:pt idx="108">
                  <c:v>0</c:v>
                </c:pt>
                <c:pt idx="109">
                  <c:v>101823</c:v>
                </c:pt>
                <c:pt idx="110">
                  <c:v>0</c:v>
                </c:pt>
                <c:pt idx="111">
                  <c:v>83403</c:v>
                </c:pt>
                <c:pt idx="112">
                  <c:v>0</c:v>
                </c:pt>
                <c:pt idx="113">
                  <c:v>0</c:v>
                </c:pt>
                <c:pt idx="114">
                  <c:v>72905</c:v>
                </c:pt>
                <c:pt idx="115">
                  <c:v>0</c:v>
                </c:pt>
                <c:pt idx="116">
                  <c:v>70980</c:v>
                </c:pt>
                <c:pt idx="117">
                  <c:v>0</c:v>
                </c:pt>
                <c:pt idx="118">
                  <c:v>0</c:v>
                </c:pt>
                <c:pt idx="119">
                  <c:v>69581</c:v>
                </c:pt>
                <c:pt idx="120">
                  <c:v>0</c:v>
                </c:pt>
                <c:pt idx="121">
                  <c:v>0</c:v>
                </c:pt>
                <c:pt idx="122">
                  <c:v>68994</c:v>
                </c:pt>
                <c:pt idx="123">
                  <c:v>0</c:v>
                </c:pt>
                <c:pt idx="124">
                  <c:v>60380</c:v>
                </c:pt>
                <c:pt idx="125">
                  <c:v>0</c:v>
                </c:pt>
                <c:pt idx="126">
                  <c:v>0</c:v>
                </c:pt>
                <c:pt idx="127">
                  <c:v>58778</c:v>
                </c:pt>
                <c:pt idx="128">
                  <c:v>0</c:v>
                </c:pt>
                <c:pt idx="129">
                  <c:v>48912</c:v>
                </c:pt>
                <c:pt idx="130">
                  <c:v>0</c:v>
                </c:pt>
                <c:pt idx="131">
                  <c:v>0</c:v>
                </c:pt>
                <c:pt idx="132">
                  <c:v>40509</c:v>
                </c:pt>
                <c:pt idx="133">
                  <c:v>0</c:v>
                </c:pt>
                <c:pt idx="134">
                  <c:v>34615</c:v>
                </c:pt>
                <c:pt idx="135">
                  <c:v>0</c:v>
                </c:pt>
                <c:pt idx="136">
                  <c:v>0</c:v>
                </c:pt>
                <c:pt idx="137">
                  <c:v>32624</c:v>
                </c:pt>
                <c:pt idx="138">
                  <c:v>0</c:v>
                </c:pt>
                <c:pt idx="139">
                  <c:v>0</c:v>
                </c:pt>
                <c:pt idx="140">
                  <c:v>28497</c:v>
                </c:pt>
                <c:pt idx="141">
                  <c:v>0</c:v>
                </c:pt>
                <c:pt idx="142">
                  <c:v>21965</c:v>
                </c:pt>
                <c:pt idx="143">
                  <c:v>0</c:v>
                </c:pt>
                <c:pt idx="144">
                  <c:v>0</c:v>
                </c:pt>
                <c:pt idx="145">
                  <c:v>15225</c:v>
                </c:pt>
                <c:pt idx="146">
                  <c:v>0</c:v>
                </c:pt>
                <c:pt idx="147">
                  <c:v>10178</c:v>
                </c:pt>
                <c:pt idx="148">
                  <c:v>0</c:v>
                </c:pt>
                <c:pt idx="149">
                  <c:v>0</c:v>
                </c:pt>
                <c:pt idx="150">
                  <c:v>8021</c:v>
                </c:pt>
                <c:pt idx="151">
                  <c:v>0</c:v>
                </c:pt>
                <c:pt idx="152">
                  <c:v>5739</c:v>
                </c:pt>
                <c:pt idx="153">
                  <c:v>0</c:v>
                </c:pt>
                <c:pt idx="154">
                  <c:v>0</c:v>
                </c:pt>
                <c:pt idx="155">
                  <c:v>3013</c:v>
                </c:pt>
                <c:pt idx="156">
                  <c:v>0</c:v>
                </c:pt>
                <c:pt idx="157">
                  <c:v>0</c:v>
                </c:pt>
                <c:pt idx="158">
                  <c:v>2170</c:v>
                </c:pt>
                <c:pt idx="159">
                  <c:v>0</c:v>
                </c:pt>
                <c:pt idx="160">
                  <c:v>3537</c:v>
                </c:pt>
                <c:pt idx="161">
                  <c:v>0</c:v>
                </c:pt>
                <c:pt idx="162">
                  <c:v>0</c:v>
                </c:pt>
                <c:pt idx="163">
                  <c:v>2389</c:v>
                </c:pt>
                <c:pt idx="164">
                  <c:v>0</c:v>
                </c:pt>
                <c:pt idx="165">
                  <c:v>1736</c:v>
                </c:pt>
                <c:pt idx="166">
                  <c:v>0</c:v>
                </c:pt>
                <c:pt idx="167">
                  <c:v>0</c:v>
                </c:pt>
                <c:pt idx="168">
                  <c:v>726</c:v>
                </c:pt>
                <c:pt idx="169">
                  <c:v>0</c:v>
                </c:pt>
                <c:pt idx="170">
                  <c:v>0</c:v>
                </c:pt>
                <c:pt idx="171">
                  <c:v>399</c:v>
                </c:pt>
                <c:pt idx="172">
                  <c:v>0</c:v>
                </c:pt>
                <c:pt idx="173">
                  <c:v>496</c:v>
                </c:pt>
                <c:pt idx="174">
                  <c:v>0</c:v>
                </c:pt>
                <c:pt idx="175">
                  <c:v>0</c:v>
                </c:pt>
                <c:pt idx="176">
                  <c:v>117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0.15467826447407687</c:v>
                </c:pt>
                <c:pt idx="1">
                  <c:v>0.45179178937156972</c:v>
                </c:pt>
                <c:pt idx="2">
                  <c:v>0.39352994615435338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0.41598198264945496</c:v>
                </c:pt>
                <c:pt idx="1">
                  <c:v>0.15094774135000177</c:v>
                </c:pt>
                <c:pt idx="2">
                  <c:v>0.43307027600054332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6.1489649999999996</c:v>
                </c:pt>
                <c:pt idx="1">
                  <c:v>25.832599999999999</c:v>
                </c:pt>
                <c:pt idx="2">
                  <c:v>33.101849999999999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  <c:pt idx="75">
                  <c:v>30.6401</c:v>
                </c:pt>
                <c:pt idx="76">
                  <c:v>31.014700000000001</c:v>
                </c:pt>
                <c:pt idx="77">
                  <c:v>31.391999999999999</c:v>
                </c:pt>
                <c:pt idx="78">
                  <c:v>31.7684</c:v>
                </c:pt>
                <c:pt idx="79">
                  <c:v>32.144399999999997</c:v>
                </c:pt>
                <c:pt idx="80">
                  <c:v>32.545999999999999</c:v>
                </c:pt>
                <c:pt idx="81">
                  <c:v>32.952300000000001</c:v>
                </c:pt>
                <c:pt idx="82">
                  <c:v>33.359400000000001</c:v>
                </c:pt>
                <c:pt idx="83">
                  <c:v>33.771099999999997</c:v>
                </c:pt>
                <c:pt idx="84">
                  <c:v>34.174999999999997</c:v>
                </c:pt>
                <c:pt idx="85">
                  <c:v>34.579000000000001</c:v>
                </c:pt>
                <c:pt idx="86">
                  <c:v>34.985799999999998</c:v>
                </c:pt>
                <c:pt idx="87">
                  <c:v>35.387599999999999</c:v>
                </c:pt>
                <c:pt idx="88">
                  <c:v>35.801699999999997</c:v>
                </c:pt>
                <c:pt idx="89">
                  <c:v>36.204700000000003</c:v>
                </c:pt>
                <c:pt idx="90">
                  <c:v>36.609400000000001</c:v>
                </c:pt>
                <c:pt idx="91">
                  <c:v>37.013599999999997</c:v>
                </c:pt>
                <c:pt idx="92">
                  <c:v>37.424100000000003</c:v>
                </c:pt>
                <c:pt idx="93">
                  <c:v>37.828200000000002</c:v>
                </c:pt>
                <c:pt idx="94">
                  <c:v>38.2361</c:v>
                </c:pt>
                <c:pt idx="95">
                  <c:v>38.645000000000003</c:v>
                </c:pt>
                <c:pt idx="96">
                  <c:v>39.045999999999999</c:v>
                </c:pt>
                <c:pt idx="97">
                  <c:v>39.451900000000002</c:v>
                </c:pt>
                <c:pt idx="98">
                  <c:v>39.861800000000002</c:v>
                </c:pt>
                <c:pt idx="99">
                  <c:v>40.268900000000002</c:v>
                </c:pt>
                <c:pt idx="100">
                  <c:v>40.6736</c:v>
                </c:pt>
                <c:pt idx="101">
                  <c:v>41.078499999999998</c:v>
                </c:pt>
                <c:pt idx="102">
                  <c:v>41.483499999999999</c:v>
                </c:pt>
                <c:pt idx="103">
                  <c:v>41.891399999999997</c:v>
                </c:pt>
                <c:pt idx="104">
                  <c:v>42.299300000000002</c:v>
                </c:pt>
                <c:pt idx="105">
                  <c:v>42.708199999999998</c:v>
                </c:pt>
                <c:pt idx="106">
                  <c:v>43.1081</c:v>
                </c:pt>
                <c:pt idx="107">
                  <c:v>43.515999999999998</c:v>
                </c:pt>
                <c:pt idx="108">
                  <c:v>43.920999999999999</c:v>
                </c:pt>
                <c:pt idx="109">
                  <c:v>44.327300000000001</c:v>
                </c:pt>
                <c:pt idx="110">
                  <c:v>44.734900000000003</c:v>
                </c:pt>
                <c:pt idx="111">
                  <c:v>45.1387</c:v>
                </c:pt>
                <c:pt idx="112">
                  <c:v>45.550600000000003</c:v>
                </c:pt>
                <c:pt idx="113">
                  <c:v>45.955399999999997</c:v>
                </c:pt>
                <c:pt idx="114">
                  <c:v>46.359400000000001</c:v>
                </c:pt>
                <c:pt idx="115">
                  <c:v>46.765500000000003</c:v>
                </c:pt>
                <c:pt idx="116">
                  <c:v>47.170299999999997</c:v>
                </c:pt>
                <c:pt idx="117">
                  <c:v>47.582299999999996</c:v>
                </c:pt>
                <c:pt idx="118">
                  <c:v>47.9861</c:v>
                </c:pt>
                <c:pt idx="119">
                  <c:v>48.387999999999998</c:v>
                </c:pt>
                <c:pt idx="120">
                  <c:v>48.793799999999997</c:v>
                </c:pt>
                <c:pt idx="121">
                  <c:v>49.201900000000002</c:v>
                </c:pt>
                <c:pt idx="122">
                  <c:v>49.610700000000001</c:v>
                </c:pt>
                <c:pt idx="123">
                  <c:v>50.0167</c:v>
                </c:pt>
                <c:pt idx="124">
                  <c:v>50.422600000000003</c:v>
                </c:pt>
                <c:pt idx="125">
                  <c:v>50.827500000000001</c:v>
                </c:pt>
                <c:pt idx="126">
                  <c:v>51.2318</c:v>
                </c:pt>
                <c:pt idx="127">
                  <c:v>51.644300000000001</c:v>
                </c:pt>
                <c:pt idx="128">
                  <c:v>52.052199999999999</c:v>
                </c:pt>
                <c:pt idx="129">
                  <c:v>52.451099999999997</c:v>
                </c:pt>
                <c:pt idx="130">
                  <c:v>52.861400000000003</c:v>
                </c:pt>
                <c:pt idx="131">
                  <c:v>53.262599999999999</c:v>
                </c:pt>
                <c:pt idx="132">
                  <c:v>53.668900000000001</c:v>
                </c:pt>
                <c:pt idx="133">
                  <c:v>54.082500000000003</c:v>
                </c:pt>
                <c:pt idx="134">
                  <c:v>54.482700000000001</c:v>
                </c:pt>
                <c:pt idx="135">
                  <c:v>54.889600000000002</c:v>
                </c:pt>
                <c:pt idx="136">
                  <c:v>55.295099999999998</c:v>
                </c:pt>
                <c:pt idx="137">
                  <c:v>55.700600000000001</c:v>
                </c:pt>
                <c:pt idx="138">
                  <c:v>56.111699999999999</c:v>
                </c:pt>
                <c:pt idx="139">
                  <c:v>56.515300000000003</c:v>
                </c:pt>
                <c:pt idx="140">
                  <c:v>56.924199999999999</c:v>
                </c:pt>
                <c:pt idx="141">
                  <c:v>57.326099999999997</c:v>
                </c:pt>
                <c:pt idx="142">
                  <c:v>57.735999999999997</c:v>
                </c:pt>
                <c:pt idx="143">
                  <c:v>58.139899999999997</c:v>
                </c:pt>
                <c:pt idx="144">
                  <c:v>58.5488</c:v>
                </c:pt>
                <c:pt idx="145">
                  <c:v>58.951700000000002</c:v>
                </c:pt>
                <c:pt idx="146">
                  <c:v>59.361699999999999</c:v>
                </c:pt>
                <c:pt idx="147">
                  <c:v>59.768500000000003</c:v>
                </c:pt>
                <c:pt idx="148">
                  <c:v>60.169400000000003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  <c:pt idx="75">
                  <c:v>2.8674100000000005</c:v>
                </c:pt>
                <c:pt idx="76">
                  <c:v>2.8850700000000002</c:v>
                </c:pt>
                <c:pt idx="77">
                  <c:v>2.90381</c:v>
                </c:pt>
                <c:pt idx="78">
                  <c:v>2.9248699999999999</c:v>
                </c:pt>
                <c:pt idx="79">
                  <c:v>2.9503900000000001</c:v>
                </c:pt>
                <c:pt idx="80">
                  <c:v>2.9784699999999997</c:v>
                </c:pt>
                <c:pt idx="81">
                  <c:v>3.0058099999999999</c:v>
                </c:pt>
                <c:pt idx="82">
                  <c:v>3.0327900000000003</c:v>
                </c:pt>
                <c:pt idx="83">
                  <c:v>3.0595499999999998</c:v>
                </c:pt>
                <c:pt idx="84">
                  <c:v>3.08602</c:v>
                </c:pt>
                <c:pt idx="85">
                  <c:v>3.1121100000000004</c:v>
                </c:pt>
                <c:pt idx="86">
                  <c:v>3.13863</c:v>
                </c:pt>
                <c:pt idx="87">
                  <c:v>3.1655899999999999</c:v>
                </c:pt>
                <c:pt idx="88">
                  <c:v>3.1888699999999996</c:v>
                </c:pt>
                <c:pt idx="89">
                  <c:v>3.2102199999999996</c:v>
                </c:pt>
                <c:pt idx="90">
                  <c:v>3.2326500000000005</c:v>
                </c:pt>
                <c:pt idx="91">
                  <c:v>3.2573400000000001</c:v>
                </c:pt>
                <c:pt idx="92">
                  <c:v>3.2815799999999999</c:v>
                </c:pt>
                <c:pt idx="93">
                  <c:v>3.3067899999999999</c:v>
                </c:pt>
                <c:pt idx="94">
                  <c:v>3.3331100000000005</c:v>
                </c:pt>
                <c:pt idx="95">
                  <c:v>3.3580999999999999</c:v>
                </c:pt>
                <c:pt idx="96">
                  <c:v>3.3843800000000002</c:v>
                </c:pt>
                <c:pt idx="97">
                  <c:v>3.4078399999999998</c:v>
                </c:pt>
                <c:pt idx="98">
                  <c:v>3.42896</c:v>
                </c:pt>
                <c:pt idx="99">
                  <c:v>3.4488999999999996</c:v>
                </c:pt>
                <c:pt idx="100">
                  <c:v>3.4674300000000002</c:v>
                </c:pt>
                <c:pt idx="101">
                  <c:v>3.4855799999999997</c:v>
                </c:pt>
                <c:pt idx="102">
                  <c:v>3.5031400000000001</c:v>
                </c:pt>
                <c:pt idx="103">
                  <c:v>3.5214600000000003</c:v>
                </c:pt>
                <c:pt idx="104">
                  <c:v>3.5432999999999999</c:v>
                </c:pt>
                <c:pt idx="105">
                  <c:v>3.5667999999999997</c:v>
                </c:pt>
                <c:pt idx="106">
                  <c:v>3.5929799999999998</c:v>
                </c:pt>
                <c:pt idx="107">
                  <c:v>3.62039</c:v>
                </c:pt>
                <c:pt idx="108">
                  <c:v>3.6451899999999999</c:v>
                </c:pt>
                <c:pt idx="109">
                  <c:v>3.6648300000000003</c:v>
                </c:pt>
                <c:pt idx="110">
                  <c:v>3.6794599999999997</c:v>
                </c:pt>
                <c:pt idx="111">
                  <c:v>3.68994</c:v>
                </c:pt>
                <c:pt idx="112">
                  <c:v>3.69665</c:v>
                </c:pt>
                <c:pt idx="113">
                  <c:v>3.70214</c:v>
                </c:pt>
                <c:pt idx="114">
                  <c:v>3.7087599999999998</c:v>
                </c:pt>
                <c:pt idx="115">
                  <c:v>3.7152600000000002</c:v>
                </c:pt>
                <c:pt idx="116">
                  <c:v>3.7156000000000002</c:v>
                </c:pt>
                <c:pt idx="117">
                  <c:v>3.7131099999999999</c:v>
                </c:pt>
                <c:pt idx="118">
                  <c:v>3.70797</c:v>
                </c:pt>
                <c:pt idx="119">
                  <c:v>3.6987999999999999</c:v>
                </c:pt>
                <c:pt idx="120">
                  <c:v>3.6885300000000001</c:v>
                </c:pt>
                <c:pt idx="121">
                  <c:v>3.6775000000000002</c:v>
                </c:pt>
                <c:pt idx="122">
                  <c:v>3.66927</c:v>
                </c:pt>
                <c:pt idx="123">
                  <c:v>3.6620499999999998</c:v>
                </c:pt>
                <c:pt idx="124">
                  <c:v>3.6601099999999995</c:v>
                </c:pt>
                <c:pt idx="125">
                  <c:v>3.6636500000000001</c:v>
                </c:pt>
                <c:pt idx="126">
                  <c:v>3.66595</c:v>
                </c:pt>
                <c:pt idx="127">
                  <c:v>3.6676799999999998</c:v>
                </c:pt>
                <c:pt idx="128">
                  <c:v>3.6660199999999996</c:v>
                </c:pt>
                <c:pt idx="129">
                  <c:v>3.65632</c:v>
                </c:pt>
                <c:pt idx="130">
                  <c:v>3.6405599999999998</c:v>
                </c:pt>
                <c:pt idx="131">
                  <c:v>3.6187900000000002</c:v>
                </c:pt>
                <c:pt idx="132">
                  <c:v>3.5915699999999999</c:v>
                </c:pt>
                <c:pt idx="133">
                  <c:v>3.5632599999999996</c:v>
                </c:pt>
                <c:pt idx="134">
                  <c:v>3.5385400000000002</c:v>
                </c:pt>
                <c:pt idx="135">
                  <c:v>3.5192800000000002</c:v>
                </c:pt>
                <c:pt idx="136">
                  <c:v>3.5039100000000003</c:v>
                </c:pt>
                <c:pt idx="137">
                  <c:v>3.4903400000000002</c:v>
                </c:pt>
                <c:pt idx="138">
                  <c:v>3.4799000000000002</c:v>
                </c:pt>
                <c:pt idx="139">
                  <c:v>3.4654400000000001</c:v>
                </c:pt>
                <c:pt idx="140">
                  <c:v>3.4443899999999998</c:v>
                </c:pt>
                <c:pt idx="141">
                  <c:v>3.4279500000000001</c:v>
                </c:pt>
                <c:pt idx="142">
                  <c:v>3.4125800000000002</c:v>
                </c:pt>
                <c:pt idx="143">
                  <c:v>3.3992599999999999</c:v>
                </c:pt>
                <c:pt idx="144">
                  <c:v>3.3932600000000002</c:v>
                </c:pt>
                <c:pt idx="145">
                  <c:v>3.3958300000000001</c:v>
                </c:pt>
                <c:pt idx="146">
                  <c:v>3.4030899999999997</c:v>
                </c:pt>
                <c:pt idx="147">
                  <c:v>3.3990900000000002</c:v>
                </c:pt>
                <c:pt idx="148">
                  <c:v>3.38063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30.033999999999999</c:v>
                </c:pt>
                <c:pt idx="1">
                  <c:v>30.6401</c:v>
                </c:pt>
                <c:pt idx="2">
                  <c:v>31.014700000000001</c:v>
                </c:pt>
                <c:pt idx="3">
                  <c:v>31.391999999999999</c:v>
                </c:pt>
                <c:pt idx="4">
                  <c:v>31.7684</c:v>
                </c:pt>
                <c:pt idx="5">
                  <c:v>32.144399999999997</c:v>
                </c:pt>
                <c:pt idx="6">
                  <c:v>32.545999999999999</c:v>
                </c:pt>
                <c:pt idx="7">
                  <c:v>32.952300000000001</c:v>
                </c:pt>
                <c:pt idx="8">
                  <c:v>33.359400000000001</c:v>
                </c:pt>
                <c:pt idx="9">
                  <c:v>33.771099999999997</c:v>
                </c:pt>
                <c:pt idx="10">
                  <c:v>34.174999999999997</c:v>
                </c:pt>
                <c:pt idx="11">
                  <c:v>34.579000000000001</c:v>
                </c:pt>
                <c:pt idx="12">
                  <c:v>34.985799999999998</c:v>
                </c:pt>
                <c:pt idx="13">
                  <c:v>35.387599999999999</c:v>
                </c:pt>
                <c:pt idx="14">
                  <c:v>35.801699999999997</c:v>
                </c:pt>
                <c:pt idx="15">
                  <c:v>36.204700000000003</c:v>
                </c:pt>
                <c:pt idx="16">
                  <c:v>36.609400000000001</c:v>
                </c:pt>
                <c:pt idx="17">
                  <c:v>37.013599999999997</c:v>
                </c:pt>
                <c:pt idx="18">
                  <c:v>37.424100000000003</c:v>
                </c:pt>
                <c:pt idx="19">
                  <c:v>37.828200000000002</c:v>
                </c:pt>
                <c:pt idx="20">
                  <c:v>38.2361</c:v>
                </c:pt>
                <c:pt idx="21">
                  <c:v>38.645000000000003</c:v>
                </c:pt>
                <c:pt idx="22">
                  <c:v>39.045999999999999</c:v>
                </c:pt>
                <c:pt idx="23">
                  <c:v>39.451900000000002</c:v>
                </c:pt>
                <c:pt idx="24">
                  <c:v>39.861800000000002</c:v>
                </c:pt>
                <c:pt idx="25">
                  <c:v>40.268900000000002</c:v>
                </c:pt>
                <c:pt idx="26">
                  <c:v>40.6736</c:v>
                </c:pt>
                <c:pt idx="27">
                  <c:v>41.078499999999998</c:v>
                </c:pt>
                <c:pt idx="28">
                  <c:v>41.483499999999999</c:v>
                </c:pt>
                <c:pt idx="29">
                  <c:v>41.891399999999997</c:v>
                </c:pt>
                <c:pt idx="30">
                  <c:v>42.299300000000002</c:v>
                </c:pt>
                <c:pt idx="31">
                  <c:v>42.708199999999998</c:v>
                </c:pt>
                <c:pt idx="32">
                  <c:v>43.1081</c:v>
                </c:pt>
                <c:pt idx="33">
                  <c:v>43.515999999999998</c:v>
                </c:pt>
                <c:pt idx="34">
                  <c:v>43.920999999999999</c:v>
                </c:pt>
                <c:pt idx="35">
                  <c:v>44.327300000000001</c:v>
                </c:pt>
                <c:pt idx="36">
                  <c:v>44.734900000000003</c:v>
                </c:pt>
                <c:pt idx="37">
                  <c:v>45.1387</c:v>
                </c:pt>
                <c:pt idx="38">
                  <c:v>45.550600000000003</c:v>
                </c:pt>
                <c:pt idx="39">
                  <c:v>45.955399999999997</c:v>
                </c:pt>
                <c:pt idx="40">
                  <c:v>46.359400000000001</c:v>
                </c:pt>
                <c:pt idx="41">
                  <c:v>46.765500000000003</c:v>
                </c:pt>
                <c:pt idx="42">
                  <c:v>47.170299999999997</c:v>
                </c:pt>
                <c:pt idx="43">
                  <c:v>47.582299999999996</c:v>
                </c:pt>
                <c:pt idx="44">
                  <c:v>47.9861</c:v>
                </c:pt>
                <c:pt idx="45">
                  <c:v>48.387999999999998</c:v>
                </c:pt>
                <c:pt idx="46">
                  <c:v>48.793799999999997</c:v>
                </c:pt>
                <c:pt idx="47">
                  <c:v>49.201900000000002</c:v>
                </c:pt>
                <c:pt idx="48">
                  <c:v>49.610700000000001</c:v>
                </c:pt>
                <c:pt idx="49">
                  <c:v>50.0167</c:v>
                </c:pt>
                <c:pt idx="50">
                  <c:v>50.422600000000003</c:v>
                </c:pt>
                <c:pt idx="51">
                  <c:v>50.827500000000001</c:v>
                </c:pt>
                <c:pt idx="52">
                  <c:v>51.2318</c:v>
                </c:pt>
                <c:pt idx="53">
                  <c:v>51.644300000000001</c:v>
                </c:pt>
                <c:pt idx="54">
                  <c:v>52.052199999999999</c:v>
                </c:pt>
                <c:pt idx="55">
                  <c:v>52.451099999999997</c:v>
                </c:pt>
                <c:pt idx="56">
                  <c:v>52.861400000000003</c:v>
                </c:pt>
                <c:pt idx="57">
                  <c:v>53.262599999999999</c:v>
                </c:pt>
                <c:pt idx="58">
                  <c:v>53.668900000000001</c:v>
                </c:pt>
                <c:pt idx="59">
                  <c:v>54.082500000000003</c:v>
                </c:pt>
                <c:pt idx="60">
                  <c:v>54.482700000000001</c:v>
                </c:pt>
                <c:pt idx="61">
                  <c:v>54.889600000000002</c:v>
                </c:pt>
                <c:pt idx="62">
                  <c:v>55.295099999999998</c:v>
                </c:pt>
                <c:pt idx="63">
                  <c:v>55.700600000000001</c:v>
                </c:pt>
                <c:pt idx="64">
                  <c:v>56.111699999999999</c:v>
                </c:pt>
                <c:pt idx="65">
                  <c:v>56.515300000000003</c:v>
                </c:pt>
                <c:pt idx="66">
                  <c:v>56.924199999999999</c:v>
                </c:pt>
                <c:pt idx="67">
                  <c:v>57.326099999999997</c:v>
                </c:pt>
                <c:pt idx="68">
                  <c:v>57.735999999999997</c:v>
                </c:pt>
                <c:pt idx="69">
                  <c:v>58.139899999999997</c:v>
                </c:pt>
                <c:pt idx="70">
                  <c:v>58.5488</c:v>
                </c:pt>
                <c:pt idx="71">
                  <c:v>58.951700000000002</c:v>
                </c:pt>
                <c:pt idx="72">
                  <c:v>59.361699999999999</c:v>
                </c:pt>
                <c:pt idx="73">
                  <c:v>59.768500000000003</c:v>
                </c:pt>
                <c:pt idx="74">
                  <c:v>60.169400000000003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2.8505000000000003</c:v>
                </c:pt>
                <c:pt idx="1">
                  <c:v>2.8674100000000005</c:v>
                </c:pt>
                <c:pt idx="2">
                  <c:v>2.8850700000000002</c:v>
                </c:pt>
                <c:pt idx="3">
                  <c:v>2.90381</c:v>
                </c:pt>
                <c:pt idx="4">
                  <c:v>2.9248699999999999</c:v>
                </c:pt>
                <c:pt idx="5">
                  <c:v>2.9503900000000001</c:v>
                </c:pt>
                <c:pt idx="6">
                  <c:v>2.9784699999999997</c:v>
                </c:pt>
                <c:pt idx="7">
                  <c:v>3.0058099999999999</c:v>
                </c:pt>
                <c:pt idx="8">
                  <c:v>3.0327900000000003</c:v>
                </c:pt>
                <c:pt idx="9">
                  <c:v>3.0595499999999998</c:v>
                </c:pt>
                <c:pt idx="10">
                  <c:v>3.08602</c:v>
                </c:pt>
                <c:pt idx="11">
                  <c:v>3.1121100000000004</c:v>
                </c:pt>
                <c:pt idx="12">
                  <c:v>3.13863</c:v>
                </c:pt>
                <c:pt idx="13">
                  <c:v>3.1655899999999999</c:v>
                </c:pt>
                <c:pt idx="14">
                  <c:v>3.1888699999999996</c:v>
                </c:pt>
                <c:pt idx="15">
                  <c:v>3.2102199999999996</c:v>
                </c:pt>
                <c:pt idx="16">
                  <c:v>3.2326500000000005</c:v>
                </c:pt>
                <c:pt idx="17">
                  <c:v>3.2573400000000001</c:v>
                </c:pt>
                <c:pt idx="18">
                  <c:v>3.2815799999999999</c:v>
                </c:pt>
                <c:pt idx="19">
                  <c:v>3.3067899999999999</c:v>
                </c:pt>
                <c:pt idx="20">
                  <c:v>3.3331100000000005</c:v>
                </c:pt>
                <c:pt idx="21">
                  <c:v>3.3580999999999999</c:v>
                </c:pt>
                <c:pt idx="22">
                  <c:v>3.3843800000000002</c:v>
                </c:pt>
                <c:pt idx="23">
                  <c:v>3.4078399999999998</c:v>
                </c:pt>
                <c:pt idx="24">
                  <c:v>3.42896</c:v>
                </c:pt>
                <c:pt idx="25">
                  <c:v>3.4488999999999996</c:v>
                </c:pt>
                <c:pt idx="26">
                  <c:v>3.4674300000000002</c:v>
                </c:pt>
                <c:pt idx="27">
                  <c:v>3.4855799999999997</c:v>
                </c:pt>
                <c:pt idx="28">
                  <c:v>3.5031400000000001</c:v>
                </c:pt>
                <c:pt idx="29">
                  <c:v>3.5214600000000003</c:v>
                </c:pt>
                <c:pt idx="30">
                  <c:v>3.5432999999999999</c:v>
                </c:pt>
                <c:pt idx="31">
                  <c:v>3.5667999999999997</c:v>
                </c:pt>
                <c:pt idx="32">
                  <c:v>3.5929799999999998</c:v>
                </c:pt>
                <c:pt idx="33">
                  <c:v>3.62039</c:v>
                </c:pt>
                <c:pt idx="34">
                  <c:v>3.6451899999999999</c:v>
                </c:pt>
                <c:pt idx="35">
                  <c:v>3.6648300000000003</c:v>
                </c:pt>
                <c:pt idx="36">
                  <c:v>3.6794599999999997</c:v>
                </c:pt>
                <c:pt idx="37">
                  <c:v>3.68994</c:v>
                </c:pt>
                <c:pt idx="38">
                  <c:v>3.69665</c:v>
                </c:pt>
                <c:pt idx="39">
                  <c:v>3.70214</c:v>
                </c:pt>
                <c:pt idx="40">
                  <c:v>3.7087599999999998</c:v>
                </c:pt>
                <c:pt idx="41">
                  <c:v>3.7152600000000002</c:v>
                </c:pt>
                <c:pt idx="42">
                  <c:v>3.7156000000000002</c:v>
                </c:pt>
                <c:pt idx="43">
                  <c:v>3.7131099999999999</c:v>
                </c:pt>
                <c:pt idx="44">
                  <c:v>3.70797</c:v>
                </c:pt>
                <c:pt idx="45">
                  <c:v>3.6987999999999999</c:v>
                </c:pt>
                <c:pt idx="46">
                  <c:v>3.6885300000000001</c:v>
                </c:pt>
                <c:pt idx="47">
                  <c:v>3.6775000000000002</c:v>
                </c:pt>
                <c:pt idx="48">
                  <c:v>3.66927</c:v>
                </c:pt>
                <c:pt idx="49">
                  <c:v>3.6620499999999998</c:v>
                </c:pt>
                <c:pt idx="50">
                  <c:v>3.6601099999999995</c:v>
                </c:pt>
                <c:pt idx="51">
                  <c:v>3.6636500000000001</c:v>
                </c:pt>
                <c:pt idx="52">
                  <c:v>3.66595</c:v>
                </c:pt>
                <c:pt idx="53">
                  <c:v>3.6676799999999998</c:v>
                </c:pt>
                <c:pt idx="54">
                  <c:v>3.6660199999999996</c:v>
                </c:pt>
                <c:pt idx="55">
                  <c:v>3.65632</c:v>
                </c:pt>
                <c:pt idx="56">
                  <c:v>3.6405599999999998</c:v>
                </c:pt>
                <c:pt idx="57">
                  <c:v>3.6187900000000002</c:v>
                </c:pt>
                <c:pt idx="58">
                  <c:v>3.5915699999999999</c:v>
                </c:pt>
                <c:pt idx="59">
                  <c:v>3.5632599999999996</c:v>
                </c:pt>
                <c:pt idx="60">
                  <c:v>3.5385400000000002</c:v>
                </c:pt>
                <c:pt idx="61">
                  <c:v>3.5192800000000002</c:v>
                </c:pt>
                <c:pt idx="62">
                  <c:v>3.5039100000000003</c:v>
                </c:pt>
                <c:pt idx="63">
                  <c:v>3.4903400000000002</c:v>
                </c:pt>
                <c:pt idx="64">
                  <c:v>3.4799000000000002</c:v>
                </c:pt>
                <c:pt idx="65">
                  <c:v>3.4654400000000001</c:v>
                </c:pt>
                <c:pt idx="66">
                  <c:v>3.4443899999999998</c:v>
                </c:pt>
                <c:pt idx="67">
                  <c:v>3.4279500000000001</c:v>
                </c:pt>
                <c:pt idx="68">
                  <c:v>3.4125800000000002</c:v>
                </c:pt>
                <c:pt idx="69">
                  <c:v>3.3992599999999999</c:v>
                </c:pt>
                <c:pt idx="70">
                  <c:v>3.3932600000000002</c:v>
                </c:pt>
                <c:pt idx="71">
                  <c:v>3.3958300000000001</c:v>
                </c:pt>
                <c:pt idx="72">
                  <c:v>3.4030899999999997</c:v>
                </c:pt>
                <c:pt idx="73">
                  <c:v>3.3990900000000002</c:v>
                </c:pt>
                <c:pt idx="74">
                  <c:v>3.38063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1.1573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15.042350000000001</c:v>
                </c:pt>
                <c:pt idx="1">
                  <c:v>45.127050000000004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2.1579870270270267</c:v>
                </c:pt>
                <c:pt idx="1">
                  <c:v>3.4297658108108111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  <c:pt idx="75">
                  <c:v>30.6401</c:v>
                </c:pt>
                <c:pt idx="76">
                  <c:v>31.014700000000001</c:v>
                </c:pt>
                <c:pt idx="77">
                  <c:v>31.391999999999999</c:v>
                </c:pt>
                <c:pt idx="78">
                  <c:v>31.7684</c:v>
                </c:pt>
                <c:pt idx="79">
                  <c:v>32.144399999999997</c:v>
                </c:pt>
                <c:pt idx="80">
                  <c:v>32.545999999999999</c:v>
                </c:pt>
                <c:pt idx="81">
                  <c:v>32.952300000000001</c:v>
                </c:pt>
                <c:pt idx="82">
                  <c:v>33.359400000000001</c:v>
                </c:pt>
                <c:pt idx="83">
                  <c:v>33.771099999999997</c:v>
                </c:pt>
                <c:pt idx="84">
                  <c:v>34.174999999999997</c:v>
                </c:pt>
                <c:pt idx="85">
                  <c:v>34.579000000000001</c:v>
                </c:pt>
                <c:pt idx="86">
                  <c:v>34.985799999999998</c:v>
                </c:pt>
                <c:pt idx="87">
                  <c:v>35.387599999999999</c:v>
                </c:pt>
                <c:pt idx="88">
                  <c:v>35.801699999999997</c:v>
                </c:pt>
                <c:pt idx="89">
                  <c:v>36.204700000000003</c:v>
                </c:pt>
                <c:pt idx="90">
                  <c:v>36.609400000000001</c:v>
                </c:pt>
                <c:pt idx="91">
                  <c:v>37.013599999999997</c:v>
                </c:pt>
                <c:pt idx="92">
                  <c:v>37.424100000000003</c:v>
                </c:pt>
                <c:pt idx="93">
                  <c:v>37.828200000000002</c:v>
                </c:pt>
                <c:pt idx="94">
                  <c:v>38.2361</c:v>
                </c:pt>
                <c:pt idx="95">
                  <c:v>38.645000000000003</c:v>
                </c:pt>
                <c:pt idx="96">
                  <c:v>39.045999999999999</c:v>
                </c:pt>
                <c:pt idx="97">
                  <c:v>39.451900000000002</c:v>
                </c:pt>
                <c:pt idx="98">
                  <c:v>39.861800000000002</c:v>
                </c:pt>
                <c:pt idx="99">
                  <c:v>40.268900000000002</c:v>
                </c:pt>
                <c:pt idx="100">
                  <c:v>40.6736</c:v>
                </c:pt>
                <c:pt idx="101">
                  <c:v>41.078499999999998</c:v>
                </c:pt>
                <c:pt idx="102">
                  <c:v>41.483499999999999</c:v>
                </c:pt>
                <c:pt idx="103">
                  <c:v>41.891399999999997</c:v>
                </c:pt>
                <c:pt idx="104">
                  <c:v>42.299300000000002</c:v>
                </c:pt>
                <c:pt idx="105">
                  <c:v>42.708199999999998</c:v>
                </c:pt>
                <c:pt idx="106">
                  <c:v>43.1081</c:v>
                </c:pt>
                <c:pt idx="107">
                  <c:v>43.515999999999998</c:v>
                </c:pt>
                <c:pt idx="108">
                  <c:v>43.920999999999999</c:v>
                </c:pt>
                <c:pt idx="109">
                  <c:v>44.327300000000001</c:v>
                </c:pt>
                <c:pt idx="110">
                  <c:v>44.734900000000003</c:v>
                </c:pt>
                <c:pt idx="111">
                  <c:v>45.1387</c:v>
                </c:pt>
                <c:pt idx="112">
                  <c:v>45.550600000000003</c:v>
                </c:pt>
                <c:pt idx="113">
                  <c:v>45.955399999999997</c:v>
                </c:pt>
                <c:pt idx="114">
                  <c:v>46.359400000000001</c:v>
                </c:pt>
                <c:pt idx="115">
                  <c:v>46.765500000000003</c:v>
                </c:pt>
                <c:pt idx="116">
                  <c:v>47.170299999999997</c:v>
                </c:pt>
                <c:pt idx="117">
                  <c:v>47.582299999999996</c:v>
                </c:pt>
                <c:pt idx="118">
                  <c:v>47.9861</c:v>
                </c:pt>
                <c:pt idx="119">
                  <c:v>48.387999999999998</c:v>
                </c:pt>
                <c:pt idx="120">
                  <c:v>48.793799999999997</c:v>
                </c:pt>
                <c:pt idx="121">
                  <c:v>49.201900000000002</c:v>
                </c:pt>
                <c:pt idx="122">
                  <c:v>49.610700000000001</c:v>
                </c:pt>
                <c:pt idx="123">
                  <c:v>50.0167</c:v>
                </c:pt>
                <c:pt idx="124">
                  <c:v>50.422600000000003</c:v>
                </c:pt>
                <c:pt idx="125">
                  <c:v>50.827500000000001</c:v>
                </c:pt>
                <c:pt idx="126">
                  <c:v>51.2318</c:v>
                </c:pt>
                <c:pt idx="127">
                  <c:v>51.644300000000001</c:v>
                </c:pt>
                <c:pt idx="128">
                  <c:v>52.052199999999999</c:v>
                </c:pt>
                <c:pt idx="129">
                  <c:v>52.451099999999997</c:v>
                </c:pt>
                <c:pt idx="130">
                  <c:v>52.861400000000003</c:v>
                </c:pt>
                <c:pt idx="131">
                  <c:v>53.262599999999999</c:v>
                </c:pt>
                <c:pt idx="132">
                  <c:v>53.668900000000001</c:v>
                </c:pt>
                <c:pt idx="133">
                  <c:v>54.082500000000003</c:v>
                </c:pt>
                <c:pt idx="134">
                  <c:v>54.482700000000001</c:v>
                </c:pt>
                <c:pt idx="135">
                  <c:v>54.889600000000002</c:v>
                </c:pt>
                <c:pt idx="136">
                  <c:v>55.295099999999998</c:v>
                </c:pt>
                <c:pt idx="137">
                  <c:v>55.700600000000001</c:v>
                </c:pt>
                <c:pt idx="138">
                  <c:v>56.111699999999999</c:v>
                </c:pt>
                <c:pt idx="139">
                  <c:v>56.515300000000003</c:v>
                </c:pt>
                <c:pt idx="140">
                  <c:v>56.924199999999999</c:v>
                </c:pt>
                <c:pt idx="141">
                  <c:v>57.326099999999997</c:v>
                </c:pt>
                <c:pt idx="142">
                  <c:v>57.735999999999997</c:v>
                </c:pt>
                <c:pt idx="143">
                  <c:v>58.139899999999997</c:v>
                </c:pt>
                <c:pt idx="144">
                  <c:v>58.5488</c:v>
                </c:pt>
                <c:pt idx="145">
                  <c:v>58.951700000000002</c:v>
                </c:pt>
                <c:pt idx="146">
                  <c:v>59.361699999999999</c:v>
                </c:pt>
                <c:pt idx="147">
                  <c:v>59.768500000000003</c:v>
                </c:pt>
                <c:pt idx="148">
                  <c:v>60.169400000000003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  <c:pt idx="75">
                  <c:v>54.777000000000001</c:v>
                </c:pt>
                <c:pt idx="76">
                  <c:v>54.654599999999995</c:v>
                </c:pt>
                <c:pt idx="77">
                  <c:v>54.514600000000002</c:v>
                </c:pt>
                <c:pt idx="78">
                  <c:v>54.349199999999996</c:v>
                </c:pt>
                <c:pt idx="79">
                  <c:v>54.120199999999997</c:v>
                </c:pt>
                <c:pt idx="80">
                  <c:v>53.905200000000001</c:v>
                </c:pt>
                <c:pt idx="81">
                  <c:v>53.756800000000005</c:v>
                </c:pt>
                <c:pt idx="82">
                  <c:v>53.646599999999999</c:v>
                </c:pt>
                <c:pt idx="83">
                  <c:v>53.572399999999995</c:v>
                </c:pt>
                <c:pt idx="84">
                  <c:v>53.517099999999992</c:v>
                </c:pt>
                <c:pt idx="85">
                  <c:v>53.4617</c:v>
                </c:pt>
                <c:pt idx="86">
                  <c:v>53.387900000000002</c:v>
                </c:pt>
                <c:pt idx="87">
                  <c:v>53.259199999999993</c:v>
                </c:pt>
                <c:pt idx="88">
                  <c:v>53.186900000000001</c:v>
                </c:pt>
                <c:pt idx="89">
                  <c:v>53.16</c:v>
                </c:pt>
                <c:pt idx="90">
                  <c:v>53.117999999999995</c:v>
                </c:pt>
                <c:pt idx="91">
                  <c:v>52.990200000000002</c:v>
                </c:pt>
                <c:pt idx="92">
                  <c:v>52.856999999999999</c:v>
                </c:pt>
                <c:pt idx="93">
                  <c:v>52.724899999999998</c:v>
                </c:pt>
                <c:pt idx="94">
                  <c:v>52.572399999999995</c:v>
                </c:pt>
                <c:pt idx="95">
                  <c:v>52.482700000000001</c:v>
                </c:pt>
                <c:pt idx="96">
                  <c:v>52.436000000000007</c:v>
                </c:pt>
                <c:pt idx="97">
                  <c:v>52.466799999999999</c:v>
                </c:pt>
                <c:pt idx="98">
                  <c:v>52.501699999999992</c:v>
                </c:pt>
                <c:pt idx="99">
                  <c:v>52.534000000000006</c:v>
                </c:pt>
                <c:pt idx="100">
                  <c:v>52.5139</c:v>
                </c:pt>
                <c:pt idx="101">
                  <c:v>52.435900000000004</c:v>
                </c:pt>
                <c:pt idx="102">
                  <c:v>52.365099999999998</c:v>
                </c:pt>
                <c:pt idx="103">
                  <c:v>52.238600000000005</c:v>
                </c:pt>
                <c:pt idx="104">
                  <c:v>52.018000000000001</c:v>
                </c:pt>
                <c:pt idx="105">
                  <c:v>51.716099999999997</c:v>
                </c:pt>
                <c:pt idx="106">
                  <c:v>51.366100000000003</c:v>
                </c:pt>
                <c:pt idx="107">
                  <c:v>51.007899999999992</c:v>
                </c:pt>
                <c:pt idx="108">
                  <c:v>50.767899999999997</c:v>
                </c:pt>
                <c:pt idx="109">
                  <c:v>50.642499999999998</c:v>
                </c:pt>
                <c:pt idx="110">
                  <c:v>50.620299999999993</c:v>
                </c:pt>
                <c:pt idx="111">
                  <c:v>50.631999999999998</c:v>
                </c:pt>
                <c:pt idx="112">
                  <c:v>50.653099999999995</c:v>
                </c:pt>
                <c:pt idx="113">
                  <c:v>50.734500000000004</c:v>
                </c:pt>
                <c:pt idx="114">
                  <c:v>50.828700000000005</c:v>
                </c:pt>
                <c:pt idx="115">
                  <c:v>50.937800000000003</c:v>
                </c:pt>
                <c:pt idx="116">
                  <c:v>51.0837</c:v>
                </c:pt>
                <c:pt idx="117">
                  <c:v>51.227199999999996</c:v>
                </c:pt>
                <c:pt idx="118">
                  <c:v>51.356199999999994</c:v>
                </c:pt>
                <c:pt idx="119">
                  <c:v>51.4786</c:v>
                </c:pt>
                <c:pt idx="120">
                  <c:v>51.564799999999998</c:v>
                </c:pt>
                <c:pt idx="121">
                  <c:v>51.638500000000001</c:v>
                </c:pt>
                <c:pt idx="122">
                  <c:v>51.709099999999999</c:v>
                </c:pt>
                <c:pt idx="123">
                  <c:v>51.797699999999999</c:v>
                </c:pt>
                <c:pt idx="124">
                  <c:v>51.873999999999995</c:v>
                </c:pt>
                <c:pt idx="125">
                  <c:v>51.933599999999998</c:v>
                </c:pt>
                <c:pt idx="126">
                  <c:v>52.022400000000005</c:v>
                </c:pt>
                <c:pt idx="127">
                  <c:v>52.125999999999998</c:v>
                </c:pt>
                <c:pt idx="128">
                  <c:v>52.2532</c:v>
                </c:pt>
                <c:pt idx="129">
                  <c:v>52.444500000000005</c:v>
                </c:pt>
                <c:pt idx="130">
                  <c:v>52.7316</c:v>
                </c:pt>
                <c:pt idx="131">
                  <c:v>53.1539</c:v>
                </c:pt>
                <c:pt idx="132">
                  <c:v>53.729300000000002</c:v>
                </c:pt>
                <c:pt idx="133">
                  <c:v>54.253799999999998</c:v>
                </c:pt>
                <c:pt idx="134">
                  <c:v>54.677399999999999</c:v>
                </c:pt>
                <c:pt idx="135">
                  <c:v>54.979399999999998</c:v>
                </c:pt>
                <c:pt idx="136">
                  <c:v>55.243200000000002</c:v>
                </c:pt>
                <c:pt idx="137">
                  <c:v>55.513500000000008</c:v>
                </c:pt>
                <c:pt idx="138">
                  <c:v>55.631500000000003</c:v>
                </c:pt>
                <c:pt idx="139">
                  <c:v>55.779999999999994</c:v>
                </c:pt>
                <c:pt idx="140">
                  <c:v>56.009500000000003</c:v>
                </c:pt>
                <c:pt idx="141">
                  <c:v>56.105700000000006</c:v>
                </c:pt>
                <c:pt idx="142">
                  <c:v>56.160600000000002</c:v>
                </c:pt>
                <c:pt idx="143">
                  <c:v>56.200200000000002</c:v>
                </c:pt>
                <c:pt idx="144">
                  <c:v>56.135599999999997</c:v>
                </c:pt>
                <c:pt idx="145">
                  <c:v>55.968600000000002</c:v>
                </c:pt>
                <c:pt idx="146">
                  <c:v>55.757100000000001</c:v>
                </c:pt>
                <c:pt idx="147">
                  <c:v>55.574199999999998</c:v>
                </c:pt>
                <c:pt idx="148">
                  <c:v>55.780300000000004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0.37840800000000002</c:v>
                </c:pt>
                <c:pt idx="2">
                  <c:v>0.78430200000000005</c:v>
                </c:pt>
                <c:pt idx="3">
                  <c:v>1.1911799999999999</c:v>
                </c:pt>
                <c:pt idx="4">
                  <c:v>1.59213</c:v>
                </c:pt>
                <c:pt idx="5">
                  <c:v>2.00034</c:v>
                </c:pt>
                <c:pt idx="6">
                  <c:v>2.4079600000000001</c:v>
                </c:pt>
                <c:pt idx="7">
                  <c:v>2.8119000000000001</c:v>
                </c:pt>
                <c:pt idx="8">
                  <c:v>3.2197900000000002</c:v>
                </c:pt>
                <c:pt idx="9">
                  <c:v>3.6277200000000001</c:v>
                </c:pt>
                <c:pt idx="10">
                  <c:v>4.0297000000000001</c:v>
                </c:pt>
                <c:pt idx="11">
                  <c:v>4.4406499999999998</c:v>
                </c:pt>
                <c:pt idx="12">
                  <c:v>4.84842</c:v>
                </c:pt>
                <c:pt idx="13">
                  <c:v>5.2533500000000002</c:v>
                </c:pt>
                <c:pt idx="14">
                  <c:v>5.6552199999999999</c:v>
                </c:pt>
                <c:pt idx="15">
                  <c:v>6.0654000000000003</c:v>
                </c:pt>
                <c:pt idx="16">
                  <c:v>6.4740799999999998</c:v>
                </c:pt>
                <c:pt idx="17">
                  <c:v>6.8789899999999999</c:v>
                </c:pt>
                <c:pt idx="18">
                  <c:v>7.2849000000000004</c:v>
                </c:pt>
                <c:pt idx="19">
                  <c:v>7.68588</c:v>
                </c:pt>
                <c:pt idx="20">
                  <c:v>8.0949600000000004</c:v>
                </c:pt>
                <c:pt idx="21">
                  <c:v>8.5036400000000008</c:v>
                </c:pt>
                <c:pt idx="22">
                  <c:v>8.9115800000000007</c:v>
                </c:pt>
                <c:pt idx="23">
                  <c:v>9.3154699999999995</c:v>
                </c:pt>
                <c:pt idx="24">
                  <c:v>9.7166499999999996</c:v>
                </c:pt>
                <c:pt idx="25">
                  <c:v>10.1243</c:v>
                </c:pt>
                <c:pt idx="26">
                  <c:v>10.5352</c:v>
                </c:pt>
                <c:pt idx="27">
                  <c:v>10.9391</c:v>
                </c:pt>
                <c:pt idx="28">
                  <c:v>11.3498</c:v>
                </c:pt>
                <c:pt idx="29">
                  <c:v>11.7529</c:v>
                </c:pt>
                <c:pt idx="30">
                  <c:v>12.157299999999999</c:v>
                </c:pt>
                <c:pt idx="31">
                  <c:v>12.5662</c:v>
                </c:pt>
                <c:pt idx="32">
                  <c:v>12.972899999999999</c:v>
                </c:pt>
                <c:pt idx="33">
                  <c:v>13.3756</c:v>
                </c:pt>
                <c:pt idx="34">
                  <c:v>13.782500000000001</c:v>
                </c:pt>
                <c:pt idx="35">
                  <c:v>14.1896</c:v>
                </c:pt>
                <c:pt idx="36">
                  <c:v>14.597799999999999</c:v>
                </c:pt>
                <c:pt idx="37">
                  <c:v>15.0022</c:v>
                </c:pt>
                <c:pt idx="38">
                  <c:v>15.4056</c:v>
                </c:pt>
                <c:pt idx="39">
                  <c:v>15.813000000000001</c:v>
                </c:pt>
                <c:pt idx="40">
                  <c:v>16.217199999999998</c:v>
                </c:pt>
                <c:pt idx="41">
                  <c:v>16.6251</c:v>
                </c:pt>
                <c:pt idx="42">
                  <c:v>17.0337</c:v>
                </c:pt>
                <c:pt idx="43">
                  <c:v>17.4377</c:v>
                </c:pt>
                <c:pt idx="44">
                  <c:v>17.842700000000001</c:v>
                </c:pt>
                <c:pt idx="45">
                  <c:v>18.250599999999999</c:v>
                </c:pt>
                <c:pt idx="46">
                  <c:v>18.654599999999999</c:v>
                </c:pt>
                <c:pt idx="47">
                  <c:v>19.066400000000002</c:v>
                </c:pt>
                <c:pt idx="48">
                  <c:v>19.472300000000001</c:v>
                </c:pt>
                <c:pt idx="49">
                  <c:v>19.8782</c:v>
                </c:pt>
                <c:pt idx="50">
                  <c:v>20.281300000000002</c:v>
                </c:pt>
                <c:pt idx="51">
                  <c:v>20.6874</c:v>
                </c:pt>
                <c:pt idx="52">
                  <c:v>21.094999999999999</c:v>
                </c:pt>
                <c:pt idx="53">
                  <c:v>21.503900000000002</c:v>
                </c:pt>
                <c:pt idx="54">
                  <c:v>21.904800000000002</c:v>
                </c:pt>
                <c:pt idx="55">
                  <c:v>22.3127</c:v>
                </c:pt>
                <c:pt idx="56">
                  <c:v>22.718599999999999</c:v>
                </c:pt>
                <c:pt idx="57">
                  <c:v>23.124500000000001</c:v>
                </c:pt>
                <c:pt idx="58">
                  <c:v>23.528400000000001</c:v>
                </c:pt>
                <c:pt idx="59">
                  <c:v>23.9375</c:v>
                </c:pt>
                <c:pt idx="60">
                  <c:v>24.346299999999999</c:v>
                </c:pt>
                <c:pt idx="61">
                  <c:v>24.752199999999998</c:v>
                </c:pt>
                <c:pt idx="62">
                  <c:v>25.154599999999999</c:v>
                </c:pt>
                <c:pt idx="63">
                  <c:v>25.562999999999999</c:v>
                </c:pt>
                <c:pt idx="64">
                  <c:v>25.968299999999999</c:v>
                </c:pt>
                <c:pt idx="65">
                  <c:v>26.376899999999999</c:v>
                </c:pt>
                <c:pt idx="66">
                  <c:v>26.782800000000002</c:v>
                </c:pt>
                <c:pt idx="67">
                  <c:v>27.1843</c:v>
                </c:pt>
                <c:pt idx="68">
                  <c:v>27.596699999999998</c:v>
                </c:pt>
                <c:pt idx="69">
                  <c:v>28.0002</c:v>
                </c:pt>
                <c:pt idx="70">
                  <c:v>28.407499999999999</c:v>
                </c:pt>
                <c:pt idx="71">
                  <c:v>28.816199999999998</c:v>
                </c:pt>
                <c:pt idx="72">
                  <c:v>29.2193</c:v>
                </c:pt>
                <c:pt idx="73">
                  <c:v>29.624199999999998</c:v>
                </c:pt>
                <c:pt idx="74">
                  <c:v>30.033999999999999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30.033999999999999</c:v>
                </c:pt>
                <c:pt idx="1">
                  <c:v>30.6401</c:v>
                </c:pt>
                <c:pt idx="2">
                  <c:v>31.014700000000001</c:v>
                </c:pt>
                <c:pt idx="3">
                  <c:v>31.391999999999999</c:v>
                </c:pt>
                <c:pt idx="4">
                  <c:v>31.7684</c:v>
                </c:pt>
                <c:pt idx="5">
                  <c:v>32.144399999999997</c:v>
                </c:pt>
                <c:pt idx="6">
                  <c:v>32.545999999999999</c:v>
                </c:pt>
                <c:pt idx="7">
                  <c:v>32.952300000000001</c:v>
                </c:pt>
                <c:pt idx="8">
                  <c:v>33.359400000000001</c:v>
                </c:pt>
                <c:pt idx="9">
                  <c:v>33.771099999999997</c:v>
                </c:pt>
                <c:pt idx="10">
                  <c:v>34.174999999999997</c:v>
                </c:pt>
                <c:pt idx="11">
                  <c:v>34.579000000000001</c:v>
                </c:pt>
                <c:pt idx="12">
                  <c:v>34.985799999999998</c:v>
                </c:pt>
                <c:pt idx="13">
                  <c:v>35.387599999999999</c:v>
                </c:pt>
                <c:pt idx="14">
                  <c:v>35.801699999999997</c:v>
                </c:pt>
                <c:pt idx="15">
                  <c:v>36.204700000000003</c:v>
                </c:pt>
                <c:pt idx="16">
                  <c:v>36.609400000000001</c:v>
                </c:pt>
                <c:pt idx="17">
                  <c:v>37.013599999999997</c:v>
                </c:pt>
                <c:pt idx="18">
                  <c:v>37.424100000000003</c:v>
                </c:pt>
                <c:pt idx="19">
                  <c:v>37.828200000000002</c:v>
                </c:pt>
                <c:pt idx="20">
                  <c:v>38.2361</c:v>
                </c:pt>
                <c:pt idx="21">
                  <c:v>38.645000000000003</c:v>
                </c:pt>
                <c:pt idx="22">
                  <c:v>39.045999999999999</c:v>
                </c:pt>
                <c:pt idx="23">
                  <c:v>39.451900000000002</c:v>
                </c:pt>
                <c:pt idx="24">
                  <c:v>39.861800000000002</c:v>
                </c:pt>
                <c:pt idx="25">
                  <c:v>40.268900000000002</c:v>
                </c:pt>
                <c:pt idx="26">
                  <c:v>40.6736</c:v>
                </c:pt>
                <c:pt idx="27">
                  <c:v>41.078499999999998</c:v>
                </c:pt>
                <c:pt idx="28">
                  <c:v>41.483499999999999</c:v>
                </c:pt>
                <c:pt idx="29">
                  <c:v>41.891399999999997</c:v>
                </c:pt>
                <c:pt idx="30">
                  <c:v>42.299300000000002</c:v>
                </c:pt>
                <c:pt idx="31">
                  <c:v>42.708199999999998</c:v>
                </c:pt>
                <c:pt idx="32">
                  <c:v>43.1081</c:v>
                </c:pt>
                <c:pt idx="33">
                  <c:v>43.515999999999998</c:v>
                </c:pt>
                <c:pt idx="34">
                  <c:v>43.920999999999999</c:v>
                </c:pt>
                <c:pt idx="35">
                  <c:v>44.327300000000001</c:v>
                </c:pt>
                <c:pt idx="36">
                  <c:v>44.734900000000003</c:v>
                </c:pt>
                <c:pt idx="37">
                  <c:v>45.1387</c:v>
                </c:pt>
                <c:pt idx="38">
                  <c:v>45.550600000000003</c:v>
                </c:pt>
                <c:pt idx="39">
                  <c:v>45.955399999999997</c:v>
                </c:pt>
                <c:pt idx="40">
                  <c:v>46.359400000000001</c:v>
                </c:pt>
                <c:pt idx="41">
                  <c:v>46.765500000000003</c:v>
                </c:pt>
                <c:pt idx="42">
                  <c:v>47.170299999999997</c:v>
                </c:pt>
                <c:pt idx="43">
                  <c:v>47.582299999999996</c:v>
                </c:pt>
                <c:pt idx="44">
                  <c:v>47.9861</c:v>
                </c:pt>
                <c:pt idx="45">
                  <c:v>48.387999999999998</c:v>
                </c:pt>
                <c:pt idx="46">
                  <c:v>48.793799999999997</c:v>
                </c:pt>
                <c:pt idx="47">
                  <c:v>49.201900000000002</c:v>
                </c:pt>
                <c:pt idx="48">
                  <c:v>49.610700000000001</c:v>
                </c:pt>
                <c:pt idx="49">
                  <c:v>50.0167</c:v>
                </c:pt>
                <c:pt idx="50">
                  <c:v>50.422600000000003</c:v>
                </c:pt>
                <c:pt idx="51">
                  <c:v>50.827500000000001</c:v>
                </c:pt>
                <c:pt idx="52">
                  <c:v>51.2318</c:v>
                </c:pt>
                <c:pt idx="53">
                  <c:v>51.644300000000001</c:v>
                </c:pt>
                <c:pt idx="54">
                  <c:v>52.052199999999999</c:v>
                </c:pt>
                <c:pt idx="55">
                  <c:v>52.451099999999997</c:v>
                </c:pt>
                <c:pt idx="56">
                  <c:v>52.861400000000003</c:v>
                </c:pt>
                <c:pt idx="57">
                  <c:v>53.262599999999999</c:v>
                </c:pt>
                <c:pt idx="58">
                  <c:v>53.668900000000001</c:v>
                </c:pt>
                <c:pt idx="59">
                  <c:v>54.082500000000003</c:v>
                </c:pt>
                <c:pt idx="60">
                  <c:v>54.482700000000001</c:v>
                </c:pt>
                <c:pt idx="61">
                  <c:v>54.889600000000002</c:v>
                </c:pt>
                <c:pt idx="62">
                  <c:v>55.295099999999998</c:v>
                </c:pt>
                <c:pt idx="63">
                  <c:v>55.700600000000001</c:v>
                </c:pt>
                <c:pt idx="64">
                  <c:v>56.111699999999999</c:v>
                </c:pt>
                <c:pt idx="65">
                  <c:v>56.515300000000003</c:v>
                </c:pt>
                <c:pt idx="66">
                  <c:v>56.924199999999999</c:v>
                </c:pt>
                <c:pt idx="67">
                  <c:v>57.326099999999997</c:v>
                </c:pt>
                <c:pt idx="68">
                  <c:v>57.735999999999997</c:v>
                </c:pt>
                <c:pt idx="69">
                  <c:v>58.139899999999997</c:v>
                </c:pt>
                <c:pt idx="70">
                  <c:v>58.5488</c:v>
                </c:pt>
                <c:pt idx="71">
                  <c:v>58.951700000000002</c:v>
                </c:pt>
                <c:pt idx="72">
                  <c:v>59.361699999999999</c:v>
                </c:pt>
                <c:pt idx="73">
                  <c:v>59.768500000000003</c:v>
                </c:pt>
                <c:pt idx="74">
                  <c:v>60.169400000000003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54.870300000000007</c:v>
                </c:pt>
                <c:pt idx="1">
                  <c:v>54.777000000000001</c:v>
                </c:pt>
                <c:pt idx="2">
                  <c:v>54.654599999999995</c:v>
                </c:pt>
                <c:pt idx="3">
                  <c:v>54.514600000000002</c:v>
                </c:pt>
                <c:pt idx="4">
                  <c:v>54.349199999999996</c:v>
                </c:pt>
                <c:pt idx="5">
                  <c:v>54.120199999999997</c:v>
                </c:pt>
                <c:pt idx="6">
                  <c:v>53.905200000000001</c:v>
                </c:pt>
                <c:pt idx="7">
                  <c:v>53.756800000000005</c:v>
                </c:pt>
                <c:pt idx="8">
                  <c:v>53.646599999999999</c:v>
                </c:pt>
                <c:pt idx="9">
                  <c:v>53.572399999999995</c:v>
                </c:pt>
                <c:pt idx="10">
                  <c:v>53.517099999999992</c:v>
                </c:pt>
                <c:pt idx="11">
                  <c:v>53.4617</c:v>
                </c:pt>
                <c:pt idx="12">
                  <c:v>53.387900000000002</c:v>
                </c:pt>
                <c:pt idx="13">
                  <c:v>53.259199999999993</c:v>
                </c:pt>
                <c:pt idx="14">
                  <c:v>53.186900000000001</c:v>
                </c:pt>
                <c:pt idx="15">
                  <c:v>53.16</c:v>
                </c:pt>
                <c:pt idx="16">
                  <c:v>53.117999999999995</c:v>
                </c:pt>
                <c:pt idx="17">
                  <c:v>52.990200000000002</c:v>
                </c:pt>
                <c:pt idx="18">
                  <c:v>52.856999999999999</c:v>
                </c:pt>
                <c:pt idx="19">
                  <c:v>52.724899999999998</c:v>
                </c:pt>
                <c:pt idx="20">
                  <c:v>52.572399999999995</c:v>
                </c:pt>
                <c:pt idx="21">
                  <c:v>52.482700000000001</c:v>
                </c:pt>
                <c:pt idx="22">
                  <c:v>52.436000000000007</c:v>
                </c:pt>
                <c:pt idx="23">
                  <c:v>52.466799999999999</c:v>
                </c:pt>
                <c:pt idx="24">
                  <c:v>52.501699999999992</c:v>
                </c:pt>
                <c:pt idx="25">
                  <c:v>52.534000000000006</c:v>
                </c:pt>
                <c:pt idx="26">
                  <c:v>52.5139</c:v>
                </c:pt>
                <c:pt idx="27">
                  <c:v>52.435900000000004</c:v>
                </c:pt>
                <c:pt idx="28">
                  <c:v>52.365099999999998</c:v>
                </c:pt>
                <c:pt idx="29">
                  <c:v>52.238600000000005</c:v>
                </c:pt>
                <c:pt idx="30">
                  <c:v>52.018000000000001</c:v>
                </c:pt>
                <c:pt idx="31">
                  <c:v>51.716099999999997</c:v>
                </c:pt>
                <c:pt idx="32">
                  <c:v>51.366100000000003</c:v>
                </c:pt>
                <c:pt idx="33">
                  <c:v>51.007899999999992</c:v>
                </c:pt>
                <c:pt idx="34">
                  <c:v>50.767899999999997</c:v>
                </c:pt>
                <c:pt idx="35">
                  <c:v>50.642499999999998</c:v>
                </c:pt>
                <c:pt idx="36">
                  <c:v>50.620299999999993</c:v>
                </c:pt>
                <c:pt idx="37">
                  <c:v>50.631999999999998</c:v>
                </c:pt>
                <c:pt idx="38">
                  <c:v>50.653099999999995</c:v>
                </c:pt>
                <c:pt idx="39">
                  <c:v>50.734500000000004</c:v>
                </c:pt>
                <c:pt idx="40">
                  <c:v>50.828700000000005</c:v>
                </c:pt>
                <c:pt idx="41">
                  <c:v>50.937800000000003</c:v>
                </c:pt>
                <c:pt idx="42">
                  <c:v>51.0837</c:v>
                </c:pt>
                <c:pt idx="43">
                  <c:v>51.227199999999996</c:v>
                </c:pt>
                <c:pt idx="44">
                  <c:v>51.356199999999994</c:v>
                </c:pt>
                <c:pt idx="45">
                  <c:v>51.4786</c:v>
                </c:pt>
                <c:pt idx="46">
                  <c:v>51.564799999999998</c:v>
                </c:pt>
                <c:pt idx="47">
                  <c:v>51.638500000000001</c:v>
                </c:pt>
                <c:pt idx="48">
                  <c:v>51.709099999999999</c:v>
                </c:pt>
                <c:pt idx="49">
                  <c:v>51.797699999999999</c:v>
                </c:pt>
                <c:pt idx="50">
                  <c:v>51.873999999999995</c:v>
                </c:pt>
                <c:pt idx="51">
                  <c:v>51.933599999999998</c:v>
                </c:pt>
                <c:pt idx="52">
                  <c:v>52.022400000000005</c:v>
                </c:pt>
                <c:pt idx="53">
                  <c:v>52.125999999999998</c:v>
                </c:pt>
                <c:pt idx="54">
                  <c:v>52.2532</c:v>
                </c:pt>
                <c:pt idx="55">
                  <c:v>52.444500000000005</c:v>
                </c:pt>
                <c:pt idx="56">
                  <c:v>52.7316</c:v>
                </c:pt>
                <c:pt idx="57">
                  <c:v>53.1539</c:v>
                </c:pt>
                <c:pt idx="58">
                  <c:v>53.729300000000002</c:v>
                </c:pt>
                <c:pt idx="59">
                  <c:v>54.253799999999998</c:v>
                </c:pt>
                <c:pt idx="60">
                  <c:v>54.677399999999999</c:v>
                </c:pt>
                <c:pt idx="61">
                  <c:v>54.979399999999998</c:v>
                </c:pt>
                <c:pt idx="62">
                  <c:v>55.243200000000002</c:v>
                </c:pt>
                <c:pt idx="63">
                  <c:v>55.513500000000008</c:v>
                </c:pt>
                <c:pt idx="64">
                  <c:v>55.631500000000003</c:v>
                </c:pt>
                <c:pt idx="65">
                  <c:v>55.779999999999994</c:v>
                </c:pt>
                <c:pt idx="66">
                  <c:v>56.009500000000003</c:v>
                </c:pt>
                <c:pt idx="67">
                  <c:v>56.105700000000006</c:v>
                </c:pt>
                <c:pt idx="68">
                  <c:v>56.160600000000002</c:v>
                </c:pt>
                <c:pt idx="69">
                  <c:v>56.200200000000002</c:v>
                </c:pt>
                <c:pt idx="70">
                  <c:v>56.135599999999997</c:v>
                </c:pt>
                <c:pt idx="71">
                  <c:v>55.968600000000002</c:v>
                </c:pt>
                <c:pt idx="72">
                  <c:v>55.757100000000001</c:v>
                </c:pt>
                <c:pt idx="73">
                  <c:v>55.574199999999998</c:v>
                </c:pt>
                <c:pt idx="74">
                  <c:v>55.780300000000004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15.042350000000001</c:v>
                </c:pt>
                <c:pt idx="1">
                  <c:v>45.127050000000004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63.368568918918896</c:v>
                </c:pt>
                <c:pt idx="1">
                  <c:v>53.086708108108091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  <c:pt idx="75">
                  <c:v>2.8674100000000005</c:v>
                </c:pt>
                <c:pt idx="76">
                  <c:v>2.8850700000000002</c:v>
                </c:pt>
                <c:pt idx="77">
                  <c:v>2.90381</c:v>
                </c:pt>
                <c:pt idx="78">
                  <c:v>2.9248699999999999</c:v>
                </c:pt>
                <c:pt idx="79">
                  <c:v>2.9503900000000001</c:v>
                </c:pt>
                <c:pt idx="80">
                  <c:v>2.9784699999999997</c:v>
                </c:pt>
                <c:pt idx="81">
                  <c:v>3.0058099999999999</c:v>
                </c:pt>
                <c:pt idx="82">
                  <c:v>3.0327900000000003</c:v>
                </c:pt>
                <c:pt idx="83">
                  <c:v>3.0595499999999998</c:v>
                </c:pt>
                <c:pt idx="84">
                  <c:v>3.08602</c:v>
                </c:pt>
                <c:pt idx="85">
                  <c:v>3.1121100000000004</c:v>
                </c:pt>
                <c:pt idx="86">
                  <c:v>3.13863</c:v>
                </c:pt>
                <c:pt idx="87">
                  <c:v>3.1655899999999999</c:v>
                </c:pt>
                <c:pt idx="88">
                  <c:v>3.1888699999999996</c:v>
                </c:pt>
                <c:pt idx="89">
                  <c:v>3.2102199999999996</c:v>
                </c:pt>
                <c:pt idx="90">
                  <c:v>3.2326500000000005</c:v>
                </c:pt>
                <c:pt idx="91">
                  <c:v>3.2573400000000001</c:v>
                </c:pt>
                <c:pt idx="92">
                  <c:v>3.2815799999999999</c:v>
                </c:pt>
                <c:pt idx="93">
                  <c:v>3.3067899999999999</c:v>
                </c:pt>
                <c:pt idx="94">
                  <c:v>3.3331100000000005</c:v>
                </c:pt>
                <c:pt idx="95">
                  <c:v>3.3580999999999999</c:v>
                </c:pt>
                <c:pt idx="96">
                  <c:v>3.3843800000000002</c:v>
                </c:pt>
                <c:pt idx="97">
                  <c:v>3.4078399999999998</c:v>
                </c:pt>
                <c:pt idx="98">
                  <c:v>3.42896</c:v>
                </c:pt>
                <c:pt idx="99">
                  <c:v>3.4488999999999996</c:v>
                </c:pt>
                <c:pt idx="100">
                  <c:v>3.4674300000000002</c:v>
                </c:pt>
                <c:pt idx="101">
                  <c:v>3.4855799999999997</c:v>
                </c:pt>
                <c:pt idx="102">
                  <c:v>3.5031400000000001</c:v>
                </c:pt>
                <c:pt idx="103">
                  <c:v>3.5214600000000003</c:v>
                </c:pt>
                <c:pt idx="104">
                  <c:v>3.5432999999999999</c:v>
                </c:pt>
                <c:pt idx="105">
                  <c:v>3.5667999999999997</c:v>
                </c:pt>
                <c:pt idx="106">
                  <c:v>3.5929799999999998</c:v>
                </c:pt>
                <c:pt idx="107">
                  <c:v>3.62039</c:v>
                </c:pt>
                <c:pt idx="108">
                  <c:v>3.6451899999999999</c:v>
                </c:pt>
                <c:pt idx="109">
                  <c:v>3.6648300000000003</c:v>
                </c:pt>
                <c:pt idx="110">
                  <c:v>3.6794599999999997</c:v>
                </c:pt>
                <c:pt idx="111">
                  <c:v>3.68994</c:v>
                </c:pt>
                <c:pt idx="112">
                  <c:v>3.69665</c:v>
                </c:pt>
                <c:pt idx="113">
                  <c:v>3.70214</c:v>
                </c:pt>
                <c:pt idx="114">
                  <c:v>3.7087599999999998</c:v>
                </c:pt>
                <c:pt idx="115">
                  <c:v>3.7152600000000002</c:v>
                </c:pt>
                <c:pt idx="116">
                  <c:v>3.7156000000000002</c:v>
                </c:pt>
                <c:pt idx="117">
                  <c:v>3.7131099999999999</c:v>
                </c:pt>
                <c:pt idx="118">
                  <c:v>3.70797</c:v>
                </c:pt>
                <c:pt idx="119">
                  <c:v>3.6987999999999999</c:v>
                </c:pt>
                <c:pt idx="120">
                  <c:v>3.6885300000000001</c:v>
                </c:pt>
                <c:pt idx="121">
                  <c:v>3.6775000000000002</c:v>
                </c:pt>
                <c:pt idx="122">
                  <c:v>3.66927</c:v>
                </c:pt>
                <c:pt idx="123">
                  <c:v>3.6620499999999998</c:v>
                </c:pt>
                <c:pt idx="124">
                  <c:v>3.6601099999999995</c:v>
                </c:pt>
                <c:pt idx="125">
                  <c:v>3.6636500000000001</c:v>
                </c:pt>
                <c:pt idx="126">
                  <c:v>3.66595</c:v>
                </c:pt>
                <c:pt idx="127">
                  <c:v>3.6676799999999998</c:v>
                </c:pt>
                <c:pt idx="128">
                  <c:v>3.6660199999999996</c:v>
                </c:pt>
                <c:pt idx="129">
                  <c:v>3.65632</c:v>
                </c:pt>
                <c:pt idx="130">
                  <c:v>3.6405599999999998</c:v>
                </c:pt>
                <c:pt idx="131">
                  <c:v>3.6187900000000002</c:v>
                </c:pt>
                <c:pt idx="132">
                  <c:v>3.5915699999999999</c:v>
                </c:pt>
                <c:pt idx="133">
                  <c:v>3.5632599999999996</c:v>
                </c:pt>
                <c:pt idx="134">
                  <c:v>3.5385400000000002</c:v>
                </c:pt>
                <c:pt idx="135">
                  <c:v>3.5192800000000002</c:v>
                </c:pt>
                <c:pt idx="136">
                  <c:v>3.5039100000000003</c:v>
                </c:pt>
                <c:pt idx="137">
                  <c:v>3.4903400000000002</c:v>
                </c:pt>
                <c:pt idx="138">
                  <c:v>3.4799000000000002</c:v>
                </c:pt>
                <c:pt idx="139">
                  <c:v>3.4654400000000001</c:v>
                </c:pt>
                <c:pt idx="140">
                  <c:v>3.4443899999999998</c:v>
                </c:pt>
                <c:pt idx="141">
                  <c:v>3.4279500000000001</c:v>
                </c:pt>
                <c:pt idx="142">
                  <c:v>3.4125800000000002</c:v>
                </c:pt>
                <c:pt idx="143">
                  <c:v>3.3992599999999999</c:v>
                </c:pt>
                <c:pt idx="144">
                  <c:v>3.3932600000000002</c:v>
                </c:pt>
                <c:pt idx="145">
                  <c:v>3.3958300000000001</c:v>
                </c:pt>
                <c:pt idx="146">
                  <c:v>3.4030899999999997</c:v>
                </c:pt>
                <c:pt idx="147">
                  <c:v>3.3990900000000002</c:v>
                </c:pt>
                <c:pt idx="148">
                  <c:v>3.38063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  <c:pt idx="75">
                  <c:v>54.777000000000001</c:v>
                </c:pt>
                <c:pt idx="76">
                  <c:v>54.654599999999995</c:v>
                </c:pt>
                <c:pt idx="77">
                  <c:v>54.514600000000002</c:v>
                </c:pt>
                <c:pt idx="78">
                  <c:v>54.349199999999996</c:v>
                </c:pt>
                <c:pt idx="79">
                  <c:v>54.120199999999997</c:v>
                </c:pt>
                <c:pt idx="80">
                  <c:v>53.905200000000001</c:v>
                </c:pt>
                <c:pt idx="81">
                  <c:v>53.756800000000005</c:v>
                </c:pt>
                <c:pt idx="82">
                  <c:v>53.646599999999999</c:v>
                </c:pt>
                <c:pt idx="83">
                  <c:v>53.572399999999995</c:v>
                </c:pt>
                <c:pt idx="84">
                  <c:v>53.517099999999992</c:v>
                </c:pt>
                <c:pt idx="85">
                  <c:v>53.4617</c:v>
                </c:pt>
                <c:pt idx="86">
                  <c:v>53.387900000000002</c:v>
                </c:pt>
                <c:pt idx="87">
                  <c:v>53.259199999999993</c:v>
                </c:pt>
                <c:pt idx="88">
                  <c:v>53.186900000000001</c:v>
                </c:pt>
                <c:pt idx="89">
                  <c:v>53.16</c:v>
                </c:pt>
                <c:pt idx="90">
                  <c:v>53.117999999999995</c:v>
                </c:pt>
                <c:pt idx="91">
                  <c:v>52.990200000000002</c:v>
                </c:pt>
                <c:pt idx="92">
                  <c:v>52.856999999999999</c:v>
                </c:pt>
                <c:pt idx="93">
                  <c:v>52.724899999999998</c:v>
                </c:pt>
                <c:pt idx="94">
                  <c:v>52.572399999999995</c:v>
                </c:pt>
                <c:pt idx="95">
                  <c:v>52.482700000000001</c:v>
                </c:pt>
                <c:pt idx="96">
                  <c:v>52.436000000000007</c:v>
                </c:pt>
                <c:pt idx="97">
                  <c:v>52.466799999999999</c:v>
                </c:pt>
                <c:pt idx="98">
                  <c:v>52.501699999999992</c:v>
                </c:pt>
                <c:pt idx="99">
                  <c:v>52.534000000000006</c:v>
                </c:pt>
                <c:pt idx="100">
                  <c:v>52.5139</c:v>
                </c:pt>
                <c:pt idx="101">
                  <c:v>52.435900000000004</c:v>
                </c:pt>
                <c:pt idx="102">
                  <c:v>52.365099999999998</c:v>
                </c:pt>
                <c:pt idx="103">
                  <c:v>52.238600000000005</c:v>
                </c:pt>
                <c:pt idx="104">
                  <c:v>52.018000000000001</c:v>
                </c:pt>
                <c:pt idx="105">
                  <c:v>51.716099999999997</c:v>
                </c:pt>
                <c:pt idx="106">
                  <c:v>51.366100000000003</c:v>
                </c:pt>
                <c:pt idx="107">
                  <c:v>51.007899999999992</c:v>
                </c:pt>
                <c:pt idx="108">
                  <c:v>50.767899999999997</c:v>
                </c:pt>
                <c:pt idx="109">
                  <c:v>50.642499999999998</c:v>
                </c:pt>
                <c:pt idx="110">
                  <c:v>50.620299999999993</c:v>
                </c:pt>
                <c:pt idx="111">
                  <c:v>50.631999999999998</c:v>
                </c:pt>
                <c:pt idx="112">
                  <c:v>50.653099999999995</c:v>
                </c:pt>
                <c:pt idx="113">
                  <c:v>50.734500000000004</c:v>
                </c:pt>
                <c:pt idx="114">
                  <c:v>50.828700000000005</c:v>
                </c:pt>
                <c:pt idx="115">
                  <c:v>50.937800000000003</c:v>
                </c:pt>
                <c:pt idx="116">
                  <c:v>51.0837</c:v>
                </c:pt>
                <c:pt idx="117">
                  <c:v>51.227199999999996</c:v>
                </c:pt>
                <c:pt idx="118">
                  <c:v>51.356199999999994</c:v>
                </c:pt>
                <c:pt idx="119">
                  <c:v>51.4786</c:v>
                </c:pt>
                <c:pt idx="120">
                  <c:v>51.564799999999998</c:v>
                </c:pt>
                <c:pt idx="121">
                  <c:v>51.638500000000001</c:v>
                </c:pt>
                <c:pt idx="122">
                  <c:v>51.709099999999999</c:v>
                </c:pt>
                <c:pt idx="123">
                  <c:v>51.797699999999999</c:v>
                </c:pt>
                <c:pt idx="124">
                  <c:v>51.873999999999995</c:v>
                </c:pt>
                <c:pt idx="125">
                  <c:v>51.933599999999998</c:v>
                </c:pt>
                <c:pt idx="126">
                  <c:v>52.022400000000005</c:v>
                </c:pt>
                <c:pt idx="127">
                  <c:v>52.125999999999998</c:v>
                </c:pt>
                <c:pt idx="128">
                  <c:v>52.2532</c:v>
                </c:pt>
                <c:pt idx="129">
                  <c:v>52.444500000000005</c:v>
                </c:pt>
                <c:pt idx="130">
                  <c:v>52.7316</c:v>
                </c:pt>
                <c:pt idx="131">
                  <c:v>53.1539</c:v>
                </c:pt>
                <c:pt idx="132">
                  <c:v>53.729300000000002</c:v>
                </c:pt>
                <c:pt idx="133">
                  <c:v>54.253799999999998</c:v>
                </c:pt>
                <c:pt idx="134">
                  <c:v>54.677399999999999</c:v>
                </c:pt>
                <c:pt idx="135">
                  <c:v>54.979399999999998</c:v>
                </c:pt>
                <c:pt idx="136">
                  <c:v>55.243200000000002</c:v>
                </c:pt>
                <c:pt idx="137">
                  <c:v>55.513500000000008</c:v>
                </c:pt>
                <c:pt idx="138">
                  <c:v>55.631500000000003</c:v>
                </c:pt>
                <c:pt idx="139">
                  <c:v>55.779999999999994</c:v>
                </c:pt>
                <c:pt idx="140">
                  <c:v>56.009500000000003</c:v>
                </c:pt>
                <c:pt idx="141">
                  <c:v>56.105700000000006</c:v>
                </c:pt>
                <c:pt idx="142">
                  <c:v>56.160600000000002</c:v>
                </c:pt>
                <c:pt idx="143">
                  <c:v>56.200200000000002</c:v>
                </c:pt>
                <c:pt idx="144">
                  <c:v>56.135599999999997</c:v>
                </c:pt>
                <c:pt idx="145">
                  <c:v>55.968600000000002</c:v>
                </c:pt>
                <c:pt idx="146">
                  <c:v>55.757100000000001</c:v>
                </c:pt>
                <c:pt idx="147">
                  <c:v>55.574199999999998</c:v>
                </c:pt>
                <c:pt idx="148">
                  <c:v>55.780300000000004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1.1573</c:v>
                </c:pt>
                <c:pt idx="1">
                  <c:v>1.1809500000000002</c:v>
                </c:pt>
                <c:pt idx="2">
                  <c:v>1.2087399999999999</c:v>
                </c:pt>
                <c:pt idx="3">
                  <c:v>1.2409699999999999</c:v>
                </c:pt>
                <c:pt idx="4">
                  <c:v>1.2761400000000001</c:v>
                </c:pt>
                <c:pt idx="5">
                  <c:v>1.31569</c:v>
                </c:pt>
                <c:pt idx="6">
                  <c:v>1.3568099999999998</c:v>
                </c:pt>
                <c:pt idx="7">
                  <c:v>1.3997799999999998</c:v>
                </c:pt>
                <c:pt idx="8">
                  <c:v>1.44421</c:v>
                </c:pt>
                <c:pt idx="9">
                  <c:v>1.48672</c:v>
                </c:pt>
                <c:pt idx="10">
                  <c:v>1.52948</c:v>
                </c:pt>
                <c:pt idx="11">
                  <c:v>1.57315</c:v>
                </c:pt>
                <c:pt idx="12">
                  <c:v>1.61572</c:v>
                </c:pt>
                <c:pt idx="13">
                  <c:v>1.6566100000000001</c:v>
                </c:pt>
                <c:pt idx="14">
                  <c:v>1.6962199999999998</c:v>
                </c:pt>
                <c:pt idx="15">
                  <c:v>1.7353499999999999</c:v>
                </c:pt>
                <c:pt idx="16">
                  <c:v>1.7737800000000001</c:v>
                </c:pt>
                <c:pt idx="17">
                  <c:v>1.81047</c:v>
                </c:pt>
                <c:pt idx="18">
                  <c:v>1.84659</c:v>
                </c:pt>
                <c:pt idx="19">
                  <c:v>1.8808400000000001</c:v>
                </c:pt>
                <c:pt idx="20">
                  <c:v>1.9125100000000002</c:v>
                </c:pt>
                <c:pt idx="21">
                  <c:v>1.94299</c:v>
                </c:pt>
                <c:pt idx="22">
                  <c:v>1.9720800000000001</c:v>
                </c:pt>
                <c:pt idx="23">
                  <c:v>1.9997599999999998</c:v>
                </c:pt>
                <c:pt idx="24">
                  <c:v>2.0264899999999999</c:v>
                </c:pt>
                <c:pt idx="25">
                  <c:v>2.0518000000000001</c:v>
                </c:pt>
                <c:pt idx="26">
                  <c:v>2.0752300000000004</c:v>
                </c:pt>
                <c:pt idx="27">
                  <c:v>2.0972499999999998</c:v>
                </c:pt>
                <c:pt idx="28">
                  <c:v>2.1176900000000001</c:v>
                </c:pt>
                <c:pt idx="29">
                  <c:v>2.1372299999999997</c:v>
                </c:pt>
                <c:pt idx="30">
                  <c:v>2.1543399999999999</c:v>
                </c:pt>
                <c:pt idx="31">
                  <c:v>2.17035</c:v>
                </c:pt>
                <c:pt idx="32">
                  <c:v>2.1863799999999998</c:v>
                </c:pt>
                <c:pt idx="33">
                  <c:v>2.2014900000000002</c:v>
                </c:pt>
                <c:pt idx="34">
                  <c:v>2.2195400000000003</c:v>
                </c:pt>
                <c:pt idx="35">
                  <c:v>2.2371699999999999</c:v>
                </c:pt>
                <c:pt idx="36">
                  <c:v>2.2522500000000001</c:v>
                </c:pt>
                <c:pt idx="37">
                  <c:v>2.2659099999999999</c:v>
                </c:pt>
                <c:pt idx="38">
                  <c:v>2.2802099999999998</c:v>
                </c:pt>
                <c:pt idx="39">
                  <c:v>2.2946300000000002</c:v>
                </c:pt>
                <c:pt idx="40">
                  <c:v>2.3082500000000001</c:v>
                </c:pt>
                <c:pt idx="41">
                  <c:v>2.3201999999999998</c:v>
                </c:pt>
                <c:pt idx="42">
                  <c:v>2.3319799999999997</c:v>
                </c:pt>
                <c:pt idx="43">
                  <c:v>2.34273</c:v>
                </c:pt>
                <c:pt idx="44">
                  <c:v>2.3534199999999998</c:v>
                </c:pt>
                <c:pt idx="45">
                  <c:v>2.3657599999999999</c:v>
                </c:pt>
                <c:pt idx="46">
                  <c:v>2.37845</c:v>
                </c:pt>
                <c:pt idx="47">
                  <c:v>2.39141</c:v>
                </c:pt>
                <c:pt idx="48">
                  <c:v>2.4079100000000002</c:v>
                </c:pt>
                <c:pt idx="49">
                  <c:v>2.42774</c:v>
                </c:pt>
                <c:pt idx="50">
                  <c:v>2.44272</c:v>
                </c:pt>
                <c:pt idx="51">
                  <c:v>2.4623400000000002</c:v>
                </c:pt>
                <c:pt idx="52">
                  <c:v>2.48014</c:v>
                </c:pt>
                <c:pt idx="53">
                  <c:v>2.4986700000000002</c:v>
                </c:pt>
                <c:pt idx="54">
                  <c:v>2.5166899999999996</c:v>
                </c:pt>
                <c:pt idx="55">
                  <c:v>2.5331700000000001</c:v>
                </c:pt>
                <c:pt idx="56">
                  <c:v>2.5489800000000002</c:v>
                </c:pt>
                <c:pt idx="57">
                  <c:v>2.5634299999999999</c:v>
                </c:pt>
                <c:pt idx="58">
                  <c:v>2.5773600000000001</c:v>
                </c:pt>
                <c:pt idx="59">
                  <c:v>2.59056</c:v>
                </c:pt>
                <c:pt idx="60">
                  <c:v>2.6039099999999999</c:v>
                </c:pt>
                <c:pt idx="61">
                  <c:v>2.6172599999999999</c:v>
                </c:pt>
                <c:pt idx="62">
                  <c:v>2.6333099999999998</c:v>
                </c:pt>
                <c:pt idx="63">
                  <c:v>2.6503500000000004</c:v>
                </c:pt>
                <c:pt idx="64">
                  <c:v>2.6692999999999998</c:v>
                </c:pt>
                <c:pt idx="65">
                  <c:v>2.6878200000000003</c:v>
                </c:pt>
                <c:pt idx="66">
                  <c:v>2.7063799999999998</c:v>
                </c:pt>
                <c:pt idx="67">
                  <c:v>2.7270499999999998</c:v>
                </c:pt>
                <c:pt idx="68">
                  <c:v>2.7479100000000001</c:v>
                </c:pt>
                <c:pt idx="69">
                  <c:v>2.7683900000000001</c:v>
                </c:pt>
                <c:pt idx="70">
                  <c:v>2.7888400000000004</c:v>
                </c:pt>
                <c:pt idx="71">
                  <c:v>2.80661</c:v>
                </c:pt>
                <c:pt idx="72">
                  <c:v>2.8232499999999998</c:v>
                </c:pt>
                <c:pt idx="73">
                  <c:v>2.8379300000000001</c:v>
                </c:pt>
                <c:pt idx="74">
                  <c:v>2.8505000000000003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76.609499999999997</c:v>
                </c:pt>
                <c:pt idx="1">
                  <c:v>76.090899999999991</c:v>
                </c:pt>
                <c:pt idx="2">
                  <c:v>75.369900000000001</c:v>
                </c:pt>
                <c:pt idx="3">
                  <c:v>74.506600000000006</c:v>
                </c:pt>
                <c:pt idx="4">
                  <c:v>73.584699999999998</c:v>
                </c:pt>
                <c:pt idx="5">
                  <c:v>72.517799999999994</c:v>
                </c:pt>
                <c:pt idx="6">
                  <c:v>71.419200000000004</c:v>
                </c:pt>
                <c:pt idx="7">
                  <c:v>70.331600000000009</c:v>
                </c:pt>
                <c:pt idx="8">
                  <c:v>69.252700000000004</c:v>
                </c:pt>
                <c:pt idx="9">
                  <c:v>68.357100000000003</c:v>
                </c:pt>
                <c:pt idx="10">
                  <c:v>67.5184</c:v>
                </c:pt>
                <c:pt idx="11">
                  <c:v>66.710700000000003</c:v>
                </c:pt>
                <c:pt idx="12">
                  <c:v>65.995899999999992</c:v>
                </c:pt>
                <c:pt idx="13">
                  <c:v>65.424999999999997</c:v>
                </c:pt>
                <c:pt idx="14">
                  <c:v>64.962600000000009</c:v>
                </c:pt>
                <c:pt idx="15">
                  <c:v>64.573499999999996</c:v>
                </c:pt>
                <c:pt idx="16">
                  <c:v>64.254199999999997</c:v>
                </c:pt>
                <c:pt idx="17">
                  <c:v>64.045000000000002</c:v>
                </c:pt>
                <c:pt idx="18">
                  <c:v>63.895000000000003</c:v>
                </c:pt>
                <c:pt idx="19">
                  <c:v>63.8508</c:v>
                </c:pt>
                <c:pt idx="20">
                  <c:v>63.922999999999995</c:v>
                </c:pt>
                <c:pt idx="21">
                  <c:v>64.046700000000001</c:v>
                </c:pt>
                <c:pt idx="22">
                  <c:v>64.216799999999992</c:v>
                </c:pt>
                <c:pt idx="23">
                  <c:v>64.443899999999999</c:v>
                </c:pt>
                <c:pt idx="24">
                  <c:v>64.709800000000001</c:v>
                </c:pt>
                <c:pt idx="25">
                  <c:v>64.950699999999998</c:v>
                </c:pt>
                <c:pt idx="26">
                  <c:v>65.125799999999998</c:v>
                </c:pt>
                <c:pt idx="27">
                  <c:v>65.241700000000009</c:v>
                </c:pt>
                <c:pt idx="28">
                  <c:v>65.275000000000006</c:v>
                </c:pt>
                <c:pt idx="29">
                  <c:v>65.241399999999999</c:v>
                </c:pt>
                <c:pt idx="30">
                  <c:v>65.147300000000001</c:v>
                </c:pt>
                <c:pt idx="31">
                  <c:v>65.035399999999996</c:v>
                </c:pt>
                <c:pt idx="32">
                  <c:v>64.878699999999995</c:v>
                </c:pt>
                <c:pt idx="33">
                  <c:v>64.706299999999999</c:v>
                </c:pt>
                <c:pt idx="34">
                  <c:v>64.463899999999995</c:v>
                </c:pt>
                <c:pt idx="35">
                  <c:v>64.238399999999999</c:v>
                </c:pt>
                <c:pt idx="36">
                  <c:v>64.063099999999991</c:v>
                </c:pt>
                <c:pt idx="37">
                  <c:v>63.945599999999999</c:v>
                </c:pt>
                <c:pt idx="38">
                  <c:v>63.802999999999997</c:v>
                </c:pt>
                <c:pt idx="39">
                  <c:v>63.659299999999995</c:v>
                </c:pt>
                <c:pt idx="40">
                  <c:v>63.5182</c:v>
                </c:pt>
                <c:pt idx="41">
                  <c:v>63.407000000000004</c:v>
                </c:pt>
                <c:pt idx="42">
                  <c:v>63.297099999999993</c:v>
                </c:pt>
                <c:pt idx="43">
                  <c:v>63.173299999999998</c:v>
                </c:pt>
                <c:pt idx="44">
                  <c:v>63.030699999999996</c:v>
                </c:pt>
                <c:pt idx="45">
                  <c:v>62.844299999999997</c:v>
                </c:pt>
                <c:pt idx="46">
                  <c:v>62.641199999999998</c:v>
                </c:pt>
                <c:pt idx="47">
                  <c:v>62.435099999999998</c:v>
                </c:pt>
                <c:pt idx="48">
                  <c:v>62.139900000000004</c:v>
                </c:pt>
                <c:pt idx="49">
                  <c:v>61.781799999999997</c:v>
                </c:pt>
                <c:pt idx="50">
                  <c:v>61.568800000000003</c:v>
                </c:pt>
                <c:pt idx="51">
                  <c:v>61.252700000000004</c:v>
                </c:pt>
                <c:pt idx="52">
                  <c:v>60.994899999999994</c:v>
                </c:pt>
                <c:pt idx="53">
                  <c:v>60.689899999999994</c:v>
                </c:pt>
                <c:pt idx="54">
                  <c:v>60.365100000000005</c:v>
                </c:pt>
                <c:pt idx="55">
                  <c:v>60.089300000000001</c:v>
                </c:pt>
                <c:pt idx="56">
                  <c:v>59.805399999999999</c:v>
                </c:pt>
                <c:pt idx="57">
                  <c:v>59.514500000000005</c:v>
                </c:pt>
                <c:pt idx="58">
                  <c:v>59.218699999999998</c:v>
                </c:pt>
                <c:pt idx="59">
                  <c:v>58.863100000000003</c:v>
                </c:pt>
                <c:pt idx="60">
                  <c:v>58.478499999999997</c:v>
                </c:pt>
                <c:pt idx="61">
                  <c:v>58.121999999999993</c:v>
                </c:pt>
                <c:pt idx="62">
                  <c:v>57.725300000000004</c:v>
                </c:pt>
                <c:pt idx="63">
                  <c:v>57.328900000000004</c:v>
                </c:pt>
                <c:pt idx="64">
                  <c:v>56.909200000000006</c:v>
                </c:pt>
                <c:pt idx="65">
                  <c:v>56.535599999999995</c:v>
                </c:pt>
                <c:pt idx="66">
                  <c:v>56.212700000000005</c:v>
                </c:pt>
                <c:pt idx="67">
                  <c:v>55.864400000000003</c:v>
                </c:pt>
                <c:pt idx="68">
                  <c:v>55.562400000000004</c:v>
                </c:pt>
                <c:pt idx="69">
                  <c:v>55.335100000000004</c:v>
                </c:pt>
                <c:pt idx="70">
                  <c:v>55.157500000000006</c:v>
                </c:pt>
                <c:pt idx="71">
                  <c:v>55.069400000000002</c:v>
                </c:pt>
                <c:pt idx="72">
                  <c:v>55.008100000000006</c:v>
                </c:pt>
                <c:pt idx="73">
                  <c:v>54.947100000000006</c:v>
                </c:pt>
                <c:pt idx="74">
                  <c:v>54.870300000000007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2.8505000000000003</c:v>
                </c:pt>
                <c:pt idx="1">
                  <c:v>2.8674100000000005</c:v>
                </c:pt>
                <c:pt idx="2">
                  <c:v>2.8850700000000002</c:v>
                </c:pt>
                <c:pt idx="3">
                  <c:v>2.90381</c:v>
                </c:pt>
                <c:pt idx="4">
                  <c:v>2.9248699999999999</c:v>
                </c:pt>
                <c:pt idx="5">
                  <c:v>2.9503900000000001</c:v>
                </c:pt>
                <c:pt idx="6">
                  <c:v>2.9784699999999997</c:v>
                </c:pt>
                <c:pt idx="7">
                  <c:v>3.0058099999999999</c:v>
                </c:pt>
                <c:pt idx="8">
                  <c:v>3.0327900000000003</c:v>
                </c:pt>
                <c:pt idx="9">
                  <c:v>3.0595499999999998</c:v>
                </c:pt>
                <c:pt idx="10">
                  <c:v>3.08602</c:v>
                </c:pt>
                <c:pt idx="11">
                  <c:v>3.1121100000000004</c:v>
                </c:pt>
                <c:pt idx="12">
                  <c:v>3.13863</c:v>
                </c:pt>
                <c:pt idx="13">
                  <c:v>3.1655899999999999</c:v>
                </c:pt>
                <c:pt idx="14">
                  <c:v>3.1888699999999996</c:v>
                </c:pt>
                <c:pt idx="15">
                  <c:v>3.2102199999999996</c:v>
                </c:pt>
                <c:pt idx="16">
                  <c:v>3.2326500000000005</c:v>
                </c:pt>
                <c:pt idx="17">
                  <c:v>3.2573400000000001</c:v>
                </c:pt>
                <c:pt idx="18">
                  <c:v>3.2815799999999999</c:v>
                </c:pt>
                <c:pt idx="19">
                  <c:v>3.3067899999999999</c:v>
                </c:pt>
                <c:pt idx="20">
                  <c:v>3.3331100000000005</c:v>
                </c:pt>
                <c:pt idx="21">
                  <c:v>3.3580999999999999</c:v>
                </c:pt>
                <c:pt idx="22">
                  <c:v>3.3843800000000002</c:v>
                </c:pt>
                <c:pt idx="23">
                  <c:v>3.4078399999999998</c:v>
                </c:pt>
                <c:pt idx="24">
                  <c:v>3.42896</c:v>
                </c:pt>
                <c:pt idx="25">
                  <c:v>3.4488999999999996</c:v>
                </c:pt>
                <c:pt idx="26">
                  <c:v>3.4674300000000002</c:v>
                </c:pt>
                <c:pt idx="27">
                  <c:v>3.4855799999999997</c:v>
                </c:pt>
                <c:pt idx="28">
                  <c:v>3.5031400000000001</c:v>
                </c:pt>
                <c:pt idx="29">
                  <c:v>3.5214600000000003</c:v>
                </c:pt>
                <c:pt idx="30">
                  <c:v>3.5432999999999999</c:v>
                </c:pt>
                <c:pt idx="31">
                  <c:v>3.5667999999999997</c:v>
                </c:pt>
                <c:pt idx="32">
                  <c:v>3.5929799999999998</c:v>
                </c:pt>
                <c:pt idx="33">
                  <c:v>3.62039</c:v>
                </c:pt>
                <c:pt idx="34">
                  <c:v>3.6451899999999999</c:v>
                </c:pt>
                <c:pt idx="35">
                  <c:v>3.6648300000000003</c:v>
                </c:pt>
                <c:pt idx="36">
                  <c:v>3.6794599999999997</c:v>
                </c:pt>
                <c:pt idx="37">
                  <c:v>3.68994</c:v>
                </c:pt>
                <c:pt idx="38">
                  <c:v>3.69665</c:v>
                </c:pt>
                <c:pt idx="39">
                  <c:v>3.70214</c:v>
                </c:pt>
                <c:pt idx="40">
                  <c:v>3.7087599999999998</c:v>
                </c:pt>
                <c:pt idx="41">
                  <c:v>3.7152600000000002</c:v>
                </c:pt>
                <c:pt idx="42">
                  <c:v>3.7156000000000002</c:v>
                </c:pt>
                <c:pt idx="43">
                  <c:v>3.7131099999999999</c:v>
                </c:pt>
                <c:pt idx="44">
                  <c:v>3.70797</c:v>
                </c:pt>
                <c:pt idx="45">
                  <c:v>3.6987999999999999</c:v>
                </c:pt>
                <c:pt idx="46">
                  <c:v>3.6885300000000001</c:v>
                </c:pt>
                <c:pt idx="47">
                  <c:v>3.6775000000000002</c:v>
                </c:pt>
                <c:pt idx="48">
                  <c:v>3.66927</c:v>
                </c:pt>
                <c:pt idx="49">
                  <c:v>3.6620499999999998</c:v>
                </c:pt>
                <c:pt idx="50">
                  <c:v>3.6601099999999995</c:v>
                </c:pt>
                <c:pt idx="51">
                  <c:v>3.6636500000000001</c:v>
                </c:pt>
                <c:pt idx="52">
                  <c:v>3.66595</c:v>
                </c:pt>
                <c:pt idx="53">
                  <c:v>3.6676799999999998</c:v>
                </c:pt>
                <c:pt idx="54">
                  <c:v>3.6660199999999996</c:v>
                </c:pt>
                <c:pt idx="55">
                  <c:v>3.65632</c:v>
                </c:pt>
                <c:pt idx="56">
                  <c:v>3.6405599999999998</c:v>
                </c:pt>
                <c:pt idx="57">
                  <c:v>3.6187900000000002</c:v>
                </c:pt>
                <c:pt idx="58">
                  <c:v>3.5915699999999999</c:v>
                </c:pt>
                <c:pt idx="59">
                  <c:v>3.5632599999999996</c:v>
                </c:pt>
                <c:pt idx="60">
                  <c:v>3.5385400000000002</c:v>
                </c:pt>
                <c:pt idx="61">
                  <c:v>3.5192800000000002</c:v>
                </c:pt>
                <c:pt idx="62">
                  <c:v>3.5039100000000003</c:v>
                </c:pt>
                <c:pt idx="63">
                  <c:v>3.4903400000000002</c:v>
                </c:pt>
                <c:pt idx="64">
                  <c:v>3.4799000000000002</c:v>
                </c:pt>
                <c:pt idx="65">
                  <c:v>3.4654400000000001</c:v>
                </c:pt>
                <c:pt idx="66">
                  <c:v>3.4443899999999998</c:v>
                </c:pt>
                <c:pt idx="67">
                  <c:v>3.4279500000000001</c:v>
                </c:pt>
                <c:pt idx="68">
                  <c:v>3.4125800000000002</c:v>
                </c:pt>
                <c:pt idx="69">
                  <c:v>3.3992599999999999</c:v>
                </c:pt>
                <c:pt idx="70">
                  <c:v>3.3932600000000002</c:v>
                </c:pt>
                <c:pt idx="71">
                  <c:v>3.3958300000000001</c:v>
                </c:pt>
                <c:pt idx="72">
                  <c:v>3.4030899999999997</c:v>
                </c:pt>
                <c:pt idx="73">
                  <c:v>3.3990900000000002</c:v>
                </c:pt>
                <c:pt idx="74">
                  <c:v>3.38063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54.870300000000007</c:v>
                </c:pt>
                <c:pt idx="1">
                  <c:v>54.777000000000001</c:v>
                </c:pt>
                <c:pt idx="2">
                  <c:v>54.654599999999995</c:v>
                </c:pt>
                <c:pt idx="3">
                  <c:v>54.514600000000002</c:v>
                </c:pt>
                <c:pt idx="4">
                  <c:v>54.349199999999996</c:v>
                </c:pt>
                <c:pt idx="5">
                  <c:v>54.120199999999997</c:v>
                </c:pt>
                <c:pt idx="6">
                  <c:v>53.905200000000001</c:v>
                </c:pt>
                <c:pt idx="7">
                  <c:v>53.756800000000005</c:v>
                </c:pt>
                <c:pt idx="8">
                  <c:v>53.646599999999999</c:v>
                </c:pt>
                <c:pt idx="9">
                  <c:v>53.572399999999995</c:v>
                </c:pt>
                <c:pt idx="10">
                  <c:v>53.517099999999992</c:v>
                </c:pt>
                <c:pt idx="11">
                  <c:v>53.4617</c:v>
                </c:pt>
                <c:pt idx="12">
                  <c:v>53.387900000000002</c:v>
                </c:pt>
                <c:pt idx="13">
                  <c:v>53.259199999999993</c:v>
                </c:pt>
                <c:pt idx="14">
                  <c:v>53.186900000000001</c:v>
                </c:pt>
                <c:pt idx="15">
                  <c:v>53.16</c:v>
                </c:pt>
                <c:pt idx="16">
                  <c:v>53.117999999999995</c:v>
                </c:pt>
                <c:pt idx="17">
                  <c:v>52.990200000000002</c:v>
                </c:pt>
                <c:pt idx="18">
                  <c:v>52.856999999999999</c:v>
                </c:pt>
                <c:pt idx="19">
                  <c:v>52.724899999999998</c:v>
                </c:pt>
                <c:pt idx="20">
                  <c:v>52.572399999999995</c:v>
                </c:pt>
                <c:pt idx="21">
                  <c:v>52.482700000000001</c:v>
                </c:pt>
                <c:pt idx="22">
                  <c:v>52.436000000000007</c:v>
                </c:pt>
                <c:pt idx="23">
                  <c:v>52.466799999999999</c:v>
                </c:pt>
                <c:pt idx="24">
                  <c:v>52.501699999999992</c:v>
                </c:pt>
                <c:pt idx="25">
                  <c:v>52.534000000000006</c:v>
                </c:pt>
                <c:pt idx="26">
                  <c:v>52.5139</c:v>
                </c:pt>
                <c:pt idx="27">
                  <c:v>52.435900000000004</c:v>
                </c:pt>
                <c:pt idx="28">
                  <c:v>52.365099999999998</c:v>
                </c:pt>
                <c:pt idx="29">
                  <c:v>52.238600000000005</c:v>
                </c:pt>
                <c:pt idx="30">
                  <c:v>52.018000000000001</c:v>
                </c:pt>
                <c:pt idx="31">
                  <c:v>51.716099999999997</c:v>
                </c:pt>
                <c:pt idx="32">
                  <c:v>51.366100000000003</c:v>
                </c:pt>
                <c:pt idx="33">
                  <c:v>51.007899999999992</c:v>
                </c:pt>
                <c:pt idx="34">
                  <c:v>50.767899999999997</c:v>
                </c:pt>
                <c:pt idx="35">
                  <c:v>50.642499999999998</c:v>
                </c:pt>
                <c:pt idx="36">
                  <c:v>50.620299999999993</c:v>
                </c:pt>
                <c:pt idx="37">
                  <c:v>50.631999999999998</c:v>
                </c:pt>
                <c:pt idx="38">
                  <c:v>50.653099999999995</c:v>
                </c:pt>
                <c:pt idx="39">
                  <c:v>50.734500000000004</c:v>
                </c:pt>
                <c:pt idx="40">
                  <c:v>50.828700000000005</c:v>
                </c:pt>
                <c:pt idx="41">
                  <c:v>50.937800000000003</c:v>
                </c:pt>
                <c:pt idx="42">
                  <c:v>51.0837</c:v>
                </c:pt>
                <c:pt idx="43">
                  <c:v>51.227199999999996</c:v>
                </c:pt>
                <c:pt idx="44">
                  <c:v>51.356199999999994</c:v>
                </c:pt>
                <c:pt idx="45">
                  <c:v>51.4786</c:v>
                </c:pt>
                <c:pt idx="46">
                  <c:v>51.564799999999998</c:v>
                </c:pt>
                <c:pt idx="47">
                  <c:v>51.638500000000001</c:v>
                </c:pt>
                <c:pt idx="48">
                  <c:v>51.709099999999999</c:v>
                </c:pt>
                <c:pt idx="49">
                  <c:v>51.797699999999999</c:v>
                </c:pt>
                <c:pt idx="50">
                  <c:v>51.873999999999995</c:v>
                </c:pt>
                <c:pt idx="51">
                  <c:v>51.933599999999998</c:v>
                </c:pt>
                <c:pt idx="52">
                  <c:v>52.022400000000005</c:v>
                </c:pt>
                <c:pt idx="53">
                  <c:v>52.125999999999998</c:v>
                </c:pt>
                <c:pt idx="54">
                  <c:v>52.2532</c:v>
                </c:pt>
                <c:pt idx="55">
                  <c:v>52.444500000000005</c:v>
                </c:pt>
                <c:pt idx="56">
                  <c:v>52.7316</c:v>
                </c:pt>
                <c:pt idx="57">
                  <c:v>53.1539</c:v>
                </c:pt>
                <c:pt idx="58">
                  <c:v>53.729300000000002</c:v>
                </c:pt>
                <c:pt idx="59">
                  <c:v>54.253799999999998</c:v>
                </c:pt>
                <c:pt idx="60">
                  <c:v>54.677399999999999</c:v>
                </c:pt>
                <c:pt idx="61">
                  <c:v>54.979399999999998</c:v>
                </c:pt>
                <c:pt idx="62">
                  <c:v>55.243200000000002</c:v>
                </c:pt>
                <c:pt idx="63">
                  <c:v>55.513500000000008</c:v>
                </c:pt>
                <c:pt idx="64">
                  <c:v>55.631500000000003</c:v>
                </c:pt>
                <c:pt idx="65">
                  <c:v>55.779999999999994</c:v>
                </c:pt>
                <c:pt idx="66">
                  <c:v>56.009500000000003</c:v>
                </c:pt>
                <c:pt idx="67">
                  <c:v>56.105700000000006</c:v>
                </c:pt>
                <c:pt idx="68">
                  <c:v>56.160600000000002</c:v>
                </c:pt>
                <c:pt idx="69">
                  <c:v>56.200200000000002</c:v>
                </c:pt>
                <c:pt idx="70">
                  <c:v>56.135599999999997</c:v>
                </c:pt>
                <c:pt idx="71">
                  <c:v>55.968600000000002</c:v>
                </c:pt>
                <c:pt idx="72">
                  <c:v>55.757100000000001</c:v>
                </c:pt>
                <c:pt idx="73">
                  <c:v>55.574199999999998</c:v>
                </c:pt>
                <c:pt idx="74">
                  <c:v>55.780300000000004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1.1573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76.609499999999997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2.1579870270270267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63.368568918918896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3.4297658108108111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53.086708108108091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3.4297658108108111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53.086708108108091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518</v>
      </c>
      <c r="D5" s="191"/>
      <c r="E5" s="191"/>
      <c r="F5" s="192"/>
      <c r="G5" s="48" t="str">
        <f>lang!B27</f>
        <v>编号</v>
      </c>
      <c r="H5" s="190">
        <v>12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517</v>
      </c>
      <c r="D6" s="145"/>
      <c r="E6" s="145"/>
      <c r="F6" s="146"/>
      <c r="G6" s="49" t="str">
        <f>lang!B28</f>
        <v xml:space="preserve"> 日期</v>
      </c>
      <c r="H6" s="129">
        <f>FH_info!A2</f>
        <v>43608.405972222223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42</v>
      </c>
      <c r="D7" s="148"/>
      <c r="E7" s="148"/>
      <c r="F7" s="149"/>
      <c r="G7" s="50" t="str">
        <f>lang!B29</f>
        <v>误差率（%）</v>
      </c>
      <c r="H7" s="132">
        <f>M!B17*1</f>
        <v>25.359200000000001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28.169899999999998</v>
      </c>
      <c r="O8" s="59">
        <f>M!C5*1</f>
        <v>7.8489000000000004</v>
      </c>
      <c r="P8" s="59">
        <f>M!D5*1</f>
        <v>27.8628</v>
      </c>
      <c r="Q8" s="59">
        <f>M!E5*1</f>
        <v>20</v>
      </c>
      <c r="R8" s="59">
        <f>M!F5*1</f>
        <v>8.9546100000000006</v>
      </c>
      <c r="S8" s="59">
        <f>M!G5*1</f>
        <v>50</v>
      </c>
      <c r="T8" s="59">
        <f>M!H5*1</f>
        <v>40.874099999999999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26.504200000000001</v>
      </c>
      <c r="O9" s="59">
        <f>M!C6*1</f>
        <v>1.3001799999999999</v>
      </c>
      <c r="P9" s="59">
        <f>M!D6*1</f>
        <v>4.9055600000000004</v>
      </c>
      <c r="Q9" s="59">
        <f>M!E6*1</f>
        <v>20</v>
      </c>
      <c r="R9" s="59">
        <f>M!F6*1</f>
        <v>20.969200000000001</v>
      </c>
      <c r="S9" s="59">
        <f>M!G6*1</f>
        <v>40</v>
      </c>
      <c r="T9" s="59">
        <f>M!H6*1</f>
        <v>30.263999999999999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8.9546100000000006</v>
      </c>
      <c r="D10" s="99">
        <f>N8</f>
        <v>28.169899999999998</v>
      </c>
      <c r="E10" s="100">
        <f>T8</f>
        <v>40.874099999999999</v>
      </c>
      <c r="F10" s="91">
        <f>P8</f>
        <v>27.8628</v>
      </c>
      <c r="G10" s="81" t="str">
        <f>CONCATENATE(M9,"
(20 ~ 40)")</f>
        <v>压力
(20 ~ 40)</v>
      </c>
      <c r="H10" s="98">
        <f>R9</f>
        <v>20.969200000000001</v>
      </c>
      <c r="I10" s="108">
        <f>N9</f>
        <v>26.504200000000001</v>
      </c>
      <c r="J10" s="98">
        <f>T9</f>
        <v>30.263999999999999</v>
      </c>
      <c r="K10" s="92">
        <f>P9</f>
        <v>4.9055600000000004</v>
      </c>
      <c r="L10" s="6"/>
      <c r="M10" s="27" t="str">
        <f>lang!B16</f>
        <v>焦虑</v>
      </c>
      <c r="N10" s="59">
        <f>M!B7*1</f>
        <v>10.4663</v>
      </c>
      <c r="O10" s="59">
        <f>M!C7*1</f>
        <v>8.6130099999999992</v>
      </c>
      <c r="P10" s="59">
        <f>M!D7*1</f>
        <v>82.292500000000004</v>
      </c>
      <c r="Q10" s="59">
        <f>M!E7*1</f>
        <v>15</v>
      </c>
      <c r="R10" s="59">
        <f>M!F7*1</f>
        <v>2.1133999999999999</v>
      </c>
      <c r="S10" s="59">
        <f>M!G7*1</f>
        <v>40</v>
      </c>
      <c r="T10" s="59">
        <f>M!H7*1</f>
        <v>46.002499999999998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2.1133999999999999</v>
      </c>
      <c r="D11" s="102">
        <f>N10</f>
        <v>10.4663</v>
      </c>
      <c r="E11" s="103">
        <f>T10</f>
        <v>46.002499999999998</v>
      </c>
      <c r="F11" s="94">
        <f>P10</f>
        <v>82.292500000000004</v>
      </c>
      <c r="G11" s="52" t="str">
        <f>CONCATENATE(M11,"
(20 ~ 50)")</f>
        <v>可疑
(20 ~ 50)</v>
      </c>
      <c r="H11" s="101">
        <f>R11</f>
        <v>16.2974</v>
      </c>
      <c r="I11" s="104">
        <f>N11</f>
        <v>21.5961</v>
      </c>
      <c r="J11" s="101">
        <f>T11</f>
        <v>32.5931</v>
      </c>
      <c r="K11" s="95">
        <f>P11</f>
        <v>15.7934</v>
      </c>
      <c r="L11" s="4"/>
      <c r="M11" s="27" t="str">
        <f>lang!B17</f>
        <v>可疑</v>
      </c>
      <c r="N11" s="59">
        <f>M!B8*1</f>
        <v>21.5961</v>
      </c>
      <c r="O11" s="59">
        <f>M!C8*1</f>
        <v>3.4107599999999998</v>
      </c>
      <c r="P11" s="59">
        <f>M!D8*1</f>
        <v>15.7934</v>
      </c>
      <c r="Q11" s="59">
        <f>M!E8*1</f>
        <v>20</v>
      </c>
      <c r="R11" s="59">
        <f>M!F8*1</f>
        <v>16.2974</v>
      </c>
      <c r="S11" s="59">
        <f>M!G8*1</f>
        <v>50</v>
      </c>
      <c r="T11" s="59">
        <f>M!H8*1</f>
        <v>32.5931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64.683099999999996</v>
      </c>
      <c r="D12" s="104">
        <f>N12</f>
        <v>74.370999999999995</v>
      </c>
      <c r="E12" s="101">
        <f>T12</f>
        <v>84.969300000000004</v>
      </c>
      <c r="F12" s="93">
        <f>P12</f>
        <v>6.33988</v>
      </c>
      <c r="G12" s="52" t="str">
        <f>CONCATENATE(M13,"
(40 ~ 100)")</f>
        <v>自信
(40 ~ 100)</v>
      </c>
      <c r="H12" s="101">
        <f>R13</f>
        <v>74.109499999999997</v>
      </c>
      <c r="I12" s="104">
        <f>N13</f>
        <v>77.743899999999996</v>
      </c>
      <c r="J12" s="101">
        <f>T13</f>
        <v>86.8142</v>
      </c>
      <c r="K12" s="95">
        <f>P13</f>
        <v>4.5197799999999999</v>
      </c>
      <c r="L12" s="4"/>
      <c r="M12" s="27" t="str">
        <f>lang!B18</f>
        <v>平衡</v>
      </c>
      <c r="N12" s="59">
        <f>M!B9*1</f>
        <v>74.370999999999995</v>
      </c>
      <c r="O12" s="59">
        <f>M!C9*1</f>
        <v>4.7150299999999996</v>
      </c>
      <c r="P12" s="59">
        <f>M!D9*1</f>
        <v>6.33988</v>
      </c>
      <c r="Q12" s="59">
        <f>M!E9*1</f>
        <v>50</v>
      </c>
      <c r="R12" s="59">
        <f>M!F9*1</f>
        <v>64.683099999999996</v>
      </c>
      <c r="S12" s="59">
        <f>M!G9*1</f>
        <v>100</v>
      </c>
      <c r="T12" s="59">
        <f>M!H9*1</f>
        <v>84.969300000000004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5.68675</v>
      </c>
      <c r="D13" s="102">
        <f>N14</f>
        <v>18.162700000000001</v>
      </c>
      <c r="E13" s="103">
        <f>T14</f>
        <v>30.346800000000002</v>
      </c>
      <c r="F13" s="94">
        <f>P14</f>
        <v>37.985399999999998</v>
      </c>
      <c r="G13" s="52" t="str">
        <f>CONCATENATE(M15,"
(50 ~ 100)")</f>
        <v>自我调节
(50 ~ 100)</v>
      </c>
      <c r="H13" s="101">
        <f>R15</f>
        <v>69.591200000000001</v>
      </c>
      <c r="I13" s="104">
        <f>N15</f>
        <v>76.7209</v>
      </c>
      <c r="J13" s="101">
        <f>T15</f>
        <v>84.153400000000005</v>
      </c>
      <c r="K13" s="95">
        <f>P15</f>
        <v>4.1890200000000002</v>
      </c>
      <c r="L13" s="4"/>
      <c r="M13" s="27" t="str">
        <f>lang!B19</f>
        <v>自信</v>
      </c>
      <c r="N13" s="59">
        <f>M!B10*1</f>
        <v>77.743899999999996</v>
      </c>
      <c r="O13" s="59">
        <f>M!C10*1</f>
        <v>3.5138500000000001</v>
      </c>
      <c r="P13" s="59">
        <f>M!D10*1</f>
        <v>4.5197799999999999</v>
      </c>
      <c r="Q13" s="59">
        <f>M!E10*1</f>
        <v>40</v>
      </c>
      <c r="R13" s="59">
        <f>M!F10*1</f>
        <v>74.109499999999997</v>
      </c>
      <c r="S13" s="59">
        <f>M!G10*1</f>
        <v>100</v>
      </c>
      <c r="T13" s="59">
        <f>M!H10*1</f>
        <v>86.8142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15.130100000000001</v>
      </c>
      <c r="D14" s="106">
        <f>N16</f>
        <v>28.941099999999999</v>
      </c>
      <c r="E14" s="107">
        <f>T16</f>
        <v>71.5321</v>
      </c>
      <c r="F14" s="96">
        <f>P16</f>
        <v>36.768099999999997</v>
      </c>
      <c r="G14" s="112" t="str">
        <f>CONCATENATE(M17,"
(10 ~ 50)")</f>
        <v>神经质
(10 ~ 50)</v>
      </c>
      <c r="H14" s="105">
        <f>R17</f>
        <v>4.2785399999999996</v>
      </c>
      <c r="I14" s="106">
        <f>N17</f>
        <v>106.411</v>
      </c>
      <c r="J14" s="107">
        <f>T17</f>
        <v>181.785</v>
      </c>
      <c r="K14" s="97">
        <f>P17</f>
        <v>32.935600000000001</v>
      </c>
      <c r="M14" s="27" t="str">
        <f>lang!B20</f>
        <v>活力</v>
      </c>
      <c r="N14" s="59">
        <f>M!B11*1</f>
        <v>18.162700000000001</v>
      </c>
      <c r="O14" s="59">
        <f>M!C11*1</f>
        <v>6.8991800000000003</v>
      </c>
      <c r="P14" s="59">
        <f>M!D11*1</f>
        <v>37.985399999999998</v>
      </c>
      <c r="Q14" s="59">
        <f>M!E11*1</f>
        <v>10</v>
      </c>
      <c r="R14" s="59">
        <f>M!F11*1</f>
        <v>5.68675</v>
      </c>
      <c r="S14" s="59">
        <f>M!G11*1</f>
        <v>50</v>
      </c>
      <c r="T14" s="59">
        <f>M!H11*1</f>
        <v>30.346800000000002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76.7209</v>
      </c>
      <c r="O15" s="59">
        <f>M!C12*1</f>
        <v>3.2138499999999999</v>
      </c>
      <c r="P15" s="59">
        <f>M!D12*1</f>
        <v>4.1890200000000002</v>
      </c>
      <c r="Q15" s="59">
        <f>M!E12*1</f>
        <v>50</v>
      </c>
      <c r="R15" s="59">
        <f>M!F12*1</f>
        <v>69.591200000000001</v>
      </c>
      <c r="S15" s="59">
        <f>M!G12*1</f>
        <v>100</v>
      </c>
      <c r="T15" s="59">
        <f>M!H12*1</f>
        <v>84.153400000000005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28.941099999999999</v>
      </c>
      <c r="O16" s="59">
        <f>M!C13*1</f>
        <v>10.6411</v>
      </c>
      <c r="P16" s="59">
        <f>M!D13*1</f>
        <v>36.768099999999997</v>
      </c>
      <c r="Q16" s="59">
        <f>M!E13*1</f>
        <v>10</v>
      </c>
      <c r="R16" s="59">
        <f>M!F13*1</f>
        <v>15.130100000000001</v>
      </c>
      <c r="S16" s="59">
        <f>M!G13*1</f>
        <v>25</v>
      </c>
      <c r="T16" s="59">
        <f>M!H13*1</f>
        <v>71.5321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106.411</v>
      </c>
      <c r="O17" s="59">
        <f>M!C14*1</f>
        <v>35.047199999999997</v>
      </c>
      <c r="P17" s="59">
        <f>M!D14*1</f>
        <v>32.935600000000001</v>
      </c>
      <c r="Q17" s="59">
        <f>M!E14*1</f>
        <v>10</v>
      </c>
      <c r="R17" s="59">
        <f>M!F14*1</f>
        <v>4.2785399999999996</v>
      </c>
      <c r="S17" s="59">
        <f>M!G14*1</f>
        <v>50</v>
      </c>
      <c r="T17" s="59">
        <f>M!H14*1</f>
        <v>181.785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61.749624999999995</v>
      </c>
      <c r="O18" s="22">
        <f>N18/(N18+N19+N20)</f>
        <v>0.40864076982432634</v>
      </c>
      <c r="P18" s="65">
        <f>SUM(P12:P15)/4</f>
        <v>13.258519999999999</v>
      </c>
      <c r="Q18" s="22">
        <f>P18/(P18+P19+P20)</f>
        <v>0.16404200067715088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21.684125000000002</v>
      </c>
      <c r="O19" s="22">
        <f>N19/(N18+N19+N20)</f>
        <v>0.14349913109540216</v>
      </c>
      <c r="P19" s="18">
        <f>SUM(P8:P11)/4</f>
        <v>32.713565000000003</v>
      </c>
      <c r="Q19" s="22">
        <f>P19/(P18+P19+P20)</f>
        <v>0.40475095650811854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67.676050000000004</v>
      </c>
      <c r="O20" s="22">
        <f>N20/(N18+N19+N20)</f>
        <v>0.44786009908027141</v>
      </c>
      <c r="P20" s="18">
        <f>(P16+P17)/2</f>
        <v>34.851849999999999</v>
      </c>
      <c r="Q20" s="22">
        <f>P20/(P18+P19+P20)</f>
        <v>0.43120704281473049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-0.22999648648648646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1.4355513067717922</v>
      </c>
      <c r="D25" s="44" t="str">
        <f>lang!B11</f>
        <v>频率方差</v>
      </c>
      <c r="E25" s="182">
        <f ca="1">FH!L3</f>
        <v>0.56184401437476328</v>
      </c>
      <c r="F25" s="183"/>
      <c r="G25" s="174" t="str">
        <f>lang!B12</f>
        <v>生理变化率</v>
      </c>
      <c r="H25" s="175"/>
      <c r="I25" s="62" t="str">
        <f ca="1">CONCATENATE(info!M7,"-",info!M8)</f>
        <v>50.6-76.6</v>
      </c>
      <c r="J25" s="42" t="str">
        <f>lang!B13</f>
        <v>千卡l/分钟</v>
      </c>
      <c r="K25" s="41" t="str">
        <f ca="1">CONCATENATE(info!M5,"-",info!M6)</f>
        <v>1.2-3.7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76.1297</v>
      </c>
      <c r="F28" s="121"/>
      <c r="G28" s="135" t="str">
        <f>lang!B33</f>
        <v>稳定性</v>
      </c>
      <c r="H28" s="136"/>
      <c r="I28" s="137"/>
      <c r="J28" s="138">
        <f>M!B19*100</f>
        <v>73.942599999999999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43608.405972222223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10.2807</v>
      </c>
      <c r="O7" s="59">
        <f t="shared" ref="O7:T7" si="2">AG7-X7</f>
        <v>-1.6091700000000002</v>
      </c>
      <c r="P7" s="59">
        <f t="shared" si="2"/>
        <v>-11.6229</v>
      </c>
      <c r="Q7" s="59">
        <f t="shared" si="2"/>
        <v>0</v>
      </c>
      <c r="R7" s="59">
        <f t="shared" si="2"/>
        <v>18.715389999999999</v>
      </c>
      <c r="S7" s="59">
        <f t="shared" si="2"/>
        <v>0</v>
      </c>
      <c r="T7" s="59">
        <f t="shared" si="2"/>
        <v>12.3447</v>
      </c>
      <c r="U7" s="14"/>
      <c r="V7" s="27" t="str">
        <f>M7</f>
        <v>攻击性</v>
      </c>
      <c r="W7" s="59">
        <f>'M1'!B5*1</f>
        <v>23.223400000000002</v>
      </c>
      <c r="X7" s="59">
        <f>'M1'!C5*1</f>
        <v>5.1615900000000003</v>
      </c>
      <c r="Y7" s="59">
        <f>'M1'!D5*1</f>
        <v>22.2258</v>
      </c>
      <c r="Z7" s="59">
        <f>'M1'!E5*1</f>
        <v>20</v>
      </c>
      <c r="AA7" s="59">
        <f>'M1'!F5*1</f>
        <v>8.9546100000000006</v>
      </c>
      <c r="AB7" s="59">
        <f>'M1'!G5*1</f>
        <v>50</v>
      </c>
      <c r="AC7" s="59">
        <f>'M1'!H5*1</f>
        <v>28.529399999999999</v>
      </c>
      <c r="AE7" s="27" t="str">
        <f>V7</f>
        <v>攻击性</v>
      </c>
      <c r="AF7" s="59">
        <f>'M2'!B5*1</f>
        <v>33.504100000000001</v>
      </c>
      <c r="AG7" s="59">
        <f>'M2'!C5*1</f>
        <v>3.5524200000000001</v>
      </c>
      <c r="AH7" s="59">
        <f>'M2'!D5*1</f>
        <v>10.6029</v>
      </c>
      <c r="AI7" s="59">
        <f>'M2'!E5*1</f>
        <v>20</v>
      </c>
      <c r="AJ7" s="59">
        <f>'M2'!F5*1</f>
        <v>27.67</v>
      </c>
      <c r="AK7" s="59">
        <f>'M2'!G5*1</f>
        <v>50</v>
      </c>
      <c r="AL7" s="59">
        <f>'M2'!H5*1</f>
        <v>40.874099999999999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-0.70279999999999987</v>
      </c>
      <c r="O8" s="59">
        <f t="shared" ref="O8:O16" si="5">AG8-X8</f>
        <v>0.50836999999999988</v>
      </c>
      <c r="P8" s="59">
        <f t="shared" ref="P8:P16" si="6">AH8-Y8</f>
        <v>2.0238199999999997</v>
      </c>
      <c r="Q8" s="59">
        <f t="shared" ref="Q8:Q16" si="7">AI8-Z8</f>
        <v>0</v>
      </c>
      <c r="R8" s="59">
        <f t="shared" ref="R8:R16" si="8">AJ8-AA8</f>
        <v>-4.7065999999999981</v>
      </c>
      <c r="S8" s="59">
        <f t="shared" ref="S8:S16" si="9">AK8-AB8</f>
        <v>0</v>
      </c>
      <c r="T8" s="59">
        <f t="shared" ref="T8:T16" si="10">AL8-AC8</f>
        <v>-2.3747000000000007</v>
      </c>
      <c r="U8" s="15"/>
      <c r="V8" s="27" t="str">
        <f t="shared" ref="V8:V16" si="11">M8</f>
        <v>压力</v>
      </c>
      <c r="W8" s="59">
        <f>'M1'!B6*1</f>
        <v>26.9193</v>
      </c>
      <c r="X8" s="59">
        <f>'M1'!C6*1</f>
        <v>0.85062000000000004</v>
      </c>
      <c r="Y8" s="59">
        <f>'M1'!D6*1</f>
        <v>3.1598899999999999</v>
      </c>
      <c r="Z8" s="59">
        <f>'M1'!E6*1</f>
        <v>20</v>
      </c>
      <c r="AA8" s="59">
        <f>'M1'!F6*1</f>
        <v>25.697399999999998</v>
      </c>
      <c r="AB8" s="59">
        <f>'M1'!G6*1</f>
        <v>40</v>
      </c>
      <c r="AC8" s="59">
        <f>'M1'!H6*1</f>
        <v>30.263999999999999</v>
      </c>
      <c r="AE8" s="27" t="str">
        <f t="shared" ref="AE8:AE16" si="12">V8</f>
        <v>压力</v>
      </c>
      <c r="AF8" s="59">
        <f>'M2'!B6*1</f>
        <v>26.2165</v>
      </c>
      <c r="AG8" s="59">
        <f>'M2'!C6*1</f>
        <v>1.3589899999999999</v>
      </c>
      <c r="AH8" s="59">
        <f>'M2'!D6*1</f>
        <v>5.1837099999999996</v>
      </c>
      <c r="AI8" s="59">
        <f>'M2'!E6*1</f>
        <v>20</v>
      </c>
      <c r="AJ8" s="59">
        <f>'M2'!F6*1</f>
        <v>20.9908</v>
      </c>
      <c r="AK8" s="59">
        <f>'M2'!G6*1</f>
        <v>40</v>
      </c>
      <c r="AL8" s="59">
        <f>'M2'!H6*1</f>
        <v>27.889299999999999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18.715389999999999</v>
      </c>
      <c r="D9" s="78">
        <f>N7</f>
        <v>10.2807</v>
      </c>
      <c r="E9" s="79">
        <f>T7</f>
        <v>12.3447</v>
      </c>
      <c r="F9" s="79">
        <f>P7</f>
        <v>-11.6229</v>
      </c>
      <c r="G9" s="80" t="str">
        <f>CONCATENATE(M8,"
(20 ~ 40)")</f>
        <v>压力
(20 ~ 40)</v>
      </c>
      <c r="H9" s="77">
        <f>R8</f>
        <v>-4.7065999999999981</v>
      </c>
      <c r="I9" s="81">
        <f>N8</f>
        <v>-0.70279999999999987</v>
      </c>
      <c r="J9" s="77">
        <f>T8</f>
        <v>-2.3747000000000007</v>
      </c>
      <c r="K9" s="82">
        <f>P8</f>
        <v>2.0238199999999997</v>
      </c>
      <c r="L9" s="6"/>
      <c r="M9" s="27" t="str">
        <f>lang!B16</f>
        <v>焦虑</v>
      </c>
      <c r="N9" s="59">
        <f t="shared" si="4"/>
        <v>-2.8804199999999991</v>
      </c>
      <c r="O9" s="59">
        <f t="shared" si="5"/>
        <v>-3.4866099999999998</v>
      </c>
      <c r="P9" s="59">
        <f t="shared" si="6"/>
        <v>-11.11</v>
      </c>
      <c r="Q9" s="59">
        <f t="shared" si="7"/>
        <v>0</v>
      </c>
      <c r="R9" s="59">
        <f t="shared" si="8"/>
        <v>-1.1942400000000002</v>
      </c>
      <c r="S9" s="59">
        <f t="shared" si="9"/>
        <v>0</v>
      </c>
      <c r="T9" s="59">
        <f t="shared" si="10"/>
        <v>-18.515999999999998</v>
      </c>
      <c r="U9" s="14"/>
      <c r="V9" s="27" t="str">
        <f t="shared" si="11"/>
        <v>焦虑</v>
      </c>
      <c r="W9" s="59">
        <f>'M1'!B7*1</f>
        <v>11.0558</v>
      </c>
      <c r="X9" s="59">
        <f>'M1'!C7*1</f>
        <v>9.8963099999999997</v>
      </c>
      <c r="Y9" s="59">
        <f>'M1'!D7*1</f>
        <v>89.512500000000003</v>
      </c>
      <c r="Z9" s="59">
        <f>'M1'!E7*1</f>
        <v>15</v>
      </c>
      <c r="AA9" s="59">
        <f>'M1'!F7*1</f>
        <v>3.3076400000000001</v>
      </c>
      <c r="AB9" s="59">
        <f>'M1'!G7*1</f>
        <v>40</v>
      </c>
      <c r="AC9" s="59">
        <f>'M1'!H7*1</f>
        <v>46.002499999999998</v>
      </c>
      <c r="AE9" s="27" t="str">
        <f t="shared" si="12"/>
        <v>焦虑</v>
      </c>
      <c r="AF9" s="59">
        <f>'M2'!B7*1</f>
        <v>8.1753800000000005</v>
      </c>
      <c r="AG9" s="59">
        <f>'M2'!C7*1</f>
        <v>6.4097</v>
      </c>
      <c r="AH9" s="59">
        <f>'M2'!D7*1</f>
        <v>78.402500000000003</v>
      </c>
      <c r="AI9" s="59">
        <f>'M2'!E7*1</f>
        <v>15</v>
      </c>
      <c r="AJ9" s="59">
        <f>'M2'!F7*1</f>
        <v>2.1133999999999999</v>
      </c>
      <c r="AK9" s="59">
        <f>'M2'!G7*1</f>
        <v>40</v>
      </c>
      <c r="AL9" s="59">
        <f>'M2'!H7*1</f>
        <v>27.486499999999999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-1.1942400000000002</v>
      </c>
      <c r="D10" s="51">
        <f>N9</f>
        <v>-2.8804199999999991</v>
      </c>
      <c r="E10" s="53">
        <f>T9</f>
        <v>-18.515999999999998</v>
      </c>
      <c r="F10" s="53">
        <f>P9</f>
        <v>-11.11</v>
      </c>
      <c r="G10" s="73" t="str">
        <f>CONCATENATE(M10,"
(20 ~ 50)")</f>
        <v>可疑
(20 ~ 50)</v>
      </c>
      <c r="H10" s="24">
        <f>R10</f>
        <v>2.9455999999999989</v>
      </c>
      <c r="I10" s="52">
        <f>N10</f>
        <v>3.5612999999999992</v>
      </c>
      <c r="J10" s="24">
        <f>T10</f>
        <v>-3.3454000000000015</v>
      </c>
      <c r="K10" s="25">
        <f>P10</f>
        <v>-9.9769100000000019</v>
      </c>
      <c r="L10" s="4"/>
      <c r="M10" s="27" t="str">
        <f>lang!B17</f>
        <v>可疑</v>
      </c>
      <c r="N10" s="59">
        <f t="shared" si="4"/>
        <v>3.5612999999999992</v>
      </c>
      <c r="O10" s="59">
        <f t="shared" si="5"/>
        <v>-1.66784</v>
      </c>
      <c r="P10" s="59">
        <f t="shared" si="6"/>
        <v>-9.9769100000000019</v>
      </c>
      <c r="Q10" s="59">
        <f t="shared" si="7"/>
        <v>0</v>
      </c>
      <c r="R10" s="59">
        <f t="shared" si="8"/>
        <v>2.9455999999999989</v>
      </c>
      <c r="S10" s="59">
        <f t="shared" si="9"/>
        <v>0</v>
      </c>
      <c r="T10" s="59">
        <f t="shared" si="10"/>
        <v>-3.3454000000000015</v>
      </c>
      <c r="U10" s="14"/>
      <c r="V10" s="27" t="str">
        <f t="shared" si="11"/>
        <v>可疑</v>
      </c>
      <c r="W10" s="59">
        <f>'M1'!B8*1</f>
        <v>19.979900000000001</v>
      </c>
      <c r="X10" s="59">
        <f>'M1'!C8*1</f>
        <v>3.8197999999999999</v>
      </c>
      <c r="Y10" s="59">
        <f>'M1'!D8*1</f>
        <v>19.118200000000002</v>
      </c>
      <c r="Z10" s="59">
        <f>'M1'!E8*1</f>
        <v>20</v>
      </c>
      <c r="AA10" s="59">
        <f>'M1'!F8*1</f>
        <v>16.2974</v>
      </c>
      <c r="AB10" s="59">
        <f>'M1'!G8*1</f>
        <v>50</v>
      </c>
      <c r="AC10" s="59">
        <f>'M1'!H8*1</f>
        <v>32.5931</v>
      </c>
      <c r="AE10" s="27" t="str">
        <f t="shared" si="12"/>
        <v>可疑</v>
      </c>
      <c r="AF10" s="59">
        <f>'M2'!B8*1</f>
        <v>23.5412</v>
      </c>
      <c r="AG10" s="59">
        <f>'M2'!C8*1</f>
        <v>2.1519599999999999</v>
      </c>
      <c r="AH10" s="59">
        <f>'M2'!D8*1</f>
        <v>9.1412899999999997</v>
      </c>
      <c r="AI10" s="59">
        <f>'M2'!E8*1</f>
        <v>20</v>
      </c>
      <c r="AJ10" s="59">
        <f>'M2'!F8*1</f>
        <v>19.242999999999999</v>
      </c>
      <c r="AK10" s="59">
        <f>'M2'!G8*1</f>
        <v>50</v>
      </c>
      <c r="AL10" s="59">
        <f>'M2'!H8*1</f>
        <v>29.247699999999998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0.18930000000000291</v>
      </c>
      <c r="D11" s="52">
        <f>N11</f>
        <v>0.51330000000000098</v>
      </c>
      <c r="E11" s="24">
        <f>T11</f>
        <v>-1.5237000000000052</v>
      </c>
      <c r="F11" s="24">
        <f>P11</f>
        <v>-1.9277999999999995</v>
      </c>
      <c r="G11" s="73" t="str">
        <f>CONCATENATE(M12,"
(40 ~ 100)")</f>
        <v>自信
(40 ~ 100)</v>
      </c>
      <c r="H11" s="24">
        <f>R12</f>
        <v>0.34360000000000923</v>
      </c>
      <c r="I11" s="52">
        <f>N12</f>
        <v>-5.8341999999999956</v>
      </c>
      <c r="J11" s="24">
        <f>T12</f>
        <v>-4.7556000000000012</v>
      </c>
      <c r="K11" s="25">
        <f>P12</f>
        <v>-1.9584000000000006</v>
      </c>
      <c r="L11" s="4"/>
      <c r="M11" s="27" t="str">
        <f>lang!B18</f>
        <v>平衡</v>
      </c>
      <c r="N11" s="59">
        <f t="shared" si="4"/>
        <v>0.51330000000000098</v>
      </c>
      <c r="O11" s="59">
        <f t="shared" si="5"/>
        <v>-1.3984700000000005</v>
      </c>
      <c r="P11" s="59">
        <f t="shared" si="6"/>
        <v>-1.9277999999999995</v>
      </c>
      <c r="Q11" s="59">
        <f t="shared" si="7"/>
        <v>0</v>
      </c>
      <c r="R11" s="59">
        <f t="shared" si="8"/>
        <v>0.18930000000000291</v>
      </c>
      <c r="S11" s="59">
        <f t="shared" si="9"/>
        <v>0</v>
      </c>
      <c r="T11" s="59">
        <f t="shared" si="10"/>
        <v>-1.5237000000000052</v>
      </c>
      <c r="U11" s="14"/>
      <c r="V11" s="27" t="str">
        <f t="shared" si="11"/>
        <v>平衡</v>
      </c>
      <c r="W11" s="59">
        <f>'M1'!B9*1</f>
        <v>73.958799999999997</v>
      </c>
      <c r="X11" s="59">
        <f>'M1'!C9*1</f>
        <v>5.3604900000000004</v>
      </c>
      <c r="Y11" s="59">
        <f>'M1'!D9*1</f>
        <v>7.2479399999999998</v>
      </c>
      <c r="Z11" s="59">
        <f>'M1'!E9*1</f>
        <v>50</v>
      </c>
      <c r="AA11" s="59">
        <f>'M1'!F9*1</f>
        <v>64.683099999999996</v>
      </c>
      <c r="AB11" s="59">
        <f>'M1'!G9*1</f>
        <v>100</v>
      </c>
      <c r="AC11" s="59">
        <f>'M1'!H9*1</f>
        <v>84.969300000000004</v>
      </c>
      <c r="AE11" s="27" t="str">
        <f t="shared" si="12"/>
        <v>平衡</v>
      </c>
      <c r="AF11" s="59">
        <f>'M2'!B9*1</f>
        <v>74.472099999999998</v>
      </c>
      <c r="AG11" s="59">
        <f>'M2'!C9*1</f>
        <v>3.9620199999999999</v>
      </c>
      <c r="AH11" s="59">
        <f>'M2'!D9*1</f>
        <v>5.3201400000000003</v>
      </c>
      <c r="AI11" s="59">
        <f>'M2'!E9*1</f>
        <v>50</v>
      </c>
      <c r="AJ11" s="59">
        <f>'M2'!F9*1</f>
        <v>64.872399999999999</v>
      </c>
      <c r="AK11" s="59">
        <f>'M2'!G9*1</f>
        <v>100</v>
      </c>
      <c r="AL11" s="59">
        <f>'M2'!H9*1</f>
        <v>83.445599999999999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12.475950000000001</v>
      </c>
      <c r="D12" s="51">
        <f>N13</f>
        <v>10.816400000000002</v>
      </c>
      <c r="E12" s="53">
        <f>T13</f>
        <v>12.277000000000001</v>
      </c>
      <c r="F12" s="53">
        <f>P13</f>
        <v>-15.229800000000001</v>
      </c>
      <c r="G12" s="73" t="str">
        <f>CONCATENATE(M14,"
(50 ~ 100)")</f>
        <v>自我调节
(50 ~ 100)</v>
      </c>
      <c r="H12" s="24">
        <f>R14</f>
        <v>1.1278999999999968</v>
      </c>
      <c r="I12" s="52">
        <f>N14</f>
        <v>-2.3718999999999966</v>
      </c>
      <c r="J12" s="24">
        <f>T14</f>
        <v>-2.8231999999999999</v>
      </c>
      <c r="K12" s="25">
        <f>P14</f>
        <v>-2.17083</v>
      </c>
      <c r="L12" s="4"/>
      <c r="M12" s="27" t="str">
        <f>lang!B19</f>
        <v>自信</v>
      </c>
      <c r="N12" s="59">
        <f t="shared" si="4"/>
        <v>-5.8341999999999956</v>
      </c>
      <c r="O12" s="59">
        <f t="shared" si="5"/>
        <v>-1.7586100000000002</v>
      </c>
      <c r="P12" s="59">
        <f t="shared" si="6"/>
        <v>-1.9584000000000006</v>
      </c>
      <c r="Q12" s="59">
        <f t="shared" si="7"/>
        <v>0</v>
      </c>
      <c r="R12" s="59">
        <f t="shared" si="8"/>
        <v>0.34360000000000923</v>
      </c>
      <c r="S12" s="59">
        <f t="shared" si="9"/>
        <v>0</v>
      </c>
      <c r="T12" s="59">
        <f t="shared" si="10"/>
        <v>-4.7556000000000012</v>
      </c>
      <c r="U12" s="15"/>
      <c r="V12" s="27" t="str">
        <f t="shared" si="11"/>
        <v>自信</v>
      </c>
      <c r="W12" s="59">
        <f>'M1'!B10*1</f>
        <v>82.641300000000001</v>
      </c>
      <c r="X12" s="59">
        <f>'M1'!C10*1</f>
        <v>3.6039500000000002</v>
      </c>
      <c r="Y12" s="59">
        <f>'M1'!D10*1</f>
        <v>4.3609600000000004</v>
      </c>
      <c r="Z12" s="59">
        <f>'M1'!E10*1</f>
        <v>40</v>
      </c>
      <c r="AA12" s="59">
        <f>'M1'!F10*1</f>
        <v>74.109499999999997</v>
      </c>
      <c r="AB12" s="59">
        <f>'M1'!G10*1</f>
        <v>100</v>
      </c>
      <c r="AC12" s="59">
        <f>'M1'!H10*1</f>
        <v>86.8142</v>
      </c>
      <c r="AE12" s="27" t="str">
        <f t="shared" si="12"/>
        <v>自信</v>
      </c>
      <c r="AF12" s="59">
        <f>'M2'!B10*1</f>
        <v>76.807100000000005</v>
      </c>
      <c r="AG12" s="59">
        <f>'M2'!C10*1</f>
        <v>1.84534</v>
      </c>
      <c r="AH12" s="59">
        <f>'M2'!D10*1</f>
        <v>2.4025599999999998</v>
      </c>
      <c r="AI12" s="59">
        <f>'M2'!E10*1</f>
        <v>40</v>
      </c>
      <c r="AJ12" s="59">
        <f>'M2'!F10*1</f>
        <v>74.453100000000006</v>
      </c>
      <c r="AK12" s="59">
        <f>'M2'!G10*1</f>
        <v>100</v>
      </c>
      <c r="AL12" s="59">
        <f>'M2'!H10*1</f>
        <v>82.058599999999998</v>
      </c>
    </row>
    <row r="13" spans="2:38" ht="25.5" customHeight="1" thickBot="1">
      <c r="B13" s="72" t="str">
        <f>CONCATENATE(M15,"
(10 ~ 25)")</f>
        <v>抑郁
(10 ~ 25)</v>
      </c>
      <c r="C13" s="54">
        <f>R15</f>
        <v>11.013</v>
      </c>
      <c r="D13" s="55">
        <f>N15</f>
        <v>12.370699999999999</v>
      </c>
      <c r="E13" s="56">
        <f>T15</f>
        <v>20.345100000000002</v>
      </c>
      <c r="F13" s="56">
        <f>P15</f>
        <v>-4.3656000000000006</v>
      </c>
      <c r="G13" s="74" t="str">
        <f>CONCATENATE(M16,"
(10 ~ 50)")</f>
        <v>神经质
(10 ~ 50)</v>
      </c>
      <c r="H13" s="54">
        <f>R16</f>
        <v>1.23712</v>
      </c>
      <c r="I13" s="55">
        <f>N16</f>
        <v>23.315899999999999</v>
      </c>
      <c r="J13" s="56">
        <f>T16</f>
        <v>105.7825</v>
      </c>
      <c r="K13" s="57">
        <f>P16</f>
        <v>12.202299999999997</v>
      </c>
      <c r="M13" s="27" t="str">
        <f>lang!B20</f>
        <v>活力</v>
      </c>
      <c r="N13" s="59">
        <f t="shared" si="4"/>
        <v>10.816400000000002</v>
      </c>
      <c r="O13" s="59">
        <f t="shared" si="5"/>
        <v>-0.64643000000000006</v>
      </c>
      <c r="P13" s="59">
        <f t="shared" si="6"/>
        <v>-15.229800000000001</v>
      </c>
      <c r="Q13" s="59">
        <f t="shared" si="7"/>
        <v>0</v>
      </c>
      <c r="R13" s="59">
        <f t="shared" si="8"/>
        <v>12.475950000000001</v>
      </c>
      <c r="S13" s="59">
        <f t="shared" si="9"/>
        <v>0</v>
      </c>
      <c r="T13" s="59">
        <f t="shared" si="10"/>
        <v>12.277000000000001</v>
      </c>
      <c r="U13" s="14"/>
      <c r="V13" s="27" t="str">
        <f t="shared" si="11"/>
        <v>活力</v>
      </c>
      <c r="W13" s="59">
        <f>'M1'!B11*1</f>
        <v>14.268599999999999</v>
      </c>
      <c r="X13" s="59">
        <f>'M1'!C11*1</f>
        <v>4.1870000000000003</v>
      </c>
      <c r="Y13" s="59">
        <f>'M1'!D11*1</f>
        <v>29.344100000000001</v>
      </c>
      <c r="Z13" s="59">
        <f>'M1'!E11*1</f>
        <v>10</v>
      </c>
      <c r="AA13" s="59">
        <f>'M1'!F11*1</f>
        <v>5.68675</v>
      </c>
      <c r="AB13" s="59">
        <f>'M1'!G11*1</f>
        <v>50</v>
      </c>
      <c r="AC13" s="59">
        <f>'M1'!H11*1</f>
        <v>18.069800000000001</v>
      </c>
      <c r="AE13" s="27" t="str">
        <f t="shared" si="12"/>
        <v>活力</v>
      </c>
      <c r="AF13" s="59">
        <f>'M2'!B11*1</f>
        <v>25.085000000000001</v>
      </c>
      <c r="AG13" s="59">
        <f>'M2'!C11*1</f>
        <v>3.5405700000000002</v>
      </c>
      <c r="AH13" s="59">
        <f>'M2'!D11*1</f>
        <v>14.1143</v>
      </c>
      <c r="AI13" s="59">
        <f>'M2'!E11*1</f>
        <v>10</v>
      </c>
      <c r="AJ13" s="59">
        <f>'M2'!F11*1</f>
        <v>18.162700000000001</v>
      </c>
      <c r="AK13" s="59">
        <f>'M2'!G11*1</f>
        <v>50</v>
      </c>
      <c r="AL13" s="59">
        <f>'M2'!H11*1</f>
        <v>30.346800000000002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-2.3718999999999966</v>
      </c>
      <c r="O14" s="59">
        <f t="shared" si="5"/>
        <v>-1.75848</v>
      </c>
      <c r="P14" s="59">
        <f t="shared" si="6"/>
        <v>-2.17083</v>
      </c>
      <c r="Q14" s="59">
        <f t="shared" si="7"/>
        <v>0</v>
      </c>
      <c r="R14" s="59">
        <f t="shared" si="8"/>
        <v>1.1278999999999968</v>
      </c>
      <c r="S14" s="59">
        <f t="shared" si="9"/>
        <v>0</v>
      </c>
      <c r="T14" s="59">
        <f t="shared" si="10"/>
        <v>-2.8231999999999999</v>
      </c>
      <c r="U14" s="14"/>
      <c r="V14" s="27" t="str">
        <f t="shared" si="11"/>
        <v>自我调节</v>
      </c>
      <c r="W14" s="59">
        <f>'M1'!B12*1</f>
        <v>77.990399999999994</v>
      </c>
      <c r="X14" s="59">
        <f>'M1'!C12*1</f>
        <v>3.8446899999999999</v>
      </c>
      <c r="Y14" s="59">
        <f>'M1'!D12*1</f>
        <v>4.9296899999999999</v>
      </c>
      <c r="Z14" s="59">
        <f>'M1'!E12*1</f>
        <v>50</v>
      </c>
      <c r="AA14" s="59">
        <f>'M1'!F12*1</f>
        <v>69.591200000000001</v>
      </c>
      <c r="AB14" s="59">
        <f>'M1'!G12*1</f>
        <v>100</v>
      </c>
      <c r="AC14" s="59">
        <f>'M1'!H12*1</f>
        <v>84.153400000000005</v>
      </c>
      <c r="AE14" s="27" t="str">
        <f t="shared" si="12"/>
        <v>自我调节</v>
      </c>
      <c r="AF14" s="59">
        <f>'M2'!B12*1</f>
        <v>75.618499999999997</v>
      </c>
      <c r="AG14" s="59">
        <f>'M2'!C12*1</f>
        <v>2.0862099999999999</v>
      </c>
      <c r="AH14" s="59">
        <f>'M2'!D12*1</f>
        <v>2.7588599999999999</v>
      </c>
      <c r="AI14" s="59">
        <f>'M2'!E12*1</f>
        <v>50</v>
      </c>
      <c r="AJ14" s="59">
        <f>'M2'!F12*1</f>
        <v>70.719099999999997</v>
      </c>
      <c r="AK14" s="59">
        <f>'M2'!G12*1</f>
        <v>100</v>
      </c>
      <c r="AL14" s="59">
        <f>'M2'!H12*1</f>
        <v>81.330200000000005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12.370699999999999</v>
      </c>
      <c r="O15" s="59">
        <f t="shared" si="5"/>
        <v>2.3315899999999994</v>
      </c>
      <c r="P15" s="59">
        <f t="shared" si="6"/>
        <v>-4.3656000000000006</v>
      </c>
      <c r="Q15" s="59">
        <f t="shared" si="7"/>
        <v>0</v>
      </c>
      <c r="R15" s="59">
        <f t="shared" si="8"/>
        <v>11.013</v>
      </c>
      <c r="S15" s="59">
        <f t="shared" si="9"/>
        <v>0</v>
      </c>
      <c r="T15" s="59">
        <f t="shared" si="10"/>
        <v>20.345100000000002</v>
      </c>
      <c r="U15" s="14"/>
      <c r="V15" s="27" t="str">
        <f t="shared" si="11"/>
        <v>抑郁</v>
      </c>
      <c r="W15" s="59">
        <f>'M1'!B13*1</f>
        <v>23.0852</v>
      </c>
      <c r="X15" s="59">
        <f>'M1'!C13*1</f>
        <v>7.2395199999999997</v>
      </c>
      <c r="Y15" s="59">
        <f>'M1'!D13*1</f>
        <v>31.36</v>
      </c>
      <c r="Z15" s="59">
        <f>'M1'!E13*1</f>
        <v>10</v>
      </c>
      <c r="AA15" s="59">
        <f>'M1'!F13*1</f>
        <v>15.130100000000001</v>
      </c>
      <c r="AB15" s="59">
        <f>'M1'!G13*1</f>
        <v>25</v>
      </c>
      <c r="AC15" s="59">
        <f>'M1'!H13*1</f>
        <v>51.186999999999998</v>
      </c>
      <c r="AE15" s="27" t="str">
        <f t="shared" si="12"/>
        <v>抑郁</v>
      </c>
      <c r="AF15" s="59">
        <f>'M2'!B13*1</f>
        <v>35.4559</v>
      </c>
      <c r="AG15" s="59">
        <f>'M2'!C13*1</f>
        <v>9.5711099999999991</v>
      </c>
      <c r="AH15" s="59">
        <f>'M2'!D13*1</f>
        <v>26.994399999999999</v>
      </c>
      <c r="AI15" s="59">
        <f>'M2'!E13*1</f>
        <v>10</v>
      </c>
      <c r="AJ15" s="59">
        <f>'M2'!F13*1</f>
        <v>26.1431</v>
      </c>
      <c r="AK15" s="59">
        <f>'M2'!G13*1</f>
        <v>25</v>
      </c>
      <c r="AL15" s="59">
        <f>'M2'!H13*1</f>
        <v>71.5321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23.315899999999999</v>
      </c>
      <c r="O16" s="59">
        <f t="shared" si="5"/>
        <v>17.9758</v>
      </c>
      <c r="P16" s="59">
        <f t="shared" si="6"/>
        <v>12.202299999999997</v>
      </c>
      <c r="Q16" s="59">
        <f t="shared" si="7"/>
        <v>0</v>
      </c>
      <c r="R16" s="59">
        <f t="shared" si="8"/>
        <v>1.23712</v>
      </c>
      <c r="S16" s="59">
        <f t="shared" si="9"/>
        <v>0</v>
      </c>
      <c r="T16" s="59">
        <f t="shared" si="10"/>
        <v>105.7825</v>
      </c>
      <c r="U16" s="15"/>
      <c r="V16" s="27" t="str">
        <f t="shared" si="11"/>
        <v>神经质</v>
      </c>
      <c r="W16" s="59">
        <f>'M1'!B14*1</f>
        <v>72.395200000000003</v>
      </c>
      <c r="X16" s="59">
        <f>'M1'!C14*1</f>
        <v>19.5518</v>
      </c>
      <c r="Y16" s="59">
        <f>'M1'!D14*1</f>
        <v>27.007000000000001</v>
      </c>
      <c r="Z16" s="59">
        <f>'M1'!E14*1</f>
        <v>10</v>
      </c>
      <c r="AA16" s="59">
        <f>'M1'!F14*1</f>
        <v>4.2785399999999996</v>
      </c>
      <c r="AB16" s="59">
        <f>'M1'!G14*1</f>
        <v>50</v>
      </c>
      <c r="AC16" s="59">
        <f>'M1'!H14*1</f>
        <v>76.002499999999998</v>
      </c>
      <c r="AE16" s="27" t="str">
        <f t="shared" si="12"/>
        <v>神经质</v>
      </c>
      <c r="AF16" s="59">
        <f>'M2'!B14*1</f>
        <v>95.711100000000002</v>
      </c>
      <c r="AG16" s="59">
        <f>'M2'!C14*1</f>
        <v>37.5276</v>
      </c>
      <c r="AH16" s="59">
        <f>'M2'!D14*1</f>
        <v>39.209299999999999</v>
      </c>
      <c r="AI16" s="59">
        <f>'M2'!E14*1</f>
        <v>10</v>
      </c>
      <c r="AJ16" s="59">
        <f>'M2'!F14*1</f>
        <v>5.5156599999999996</v>
      </c>
      <c r="AK16" s="59">
        <f>'M2'!G14*1</f>
        <v>50</v>
      </c>
      <c r="AL16" s="59">
        <f>'M2'!H14*1</f>
        <v>181.785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0.78090000000000259</v>
      </c>
      <c r="O17" s="22">
        <f>N17/(N17+N18+N19)</f>
        <v>3.6854210660820327E-2</v>
      </c>
      <c r="P17" s="65">
        <f>SUM(P11:P14)/4</f>
        <v>-5.3217074999999996</v>
      </c>
      <c r="Q17" s="22">
        <f>P17/(P17+P18+P19)</f>
        <v>0.5864234194375556</v>
      </c>
      <c r="R17" s="14"/>
      <c r="S17" s="14"/>
      <c r="T17" s="14"/>
      <c r="U17" s="14"/>
      <c r="V17" s="21" t="str">
        <f>M17</f>
        <v>Positive</v>
      </c>
      <c r="W17" s="65">
        <f>SUM(W11:W14)/4</f>
        <v>62.214774999999996</v>
      </c>
      <c r="X17" s="22">
        <f>W17/(W17+W18+W19)</f>
        <v>0.47765818045855429</v>
      </c>
      <c r="Y17" s="65">
        <f>SUM(Y11:Y14)/4</f>
        <v>11.470672500000001</v>
      </c>
      <c r="Z17" s="22">
        <f>Y17/(Y17+Y18+Y19)</f>
        <v>0.15467826447407687</v>
      </c>
      <c r="AA17" s="14"/>
      <c r="AB17" s="14"/>
      <c r="AC17" s="14"/>
      <c r="AE17" s="21" t="str">
        <f>V17</f>
        <v>Positive</v>
      </c>
      <c r="AF17" s="65">
        <f>SUM(AF11:AF14)/4</f>
        <v>62.995675000000006</v>
      </c>
      <c r="AG17" s="22">
        <f>AF17/(AF17+AF18+AF19)</f>
        <v>0.41598198264945496</v>
      </c>
      <c r="AH17" s="65">
        <f>SUM(AH11:AH14)/4</f>
        <v>6.1489649999999996</v>
      </c>
      <c r="AI17" s="22">
        <f>AH17/(AH17+AH18+AH19)</f>
        <v>9.4478216915937788E-2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2.5646949999999999</v>
      </c>
      <c r="O18" s="22">
        <f>N18/(N17+N18+N19)</f>
        <v>0.12103958229062911</v>
      </c>
      <c r="P18" s="18">
        <f>SUM(P7:P10)/4</f>
        <v>-7.671497500000001</v>
      </c>
      <c r="Q18" s="22">
        <f>P18/(P17+P18+P19)</f>
        <v>0.84535758422586371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20.294600000000003</v>
      </c>
      <c r="X18" s="22">
        <f>W18/(W17+W18+W19)</f>
        <v>0.15581317635777317</v>
      </c>
      <c r="Y18" s="18">
        <f>SUM(Y7:Y10)/4</f>
        <v>33.5040975</v>
      </c>
      <c r="Z18" s="22">
        <f>Y18/(Y17+Y18+Y19)</f>
        <v>0.45179178937156972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22.859295000000003</v>
      </c>
      <c r="AG18" s="22">
        <f>AF18/(AF17+AF18+AF19)</f>
        <v>0.15094774135000177</v>
      </c>
      <c r="AH18" s="18">
        <f>SUM(AH7:AH10)/4</f>
        <v>25.832599999999999</v>
      </c>
      <c r="AI18" s="22">
        <f>AH18/(AH17+AH18+AH19)</f>
        <v>0.39691525098982589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17.843299999999999</v>
      </c>
      <c r="O19" s="22">
        <f>N19/(N17+N18+N19)</f>
        <v>0.84210620704855055</v>
      </c>
      <c r="P19" s="18">
        <f>(P15+P16)/2</f>
        <v>3.9183499999999984</v>
      </c>
      <c r="Q19" s="22">
        <f>P19/(P17+P18+P19)</f>
        <v>-0.43178100366341921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47.740200000000002</v>
      </c>
      <c r="X19" s="22">
        <f>W19/(W17+W18+W19)</f>
        <v>0.36652864318367262</v>
      </c>
      <c r="Y19" s="18">
        <f>(Y15+Y16)/2</f>
        <v>29.183500000000002</v>
      </c>
      <c r="Z19" s="22">
        <f>Y19/(Y17+Y18+Y19)</f>
        <v>0.39352994615435338</v>
      </c>
      <c r="AA19" s="14"/>
      <c r="AB19" s="14"/>
      <c r="AC19" s="14"/>
      <c r="AE19" s="21" t="str">
        <f t="shared" si="14"/>
        <v>Physiological</v>
      </c>
      <c r="AF19" s="18">
        <f>(AF15+AF16)/2</f>
        <v>65.583500000000001</v>
      </c>
      <c r="AG19" s="22">
        <f>AF19/(AF17+AF18+AF19)</f>
        <v>0.43307027600054332</v>
      </c>
      <c r="AH19" s="18">
        <f>(AH15+AH16)/2</f>
        <v>33.101849999999999</v>
      </c>
      <c r="AI19" s="22">
        <f>AH19/(AH17+AH18+AH19)</f>
        <v>0.50860653209423623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1/1.66</v>
      </c>
      <c r="D24" s="44" t="str">
        <f>lang!B11</f>
        <v>频率方差</v>
      </c>
      <c r="E24" s="182" t="str">
        <f ca="1">CONCATENATE(ROUND('FH1'!L3,2),"/",ROUND('FH2'!L3,2))</f>
        <v>0.42/0.49</v>
      </c>
      <c r="F24" s="183"/>
      <c r="G24" s="174" t="str">
        <f>lang!B12</f>
        <v>生理变化率</v>
      </c>
      <c r="H24" s="175"/>
      <c r="I24" s="62" t="str">
        <f ca="1">CONCATENATE(info!M7,"-",info!M8)</f>
        <v>50.6-76.6</v>
      </c>
      <c r="J24" s="42" t="str">
        <f>lang!B13</f>
        <v>千卡l/分钟</v>
      </c>
      <c r="K24" s="41" t="str">
        <f ca="1">CONCATENATE(info!M5,"-",info!M6)</f>
        <v>1.2-3.7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9.6964000000000041</v>
      </c>
      <c r="F27" s="121"/>
      <c r="G27" s="135" t="str">
        <f>lang!B33</f>
        <v>稳定性</v>
      </c>
      <c r="H27" s="136"/>
      <c r="I27" s="137"/>
      <c r="J27" s="138">
        <f>dM!B19*100</f>
        <v>16.709200000000003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-0.94282933995422158</v>
      </c>
      <c r="C2">
        <f t="array" aca="1" ref="C2" ca="1">CORREL(FT_E02,FT_PH02)</f>
        <v>-0.52244287063217432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1.1573</v>
      </c>
      <c r="G2" s="61">
        <f>IF(FT!B2&lt;&gt;"",FT!B2*100,"")</f>
        <v>76.609499999999997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1.1809500000000002</v>
      </c>
      <c r="G3" s="61">
        <f>IF(FT!B3&lt;&gt;"",FT!B3*100,"")</f>
        <v>76.090899999999991</v>
      </c>
      <c r="H3" s="61">
        <f t="shared" ref="H3:H66" si="1">(IF(F3&lt;&gt;"",1,""))</f>
        <v>1</v>
      </c>
      <c r="I3" t="str">
        <f>IF(FT!B3&lt;&gt;"",FT!E3,"")</f>
        <v>1 [0.378408]</v>
      </c>
      <c r="J3">
        <f>IF(FT!B3&lt;&gt;"",FT!C3,"")</f>
        <v>0.37840800000000002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0.63368568918918899</v>
      </c>
      <c r="V3">
        <f ca="1">AVERAGE(OFFSET(FT!B2,info!$L$3/2,0,info!$L$3/2,1))</f>
        <v>0.53086708108108094</v>
      </c>
      <c r="W3">
        <f ca="1">AVERAGE(OFFSET(FT!A2,0,0,info!$L$3/2,1))</f>
        <v>0.21579870270270268</v>
      </c>
      <c r="X3">
        <f ca="1">AVERAGE(OFFSET(FT!A2,info!$L$3/2,0,info!$L$3/2,1))</f>
        <v>0.34297658108108109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1.2087399999999999</v>
      </c>
      <c r="G4" s="61">
        <f>IF(FT!B4&lt;&gt;"",FT!B4*100,"")</f>
        <v>75.369900000000001</v>
      </c>
      <c r="H4" s="61">
        <f t="shared" si="1"/>
        <v>1</v>
      </c>
      <c r="I4" t="str">
        <f>IF(FT!B4&lt;&gt;"",FT!E4,"")</f>
        <v>1 [0.784302]</v>
      </c>
      <c r="J4">
        <f>IF(FT!B4&lt;&gt;"",FT!C4,"")</f>
        <v>0.78430200000000005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15.042350000000001</v>
      </c>
      <c r="V4">
        <f>U4*3</f>
        <v>45.127050000000004</v>
      </c>
      <c r="W4">
        <f>U4</f>
        <v>15.042350000000001</v>
      </c>
      <c r="X4">
        <f>V4</f>
        <v>45.127050000000004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1.2409699999999999</v>
      </c>
      <c r="G5" s="61">
        <f>IF(FT!B5&lt;&gt;"",FT!B5*100,"")</f>
        <v>74.506600000000006</v>
      </c>
      <c r="H5" s="61">
        <f t="shared" si="1"/>
        <v>1</v>
      </c>
      <c r="I5" t="str">
        <f>IF(FT!B5&lt;&gt;"",FT!E5,"")</f>
        <v>1 [1.191177]</v>
      </c>
      <c r="J5">
        <f>IF(FT!B5&lt;&gt;"",FT!C5,"")</f>
        <v>1.1911799999999999</v>
      </c>
      <c r="K5" t="s">
        <v>53</v>
      </c>
      <c r="L5" s="63">
        <f ca="1">MIN(FT_E)</f>
        <v>1.1573</v>
      </c>
      <c r="M5" s="63">
        <f ca="1">ROUND(L5,1)</f>
        <v>1.2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63.368568918918896</v>
      </c>
      <c r="V5">
        <f ca="1">V3*100</f>
        <v>53.086708108108091</v>
      </c>
      <c r="W5">
        <f ca="1">W3*10</f>
        <v>2.1579870270270267</v>
      </c>
      <c r="X5">
        <f ca="1">X3*10</f>
        <v>3.4297658108108111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1.2761400000000001</v>
      </c>
      <c r="G6" s="61">
        <f>IF(FT!B6&lt;&gt;"",FT!B6*100,"")</f>
        <v>73.584699999999998</v>
      </c>
      <c r="H6" s="61">
        <f t="shared" si="1"/>
        <v>1</v>
      </c>
      <c r="I6" t="str">
        <f>IF(FT!B6&lt;&gt;"",FT!E6,"")</f>
        <v>1 [1.592134]</v>
      </c>
      <c r="J6">
        <f>IF(FT!B6&lt;&gt;"",FT!C6,"")</f>
        <v>1.59213</v>
      </c>
      <c r="K6" t="s">
        <v>54</v>
      </c>
      <c r="L6" s="63">
        <f ca="1">MAX(FT_E)</f>
        <v>3.7156000000000002</v>
      </c>
      <c r="M6" s="63">
        <f ca="1">ROUND(L6,1)</f>
        <v>3.7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1.31569</v>
      </c>
      <c r="G7" s="61">
        <f>IF(FT!B7&lt;&gt;"",FT!B7*100,"")</f>
        <v>72.517799999999994</v>
      </c>
      <c r="H7" s="61">
        <f t="shared" si="1"/>
        <v>1</v>
      </c>
      <c r="I7" t="str">
        <f>IF(FT!B7&lt;&gt;"",FT!E7,"")</f>
        <v>1 [2.000340]</v>
      </c>
      <c r="J7">
        <f>IF(FT!B7&lt;&gt;"",FT!C7,"")</f>
        <v>2.00034</v>
      </c>
      <c r="K7" t="s">
        <v>55</v>
      </c>
      <c r="L7" s="63">
        <f ca="1">MIN(FT_PH)</f>
        <v>50.620299999999993</v>
      </c>
      <c r="M7" s="63">
        <f ca="1">ROUND(L7,1)</f>
        <v>50.6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1933</v>
      </c>
      <c r="D8" s="61">
        <f>FH!B8*1</f>
        <v>1933</v>
      </c>
      <c r="E8">
        <f t="shared" si="3"/>
        <v>6</v>
      </c>
      <c r="F8" s="61">
        <f>IF(FT!A8&lt;&gt;"",FT!A8*10,"")</f>
        <v>1.3568099999999998</v>
      </c>
      <c r="G8" s="61">
        <f>IF(FT!B8&lt;&gt;"",FT!B8*100,"")</f>
        <v>71.419200000000004</v>
      </c>
      <c r="H8" s="61">
        <f t="shared" si="1"/>
        <v>1</v>
      </c>
      <c r="I8" t="str">
        <f>IF(FT!B8&lt;&gt;"",FT!E8,"")</f>
        <v>1 [2.407957]</v>
      </c>
      <c r="J8">
        <f>IF(FT!B8&lt;&gt;"",FT!C8,"")</f>
        <v>2.4079600000000001</v>
      </c>
      <c r="K8" t="s">
        <v>56</v>
      </c>
      <c r="L8" s="63">
        <f ca="1">MAX(FT_PH)</f>
        <v>76.609499999999997</v>
      </c>
      <c r="M8" s="63">
        <f ca="1">ROUND(L8,1)</f>
        <v>76.599999999999994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1.3997799999999998</v>
      </c>
      <c r="G9" s="61">
        <f>IF(FT!B9&lt;&gt;"",FT!B9*100,"")</f>
        <v>70.331600000000009</v>
      </c>
      <c r="H9" s="61">
        <f t="shared" si="1"/>
        <v>1</v>
      </c>
      <c r="I9" t="str">
        <f>IF(FT!B9&lt;&gt;"",FT!E9,"")</f>
        <v>1 [2.811899]</v>
      </c>
      <c r="J9">
        <f>IF(FT!B9&lt;&gt;"",FT!C9,"")</f>
        <v>2.8119000000000001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5479</v>
      </c>
      <c r="D10" s="61">
        <f>FH!B10*1</f>
        <v>5479</v>
      </c>
      <c r="E10">
        <f t="shared" si="3"/>
        <v>8</v>
      </c>
      <c r="F10" s="61">
        <f>IF(FT!A10&lt;&gt;"",FT!A10*10,"")</f>
        <v>1.44421</v>
      </c>
      <c r="G10" s="61">
        <f>IF(FT!B10&lt;&gt;"",FT!B10*100,"")</f>
        <v>69.252700000000004</v>
      </c>
      <c r="H10" s="61">
        <f t="shared" si="1"/>
        <v>1</v>
      </c>
      <c r="I10" t="str">
        <f>IF(FT!B10&lt;&gt;"",FT!E10,"")</f>
        <v>1 [3.219795]</v>
      </c>
      <c r="J10">
        <f>IF(FT!B10&lt;&gt;"",FT!C10,"")</f>
        <v>3.2197900000000002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1.48672</v>
      </c>
      <c r="G11" s="61">
        <f>IF(FT!B11&lt;&gt;"",FT!B11*100,"")</f>
        <v>68.357100000000003</v>
      </c>
      <c r="H11" s="61">
        <f t="shared" si="1"/>
        <v>1</v>
      </c>
      <c r="I11" t="str">
        <f>IF(FT!B11&lt;&gt;"",FT!E11,"")</f>
        <v>1 [3.627719]</v>
      </c>
      <c r="J11">
        <f>IF(FT!B11&lt;&gt;"",FT!C11,"")</f>
        <v>3.6277200000000001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1.52948</v>
      </c>
      <c r="G12" s="61">
        <f>IF(FT!B12&lt;&gt;"",FT!B12*100,"")</f>
        <v>67.5184</v>
      </c>
      <c r="H12" s="61">
        <f t="shared" si="1"/>
        <v>1</v>
      </c>
      <c r="I12" t="str">
        <f>IF(FT!B12&lt;&gt;"",FT!E12,"")</f>
        <v>1 [4.029699]</v>
      </c>
      <c r="J12">
        <f>IF(FT!B12&lt;&gt;"",FT!C12,"")</f>
        <v>4.0297000000000001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11303</v>
      </c>
      <c r="D13" s="61">
        <f>FH!B13*1</f>
        <v>11303</v>
      </c>
      <c r="E13">
        <f t="shared" si="3"/>
        <v>11</v>
      </c>
      <c r="F13" s="61">
        <f>IF(FT!A13&lt;&gt;"",FT!A13*10,"")</f>
        <v>1.57315</v>
      </c>
      <c r="G13" s="61">
        <f>IF(FT!B13&lt;&gt;"",FT!B13*100,"")</f>
        <v>66.710700000000003</v>
      </c>
      <c r="H13" s="61">
        <f t="shared" si="1"/>
        <v>1</v>
      </c>
      <c r="I13" t="str">
        <f>IF(FT!B13&lt;&gt;"",FT!E13,"")</f>
        <v>1 [4.440646]</v>
      </c>
      <c r="J13">
        <f>IF(FT!B13&lt;&gt;"",FT!C13,"")</f>
        <v>4.4406499999999998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1.61572</v>
      </c>
      <c r="G14" s="61">
        <f>IF(FT!B14&lt;&gt;"",FT!B14*100,"")</f>
        <v>65.995899999999992</v>
      </c>
      <c r="H14" s="61">
        <f t="shared" si="1"/>
        <v>1</v>
      </c>
      <c r="I14" t="str">
        <f>IF(FT!B14&lt;&gt;"",FT!E14,"")</f>
        <v>1 [4.848421]</v>
      </c>
      <c r="J14">
        <f>IF(FT!B14&lt;&gt;"",FT!C14,"")</f>
        <v>4.84842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19848</v>
      </c>
      <c r="D15" s="61">
        <f>FH!B15*1</f>
        <v>19848</v>
      </c>
      <c r="E15">
        <f t="shared" si="3"/>
        <v>13</v>
      </c>
      <c r="F15" s="61">
        <f>IF(FT!A15&lt;&gt;"",FT!A15*10,"")</f>
        <v>1.6566100000000001</v>
      </c>
      <c r="G15" s="61">
        <f>IF(FT!B15&lt;&gt;"",FT!B15*100,"")</f>
        <v>65.424999999999997</v>
      </c>
      <c r="H15" s="61">
        <f t="shared" si="1"/>
        <v>1</v>
      </c>
      <c r="I15" t="str">
        <f>IF(FT!B15&lt;&gt;"",FT!E15,"")</f>
        <v>1 [5.253353]</v>
      </c>
      <c r="J15">
        <f>IF(FT!B15&lt;&gt;"",FT!C15,"")</f>
        <v>5.2533500000000002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1.6962199999999998</v>
      </c>
      <c r="G16" s="61">
        <f>IF(FT!B16&lt;&gt;"",FT!B16*100,"")</f>
        <v>64.962600000000009</v>
      </c>
      <c r="H16" s="61">
        <f t="shared" si="1"/>
        <v>1</v>
      </c>
      <c r="I16" t="str">
        <f>IF(FT!B16&lt;&gt;"",FT!E16,"")</f>
        <v>1 [5.655222]</v>
      </c>
      <c r="J16">
        <f>IF(FT!B16&lt;&gt;"",FT!C16,"")</f>
        <v>5.6552199999999999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1.7353499999999999</v>
      </c>
      <c r="G17" s="61">
        <f>IF(FT!B17&lt;&gt;"",FT!B17*100,"")</f>
        <v>64.573499999999996</v>
      </c>
      <c r="H17" s="61">
        <f t="shared" si="1"/>
        <v>1</v>
      </c>
      <c r="I17" t="str">
        <f>IF(FT!B17&lt;&gt;"",FT!E17,"")</f>
        <v>1 [6.065399]</v>
      </c>
      <c r="J17">
        <f>IF(FT!B17&lt;&gt;"",FT!C17,"")</f>
        <v>6.0654000000000003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26980</v>
      </c>
      <c r="D18" s="61">
        <f>FH!B18*1</f>
        <v>26980</v>
      </c>
      <c r="E18">
        <f t="shared" si="3"/>
        <v>16</v>
      </c>
      <c r="F18" s="61">
        <f>IF(FT!A18&lt;&gt;"",FT!A18*10,"")</f>
        <v>1.7737800000000001</v>
      </c>
      <c r="G18" s="61">
        <f>IF(FT!B18&lt;&gt;"",FT!B18*100,"")</f>
        <v>64.254199999999997</v>
      </c>
      <c r="H18" s="61">
        <f t="shared" si="1"/>
        <v>1</v>
      </c>
      <c r="I18" t="str">
        <f>IF(FT!B18&lt;&gt;"",FT!E18,"")</f>
        <v>1 [6.474079]</v>
      </c>
      <c r="J18">
        <f>IF(FT!B18&lt;&gt;"",FT!C18,"")</f>
        <v>6.4740799999999998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1.81047</v>
      </c>
      <c r="G19" s="61">
        <f>IF(FT!B19&lt;&gt;"",FT!B19*100,"")</f>
        <v>64.045000000000002</v>
      </c>
      <c r="H19" s="61">
        <f t="shared" si="1"/>
        <v>1</v>
      </c>
      <c r="I19" t="str">
        <f>IF(FT!B19&lt;&gt;"",FT!E19,"")</f>
        <v>1 [6.878990]</v>
      </c>
      <c r="J19">
        <f>IF(FT!B19&lt;&gt;"",FT!C19,"")</f>
        <v>6.8789899999999999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1.84659</v>
      </c>
      <c r="G20" s="61">
        <f>IF(FT!B20&lt;&gt;"",FT!B20*100,"")</f>
        <v>63.895000000000003</v>
      </c>
      <c r="H20" s="61">
        <f t="shared" si="1"/>
        <v>1</v>
      </c>
      <c r="I20" t="str">
        <f>IF(FT!B20&lt;&gt;"",FT!E20,"")</f>
        <v>1 [7.284902]</v>
      </c>
      <c r="J20">
        <f>IF(FT!B20&lt;&gt;"",FT!C20,"")</f>
        <v>7.2849000000000004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45047</v>
      </c>
      <c r="D21" s="61">
        <f>FH!B21*1</f>
        <v>45047</v>
      </c>
      <c r="E21">
        <f t="shared" si="3"/>
        <v>19</v>
      </c>
      <c r="F21" s="61">
        <f>IF(FT!A21&lt;&gt;"",FT!A21*10,"")</f>
        <v>1.8808400000000001</v>
      </c>
      <c r="G21" s="61">
        <f>IF(FT!B21&lt;&gt;"",FT!B21*100,"")</f>
        <v>63.8508</v>
      </c>
      <c r="H21" s="61">
        <f t="shared" si="1"/>
        <v>1</v>
      </c>
      <c r="I21" t="str">
        <f>IF(FT!B21&lt;&gt;"",FT!E21,"")</f>
        <v>1 [7.685883]</v>
      </c>
      <c r="J21">
        <f>IF(FT!B21&lt;&gt;"",FT!C21,"")</f>
        <v>7.68588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1.9125100000000002</v>
      </c>
      <c r="G22" s="61">
        <f>IF(FT!B22&lt;&gt;"",FT!B22*100,"")</f>
        <v>63.922999999999995</v>
      </c>
      <c r="H22" s="61">
        <f t="shared" si="1"/>
        <v>1</v>
      </c>
      <c r="I22" t="str">
        <f>IF(FT!B22&lt;&gt;"",FT!E22,"")</f>
        <v>1 [8.094958]</v>
      </c>
      <c r="J22">
        <f>IF(FT!B22&lt;&gt;"",FT!C22,"")</f>
        <v>8.0949600000000004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57548</v>
      </c>
      <c r="D23" s="61">
        <f>FH!B23*1</f>
        <v>57548</v>
      </c>
      <c r="E23">
        <f t="shared" si="3"/>
        <v>21</v>
      </c>
      <c r="F23" s="61">
        <f>IF(FT!A23&lt;&gt;"",FT!A23*10,"")</f>
        <v>1.94299</v>
      </c>
      <c r="G23" s="61">
        <f>IF(FT!B23&lt;&gt;"",FT!B23*100,"")</f>
        <v>64.046700000000001</v>
      </c>
      <c r="H23" s="61">
        <f t="shared" si="1"/>
        <v>1</v>
      </c>
      <c r="I23" t="str">
        <f>IF(FT!B23&lt;&gt;"",FT!E23,"")</f>
        <v>1 [8.503641]</v>
      </c>
      <c r="J23">
        <f>IF(FT!B23&lt;&gt;"",FT!C23,"")</f>
        <v>8.5036400000000008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1.9720800000000001</v>
      </c>
      <c r="G24" s="61">
        <f>IF(FT!B24&lt;&gt;"",FT!B24*100,"")</f>
        <v>64.216799999999992</v>
      </c>
      <c r="H24" s="61">
        <f t="shared" si="1"/>
        <v>1</v>
      </c>
      <c r="I24" t="str">
        <f>IF(FT!B24&lt;&gt;"",FT!E24,"")</f>
        <v>1 [8.911577]</v>
      </c>
      <c r="J24">
        <f>IF(FT!B24&lt;&gt;"",FT!C24,"")</f>
        <v>8.9115800000000007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1.9997599999999998</v>
      </c>
      <c r="G25" s="61">
        <f>IF(FT!B25&lt;&gt;"",FT!B25*100,"")</f>
        <v>64.443899999999999</v>
      </c>
      <c r="H25" s="61">
        <f t="shared" si="1"/>
        <v>1</v>
      </c>
      <c r="I25" t="str">
        <f>IF(FT!B25&lt;&gt;"",FT!E25,"")</f>
        <v>1 [9.315474]</v>
      </c>
      <c r="J25">
        <f>IF(FT!B25&lt;&gt;"",FT!C25,"")</f>
        <v>9.3154699999999995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74678</v>
      </c>
      <c r="D26" s="61">
        <f>FH!B26*1</f>
        <v>74678</v>
      </c>
      <c r="E26">
        <f t="shared" si="3"/>
        <v>24</v>
      </c>
      <c r="F26" s="61">
        <f>IF(FT!A26&lt;&gt;"",FT!A26*10,"")</f>
        <v>2.0264899999999999</v>
      </c>
      <c r="G26" s="61">
        <f>IF(FT!B26&lt;&gt;"",FT!B26*100,"")</f>
        <v>64.709800000000001</v>
      </c>
      <c r="H26" s="61">
        <f t="shared" si="1"/>
        <v>1</v>
      </c>
      <c r="I26" t="str">
        <f>IF(FT!B26&lt;&gt;"",FT!E26,"")</f>
        <v>1 [9.716645]</v>
      </c>
      <c r="J26">
        <f>IF(FT!B26&lt;&gt;"",FT!C26,"")</f>
        <v>9.7166499999999996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2.0518000000000001</v>
      </c>
      <c r="G27" s="61">
        <f>IF(FT!B27&lt;&gt;"",FT!B27*100,"")</f>
        <v>64.950699999999998</v>
      </c>
      <c r="H27" s="61">
        <f t="shared" si="1"/>
        <v>1</v>
      </c>
      <c r="I27" t="str">
        <f>IF(FT!B27&lt;&gt;"",FT!E27,"")</f>
        <v>1 [10.124281]</v>
      </c>
      <c r="J27">
        <f>IF(FT!B27&lt;&gt;"",FT!C27,"")</f>
        <v>10.1243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86183</v>
      </c>
      <c r="D28" s="61">
        <f>FH!B28*1</f>
        <v>86183</v>
      </c>
      <c r="E28">
        <f t="shared" si="3"/>
        <v>26</v>
      </c>
      <c r="F28" s="61">
        <f>IF(FT!A28&lt;&gt;"",FT!A28*10,"")</f>
        <v>2.0752300000000004</v>
      </c>
      <c r="G28" s="61">
        <f>IF(FT!B28&lt;&gt;"",FT!B28*100,"")</f>
        <v>65.125799999999998</v>
      </c>
      <c r="H28" s="61">
        <f t="shared" si="1"/>
        <v>1</v>
      </c>
      <c r="I28" t="str">
        <f>IF(FT!B28&lt;&gt;"",FT!E28,"")</f>
        <v>1 [10.535180]</v>
      </c>
      <c r="J28">
        <f>IF(FT!B28&lt;&gt;"",FT!C28,"")</f>
        <v>10.5352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2.0972499999999998</v>
      </c>
      <c r="G29" s="61">
        <f>IF(FT!B29&lt;&gt;"",FT!B29*100,"")</f>
        <v>65.241700000000009</v>
      </c>
      <c r="H29" s="61">
        <f t="shared" si="1"/>
        <v>1</v>
      </c>
      <c r="I29" t="str">
        <f>IF(FT!B29&lt;&gt;"",FT!E29,"")</f>
        <v>1 [10.939142]</v>
      </c>
      <c r="J29">
        <f>IF(FT!B29&lt;&gt;"",FT!C29,"")</f>
        <v>10.9391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2.1176900000000001</v>
      </c>
      <c r="G30" s="61">
        <f>IF(FT!B30&lt;&gt;"",FT!B30*100,"")</f>
        <v>65.275000000000006</v>
      </c>
      <c r="H30" s="61">
        <f t="shared" si="1"/>
        <v>1</v>
      </c>
      <c r="I30" t="str">
        <f>IF(FT!B30&lt;&gt;"",FT!E30,"")</f>
        <v>1 [11.349831]</v>
      </c>
      <c r="J30">
        <f>IF(FT!B30&lt;&gt;"",FT!C30,"")</f>
        <v>11.3498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105024</v>
      </c>
      <c r="D31" s="61">
        <f>FH!B31*1</f>
        <v>105024</v>
      </c>
      <c r="E31">
        <f t="shared" si="3"/>
        <v>29</v>
      </c>
      <c r="F31" s="61">
        <f>IF(FT!A31&lt;&gt;"",FT!A31*10,"")</f>
        <v>2.1372299999999997</v>
      </c>
      <c r="G31" s="61">
        <f>IF(FT!B31&lt;&gt;"",FT!B31*100,"")</f>
        <v>65.241399999999999</v>
      </c>
      <c r="H31" s="61">
        <f t="shared" si="1"/>
        <v>1</v>
      </c>
      <c r="I31" t="str">
        <f>IF(FT!B31&lt;&gt;"",FT!E31,"")</f>
        <v>1 [11.752922]</v>
      </c>
      <c r="J31">
        <f>IF(FT!B31&lt;&gt;"",FT!C31,"")</f>
        <v>11.7529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2.1543399999999999</v>
      </c>
      <c r="G32" s="61">
        <f>IF(FT!B32&lt;&gt;"",FT!B32*100,"")</f>
        <v>65.147300000000001</v>
      </c>
      <c r="H32" s="61">
        <f t="shared" si="1"/>
        <v>1</v>
      </c>
      <c r="I32" t="str">
        <f>IF(FT!B32&lt;&gt;"",FT!E32,"")</f>
        <v>1 [12.157317]</v>
      </c>
      <c r="J32">
        <f>IF(FT!B32&lt;&gt;"",FT!C32,"")</f>
        <v>12.157299999999999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87582</v>
      </c>
      <c r="D33" s="61">
        <f>FH!B33*1</f>
        <v>87582</v>
      </c>
      <c r="E33">
        <f t="shared" si="3"/>
        <v>31</v>
      </c>
      <c r="F33" s="61">
        <f>IF(FT!A33&lt;&gt;"",FT!A33*10,"")</f>
        <v>2.17035</v>
      </c>
      <c r="G33" s="61">
        <f>IF(FT!B33&lt;&gt;"",FT!B33*100,"")</f>
        <v>65.035399999999996</v>
      </c>
      <c r="H33" s="61">
        <f t="shared" si="1"/>
        <v>1</v>
      </c>
      <c r="I33" t="str">
        <f>IF(FT!B33&lt;&gt;"",FT!E33,"")</f>
        <v>1 [12.566161]</v>
      </c>
      <c r="J33">
        <f>IF(FT!B33&lt;&gt;"",FT!C33,"")</f>
        <v>12.5662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2.1863799999999998</v>
      </c>
      <c r="G34" s="61">
        <f>IF(FT!B34&lt;&gt;"",FT!B34*100,"")</f>
        <v>64.878699999999995</v>
      </c>
      <c r="H34" s="61">
        <f t="shared" si="1"/>
        <v>1</v>
      </c>
      <c r="I34" t="str">
        <f>IF(FT!B34&lt;&gt;"",FT!E34,"")</f>
        <v>1 [12.972917]</v>
      </c>
      <c r="J34">
        <f>IF(FT!B34&lt;&gt;"",FT!C34,"")</f>
        <v>12.972899999999999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2.2014900000000002</v>
      </c>
      <c r="G35" s="61">
        <f>IF(FT!B35&lt;&gt;"",FT!B35*100,"")</f>
        <v>64.706299999999999</v>
      </c>
      <c r="H35" s="61">
        <f t="shared" si="1"/>
        <v>1</v>
      </c>
      <c r="I35" t="str">
        <f>IF(FT!B35&lt;&gt;"",FT!E35,"")</f>
        <v>1 [13.375583]</v>
      </c>
      <c r="J35">
        <f>IF(FT!B35&lt;&gt;"",FT!C35,"")</f>
        <v>13.3756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95446</v>
      </c>
      <c r="D36" s="61">
        <f>FH!B36*1</f>
        <v>95446</v>
      </c>
      <c r="E36">
        <f t="shared" si="3"/>
        <v>34</v>
      </c>
      <c r="F36" s="61">
        <f>IF(FT!A36&lt;&gt;"",FT!A36*10,"")</f>
        <v>2.2195400000000003</v>
      </c>
      <c r="G36" s="61">
        <f>IF(FT!B36&lt;&gt;"",FT!B36*100,"")</f>
        <v>64.463899999999995</v>
      </c>
      <c r="H36" s="61">
        <f t="shared" si="1"/>
        <v>1</v>
      </c>
      <c r="I36" t="str">
        <f>IF(FT!B36&lt;&gt;"",FT!E36,"")</f>
        <v>1 [13.782521]</v>
      </c>
      <c r="J36">
        <f>IF(FT!B36&lt;&gt;"",FT!C36,"")</f>
        <v>13.782500000000001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2.2371699999999999</v>
      </c>
      <c r="G37" s="61">
        <f>IF(FT!B37&lt;&gt;"",FT!B37*100,"")</f>
        <v>64.238399999999999</v>
      </c>
      <c r="H37" s="61">
        <f t="shared" si="1"/>
        <v>1</v>
      </c>
      <c r="I37" t="str">
        <f>IF(FT!B37&lt;&gt;"",FT!E37,"")</f>
        <v>1 [14.189570]</v>
      </c>
      <c r="J37">
        <f>IF(FT!B37&lt;&gt;"",FT!C37,"")</f>
        <v>14.1896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2.2522500000000001</v>
      </c>
      <c r="G38" s="61">
        <f>IF(FT!B38&lt;&gt;"",FT!B38*100,"")</f>
        <v>64.063099999999991</v>
      </c>
      <c r="H38" s="61">
        <f t="shared" si="1"/>
        <v>1</v>
      </c>
      <c r="I38" t="str">
        <f>IF(FT!B38&lt;&gt;"",FT!E38,"")</f>
        <v>1 [14.597825]</v>
      </c>
      <c r="J38">
        <f>IF(FT!B38&lt;&gt;"",FT!C38,"")</f>
        <v>14.597799999999999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102724</v>
      </c>
      <c r="D39" s="61">
        <f>FH!B39*1</f>
        <v>102724</v>
      </c>
      <c r="E39">
        <f t="shared" si="3"/>
        <v>37</v>
      </c>
      <c r="F39" s="61">
        <f>IF(FT!A39&lt;&gt;"",FT!A39*10,"")</f>
        <v>2.2659099999999999</v>
      </c>
      <c r="G39" s="61">
        <f>IF(FT!B39&lt;&gt;"",FT!B39*100,"")</f>
        <v>63.945599999999999</v>
      </c>
      <c r="H39" s="61">
        <f t="shared" si="1"/>
        <v>1</v>
      </c>
      <c r="I39" t="str">
        <f>IF(FT!B39&lt;&gt;"",FT!E39,"")</f>
        <v>1 [15.002242]</v>
      </c>
      <c r="J39">
        <f>IF(FT!B39&lt;&gt;"",FT!C39,"")</f>
        <v>15.0022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2.2802099999999998</v>
      </c>
      <c r="G40" s="61">
        <f>IF(FT!B40&lt;&gt;"",FT!B40*100,"")</f>
        <v>63.802999999999997</v>
      </c>
      <c r="H40" s="61">
        <f t="shared" si="1"/>
        <v>1</v>
      </c>
      <c r="I40" t="str">
        <f>IF(FT!B40&lt;&gt;"",FT!E40,"")</f>
        <v>1 [15.405593]</v>
      </c>
      <c r="J40">
        <f>IF(FT!B40&lt;&gt;"",FT!C40,"")</f>
        <v>15.4056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108198</v>
      </c>
      <c r="D41" s="61">
        <f>FH!B41*1</f>
        <v>108198</v>
      </c>
      <c r="E41">
        <f t="shared" si="3"/>
        <v>39</v>
      </c>
      <c r="F41" s="61">
        <f>IF(FT!A41&lt;&gt;"",FT!A41*10,"")</f>
        <v>2.2946300000000002</v>
      </c>
      <c r="G41" s="61">
        <f>IF(FT!B41&lt;&gt;"",FT!B41*100,"")</f>
        <v>63.659299999999995</v>
      </c>
      <c r="H41" s="61">
        <f t="shared" si="1"/>
        <v>1</v>
      </c>
      <c r="I41" t="str">
        <f>IF(FT!B41&lt;&gt;"",FT!E41,"")</f>
        <v>1 [15.813030]</v>
      </c>
      <c r="J41">
        <f>IF(FT!B41&lt;&gt;"",FT!C41,"")</f>
        <v>15.813000000000001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2.3082500000000001</v>
      </c>
      <c r="G42" s="61">
        <f>IF(FT!B42&lt;&gt;"",FT!B42*100,"")</f>
        <v>63.5182</v>
      </c>
      <c r="H42" s="61">
        <f t="shared" si="1"/>
        <v>1</v>
      </c>
      <c r="I42" t="str">
        <f>IF(FT!B42&lt;&gt;"",FT!E42,"")</f>
        <v>1 [16.217206]</v>
      </c>
      <c r="J42">
        <f>IF(FT!B42&lt;&gt;"",FT!C42,"")</f>
        <v>16.217199999999998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2.3201999999999998</v>
      </c>
      <c r="G43" s="61">
        <f>IF(FT!B43&lt;&gt;"",FT!B43*100,"")</f>
        <v>63.407000000000004</v>
      </c>
      <c r="H43" s="61">
        <f t="shared" si="1"/>
        <v>1</v>
      </c>
      <c r="I43" t="str">
        <f>IF(FT!B43&lt;&gt;"",FT!E43,"")</f>
        <v>1 [16.625054]</v>
      </c>
      <c r="J43">
        <f>IF(FT!B43&lt;&gt;"",FT!C43,"")</f>
        <v>16.6251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115340</v>
      </c>
      <c r="D44" s="61">
        <f>FH!B44*1</f>
        <v>115340</v>
      </c>
      <c r="E44">
        <f t="shared" si="3"/>
        <v>42</v>
      </c>
      <c r="F44" s="61">
        <f>IF(FT!A44&lt;&gt;"",FT!A44*10,"")</f>
        <v>2.3319799999999997</v>
      </c>
      <c r="G44" s="61">
        <f>IF(FT!B44&lt;&gt;"",FT!B44*100,"")</f>
        <v>63.297099999999993</v>
      </c>
      <c r="H44" s="61">
        <f t="shared" si="1"/>
        <v>1</v>
      </c>
      <c r="I44" t="str">
        <f>IF(FT!B44&lt;&gt;"",FT!E44,"")</f>
        <v>1 [17.033705]</v>
      </c>
      <c r="J44">
        <f>IF(FT!B44&lt;&gt;"",FT!C44,"")</f>
        <v>17.0337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2.34273</v>
      </c>
      <c r="G45" s="61">
        <f>IF(FT!B45&lt;&gt;"",FT!B45*100,"")</f>
        <v>63.173299999999998</v>
      </c>
      <c r="H45" s="61">
        <f t="shared" si="1"/>
        <v>1</v>
      </c>
      <c r="I45" t="str">
        <f>IF(FT!B45&lt;&gt;"",FT!E45,"")</f>
        <v>1 [17.437685]</v>
      </c>
      <c r="J45">
        <f>IF(FT!B45&lt;&gt;"",FT!C45,"")</f>
        <v>17.4377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144456</v>
      </c>
      <c r="D46" s="61">
        <f>FH!B46*1</f>
        <v>144456</v>
      </c>
      <c r="E46">
        <f t="shared" si="3"/>
        <v>44</v>
      </c>
      <c r="F46" s="61">
        <f>IF(FT!A46&lt;&gt;"",FT!A46*10,"")</f>
        <v>2.3534199999999998</v>
      </c>
      <c r="G46" s="61">
        <f>IF(FT!B46&lt;&gt;"",FT!B46*100,"")</f>
        <v>63.030699999999996</v>
      </c>
      <c r="H46" s="61">
        <f t="shared" si="1"/>
        <v>1</v>
      </c>
      <c r="I46" t="str">
        <f>IF(FT!B46&lt;&gt;"",FT!E46,"")</f>
        <v>1 [17.842676]</v>
      </c>
      <c r="J46">
        <f>IF(FT!B46&lt;&gt;"",FT!C46,"")</f>
        <v>17.842700000000001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2.3657599999999999</v>
      </c>
      <c r="G47" s="61">
        <f>IF(FT!B47&lt;&gt;"",FT!B47*100,"")</f>
        <v>62.844299999999997</v>
      </c>
      <c r="H47" s="61">
        <f t="shared" si="1"/>
        <v>1</v>
      </c>
      <c r="I47" t="str">
        <f>IF(FT!B47&lt;&gt;"",FT!E47,"")</f>
        <v>1 [18.250646]</v>
      </c>
      <c r="J47">
        <f>IF(FT!B47&lt;&gt;"",FT!C47,"")</f>
        <v>18.250599999999999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2.37845</v>
      </c>
      <c r="G48" s="61">
        <f>IF(FT!B48&lt;&gt;"",FT!B48*100,"")</f>
        <v>62.641199999999998</v>
      </c>
      <c r="H48" s="61">
        <f t="shared" si="1"/>
        <v>1</v>
      </c>
      <c r="I48" t="str">
        <f>IF(FT!B48&lt;&gt;"",FT!E48,"")</f>
        <v>1 [18.654625]</v>
      </c>
      <c r="J48">
        <f>IF(FT!B48&lt;&gt;"",FT!C48,"")</f>
        <v>18.654599999999999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160968</v>
      </c>
      <c r="D49" s="61">
        <f>FH!B49*1</f>
        <v>160968</v>
      </c>
      <c r="E49">
        <f t="shared" si="3"/>
        <v>47</v>
      </c>
      <c r="F49" s="61">
        <f>IF(FT!A49&lt;&gt;"",FT!A49*10,"")</f>
        <v>2.39141</v>
      </c>
      <c r="G49" s="61">
        <f>IF(FT!B49&lt;&gt;"",FT!B49*100,"")</f>
        <v>62.435099999999998</v>
      </c>
      <c r="H49" s="61">
        <f t="shared" si="1"/>
        <v>1</v>
      </c>
      <c r="I49" t="str">
        <f>IF(FT!B49&lt;&gt;"",FT!E49,"")</f>
        <v>1 [19.066398]</v>
      </c>
      <c r="J49">
        <f>IF(FT!B49&lt;&gt;"",FT!C49,"")</f>
        <v>19.066400000000002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2.4079100000000002</v>
      </c>
      <c r="G50" s="61">
        <f>IF(FT!B50&lt;&gt;"",FT!B50*100,"")</f>
        <v>62.139900000000004</v>
      </c>
      <c r="H50" s="61">
        <f t="shared" si="1"/>
        <v>1</v>
      </c>
      <c r="I50" t="str">
        <f>IF(FT!B50&lt;&gt;"",FT!E50,"")</f>
        <v>1 [19.472339]</v>
      </c>
      <c r="J50">
        <f>IF(FT!B50&lt;&gt;"",FT!C50,"")</f>
        <v>19.472300000000001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179923</v>
      </c>
      <c r="D51" s="61">
        <f>FH!B51*1</f>
        <v>179923</v>
      </c>
      <c r="E51">
        <f t="shared" si="3"/>
        <v>49</v>
      </c>
      <c r="F51" s="61">
        <f>IF(FT!A51&lt;&gt;"",FT!A51*10,"")</f>
        <v>2.42774</v>
      </c>
      <c r="G51" s="61">
        <f>IF(FT!B51&lt;&gt;"",FT!B51*100,"")</f>
        <v>61.781799999999997</v>
      </c>
      <c r="H51" s="61">
        <f t="shared" si="1"/>
        <v>1</v>
      </c>
      <c r="I51" t="str">
        <f>IF(FT!B51&lt;&gt;"",FT!E51,"")</f>
        <v>1 [19.878203]</v>
      </c>
      <c r="J51">
        <f>IF(FT!B51&lt;&gt;"",FT!C51,"")</f>
        <v>19.8782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2.44272</v>
      </c>
      <c r="G52" s="61">
        <f>IF(FT!B52&lt;&gt;"",FT!B52*100,"")</f>
        <v>61.568800000000003</v>
      </c>
      <c r="H52" s="61">
        <f t="shared" si="1"/>
        <v>1</v>
      </c>
      <c r="I52" t="str">
        <f>IF(FT!B52&lt;&gt;"",FT!E52,"")</f>
        <v>1 [20.281306]</v>
      </c>
      <c r="J52">
        <f>IF(FT!B52&lt;&gt;"",FT!C52,"")</f>
        <v>20.281300000000002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2.4623400000000002</v>
      </c>
      <c r="G53" s="61">
        <f>IF(FT!B53&lt;&gt;"",FT!B53*100,"")</f>
        <v>61.252700000000004</v>
      </c>
      <c r="H53" s="61">
        <f t="shared" si="1"/>
        <v>1</v>
      </c>
      <c r="I53" t="str">
        <f>IF(FT!B53&lt;&gt;"",FT!E53,"")</f>
        <v>1 [20.687403]</v>
      </c>
      <c r="J53">
        <f>IF(FT!B53&lt;&gt;"",FT!C53,"")</f>
        <v>20.6874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183972</v>
      </c>
      <c r="D54" s="61">
        <f>FH!B54*1</f>
        <v>183972</v>
      </c>
      <c r="E54">
        <f t="shared" si="3"/>
        <v>52</v>
      </c>
      <c r="F54" s="61">
        <f>IF(FT!A54&lt;&gt;"",FT!A54*10,"")</f>
        <v>2.48014</v>
      </c>
      <c r="G54" s="61">
        <f>IF(FT!B54&lt;&gt;"",FT!B54*100,"")</f>
        <v>60.994899999999994</v>
      </c>
      <c r="H54" s="61">
        <f t="shared" si="1"/>
        <v>1</v>
      </c>
      <c r="I54" t="str">
        <f>IF(FT!B54&lt;&gt;"",FT!E54,"")</f>
        <v>1 [21.094983]</v>
      </c>
      <c r="J54">
        <f>IF(FT!B54&lt;&gt;"",FT!C54,"")</f>
        <v>21.094999999999999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2.4986700000000002</v>
      </c>
      <c r="G55" s="61">
        <f>IF(FT!B55&lt;&gt;"",FT!B55*100,"")</f>
        <v>60.689899999999994</v>
      </c>
      <c r="H55" s="61">
        <f t="shared" si="1"/>
        <v>1</v>
      </c>
      <c r="I55" t="str">
        <f>IF(FT!B55&lt;&gt;"",FT!E55,"")</f>
        <v>1 [21.503881]</v>
      </c>
      <c r="J55">
        <f>IF(FT!B55&lt;&gt;"",FT!C55,"")</f>
        <v>21.503900000000002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2.5166899999999996</v>
      </c>
      <c r="G56" s="61">
        <f>IF(FT!B56&lt;&gt;"",FT!B56*100,"")</f>
        <v>60.365100000000005</v>
      </c>
      <c r="H56" s="61">
        <f t="shared" si="1"/>
        <v>1</v>
      </c>
      <c r="I56" t="str">
        <f>IF(FT!B56&lt;&gt;"",FT!E56,"")</f>
        <v>1 [21.904823]</v>
      </c>
      <c r="J56">
        <f>IF(FT!B56&lt;&gt;"",FT!C56,"")</f>
        <v>21.904800000000002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195903</v>
      </c>
      <c r="D57" s="61">
        <f>FH!B57*1</f>
        <v>195903</v>
      </c>
      <c r="E57">
        <f t="shared" si="3"/>
        <v>55</v>
      </c>
      <c r="F57" s="61">
        <f>IF(FT!A57&lt;&gt;"",FT!A57*10,"")</f>
        <v>2.5331700000000001</v>
      </c>
      <c r="G57" s="61">
        <f>IF(FT!B57&lt;&gt;"",FT!B57*100,"")</f>
        <v>60.089300000000001</v>
      </c>
      <c r="H57" s="61">
        <f t="shared" si="1"/>
        <v>1</v>
      </c>
      <c r="I57" t="str">
        <f>IF(FT!B57&lt;&gt;"",FT!E57,"")</f>
        <v>1 [22.312725]</v>
      </c>
      <c r="J57">
        <f>IF(FT!B57&lt;&gt;"",FT!C57,"")</f>
        <v>22.3127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2.5489800000000002</v>
      </c>
      <c r="G58" s="61">
        <f>IF(FT!B58&lt;&gt;"",FT!B58*100,"")</f>
        <v>59.805399999999999</v>
      </c>
      <c r="H58" s="61">
        <f t="shared" si="1"/>
        <v>1</v>
      </c>
      <c r="I58" t="str">
        <f>IF(FT!B58&lt;&gt;"",FT!E58,"")</f>
        <v>1 [22.718608]</v>
      </c>
      <c r="J58">
        <f>IF(FT!B58&lt;&gt;"",FT!C58,"")</f>
        <v>22.718599999999999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202648</v>
      </c>
      <c r="D59" s="61">
        <f>FH!B59*1</f>
        <v>202648</v>
      </c>
      <c r="E59">
        <f t="shared" si="3"/>
        <v>57</v>
      </c>
      <c r="F59" s="61">
        <f>IF(FT!A59&lt;&gt;"",FT!A59*10,"")</f>
        <v>2.5634299999999999</v>
      </c>
      <c r="G59" s="61">
        <f>IF(FT!B59&lt;&gt;"",FT!B59*100,"")</f>
        <v>59.514500000000005</v>
      </c>
      <c r="H59" s="61">
        <f t="shared" si="1"/>
        <v>1</v>
      </c>
      <c r="I59" t="str">
        <f>IF(FT!B59&lt;&gt;"",FT!E59,"")</f>
        <v>1 [23.124520]</v>
      </c>
      <c r="J59">
        <f>IF(FT!B59&lt;&gt;"",FT!C59,"")</f>
        <v>23.124500000000001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2.5773600000000001</v>
      </c>
      <c r="G60" s="61">
        <f>IF(FT!B60&lt;&gt;"",FT!B60*100,"")</f>
        <v>59.218699999999998</v>
      </c>
      <c r="H60" s="61">
        <f t="shared" si="1"/>
        <v>1</v>
      </c>
      <c r="I60" t="str">
        <f>IF(FT!B60&lt;&gt;"",FT!E60,"")</f>
        <v>1 [23.528429]</v>
      </c>
      <c r="J60">
        <f>IF(FT!B60&lt;&gt;"",FT!C60,"")</f>
        <v>23.528400000000001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2.59056</v>
      </c>
      <c r="G61" s="61">
        <f>IF(FT!B61&lt;&gt;"",FT!B61*100,"")</f>
        <v>58.863100000000003</v>
      </c>
      <c r="H61" s="61">
        <f t="shared" si="1"/>
        <v>1</v>
      </c>
      <c r="I61" t="str">
        <f>IF(FT!B61&lt;&gt;"",FT!E61,"")</f>
        <v>1 [23.937519]</v>
      </c>
      <c r="J61">
        <f>IF(FT!B61&lt;&gt;"",FT!C61,"")</f>
        <v>23.9375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210638</v>
      </c>
      <c r="D62" s="61">
        <f>FH!B62*1</f>
        <v>210638</v>
      </c>
      <c r="E62">
        <f t="shared" si="3"/>
        <v>60</v>
      </c>
      <c r="F62" s="61">
        <f>IF(FT!A62&lt;&gt;"",FT!A62*10,"")</f>
        <v>2.6039099999999999</v>
      </c>
      <c r="G62" s="61">
        <f>IF(FT!B62&lt;&gt;"",FT!B62*100,"")</f>
        <v>58.478499999999997</v>
      </c>
      <c r="H62" s="61">
        <f t="shared" si="1"/>
        <v>1</v>
      </c>
      <c r="I62" t="str">
        <f>IF(FT!B62&lt;&gt;"",FT!E62,"")</f>
        <v>1 [24.346262]</v>
      </c>
      <c r="J62">
        <f>IF(FT!B62&lt;&gt;"",FT!C62,"")</f>
        <v>24.346299999999999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2.6172599999999999</v>
      </c>
      <c r="G63" s="61">
        <f>IF(FT!B63&lt;&gt;"",FT!B63*100,"")</f>
        <v>58.121999999999993</v>
      </c>
      <c r="H63" s="61">
        <f t="shared" si="1"/>
        <v>1</v>
      </c>
      <c r="I63" t="str">
        <f>IF(FT!B63&lt;&gt;"",FT!E63,"")</f>
        <v>1 [24.752172]</v>
      </c>
      <c r="J63">
        <f>IF(FT!B63&lt;&gt;"",FT!C63,"")</f>
        <v>24.752199999999998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208181</v>
      </c>
      <c r="D64" s="61">
        <f>FH!B64*1</f>
        <v>208181</v>
      </c>
      <c r="E64">
        <f t="shared" si="3"/>
        <v>62</v>
      </c>
      <c r="F64" s="61">
        <f>IF(FT!A64&lt;&gt;"",FT!A64*10,"")</f>
        <v>2.6333099999999998</v>
      </c>
      <c r="G64" s="61">
        <f>IF(FT!B64&lt;&gt;"",FT!B64*100,"")</f>
        <v>57.725300000000004</v>
      </c>
      <c r="H64" s="61">
        <f t="shared" si="1"/>
        <v>1</v>
      </c>
      <c r="I64" t="str">
        <f>IF(FT!B64&lt;&gt;"",FT!E64,"")</f>
        <v>1 [25.154559]</v>
      </c>
      <c r="J64">
        <f>IF(FT!B64&lt;&gt;"",FT!C64,"")</f>
        <v>25.154599999999999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2.6503500000000004</v>
      </c>
      <c r="G65" s="61">
        <f>IF(FT!B65&lt;&gt;"",FT!B65*100,"")</f>
        <v>57.328900000000004</v>
      </c>
      <c r="H65" s="61">
        <f t="shared" si="1"/>
        <v>1</v>
      </c>
      <c r="I65" t="str">
        <f>IF(FT!B65&lt;&gt;"",FT!E65,"")</f>
        <v>1 [25.563026]</v>
      </c>
      <c r="J65">
        <f>IF(FT!B65&lt;&gt;"",FT!C65,"")</f>
        <v>25.562999999999999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2.6692999999999998</v>
      </c>
      <c r="G66" s="61">
        <f>IF(FT!B66&lt;&gt;"",FT!B66*100,"")</f>
        <v>56.909200000000006</v>
      </c>
      <c r="H66" s="61">
        <f t="shared" si="1"/>
        <v>1</v>
      </c>
      <c r="I66" t="str">
        <f>IF(FT!B66&lt;&gt;"",FT!E66,"")</f>
        <v>1 [25.968262]</v>
      </c>
      <c r="J66">
        <f>IF(FT!B66&lt;&gt;"",FT!C66,"")</f>
        <v>25.968299999999999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205624</v>
      </c>
      <c r="D67" s="61">
        <f>FH!B67*1</f>
        <v>205624</v>
      </c>
      <c r="E67">
        <f t="shared" si="3"/>
        <v>65</v>
      </c>
      <c r="F67" s="61">
        <f>IF(FT!A67&lt;&gt;"",FT!A67*10,"")</f>
        <v>2.6878200000000003</v>
      </c>
      <c r="G67" s="61">
        <f>IF(FT!B67&lt;&gt;"",FT!B67*100,"")</f>
        <v>56.535599999999995</v>
      </c>
      <c r="H67" s="61">
        <f t="shared" ref="H67:H130" si="9">(IF(F67&lt;&gt;"",1,""))</f>
        <v>1</v>
      </c>
      <c r="I67" t="str">
        <f>IF(FT!B67&lt;&gt;"",FT!E67,"")</f>
        <v>1 [26.376924]</v>
      </c>
      <c r="J67">
        <f>IF(FT!B67&lt;&gt;"",FT!C67,"")</f>
        <v>26.376899999999999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2.7063799999999998</v>
      </c>
      <c r="G68" s="61">
        <f>IF(FT!B68&lt;&gt;"",FT!B68*100,"")</f>
        <v>56.212700000000005</v>
      </c>
      <c r="H68" s="61">
        <f t="shared" si="9"/>
        <v>1</v>
      </c>
      <c r="I68" t="str">
        <f>IF(FT!B68&lt;&gt;"",FT!E68,"")</f>
        <v>1 [26.782803]</v>
      </c>
      <c r="J68">
        <f>IF(FT!B68&lt;&gt;"",FT!C68,"")</f>
        <v>26.782800000000002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207904</v>
      </c>
      <c r="D69" s="61">
        <f>FH!B69*1</f>
        <v>207904</v>
      </c>
      <c r="E69">
        <f t="shared" si="11"/>
        <v>67</v>
      </c>
      <c r="F69" s="61">
        <f>IF(FT!A69&lt;&gt;"",FT!A69*10,"")</f>
        <v>2.7270499999999998</v>
      </c>
      <c r="G69" s="61">
        <f>IF(FT!B69&lt;&gt;"",FT!B69*100,"")</f>
        <v>55.864400000000003</v>
      </c>
      <c r="H69" s="61">
        <f t="shared" si="9"/>
        <v>1</v>
      </c>
      <c r="I69" t="str">
        <f>IF(FT!B69&lt;&gt;"",FT!E69,"")</f>
        <v>1 [27.184299]</v>
      </c>
      <c r="J69">
        <f>IF(FT!B69&lt;&gt;"",FT!C69,"")</f>
        <v>27.1843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2.7479100000000001</v>
      </c>
      <c r="G70" s="61">
        <f>IF(FT!B70&lt;&gt;"",FT!B70*100,"")</f>
        <v>55.562400000000004</v>
      </c>
      <c r="H70" s="61">
        <f t="shared" si="9"/>
        <v>1</v>
      </c>
      <c r="I70" t="str">
        <f>IF(FT!B70&lt;&gt;"",FT!E70,"")</f>
        <v>1 [27.596657]</v>
      </c>
      <c r="J70">
        <f>IF(FT!B70&lt;&gt;"",FT!C70,"")</f>
        <v>27.596699999999998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2.7683900000000001</v>
      </c>
      <c r="G71" s="61">
        <f>IF(FT!B71&lt;&gt;"",FT!B71*100,"")</f>
        <v>55.335100000000004</v>
      </c>
      <c r="H71" s="61">
        <f t="shared" si="9"/>
        <v>1</v>
      </c>
      <c r="I71" t="str">
        <f>IF(FT!B71&lt;&gt;"",FT!E71,"")</f>
        <v>1 [28.000240]</v>
      </c>
      <c r="J71">
        <f>IF(FT!B71&lt;&gt;"",FT!C71,"")</f>
        <v>28.0002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207166</v>
      </c>
      <c r="D72" s="61">
        <f>FH!B72*1</f>
        <v>207166</v>
      </c>
      <c r="E72">
        <f t="shared" si="11"/>
        <v>70</v>
      </c>
      <c r="F72" s="61">
        <f>IF(FT!A72&lt;&gt;"",FT!A72*10,"")</f>
        <v>2.7888400000000004</v>
      </c>
      <c r="G72" s="61">
        <f>IF(FT!B72&lt;&gt;"",FT!B72*100,"")</f>
        <v>55.157500000000006</v>
      </c>
      <c r="H72" s="61">
        <f t="shared" si="9"/>
        <v>1</v>
      </c>
      <c r="I72" t="str">
        <f>IF(FT!B72&lt;&gt;"",FT!E72,"")</f>
        <v>1 [28.407473]</v>
      </c>
      <c r="J72">
        <f>IF(FT!B72&lt;&gt;"",FT!C72,"")</f>
        <v>28.407499999999999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2.80661</v>
      </c>
      <c r="G73" s="61">
        <f>IF(FT!B73&lt;&gt;"",FT!B73*100,"")</f>
        <v>55.069400000000002</v>
      </c>
      <c r="H73" s="61">
        <f t="shared" si="9"/>
        <v>1</v>
      </c>
      <c r="I73" t="str">
        <f>IF(FT!B73&lt;&gt;"",FT!E73,"")</f>
        <v>1 [28.816219]</v>
      </c>
      <c r="J73">
        <f>IF(FT!B73&lt;&gt;"",FT!C73,"")</f>
        <v>28.816199999999998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2.8232499999999998</v>
      </c>
      <c r="G74" s="61">
        <f>IF(FT!B74&lt;&gt;"",FT!B74*100,"")</f>
        <v>55.008100000000006</v>
      </c>
      <c r="H74" s="61">
        <f t="shared" si="9"/>
        <v>1</v>
      </c>
      <c r="I74" t="str">
        <f>IF(FT!B74&lt;&gt;"",FT!E74,"")</f>
        <v>1 [29.219257]</v>
      </c>
      <c r="J74">
        <f>IF(FT!B74&lt;&gt;"",FT!C74,"")</f>
        <v>29.2193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212292</v>
      </c>
      <c r="D75" s="61">
        <f>FH!B75*1</f>
        <v>212292</v>
      </c>
      <c r="E75">
        <f t="shared" si="11"/>
        <v>73</v>
      </c>
      <c r="F75" s="61">
        <f>IF(FT!A75&lt;&gt;"",FT!A75*10,"")</f>
        <v>2.8379300000000001</v>
      </c>
      <c r="G75" s="61">
        <f>IF(FT!B75&lt;&gt;"",FT!B75*100,"")</f>
        <v>54.947100000000006</v>
      </c>
      <c r="H75" s="61">
        <f t="shared" si="9"/>
        <v>1</v>
      </c>
      <c r="I75" t="str">
        <f>IF(FT!B75&lt;&gt;"",FT!E75,"")</f>
        <v>1 [29.624162]</v>
      </c>
      <c r="J75">
        <f>IF(FT!B75&lt;&gt;"",FT!C75,"")</f>
        <v>29.624199999999998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2.8505000000000003</v>
      </c>
      <c r="G76" s="61">
        <f>IF(FT!B76&lt;&gt;"",FT!B76*100,"")</f>
        <v>54.870300000000007</v>
      </c>
      <c r="H76" s="61">
        <f t="shared" si="9"/>
        <v>1</v>
      </c>
      <c r="I76" t="str">
        <f>IF(FT!B76&lt;&gt;"",FT!E76,"")</f>
        <v>1 [30.034044]</v>
      </c>
      <c r="J76">
        <f>IF(FT!B76&lt;&gt;"",FT!C76,"")</f>
        <v>30.033999999999999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207668</v>
      </c>
      <c r="D77" s="61">
        <f>FH!B77*1</f>
        <v>207668</v>
      </c>
      <c r="E77">
        <f t="shared" si="11"/>
        <v>75</v>
      </c>
      <c r="F77" s="61">
        <f>IF(FT!A77&lt;&gt;"",FT!A77*10,"")</f>
        <v>2.8674100000000005</v>
      </c>
      <c r="G77" s="61">
        <f>IF(FT!B77&lt;&gt;"",FT!B77*100,"")</f>
        <v>54.777000000000001</v>
      </c>
      <c r="H77" s="61">
        <f t="shared" si="9"/>
        <v>1</v>
      </c>
      <c r="I77" t="str">
        <f>IF(FT!B77&lt;&gt;"",FT!E77,"")</f>
        <v>2 [30.640076]</v>
      </c>
      <c r="J77">
        <f>IF(FT!B77&lt;&gt;"",FT!C77,"")</f>
        <v>30.6401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2.8850700000000002</v>
      </c>
      <c r="G78" s="61">
        <f>IF(FT!B78&lt;&gt;"",FT!B78*100,"")</f>
        <v>54.654599999999995</v>
      </c>
      <c r="H78" s="61">
        <f t="shared" si="9"/>
        <v>1</v>
      </c>
      <c r="I78" t="str">
        <f>IF(FT!B78&lt;&gt;"",FT!E78,"")</f>
        <v>2 [31.014671]</v>
      </c>
      <c r="J78">
        <f>IF(FT!B78&lt;&gt;"",FT!C78,"")</f>
        <v>31.014700000000001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2.90381</v>
      </c>
      <c r="G79" s="61">
        <f>IF(FT!B79&lt;&gt;"",FT!B79*100,"")</f>
        <v>54.514600000000002</v>
      </c>
      <c r="H79" s="61">
        <f t="shared" si="9"/>
        <v>1</v>
      </c>
      <c r="I79" t="str">
        <f>IF(FT!B79&lt;&gt;"",FT!E79,"")</f>
        <v>2 [31.391998]</v>
      </c>
      <c r="J79">
        <f>IF(FT!B79&lt;&gt;"",FT!C79,"")</f>
        <v>31.391999999999999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217776</v>
      </c>
      <c r="D80" s="61">
        <f>FH!B80*1</f>
        <v>217776</v>
      </c>
      <c r="E80">
        <f t="shared" si="11"/>
        <v>78</v>
      </c>
      <c r="F80" s="61">
        <f>IF(FT!A80&lt;&gt;"",FT!A80*10,"")</f>
        <v>2.9248699999999999</v>
      </c>
      <c r="G80" s="61">
        <f>IF(FT!B80&lt;&gt;"",FT!B80*100,"")</f>
        <v>54.349199999999996</v>
      </c>
      <c r="H80" s="61">
        <f t="shared" si="9"/>
        <v>1</v>
      </c>
      <c r="I80" t="str">
        <f>IF(FT!B80&lt;&gt;"",FT!E80,"")</f>
        <v>2 [31.768424]</v>
      </c>
      <c r="J80">
        <f>IF(FT!B80&lt;&gt;"",FT!C80,"")</f>
        <v>31.7684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2.9503900000000001</v>
      </c>
      <c r="G81" s="61">
        <f>IF(FT!B81&lt;&gt;"",FT!B81*100,"")</f>
        <v>54.120199999999997</v>
      </c>
      <c r="H81" s="61">
        <f t="shared" si="9"/>
        <v>1</v>
      </c>
      <c r="I81" t="str">
        <f>IF(FT!B81&lt;&gt;"",FT!E81,"")</f>
        <v>2 [32.144402]</v>
      </c>
      <c r="J81">
        <f>IF(FT!B81&lt;&gt;"",FT!C81,"")</f>
        <v>32.144399999999997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206740</v>
      </c>
      <c r="D82" s="61">
        <f>FH!B82*1</f>
        <v>206740</v>
      </c>
      <c r="E82">
        <f t="shared" si="11"/>
        <v>80</v>
      </c>
      <c r="F82" s="61">
        <f>IF(FT!A82&lt;&gt;"",FT!A82*10,"")</f>
        <v>2.9784699999999997</v>
      </c>
      <c r="G82" s="61">
        <f>IF(FT!B82&lt;&gt;"",FT!B82*100,"")</f>
        <v>53.905200000000001</v>
      </c>
      <c r="H82" s="61">
        <f t="shared" si="9"/>
        <v>1</v>
      </c>
      <c r="I82" t="str">
        <f>IF(FT!B82&lt;&gt;"",FT!E82,"")</f>
        <v>2 [32.545959]</v>
      </c>
      <c r="J82">
        <f>IF(FT!B82&lt;&gt;"",FT!C82,"")</f>
        <v>32.545999999999999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3.0058099999999999</v>
      </c>
      <c r="G83" s="61">
        <f>IF(FT!B83&lt;&gt;"",FT!B83*100,"")</f>
        <v>53.756800000000005</v>
      </c>
      <c r="H83" s="61">
        <f t="shared" si="9"/>
        <v>1</v>
      </c>
      <c r="I83" t="str">
        <f>IF(FT!B83&lt;&gt;"",FT!E83,"")</f>
        <v>2 [32.952290]</v>
      </c>
      <c r="J83">
        <f>IF(FT!B83&lt;&gt;"",FT!C83,"")</f>
        <v>32.952300000000001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3.0327900000000003</v>
      </c>
      <c r="G84" s="61">
        <f>IF(FT!B84&lt;&gt;"",FT!B84*100,"")</f>
        <v>53.646599999999999</v>
      </c>
      <c r="H84" s="61">
        <f t="shared" si="9"/>
        <v>1</v>
      </c>
      <c r="I84" t="str">
        <f>IF(FT!B84&lt;&gt;"",FT!E84,"")</f>
        <v>2 [33.359407]</v>
      </c>
      <c r="J84">
        <f>IF(FT!B84&lt;&gt;"",FT!C84,"")</f>
        <v>33.359400000000001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211023</v>
      </c>
      <c r="D85" s="61">
        <f>FH!B85*1</f>
        <v>211023</v>
      </c>
      <c r="E85">
        <f t="shared" si="11"/>
        <v>83</v>
      </c>
      <c r="F85" s="61">
        <f>IF(FT!A85&lt;&gt;"",FT!A85*10,"")</f>
        <v>3.0595499999999998</v>
      </c>
      <c r="G85" s="61">
        <f>IF(FT!B85&lt;&gt;"",FT!B85*100,"")</f>
        <v>53.572399999999995</v>
      </c>
      <c r="H85" s="61">
        <f t="shared" si="9"/>
        <v>1</v>
      </c>
      <c r="I85" t="str">
        <f>IF(FT!B85&lt;&gt;"",FT!E85,"")</f>
        <v>2 [33.771056]</v>
      </c>
      <c r="J85">
        <f>IF(FT!B85&lt;&gt;"",FT!C85,"")</f>
        <v>33.771099999999997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3.08602</v>
      </c>
      <c r="G86" s="61">
        <f>IF(FT!B86&lt;&gt;"",FT!B86*100,"")</f>
        <v>53.517099999999992</v>
      </c>
      <c r="H86" s="61">
        <f t="shared" si="9"/>
        <v>1</v>
      </c>
      <c r="I86" t="str">
        <f>IF(FT!B86&lt;&gt;"",FT!E86,"")</f>
        <v>2 [34.174964]</v>
      </c>
      <c r="J86">
        <f>IF(FT!B86&lt;&gt;"",FT!C86,"")</f>
        <v>34.174999999999997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3.1121100000000004</v>
      </c>
      <c r="G87" s="61">
        <f>IF(FT!B87&lt;&gt;"",FT!B87*100,"")</f>
        <v>53.4617</v>
      </c>
      <c r="H87" s="61">
        <f t="shared" si="9"/>
        <v>1</v>
      </c>
      <c r="I87" t="str">
        <f>IF(FT!B87&lt;&gt;"",FT!E87,"")</f>
        <v>2 [34.578952]</v>
      </c>
      <c r="J87">
        <f>IF(FT!B87&lt;&gt;"",FT!C87,"")</f>
        <v>34.579000000000001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205645</v>
      </c>
      <c r="D88" s="61">
        <f>FH!B88*1</f>
        <v>205645</v>
      </c>
      <c r="E88">
        <f t="shared" si="11"/>
        <v>86</v>
      </c>
      <c r="F88" s="61">
        <f>IF(FT!A88&lt;&gt;"",FT!A88*10,"")</f>
        <v>3.13863</v>
      </c>
      <c r="G88" s="61">
        <f>IF(FT!B88&lt;&gt;"",FT!B88*100,"")</f>
        <v>53.387900000000002</v>
      </c>
      <c r="H88" s="61">
        <f t="shared" si="9"/>
        <v>1</v>
      </c>
      <c r="I88" t="str">
        <f>IF(FT!B88&lt;&gt;"",FT!E88,"")</f>
        <v>2 [34.985837]</v>
      </c>
      <c r="J88">
        <f>IF(FT!B88&lt;&gt;"",FT!C88,"")</f>
        <v>34.985799999999998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3.1655899999999999</v>
      </c>
      <c r="G89" s="61">
        <f>IF(FT!B89&lt;&gt;"",FT!B89*100,"")</f>
        <v>53.259199999999993</v>
      </c>
      <c r="H89" s="61">
        <f t="shared" si="9"/>
        <v>1</v>
      </c>
      <c r="I89" t="str">
        <f>IF(FT!B89&lt;&gt;"",FT!E89,"")</f>
        <v>2 [35.387573]</v>
      </c>
      <c r="J89">
        <f>IF(FT!B89&lt;&gt;"",FT!C89,"")</f>
        <v>35.387599999999999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188627</v>
      </c>
      <c r="D90" s="61">
        <f>FH!B90*1</f>
        <v>188627</v>
      </c>
      <c r="E90">
        <f t="shared" si="11"/>
        <v>88</v>
      </c>
      <c r="F90" s="61">
        <f>IF(FT!A90&lt;&gt;"",FT!A90*10,"")</f>
        <v>3.1888699999999996</v>
      </c>
      <c r="G90" s="61">
        <f>IF(FT!B90&lt;&gt;"",FT!B90*100,"")</f>
        <v>53.186900000000001</v>
      </c>
      <c r="H90" s="61">
        <f t="shared" si="9"/>
        <v>1</v>
      </c>
      <c r="I90" t="str">
        <f>IF(FT!B90&lt;&gt;"",FT!E90,"")</f>
        <v>2 [35.801697]</v>
      </c>
      <c r="J90">
        <f>IF(FT!B90&lt;&gt;"",FT!C90,"")</f>
        <v>35.801699999999997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3.2102199999999996</v>
      </c>
      <c r="G91" s="61">
        <f>IF(FT!B91&lt;&gt;"",FT!B91*100,"")</f>
        <v>53.16</v>
      </c>
      <c r="H91" s="61">
        <f t="shared" si="9"/>
        <v>1</v>
      </c>
      <c r="I91" t="str">
        <f>IF(FT!B91&lt;&gt;"",FT!E91,"")</f>
        <v>2 [36.204734]</v>
      </c>
      <c r="J91">
        <f>IF(FT!B91&lt;&gt;"",FT!C91,"")</f>
        <v>36.204700000000003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3.2326500000000005</v>
      </c>
      <c r="G92" s="61">
        <f>IF(FT!B92&lt;&gt;"",FT!B92*100,"")</f>
        <v>53.117999999999995</v>
      </c>
      <c r="H92" s="61">
        <f t="shared" si="9"/>
        <v>1</v>
      </c>
      <c r="I92" t="str">
        <f>IF(FT!B92&lt;&gt;"",FT!E92,"")</f>
        <v>2 [36.609435]</v>
      </c>
      <c r="J92">
        <f>IF(FT!B92&lt;&gt;"",FT!C92,"")</f>
        <v>36.609400000000001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194029</v>
      </c>
      <c r="D93" s="61">
        <f>FH!B93*1</f>
        <v>194029</v>
      </c>
      <c r="E93">
        <f t="shared" si="11"/>
        <v>91</v>
      </c>
      <c r="F93" s="61">
        <f>IF(FT!A93&lt;&gt;"",FT!A93*10,"")</f>
        <v>3.2573400000000001</v>
      </c>
      <c r="G93" s="61">
        <f>IF(FT!B93&lt;&gt;"",FT!B93*100,"")</f>
        <v>52.990200000000002</v>
      </c>
      <c r="H93" s="61">
        <f t="shared" si="9"/>
        <v>1</v>
      </c>
      <c r="I93" t="str">
        <f>IF(FT!B93&lt;&gt;"",FT!E93,"")</f>
        <v>2 [37.013574]</v>
      </c>
      <c r="J93">
        <f>IF(FT!B93&lt;&gt;"",FT!C93,"")</f>
        <v>37.013599999999997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3.2815799999999999</v>
      </c>
      <c r="G94" s="61">
        <f>IF(FT!B94&lt;&gt;"",FT!B94*100,"")</f>
        <v>52.856999999999999</v>
      </c>
      <c r="H94" s="61">
        <f t="shared" si="9"/>
        <v>1</v>
      </c>
      <c r="I94" t="str">
        <f>IF(FT!B94&lt;&gt;"",FT!E94,"")</f>
        <v>2 [37.424087]</v>
      </c>
      <c r="J94">
        <f>IF(FT!B94&lt;&gt;"",FT!C94,"")</f>
        <v>37.424100000000003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179961</v>
      </c>
      <c r="D95" s="61">
        <f>FH!B95*1</f>
        <v>179961</v>
      </c>
      <c r="E95">
        <f t="shared" si="11"/>
        <v>93</v>
      </c>
      <c r="F95" s="61">
        <f>IF(FT!A95&lt;&gt;"",FT!A95*10,"")</f>
        <v>3.3067899999999999</v>
      </c>
      <c r="G95" s="61">
        <f>IF(FT!B95&lt;&gt;"",FT!B95*100,"")</f>
        <v>52.724899999999998</v>
      </c>
      <c r="H95" s="61">
        <f t="shared" si="9"/>
        <v>1</v>
      </c>
      <c r="I95" t="str">
        <f>IF(FT!B95&lt;&gt;"",FT!E95,"")</f>
        <v>2 [37.828250]</v>
      </c>
      <c r="J95">
        <f>IF(FT!B95&lt;&gt;"",FT!C95,"")</f>
        <v>37.828200000000002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3.3331100000000005</v>
      </c>
      <c r="G96" s="61">
        <f>IF(FT!B96&lt;&gt;"",FT!B96*100,"")</f>
        <v>52.572399999999995</v>
      </c>
      <c r="H96" s="61">
        <f t="shared" si="9"/>
        <v>1</v>
      </c>
      <c r="I96" t="str">
        <f>IF(FT!B96&lt;&gt;"",FT!E96,"")</f>
        <v>2 [38.236072]</v>
      </c>
      <c r="J96">
        <f>IF(FT!B96&lt;&gt;"",FT!C96,"")</f>
        <v>38.2361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3.3580999999999999</v>
      </c>
      <c r="G97" s="61">
        <f>IF(FT!B97&lt;&gt;"",FT!B97*100,"")</f>
        <v>52.482700000000001</v>
      </c>
      <c r="H97" s="61">
        <f t="shared" si="9"/>
        <v>1</v>
      </c>
      <c r="I97" t="str">
        <f>IF(FT!B97&lt;&gt;"",FT!E97,"")</f>
        <v>2 [38.645037]</v>
      </c>
      <c r="J97">
        <f>IF(FT!B97&lt;&gt;"",FT!C97,"")</f>
        <v>38.645000000000003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165862</v>
      </c>
      <c r="D98" s="61">
        <f>FH!B98*1</f>
        <v>165862</v>
      </c>
      <c r="E98">
        <f t="shared" si="11"/>
        <v>96</v>
      </c>
      <c r="F98" s="61">
        <f>IF(FT!A98&lt;&gt;"",FT!A98*10,"")</f>
        <v>3.3843800000000002</v>
      </c>
      <c r="G98" s="61">
        <f>IF(FT!B98&lt;&gt;"",FT!B98*100,"")</f>
        <v>52.436000000000007</v>
      </c>
      <c r="H98" s="61">
        <f t="shared" si="9"/>
        <v>1</v>
      </c>
      <c r="I98" t="str">
        <f>IF(FT!B98&lt;&gt;"",FT!E98,"")</f>
        <v>2 [39.045989]</v>
      </c>
      <c r="J98">
        <f>IF(FT!B98&lt;&gt;"",FT!C98,"")</f>
        <v>39.045999999999999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3.4078399999999998</v>
      </c>
      <c r="G99" s="61">
        <f>IF(FT!B99&lt;&gt;"",FT!B99*100,"")</f>
        <v>52.466799999999999</v>
      </c>
      <c r="H99" s="61">
        <f t="shared" si="9"/>
        <v>1</v>
      </c>
      <c r="I99" t="str">
        <f>IF(FT!B99&lt;&gt;"",FT!E99,"")</f>
        <v>2 [39.451876]</v>
      </c>
      <c r="J99">
        <f>IF(FT!B99&lt;&gt;"",FT!C99,"")</f>
        <v>39.451900000000002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151923</v>
      </c>
      <c r="D100" s="61">
        <f>FH!B100*1</f>
        <v>151923</v>
      </c>
      <c r="E100">
        <f t="shared" si="11"/>
        <v>98</v>
      </c>
      <c r="F100" s="61">
        <f>IF(FT!A100&lt;&gt;"",FT!A100*10,"")</f>
        <v>3.42896</v>
      </c>
      <c r="G100" s="61">
        <f>IF(FT!B100&lt;&gt;"",FT!B100*100,"")</f>
        <v>52.501699999999992</v>
      </c>
      <c r="H100" s="61">
        <f t="shared" si="9"/>
        <v>1</v>
      </c>
      <c r="I100" t="str">
        <f>IF(FT!B100&lt;&gt;"",FT!E100,"")</f>
        <v>2 [39.861793]</v>
      </c>
      <c r="J100">
        <f>IF(FT!B100&lt;&gt;"",FT!C100,"")</f>
        <v>39.861800000000002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3.4488999999999996</v>
      </c>
      <c r="G101" s="61">
        <f>IF(FT!B101&lt;&gt;"",FT!B101*100,"")</f>
        <v>52.534000000000006</v>
      </c>
      <c r="H101" s="61">
        <f t="shared" si="9"/>
        <v>1</v>
      </c>
      <c r="I101" t="str">
        <f>IF(FT!B101&lt;&gt;"",FT!E101,"")</f>
        <v>2 [40.268936]</v>
      </c>
      <c r="J101">
        <f>IF(FT!B101&lt;&gt;"",FT!C101,"")</f>
        <v>40.268900000000002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3.4674300000000002</v>
      </c>
      <c r="G102" s="61">
        <f>IF(FT!B102&lt;&gt;"",FT!B102*100,"")</f>
        <v>52.5139</v>
      </c>
      <c r="H102" s="61">
        <f t="shared" si="9"/>
        <v>1</v>
      </c>
      <c r="I102" t="str">
        <f>IF(FT!B102&lt;&gt;"",FT!E102,"")</f>
        <v>2 [40.673604]</v>
      </c>
      <c r="J102">
        <f>IF(FT!B102&lt;&gt;"",FT!C102,"")</f>
        <v>40.6736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140780</v>
      </c>
      <c r="D103" s="61">
        <f>FH!B103*1</f>
        <v>140780</v>
      </c>
      <c r="E103">
        <f t="shared" si="11"/>
        <v>101</v>
      </c>
      <c r="F103" s="61">
        <f>IF(FT!A103&lt;&gt;"",FT!A103*10,"")</f>
        <v>3.4855799999999997</v>
      </c>
      <c r="G103" s="61">
        <f>IF(FT!B103&lt;&gt;"",FT!B103*100,"")</f>
        <v>52.435900000000004</v>
      </c>
      <c r="H103" s="61">
        <f t="shared" si="9"/>
        <v>1</v>
      </c>
      <c r="I103" t="str">
        <f>IF(FT!B103&lt;&gt;"",FT!E103,"")</f>
        <v>2 [41.078534]</v>
      </c>
      <c r="J103">
        <f>IF(FT!B103&lt;&gt;"",FT!C103,"")</f>
        <v>41.078499999999998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3.5031400000000001</v>
      </c>
      <c r="G104" s="61">
        <f>IF(FT!B104&lt;&gt;"",FT!B104*100,"")</f>
        <v>52.365099999999998</v>
      </c>
      <c r="H104" s="61">
        <f t="shared" si="9"/>
        <v>1</v>
      </c>
      <c r="I104" t="str">
        <f>IF(FT!B104&lt;&gt;"",FT!E104,"")</f>
        <v>2 [41.483473]</v>
      </c>
      <c r="J104">
        <f>IF(FT!B104&lt;&gt;"",FT!C104,"")</f>
        <v>41.483499999999999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3.5214600000000003</v>
      </c>
      <c r="G105" s="61">
        <f>IF(FT!B105&lt;&gt;"",FT!B105*100,"")</f>
        <v>52.238600000000005</v>
      </c>
      <c r="H105" s="61">
        <f t="shared" si="9"/>
        <v>1</v>
      </c>
      <c r="I105" t="str">
        <f>IF(FT!B105&lt;&gt;"",FT!E105,"")</f>
        <v>2 [41.891412]</v>
      </c>
      <c r="J105">
        <f>IF(FT!B105&lt;&gt;"",FT!C105,"")</f>
        <v>41.891399999999997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133313</v>
      </c>
      <c r="D106" s="61">
        <f>FH!B106*1</f>
        <v>133313</v>
      </c>
      <c r="E106">
        <f t="shared" si="11"/>
        <v>104</v>
      </c>
      <c r="F106" s="61">
        <f>IF(FT!A106&lt;&gt;"",FT!A106*10,"")</f>
        <v>3.5432999999999999</v>
      </c>
      <c r="G106" s="61">
        <f>IF(FT!B106&lt;&gt;"",FT!B106*100,"")</f>
        <v>52.018000000000001</v>
      </c>
      <c r="H106" s="61">
        <f t="shared" si="9"/>
        <v>1</v>
      </c>
      <c r="I106" t="str">
        <f>IF(FT!B106&lt;&gt;"",FT!E106,"")</f>
        <v>2 [42.299280]</v>
      </c>
      <c r="J106">
        <f>IF(FT!B106&lt;&gt;"",FT!C106,"")</f>
        <v>42.299300000000002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3.5667999999999997</v>
      </c>
      <c r="G107" s="61">
        <f>IF(FT!B107&lt;&gt;"",FT!B107*100,"")</f>
        <v>51.716099999999997</v>
      </c>
      <c r="H107" s="61">
        <f t="shared" si="9"/>
        <v>1</v>
      </c>
      <c r="I107" t="str">
        <f>IF(FT!B107&lt;&gt;"",FT!E107,"")</f>
        <v>2 [42.708174]</v>
      </c>
      <c r="J107">
        <f>IF(FT!B107&lt;&gt;"",FT!C107,"")</f>
        <v>42.708199999999998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119198</v>
      </c>
      <c r="D108" s="61">
        <f>FH!B108*1</f>
        <v>119198</v>
      </c>
      <c r="E108">
        <f t="shared" si="11"/>
        <v>106</v>
      </c>
      <c r="F108" s="61">
        <f>IF(FT!A108&lt;&gt;"",FT!A108*10,"")</f>
        <v>3.5929799999999998</v>
      </c>
      <c r="G108" s="61">
        <f>IF(FT!B108&lt;&gt;"",FT!B108*100,"")</f>
        <v>51.366100000000003</v>
      </c>
      <c r="H108" s="61">
        <f t="shared" si="9"/>
        <v>1</v>
      </c>
      <c r="I108" t="str">
        <f>IF(FT!B108&lt;&gt;"",FT!E108,"")</f>
        <v>2 [43.108116]</v>
      </c>
      <c r="J108">
        <f>IF(FT!B108&lt;&gt;"",FT!C108,"")</f>
        <v>43.1081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3.62039</v>
      </c>
      <c r="G109" s="61">
        <f>IF(FT!B109&lt;&gt;"",FT!B109*100,"")</f>
        <v>51.007899999999992</v>
      </c>
      <c r="H109" s="61">
        <f t="shared" si="9"/>
        <v>1</v>
      </c>
      <c r="I109" t="str">
        <f>IF(FT!B109&lt;&gt;"",FT!E109,"")</f>
        <v>2 [43.516038]</v>
      </c>
      <c r="J109">
        <f>IF(FT!B109&lt;&gt;"",FT!C109,"")</f>
        <v>43.515999999999998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3.6451899999999999</v>
      </c>
      <c r="G110" s="61">
        <f>IF(FT!B110&lt;&gt;"",FT!B110*100,"")</f>
        <v>50.767899999999997</v>
      </c>
      <c r="H110" s="61">
        <f t="shared" si="9"/>
        <v>1</v>
      </c>
      <c r="I110" t="str">
        <f>IF(FT!B110&lt;&gt;"",FT!E110,"")</f>
        <v>2 [43.920955]</v>
      </c>
      <c r="J110">
        <f>IF(FT!B110&lt;&gt;"",FT!C110,"")</f>
        <v>43.920999999999999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105892</v>
      </c>
      <c r="D111" s="61">
        <f>FH!B111*1</f>
        <v>105892</v>
      </c>
      <c r="E111">
        <f t="shared" si="11"/>
        <v>109</v>
      </c>
      <c r="F111" s="61">
        <f>IF(FT!A111&lt;&gt;"",FT!A111*10,"")</f>
        <v>3.6648300000000003</v>
      </c>
      <c r="G111" s="61">
        <f>IF(FT!B111&lt;&gt;"",FT!B111*100,"")</f>
        <v>50.642499999999998</v>
      </c>
      <c r="H111" s="61">
        <f t="shared" si="9"/>
        <v>1</v>
      </c>
      <c r="I111" t="str">
        <f>IF(FT!B111&lt;&gt;"",FT!E111,"")</f>
        <v>2 [44.327286]</v>
      </c>
      <c r="J111">
        <f>IF(FT!B111&lt;&gt;"",FT!C111,"")</f>
        <v>44.327300000000001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3.6794599999999997</v>
      </c>
      <c r="G112" s="61">
        <f>IF(FT!B112&lt;&gt;"",FT!B112*100,"")</f>
        <v>50.620299999999993</v>
      </c>
      <c r="H112" s="61">
        <f t="shared" si="9"/>
        <v>1</v>
      </c>
      <c r="I112" t="str">
        <f>IF(FT!B112&lt;&gt;"",FT!E112,"")</f>
        <v>2 [44.734941]</v>
      </c>
      <c r="J112">
        <f>IF(FT!B112&lt;&gt;"",FT!C112,"")</f>
        <v>44.734900000000003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86832</v>
      </c>
      <c r="D113" s="61">
        <f>FH!B113*1</f>
        <v>86832</v>
      </c>
      <c r="E113">
        <f t="shared" si="11"/>
        <v>111</v>
      </c>
      <c r="F113" s="61">
        <f>IF(FT!A113&lt;&gt;"",FT!A113*10,"")</f>
        <v>3.68994</v>
      </c>
      <c r="G113" s="61">
        <f>IF(FT!B113&lt;&gt;"",FT!B113*100,"")</f>
        <v>50.631999999999998</v>
      </c>
      <c r="H113" s="61">
        <f t="shared" si="9"/>
        <v>1</v>
      </c>
      <c r="I113" t="str">
        <f>IF(FT!B113&lt;&gt;"",FT!E113,"")</f>
        <v>2 [45.138666]</v>
      </c>
      <c r="J113">
        <f>IF(FT!B113&lt;&gt;"",FT!C113,"")</f>
        <v>45.1387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3.69665</v>
      </c>
      <c r="G114" s="61">
        <f>IF(FT!B114&lt;&gt;"",FT!B114*100,"")</f>
        <v>50.653099999999995</v>
      </c>
      <c r="H114" s="61">
        <f t="shared" si="9"/>
        <v>1</v>
      </c>
      <c r="I114" t="str">
        <f>IF(FT!B114&lt;&gt;"",FT!E114,"")</f>
        <v>2 [45.550631]</v>
      </c>
      <c r="J114">
        <f>IF(FT!B114&lt;&gt;"",FT!C114,"")</f>
        <v>45.550600000000003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3.70214</v>
      </c>
      <c r="G115" s="61">
        <f>IF(FT!B115&lt;&gt;"",FT!B115*100,"")</f>
        <v>50.734500000000004</v>
      </c>
      <c r="H115" s="61">
        <f t="shared" si="9"/>
        <v>1</v>
      </c>
      <c r="I115" t="str">
        <f>IF(FT!B115&lt;&gt;"",FT!E115,"")</f>
        <v>2 [45.955449]</v>
      </c>
      <c r="J115">
        <f>IF(FT!B115&lt;&gt;"",FT!C115,"")</f>
        <v>45.955399999999997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76060</v>
      </c>
      <c r="D116" s="61">
        <f>FH!B116*1</f>
        <v>76060</v>
      </c>
      <c r="E116">
        <f t="shared" si="11"/>
        <v>114</v>
      </c>
      <c r="F116" s="61">
        <f>IF(FT!A116&lt;&gt;"",FT!A116*10,"")</f>
        <v>3.7087599999999998</v>
      </c>
      <c r="G116" s="61">
        <f>IF(FT!B116&lt;&gt;"",FT!B116*100,"")</f>
        <v>50.828700000000005</v>
      </c>
      <c r="H116" s="61">
        <f t="shared" si="9"/>
        <v>1</v>
      </c>
      <c r="I116" t="str">
        <f>IF(FT!B116&lt;&gt;"",FT!E116,"")</f>
        <v>2 [46.359420]</v>
      </c>
      <c r="J116">
        <f>IF(FT!B116&lt;&gt;"",FT!C116,"")</f>
        <v>46.359400000000001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3.7152600000000002</v>
      </c>
      <c r="G117" s="61">
        <f>IF(FT!B117&lt;&gt;"",FT!B117*100,"")</f>
        <v>50.937800000000003</v>
      </c>
      <c r="H117" s="61">
        <f t="shared" si="9"/>
        <v>1</v>
      </c>
      <c r="I117" t="str">
        <f>IF(FT!B117&lt;&gt;"",FT!E117,"")</f>
        <v>2 [46.765454]</v>
      </c>
      <c r="J117">
        <f>IF(FT!B117&lt;&gt;"",FT!C117,"")</f>
        <v>46.765500000000003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72713</v>
      </c>
      <c r="D118" s="61">
        <f>FH!B118*1</f>
        <v>72713</v>
      </c>
      <c r="E118">
        <f t="shared" si="11"/>
        <v>116</v>
      </c>
      <c r="F118" s="61">
        <f>IF(FT!A118&lt;&gt;"",FT!A118*10,"")</f>
        <v>3.7156000000000002</v>
      </c>
      <c r="G118" s="61">
        <f>IF(FT!B118&lt;&gt;"",FT!B118*100,"")</f>
        <v>51.0837</v>
      </c>
      <c r="H118" s="61">
        <f t="shared" si="9"/>
        <v>1</v>
      </c>
      <c r="I118" t="str">
        <f>IF(FT!B118&lt;&gt;"",FT!E118,"")</f>
        <v>2 [47.170251]</v>
      </c>
      <c r="J118">
        <f>IF(FT!B118&lt;&gt;"",FT!C118,"")</f>
        <v>47.170299999999997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3.7131099999999999</v>
      </c>
      <c r="G119" s="61">
        <f>IF(FT!B119&lt;&gt;"",FT!B119*100,"")</f>
        <v>51.227199999999996</v>
      </c>
      <c r="H119" s="61">
        <f t="shared" si="9"/>
        <v>1</v>
      </c>
      <c r="I119" t="str">
        <f>IF(FT!B119&lt;&gt;"",FT!E119,"")</f>
        <v>2 [47.582275]</v>
      </c>
      <c r="J119">
        <f>IF(FT!B119&lt;&gt;"",FT!C119,"")</f>
        <v>47.582299999999996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3.70797</v>
      </c>
      <c r="G120" s="61">
        <f>IF(FT!B120&lt;&gt;"",FT!B120*100,"")</f>
        <v>51.356199999999994</v>
      </c>
      <c r="H120" s="61">
        <f t="shared" si="9"/>
        <v>1</v>
      </c>
      <c r="I120" t="str">
        <f>IF(FT!B120&lt;&gt;"",FT!E120,"")</f>
        <v>2 [47.986082]</v>
      </c>
      <c r="J120">
        <f>IF(FT!B120&lt;&gt;"",FT!C120,"")</f>
        <v>47.9861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71798</v>
      </c>
      <c r="D121" s="61">
        <f>FH!B121*1</f>
        <v>71798</v>
      </c>
      <c r="E121">
        <f t="shared" si="11"/>
        <v>119</v>
      </c>
      <c r="F121" s="61">
        <f>IF(FT!A121&lt;&gt;"",FT!A121*10,"")</f>
        <v>3.6987999999999999</v>
      </c>
      <c r="G121" s="61">
        <f>IF(FT!B121&lt;&gt;"",FT!B121*100,"")</f>
        <v>51.4786</v>
      </c>
      <c r="H121" s="61">
        <f t="shared" si="9"/>
        <v>1</v>
      </c>
      <c r="I121" t="str">
        <f>IF(FT!B121&lt;&gt;"",FT!E121,"")</f>
        <v>2 [48.387972]</v>
      </c>
      <c r="J121">
        <f>IF(FT!B121&lt;&gt;"",FT!C121,"")</f>
        <v>48.387999999999998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3.6885300000000001</v>
      </c>
      <c r="G122" s="61">
        <f>IF(FT!B122&lt;&gt;"",FT!B122*100,"")</f>
        <v>51.564799999999998</v>
      </c>
      <c r="H122" s="61">
        <f t="shared" si="9"/>
        <v>1</v>
      </c>
      <c r="I122" t="str">
        <f>IF(FT!B122&lt;&gt;"",FT!E122,"")</f>
        <v>2 [48.793825]</v>
      </c>
      <c r="J122">
        <f>IF(FT!B122&lt;&gt;"",FT!C122,"")</f>
        <v>48.793799999999997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3.6775000000000002</v>
      </c>
      <c r="G123" s="61">
        <f>IF(FT!B123&lt;&gt;"",FT!B123*100,"")</f>
        <v>51.638500000000001</v>
      </c>
      <c r="H123" s="61">
        <f t="shared" si="9"/>
        <v>1</v>
      </c>
      <c r="I123" t="str">
        <f>IF(FT!B123&lt;&gt;"",FT!E123,"")</f>
        <v>2 [49.201941]</v>
      </c>
      <c r="J123">
        <f>IF(FT!B123&lt;&gt;"",FT!C123,"")</f>
        <v>49.201900000000002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69714</v>
      </c>
      <c r="D124" s="61">
        <f>FH!B124*1</f>
        <v>69714</v>
      </c>
      <c r="E124">
        <f t="shared" si="11"/>
        <v>122</v>
      </c>
      <c r="F124" s="61">
        <f>IF(FT!A124&lt;&gt;"",FT!A124*10,"")</f>
        <v>3.66927</v>
      </c>
      <c r="G124" s="61">
        <f>IF(FT!B124&lt;&gt;"",FT!B124*100,"")</f>
        <v>51.709099999999999</v>
      </c>
      <c r="H124" s="61">
        <f t="shared" si="9"/>
        <v>1</v>
      </c>
      <c r="I124" t="str">
        <f>IF(FT!B124&lt;&gt;"",FT!E124,"")</f>
        <v>2 [49.610748]</v>
      </c>
      <c r="J124">
        <f>IF(FT!B124&lt;&gt;"",FT!C124,"")</f>
        <v>49.610700000000001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3.6620499999999998</v>
      </c>
      <c r="G125" s="61">
        <f>IF(FT!B125&lt;&gt;"",FT!B125*100,"")</f>
        <v>51.797699999999999</v>
      </c>
      <c r="H125" s="61">
        <f t="shared" si="9"/>
        <v>1</v>
      </c>
      <c r="I125" t="str">
        <f>IF(FT!B125&lt;&gt;"",FT!E125,"")</f>
        <v>2 [50.016730]</v>
      </c>
      <c r="J125">
        <f>IF(FT!B125&lt;&gt;"",FT!C125,"")</f>
        <v>50.0167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60935</v>
      </c>
      <c r="D126" s="61">
        <f>FH!B126*1</f>
        <v>60935</v>
      </c>
      <c r="E126">
        <f t="shared" si="11"/>
        <v>124</v>
      </c>
      <c r="F126" s="61">
        <f>IF(FT!A126&lt;&gt;"",FT!A126*10,"")</f>
        <v>3.6601099999999995</v>
      </c>
      <c r="G126" s="61">
        <f>IF(FT!B126&lt;&gt;"",FT!B126*100,"")</f>
        <v>51.873999999999995</v>
      </c>
      <c r="H126" s="61">
        <f t="shared" si="9"/>
        <v>1</v>
      </c>
      <c r="I126" t="str">
        <f>IF(FT!B126&lt;&gt;"",FT!E126,"")</f>
        <v>2 [50.422562]</v>
      </c>
      <c r="J126">
        <f>IF(FT!B126&lt;&gt;"",FT!C126,"")</f>
        <v>50.422600000000003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3.6636500000000001</v>
      </c>
      <c r="G127" s="61">
        <f>IF(FT!B127&lt;&gt;"",FT!B127*100,"")</f>
        <v>51.933599999999998</v>
      </c>
      <c r="H127" s="61">
        <f t="shared" si="9"/>
        <v>1</v>
      </c>
      <c r="I127" t="str">
        <f>IF(FT!B127&lt;&gt;"",FT!E127,"")</f>
        <v>2 [50.827479]</v>
      </c>
      <c r="J127">
        <f>IF(FT!B127&lt;&gt;"",FT!C127,"")</f>
        <v>50.827500000000001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3.66595</v>
      </c>
      <c r="G128" s="61">
        <f>IF(FT!B128&lt;&gt;"",FT!B128*100,"")</f>
        <v>52.022400000000005</v>
      </c>
      <c r="H128" s="61">
        <f t="shared" si="9"/>
        <v>1</v>
      </c>
      <c r="I128" t="str">
        <f>IF(FT!B128&lt;&gt;"",FT!E128,"")</f>
        <v>2 [51.231779]</v>
      </c>
      <c r="J128">
        <f>IF(FT!B128&lt;&gt;"",FT!C128,"")</f>
        <v>51.2318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59069</v>
      </c>
      <c r="D129" s="61">
        <f>FH!B129*1</f>
        <v>59069</v>
      </c>
      <c r="E129">
        <f t="shared" si="11"/>
        <v>127</v>
      </c>
      <c r="F129" s="61">
        <f>IF(FT!A129&lt;&gt;"",FT!A129*10,"")</f>
        <v>3.6676799999999998</v>
      </c>
      <c r="G129" s="61">
        <f>IF(FT!B129&lt;&gt;"",FT!B129*100,"")</f>
        <v>52.125999999999998</v>
      </c>
      <c r="H129" s="61">
        <f t="shared" si="9"/>
        <v>1</v>
      </c>
      <c r="I129" t="str">
        <f>IF(FT!B129&lt;&gt;"",FT!E129,"")</f>
        <v>2 [51.644312]</v>
      </c>
      <c r="J129">
        <f>IF(FT!B129&lt;&gt;"",FT!C129,"")</f>
        <v>51.644300000000001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3.6660199999999996</v>
      </c>
      <c r="G130" s="61">
        <f>IF(FT!B130&lt;&gt;"",FT!B130*100,"")</f>
        <v>52.2532</v>
      </c>
      <c r="H130" s="61">
        <f t="shared" si="9"/>
        <v>1</v>
      </c>
      <c r="I130" t="str">
        <f>IF(FT!B130&lt;&gt;"",FT!E130,"")</f>
        <v>2 [52.052177]</v>
      </c>
      <c r="J130">
        <f>IF(FT!B130&lt;&gt;"",FT!C130,"")</f>
        <v>52.052199999999999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48973</v>
      </c>
      <c r="D131" s="61">
        <f>FH!B131*1</f>
        <v>48973</v>
      </c>
      <c r="E131">
        <f t="shared" si="11"/>
        <v>129</v>
      </c>
      <c r="F131" s="61">
        <f>IF(FT!A131&lt;&gt;"",FT!A131*10,"")</f>
        <v>3.65632</v>
      </c>
      <c r="G131" s="61">
        <f>IF(FT!B131&lt;&gt;"",FT!B131*100,"")</f>
        <v>52.444500000000005</v>
      </c>
      <c r="H131" s="61">
        <f t="shared" ref="H131:H194" si="13">(IF(F131&lt;&gt;"",1,""))</f>
        <v>1</v>
      </c>
      <c r="I131" t="str">
        <f>IF(FT!B131&lt;&gt;"",FT!E131,"")</f>
        <v>2 [52.451086]</v>
      </c>
      <c r="J131">
        <f>IF(FT!B131&lt;&gt;"",FT!C131,"")</f>
        <v>52.451099999999997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3.6405599999999998</v>
      </c>
      <c r="G132" s="61">
        <f>IF(FT!B132&lt;&gt;"",FT!B132*100,"")</f>
        <v>52.7316</v>
      </c>
      <c r="H132" s="61">
        <f t="shared" si="13"/>
        <v>1</v>
      </c>
      <c r="I132" t="str">
        <f>IF(FT!B132&lt;&gt;"",FT!E132,"")</f>
        <v>2 [52.861351]</v>
      </c>
      <c r="J132">
        <f>IF(FT!B132&lt;&gt;"",FT!C132,"")</f>
        <v>52.861400000000003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3.6187900000000002</v>
      </c>
      <c r="G133" s="61">
        <f>IF(FT!B133&lt;&gt;"",FT!B133*100,"")</f>
        <v>53.1539</v>
      </c>
      <c r="H133" s="61">
        <f t="shared" si="13"/>
        <v>1</v>
      </c>
      <c r="I133" t="str">
        <f>IF(FT!B133&lt;&gt;"",FT!E133,"")</f>
        <v>2 [53.262555]</v>
      </c>
      <c r="J133">
        <f>IF(FT!B133&lt;&gt;"",FT!C133,"")</f>
        <v>53.262599999999999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40509</v>
      </c>
      <c r="D134" s="61">
        <f>FH!B134*1</f>
        <v>40509</v>
      </c>
      <c r="E134">
        <f t="shared" si="15"/>
        <v>132</v>
      </c>
      <c r="F134" s="61">
        <f>IF(FT!A134&lt;&gt;"",FT!A134*10,"")</f>
        <v>3.5915699999999999</v>
      </c>
      <c r="G134" s="61">
        <f>IF(FT!B134&lt;&gt;"",FT!B134*100,"")</f>
        <v>53.729300000000002</v>
      </c>
      <c r="H134" s="61">
        <f t="shared" si="13"/>
        <v>1</v>
      </c>
      <c r="I134" t="str">
        <f>IF(FT!B134&lt;&gt;"",FT!E134,"")</f>
        <v>2 [53.668923]</v>
      </c>
      <c r="J134">
        <f>IF(FT!B134&lt;&gt;"",FT!C134,"")</f>
        <v>53.668900000000001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3.5632599999999996</v>
      </c>
      <c r="G135" s="61">
        <f>IF(FT!B135&lt;&gt;"",FT!B135*100,"")</f>
        <v>54.253799999999998</v>
      </c>
      <c r="H135" s="61">
        <f t="shared" si="13"/>
        <v>1</v>
      </c>
      <c r="I135" t="str">
        <f>IF(FT!B135&lt;&gt;"",FT!E135,"")</f>
        <v>2 [54.082465]</v>
      </c>
      <c r="J135">
        <f>IF(FT!B135&lt;&gt;"",FT!C135,"")</f>
        <v>54.082500000000003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34615</v>
      </c>
      <c r="D136" s="61">
        <f>FH!B136*1</f>
        <v>34615</v>
      </c>
      <c r="E136">
        <f t="shared" si="15"/>
        <v>134</v>
      </c>
      <c r="F136" s="61">
        <f>IF(FT!A136&lt;&gt;"",FT!A136*10,"")</f>
        <v>3.5385400000000002</v>
      </c>
      <c r="G136" s="61">
        <f>IF(FT!B136&lt;&gt;"",FT!B136*100,"")</f>
        <v>54.677399999999999</v>
      </c>
      <c r="H136" s="61">
        <f t="shared" si="13"/>
        <v>1</v>
      </c>
      <c r="I136" t="str">
        <f>IF(FT!B136&lt;&gt;"",FT!E136,"")</f>
        <v>2 [54.482682]</v>
      </c>
      <c r="J136">
        <f>IF(FT!B136&lt;&gt;"",FT!C136,"")</f>
        <v>54.482700000000001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3.5192800000000002</v>
      </c>
      <c r="G137" s="61">
        <f>IF(FT!B137&lt;&gt;"",FT!B137*100,"")</f>
        <v>54.979399999999998</v>
      </c>
      <c r="H137" s="61">
        <f t="shared" si="13"/>
        <v>1</v>
      </c>
      <c r="I137" t="str">
        <f>IF(FT!B137&lt;&gt;"",FT!E137,"")</f>
        <v>2 [54.889585]</v>
      </c>
      <c r="J137">
        <f>IF(FT!B137&lt;&gt;"",FT!C137,"")</f>
        <v>54.889600000000002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3.5039100000000003</v>
      </c>
      <c r="G138" s="61">
        <f>IF(FT!B138&lt;&gt;"",FT!B138*100,"")</f>
        <v>55.243200000000002</v>
      </c>
      <c r="H138" s="61">
        <f t="shared" si="13"/>
        <v>1</v>
      </c>
      <c r="I138" t="str">
        <f>IF(FT!B138&lt;&gt;"",FT!E138,"")</f>
        <v>2 [55.295101]</v>
      </c>
      <c r="J138">
        <f>IF(FT!B138&lt;&gt;"",FT!C138,"")</f>
        <v>55.295099999999998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32624</v>
      </c>
      <c r="D139" s="61">
        <f>FH!B139*1</f>
        <v>32624</v>
      </c>
      <c r="E139">
        <f t="shared" si="15"/>
        <v>137</v>
      </c>
      <c r="F139" s="61">
        <f>IF(FT!A139&lt;&gt;"",FT!A139*10,"")</f>
        <v>3.4903400000000002</v>
      </c>
      <c r="G139" s="61">
        <f>IF(FT!B139&lt;&gt;"",FT!B139*100,"")</f>
        <v>55.513500000000008</v>
      </c>
      <c r="H139" s="61">
        <f t="shared" si="13"/>
        <v>1</v>
      </c>
      <c r="I139" t="str">
        <f>IF(FT!B139&lt;&gt;"",FT!E139,"")</f>
        <v>2 [55.700566]</v>
      </c>
      <c r="J139">
        <f>IF(FT!B139&lt;&gt;"",FT!C139,"")</f>
        <v>55.700600000000001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3.4799000000000002</v>
      </c>
      <c r="G140" s="61">
        <f>IF(FT!B140&lt;&gt;"",FT!B140*100,"")</f>
        <v>55.631500000000003</v>
      </c>
      <c r="H140" s="61">
        <f t="shared" si="13"/>
        <v>1</v>
      </c>
      <c r="I140" t="str">
        <f>IF(FT!B140&lt;&gt;"",FT!E140,"")</f>
        <v>2 [56.111716]</v>
      </c>
      <c r="J140">
        <f>IF(FT!B140&lt;&gt;"",FT!C140,"")</f>
        <v>56.111699999999999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3.4654400000000001</v>
      </c>
      <c r="G141" s="61">
        <f>IF(FT!B141&lt;&gt;"",FT!B141*100,"")</f>
        <v>55.779999999999994</v>
      </c>
      <c r="H141" s="61">
        <f t="shared" si="13"/>
        <v>1</v>
      </c>
      <c r="I141" t="str">
        <f>IF(FT!B141&lt;&gt;"",FT!E141,"")</f>
        <v>2 [56.515275]</v>
      </c>
      <c r="J141">
        <f>IF(FT!B141&lt;&gt;"",FT!C141,"")</f>
        <v>56.515300000000003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28497</v>
      </c>
      <c r="D142" s="61">
        <f>FH!B142*1</f>
        <v>28497</v>
      </c>
      <c r="E142">
        <f t="shared" si="15"/>
        <v>140</v>
      </c>
      <c r="F142" s="61">
        <f>IF(FT!A142&lt;&gt;"",FT!A142*10,"")</f>
        <v>3.4443899999999998</v>
      </c>
      <c r="G142" s="61">
        <f>IF(FT!B142&lt;&gt;"",FT!B142*100,"")</f>
        <v>56.009500000000003</v>
      </c>
      <c r="H142" s="61">
        <f t="shared" si="13"/>
        <v>1</v>
      </c>
      <c r="I142" t="str">
        <f>IF(FT!B142&lt;&gt;"",FT!E142,"")</f>
        <v>2 [56.924156]</v>
      </c>
      <c r="J142">
        <f>IF(FT!B142&lt;&gt;"",FT!C142,"")</f>
        <v>56.924199999999999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3.4279500000000001</v>
      </c>
      <c r="G143" s="61">
        <f>IF(FT!B143&lt;&gt;"",FT!B143*100,"")</f>
        <v>56.105700000000006</v>
      </c>
      <c r="H143" s="61">
        <f t="shared" si="13"/>
        <v>1</v>
      </c>
      <c r="I143" t="str">
        <f>IF(FT!B143&lt;&gt;"",FT!E143,"")</f>
        <v>2 [57.326130]</v>
      </c>
      <c r="J143">
        <f>IF(FT!B143&lt;&gt;"",FT!C143,"")</f>
        <v>57.326099999999997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21965</v>
      </c>
      <c r="D144" s="61">
        <f>FH!B144*1</f>
        <v>21965</v>
      </c>
      <c r="E144">
        <f t="shared" si="15"/>
        <v>142</v>
      </c>
      <c r="F144" s="61">
        <f>IF(FT!A144&lt;&gt;"",FT!A144*10,"")</f>
        <v>3.4125800000000002</v>
      </c>
      <c r="G144" s="61">
        <f>IF(FT!B144&lt;&gt;"",FT!B144*100,"")</f>
        <v>56.160600000000002</v>
      </c>
      <c r="H144" s="61">
        <f t="shared" si="13"/>
        <v>1</v>
      </c>
      <c r="I144" t="str">
        <f>IF(FT!B144&lt;&gt;"",FT!E144,"")</f>
        <v>2 [57.735999]</v>
      </c>
      <c r="J144">
        <f>IF(FT!B144&lt;&gt;"",FT!C144,"")</f>
        <v>57.735999999999997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3.3992599999999999</v>
      </c>
      <c r="G145" s="61">
        <f>IF(FT!B145&lt;&gt;"",FT!B145*100,"")</f>
        <v>56.200200000000002</v>
      </c>
      <c r="H145" s="61">
        <f t="shared" si="13"/>
        <v>1</v>
      </c>
      <c r="I145" t="str">
        <f>IF(FT!B145&lt;&gt;"",FT!E145,"")</f>
        <v>2 [58.139886]</v>
      </c>
      <c r="J145">
        <f>IF(FT!B145&lt;&gt;"",FT!C145,"")</f>
        <v>58.139899999999997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3.3932600000000002</v>
      </c>
      <c r="G146" s="61">
        <f>IF(FT!B146&lt;&gt;"",FT!B146*100,"")</f>
        <v>56.135599999999997</v>
      </c>
      <c r="H146" s="61">
        <f t="shared" si="13"/>
        <v>1</v>
      </c>
      <c r="I146" t="str">
        <f>IF(FT!B146&lt;&gt;"",FT!E146,"")</f>
        <v>2 [58.548775]</v>
      </c>
      <c r="J146">
        <f>IF(FT!B146&lt;&gt;"",FT!C146,"")</f>
        <v>58.5488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15225</v>
      </c>
      <c r="D147" s="61">
        <f>FH!B147*1</f>
        <v>15225</v>
      </c>
      <c r="E147">
        <f t="shared" si="15"/>
        <v>145</v>
      </c>
      <c r="F147" s="61">
        <f>IF(FT!A147&lt;&gt;"",FT!A147*10,"")</f>
        <v>3.3958300000000001</v>
      </c>
      <c r="G147" s="61">
        <f>IF(FT!B147&lt;&gt;"",FT!B147*100,"")</f>
        <v>55.968600000000002</v>
      </c>
      <c r="H147" s="61">
        <f t="shared" si="13"/>
        <v>1</v>
      </c>
      <c r="I147" t="str">
        <f>IF(FT!B147&lt;&gt;"",FT!E147,"")</f>
        <v>2 [58.951709]</v>
      </c>
      <c r="J147">
        <f>IF(FT!B147&lt;&gt;"",FT!C147,"")</f>
        <v>58.951700000000002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3.4030899999999997</v>
      </c>
      <c r="G148" s="61">
        <f>IF(FT!B148&lt;&gt;"",FT!B148*100,"")</f>
        <v>55.757100000000001</v>
      </c>
      <c r="H148" s="61">
        <f t="shared" si="13"/>
        <v>1</v>
      </c>
      <c r="I148" t="str">
        <f>IF(FT!B148&lt;&gt;"",FT!E148,"")</f>
        <v>2 [59.361712]</v>
      </c>
      <c r="J148">
        <f>IF(FT!B148&lt;&gt;"",FT!C148,"")</f>
        <v>59.361699999999999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10178</v>
      </c>
      <c r="D149" s="61">
        <f>FH!B149*1</f>
        <v>10178</v>
      </c>
      <c r="E149">
        <f t="shared" si="15"/>
        <v>147</v>
      </c>
      <c r="F149" s="61">
        <f>IF(FT!A149&lt;&gt;"",FT!A149*10,"")</f>
        <v>3.3990900000000002</v>
      </c>
      <c r="G149" s="61">
        <f>IF(FT!B149&lt;&gt;"",FT!B149*100,"")</f>
        <v>55.574199999999998</v>
      </c>
      <c r="H149" s="61">
        <f t="shared" si="13"/>
        <v>1</v>
      </c>
      <c r="I149" t="str">
        <f>IF(FT!B149&lt;&gt;"",FT!E149,"")</f>
        <v>2 [59.768541]</v>
      </c>
      <c r="J149">
        <f>IF(FT!B149&lt;&gt;"",FT!C149,"")</f>
        <v>59.768500000000003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3.38063</v>
      </c>
      <c r="G150" s="61">
        <f>IF(FT!B150&lt;&gt;"",FT!B150*100,"")</f>
        <v>55.780300000000004</v>
      </c>
      <c r="H150" s="61">
        <f t="shared" si="13"/>
        <v>1</v>
      </c>
      <c r="I150" t="str">
        <f>IF(FT!B150&lt;&gt;"",FT!E150,"")</f>
        <v>2 [60.169432]</v>
      </c>
      <c r="J150">
        <f>IF(FT!B150&lt;&gt;"",FT!C150,"")</f>
        <v>60.169400000000003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8021</v>
      </c>
      <c r="D152" s="61">
        <f>FH!B152*1</f>
        <v>8021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5739</v>
      </c>
      <c r="D154" s="61">
        <f>FH!B154*1</f>
        <v>5739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3013</v>
      </c>
      <c r="D157" s="61">
        <f>FH!B157*1</f>
        <v>3013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2170</v>
      </c>
      <c r="D160" s="61">
        <f>FH!B160*1</f>
        <v>2170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3537</v>
      </c>
      <c r="D162" s="61">
        <f>FH!B162*1</f>
        <v>3537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2389</v>
      </c>
      <c r="D165" s="61">
        <f>FH!B165*1</f>
        <v>2389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1736</v>
      </c>
      <c r="D167" s="61">
        <f>FH!B167*1</f>
        <v>1736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726</v>
      </c>
      <c r="D170" s="61">
        <f>FH!B170*1</f>
        <v>726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399</v>
      </c>
      <c r="D173" s="61">
        <f>FH!B173*1</f>
        <v>399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496</v>
      </c>
      <c r="D175" s="61">
        <f>FH!B175*1</f>
        <v>496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117</v>
      </c>
      <c r="D178" s="61">
        <f>FH!B178*1</f>
        <v>117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28.169899999999998</v>
      </c>
      <c r="C5" s="66">
        <v>7.8489000000000004</v>
      </c>
      <c r="D5" s="66">
        <v>27.8628</v>
      </c>
      <c r="E5" s="66">
        <v>20</v>
      </c>
      <c r="F5" s="66">
        <v>8.9546100000000006</v>
      </c>
      <c r="G5" s="66">
        <v>50</v>
      </c>
      <c r="H5" s="66">
        <v>40.874099999999999</v>
      </c>
    </row>
    <row r="6" spans="1:8">
      <c r="A6" s="58" t="s">
        <v>303</v>
      </c>
      <c r="B6" s="66">
        <v>26.504200000000001</v>
      </c>
      <c r="C6" s="66">
        <v>1.3001799999999999</v>
      </c>
      <c r="D6" s="66">
        <v>4.9055600000000004</v>
      </c>
      <c r="E6" s="66">
        <v>20</v>
      </c>
      <c r="F6" s="66">
        <v>20.969200000000001</v>
      </c>
      <c r="G6" s="66">
        <v>40</v>
      </c>
      <c r="H6" s="66">
        <v>30.263999999999999</v>
      </c>
    </row>
    <row r="7" spans="1:8">
      <c r="A7" s="58" t="s">
        <v>304</v>
      </c>
      <c r="B7" s="66">
        <v>10.4663</v>
      </c>
      <c r="C7" s="66">
        <v>8.6130099999999992</v>
      </c>
      <c r="D7" s="66">
        <v>82.292500000000004</v>
      </c>
      <c r="E7" s="66">
        <v>15</v>
      </c>
      <c r="F7" s="66">
        <v>2.1133999999999999</v>
      </c>
      <c r="G7" s="66">
        <v>40</v>
      </c>
      <c r="H7" s="66">
        <v>46.002499999999998</v>
      </c>
    </row>
    <row r="8" spans="1:8">
      <c r="A8" s="58" t="s">
        <v>305</v>
      </c>
      <c r="B8" s="66">
        <v>21.5961</v>
      </c>
      <c r="C8" s="66">
        <v>3.4107599999999998</v>
      </c>
      <c r="D8" s="66">
        <v>15.7934</v>
      </c>
      <c r="E8" s="66">
        <v>20</v>
      </c>
      <c r="F8" s="66">
        <v>16.2974</v>
      </c>
      <c r="G8" s="66">
        <v>50</v>
      </c>
      <c r="H8" s="66">
        <v>32.5931</v>
      </c>
    </row>
    <row r="9" spans="1:8">
      <c r="A9" s="58" t="s">
        <v>306</v>
      </c>
      <c r="B9" s="66">
        <v>74.370999999999995</v>
      </c>
      <c r="C9" s="66">
        <v>4.7150299999999996</v>
      </c>
      <c r="D9" s="66">
        <v>6.33988</v>
      </c>
      <c r="E9" s="66">
        <v>50</v>
      </c>
      <c r="F9" s="66">
        <v>64.683099999999996</v>
      </c>
      <c r="G9" s="66">
        <v>100</v>
      </c>
      <c r="H9" s="66">
        <v>84.969300000000004</v>
      </c>
    </row>
    <row r="10" spans="1:8">
      <c r="A10" s="58" t="s">
        <v>307</v>
      </c>
      <c r="B10" s="66">
        <v>77.743899999999996</v>
      </c>
      <c r="C10" s="66">
        <v>3.5138500000000001</v>
      </c>
      <c r="D10" s="66">
        <v>4.5197799999999999</v>
      </c>
      <c r="E10" s="66">
        <v>40</v>
      </c>
      <c r="F10" s="66">
        <v>74.109499999999997</v>
      </c>
      <c r="G10" s="66">
        <v>100</v>
      </c>
      <c r="H10" s="66">
        <v>86.8142</v>
      </c>
    </row>
    <row r="11" spans="1:8">
      <c r="A11" s="58" t="s">
        <v>308</v>
      </c>
      <c r="B11" s="66">
        <v>18.162700000000001</v>
      </c>
      <c r="C11" s="66">
        <v>6.8991800000000003</v>
      </c>
      <c r="D11" s="66">
        <v>37.985399999999998</v>
      </c>
      <c r="E11" s="66">
        <v>10</v>
      </c>
      <c r="F11" s="66">
        <v>5.68675</v>
      </c>
      <c r="G11" s="66">
        <v>50</v>
      </c>
      <c r="H11" s="66">
        <v>30.346800000000002</v>
      </c>
    </row>
    <row r="12" spans="1:8">
      <c r="A12" s="58" t="s">
        <v>309</v>
      </c>
      <c r="B12" s="66">
        <v>76.7209</v>
      </c>
      <c r="C12" s="66">
        <v>3.2138499999999999</v>
      </c>
      <c r="D12" s="66">
        <v>4.1890200000000002</v>
      </c>
      <c r="E12" s="66">
        <v>50</v>
      </c>
      <c r="F12" s="66">
        <v>69.591200000000001</v>
      </c>
      <c r="G12" s="66">
        <v>100</v>
      </c>
      <c r="H12" s="66">
        <v>84.153400000000005</v>
      </c>
    </row>
    <row r="13" spans="1:8">
      <c r="A13" s="58" t="s">
        <v>310</v>
      </c>
      <c r="B13" s="66">
        <v>28.941099999999999</v>
      </c>
      <c r="C13" s="66">
        <v>10.6411</v>
      </c>
      <c r="D13" s="66">
        <v>36.768099999999997</v>
      </c>
      <c r="E13" s="66">
        <v>10</v>
      </c>
      <c r="F13" s="66">
        <v>15.130100000000001</v>
      </c>
      <c r="G13" s="66">
        <v>25</v>
      </c>
      <c r="H13" s="66">
        <v>71.5321</v>
      </c>
    </row>
    <row r="14" spans="1:8">
      <c r="A14" s="58" t="s">
        <v>311</v>
      </c>
      <c r="B14" s="66">
        <v>106.411</v>
      </c>
      <c r="C14" s="66">
        <v>35.047199999999997</v>
      </c>
      <c r="D14" s="66">
        <v>32.935600000000001</v>
      </c>
      <c r="E14" s="66">
        <v>10</v>
      </c>
      <c r="F14" s="66">
        <v>4.2785399999999996</v>
      </c>
      <c r="G14" s="66">
        <v>50</v>
      </c>
      <c r="H14" s="66">
        <v>181.785</v>
      </c>
    </row>
    <row r="15" spans="1:8">
      <c r="A15" s="58" t="s">
        <v>312</v>
      </c>
      <c r="B15" s="66">
        <v>0.10695399999999999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0.13774500000000001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25.359200000000001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0.761297</v>
      </c>
      <c r="C18" s="66">
        <v>3.8438600000000003E-2</v>
      </c>
      <c r="D18" s="66">
        <v>5.0491000000000001E-2</v>
      </c>
      <c r="E18" s="66">
        <v>0</v>
      </c>
      <c r="F18" s="66">
        <v>0.722858</v>
      </c>
      <c r="G18" s="66">
        <v>0</v>
      </c>
      <c r="H18" s="66">
        <v>0.79973499999999997</v>
      </c>
    </row>
    <row r="19" spans="1:8">
      <c r="A19" s="58" t="s">
        <v>316</v>
      </c>
      <c r="B19" s="66">
        <v>0.73942600000000003</v>
      </c>
      <c r="C19" s="66">
        <v>5.6718899999999997E-3</v>
      </c>
      <c r="D19" s="66">
        <v>7.6706600000000002E-3</v>
      </c>
      <c r="E19" s="66">
        <v>0</v>
      </c>
      <c r="F19" s="66">
        <v>0.73375400000000002</v>
      </c>
      <c r="G19" s="66">
        <v>0</v>
      </c>
      <c r="H19" s="66">
        <v>0.74509800000000004</v>
      </c>
    </row>
    <row r="20" spans="1:8">
      <c r="A20" s="58" t="s">
        <v>317</v>
      </c>
      <c r="B20" s="66">
        <v>1.8597100000000001E-3</v>
      </c>
      <c r="C20" s="66">
        <v>0.10392999999999999</v>
      </c>
      <c r="D20" s="66">
        <v>55.884999999999998</v>
      </c>
      <c r="E20" s="66">
        <v>0</v>
      </c>
      <c r="F20" s="66">
        <v>0</v>
      </c>
      <c r="G20" s="66">
        <v>0</v>
      </c>
      <c r="H20" s="66">
        <v>0.80667900000000003</v>
      </c>
    </row>
    <row r="21" spans="1:8">
      <c r="A21" s="58" t="s">
        <v>318</v>
      </c>
      <c r="B21" s="66">
        <v>0.25091200000000002</v>
      </c>
      <c r="C21" s="66">
        <v>0.93242000000000003</v>
      </c>
      <c r="D21" s="66">
        <v>3.7161200000000001</v>
      </c>
      <c r="E21" s="66">
        <v>0</v>
      </c>
      <c r="F21" s="66">
        <v>9.7944799999999995E-4</v>
      </c>
      <c r="G21" s="66">
        <v>0</v>
      </c>
      <c r="H21" s="66">
        <v>6.81006</v>
      </c>
    </row>
    <row r="22" spans="1:8">
      <c r="A22" s="58" t="s">
        <v>319</v>
      </c>
      <c r="B22" s="66">
        <v>43.6053</v>
      </c>
      <c r="C22" s="66">
        <v>21.344799999999999</v>
      </c>
      <c r="D22" s="66">
        <v>0.48949900000000002</v>
      </c>
      <c r="E22" s="66">
        <v>0</v>
      </c>
      <c r="F22" s="66">
        <v>26.088799999999999</v>
      </c>
      <c r="G22" s="66">
        <v>0</v>
      </c>
      <c r="H22" s="66">
        <v>153.477</v>
      </c>
    </row>
    <row r="23" spans="1:8">
      <c r="A23" s="58" t="s">
        <v>320</v>
      </c>
      <c r="B23" s="66">
        <v>15.847300000000001</v>
      </c>
      <c r="C23" s="66">
        <v>8.8040299999999991</v>
      </c>
      <c r="D23" s="66">
        <v>0.55555399999999999</v>
      </c>
      <c r="E23" s="66">
        <v>0</v>
      </c>
      <c r="F23" s="66">
        <v>6.3801500000000004</v>
      </c>
      <c r="G23" s="66">
        <v>0</v>
      </c>
      <c r="H23" s="66">
        <v>36.127699999999997</v>
      </c>
    </row>
    <row r="24" spans="1:8">
      <c r="A24" s="58" t="s">
        <v>321</v>
      </c>
      <c r="B24" s="66">
        <v>4.11803E-3</v>
      </c>
      <c r="C24" s="66">
        <v>0.101392</v>
      </c>
      <c r="D24" s="66">
        <v>24.621400000000001</v>
      </c>
      <c r="E24" s="66">
        <v>0</v>
      </c>
      <c r="F24" s="196">
        <v>4.90657E-5</v>
      </c>
      <c r="G24" s="66">
        <v>0</v>
      </c>
      <c r="H24" s="66">
        <v>0.78856999999999999</v>
      </c>
    </row>
    <row r="25" spans="1:8">
      <c r="A25" s="58" t="s">
        <v>322</v>
      </c>
      <c r="B25" s="66">
        <v>0.32715</v>
      </c>
      <c r="C25" s="66">
        <v>0.70170200000000005</v>
      </c>
      <c r="D25" s="66">
        <v>2.1448900000000002</v>
      </c>
      <c r="E25" s="66">
        <v>0</v>
      </c>
      <c r="F25" s="66">
        <v>4.9204499999999998E-2</v>
      </c>
      <c r="G25" s="66">
        <v>0</v>
      </c>
      <c r="H25" s="66">
        <v>4.3954899999999997</v>
      </c>
    </row>
    <row r="26" spans="1:8">
      <c r="A26" s="58" t="s">
        <v>323</v>
      </c>
      <c r="B26" s="66">
        <v>6.0727399999999999E-4</v>
      </c>
      <c r="C26" s="66">
        <v>1.03769E-2</v>
      </c>
      <c r="D26" s="66">
        <v>17.087700000000002</v>
      </c>
      <c r="E26" s="66">
        <v>0</v>
      </c>
      <c r="F26" s="66">
        <v>0</v>
      </c>
      <c r="G26" s="66">
        <v>0</v>
      </c>
      <c r="H26" s="66">
        <v>7.3174900000000001E-2</v>
      </c>
    </row>
    <row r="27" spans="1:8">
      <c r="A27" s="58" t="s">
        <v>324</v>
      </c>
      <c r="B27" s="66">
        <v>0</v>
      </c>
      <c r="C27" s="66">
        <v>1.53597E-3</v>
      </c>
      <c r="D27" s="66">
        <v>0</v>
      </c>
      <c r="E27" s="66">
        <v>0</v>
      </c>
      <c r="F27" s="66">
        <v>-2.3847799999999999E-2</v>
      </c>
      <c r="G27" s="66">
        <v>0</v>
      </c>
      <c r="H27" s="66">
        <v>2.2065399999999999E-2</v>
      </c>
    </row>
    <row r="28" spans="1:8">
      <c r="A28" s="58" t="s">
        <v>325</v>
      </c>
      <c r="B28" s="66">
        <v>3.0462199999999998E-2</v>
      </c>
      <c r="C28" s="66">
        <v>4.60997E-2</v>
      </c>
      <c r="D28" s="66">
        <v>1.5133399999999999</v>
      </c>
      <c r="E28" s="66">
        <v>0</v>
      </c>
      <c r="F28" s="66">
        <v>2.9947900000000001E-4</v>
      </c>
      <c r="G28" s="66">
        <v>0</v>
      </c>
      <c r="H28" s="66">
        <v>0.24717800000000001</v>
      </c>
    </row>
    <row r="29" spans="1:8">
      <c r="A29" s="58" t="s">
        <v>326</v>
      </c>
      <c r="B29" s="66">
        <v>71.436499999999995</v>
      </c>
      <c r="C29" s="66">
        <v>10.398199999999999</v>
      </c>
      <c r="D29" s="66">
        <v>0.14555799999999999</v>
      </c>
      <c r="E29" s="66">
        <v>0</v>
      </c>
      <c r="F29" s="66">
        <v>48.665300000000002</v>
      </c>
      <c r="G29" s="66">
        <v>0</v>
      </c>
      <c r="H29" s="66">
        <v>105.88</v>
      </c>
    </row>
    <row r="30" spans="1:8">
      <c r="A30" s="58" t="s">
        <v>327</v>
      </c>
      <c r="B30" s="66">
        <v>22.753699999999998</v>
      </c>
      <c r="C30" s="66">
        <v>8.9901800000000005</v>
      </c>
      <c r="D30" s="66">
        <v>0.39510800000000001</v>
      </c>
      <c r="E30" s="66">
        <v>0</v>
      </c>
      <c r="F30" s="66">
        <v>8.1217900000000007</v>
      </c>
      <c r="G30" s="66">
        <v>0</v>
      </c>
      <c r="H30" s="66">
        <v>37.307600000000001</v>
      </c>
    </row>
    <row r="31" spans="1:8">
      <c r="A31" s="58" t="s">
        <v>328</v>
      </c>
      <c r="B31" s="66">
        <v>119.60899999999999</v>
      </c>
      <c r="C31" s="66">
        <v>40.279699999999998</v>
      </c>
      <c r="D31" s="66">
        <v>0.33676099999999998</v>
      </c>
      <c r="E31" s="66">
        <v>0</v>
      </c>
      <c r="F31" s="66">
        <v>25.066299999999998</v>
      </c>
      <c r="G31" s="66">
        <v>0</v>
      </c>
      <c r="H31" s="66">
        <v>171.46100000000001</v>
      </c>
    </row>
    <row r="32" spans="1:8">
      <c r="A32" s="58" t="s">
        <v>329</v>
      </c>
      <c r="B32" s="66">
        <v>0.10466300000000001</v>
      </c>
      <c r="C32" s="66">
        <v>8.6130100000000001E-2</v>
      </c>
      <c r="D32" s="66">
        <v>0.82292500000000002</v>
      </c>
      <c r="E32" s="66">
        <v>0.15</v>
      </c>
      <c r="F32" s="66">
        <v>2.1134E-2</v>
      </c>
      <c r="G32" s="66">
        <v>0.4</v>
      </c>
      <c r="H32" s="66">
        <v>0.46002500000000002</v>
      </c>
    </row>
    <row r="33" spans="1:8">
      <c r="A33" s="58" t="s">
        <v>330</v>
      </c>
      <c r="B33" s="66">
        <v>0.31128699999999998</v>
      </c>
      <c r="C33" s="66">
        <v>4.3938600000000001E-2</v>
      </c>
      <c r="D33" s="66">
        <v>0.141152</v>
      </c>
      <c r="E33" s="66">
        <v>0</v>
      </c>
      <c r="F33" s="66">
        <v>0.218026</v>
      </c>
      <c r="G33" s="66">
        <v>0</v>
      </c>
      <c r="H33" s="66">
        <v>0.40493299999999999</v>
      </c>
    </row>
    <row r="34" spans="1:8">
      <c r="A34" s="58" t="s">
        <v>331</v>
      </c>
      <c r="B34" s="66">
        <v>0.28941099999999997</v>
      </c>
      <c r="C34" s="66">
        <v>0.10641100000000001</v>
      </c>
      <c r="D34" s="66">
        <v>0.36768099999999998</v>
      </c>
      <c r="E34" s="66">
        <v>0.1</v>
      </c>
      <c r="F34" s="66">
        <v>0.15130099999999999</v>
      </c>
      <c r="G34" s="66">
        <v>0.25</v>
      </c>
      <c r="H34" s="66">
        <v>0.71532099999999998</v>
      </c>
    </row>
    <row r="35" spans="1:8">
      <c r="A35" s="58" t="s">
        <v>332</v>
      </c>
      <c r="B35" s="66">
        <v>0.11861099999999999</v>
      </c>
      <c r="C35" s="66">
        <v>6.3766699999999996E-2</v>
      </c>
      <c r="D35" s="66">
        <v>0.53761099999999995</v>
      </c>
      <c r="E35" s="66">
        <v>0</v>
      </c>
      <c r="F35" s="66">
        <v>4.1191100000000001E-2</v>
      </c>
      <c r="G35" s="66">
        <v>0</v>
      </c>
      <c r="H35" s="66">
        <v>0.40252100000000002</v>
      </c>
    </row>
    <row r="36" spans="1:8">
      <c r="A36" s="58" t="s">
        <v>333</v>
      </c>
      <c r="B36" s="66">
        <v>0.246004</v>
      </c>
      <c r="C36" s="66">
        <v>0.18327499999999999</v>
      </c>
      <c r="D36" s="66">
        <v>0.745008</v>
      </c>
      <c r="E36" s="66">
        <v>0</v>
      </c>
      <c r="F36" s="66">
        <v>3.8374699999999998E-2</v>
      </c>
      <c r="G36" s="66">
        <v>0</v>
      </c>
      <c r="H36" s="66">
        <v>1.1322399999999999</v>
      </c>
    </row>
    <row r="37" spans="1:8">
      <c r="A37" s="58" t="s">
        <v>334</v>
      </c>
      <c r="B37" s="66">
        <v>1.0641099999999999</v>
      </c>
      <c r="C37" s="66">
        <v>0.35047200000000001</v>
      </c>
      <c r="D37" s="66">
        <v>0.32935599999999998</v>
      </c>
      <c r="E37" s="66">
        <v>0.1</v>
      </c>
      <c r="F37" s="66">
        <v>4.2785400000000001E-2</v>
      </c>
      <c r="G37" s="66">
        <v>0.5</v>
      </c>
      <c r="H37" s="66">
        <v>1.81785</v>
      </c>
    </row>
    <row r="38" spans="1:8">
      <c r="A38" s="58" t="s">
        <v>335</v>
      </c>
      <c r="B38" s="66">
        <v>-24.256399999999999</v>
      </c>
      <c r="C38" s="66">
        <v>39.175899999999999</v>
      </c>
      <c r="D38" s="66">
        <v>-1.61507</v>
      </c>
      <c r="E38" s="66">
        <v>0</v>
      </c>
      <c r="F38" s="66">
        <v>-121.294</v>
      </c>
      <c r="G38" s="66">
        <v>0</v>
      </c>
      <c r="H38" s="66">
        <v>214.42099999999999</v>
      </c>
    </row>
    <row r="39" spans="1:8">
      <c r="A39" s="58" t="s">
        <v>336</v>
      </c>
      <c r="B39" s="66">
        <v>-6.1468699999999998</v>
      </c>
      <c r="C39" s="66">
        <v>6.6601699999999999</v>
      </c>
      <c r="D39" s="66">
        <v>-1.08351</v>
      </c>
      <c r="E39" s="66">
        <v>0</v>
      </c>
      <c r="F39" s="66">
        <v>-36.438200000000002</v>
      </c>
      <c r="G39" s="66">
        <v>0</v>
      </c>
      <c r="H39" s="66">
        <v>3.7858000000000001</v>
      </c>
    </row>
    <row r="40" spans="1:8">
      <c r="A40" s="58" t="s">
        <v>337</v>
      </c>
      <c r="B40" s="66">
        <v>-2.1832199999999999</v>
      </c>
      <c r="C40" s="66">
        <v>1.3801099999999999</v>
      </c>
      <c r="D40" s="66">
        <v>-0.63214700000000001</v>
      </c>
      <c r="E40" s="66">
        <v>0</v>
      </c>
      <c r="F40" s="66">
        <v>-3.9740799999999998</v>
      </c>
      <c r="G40" s="66">
        <v>0</v>
      </c>
      <c r="H40" s="66">
        <v>2.1311900000000001</v>
      </c>
    </row>
    <row r="41" spans="1:8">
      <c r="A41" s="58" t="s">
        <v>338</v>
      </c>
      <c r="B41" s="66">
        <v>-0.12175999999999999</v>
      </c>
      <c r="C41" s="66">
        <v>0.30148200000000003</v>
      </c>
      <c r="D41" s="66">
        <v>-2.4760300000000002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-6.1128500000000002E-2</v>
      </c>
      <c r="C42" s="66">
        <v>0.108306</v>
      </c>
      <c r="D42" s="66">
        <v>-1.7717799999999999</v>
      </c>
      <c r="E42" s="66">
        <v>0</v>
      </c>
      <c r="F42" s="66">
        <v>-0.30385699999999999</v>
      </c>
      <c r="G42" s="66">
        <v>0</v>
      </c>
      <c r="H42" s="66">
        <v>0.17208999999999999</v>
      </c>
    </row>
    <row r="43" spans="1:8">
      <c r="A43" s="58" t="s">
        <v>340</v>
      </c>
      <c r="B43" s="66">
        <v>-8.7775900000000004E-2</v>
      </c>
      <c r="C43" s="66">
        <v>0.14360300000000001</v>
      </c>
      <c r="D43" s="66">
        <v>-1.63602</v>
      </c>
      <c r="E43" s="66">
        <v>0</v>
      </c>
      <c r="F43" s="66">
        <v>-0.317608</v>
      </c>
      <c r="G43" s="66">
        <v>0</v>
      </c>
      <c r="H43" s="66">
        <v>0.121846</v>
      </c>
    </row>
    <row r="44" spans="1:8">
      <c r="A44" s="58" t="s">
        <v>341</v>
      </c>
      <c r="B44" s="66">
        <v>-3.0922200000000002</v>
      </c>
      <c r="C44" s="66">
        <v>8.5443499999999997</v>
      </c>
      <c r="D44" s="66">
        <v>-2.7631800000000002</v>
      </c>
      <c r="E44" s="66">
        <v>0</v>
      </c>
      <c r="F44" s="66">
        <v>-27.712399999999999</v>
      </c>
      <c r="G44" s="66">
        <v>0</v>
      </c>
      <c r="H44" s="66">
        <v>16.799900000000001</v>
      </c>
    </row>
    <row r="45" spans="1:8">
      <c r="A45" s="58" t="s">
        <v>342</v>
      </c>
      <c r="B45" s="66">
        <v>45.250700000000002</v>
      </c>
      <c r="C45" s="66">
        <v>6.5481999999999996</v>
      </c>
      <c r="D45" s="66">
        <v>0.144709</v>
      </c>
      <c r="E45" s="66">
        <v>0</v>
      </c>
      <c r="F45" s="66">
        <v>25.0459</v>
      </c>
      <c r="G45" s="66">
        <v>0</v>
      </c>
      <c r="H45" s="66">
        <v>65.744100000000003</v>
      </c>
    </row>
    <row r="46" spans="1:8">
      <c r="A46" s="58" t="s">
        <v>343</v>
      </c>
      <c r="B46" s="66">
        <v>21.334099999999999</v>
      </c>
      <c r="C46" s="66">
        <v>5.1783000000000001</v>
      </c>
      <c r="D46" s="66">
        <v>0.242725</v>
      </c>
      <c r="E46" s="66">
        <v>0</v>
      </c>
      <c r="F46" s="66">
        <v>7.9925699999999997</v>
      </c>
      <c r="G46" s="66">
        <v>0</v>
      </c>
      <c r="H46" s="66">
        <v>27.454899999999999</v>
      </c>
    </row>
    <row r="47" spans="1:8">
      <c r="A47" s="58" t="s">
        <v>344</v>
      </c>
      <c r="B47" s="66">
        <v>1.58768</v>
      </c>
      <c r="C47" s="66">
        <v>0.80032499999999995</v>
      </c>
      <c r="D47" s="66">
        <v>0.50408500000000001</v>
      </c>
      <c r="E47" s="66">
        <v>0</v>
      </c>
      <c r="F47" s="66">
        <v>0.58761799999999997</v>
      </c>
      <c r="G47" s="66">
        <v>0</v>
      </c>
      <c r="H47" s="66">
        <v>4.6394299999999999</v>
      </c>
    </row>
    <row r="48" spans="1:8">
      <c r="A48" s="58" t="s">
        <v>345</v>
      </c>
      <c r="B48" s="66">
        <v>0.90316300000000005</v>
      </c>
      <c r="C48" s="66">
        <v>0.19317500000000001</v>
      </c>
      <c r="D48" s="66">
        <v>0.21388699999999999</v>
      </c>
      <c r="E48" s="66">
        <v>0</v>
      </c>
      <c r="F48" s="66">
        <v>0.57907399999999998</v>
      </c>
      <c r="G48" s="66">
        <v>0</v>
      </c>
      <c r="H48" s="66">
        <v>1.2895300000000001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10.2807</v>
      </c>
      <c r="C5" s="66">
        <f>'M2'!C5-'M1'!C5</f>
        <v>-1.6091700000000002</v>
      </c>
      <c r="D5" s="66">
        <f>'M2'!D5-'M1'!D5</f>
        <v>-11.6229</v>
      </c>
      <c r="E5" s="66">
        <f>'M2'!E5-'M1'!E5</f>
        <v>0</v>
      </c>
      <c r="F5" s="66">
        <f>'M2'!F5-'M1'!F5</f>
        <v>18.715389999999999</v>
      </c>
      <c r="G5" s="66">
        <f>'M2'!G5-'M1'!G5</f>
        <v>0</v>
      </c>
      <c r="H5" s="66">
        <f>'M2'!H5-'M1'!H5</f>
        <v>12.3447</v>
      </c>
    </row>
    <row r="6" spans="1:8">
      <c r="A6" s="66" t="s">
        <v>244</v>
      </c>
      <c r="B6" s="66">
        <f>'M2'!B6-'M1'!B6</f>
        <v>-0.70279999999999987</v>
      </c>
      <c r="C6" s="66">
        <f>'M2'!C6-'M1'!C6</f>
        <v>0.50836999999999988</v>
      </c>
      <c r="D6" s="66">
        <f>'M2'!D6-'M1'!D6</f>
        <v>2.0238199999999997</v>
      </c>
      <c r="E6" s="66">
        <f>'M2'!E6-'M1'!E6</f>
        <v>0</v>
      </c>
      <c r="F6" s="66">
        <f>'M2'!F6-'M1'!F6</f>
        <v>-4.7065999999999981</v>
      </c>
      <c r="G6" s="66">
        <f>'M2'!G6-'M1'!G6</f>
        <v>0</v>
      </c>
      <c r="H6" s="66">
        <f>'M2'!H6-'M1'!H6</f>
        <v>-2.3747000000000007</v>
      </c>
    </row>
    <row r="7" spans="1:8">
      <c r="A7" s="66" t="s">
        <v>245</v>
      </c>
      <c r="B7" s="66">
        <f>'M2'!B7-'M1'!B7</f>
        <v>-2.8804199999999991</v>
      </c>
      <c r="C7" s="66">
        <f>'M2'!C7-'M1'!C7</f>
        <v>-3.4866099999999998</v>
      </c>
      <c r="D7" s="66">
        <f>'M2'!D7-'M1'!D7</f>
        <v>-11.11</v>
      </c>
      <c r="E7" s="66">
        <f>'M2'!E7-'M1'!E7</f>
        <v>0</v>
      </c>
      <c r="F7" s="66">
        <f>'M2'!F7-'M1'!F7</f>
        <v>-1.1942400000000002</v>
      </c>
      <c r="G7" s="66">
        <f>'M2'!G7-'M1'!G7</f>
        <v>0</v>
      </c>
      <c r="H7" s="66">
        <f>'M2'!H7-'M1'!H7</f>
        <v>-18.515999999999998</v>
      </c>
    </row>
    <row r="8" spans="1:8">
      <c r="A8" s="66" t="s">
        <v>246</v>
      </c>
      <c r="B8" s="66">
        <f>'M2'!B8-'M1'!B8</f>
        <v>3.5612999999999992</v>
      </c>
      <c r="C8" s="66">
        <f>'M2'!C8-'M1'!C8</f>
        <v>-1.66784</v>
      </c>
      <c r="D8" s="66">
        <f>'M2'!D8-'M1'!D8</f>
        <v>-9.9769100000000019</v>
      </c>
      <c r="E8" s="66">
        <f>'M2'!E8-'M1'!E8</f>
        <v>0</v>
      </c>
      <c r="F8" s="66">
        <f>'M2'!F8-'M1'!F8</f>
        <v>2.9455999999999989</v>
      </c>
      <c r="G8" s="66">
        <f>'M2'!G8-'M1'!G8</f>
        <v>0</v>
      </c>
      <c r="H8" s="66">
        <f>'M2'!H8-'M1'!H8</f>
        <v>-3.3454000000000015</v>
      </c>
    </row>
    <row r="9" spans="1:8">
      <c r="A9" s="66" t="s">
        <v>247</v>
      </c>
      <c r="B9" s="66">
        <f>'M2'!B9-'M1'!B9</f>
        <v>0.51330000000000098</v>
      </c>
      <c r="C9" s="66">
        <f>'M2'!C9-'M1'!C9</f>
        <v>-1.3984700000000005</v>
      </c>
      <c r="D9" s="66">
        <f>'M2'!D9-'M1'!D9</f>
        <v>-1.9277999999999995</v>
      </c>
      <c r="E9" s="66">
        <f>'M2'!E9-'M1'!E9</f>
        <v>0</v>
      </c>
      <c r="F9" s="66">
        <f>'M2'!F9-'M1'!F9</f>
        <v>0.18930000000000291</v>
      </c>
      <c r="G9" s="66">
        <f>'M2'!G9-'M1'!G9</f>
        <v>0</v>
      </c>
      <c r="H9" s="66">
        <f>'M2'!H9-'M1'!H9</f>
        <v>-1.5237000000000052</v>
      </c>
    </row>
    <row r="10" spans="1:8">
      <c r="A10" s="66" t="s">
        <v>248</v>
      </c>
      <c r="B10" s="66">
        <f>'M2'!B10-'M1'!B10</f>
        <v>-5.8341999999999956</v>
      </c>
      <c r="C10" s="66">
        <f>'M2'!C10-'M1'!C10</f>
        <v>-1.7586100000000002</v>
      </c>
      <c r="D10" s="66">
        <f>'M2'!D10-'M1'!D10</f>
        <v>-1.9584000000000006</v>
      </c>
      <c r="E10" s="66">
        <f>'M2'!E10-'M1'!E10</f>
        <v>0</v>
      </c>
      <c r="F10" s="66">
        <f>'M2'!F10-'M1'!F10</f>
        <v>0.34360000000000923</v>
      </c>
      <c r="G10" s="66">
        <f>'M2'!G10-'M1'!G10</f>
        <v>0</v>
      </c>
      <c r="H10" s="66">
        <f>'M2'!H10-'M1'!H10</f>
        <v>-4.7556000000000012</v>
      </c>
    </row>
    <row r="11" spans="1:8">
      <c r="A11" s="66" t="s">
        <v>249</v>
      </c>
      <c r="B11" s="66">
        <f>'M2'!B11-'M1'!B11</f>
        <v>10.816400000000002</v>
      </c>
      <c r="C11" s="66">
        <f>'M2'!C11-'M1'!C11</f>
        <v>-0.64643000000000006</v>
      </c>
      <c r="D11" s="66">
        <f>'M2'!D11-'M1'!D11</f>
        <v>-15.229800000000001</v>
      </c>
      <c r="E11" s="66">
        <f>'M2'!E11-'M1'!E11</f>
        <v>0</v>
      </c>
      <c r="F11" s="66">
        <f>'M2'!F11-'M1'!F11</f>
        <v>12.475950000000001</v>
      </c>
      <c r="G11" s="66">
        <f>'M2'!G11-'M1'!G11</f>
        <v>0</v>
      </c>
      <c r="H11" s="66">
        <f>'M2'!H11-'M1'!H11</f>
        <v>12.277000000000001</v>
      </c>
    </row>
    <row r="12" spans="1:8">
      <c r="A12" s="66" t="s">
        <v>250</v>
      </c>
      <c r="B12" s="66">
        <f>'M2'!B12-'M1'!B12</f>
        <v>-2.3718999999999966</v>
      </c>
      <c r="C12" s="66">
        <f>'M2'!C12-'M1'!C12</f>
        <v>-1.75848</v>
      </c>
      <c r="D12" s="66">
        <f>'M2'!D12-'M1'!D12</f>
        <v>-2.17083</v>
      </c>
      <c r="E12" s="66">
        <f>'M2'!E12-'M1'!E12</f>
        <v>0</v>
      </c>
      <c r="F12" s="66">
        <f>'M2'!F12-'M1'!F12</f>
        <v>1.1278999999999968</v>
      </c>
      <c r="G12" s="66">
        <f>'M2'!G12-'M1'!G12</f>
        <v>0</v>
      </c>
      <c r="H12" s="66">
        <f>'M2'!H12-'M1'!H12</f>
        <v>-2.8231999999999999</v>
      </c>
    </row>
    <row r="13" spans="1:8">
      <c r="A13" s="66" t="s">
        <v>251</v>
      </c>
      <c r="B13" s="66">
        <f>'M2'!B13-'M1'!B13</f>
        <v>12.370699999999999</v>
      </c>
      <c r="C13" s="66">
        <f>'M2'!C13-'M1'!C13</f>
        <v>2.3315899999999994</v>
      </c>
      <c r="D13" s="66">
        <f>'M2'!D13-'M1'!D13</f>
        <v>-4.3656000000000006</v>
      </c>
      <c r="E13" s="66">
        <f>'M2'!E13-'M1'!E13</f>
        <v>0</v>
      </c>
      <c r="F13" s="66">
        <f>'M2'!F13-'M1'!F13</f>
        <v>11.013</v>
      </c>
      <c r="G13" s="66">
        <f>'M2'!G13-'M1'!G13</f>
        <v>0</v>
      </c>
      <c r="H13" s="66">
        <f>'M2'!H13-'M1'!H13</f>
        <v>20.345100000000002</v>
      </c>
    </row>
    <row r="14" spans="1:8">
      <c r="A14" s="66" t="s">
        <v>252</v>
      </c>
      <c r="B14" s="66">
        <f>'M2'!B14-'M1'!B14</f>
        <v>23.315899999999999</v>
      </c>
      <c r="C14" s="66">
        <f>'M2'!C14-'M1'!C14</f>
        <v>17.9758</v>
      </c>
      <c r="D14" s="66">
        <f>'M2'!D14-'M1'!D14</f>
        <v>12.202299999999997</v>
      </c>
      <c r="E14" s="66">
        <f>'M2'!E14-'M1'!E14</f>
        <v>0</v>
      </c>
      <c r="F14" s="66">
        <f>'M2'!F14-'M1'!F14</f>
        <v>1.23712</v>
      </c>
      <c r="G14" s="66">
        <f>'M2'!G14-'M1'!G14</f>
        <v>0</v>
      </c>
      <c r="H14" s="66">
        <f>'M2'!H14-'M1'!H14</f>
        <v>105.7825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9.696400000000005E-2</v>
      </c>
      <c r="C18" s="66">
        <f>'M2'!C18-'M1'!C18</f>
        <v>3.8438600000000003E-2</v>
      </c>
      <c r="D18" s="66">
        <f>'M2'!D18-'M1'!D18</f>
        <v>5.0491000000000001E-2</v>
      </c>
      <c r="E18" s="66">
        <f>'M2'!E18-'M1'!E18</f>
        <v>0</v>
      </c>
      <c r="F18" s="66">
        <f>'M2'!F18-'M1'!F18</f>
        <v>0.722858</v>
      </c>
      <c r="G18" s="66">
        <f>'M2'!G18-'M1'!G18</f>
        <v>0</v>
      </c>
      <c r="H18" s="66">
        <f>'M2'!H18-'M1'!H18</f>
        <v>0.79973499999999997</v>
      </c>
    </row>
    <row r="19" spans="1:8">
      <c r="A19" s="66" t="s">
        <v>256</v>
      </c>
      <c r="B19" s="66">
        <f>'M2'!B19-'M1'!B19</f>
        <v>0.16709200000000002</v>
      </c>
      <c r="C19" s="66">
        <f>'M2'!C19-'M1'!C19</f>
        <v>5.6718899999999997E-3</v>
      </c>
      <c r="D19" s="66">
        <f>'M2'!D19-'M1'!D19</f>
        <v>7.6706600000000002E-3</v>
      </c>
      <c r="E19" s="66">
        <f>'M2'!E19-'M1'!E19</f>
        <v>0</v>
      </c>
      <c r="F19" s="66">
        <f>'M2'!F19-'M1'!F19</f>
        <v>0.73375400000000002</v>
      </c>
      <c r="G19" s="66">
        <f>'M2'!G19-'M1'!G19</f>
        <v>0</v>
      </c>
      <c r="H19" s="66">
        <f>'M2'!H19-'M1'!H19</f>
        <v>0.74509800000000004</v>
      </c>
    </row>
    <row r="20" spans="1:8">
      <c r="A20" s="66" t="s">
        <v>63</v>
      </c>
      <c r="B20" s="66">
        <f>'M2'!B20-'M1'!B20</f>
        <v>7.1973970000000003E-3</v>
      </c>
      <c r="C20" s="66">
        <f>'M2'!C20-'M1'!C20</f>
        <v>0.1124763</v>
      </c>
      <c r="D20" s="66">
        <f>'M2'!D20-'M1'!D20</f>
        <v>-20.785800000000002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0.54636499999999999</v>
      </c>
    </row>
    <row r="21" spans="1:8">
      <c r="A21" s="66" t="s">
        <v>64</v>
      </c>
      <c r="B21" s="66">
        <f>'M2'!B21-'M1'!B21</f>
        <v>0.33947399999999994</v>
      </c>
      <c r="C21" s="66">
        <f>'M2'!C21-'M1'!C21</f>
        <v>0.76623300000000016</v>
      </c>
      <c r="D21" s="66">
        <f>'M2'!D21-'M1'!D21</f>
        <v>-0.10457000000000027</v>
      </c>
      <c r="E21" s="66">
        <f>'M2'!E21-'M1'!E21</f>
        <v>0</v>
      </c>
      <c r="F21" s="66">
        <f>'M2'!F21-'M1'!F21</f>
        <v>-6.6312000000000012E-5</v>
      </c>
      <c r="G21" s="66">
        <f>'M2'!G21-'M1'!G21</f>
        <v>0</v>
      </c>
      <c r="H21" s="66">
        <f>'M2'!H21-'M1'!H21</f>
        <v>3.8831099999999998</v>
      </c>
    </row>
    <row r="22" spans="1:8">
      <c r="A22" s="66" t="s">
        <v>65</v>
      </c>
      <c r="B22" s="66">
        <f>'M2'!B22-'M1'!B22</f>
        <v>16.862099999999998</v>
      </c>
      <c r="C22" s="66">
        <f>'M2'!C22-'M1'!C22</f>
        <v>15.069799999999999</v>
      </c>
      <c r="D22" s="66">
        <f>'M2'!D22-'M1'!D22</f>
        <v>0.19820599999999999</v>
      </c>
      <c r="E22" s="66">
        <f>'M2'!E22-'M1'!E22</f>
        <v>0</v>
      </c>
      <c r="F22" s="66">
        <f>'M2'!F22-'M1'!F22</f>
        <v>3.8437000000000019</v>
      </c>
      <c r="G22" s="66">
        <f>'M2'!G22-'M1'!G22</f>
        <v>0</v>
      </c>
      <c r="H22" s="66">
        <f>'M2'!H22-'M1'!H22</f>
        <v>84.392600000000002</v>
      </c>
    </row>
    <row r="23" spans="1:8">
      <c r="A23" s="66" t="s">
        <v>66</v>
      </c>
      <c r="B23" s="66">
        <f>'M2'!B23-'M1'!B23</f>
        <v>13.5427</v>
      </c>
      <c r="C23" s="66">
        <f>'M2'!C23-'M1'!C23</f>
        <v>3.6103100000000006</v>
      </c>
      <c r="D23" s="66">
        <f>'M2'!D23-'M1'!D23</f>
        <v>1.5164000000000011E-2</v>
      </c>
      <c r="E23" s="66">
        <f>'M2'!E23-'M1'!E23</f>
        <v>0</v>
      </c>
      <c r="F23" s="66">
        <f>'M2'!F23-'M1'!F23</f>
        <v>9.2855499999999989</v>
      </c>
      <c r="G23" s="66">
        <f>'M2'!G23-'M1'!G23</f>
        <v>0</v>
      </c>
      <c r="H23" s="66">
        <f>'M2'!H23-'M1'!H23</f>
        <v>19.859299999999998</v>
      </c>
    </row>
    <row r="24" spans="1:8">
      <c r="A24" s="66" t="s">
        <v>67</v>
      </c>
      <c r="B24" s="66">
        <f>'M2'!B24-'M1'!B24</f>
        <v>8.25241E-3</v>
      </c>
      <c r="C24" s="66">
        <f>'M2'!C24-'M1'!C24</f>
        <v>0.1139457</v>
      </c>
      <c r="D24" s="66">
        <f>'M2'!D24-'M1'!D24</f>
        <v>-5.2406000000000006</v>
      </c>
      <c r="E24" s="66">
        <f>'M2'!E24-'M1'!E24</f>
        <v>0</v>
      </c>
      <c r="F24" s="66">
        <f>'M2'!F24-'M1'!F24</f>
        <v>-1.1960900000000003E-5</v>
      </c>
      <c r="G24" s="66">
        <f>'M2'!G24-'M1'!G24</f>
        <v>0</v>
      </c>
      <c r="H24" s="66">
        <f>'M2'!H24-'M1'!H24</f>
        <v>0.590059</v>
      </c>
    </row>
    <row r="25" spans="1:8">
      <c r="A25" s="66" t="s">
        <v>68</v>
      </c>
      <c r="B25" s="66">
        <f>'M2'!B25-'M1'!B25</f>
        <v>0.39606799999999998</v>
      </c>
      <c r="C25" s="66">
        <f>'M2'!C25-'M1'!C25</f>
        <v>0.68433800000000011</v>
      </c>
      <c r="D25" s="66">
        <f>'M2'!D25-'M1'!D25</f>
        <v>0.49838700000000002</v>
      </c>
      <c r="E25" s="66">
        <f>'M2'!E25-'M1'!E25</f>
        <v>0</v>
      </c>
      <c r="F25" s="66">
        <f>'M2'!F25-'M1'!F25</f>
        <v>6.5864500000000006E-2</v>
      </c>
      <c r="G25" s="66">
        <f>'M2'!G25-'M1'!G25</f>
        <v>0</v>
      </c>
      <c r="H25" s="66">
        <f>'M2'!H25-'M1'!H25</f>
        <v>3.4121779999999999</v>
      </c>
    </row>
    <row r="26" spans="1:8">
      <c r="A26" s="66" t="s">
        <v>69</v>
      </c>
      <c r="B26" s="66">
        <f>'M2'!B26-'M1'!B26</f>
        <v>1.818538E-3</v>
      </c>
      <c r="C26" s="66">
        <f>'M2'!C26-'M1'!C26</f>
        <v>9.5757600000000009E-3</v>
      </c>
      <c r="D26" s="66">
        <f>'M2'!D26-'M1'!D26</f>
        <v>-9.1469100000000019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4.0405099999999999E-2</v>
      </c>
    </row>
    <row r="27" spans="1:8">
      <c r="A27" s="66" t="s">
        <v>70</v>
      </c>
      <c r="B27" s="66">
        <f>'M2'!B27-'M1'!B27</f>
        <v>3.2825599999999999E-6</v>
      </c>
      <c r="C27" s="66">
        <f>'M2'!C27-'M1'!C27</f>
        <v>-5.3008000000000005E-4</v>
      </c>
      <c r="D27" s="66">
        <f>'M2'!D27-'M1'!D27</f>
        <v>380.89499999999998</v>
      </c>
      <c r="E27" s="66">
        <f>'M2'!E27-'M1'!E27</f>
        <v>0</v>
      </c>
      <c r="F27" s="66">
        <f>'M2'!F27-'M1'!F27</f>
        <v>1.4623799999999999E-2</v>
      </c>
      <c r="G27" s="66">
        <f>'M2'!G27-'M1'!G27</f>
        <v>0</v>
      </c>
      <c r="H27" s="66">
        <f>'M2'!H27-'M1'!H27</f>
        <v>-1.4804369999999999E-2</v>
      </c>
    </row>
    <row r="28" spans="1:8">
      <c r="A28" s="66" t="s">
        <v>71</v>
      </c>
      <c r="B28" s="66">
        <f>'M2'!B28-'M1'!B28</f>
        <v>2.9925099999999996E-2</v>
      </c>
      <c r="C28" s="66">
        <f>'M2'!C28-'M1'!C28</f>
        <v>2.4797E-2</v>
      </c>
      <c r="D28" s="66">
        <f>'M2'!D28-'M1'!D28</f>
        <v>-0.23168999999999995</v>
      </c>
      <c r="E28" s="66">
        <f>'M2'!E28-'M1'!E28</f>
        <v>0</v>
      </c>
      <c r="F28" s="66">
        <f>'M2'!F28-'M1'!F28</f>
        <v>6.8360000000000003E-5</v>
      </c>
      <c r="G28" s="66">
        <f>'M2'!G28-'M1'!G28</f>
        <v>0</v>
      </c>
      <c r="H28" s="66">
        <f>'M2'!H28-'M1'!H28</f>
        <v>8.1866000000000022E-2</v>
      </c>
    </row>
    <row r="29" spans="1:8">
      <c r="A29" s="66" t="s">
        <v>72</v>
      </c>
      <c r="B29" s="66">
        <f>'M2'!B29-'M1'!B29</f>
        <v>7.3849999999999909</v>
      </c>
      <c r="C29" s="66">
        <f>'M2'!C29-'M1'!C29</f>
        <v>1.8584599999999991</v>
      </c>
      <c r="D29" s="66">
        <f>'M2'!D29-'M1'!D29</f>
        <v>1.1924000000000018E-2</v>
      </c>
      <c r="E29" s="66">
        <f>'M2'!E29-'M1'!E29</f>
        <v>0</v>
      </c>
      <c r="F29" s="66">
        <f>'M2'!F29-'M1'!F29</f>
        <v>8.9354000000000013</v>
      </c>
      <c r="G29" s="66">
        <f>'M2'!G29-'M1'!G29</f>
        <v>0</v>
      </c>
      <c r="H29" s="66">
        <f>'M2'!H29-'M1'!H29</f>
        <v>11.205699999999993</v>
      </c>
    </row>
    <row r="30" spans="1:8">
      <c r="A30" s="66" t="s">
        <v>73</v>
      </c>
      <c r="B30" s="66">
        <f>'M2'!B30-'M1'!B30</f>
        <v>16.1477</v>
      </c>
      <c r="C30" s="66">
        <f>'M2'!C30-'M1'!C30</f>
        <v>0.61421999999999954</v>
      </c>
      <c r="D30" s="66">
        <f>'M2'!D30-'M1'!D30</f>
        <v>-9.7600999999999993E-2</v>
      </c>
      <c r="E30" s="66">
        <f>'M2'!E30-'M1'!E30</f>
        <v>0</v>
      </c>
      <c r="F30" s="66">
        <f>'M2'!F30-'M1'!F30</f>
        <v>14.441009999999999</v>
      </c>
      <c r="G30" s="66">
        <f>'M2'!G30-'M1'!G30</f>
        <v>0</v>
      </c>
      <c r="H30" s="66">
        <f>'M2'!H30-'M1'!H30</f>
        <v>14.133100000000002</v>
      </c>
    </row>
    <row r="31" spans="1:8">
      <c r="A31" s="66" t="s">
        <v>74</v>
      </c>
      <c r="B31" s="66">
        <f>'M2'!B31-'M1'!B31</f>
        <v>49.6875</v>
      </c>
      <c r="C31" s="66">
        <f>'M2'!C31-'M1'!C31</f>
        <v>-15.062000000000001</v>
      </c>
      <c r="D31" s="66">
        <f>'M2'!D31-'M1'!D31</f>
        <v>-0.25439300000000004</v>
      </c>
      <c r="E31" s="66">
        <f>'M2'!E31-'M1'!E31</f>
        <v>0</v>
      </c>
      <c r="F31" s="66">
        <f>'M2'!F31-'M1'!F31</f>
        <v>93.554699999999997</v>
      </c>
      <c r="G31" s="66">
        <f>'M2'!G31-'M1'!G31</f>
        <v>0</v>
      </c>
      <c r="H31" s="66">
        <f>'M2'!H31-'M1'!H31</f>
        <v>46.932000000000016</v>
      </c>
    </row>
    <row r="32" spans="1:8">
      <c r="A32" s="66" t="s">
        <v>75</v>
      </c>
      <c r="B32" s="66">
        <f>'M2'!B32-'M1'!B32</f>
        <v>-2.8804200000000002E-2</v>
      </c>
      <c r="C32" s="66">
        <f>'M2'!C32-'M1'!C32</f>
        <v>-3.4866099999999997E-2</v>
      </c>
      <c r="D32" s="66">
        <f>'M2'!D32-'M1'!D32</f>
        <v>-0.11109999999999998</v>
      </c>
      <c r="E32" s="66">
        <f>'M2'!E32-'M1'!E32</f>
        <v>0</v>
      </c>
      <c r="F32" s="66">
        <f>'M2'!F32-'M1'!F32</f>
        <v>-1.1942399999999999E-2</v>
      </c>
      <c r="G32" s="66">
        <f>'M2'!G32-'M1'!G32</f>
        <v>0</v>
      </c>
      <c r="H32" s="66">
        <f>'M2'!H32-'M1'!H32</f>
        <v>-0.18515999999999999</v>
      </c>
    </row>
    <row r="33" spans="1:8">
      <c r="A33" s="66" t="s">
        <v>76</v>
      </c>
      <c r="B33" s="66">
        <f>'M2'!B33-'M1'!B33</f>
        <v>-7.2229999999999794E-3</v>
      </c>
      <c r="C33" s="66">
        <f>'M2'!C33-'M1'!C33</f>
        <v>-4.0205999999999992E-3</v>
      </c>
      <c r="D33" s="66">
        <f>'M2'!D33-'M1'!D33</f>
        <v>-9.6989999999999854E-3</v>
      </c>
      <c r="E33" s="66">
        <f>'M2'!E33-'M1'!E33</f>
        <v>0</v>
      </c>
      <c r="F33" s="66">
        <f>'M2'!F33-'M1'!F33</f>
        <v>2.0303999999999989E-2</v>
      </c>
      <c r="G33" s="66">
        <f>'M2'!G33-'M1'!G33</f>
        <v>0</v>
      </c>
      <c r="H33" s="66">
        <f>'M2'!H33-'M1'!H33</f>
        <v>1.9961000000000007E-2</v>
      </c>
    </row>
    <row r="34" spans="1:8">
      <c r="A34" s="66" t="s">
        <v>77</v>
      </c>
      <c r="B34" s="66">
        <f>'M2'!B34-'M1'!B34</f>
        <v>0.12370700000000001</v>
      </c>
      <c r="C34" s="66">
        <f>'M2'!C34-'M1'!C34</f>
        <v>2.3315899999999987E-2</v>
      </c>
      <c r="D34" s="66">
        <f>'M2'!D34-'M1'!D34</f>
        <v>-4.3655999999999973E-2</v>
      </c>
      <c r="E34" s="66">
        <f>'M2'!E34-'M1'!E34</f>
        <v>0</v>
      </c>
      <c r="F34" s="66">
        <f>'M2'!F34-'M1'!F34</f>
        <v>0.11013000000000003</v>
      </c>
      <c r="G34" s="66">
        <f>'M2'!G34-'M1'!G34</f>
        <v>0</v>
      </c>
      <c r="H34" s="66">
        <f>'M2'!H34-'M1'!H34</f>
        <v>0.20345099999999994</v>
      </c>
    </row>
    <row r="35" spans="1:8">
      <c r="A35" s="66" t="s">
        <v>78</v>
      </c>
      <c r="B35" s="66">
        <f>'M2'!B35-'M1'!B35</f>
        <v>3.3914E-2</v>
      </c>
      <c r="C35" s="66">
        <f>'M2'!C35-'M1'!C35</f>
        <v>2.3096899999999997E-2</v>
      </c>
      <c r="D35" s="66">
        <f>'M2'!D35-'M1'!D35</f>
        <v>5.0083000000000044E-2</v>
      </c>
      <c r="E35" s="66">
        <f>'M2'!E35-'M1'!E35</f>
        <v>0</v>
      </c>
      <c r="F35" s="66">
        <f>'M2'!F35-'M1'!F35</f>
        <v>-5.3664999999999963E-3</v>
      </c>
      <c r="G35" s="66">
        <f>'M2'!G35-'M1'!G35</f>
        <v>0</v>
      </c>
      <c r="H35" s="66">
        <f>'M2'!H35-'M1'!H35</f>
        <v>-1.5410000000000035E-2</v>
      </c>
    </row>
    <row r="36" spans="1:8">
      <c r="A36" s="66" t="s">
        <v>79</v>
      </c>
      <c r="B36" s="66">
        <f>'M2'!B36-'M1'!B36</f>
        <v>0.133437</v>
      </c>
      <c r="C36" s="66">
        <f>'M2'!C36-'M1'!C36</f>
        <v>2.8478000000000003E-2</v>
      </c>
      <c r="D36" s="66">
        <f>'M2'!D36-'M1'!D36</f>
        <v>-0.26409400000000005</v>
      </c>
      <c r="E36" s="66">
        <f>'M2'!E36-'M1'!E36</f>
        <v>0</v>
      </c>
      <c r="F36" s="66">
        <f>'M2'!F36-'M1'!F36</f>
        <v>4.5053000000000037E-3</v>
      </c>
      <c r="G36" s="66">
        <f>'M2'!G36-'M1'!G36</f>
        <v>0</v>
      </c>
      <c r="H36" s="66">
        <f>'M2'!H36-'M1'!H36</f>
        <v>-4.8709999999999809E-2</v>
      </c>
    </row>
    <row r="37" spans="1:8">
      <c r="A37" s="66" t="s">
        <v>80</v>
      </c>
      <c r="B37" s="66">
        <f>'M2'!B37-'M1'!B37</f>
        <v>0.23315900000000001</v>
      </c>
      <c r="C37" s="66">
        <f>'M2'!C37-'M1'!C37</f>
        <v>0.179759</v>
      </c>
      <c r="D37" s="66">
        <f>'M2'!D37-'M1'!D37</f>
        <v>0.12202300000000005</v>
      </c>
      <c r="E37" s="66">
        <f>'M2'!E37-'M1'!E37</f>
        <v>0</v>
      </c>
      <c r="F37" s="66">
        <f>'M2'!F37-'M1'!F37</f>
        <v>1.2371199999999999E-2</v>
      </c>
      <c r="G37" s="66">
        <f>'M2'!G37-'M1'!G37</f>
        <v>0</v>
      </c>
      <c r="H37" s="66">
        <f>'M2'!H37-'M1'!H37</f>
        <v>1.057825</v>
      </c>
    </row>
    <row r="38" spans="1:8">
      <c r="A38" s="66" t="s">
        <v>81</v>
      </c>
      <c r="B38" s="66">
        <f>'M2'!B38-'M1'!B38</f>
        <v>4.7239000000000004</v>
      </c>
      <c r="C38" s="66">
        <f>'M2'!C38-'M1'!C38</f>
        <v>-1.3134000000000015</v>
      </c>
      <c r="D38" s="66">
        <f>'M2'!D38-'M1'!D38</f>
        <v>-0.29198999999999997</v>
      </c>
      <c r="E38" s="66">
        <f>'M2'!E38-'M1'!E38</f>
        <v>0</v>
      </c>
      <c r="F38" s="66">
        <f>'M2'!F38-'M1'!F38</f>
        <v>-39.384699999999995</v>
      </c>
      <c r="G38" s="66">
        <f>'M2'!G38-'M1'!G38</f>
        <v>0</v>
      </c>
      <c r="H38" s="66">
        <f>'M2'!H38-'M1'!H38</f>
        <v>21.937999999999988</v>
      </c>
    </row>
    <row r="39" spans="1:8">
      <c r="A39" s="66" t="s">
        <v>82</v>
      </c>
      <c r="B39" s="66">
        <f>'M2'!B39-'M1'!B39</f>
        <v>2.7179399999999996</v>
      </c>
      <c r="C39" s="66">
        <f>'M2'!C39-'M1'!C39</f>
        <v>6.7429000000000006</v>
      </c>
      <c r="D39" s="66">
        <f>'M2'!D39-'M1'!D39</f>
        <v>-1.6971000000000001</v>
      </c>
      <c r="E39" s="66">
        <f>'M2'!E39-'M1'!E39</f>
        <v>0</v>
      </c>
      <c r="F39" s="66">
        <f>'M2'!F39-'M1'!F39</f>
        <v>-23.324600000000004</v>
      </c>
      <c r="G39" s="66">
        <f>'M2'!G39-'M1'!G39</f>
        <v>0</v>
      </c>
      <c r="H39" s="66">
        <f>'M2'!H39-'M1'!H39</f>
        <v>3.3734929999999999</v>
      </c>
    </row>
    <row r="40" spans="1:8">
      <c r="A40" s="66" t="s">
        <v>83</v>
      </c>
      <c r="B40" s="66">
        <f>'M2'!B40-'M1'!B40</f>
        <v>2.0125799999999998</v>
      </c>
      <c r="C40" s="66">
        <f>'M2'!C40-'M1'!C40</f>
        <v>0.49518800000000007</v>
      </c>
      <c r="D40" s="66">
        <f>'M2'!D40-'M1'!D40</f>
        <v>-0.77588400000000002</v>
      </c>
      <c r="E40" s="66">
        <f>'M2'!E40-'M1'!E40</f>
        <v>0</v>
      </c>
      <c r="F40" s="66">
        <f>'M2'!F40-'M1'!F40</f>
        <v>0.63131999999999966</v>
      </c>
      <c r="G40" s="66">
        <f>'M2'!G40-'M1'!G40</f>
        <v>0</v>
      </c>
      <c r="H40" s="66">
        <f>'M2'!H40-'M1'!H40</f>
        <v>3.5851000000000002</v>
      </c>
    </row>
    <row r="41" spans="1:8">
      <c r="A41" s="66" t="s">
        <v>84</v>
      </c>
      <c r="B41" s="66">
        <f>'M2'!B41-'M1'!B41</f>
        <v>8.2549500000000012E-2</v>
      </c>
      <c r="C41" s="66">
        <f>'M2'!C41-'M1'!C41</f>
        <v>-0.10855499999999998</v>
      </c>
      <c r="D41" s="66">
        <f>'M2'!D41-'M1'!D41</f>
        <v>-0.6213700000000002</v>
      </c>
      <c r="E41" s="66">
        <f>'M2'!E41-'M1'!E41</f>
        <v>0</v>
      </c>
      <c r="F41" s="66">
        <f>'M2'!F41-'M1'!F41</f>
        <v>0.341198</v>
      </c>
      <c r="G41" s="66">
        <f>'M2'!G41-'M1'!G41</f>
        <v>0</v>
      </c>
      <c r="H41" s="66">
        <f>'M2'!H41-'M1'!H41</f>
        <v>-4.3478000000000017E-2</v>
      </c>
    </row>
    <row r="42" spans="1:8">
      <c r="A42" s="66" t="s">
        <v>85</v>
      </c>
      <c r="B42" s="66">
        <f>'M2'!B42-'M1'!B42</f>
        <v>0.11732633000000001</v>
      </c>
      <c r="C42" s="66">
        <f>'M2'!C42-'M1'!C42</f>
        <v>3.950759999999999E-2</v>
      </c>
      <c r="D42" s="66">
        <f>'M2'!D42-'M1'!D42</f>
        <v>13.126564</v>
      </c>
      <c r="E42" s="66">
        <f>'M2'!E42-'M1'!E42</f>
        <v>0</v>
      </c>
      <c r="F42" s="66">
        <f>'M2'!F42-'M1'!F42</f>
        <v>1.2559999999999794E-3</v>
      </c>
      <c r="G42" s="66">
        <f>'M2'!G42-'M1'!G42</f>
        <v>0</v>
      </c>
      <c r="H42" s="66">
        <f>'M2'!H42-'M1'!H42</f>
        <v>0.10090349999999999</v>
      </c>
    </row>
    <row r="43" spans="1:8">
      <c r="A43" s="66" t="s">
        <v>86</v>
      </c>
      <c r="B43" s="66">
        <f>'M2'!B43-'M1'!B43</f>
        <v>0.28748049999999997</v>
      </c>
      <c r="C43" s="66">
        <f>'M2'!C43-'M1'!C43</f>
        <v>-8.9183999999999999E-3</v>
      </c>
      <c r="D43" s="66">
        <f>'M2'!D43-'M1'!D43</f>
        <v>0.91163700000000003</v>
      </c>
      <c r="E43" s="66">
        <f>'M2'!E43-'M1'!E43</f>
        <v>0</v>
      </c>
      <c r="F43" s="66">
        <f>'M2'!F43-'M1'!F43</f>
        <v>0.22141569999999999</v>
      </c>
      <c r="G43" s="66">
        <f>'M2'!G43-'M1'!G43</f>
        <v>0</v>
      </c>
      <c r="H43" s="66">
        <f>'M2'!H43-'M1'!H43</f>
        <v>0.2096219</v>
      </c>
    </row>
    <row r="44" spans="1:8">
      <c r="A44" s="66" t="s">
        <v>87</v>
      </c>
      <c r="B44" s="66">
        <f>'M2'!B44-'M1'!B44</f>
        <v>2.7857799999999999</v>
      </c>
      <c r="C44" s="66">
        <f>'M2'!C44-'M1'!C44</f>
        <v>2.2344600000000003</v>
      </c>
      <c r="D44" s="66">
        <f>'M2'!D44-'M1'!D44</f>
        <v>-4.7151899999999998</v>
      </c>
      <c r="E44" s="66">
        <f>'M2'!E44-'M1'!E44</f>
        <v>0</v>
      </c>
      <c r="F44" s="66">
        <f>'M2'!F44-'M1'!F44</f>
        <v>-10.588699999999999</v>
      </c>
      <c r="G44" s="66">
        <f>'M2'!G44-'M1'!G44</f>
        <v>0</v>
      </c>
      <c r="H44" s="66">
        <f>'M2'!H44-'M1'!H44</f>
        <v>4.0278000000000009</v>
      </c>
    </row>
    <row r="45" spans="1:8">
      <c r="A45" s="66" t="s">
        <v>88</v>
      </c>
      <c r="B45" s="66">
        <f>'M2'!B45-'M1'!B45</f>
        <v>-2.5602000000000018</v>
      </c>
      <c r="C45" s="66">
        <f>'M2'!C45-'M1'!C45</f>
        <v>1.7615600000000002</v>
      </c>
      <c r="D45" s="66">
        <f>'M2'!D45-'M1'!D45</f>
        <v>4.7255000000000005E-2</v>
      </c>
      <c r="E45" s="66">
        <f>'M2'!E45-'M1'!E45</f>
        <v>0</v>
      </c>
      <c r="F45" s="66">
        <f>'M2'!F45-'M1'!F45</f>
        <v>-6.2615000000000016</v>
      </c>
      <c r="G45" s="66">
        <f>'M2'!G45-'M1'!G45</f>
        <v>0</v>
      </c>
      <c r="H45" s="66">
        <f>'M2'!H45-'M1'!H45</f>
        <v>-0.12330000000000041</v>
      </c>
    </row>
    <row r="46" spans="1:8">
      <c r="A46" s="66" t="s">
        <v>89</v>
      </c>
      <c r="B46" s="66">
        <f>'M2'!B46-'M1'!B46</f>
        <v>6.7498000000000005</v>
      </c>
      <c r="C46" s="66">
        <f>'M2'!C46-'M1'!C46</f>
        <v>-2.0345900000000001</v>
      </c>
      <c r="D46" s="66">
        <f>'M2'!D46-'M1'!D46</f>
        <v>-0.14433760000000001</v>
      </c>
      <c r="E46" s="66">
        <f>'M2'!E46-'M1'!E46</f>
        <v>0</v>
      </c>
      <c r="F46" s="66">
        <f>'M2'!F46-'M1'!F46</f>
        <v>13.189129999999999</v>
      </c>
      <c r="G46" s="66">
        <f>'M2'!G46-'M1'!G46</f>
        <v>0</v>
      </c>
      <c r="H46" s="66">
        <f>'M2'!H46-'M1'!H46</f>
        <v>6.1072999999999986</v>
      </c>
    </row>
    <row r="47" spans="1:8">
      <c r="A47" s="66" t="s">
        <v>90</v>
      </c>
      <c r="B47" s="66">
        <f>'M2'!B47-'M1'!B47</f>
        <v>0.79908999999999986</v>
      </c>
      <c r="C47" s="66">
        <f>'M2'!C47-'M1'!C47</f>
        <v>0.25859200000000004</v>
      </c>
      <c r="D47" s="66">
        <f>'M2'!D47-'M1'!D47</f>
        <v>-6.1855000000000049E-2</v>
      </c>
      <c r="E47" s="66">
        <f>'M2'!E47-'M1'!E47</f>
        <v>0</v>
      </c>
      <c r="F47" s="66">
        <f>'M2'!F47-'M1'!F47</f>
        <v>0.367004</v>
      </c>
      <c r="G47" s="66">
        <f>'M2'!G47-'M1'!G47</f>
        <v>0</v>
      </c>
      <c r="H47" s="66">
        <f>'M2'!H47-'M1'!H47</f>
        <v>1.1079699999999999</v>
      </c>
    </row>
    <row r="48" spans="1:8">
      <c r="A48" s="66" t="s">
        <v>91</v>
      </c>
      <c r="B48" s="66">
        <f>'M2'!B48-'M1'!B48</f>
        <v>0.36111700000000013</v>
      </c>
      <c r="C48" s="66">
        <f>'M2'!C48-'M1'!C48</f>
        <v>2.523099999999999E-2</v>
      </c>
      <c r="D48" s="66">
        <f>'M2'!D48-'M1'!D48</f>
        <v>-2.0298999999999998E-2</v>
      </c>
      <c r="E48" s="66">
        <f>'M2'!E48-'M1'!E48</f>
        <v>0</v>
      </c>
      <c r="F48" s="66">
        <f>'M2'!F48-'M1'!F48</f>
        <v>0.26731000000000005</v>
      </c>
      <c r="G48" s="66">
        <f>'M2'!G48-'M1'!G48</f>
        <v>0</v>
      </c>
      <c r="H48" s="66">
        <f>'M2'!H48-'M1'!H48</f>
        <v>0.29335500000000003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23.223400000000002</v>
      </c>
      <c r="C5" s="66">
        <v>5.1615900000000003</v>
      </c>
      <c r="D5" s="66">
        <v>22.2258</v>
      </c>
      <c r="E5" s="66">
        <v>20</v>
      </c>
      <c r="F5" s="66">
        <v>8.9546100000000006</v>
      </c>
      <c r="G5" s="66">
        <v>50</v>
      </c>
      <c r="H5" s="66">
        <v>28.529399999999999</v>
      </c>
    </row>
    <row r="6" spans="1:8">
      <c r="A6" s="66" t="s">
        <v>303</v>
      </c>
      <c r="B6" s="66">
        <v>26.9193</v>
      </c>
      <c r="C6" s="66">
        <v>0.85062000000000004</v>
      </c>
      <c r="D6" s="66">
        <v>3.1598899999999999</v>
      </c>
      <c r="E6" s="66">
        <v>20</v>
      </c>
      <c r="F6" s="66">
        <v>25.697399999999998</v>
      </c>
      <c r="G6" s="66">
        <v>40</v>
      </c>
      <c r="H6" s="66">
        <v>30.263999999999999</v>
      </c>
    </row>
    <row r="7" spans="1:8">
      <c r="A7" s="66" t="s">
        <v>304</v>
      </c>
      <c r="B7" s="66">
        <v>11.0558</v>
      </c>
      <c r="C7" s="66">
        <v>9.8963099999999997</v>
      </c>
      <c r="D7" s="66">
        <v>89.512500000000003</v>
      </c>
      <c r="E7" s="66">
        <v>15</v>
      </c>
      <c r="F7" s="66">
        <v>3.3076400000000001</v>
      </c>
      <c r="G7" s="66">
        <v>40</v>
      </c>
      <c r="H7" s="66">
        <v>46.002499999999998</v>
      </c>
    </row>
    <row r="8" spans="1:8">
      <c r="A8" s="66" t="s">
        <v>305</v>
      </c>
      <c r="B8" s="66">
        <v>19.979900000000001</v>
      </c>
      <c r="C8" s="66">
        <v>3.8197999999999999</v>
      </c>
      <c r="D8" s="66">
        <v>19.118200000000002</v>
      </c>
      <c r="E8" s="66">
        <v>20</v>
      </c>
      <c r="F8" s="66">
        <v>16.2974</v>
      </c>
      <c r="G8" s="66">
        <v>50</v>
      </c>
      <c r="H8" s="66">
        <v>32.5931</v>
      </c>
    </row>
    <row r="9" spans="1:8">
      <c r="A9" s="66" t="s">
        <v>306</v>
      </c>
      <c r="B9" s="66">
        <v>73.958799999999997</v>
      </c>
      <c r="C9" s="66">
        <v>5.3604900000000004</v>
      </c>
      <c r="D9" s="66">
        <v>7.2479399999999998</v>
      </c>
      <c r="E9" s="66">
        <v>50</v>
      </c>
      <c r="F9" s="66">
        <v>64.683099999999996</v>
      </c>
      <c r="G9" s="66">
        <v>100</v>
      </c>
      <c r="H9" s="66">
        <v>84.969300000000004</v>
      </c>
    </row>
    <row r="10" spans="1:8">
      <c r="A10" s="66" t="s">
        <v>307</v>
      </c>
      <c r="B10" s="66">
        <v>82.641300000000001</v>
      </c>
      <c r="C10" s="66">
        <v>3.6039500000000002</v>
      </c>
      <c r="D10" s="66">
        <v>4.3609600000000004</v>
      </c>
      <c r="E10" s="66">
        <v>40</v>
      </c>
      <c r="F10" s="66">
        <v>74.109499999999997</v>
      </c>
      <c r="G10" s="66">
        <v>100</v>
      </c>
      <c r="H10" s="66">
        <v>86.8142</v>
      </c>
    </row>
    <row r="11" spans="1:8">
      <c r="A11" s="66" t="s">
        <v>308</v>
      </c>
      <c r="B11" s="66">
        <v>14.268599999999999</v>
      </c>
      <c r="C11" s="66">
        <v>4.1870000000000003</v>
      </c>
      <c r="D11" s="66">
        <v>29.344100000000001</v>
      </c>
      <c r="E11" s="66">
        <v>10</v>
      </c>
      <c r="F11" s="66">
        <v>5.68675</v>
      </c>
      <c r="G11" s="66">
        <v>50</v>
      </c>
      <c r="H11" s="66">
        <v>18.069800000000001</v>
      </c>
    </row>
    <row r="12" spans="1:8">
      <c r="A12" s="66" t="s">
        <v>309</v>
      </c>
      <c r="B12" s="66">
        <v>77.990399999999994</v>
      </c>
      <c r="C12" s="66">
        <v>3.8446899999999999</v>
      </c>
      <c r="D12" s="66">
        <v>4.9296899999999999</v>
      </c>
      <c r="E12" s="66">
        <v>50</v>
      </c>
      <c r="F12" s="66">
        <v>69.591200000000001</v>
      </c>
      <c r="G12" s="66">
        <v>100</v>
      </c>
      <c r="H12" s="66">
        <v>84.153400000000005</v>
      </c>
    </row>
    <row r="13" spans="1:8">
      <c r="A13" s="66" t="s">
        <v>310</v>
      </c>
      <c r="B13" s="66">
        <v>23.0852</v>
      </c>
      <c r="C13" s="66">
        <v>7.2395199999999997</v>
      </c>
      <c r="D13" s="66">
        <v>31.36</v>
      </c>
      <c r="E13" s="66">
        <v>10</v>
      </c>
      <c r="F13" s="66">
        <v>15.130100000000001</v>
      </c>
      <c r="G13" s="66">
        <v>25</v>
      </c>
      <c r="H13" s="66">
        <v>51.186999999999998</v>
      </c>
    </row>
    <row r="14" spans="1:8">
      <c r="A14" s="66" t="s">
        <v>311</v>
      </c>
      <c r="B14" s="66">
        <v>72.395200000000003</v>
      </c>
      <c r="C14" s="66">
        <v>19.5518</v>
      </c>
      <c r="D14" s="66">
        <v>27.007000000000001</v>
      </c>
      <c r="E14" s="66">
        <v>10</v>
      </c>
      <c r="F14" s="66">
        <v>4.2785399999999996</v>
      </c>
      <c r="G14" s="66">
        <v>50</v>
      </c>
      <c r="H14" s="66">
        <v>76.002499999999998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0.66433299999999995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0.57233400000000001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347</v>
      </c>
      <c r="B20" s="66">
        <v>7.4416300000000005E-4</v>
      </c>
      <c r="C20" s="66">
        <v>2.8696699999999999E-2</v>
      </c>
      <c r="D20" s="66">
        <v>38.5623</v>
      </c>
      <c r="E20" s="66">
        <v>0</v>
      </c>
      <c r="F20" s="66">
        <v>0</v>
      </c>
      <c r="G20" s="66">
        <v>0</v>
      </c>
      <c r="H20" s="66">
        <v>0.26031399999999999</v>
      </c>
    </row>
    <row r="21" spans="1:8">
      <c r="A21" s="66" t="s">
        <v>318</v>
      </c>
      <c r="B21" s="66">
        <v>0.17358999999999999</v>
      </c>
      <c r="C21" s="66">
        <v>0.41924699999999998</v>
      </c>
      <c r="D21" s="66">
        <v>2.4151600000000002</v>
      </c>
      <c r="E21" s="66">
        <v>0</v>
      </c>
      <c r="F21" s="66">
        <v>1.04576E-3</v>
      </c>
      <c r="G21" s="66">
        <v>0</v>
      </c>
      <c r="H21" s="66">
        <v>2.9269500000000002</v>
      </c>
    </row>
    <row r="22" spans="1:8">
      <c r="A22" s="66" t="s">
        <v>319</v>
      </c>
      <c r="B22" s="66">
        <v>37.0304</v>
      </c>
      <c r="C22" s="66">
        <v>9.6363000000000003</v>
      </c>
      <c r="D22" s="66">
        <v>0.26022699999999999</v>
      </c>
      <c r="E22" s="66">
        <v>0</v>
      </c>
      <c r="F22" s="66">
        <v>26.088799999999999</v>
      </c>
      <c r="G22" s="66">
        <v>0</v>
      </c>
      <c r="H22" s="66">
        <v>69.084400000000002</v>
      </c>
    </row>
    <row r="23" spans="1:8">
      <c r="A23" s="66" t="s">
        <v>320</v>
      </c>
      <c r="B23" s="66">
        <v>12.5091</v>
      </c>
      <c r="C23" s="66">
        <v>2.9698699999999998</v>
      </c>
      <c r="D23" s="66">
        <v>0.23741699999999999</v>
      </c>
      <c r="E23" s="66">
        <v>0</v>
      </c>
      <c r="F23" s="66">
        <v>6.3801500000000004</v>
      </c>
      <c r="G23" s="66">
        <v>0</v>
      </c>
      <c r="H23" s="66">
        <v>16.2684</v>
      </c>
    </row>
    <row r="24" spans="1:8">
      <c r="A24" s="66" t="s">
        <v>348</v>
      </c>
      <c r="B24" s="66">
        <v>1.2250200000000001E-3</v>
      </c>
      <c r="C24" s="66">
        <v>2.4287300000000001E-2</v>
      </c>
      <c r="D24" s="66">
        <v>19.8261</v>
      </c>
      <c r="E24" s="66">
        <v>0</v>
      </c>
      <c r="F24" s="196">
        <v>6.1026600000000003E-5</v>
      </c>
      <c r="G24" s="66">
        <v>0</v>
      </c>
      <c r="H24" s="66">
        <v>0.19851099999999999</v>
      </c>
    </row>
    <row r="25" spans="1:8">
      <c r="A25" s="66" t="s">
        <v>322</v>
      </c>
      <c r="B25" s="66">
        <v>0.18759200000000001</v>
      </c>
      <c r="C25" s="66">
        <v>0.18635099999999999</v>
      </c>
      <c r="D25" s="66">
        <v>0.99338300000000002</v>
      </c>
      <c r="E25" s="66">
        <v>0</v>
      </c>
      <c r="F25" s="66">
        <v>4.9204499999999998E-2</v>
      </c>
      <c r="G25" s="66">
        <v>0</v>
      </c>
      <c r="H25" s="66">
        <v>0.98331199999999996</v>
      </c>
    </row>
    <row r="26" spans="1:8">
      <c r="A26" s="66" t="s">
        <v>323</v>
      </c>
      <c r="B26" s="66">
        <v>2.5932199999999998E-4</v>
      </c>
      <c r="C26" s="66">
        <v>4.0757399999999996E-3</v>
      </c>
      <c r="D26" s="66">
        <v>15.716900000000001</v>
      </c>
      <c r="E26" s="66">
        <v>0</v>
      </c>
      <c r="F26" s="66">
        <v>0</v>
      </c>
      <c r="G26" s="66">
        <v>0</v>
      </c>
      <c r="H26" s="66">
        <v>3.2769800000000002E-2</v>
      </c>
    </row>
    <row r="27" spans="1:8">
      <c r="A27" s="66" t="s">
        <v>324</v>
      </c>
      <c r="B27" s="66">
        <v>0</v>
      </c>
      <c r="C27" s="66">
        <v>1.78039E-3</v>
      </c>
      <c r="D27" s="66">
        <v>0</v>
      </c>
      <c r="E27" s="66">
        <v>0</v>
      </c>
      <c r="F27" s="66">
        <v>-2.3847799999999999E-2</v>
      </c>
      <c r="G27" s="66">
        <v>0</v>
      </c>
      <c r="H27" s="66">
        <v>2.2065399999999999E-2</v>
      </c>
    </row>
    <row r="28" spans="1:8">
      <c r="A28" s="66" t="s">
        <v>325</v>
      </c>
      <c r="B28" s="66">
        <v>2.3219400000000001E-2</v>
      </c>
      <c r="C28" s="66">
        <v>2.8794500000000001E-2</v>
      </c>
      <c r="D28" s="66">
        <v>1.2401</v>
      </c>
      <c r="E28" s="66">
        <v>0</v>
      </c>
      <c r="F28" s="66">
        <v>2.9947900000000001E-4</v>
      </c>
      <c r="G28" s="66">
        <v>0</v>
      </c>
      <c r="H28" s="66">
        <v>0.16531199999999999</v>
      </c>
    </row>
    <row r="29" spans="1:8">
      <c r="A29" s="66" t="s">
        <v>326</v>
      </c>
      <c r="B29" s="66">
        <v>67.710700000000003</v>
      </c>
      <c r="C29" s="66">
        <v>8.8298400000000008</v>
      </c>
      <c r="D29" s="66">
        <v>0.13040499999999999</v>
      </c>
      <c r="E29" s="66">
        <v>0</v>
      </c>
      <c r="F29" s="66">
        <v>48.665300000000002</v>
      </c>
      <c r="G29" s="66">
        <v>0</v>
      </c>
      <c r="H29" s="66">
        <v>94.674300000000002</v>
      </c>
    </row>
    <row r="30" spans="1:8">
      <c r="A30" s="66" t="s">
        <v>327</v>
      </c>
      <c r="B30" s="66">
        <v>18.002400000000002</v>
      </c>
      <c r="C30" s="66">
        <v>4.4007100000000001</v>
      </c>
      <c r="D30" s="66">
        <v>0.244451</v>
      </c>
      <c r="E30" s="66">
        <v>0</v>
      </c>
      <c r="F30" s="66">
        <v>8.1217900000000007</v>
      </c>
      <c r="G30" s="66">
        <v>0</v>
      </c>
      <c r="H30" s="66">
        <v>23.174499999999998</v>
      </c>
    </row>
    <row r="31" spans="1:8">
      <c r="A31" s="66" t="s">
        <v>328</v>
      </c>
      <c r="B31" s="66">
        <v>82.025499999999994</v>
      </c>
      <c r="C31" s="66">
        <v>30.4495</v>
      </c>
      <c r="D31" s="66">
        <v>0.37121900000000002</v>
      </c>
      <c r="E31" s="66">
        <v>0</v>
      </c>
      <c r="F31" s="66">
        <v>25.066299999999998</v>
      </c>
      <c r="G31" s="66">
        <v>0</v>
      </c>
      <c r="H31" s="66">
        <v>124.529</v>
      </c>
    </row>
    <row r="32" spans="1:8">
      <c r="A32" s="66" t="s">
        <v>329</v>
      </c>
      <c r="B32" s="66">
        <v>0.110558</v>
      </c>
      <c r="C32" s="66">
        <v>9.8963099999999998E-2</v>
      </c>
      <c r="D32" s="66">
        <v>0.89512499999999995</v>
      </c>
      <c r="E32" s="66">
        <v>0.15</v>
      </c>
      <c r="F32" s="66">
        <v>3.3076399999999999E-2</v>
      </c>
      <c r="G32" s="66">
        <v>0.4</v>
      </c>
      <c r="H32" s="66">
        <v>0.46002500000000002</v>
      </c>
    </row>
    <row r="33" spans="1:8">
      <c r="A33" s="66" t="s">
        <v>330</v>
      </c>
      <c r="B33" s="66">
        <v>0.31372699999999998</v>
      </c>
      <c r="C33" s="66">
        <v>4.55092E-2</v>
      </c>
      <c r="D33" s="66">
        <v>0.14505999999999999</v>
      </c>
      <c r="E33" s="66">
        <v>0</v>
      </c>
      <c r="F33" s="66">
        <v>0.218026</v>
      </c>
      <c r="G33" s="66">
        <v>0</v>
      </c>
      <c r="H33" s="66">
        <v>0.38497199999999998</v>
      </c>
    </row>
    <row r="34" spans="1:8">
      <c r="A34" s="66" t="s">
        <v>331</v>
      </c>
      <c r="B34" s="66">
        <v>0.230852</v>
      </c>
      <c r="C34" s="66">
        <v>7.2395200000000007E-2</v>
      </c>
      <c r="D34" s="66">
        <v>0.31359999999999999</v>
      </c>
      <c r="E34" s="66">
        <v>0.1</v>
      </c>
      <c r="F34" s="66">
        <v>0.15130099999999999</v>
      </c>
      <c r="G34" s="66">
        <v>0.25</v>
      </c>
      <c r="H34" s="66">
        <v>0.51187000000000005</v>
      </c>
    </row>
    <row r="35" spans="1:8">
      <c r="A35" s="66" t="s">
        <v>332</v>
      </c>
      <c r="B35" s="66">
        <v>0.105354</v>
      </c>
      <c r="C35" s="66">
        <v>5.0082300000000003E-2</v>
      </c>
      <c r="D35" s="66">
        <v>0.47537299999999999</v>
      </c>
      <c r="E35" s="66">
        <v>0</v>
      </c>
      <c r="F35" s="66">
        <v>4.6557599999999998E-2</v>
      </c>
      <c r="G35" s="66">
        <v>0</v>
      </c>
      <c r="H35" s="66">
        <v>0.40252100000000002</v>
      </c>
    </row>
    <row r="36" spans="1:8">
      <c r="A36" s="66" t="s">
        <v>333</v>
      </c>
      <c r="B36" s="66">
        <v>0.191331</v>
      </c>
      <c r="C36" s="66">
        <v>0.16381499999999999</v>
      </c>
      <c r="D36" s="66">
        <v>0.85618700000000003</v>
      </c>
      <c r="E36" s="66">
        <v>0</v>
      </c>
      <c r="F36" s="66">
        <v>3.8374699999999998E-2</v>
      </c>
      <c r="G36" s="66">
        <v>0</v>
      </c>
      <c r="H36" s="66">
        <v>1.1322399999999999</v>
      </c>
    </row>
    <row r="37" spans="1:8">
      <c r="A37" s="66" t="s">
        <v>334</v>
      </c>
      <c r="B37" s="66">
        <v>0.72395200000000004</v>
      </c>
      <c r="C37" s="66">
        <v>0.195517</v>
      </c>
      <c r="D37" s="66">
        <v>0.27006999999999998</v>
      </c>
      <c r="E37" s="66">
        <v>0.1</v>
      </c>
      <c r="F37" s="66">
        <v>4.2785400000000001E-2</v>
      </c>
      <c r="G37" s="66">
        <v>0.5</v>
      </c>
      <c r="H37" s="66">
        <v>0.76002499999999995</v>
      </c>
    </row>
    <row r="38" spans="1:8">
      <c r="A38" s="66" t="s">
        <v>335</v>
      </c>
      <c r="B38" s="66">
        <v>-25.452300000000001</v>
      </c>
      <c r="C38" s="66">
        <v>39.686900000000001</v>
      </c>
      <c r="D38" s="66">
        <v>-1.5592600000000001</v>
      </c>
      <c r="E38" s="66">
        <v>0</v>
      </c>
      <c r="F38" s="66">
        <v>-81.909300000000002</v>
      </c>
      <c r="G38" s="66">
        <v>0</v>
      </c>
      <c r="H38" s="66">
        <v>192.483</v>
      </c>
    </row>
    <row r="39" spans="1:8">
      <c r="A39" s="66" t="s">
        <v>336</v>
      </c>
      <c r="B39" s="66">
        <v>-7.2139199999999999</v>
      </c>
      <c r="C39" s="66">
        <v>2.3547699999999998</v>
      </c>
      <c r="D39" s="66">
        <v>-0.32641999999999999</v>
      </c>
      <c r="E39" s="66">
        <v>0</v>
      </c>
      <c r="F39" s="66">
        <v>-13.1136</v>
      </c>
      <c r="G39" s="66">
        <v>0</v>
      </c>
      <c r="H39" s="66">
        <v>0.41230699999999998</v>
      </c>
    </row>
    <row r="40" spans="1:8">
      <c r="A40" s="66" t="s">
        <v>337</v>
      </c>
      <c r="B40" s="66">
        <v>-3.1764899999999998</v>
      </c>
      <c r="C40" s="66">
        <v>0.64375199999999999</v>
      </c>
      <c r="D40" s="66">
        <v>-0.20266200000000001</v>
      </c>
      <c r="E40" s="66">
        <v>0</v>
      </c>
      <c r="F40" s="66">
        <v>-3.9740799999999998</v>
      </c>
      <c r="G40" s="66">
        <v>0</v>
      </c>
      <c r="H40" s="66">
        <v>-1.45391</v>
      </c>
    </row>
    <row r="41" spans="1:8">
      <c r="A41" s="66" t="s">
        <v>338</v>
      </c>
      <c r="B41" s="66">
        <v>-0.17385400000000001</v>
      </c>
      <c r="C41" s="66">
        <v>0.34810799999999997</v>
      </c>
      <c r="D41" s="66">
        <v>-2.0023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-0.107641</v>
      </c>
      <c r="C42" s="66">
        <v>8.0393400000000004E-2</v>
      </c>
      <c r="D42" s="66">
        <v>-0.74686399999999997</v>
      </c>
      <c r="E42" s="66">
        <v>0</v>
      </c>
      <c r="F42" s="66">
        <v>-0.30385699999999999</v>
      </c>
      <c r="G42" s="66">
        <v>0</v>
      </c>
      <c r="H42" s="66">
        <v>7.11865E-2</v>
      </c>
    </row>
    <row r="43" spans="1:8">
      <c r="A43" s="66" t="s">
        <v>340</v>
      </c>
      <c r="B43" s="66">
        <v>-0.21019299999999999</v>
      </c>
      <c r="C43" s="66">
        <v>5.8036600000000001E-2</v>
      </c>
      <c r="D43" s="66">
        <v>-0.276111</v>
      </c>
      <c r="E43" s="66">
        <v>0</v>
      </c>
      <c r="F43" s="66">
        <v>-0.317608</v>
      </c>
      <c r="G43" s="66">
        <v>0</v>
      </c>
      <c r="H43" s="66">
        <v>-8.7775900000000004E-2</v>
      </c>
    </row>
    <row r="44" spans="1:8">
      <c r="A44" s="66" t="s">
        <v>341</v>
      </c>
      <c r="B44" s="66">
        <v>-4.2755200000000002</v>
      </c>
      <c r="C44" s="66">
        <v>7.3514499999999998</v>
      </c>
      <c r="D44" s="66">
        <v>-1.71943</v>
      </c>
      <c r="E44" s="66">
        <v>0</v>
      </c>
      <c r="F44" s="66">
        <v>-17.123699999999999</v>
      </c>
      <c r="G44" s="66">
        <v>0</v>
      </c>
      <c r="H44" s="66">
        <v>12.7721</v>
      </c>
    </row>
    <row r="45" spans="1:8">
      <c r="A45" s="66" t="s">
        <v>342</v>
      </c>
      <c r="B45" s="66">
        <v>46.282299999999999</v>
      </c>
      <c r="C45" s="66">
        <v>5.50474</v>
      </c>
      <c r="D45" s="66">
        <v>0.118938</v>
      </c>
      <c r="E45" s="66">
        <v>0</v>
      </c>
      <c r="F45" s="66">
        <v>31.307400000000001</v>
      </c>
      <c r="G45" s="66">
        <v>0</v>
      </c>
      <c r="H45" s="66">
        <v>65.744100000000003</v>
      </c>
    </row>
    <row r="46" spans="1:8">
      <c r="A46" s="66" t="s">
        <v>343</v>
      </c>
      <c r="B46" s="66">
        <v>17.212499999999999</v>
      </c>
      <c r="C46" s="66">
        <v>3.6314700000000002</v>
      </c>
      <c r="D46" s="66">
        <v>0.210979</v>
      </c>
      <c r="E46" s="66">
        <v>0</v>
      </c>
      <c r="F46" s="66">
        <v>7.9925699999999997</v>
      </c>
      <c r="G46" s="66">
        <v>0</v>
      </c>
      <c r="H46" s="66">
        <v>21.3476</v>
      </c>
    </row>
    <row r="47" spans="1:8">
      <c r="A47" s="66" t="s">
        <v>344</v>
      </c>
      <c r="B47" s="66">
        <v>1.13436</v>
      </c>
      <c r="C47" s="66">
        <v>0.53685799999999995</v>
      </c>
      <c r="D47" s="66">
        <v>0.47327000000000002</v>
      </c>
      <c r="E47" s="66">
        <v>0</v>
      </c>
      <c r="F47" s="66">
        <v>0.58761799999999997</v>
      </c>
      <c r="G47" s="66">
        <v>0</v>
      </c>
      <c r="H47" s="66">
        <v>3.53146</v>
      </c>
    </row>
    <row r="48" spans="1:8">
      <c r="A48" s="66" t="s">
        <v>345</v>
      </c>
      <c r="B48" s="66">
        <v>0.76020299999999996</v>
      </c>
      <c r="C48" s="66">
        <v>0.101032</v>
      </c>
      <c r="D48" s="66">
        <v>0.13290099999999999</v>
      </c>
      <c r="E48" s="66">
        <v>0</v>
      </c>
      <c r="F48" s="66">
        <v>0.57907399999999998</v>
      </c>
      <c r="G48" s="66">
        <v>0</v>
      </c>
      <c r="H48" s="66">
        <v>0.99617500000000003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346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33.504100000000001</v>
      </c>
      <c r="C5" s="66">
        <v>3.5524200000000001</v>
      </c>
      <c r="D5" s="66">
        <v>10.6029</v>
      </c>
      <c r="E5" s="66">
        <v>20</v>
      </c>
      <c r="F5" s="66">
        <v>27.67</v>
      </c>
      <c r="G5" s="66">
        <v>50</v>
      </c>
      <c r="H5" s="66">
        <v>40.874099999999999</v>
      </c>
    </row>
    <row r="6" spans="1:8">
      <c r="A6" s="66" t="s">
        <v>303</v>
      </c>
      <c r="B6" s="66">
        <v>26.2165</v>
      </c>
      <c r="C6" s="66">
        <v>1.3589899999999999</v>
      </c>
      <c r="D6" s="66">
        <v>5.1837099999999996</v>
      </c>
      <c r="E6" s="66">
        <v>20</v>
      </c>
      <c r="F6" s="66">
        <v>20.9908</v>
      </c>
      <c r="G6" s="66">
        <v>40</v>
      </c>
      <c r="H6" s="66">
        <v>27.889299999999999</v>
      </c>
    </row>
    <row r="7" spans="1:8">
      <c r="A7" s="66" t="s">
        <v>304</v>
      </c>
      <c r="B7" s="66">
        <v>8.1753800000000005</v>
      </c>
      <c r="C7" s="66">
        <v>6.4097</v>
      </c>
      <c r="D7" s="66">
        <v>78.402500000000003</v>
      </c>
      <c r="E7" s="66">
        <v>15</v>
      </c>
      <c r="F7" s="66">
        <v>2.1133999999999999</v>
      </c>
      <c r="G7" s="66">
        <v>40</v>
      </c>
      <c r="H7" s="66">
        <v>27.486499999999999</v>
      </c>
    </row>
    <row r="8" spans="1:8">
      <c r="A8" s="66" t="s">
        <v>305</v>
      </c>
      <c r="B8" s="66">
        <v>23.5412</v>
      </c>
      <c r="C8" s="66">
        <v>2.1519599999999999</v>
      </c>
      <c r="D8" s="66">
        <v>9.1412899999999997</v>
      </c>
      <c r="E8" s="66">
        <v>20</v>
      </c>
      <c r="F8" s="66">
        <v>19.242999999999999</v>
      </c>
      <c r="G8" s="66">
        <v>50</v>
      </c>
      <c r="H8" s="66">
        <v>29.247699999999998</v>
      </c>
    </row>
    <row r="9" spans="1:8">
      <c r="A9" s="66" t="s">
        <v>306</v>
      </c>
      <c r="B9" s="66">
        <v>74.472099999999998</v>
      </c>
      <c r="C9" s="66">
        <v>3.9620199999999999</v>
      </c>
      <c r="D9" s="66">
        <v>5.3201400000000003</v>
      </c>
      <c r="E9" s="66">
        <v>50</v>
      </c>
      <c r="F9" s="66">
        <v>64.872399999999999</v>
      </c>
      <c r="G9" s="66">
        <v>100</v>
      </c>
      <c r="H9" s="66">
        <v>83.445599999999999</v>
      </c>
    </row>
    <row r="10" spans="1:8">
      <c r="A10" s="66" t="s">
        <v>307</v>
      </c>
      <c r="B10" s="66">
        <v>76.807100000000005</v>
      </c>
      <c r="C10" s="66">
        <v>1.84534</v>
      </c>
      <c r="D10" s="66">
        <v>2.4025599999999998</v>
      </c>
      <c r="E10" s="66">
        <v>40</v>
      </c>
      <c r="F10" s="66">
        <v>74.453100000000006</v>
      </c>
      <c r="G10" s="66">
        <v>100</v>
      </c>
      <c r="H10" s="66">
        <v>82.058599999999998</v>
      </c>
    </row>
    <row r="11" spans="1:8">
      <c r="A11" s="66" t="s">
        <v>308</v>
      </c>
      <c r="B11" s="66">
        <v>25.085000000000001</v>
      </c>
      <c r="C11" s="66">
        <v>3.5405700000000002</v>
      </c>
      <c r="D11" s="66">
        <v>14.1143</v>
      </c>
      <c r="E11" s="66">
        <v>10</v>
      </c>
      <c r="F11" s="66">
        <v>18.162700000000001</v>
      </c>
      <c r="G11" s="66">
        <v>50</v>
      </c>
      <c r="H11" s="66">
        <v>30.346800000000002</v>
      </c>
    </row>
    <row r="12" spans="1:8">
      <c r="A12" s="66" t="s">
        <v>309</v>
      </c>
      <c r="B12" s="66">
        <v>75.618499999999997</v>
      </c>
      <c r="C12" s="66">
        <v>2.0862099999999999</v>
      </c>
      <c r="D12" s="66">
        <v>2.7588599999999999</v>
      </c>
      <c r="E12" s="66">
        <v>50</v>
      </c>
      <c r="F12" s="66">
        <v>70.719099999999997</v>
      </c>
      <c r="G12" s="66">
        <v>100</v>
      </c>
      <c r="H12" s="66">
        <v>81.330200000000005</v>
      </c>
    </row>
    <row r="13" spans="1:8">
      <c r="A13" s="66" t="s">
        <v>310</v>
      </c>
      <c r="B13" s="66">
        <v>35.4559</v>
      </c>
      <c r="C13" s="66">
        <v>9.5711099999999991</v>
      </c>
      <c r="D13" s="66">
        <v>26.994399999999999</v>
      </c>
      <c r="E13" s="66">
        <v>10</v>
      </c>
      <c r="F13" s="66">
        <v>26.1431</v>
      </c>
      <c r="G13" s="66">
        <v>25</v>
      </c>
      <c r="H13" s="66">
        <v>71.5321</v>
      </c>
    </row>
    <row r="14" spans="1:8">
      <c r="A14" s="66" t="s">
        <v>311</v>
      </c>
      <c r="B14" s="66">
        <v>95.711100000000002</v>
      </c>
      <c r="C14" s="66">
        <v>37.5276</v>
      </c>
      <c r="D14" s="66">
        <v>39.209299999999999</v>
      </c>
      <c r="E14" s="66">
        <v>10</v>
      </c>
      <c r="F14" s="66">
        <v>5.5156599999999996</v>
      </c>
      <c r="G14" s="66">
        <v>50</v>
      </c>
      <c r="H14" s="66">
        <v>181.785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0.761297</v>
      </c>
      <c r="C18" s="66">
        <v>3.8438600000000003E-2</v>
      </c>
      <c r="D18" s="66">
        <v>5.0491000000000001E-2</v>
      </c>
      <c r="E18" s="66">
        <v>0</v>
      </c>
      <c r="F18" s="66">
        <v>0.722858</v>
      </c>
      <c r="G18" s="66">
        <v>0</v>
      </c>
      <c r="H18" s="66">
        <v>0.79973499999999997</v>
      </c>
    </row>
    <row r="19" spans="1:8">
      <c r="A19" s="66" t="s">
        <v>316</v>
      </c>
      <c r="B19" s="66">
        <v>0.73942600000000003</v>
      </c>
      <c r="C19" s="66">
        <v>5.6718899999999997E-3</v>
      </c>
      <c r="D19" s="66">
        <v>7.6706600000000002E-3</v>
      </c>
      <c r="E19" s="66">
        <v>0</v>
      </c>
      <c r="F19" s="66">
        <v>0.73375400000000002</v>
      </c>
      <c r="G19" s="66">
        <v>0</v>
      </c>
      <c r="H19" s="66">
        <v>0.74509800000000004</v>
      </c>
    </row>
    <row r="20" spans="1:8">
      <c r="A20" s="66" t="s">
        <v>317</v>
      </c>
      <c r="B20" s="66">
        <v>7.9415600000000003E-3</v>
      </c>
      <c r="C20" s="66">
        <v>0.14117299999999999</v>
      </c>
      <c r="D20" s="66">
        <v>17.776499999999999</v>
      </c>
      <c r="E20" s="66">
        <v>0</v>
      </c>
      <c r="F20" s="66">
        <v>0</v>
      </c>
      <c r="G20" s="66">
        <v>0</v>
      </c>
      <c r="H20" s="66">
        <v>0.80667900000000003</v>
      </c>
    </row>
    <row r="21" spans="1:8">
      <c r="A21" s="66" t="s">
        <v>318</v>
      </c>
      <c r="B21" s="66">
        <v>0.51306399999999996</v>
      </c>
      <c r="C21" s="66">
        <v>1.1854800000000001</v>
      </c>
      <c r="D21" s="66">
        <v>2.3105899999999999</v>
      </c>
      <c r="E21" s="66">
        <v>0</v>
      </c>
      <c r="F21" s="66">
        <v>9.7944799999999995E-4</v>
      </c>
      <c r="G21" s="66">
        <v>0</v>
      </c>
      <c r="H21" s="66">
        <v>6.81006</v>
      </c>
    </row>
    <row r="22" spans="1:8">
      <c r="A22" s="66" t="s">
        <v>319</v>
      </c>
      <c r="B22" s="66">
        <v>53.892499999999998</v>
      </c>
      <c r="C22" s="66">
        <v>24.706099999999999</v>
      </c>
      <c r="D22" s="66">
        <v>0.45843299999999998</v>
      </c>
      <c r="E22" s="66">
        <v>0</v>
      </c>
      <c r="F22" s="66">
        <v>29.932500000000001</v>
      </c>
      <c r="G22" s="66">
        <v>0</v>
      </c>
      <c r="H22" s="66">
        <v>153.477</v>
      </c>
    </row>
    <row r="23" spans="1:8">
      <c r="A23" s="66" t="s">
        <v>320</v>
      </c>
      <c r="B23" s="66">
        <v>26.0518</v>
      </c>
      <c r="C23" s="66">
        <v>6.5801800000000004</v>
      </c>
      <c r="D23" s="66">
        <v>0.252581</v>
      </c>
      <c r="E23" s="66">
        <v>0</v>
      </c>
      <c r="F23" s="66">
        <v>15.665699999999999</v>
      </c>
      <c r="G23" s="66">
        <v>0</v>
      </c>
      <c r="H23" s="66">
        <v>36.127699999999997</v>
      </c>
    </row>
    <row r="24" spans="1:8">
      <c r="A24" s="66" t="s">
        <v>321</v>
      </c>
      <c r="B24" s="66">
        <v>9.4774300000000002E-3</v>
      </c>
      <c r="C24" s="66">
        <v>0.13823299999999999</v>
      </c>
      <c r="D24" s="66">
        <v>14.5855</v>
      </c>
      <c r="E24" s="66">
        <v>0</v>
      </c>
      <c r="F24" s="196">
        <v>4.90657E-5</v>
      </c>
      <c r="G24" s="66">
        <v>0</v>
      </c>
      <c r="H24" s="66">
        <v>0.78856999999999999</v>
      </c>
    </row>
    <row r="25" spans="1:8">
      <c r="A25" s="66" t="s">
        <v>322</v>
      </c>
      <c r="B25" s="66">
        <v>0.58365999999999996</v>
      </c>
      <c r="C25" s="66">
        <v>0.87068900000000005</v>
      </c>
      <c r="D25" s="66">
        <v>1.49177</v>
      </c>
      <c r="E25" s="66">
        <v>0</v>
      </c>
      <c r="F25" s="66">
        <v>0.115069</v>
      </c>
      <c r="G25" s="66">
        <v>0</v>
      </c>
      <c r="H25" s="66">
        <v>4.3954899999999997</v>
      </c>
    </row>
    <row r="26" spans="1:8">
      <c r="A26" s="66" t="s">
        <v>323</v>
      </c>
      <c r="B26" s="66">
        <v>2.07786E-3</v>
      </c>
      <c r="C26" s="66">
        <v>1.36515E-2</v>
      </c>
      <c r="D26" s="66">
        <v>6.5699899999999998</v>
      </c>
      <c r="E26" s="66">
        <v>0</v>
      </c>
      <c r="F26" s="66">
        <v>0</v>
      </c>
      <c r="G26" s="66">
        <v>0</v>
      </c>
      <c r="H26" s="66">
        <v>7.3174900000000001E-2</v>
      </c>
    </row>
    <row r="27" spans="1:8">
      <c r="A27" s="66" t="s">
        <v>324</v>
      </c>
      <c r="B27" s="196">
        <v>3.2825599999999999E-6</v>
      </c>
      <c r="C27" s="66">
        <v>1.2503099999999999E-3</v>
      </c>
      <c r="D27" s="66">
        <v>380.89499999999998</v>
      </c>
      <c r="E27" s="66">
        <v>0</v>
      </c>
      <c r="F27" s="66">
        <v>-9.2239999999999996E-3</v>
      </c>
      <c r="G27" s="66">
        <v>0</v>
      </c>
      <c r="H27" s="66">
        <v>7.2610299999999999E-3</v>
      </c>
    </row>
    <row r="28" spans="1:8">
      <c r="A28" s="66" t="s">
        <v>325</v>
      </c>
      <c r="B28" s="66">
        <v>5.3144499999999997E-2</v>
      </c>
      <c r="C28" s="66">
        <v>5.35915E-2</v>
      </c>
      <c r="D28" s="66">
        <v>1.00841</v>
      </c>
      <c r="E28" s="66">
        <v>0</v>
      </c>
      <c r="F28" s="66">
        <v>3.6783900000000001E-4</v>
      </c>
      <c r="G28" s="66">
        <v>0</v>
      </c>
      <c r="H28" s="66">
        <v>0.24717800000000001</v>
      </c>
    </row>
    <row r="29" spans="1:8">
      <c r="A29" s="66" t="s">
        <v>326</v>
      </c>
      <c r="B29" s="66">
        <v>75.095699999999994</v>
      </c>
      <c r="C29" s="66">
        <v>10.6883</v>
      </c>
      <c r="D29" s="66">
        <v>0.14232900000000001</v>
      </c>
      <c r="E29" s="66">
        <v>0</v>
      </c>
      <c r="F29" s="66">
        <v>57.600700000000003</v>
      </c>
      <c r="G29" s="66">
        <v>0</v>
      </c>
      <c r="H29" s="66">
        <v>105.88</v>
      </c>
    </row>
    <row r="30" spans="1:8">
      <c r="A30" s="66" t="s">
        <v>327</v>
      </c>
      <c r="B30" s="66">
        <v>34.150100000000002</v>
      </c>
      <c r="C30" s="66">
        <v>5.0149299999999997</v>
      </c>
      <c r="D30" s="66">
        <v>0.14685000000000001</v>
      </c>
      <c r="E30" s="66">
        <v>0</v>
      </c>
      <c r="F30" s="66">
        <v>22.562799999999999</v>
      </c>
      <c r="G30" s="66">
        <v>0</v>
      </c>
      <c r="H30" s="66">
        <v>37.307600000000001</v>
      </c>
    </row>
    <row r="31" spans="1:8">
      <c r="A31" s="66" t="s">
        <v>328</v>
      </c>
      <c r="B31" s="66">
        <v>131.71299999999999</v>
      </c>
      <c r="C31" s="66">
        <v>15.387499999999999</v>
      </c>
      <c r="D31" s="66">
        <v>0.116826</v>
      </c>
      <c r="E31" s="66">
        <v>0</v>
      </c>
      <c r="F31" s="66">
        <v>118.621</v>
      </c>
      <c r="G31" s="66">
        <v>0</v>
      </c>
      <c r="H31" s="66">
        <v>171.46100000000001</v>
      </c>
    </row>
    <row r="32" spans="1:8">
      <c r="A32" s="66" t="s">
        <v>329</v>
      </c>
      <c r="B32" s="66">
        <v>8.1753800000000001E-2</v>
      </c>
      <c r="C32" s="66">
        <v>6.4097000000000001E-2</v>
      </c>
      <c r="D32" s="66">
        <v>0.78402499999999997</v>
      </c>
      <c r="E32" s="66">
        <v>0.15</v>
      </c>
      <c r="F32" s="66">
        <v>2.1134E-2</v>
      </c>
      <c r="G32" s="66">
        <v>0.4</v>
      </c>
      <c r="H32" s="66">
        <v>0.27486500000000003</v>
      </c>
    </row>
    <row r="33" spans="1:8">
      <c r="A33" s="66" t="s">
        <v>330</v>
      </c>
      <c r="B33" s="66">
        <v>0.306504</v>
      </c>
      <c r="C33" s="66">
        <v>4.14886E-2</v>
      </c>
      <c r="D33" s="66">
        <v>0.13536100000000001</v>
      </c>
      <c r="E33" s="66">
        <v>0</v>
      </c>
      <c r="F33" s="66">
        <v>0.23832999999999999</v>
      </c>
      <c r="G33" s="66">
        <v>0</v>
      </c>
      <c r="H33" s="66">
        <v>0.40493299999999999</v>
      </c>
    </row>
    <row r="34" spans="1:8">
      <c r="A34" s="66" t="s">
        <v>331</v>
      </c>
      <c r="B34" s="66">
        <v>0.35455900000000001</v>
      </c>
      <c r="C34" s="66">
        <v>9.5711099999999993E-2</v>
      </c>
      <c r="D34" s="66">
        <v>0.26994400000000002</v>
      </c>
      <c r="E34" s="66">
        <v>0.1</v>
      </c>
      <c r="F34" s="66">
        <v>0.26143100000000002</v>
      </c>
      <c r="G34" s="66">
        <v>0.25</v>
      </c>
      <c r="H34" s="66">
        <v>0.71532099999999998</v>
      </c>
    </row>
    <row r="35" spans="1:8">
      <c r="A35" s="66" t="s">
        <v>332</v>
      </c>
      <c r="B35" s="66">
        <v>0.139268</v>
      </c>
      <c r="C35" s="66">
        <v>7.31792E-2</v>
      </c>
      <c r="D35" s="66">
        <v>0.52545600000000003</v>
      </c>
      <c r="E35" s="66">
        <v>0</v>
      </c>
      <c r="F35" s="66">
        <v>4.1191100000000001E-2</v>
      </c>
      <c r="G35" s="66">
        <v>0</v>
      </c>
      <c r="H35" s="66">
        <v>0.38711099999999998</v>
      </c>
    </row>
    <row r="36" spans="1:8">
      <c r="A36" s="66" t="s">
        <v>333</v>
      </c>
      <c r="B36" s="66">
        <v>0.324768</v>
      </c>
      <c r="C36" s="66">
        <v>0.19229299999999999</v>
      </c>
      <c r="D36" s="66">
        <v>0.59209299999999998</v>
      </c>
      <c r="E36" s="66">
        <v>0</v>
      </c>
      <c r="F36" s="66">
        <v>4.2880000000000001E-2</v>
      </c>
      <c r="G36" s="66">
        <v>0</v>
      </c>
      <c r="H36" s="66">
        <v>1.0835300000000001</v>
      </c>
    </row>
    <row r="37" spans="1:8">
      <c r="A37" s="66" t="s">
        <v>334</v>
      </c>
      <c r="B37" s="66">
        <v>0.95711100000000005</v>
      </c>
      <c r="C37" s="66">
        <v>0.375276</v>
      </c>
      <c r="D37" s="66">
        <v>0.39209300000000002</v>
      </c>
      <c r="E37" s="66">
        <v>0.1</v>
      </c>
      <c r="F37" s="66">
        <v>5.51566E-2</v>
      </c>
      <c r="G37" s="66">
        <v>0.5</v>
      </c>
      <c r="H37" s="66">
        <v>1.81785</v>
      </c>
    </row>
    <row r="38" spans="1:8">
      <c r="A38" s="66" t="s">
        <v>335</v>
      </c>
      <c r="B38" s="66">
        <v>-20.728400000000001</v>
      </c>
      <c r="C38" s="66">
        <v>38.3735</v>
      </c>
      <c r="D38" s="66">
        <v>-1.8512500000000001</v>
      </c>
      <c r="E38" s="66">
        <v>0</v>
      </c>
      <c r="F38" s="66">
        <v>-121.294</v>
      </c>
      <c r="G38" s="66">
        <v>0</v>
      </c>
      <c r="H38" s="66">
        <v>214.42099999999999</v>
      </c>
    </row>
    <row r="39" spans="1:8">
      <c r="A39" s="66" t="s">
        <v>336</v>
      </c>
      <c r="B39" s="66">
        <v>-4.4959800000000003</v>
      </c>
      <c r="C39" s="66">
        <v>9.0976700000000008</v>
      </c>
      <c r="D39" s="66">
        <v>-2.02352</v>
      </c>
      <c r="E39" s="66">
        <v>0</v>
      </c>
      <c r="F39" s="66">
        <v>-36.438200000000002</v>
      </c>
      <c r="G39" s="66">
        <v>0</v>
      </c>
      <c r="H39" s="66">
        <v>3.7858000000000001</v>
      </c>
    </row>
    <row r="40" spans="1:8">
      <c r="A40" s="66" t="s">
        <v>337</v>
      </c>
      <c r="B40" s="66">
        <v>-1.16391</v>
      </c>
      <c r="C40" s="66">
        <v>1.1389400000000001</v>
      </c>
      <c r="D40" s="66">
        <v>-0.97854600000000003</v>
      </c>
      <c r="E40" s="66">
        <v>0</v>
      </c>
      <c r="F40" s="66">
        <v>-3.3427600000000002</v>
      </c>
      <c r="G40" s="66">
        <v>0</v>
      </c>
      <c r="H40" s="66">
        <v>2.1311900000000001</v>
      </c>
    </row>
    <row r="41" spans="1:8">
      <c r="A41" s="66" t="s">
        <v>338</v>
      </c>
      <c r="B41" s="66">
        <v>-9.1304499999999997E-2</v>
      </c>
      <c r="C41" s="66">
        <v>0.23955299999999999</v>
      </c>
      <c r="D41" s="66">
        <v>-2.6236700000000002</v>
      </c>
      <c r="E41" s="66">
        <v>0</v>
      </c>
      <c r="F41" s="66">
        <v>-0.658802</v>
      </c>
      <c r="G41" s="66">
        <v>0</v>
      </c>
      <c r="H41" s="66">
        <v>0.95652199999999998</v>
      </c>
    </row>
    <row r="42" spans="1:8">
      <c r="A42" s="66" t="s">
        <v>339</v>
      </c>
      <c r="B42" s="66">
        <v>9.6853300000000007E-3</v>
      </c>
      <c r="C42" s="66">
        <v>0.11990099999999999</v>
      </c>
      <c r="D42" s="66">
        <v>12.3797</v>
      </c>
      <c r="E42" s="66">
        <v>0</v>
      </c>
      <c r="F42" s="66">
        <v>-0.30260100000000001</v>
      </c>
      <c r="G42" s="66">
        <v>0</v>
      </c>
      <c r="H42" s="66">
        <v>0.17208999999999999</v>
      </c>
    </row>
    <row r="43" spans="1:8">
      <c r="A43" s="66" t="s">
        <v>340</v>
      </c>
      <c r="B43" s="66">
        <v>7.7287499999999995E-2</v>
      </c>
      <c r="C43" s="66">
        <v>4.9118200000000001E-2</v>
      </c>
      <c r="D43" s="66">
        <v>0.63552600000000004</v>
      </c>
      <c r="E43" s="66">
        <v>0</v>
      </c>
      <c r="F43" s="66">
        <v>-9.6192299999999994E-2</v>
      </c>
      <c r="G43" s="66">
        <v>0</v>
      </c>
      <c r="H43" s="66">
        <v>0.121846</v>
      </c>
    </row>
    <row r="44" spans="1:8">
      <c r="A44" s="66" t="s">
        <v>341</v>
      </c>
      <c r="B44" s="66">
        <v>-1.4897400000000001</v>
      </c>
      <c r="C44" s="66">
        <v>9.5859100000000002</v>
      </c>
      <c r="D44" s="66">
        <v>-6.4346199999999998</v>
      </c>
      <c r="E44" s="66">
        <v>0</v>
      </c>
      <c r="F44" s="66">
        <v>-27.712399999999999</v>
      </c>
      <c r="G44" s="66">
        <v>0</v>
      </c>
      <c r="H44" s="66">
        <v>16.799900000000001</v>
      </c>
    </row>
    <row r="45" spans="1:8">
      <c r="A45" s="66" t="s">
        <v>342</v>
      </c>
      <c r="B45" s="66">
        <v>43.722099999999998</v>
      </c>
      <c r="C45" s="66">
        <v>7.2663000000000002</v>
      </c>
      <c r="D45" s="66">
        <v>0.16619300000000001</v>
      </c>
      <c r="E45" s="66">
        <v>0</v>
      </c>
      <c r="F45" s="66">
        <v>25.0459</v>
      </c>
      <c r="G45" s="66">
        <v>0</v>
      </c>
      <c r="H45" s="66">
        <v>65.620800000000003</v>
      </c>
    </row>
    <row r="46" spans="1:8">
      <c r="A46" s="66" t="s">
        <v>343</v>
      </c>
      <c r="B46" s="66">
        <v>23.962299999999999</v>
      </c>
      <c r="C46" s="66">
        <v>1.5968800000000001</v>
      </c>
      <c r="D46" s="66">
        <v>6.6641400000000003E-2</v>
      </c>
      <c r="E46" s="66">
        <v>0</v>
      </c>
      <c r="F46" s="66">
        <v>21.181699999999999</v>
      </c>
      <c r="G46" s="66">
        <v>0</v>
      </c>
      <c r="H46" s="66">
        <v>27.454899999999999</v>
      </c>
    </row>
    <row r="47" spans="1:8">
      <c r="A47" s="66" t="s">
        <v>344</v>
      </c>
      <c r="B47" s="66">
        <v>1.9334499999999999</v>
      </c>
      <c r="C47" s="66">
        <v>0.79544999999999999</v>
      </c>
      <c r="D47" s="66">
        <v>0.41141499999999998</v>
      </c>
      <c r="E47" s="66">
        <v>0</v>
      </c>
      <c r="F47" s="66">
        <v>0.95462199999999997</v>
      </c>
      <c r="G47" s="66">
        <v>0</v>
      </c>
      <c r="H47" s="66">
        <v>4.6394299999999999</v>
      </c>
    </row>
    <row r="48" spans="1:8">
      <c r="A48" s="66" t="s">
        <v>345</v>
      </c>
      <c r="B48" s="66">
        <v>1.1213200000000001</v>
      </c>
      <c r="C48" s="66">
        <v>0.12626299999999999</v>
      </c>
      <c r="D48" s="66">
        <v>0.11260199999999999</v>
      </c>
      <c r="E48" s="66">
        <v>0</v>
      </c>
      <c r="F48" s="66">
        <v>0.84638400000000003</v>
      </c>
      <c r="G48" s="66">
        <v>0</v>
      </c>
      <c r="H48" s="66">
        <v>1.2895300000000001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349</v>
      </c>
      <c r="B1" s="60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74.352041212656886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1.4355513067717922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0.56184401437476328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1933</v>
      </c>
      <c r="B8" s="66">
        <v>1933</v>
      </c>
      <c r="D8">
        <f t="shared" si="0"/>
        <v>8.876092866064212E-3</v>
      </c>
      <c r="E8">
        <f t="shared" si="0"/>
        <v>8.876092866064212E-3</v>
      </c>
      <c r="G8">
        <f t="shared" ca="1" si="1"/>
        <v>6</v>
      </c>
      <c r="H8">
        <f t="shared" ca="1" si="2"/>
        <v>5.3256557196385272E-2</v>
      </c>
      <c r="I8">
        <f t="shared" ca="1" si="3"/>
        <v>41.469119521121371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5479</v>
      </c>
      <c r="B10" s="66">
        <v>5479</v>
      </c>
      <c r="D10">
        <f t="shared" si="0"/>
        <v>2.5158878847990597E-2</v>
      </c>
      <c r="E10">
        <f t="shared" si="0"/>
        <v>2.5158878847990597E-2</v>
      </c>
      <c r="G10">
        <f t="shared" ca="1" si="1"/>
        <v>8</v>
      </c>
      <c r="H10">
        <f t="shared" ca="1" si="2"/>
        <v>0.20127103078392478</v>
      </c>
      <c r="I10">
        <f t="shared" ca="1" si="3"/>
        <v>110.7643132904399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11303</v>
      </c>
      <c r="B13" s="66">
        <v>11303</v>
      </c>
      <c r="D13">
        <f t="shared" si="0"/>
        <v>5.1901954301667767E-2</v>
      </c>
      <c r="E13">
        <f t="shared" si="0"/>
        <v>5.1901954301667767E-2</v>
      </c>
      <c r="G13">
        <f t="shared" ca="1" si="1"/>
        <v>11</v>
      </c>
      <c r="H13">
        <f t="shared" ca="1" si="2"/>
        <v>0.57092149731834541</v>
      </c>
      <c r="I13">
        <f t="shared" ca="1" si="3"/>
        <v>208.30751398240588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19848</v>
      </c>
      <c r="B15" s="66">
        <v>19848</v>
      </c>
      <c r="D15">
        <f t="shared" si="0"/>
        <v>9.1139519506281685E-2</v>
      </c>
      <c r="E15">
        <f t="shared" si="0"/>
        <v>9.1139519506281685E-2</v>
      </c>
      <c r="G15">
        <f t="shared" ca="1" si="1"/>
        <v>13</v>
      </c>
      <c r="H15">
        <f t="shared" ca="1" si="2"/>
        <v>1.1848137535816619</v>
      </c>
      <c r="I15">
        <f t="shared" ca="1" si="3"/>
        <v>343.05580104844029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26980</v>
      </c>
      <c r="B18" s="66">
        <v>26980</v>
      </c>
      <c r="D18">
        <f t="shared" si="0"/>
        <v>0.12388876643890971</v>
      </c>
      <c r="E18">
        <f t="shared" si="0"/>
        <v>0.12388876643890971</v>
      </c>
      <c r="G18">
        <f t="shared" ca="1" si="1"/>
        <v>16</v>
      </c>
      <c r="H18">
        <f t="shared" ca="1" si="2"/>
        <v>1.9822202630225554</v>
      </c>
      <c r="I18">
        <f t="shared" ca="1" si="3"/>
        <v>421.83638259121176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45047</v>
      </c>
      <c r="B21" s="66">
        <v>45047</v>
      </c>
      <c r="D21">
        <f t="shared" si="0"/>
        <v>0.20685015796047315</v>
      </c>
      <c r="E21">
        <f t="shared" si="0"/>
        <v>0.20685015796047315</v>
      </c>
      <c r="G21">
        <f t="shared" ca="1" si="1"/>
        <v>19</v>
      </c>
      <c r="H21">
        <f t="shared" ca="1" si="2"/>
        <v>3.93015300124899</v>
      </c>
      <c r="I21">
        <f t="shared" ca="1" si="3"/>
        <v>633.75753924337926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57548</v>
      </c>
      <c r="B23" s="66">
        <v>57548</v>
      </c>
      <c r="D23">
        <f t="shared" si="0"/>
        <v>0.26425317757695982</v>
      </c>
      <c r="E23">
        <f t="shared" si="0"/>
        <v>0.26425317757695982</v>
      </c>
      <c r="G23">
        <f t="shared" ca="1" si="1"/>
        <v>21</v>
      </c>
      <c r="H23">
        <f t="shared" ca="1" si="2"/>
        <v>5.549316729116156</v>
      </c>
      <c r="I23">
        <f t="shared" ca="1" si="3"/>
        <v>752.18089446956719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74678</v>
      </c>
      <c r="B26" s="66">
        <v>74678</v>
      </c>
      <c r="D26">
        <f t="shared" si="0"/>
        <v>0.34291198295496289</v>
      </c>
      <c r="E26">
        <f t="shared" si="0"/>
        <v>0.34291198295496289</v>
      </c>
      <c r="G26">
        <f t="shared" ca="1" si="1"/>
        <v>24</v>
      </c>
      <c r="H26">
        <f t="shared" ca="1" si="2"/>
        <v>8.2298875909191089</v>
      </c>
      <c r="I26">
        <f t="shared" ca="1" si="3"/>
        <v>869.39437053487893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86183</v>
      </c>
      <c r="B28" s="66">
        <v>86183</v>
      </c>
      <c r="D28">
        <f t="shared" si="0"/>
        <v>0.39574149584894569</v>
      </c>
      <c r="E28">
        <f t="shared" si="0"/>
        <v>0.39574149584894569</v>
      </c>
      <c r="G28">
        <f t="shared" ca="1" si="1"/>
        <v>26</v>
      </c>
      <c r="H28">
        <f t="shared" ca="1" si="2"/>
        <v>10.289278892072588</v>
      </c>
      <c r="I28">
        <f t="shared" ca="1" si="3"/>
        <v>925.21191421821595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105024</v>
      </c>
      <c r="B31" s="66">
        <v>105024</v>
      </c>
      <c r="D31">
        <f t="shared" si="0"/>
        <v>0.48225699801631033</v>
      </c>
      <c r="E31">
        <f t="shared" si="0"/>
        <v>0.48225699801631033</v>
      </c>
      <c r="G31">
        <f t="shared" ca="1" si="1"/>
        <v>29</v>
      </c>
      <c r="H31">
        <f t="shared" ca="1" si="2"/>
        <v>13.985452942473</v>
      </c>
      <c r="I31">
        <f t="shared" ca="1" si="3"/>
        <v>991.90987900244852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87582</v>
      </c>
      <c r="B33" s="66">
        <v>87582</v>
      </c>
      <c r="D33">
        <f t="shared" si="0"/>
        <v>0.40216552788186027</v>
      </c>
      <c r="E33">
        <f t="shared" si="0"/>
        <v>0.40216552788186027</v>
      </c>
      <c r="G33">
        <f t="shared" ca="1" si="1"/>
        <v>31</v>
      </c>
      <c r="H33">
        <f t="shared" ca="1" si="2"/>
        <v>12.467131364337668</v>
      </c>
      <c r="I33">
        <f t="shared" ca="1" si="3"/>
        <v>755.82968289081566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95446</v>
      </c>
      <c r="B36" s="66">
        <v>95446</v>
      </c>
      <c r="D36">
        <f t="shared" si="0"/>
        <v>0.43827602674307548</v>
      </c>
      <c r="E36">
        <f t="shared" si="0"/>
        <v>0.43827602674307548</v>
      </c>
      <c r="G36">
        <f t="shared" ca="1" si="1"/>
        <v>34</v>
      </c>
      <c r="H36">
        <f t="shared" ca="1" si="2"/>
        <v>14.901384909264566</v>
      </c>
      <c r="I36">
        <f t="shared" ca="1" si="3"/>
        <v>713.63925757314246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102724</v>
      </c>
      <c r="B39" s="66">
        <v>102724</v>
      </c>
      <c r="D39">
        <f t="shared" si="0"/>
        <v>0.47169568731173317</v>
      </c>
      <c r="E39">
        <f t="shared" si="0"/>
        <v>0.47169568731173317</v>
      </c>
      <c r="G39">
        <f t="shared" ca="1" si="1"/>
        <v>37</v>
      </c>
      <c r="H39">
        <f t="shared" ca="1" si="2"/>
        <v>17.452740430534128</v>
      </c>
      <c r="I39">
        <f t="shared" ca="1" si="3"/>
        <v>658.0980224093488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108198</v>
      </c>
      <c r="B41" s="66">
        <v>108198</v>
      </c>
      <c r="D41">
        <f t="shared" si="0"/>
        <v>0.49683160678862687</v>
      </c>
      <c r="E41">
        <f t="shared" si="0"/>
        <v>0.49683160678862687</v>
      </c>
      <c r="G41">
        <f t="shared" ca="1" si="1"/>
        <v>39</v>
      </c>
      <c r="H41">
        <f t="shared" ca="1" si="2"/>
        <v>19.376432664756447</v>
      </c>
      <c r="I41">
        <f t="shared" ca="1" si="3"/>
        <v>620.92365624905722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115340</v>
      </c>
      <c r="B44" s="66">
        <v>115340</v>
      </c>
      <c r="D44">
        <f t="shared" si="0"/>
        <v>0.52962677246344869</v>
      </c>
      <c r="E44">
        <f t="shared" si="0"/>
        <v>0.52962677246344869</v>
      </c>
      <c r="G44">
        <f t="shared" ca="1" si="1"/>
        <v>42</v>
      </c>
      <c r="H44">
        <f t="shared" ca="1" si="2"/>
        <v>22.244324443464844</v>
      </c>
      <c r="I44">
        <f t="shared" ca="1" si="3"/>
        <v>554.33628212447366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144456</v>
      </c>
      <c r="B46" s="66">
        <v>144456</v>
      </c>
      <c r="D46">
        <f t="shared" si="0"/>
        <v>0.66332378223495703</v>
      </c>
      <c r="E46">
        <f t="shared" si="0"/>
        <v>0.66332378223495703</v>
      </c>
      <c r="G46">
        <f t="shared" ca="1" si="1"/>
        <v>44</v>
      </c>
      <c r="H46">
        <f t="shared" ca="1" si="2"/>
        <v>29.186246418338108</v>
      </c>
      <c r="I46">
        <f t="shared" ca="1" si="3"/>
        <v>611.08465024891495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160968</v>
      </c>
      <c r="B49" s="66">
        <v>160968</v>
      </c>
      <c r="D49">
        <f t="shared" si="0"/>
        <v>0.7391448093453824</v>
      </c>
      <c r="E49">
        <f t="shared" si="0"/>
        <v>0.7391448093453824</v>
      </c>
      <c r="G49">
        <f t="shared" ca="1" si="1"/>
        <v>47</v>
      </c>
      <c r="H49">
        <f t="shared" ca="1" si="2"/>
        <v>34.739806039232974</v>
      </c>
      <c r="I49">
        <f t="shared" ca="1" si="3"/>
        <v>552.97947994842332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179923</v>
      </c>
      <c r="B51" s="66">
        <v>179923</v>
      </c>
      <c r="D51">
        <f t="shared" si="0"/>
        <v>0.82618378517375657</v>
      </c>
      <c r="E51">
        <f t="shared" si="0"/>
        <v>0.82618378517375657</v>
      </c>
      <c r="G51">
        <f t="shared" ca="1" si="1"/>
        <v>49</v>
      </c>
      <c r="H51">
        <f t="shared" ca="1" si="2"/>
        <v>40.483005473514069</v>
      </c>
      <c r="I51">
        <f t="shared" ca="1" si="3"/>
        <v>531.00979426187757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183972</v>
      </c>
      <c r="B54" s="66">
        <v>183972</v>
      </c>
      <c r="D54">
        <f t="shared" si="0"/>
        <v>0.84477628388803172</v>
      </c>
      <c r="E54">
        <f t="shared" si="0"/>
        <v>0.84477628388803172</v>
      </c>
      <c r="G54">
        <f t="shared" ca="1" si="1"/>
        <v>52</v>
      </c>
      <c r="H54">
        <f t="shared" ca="1" si="2"/>
        <v>43.928366762177646</v>
      </c>
      <c r="I54">
        <f t="shared" ca="1" si="3"/>
        <v>422.0618440397792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195903</v>
      </c>
      <c r="B57" s="66">
        <v>195903</v>
      </c>
      <c r="D57">
        <f t="shared" si="0"/>
        <v>0.89956193519947103</v>
      </c>
      <c r="E57">
        <f t="shared" si="0"/>
        <v>0.89956193519947103</v>
      </c>
      <c r="G57">
        <f t="shared" ca="1" si="1"/>
        <v>55</v>
      </c>
      <c r="H57">
        <f t="shared" ca="1" si="2"/>
        <v>49.475906435970906</v>
      </c>
      <c r="I57">
        <f t="shared" ca="1" si="3"/>
        <v>336.8872932622341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202648</v>
      </c>
      <c r="B59" s="66">
        <v>202648</v>
      </c>
      <c r="D59">
        <f t="shared" si="0"/>
        <v>0.93053412680919845</v>
      </c>
      <c r="E59">
        <f t="shared" si="0"/>
        <v>0.93053412680919845</v>
      </c>
      <c r="G59">
        <f t="shared" ca="1" si="1"/>
        <v>57</v>
      </c>
      <c r="H59">
        <f t="shared" ca="1" si="2"/>
        <v>53.040445228124312</v>
      </c>
      <c r="I59">
        <f t="shared" ca="1" si="3"/>
        <v>280.17762287043263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210638</v>
      </c>
      <c r="B62" s="66">
        <v>210638</v>
      </c>
      <c r="D62">
        <f t="shared" si="0"/>
        <v>0.96722320182205568</v>
      </c>
      <c r="E62">
        <f t="shared" si="0"/>
        <v>0.96722320182205568</v>
      </c>
      <c r="G62">
        <f t="shared" ca="1" si="1"/>
        <v>60</v>
      </c>
      <c r="H62">
        <f t="shared" ca="1" si="2"/>
        <v>58.033392109323344</v>
      </c>
      <c r="I62">
        <f t="shared" ca="1" si="3"/>
        <v>199.22968645371895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208181</v>
      </c>
      <c r="B64" s="66">
        <v>208181</v>
      </c>
      <c r="D64">
        <f t="shared" si="0"/>
        <v>0.9559409668650356</v>
      </c>
      <c r="E64">
        <f t="shared" si="0"/>
        <v>0.9559409668650356</v>
      </c>
      <c r="G64">
        <f t="shared" ca="1" si="1"/>
        <v>62</v>
      </c>
      <c r="H64">
        <f t="shared" ca="1" si="2"/>
        <v>59.268339945632206</v>
      </c>
      <c r="I64">
        <f t="shared" ca="1" si="3"/>
        <v>145.85070668802715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205624</v>
      </c>
      <c r="B67" s="66">
        <v>205624</v>
      </c>
      <c r="D67">
        <f t="shared" ref="D67:E130" si="4">IFERROR( A67/MAX(A$2:A$257), 0 )</f>
        <v>0.94419954448607746</v>
      </c>
      <c r="E67">
        <f t="shared" si="4"/>
        <v>0.94419954448607746</v>
      </c>
      <c r="G67">
        <f t="shared" ref="G67:G130" ca="1" si="5">CELL("row",D67)-2</f>
        <v>65</v>
      </c>
      <c r="H67">
        <f t="shared" ref="H67:H130" ca="1" si="6">D67*G67</f>
        <v>61.372970391595032</v>
      </c>
      <c r="I67">
        <f t="shared" ref="I67:I130" ca="1" si="7">D67*((G67-$L$1)^2)</f>
        <v>82.580329347425419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207904</v>
      </c>
      <c r="B69" s="66">
        <v>207904</v>
      </c>
      <c r="D69">
        <f t="shared" si="4"/>
        <v>0.954669017706267</v>
      </c>
      <c r="E69">
        <f t="shared" si="4"/>
        <v>0.954669017706267</v>
      </c>
      <c r="G69">
        <f t="shared" ca="1" si="5"/>
        <v>67</v>
      </c>
      <c r="H69">
        <f t="shared" ca="1" si="6"/>
        <v>63.962824186319892</v>
      </c>
      <c r="I69">
        <f t="shared" ca="1" si="7"/>
        <v>51.602256619198712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207166</v>
      </c>
      <c r="B72" s="66">
        <v>207166</v>
      </c>
      <c r="D72">
        <f t="shared" si="4"/>
        <v>0.95128021453236355</v>
      </c>
      <c r="E72">
        <f t="shared" si="4"/>
        <v>0.95128021453236355</v>
      </c>
      <c r="G72">
        <f t="shared" ca="1" si="5"/>
        <v>70</v>
      </c>
      <c r="H72">
        <f t="shared" ca="1" si="6"/>
        <v>66.589615017265444</v>
      </c>
      <c r="I72">
        <f t="shared" ca="1" si="7"/>
        <v>18.017497180407471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212292</v>
      </c>
      <c r="B75" s="66">
        <v>212292</v>
      </c>
      <c r="D75">
        <f t="shared" si="4"/>
        <v>0.97481816178091252</v>
      </c>
      <c r="E75">
        <f t="shared" si="4"/>
        <v>0.97481816178091252</v>
      </c>
      <c r="G75">
        <f t="shared" ca="1" si="5"/>
        <v>73</v>
      </c>
      <c r="H75">
        <f t="shared" ca="1" si="6"/>
        <v>71.161725810006615</v>
      </c>
      <c r="I75">
        <f t="shared" ca="1" si="7"/>
        <v>1.7819826516324291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207668</v>
      </c>
      <c r="B77" s="66">
        <v>207668</v>
      </c>
      <c r="D77">
        <f t="shared" si="4"/>
        <v>0.95358533539049295</v>
      </c>
      <c r="E77">
        <f t="shared" si="4"/>
        <v>0.95358533539049295</v>
      </c>
      <c r="G77">
        <f t="shared" ca="1" si="5"/>
        <v>75</v>
      </c>
      <c r="H77">
        <f t="shared" ca="1" si="6"/>
        <v>71.518900154286968</v>
      </c>
      <c r="I77">
        <f t="shared" ca="1" si="7"/>
        <v>0.40036336576978881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217776</v>
      </c>
      <c r="B80" s="66">
        <v>217776</v>
      </c>
      <c r="D80">
        <f t="shared" si="4"/>
        <v>1</v>
      </c>
      <c r="E80">
        <f t="shared" si="4"/>
        <v>1</v>
      </c>
      <c r="G80">
        <f t="shared" ca="1" si="5"/>
        <v>78</v>
      </c>
      <c r="H80">
        <f t="shared" ca="1" si="6"/>
        <v>78</v>
      </c>
      <c r="I80">
        <f t="shared" ca="1" si="7"/>
        <v>13.307603314153845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206740</v>
      </c>
      <c r="B82" s="66">
        <v>206740</v>
      </c>
      <c r="D82">
        <f t="shared" si="4"/>
        <v>0.9493240761149071</v>
      </c>
      <c r="E82">
        <f t="shared" si="4"/>
        <v>0.9493240761149071</v>
      </c>
      <c r="G82">
        <f t="shared" ca="1" si="5"/>
        <v>80</v>
      </c>
      <c r="H82">
        <f t="shared" ca="1" si="6"/>
        <v>75.945926089192568</v>
      </c>
      <c r="I82">
        <f t="shared" ca="1" si="7"/>
        <v>30.282904947971439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211023</v>
      </c>
      <c r="B85" s="66">
        <v>211023</v>
      </c>
      <c r="D85">
        <f t="shared" si="4"/>
        <v>0.96899107339651758</v>
      </c>
      <c r="E85">
        <f t="shared" si="4"/>
        <v>0.96899107339651758</v>
      </c>
      <c r="G85">
        <f t="shared" ca="1" si="5"/>
        <v>83</v>
      </c>
      <c r="H85">
        <f t="shared" ca="1" si="6"/>
        <v>80.426259091910964</v>
      </c>
      <c r="I85">
        <f t="shared" ca="1" si="7"/>
        <v>72.46812066516857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205645</v>
      </c>
      <c r="B88" s="66">
        <v>205645</v>
      </c>
      <c r="D88">
        <f t="shared" si="4"/>
        <v>0.94429597384468444</v>
      </c>
      <c r="E88">
        <f t="shared" si="4"/>
        <v>0.94429597384468444</v>
      </c>
      <c r="G88">
        <f t="shared" ca="1" si="5"/>
        <v>86</v>
      </c>
      <c r="H88">
        <f t="shared" ca="1" si="6"/>
        <v>81.209453750642865</v>
      </c>
      <c r="I88">
        <f t="shared" ca="1" si="7"/>
        <v>128.11730328736851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188627</v>
      </c>
      <c r="B90" s="66">
        <v>188627</v>
      </c>
      <c r="D90">
        <f t="shared" si="4"/>
        <v>0.86615145837925211</v>
      </c>
      <c r="E90">
        <f t="shared" si="4"/>
        <v>0.86615145837925211</v>
      </c>
      <c r="G90">
        <f t="shared" ca="1" si="5"/>
        <v>88</v>
      </c>
      <c r="H90">
        <f t="shared" ca="1" si="6"/>
        <v>76.221328337374189</v>
      </c>
      <c r="I90">
        <f t="shared" ca="1" si="7"/>
        <v>161.33524233130507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194029</v>
      </c>
      <c r="B93" s="66">
        <v>194029</v>
      </c>
      <c r="D93">
        <f t="shared" si="4"/>
        <v>0.89095676291235026</v>
      </c>
      <c r="E93">
        <f t="shared" si="4"/>
        <v>0.89095676291235026</v>
      </c>
      <c r="G93">
        <f t="shared" ca="1" si="5"/>
        <v>91</v>
      </c>
      <c r="H93">
        <f t="shared" ca="1" si="6"/>
        <v>81.077065425023875</v>
      </c>
      <c r="I93">
        <f t="shared" ca="1" si="7"/>
        <v>246.93270446571836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179961</v>
      </c>
      <c r="B95" s="66">
        <v>179961</v>
      </c>
      <c r="D95">
        <f t="shared" si="4"/>
        <v>0.82635827639409298</v>
      </c>
      <c r="E95">
        <f t="shared" si="4"/>
        <v>0.82635827639409298</v>
      </c>
      <c r="G95">
        <f t="shared" ca="1" si="5"/>
        <v>93</v>
      </c>
      <c r="H95">
        <f t="shared" ca="1" si="6"/>
        <v>76.851319704650649</v>
      </c>
      <c r="I95">
        <f t="shared" ca="1" si="7"/>
        <v>287.36308840225769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165862</v>
      </c>
      <c r="B98" s="66">
        <v>165862</v>
      </c>
      <c r="D98">
        <f t="shared" si="4"/>
        <v>0.76161744177503488</v>
      </c>
      <c r="E98">
        <f t="shared" si="4"/>
        <v>0.76161744177503488</v>
      </c>
      <c r="G98">
        <f t="shared" ca="1" si="5"/>
        <v>96</v>
      </c>
      <c r="H98">
        <f t="shared" ca="1" si="6"/>
        <v>73.115274410403345</v>
      </c>
      <c r="I98">
        <f t="shared" ca="1" si="7"/>
        <v>356.91991934280685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151923</v>
      </c>
      <c r="B100" s="66">
        <v>151923</v>
      </c>
      <c r="D100">
        <f t="shared" si="4"/>
        <v>0.69761130703107777</v>
      </c>
      <c r="E100">
        <f t="shared" si="4"/>
        <v>0.69761130703107777</v>
      </c>
      <c r="G100">
        <f t="shared" ca="1" si="5"/>
        <v>98</v>
      </c>
      <c r="H100">
        <f t="shared" ca="1" si="6"/>
        <v>68.365908089045618</v>
      </c>
      <c r="I100">
        <f t="shared" ca="1" si="7"/>
        <v>390.1223492592265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140780</v>
      </c>
      <c r="B103" s="66">
        <v>140780</v>
      </c>
      <c r="D103">
        <f t="shared" si="4"/>
        <v>0.6464440526045111</v>
      </c>
      <c r="E103">
        <f t="shared" si="4"/>
        <v>0.6464440526045111</v>
      </c>
      <c r="G103">
        <f t="shared" ca="1" si="5"/>
        <v>101</v>
      </c>
      <c r="H103">
        <f t="shared" ca="1" si="6"/>
        <v>65.290849313055617</v>
      </c>
      <c r="I103">
        <f t="shared" ca="1" si="7"/>
        <v>459.0487829069599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133313</v>
      </c>
      <c r="B106" s="66">
        <v>133313</v>
      </c>
      <c r="D106">
        <f t="shared" si="4"/>
        <v>0.61215652780839025</v>
      </c>
      <c r="E106">
        <f t="shared" si="4"/>
        <v>0.61215652780839025</v>
      </c>
      <c r="G106">
        <f t="shared" ca="1" si="5"/>
        <v>104</v>
      </c>
      <c r="H106">
        <f t="shared" ca="1" si="6"/>
        <v>63.664278892072588</v>
      </c>
      <c r="I106">
        <f t="shared" ca="1" si="7"/>
        <v>538.08648184881508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119198</v>
      </c>
      <c r="B108" s="66">
        <v>119198</v>
      </c>
      <c r="D108">
        <f t="shared" si="4"/>
        <v>0.54734222320182202</v>
      </c>
      <c r="E108">
        <f t="shared" si="4"/>
        <v>0.54734222320182202</v>
      </c>
      <c r="G108">
        <f t="shared" ca="1" si="5"/>
        <v>106</v>
      </c>
      <c r="H108">
        <f t="shared" ca="1" si="6"/>
        <v>58.018275659393133</v>
      </c>
      <c r="I108">
        <f t="shared" ca="1" si="7"/>
        <v>548.21430105121351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105892</v>
      </c>
      <c r="B111" s="66">
        <v>105892</v>
      </c>
      <c r="D111">
        <f t="shared" si="4"/>
        <v>0.48624274483873337</v>
      </c>
      <c r="E111">
        <f t="shared" si="4"/>
        <v>0.48624274483873337</v>
      </c>
      <c r="G111">
        <f t="shared" ca="1" si="5"/>
        <v>109</v>
      </c>
      <c r="H111">
        <f t="shared" ca="1" si="6"/>
        <v>53.000459187421939</v>
      </c>
      <c r="I111">
        <f t="shared" ca="1" si="7"/>
        <v>583.72519996933215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86832</v>
      </c>
      <c r="B113" s="66">
        <v>86832</v>
      </c>
      <c r="D113">
        <f t="shared" si="4"/>
        <v>0.39872162221732421</v>
      </c>
      <c r="E113">
        <f t="shared" si="4"/>
        <v>0.39872162221732421</v>
      </c>
      <c r="G113">
        <f t="shared" ca="1" si="5"/>
        <v>111</v>
      </c>
      <c r="H113">
        <f t="shared" ca="1" si="6"/>
        <v>44.258100066122985</v>
      </c>
      <c r="I113">
        <f t="shared" ca="1" si="7"/>
        <v>535.51219877702181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76060</v>
      </c>
      <c r="B116" s="66">
        <v>76060</v>
      </c>
      <c r="D116">
        <f t="shared" si="4"/>
        <v>0.34925795312614799</v>
      </c>
      <c r="E116">
        <f t="shared" si="4"/>
        <v>0.34925795312614799</v>
      </c>
      <c r="G116">
        <f t="shared" ca="1" si="5"/>
        <v>114</v>
      </c>
      <c r="H116">
        <f t="shared" ca="1" si="6"/>
        <v>39.815406656380873</v>
      </c>
      <c r="I116">
        <f t="shared" ca="1" si="7"/>
        <v>549.01975412523598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72713</v>
      </c>
      <c r="B118" s="66">
        <v>72713</v>
      </c>
      <c r="D118">
        <f t="shared" si="4"/>
        <v>0.33388895011387848</v>
      </c>
      <c r="E118">
        <f t="shared" si="4"/>
        <v>0.33388895011387848</v>
      </c>
      <c r="G118">
        <f t="shared" ca="1" si="5"/>
        <v>116</v>
      </c>
      <c r="H118">
        <f t="shared" ca="1" si="6"/>
        <v>38.731118213209903</v>
      </c>
      <c r="I118">
        <f t="shared" ca="1" si="7"/>
        <v>579.14790351045178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71798</v>
      </c>
      <c r="B121" s="66">
        <v>71798</v>
      </c>
      <c r="D121">
        <f t="shared" si="4"/>
        <v>0.3296873852031445</v>
      </c>
      <c r="E121">
        <f t="shared" si="4"/>
        <v>0.3296873852031445</v>
      </c>
      <c r="G121">
        <f t="shared" ca="1" si="5"/>
        <v>119</v>
      </c>
      <c r="H121">
        <f t="shared" ca="1" si="6"/>
        <v>39.232798839174194</v>
      </c>
      <c r="I121">
        <f t="shared" ca="1" si="7"/>
        <v>657.21209496854476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69714</v>
      </c>
      <c r="B124" s="66">
        <v>69714</v>
      </c>
      <c r="D124">
        <f t="shared" si="4"/>
        <v>0.3201179193299537</v>
      </c>
      <c r="E124">
        <f t="shared" si="4"/>
        <v>0.3201179193299537</v>
      </c>
      <c r="G124">
        <f t="shared" ca="1" si="5"/>
        <v>122</v>
      </c>
      <c r="H124">
        <f t="shared" ca="1" si="6"/>
        <v>39.054386158254353</v>
      </c>
      <c r="I124">
        <f t="shared" ca="1" si="7"/>
        <v>726.77266806588716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60935</v>
      </c>
      <c r="B126" s="66">
        <v>60935</v>
      </c>
      <c r="D126">
        <f t="shared" si="4"/>
        <v>0.27980585555800458</v>
      </c>
      <c r="E126">
        <f t="shared" si="4"/>
        <v>0.27980585555800458</v>
      </c>
      <c r="G126">
        <f t="shared" ca="1" si="5"/>
        <v>124</v>
      </c>
      <c r="H126">
        <f t="shared" ca="1" si="6"/>
        <v>34.695926089192568</v>
      </c>
      <c r="I126">
        <f t="shared" ca="1" si="7"/>
        <v>689.69899680850608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59069</v>
      </c>
      <c r="B129" s="66">
        <v>59069</v>
      </c>
      <c r="D129">
        <f t="shared" si="4"/>
        <v>0.27123741826463887</v>
      </c>
      <c r="E129">
        <f t="shared" si="4"/>
        <v>0.27123741826463887</v>
      </c>
      <c r="G129">
        <f t="shared" ca="1" si="5"/>
        <v>127</v>
      </c>
      <c r="H129">
        <f t="shared" ca="1" si="6"/>
        <v>34.447152119609136</v>
      </c>
      <c r="I129">
        <f t="shared" ca="1" si="7"/>
        <v>751.81792771426444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48973</v>
      </c>
      <c r="B131" s="66">
        <v>48973</v>
      </c>
      <c r="D131">
        <f t="shared" ref="D131:E194" si="8">IFERROR( A131/MAX(A$2:A$257), 0 )</f>
        <v>0.22487785614576444</v>
      </c>
      <c r="E131">
        <f t="shared" si="8"/>
        <v>0.22487785614576444</v>
      </c>
      <c r="G131">
        <f t="shared" ref="G131:G194" ca="1" si="9">CELL("row",D131)-2</f>
        <v>129</v>
      </c>
      <c r="H131">
        <f t="shared" ref="H131:H194" ca="1" si="10">D131*G131</f>
        <v>29.009243442803612</v>
      </c>
      <c r="I131">
        <f t="shared" ref="I131:I194" ca="1" si="11">D131*((G131-$L$1)^2)</f>
        <v>671.5750945822524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40509</v>
      </c>
      <c r="B134" s="66">
        <v>40509</v>
      </c>
      <c r="D134">
        <f t="shared" si="8"/>
        <v>0.18601223275292042</v>
      </c>
      <c r="E134">
        <f t="shared" si="8"/>
        <v>0.18601223275292042</v>
      </c>
      <c r="G134">
        <f t="shared" ca="1" si="9"/>
        <v>132</v>
      </c>
      <c r="H134">
        <f t="shared" ca="1" si="10"/>
        <v>24.553614723385497</v>
      </c>
      <c r="I134">
        <f t="shared" ca="1" si="11"/>
        <v>618.17206328719942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34615</v>
      </c>
      <c r="B136" s="66">
        <v>34615</v>
      </c>
      <c r="D136">
        <f t="shared" si="8"/>
        <v>0.15894772610388655</v>
      </c>
      <c r="E136">
        <f t="shared" si="8"/>
        <v>0.15894772610388655</v>
      </c>
      <c r="G136">
        <f t="shared" ca="1" si="9"/>
        <v>134</v>
      </c>
      <c r="H136">
        <f t="shared" ca="1" si="10"/>
        <v>21.298995297920797</v>
      </c>
      <c r="I136">
        <f t="shared" ca="1" si="11"/>
        <v>565.51677481538002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32624</v>
      </c>
      <c r="B139" s="66">
        <v>32624</v>
      </c>
      <c r="D139">
        <f t="shared" si="8"/>
        <v>0.14980530453309823</v>
      </c>
      <c r="E139">
        <f t="shared" si="8"/>
        <v>0.14980530453309823</v>
      </c>
      <c r="G139">
        <f t="shared" ca="1" si="9"/>
        <v>137</v>
      </c>
      <c r="H139">
        <f t="shared" ca="1" si="10"/>
        <v>20.523326721034458</v>
      </c>
      <c r="I139">
        <f t="shared" ca="1" si="11"/>
        <v>587.95087674012836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28497</v>
      </c>
      <c r="B142" s="66">
        <v>28497</v>
      </c>
      <c r="D142">
        <f t="shared" si="8"/>
        <v>0.13085463962971125</v>
      </c>
      <c r="E142">
        <f t="shared" si="8"/>
        <v>0.13085463962971125</v>
      </c>
      <c r="G142">
        <f t="shared" ca="1" si="9"/>
        <v>140</v>
      </c>
      <c r="H142">
        <f t="shared" ca="1" si="10"/>
        <v>18.319649548159575</v>
      </c>
      <c r="I142">
        <f t="shared" ca="1" si="11"/>
        <v>563.93828560284464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21965</v>
      </c>
      <c r="B144" s="66">
        <v>21965</v>
      </c>
      <c r="D144">
        <f t="shared" si="8"/>
        <v>0.10086051722871207</v>
      </c>
      <c r="E144">
        <f t="shared" si="8"/>
        <v>0.10086051722871207</v>
      </c>
      <c r="G144">
        <f t="shared" ca="1" si="9"/>
        <v>142</v>
      </c>
      <c r="H144">
        <f t="shared" ca="1" si="10"/>
        <v>14.322193446477115</v>
      </c>
      <c r="I144">
        <f t="shared" ca="1" si="11"/>
        <v>461.56257161756258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15225</v>
      </c>
      <c r="B147" s="66">
        <v>15225</v>
      </c>
      <c r="D147">
        <f t="shared" si="8"/>
        <v>6.9911284990081549E-2</v>
      </c>
      <c r="E147">
        <f t="shared" si="8"/>
        <v>6.9911284990081549E-2</v>
      </c>
      <c r="G147">
        <f t="shared" ca="1" si="9"/>
        <v>145</v>
      </c>
      <c r="H147">
        <f t="shared" ca="1" si="10"/>
        <v>10.137136323561824</v>
      </c>
      <c r="I147">
        <f t="shared" ca="1" si="11"/>
        <v>348.93659714778511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10178</v>
      </c>
      <c r="B149" s="66">
        <v>10178</v>
      </c>
      <c r="D149">
        <f t="shared" si="8"/>
        <v>4.6736095804863716E-2</v>
      </c>
      <c r="E149">
        <f t="shared" si="8"/>
        <v>4.6736095804863716E-2</v>
      </c>
      <c r="G149">
        <f t="shared" ca="1" si="9"/>
        <v>147</v>
      </c>
      <c r="H149">
        <f t="shared" ca="1" si="10"/>
        <v>6.8702060833149661</v>
      </c>
      <c r="I149">
        <f t="shared" ca="1" si="11"/>
        <v>246.66030404046933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8021</v>
      </c>
      <c r="B152" s="66">
        <v>8021</v>
      </c>
      <c r="D152">
        <f t="shared" si="8"/>
        <v>3.6831423113658071E-2</v>
      </c>
      <c r="E152">
        <f t="shared" si="8"/>
        <v>3.6831423113658071E-2</v>
      </c>
      <c r="G152">
        <f t="shared" ca="1" si="9"/>
        <v>150</v>
      </c>
      <c r="H152">
        <f t="shared" ca="1" si="10"/>
        <v>5.524713467048711</v>
      </c>
      <c r="I152">
        <f t="shared" ca="1" si="11"/>
        <v>210.77200534758202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5739</v>
      </c>
      <c r="B154" s="66">
        <v>5739</v>
      </c>
      <c r="D154">
        <f t="shared" si="8"/>
        <v>2.6352766145029755E-2</v>
      </c>
      <c r="E154">
        <f t="shared" si="8"/>
        <v>2.6352766145029755E-2</v>
      </c>
      <c r="G154">
        <f t="shared" ca="1" si="9"/>
        <v>152</v>
      </c>
      <c r="H154">
        <f t="shared" ca="1" si="10"/>
        <v>4.0056204540445224</v>
      </c>
      <c r="I154">
        <f t="shared" ca="1" si="11"/>
        <v>158.88624268304645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3013</v>
      </c>
      <c r="B157" s="66">
        <v>3013</v>
      </c>
      <c r="D157">
        <f t="shared" si="8"/>
        <v>1.3835317022996107E-2</v>
      </c>
      <c r="E157">
        <f t="shared" si="8"/>
        <v>1.3835317022996107E-2</v>
      </c>
      <c r="G157">
        <f t="shared" ca="1" si="9"/>
        <v>155</v>
      </c>
      <c r="H157">
        <f t="shared" ca="1" si="10"/>
        <v>2.1444741385643966</v>
      </c>
      <c r="I157">
        <f t="shared" ca="1" si="11"/>
        <v>89.98619215170784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2170</v>
      </c>
      <c r="B160" s="66">
        <v>2170</v>
      </c>
      <c r="D160">
        <f t="shared" si="8"/>
        <v>9.9643670560576013E-3</v>
      </c>
      <c r="E160">
        <f t="shared" si="8"/>
        <v>9.9643670560576013E-3</v>
      </c>
      <c r="G160">
        <f t="shared" ca="1" si="9"/>
        <v>158</v>
      </c>
      <c r="H160">
        <f t="shared" ca="1" si="10"/>
        <v>1.5743699948571011</v>
      </c>
      <c r="I160">
        <f t="shared" ca="1" si="11"/>
        <v>69.720487060820489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3537</v>
      </c>
      <c r="B162" s="66">
        <v>3537</v>
      </c>
      <c r="D162">
        <f t="shared" si="8"/>
        <v>1.6241459113951952E-2</v>
      </c>
      <c r="E162">
        <f t="shared" si="8"/>
        <v>1.6241459113951952E-2</v>
      </c>
      <c r="G162">
        <f t="shared" ca="1" si="9"/>
        <v>160</v>
      </c>
      <c r="H162">
        <f t="shared" ca="1" si="10"/>
        <v>2.5986334582323121</v>
      </c>
      <c r="I162">
        <f t="shared" ca="1" si="11"/>
        <v>119.1404064303629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2389</v>
      </c>
      <c r="B165" s="66">
        <v>2389</v>
      </c>
      <c r="D165">
        <f t="shared" si="8"/>
        <v>1.0969987510102122E-2</v>
      </c>
      <c r="E165">
        <f t="shared" si="8"/>
        <v>1.0969987510102122E-2</v>
      </c>
      <c r="G165">
        <f t="shared" ca="1" si="9"/>
        <v>163</v>
      </c>
      <c r="H165">
        <f t="shared" ca="1" si="10"/>
        <v>1.788107964146646</v>
      </c>
      <c r="I165">
        <f t="shared" ca="1" si="11"/>
        <v>86.207214599502109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1736</v>
      </c>
      <c r="B167" s="66">
        <v>1736</v>
      </c>
      <c r="D167">
        <f t="shared" si="8"/>
        <v>7.9714936448460807E-3</v>
      </c>
      <c r="E167">
        <f t="shared" si="8"/>
        <v>7.9714936448460807E-3</v>
      </c>
      <c r="G167">
        <f t="shared" ca="1" si="9"/>
        <v>165</v>
      </c>
      <c r="H167">
        <f t="shared" ca="1" si="10"/>
        <v>1.3152964513996033</v>
      </c>
      <c r="I167">
        <f t="shared" ca="1" si="11"/>
        <v>65.502181243540988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726</v>
      </c>
      <c r="B170" s="66">
        <v>726</v>
      </c>
      <c r="D170">
        <f t="shared" si="8"/>
        <v>3.3337006832708837E-3</v>
      </c>
      <c r="E170">
        <f t="shared" si="8"/>
        <v>3.3337006832708837E-3</v>
      </c>
      <c r="G170">
        <f t="shared" ca="1" si="9"/>
        <v>168</v>
      </c>
      <c r="H170">
        <f t="shared" ca="1" si="10"/>
        <v>0.5600617147895085</v>
      </c>
      <c r="I170">
        <f t="shared" ca="1" si="11"/>
        <v>29.236355587099006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399</v>
      </c>
      <c r="B173" s="66">
        <v>399</v>
      </c>
      <c r="D173">
        <f t="shared" si="8"/>
        <v>1.8321578135331717E-3</v>
      </c>
      <c r="E173">
        <f t="shared" si="8"/>
        <v>1.8321578135331717E-3</v>
      </c>
      <c r="G173">
        <f t="shared" ca="1" si="9"/>
        <v>171</v>
      </c>
      <c r="H173">
        <f t="shared" ca="1" si="10"/>
        <v>0.31329898611417234</v>
      </c>
      <c r="I173">
        <f t="shared" ca="1" si="11"/>
        <v>17.11387089103588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496</v>
      </c>
      <c r="B175" s="66">
        <v>496</v>
      </c>
      <c r="D175">
        <f t="shared" si="8"/>
        <v>2.2775696128131658E-3</v>
      </c>
      <c r="E175">
        <f t="shared" si="8"/>
        <v>2.2775696128131658E-3</v>
      </c>
      <c r="G175">
        <f t="shared" ca="1" si="9"/>
        <v>173</v>
      </c>
      <c r="H175">
        <f t="shared" ca="1" si="10"/>
        <v>0.39401954301667769</v>
      </c>
      <c r="I175">
        <f t="shared" ca="1" si="11"/>
        <v>22.163985964307521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117</v>
      </c>
      <c r="B178" s="66">
        <v>117</v>
      </c>
      <c r="D178">
        <f t="shared" si="8"/>
        <v>5.3724928366762179E-4</v>
      </c>
      <c r="E178">
        <f t="shared" si="8"/>
        <v>5.3724928366762179E-4</v>
      </c>
      <c r="G178">
        <f t="shared" ca="1" si="9"/>
        <v>176</v>
      </c>
      <c r="H178">
        <f t="shared" ca="1" si="10"/>
        <v>9.4555873925501438E-2</v>
      </c>
      <c r="I178">
        <f t="shared" ca="1" si="11"/>
        <v>5.5510248167801244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51.65556939646617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0.99733939969511953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0.41513195354426546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1751</v>
      </c>
      <c r="B8" s="66">
        <v>1751</v>
      </c>
      <c r="D8">
        <f t="shared" si="0"/>
        <v>1.5722084545487196</v>
      </c>
      <c r="E8">
        <f t="shared" si="1"/>
        <v>1.5722084545487196</v>
      </c>
      <c r="G8">
        <f t="shared" ca="1" si="2"/>
        <v>6</v>
      </c>
      <c r="H8">
        <f t="shared" ca="1" si="3"/>
        <v>9.4332507272923181</v>
      </c>
      <c r="I8">
        <f t="shared" ca="1" si="4"/>
        <v>3277.1600677181946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5289</v>
      </c>
      <c r="B10" s="66">
        <v>5289</v>
      </c>
      <c r="D10">
        <f t="shared" si="0"/>
        <v>4.7489494666523004</v>
      </c>
      <c r="E10">
        <f t="shared" si="1"/>
        <v>4.7489494666523004</v>
      </c>
      <c r="G10">
        <f t="shared" ca="1" si="2"/>
        <v>8</v>
      </c>
      <c r="H10">
        <f t="shared" ca="1" si="3"/>
        <v>37.991595733218404</v>
      </c>
      <c r="I10">
        <f t="shared" ca="1" si="4"/>
        <v>9050.589396180947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10876</v>
      </c>
      <c r="B13" s="66">
        <v>10876</v>
      </c>
      <c r="D13">
        <f t="shared" si="0"/>
        <v>9.7654706748554396</v>
      </c>
      <c r="E13">
        <f t="shared" si="1"/>
        <v>9.7654706748554396</v>
      </c>
      <c r="G13">
        <f t="shared" ca="1" si="2"/>
        <v>11</v>
      </c>
      <c r="H13">
        <f t="shared" ca="1" si="3"/>
        <v>107.42017742340984</v>
      </c>
      <c r="I13">
        <f t="shared" ca="1" si="4"/>
        <v>16141.105495468999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19273</v>
      </c>
      <c r="B15" s="66">
        <v>19273</v>
      </c>
      <c r="D15">
        <f t="shared" si="0"/>
        <v>17.305067701037963</v>
      </c>
      <c r="E15">
        <f t="shared" si="1"/>
        <v>17.305067701037963</v>
      </c>
      <c r="G15">
        <f t="shared" ca="1" si="2"/>
        <v>13</v>
      </c>
      <c r="H15">
        <f t="shared" ca="1" si="3"/>
        <v>224.96588011349351</v>
      </c>
      <c r="I15">
        <f t="shared" ca="1" si="4"/>
        <v>25858.150112523683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26170</v>
      </c>
      <c r="B18" s="66">
        <v>26170</v>
      </c>
      <c r="D18">
        <f t="shared" si="0"/>
        <v>23.497827101964589</v>
      </c>
      <c r="E18">
        <f t="shared" si="1"/>
        <v>23.497827101964589</v>
      </c>
      <c r="G18">
        <f t="shared" ca="1" si="2"/>
        <v>16</v>
      </c>
      <c r="H18">
        <f t="shared" ca="1" si="3"/>
        <v>375.96523363143342</v>
      </c>
      <c r="I18">
        <f t="shared" ca="1" si="4"/>
        <v>29873.248833251844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43204</v>
      </c>
      <c r="B21" s="66">
        <v>43204</v>
      </c>
      <c r="D21">
        <f t="shared" si="0"/>
        <v>38.792515174370578</v>
      </c>
      <c r="E21">
        <f t="shared" si="1"/>
        <v>38.792515174370578</v>
      </c>
      <c r="G21">
        <f t="shared" ca="1" si="2"/>
        <v>19</v>
      </c>
      <c r="H21">
        <f t="shared" ca="1" si="3"/>
        <v>737.05778831304099</v>
      </c>
      <c r="I21">
        <f t="shared" ca="1" si="4"/>
        <v>41367.803334312834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54680</v>
      </c>
      <c r="B23" s="66">
        <v>54680</v>
      </c>
      <c r="D23">
        <f t="shared" si="0"/>
        <v>49.096720899328375</v>
      </c>
      <c r="E23">
        <f t="shared" si="1"/>
        <v>49.096720899328375</v>
      </c>
      <c r="G23">
        <f t="shared" ca="1" si="2"/>
        <v>21</v>
      </c>
      <c r="H23">
        <f t="shared" ca="1" si="3"/>
        <v>1031.0311388858959</v>
      </c>
      <c r="I23">
        <f t="shared" ca="1" si="4"/>
        <v>46139.32762900777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69048</v>
      </c>
      <c r="B26" s="66">
        <v>69048</v>
      </c>
      <c r="D26">
        <f t="shared" si="0"/>
        <v>61.997629565779548</v>
      </c>
      <c r="E26">
        <f t="shared" si="1"/>
        <v>61.997629565779548</v>
      </c>
      <c r="G26">
        <f t="shared" ca="1" si="2"/>
        <v>24</v>
      </c>
      <c r="H26">
        <f t="shared" ca="1" si="3"/>
        <v>1487.943109578709</v>
      </c>
      <c r="I26">
        <f t="shared" ca="1" si="4"/>
        <v>47417.679175416641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78246</v>
      </c>
      <c r="B28" s="66">
        <v>78246</v>
      </c>
      <c r="D28">
        <f t="shared" si="0"/>
        <v>70.256437883848719</v>
      </c>
      <c r="E28">
        <f t="shared" si="1"/>
        <v>70.256437883848719</v>
      </c>
      <c r="G28">
        <f t="shared" ca="1" si="2"/>
        <v>26</v>
      </c>
      <c r="H28">
        <f t="shared" ca="1" si="3"/>
        <v>1826.6673849800668</v>
      </c>
      <c r="I28">
        <f t="shared" ca="1" si="4"/>
        <v>46243.366402450825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92299</v>
      </c>
      <c r="B31" s="66">
        <v>92299</v>
      </c>
      <c r="D31">
        <f t="shared" si="0"/>
        <v>82.87451064899615</v>
      </c>
      <c r="E31">
        <f t="shared" si="1"/>
        <v>82.87451064899615</v>
      </c>
      <c r="G31">
        <f t="shared" ca="1" si="2"/>
        <v>29</v>
      </c>
      <c r="H31">
        <f t="shared" ca="1" si="3"/>
        <v>2403.3608088208885</v>
      </c>
      <c r="I31">
        <f t="shared" ca="1" si="4"/>
        <v>42537.399923646379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74915</v>
      </c>
      <c r="B33" s="66">
        <v>74915</v>
      </c>
      <c r="D33">
        <f t="shared" si="0"/>
        <v>67.265560464030457</v>
      </c>
      <c r="E33">
        <f t="shared" si="1"/>
        <v>67.265560464030457</v>
      </c>
      <c r="G33">
        <f t="shared" ca="1" si="2"/>
        <v>31</v>
      </c>
      <c r="H33">
        <f t="shared" ca="1" si="3"/>
        <v>2085.2323743849443</v>
      </c>
      <c r="I33">
        <f t="shared" ca="1" si="4"/>
        <v>28699.022703564988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79506</v>
      </c>
      <c r="B36" s="66">
        <v>79506</v>
      </c>
      <c r="D36">
        <f t="shared" si="0"/>
        <v>71.387781489063684</v>
      </c>
      <c r="E36">
        <f t="shared" si="1"/>
        <v>71.387781489063684</v>
      </c>
      <c r="G36">
        <f t="shared" ca="1" si="2"/>
        <v>34</v>
      </c>
      <c r="H36">
        <f t="shared" ca="1" si="3"/>
        <v>2427.1845706281651</v>
      </c>
      <c r="I36">
        <f t="shared" ca="1" si="4"/>
        <v>22252.93718933142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83121</v>
      </c>
      <c r="B39" s="66">
        <v>83121</v>
      </c>
      <c r="D39">
        <f t="shared" si="0"/>
        <v>74.633660165930394</v>
      </c>
      <c r="E39">
        <f t="shared" si="1"/>
        <v>74.633660165930394</v>
      </c>
      <c r="G39">
        <f t="shared" ca="1" si="2"/>
        <v>37</v>
      </c>
      <c r="H39">
        <f t="shared" ca="1" si="3"/>
        <v>2761.4454261394244</v>
      </c>
      <c r="I39">
        <f t="shared" ca="1" si="4"/>
        <v>16030.24401214781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79915</v>
      </c>
      <c r="B41" s="66">
        <v>79915</v>
      </c>
      <c r="D41">
        <f t="shared" si="0"/>
        <v>71.755019214883447</v>
      </c>
      <c r="E41">
        <f t="shared" si="1"/>
        <v>71.755019214883447</v>
      </c>
      <c r="G41">
        <f t="shared" ca="1" si="2"/>
        <v>39</v>
      </c>
      <c r="H41">
        <f t="shared" ca="1" si="3"/>
        <v>2798.4457493804543</v>
      </c>
      <c r="I41">
        <f t="shared" ca="1" si="4"/>
        <v>11492.53048142984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80415</v>
      </c>
      <c r="B44" s="66">
        <v>80415</v>
      </c>
      <c r="D44">
        <f t="shared" si="0"/>
        <v>72.203965089968747</v>
      </c>
      <c r="E44">
        <f t="shared" si="1"/>
        <v>72.203965089968747</v>
      </c>
      <c r="G44">
        <f t="shared" ca="1" si="2"/>
        <v>42</v>
      </c>
      <c r="H44">
        <f t="shared" ca="1" si="3"/>
        <v>3032.5665337786872</v>
      </c>
      <c r="I44">
        <f t="shared" ca="1" si="4"/>
        <v>6731.5771361306834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96434</v>
      </c>
      <c r="B46" s="66">
        <v>96434</v>
      </c>
      <c r="D46">
        <f t="shared" si="0"/>
        <v>86.587293035951589</v>
      </c>
      <c r="E46">
        <f t="shared" si="1"/>
        <v>86.587293035951589</v>
      </c>
      <c r="G46">
        <f t="shared" ca="1" si="2"/>
        <v>44</v>
      </c>
      <c r="H46">
        <f t="shared" ca="1" si="3"/>
        <v>3809.8408935818698</v>
      </c>
      <c r="I46">
        <f t="shared" ca="1" si="4"/>
        <v>5074.6857986233581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101204</v>
      </c>
      <c r="B49" s="66">
        <v>101204</v>
      </c>
      <c r="D49">
        <f t="shared" si="0"/>
        <v>90.87023668426535</v>
      </c>
      <c r="E49">
        <f t="shared" si="1"/>
        <v>90.87023668426535</v>
      </c>
      <c r="G49">
        <f t="shared" ca="1" si="2"/>
        <v>47</v>
      </c>
      <c r="H49">
        <f t="shared" ca="1" si="3"/>
        <v>4270.9011241604712</v>
      </c>
      <c r="I49">
        <f t="shared" ca="1" si="4"/>
        <v>1969.5511704227581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108388</v>
      </c>
      <c r="B51" s="66">
        <v>108388</v>
      </c>
      <c r="D51">
        <f t="shared" si="0"/>
        <v>97.32069101749093</v>
      </c>
      <c r="E51">
        <f t="shared" si="1"/>
        <v>97.32069101749093</v>
      </c>
      <c r="G51">
        <f t="shared" ca="1" si="2"/>
        <v>49</v>
      </c>
      <c r="H51">
        <f t="shared" ca="1" si="3"/>
        <v>4768.7138598570555</v>
      </c>
      <c r="I51">
        <f t="shared" ca="1" si="4"/>
        <v>686.31026419773116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111372</v>
      </c>
      <c r="B54" s="66">
        <v>111372</v>
      </c>
      <c r="D54">
        <f t="shared" si="0"/>
        <v>100</v>
      </c>
      <c r="E54">
        <f t="shared" si="1"/>
        <v>100</v>
      </c>
      <c r="G54">
        <f t="shared" ca="1" si="2"/>
        <v>52</v>
      </c>
      <c r="H54">
        <f t="shared" ca="1" si="3"/>
        <v>5200</v>
      </c>
      <c r="I54">
        <f t="shared" ca="1" si="4"/>
        <v>11.863244065067843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106235</v>
      </c>
      <c r="B57" s="66">
        <v>106235</v>
      </c>
      <c r="D57">
        <f t="shared" si="0"/>
        <v>95.387530079373633</v>
      </c>
      <c r="E57">
        <f t="shared" si="1"/>
        <v>95.387530079373633</v>
      </c>
      <c r="G57">
        <f t="shared" ca="1" si="2"/>
        <v>55</v>
      </c>
      <c r="H57">
        <f t="shared" ca="1" si="3"/>
        <v>5246.3141543655502</v>
      </c>
      <c r="I57">
        <f t="shared" ca="1" si="4"/>
        <v>1066.930133544359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99159</v>
      </c>
      <c r="B59" s="66">
        <v>99159</v>
      </c>
      <c r="D59">
        <f t="shared" si="0"/>
        <v>89.034048055166465</v>
      </c>
      <c r="E59">
        <f t="shared" si="1"/>
        <v>89.034048055166465</v>
      </c>
      <c r="G59">
        <f t="shared" ca="1" si="2"/>
        <v>57</v>
      </c>
      <c r="H59">
        <f t="shared" ca="1" si="3"/>
        <v>5074.9407391444884</v>
      </c>
      <c r="I59">
        <f t="shared" ca="1" si="4"/>
        <v>2543.0740368679658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83084</v>
      </c>
      <c r="B62" s="66">
        <v>83084</v>
      </c>
      <c r="D62">
        <f t="shared" si="0"/>
        <v>74.600438171174076</v>
      </c>
      <c r="E62">
        <f t="shared" si="1"/>
        <v>74.600438171174076</v>
      </c>
      <c r="G62">
        <f t="shared" ca="1" si="2"/>
        <v>60</v>
      </c>
      <c r="H62">
        <f t="shared" ca="1" si="3"/>
        <v>4476.0262902704444</v>
      </c>
      <c r="I62">
        <f t="shared" ca="1" si="4"/>
        <v>5194.3928580999673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86707</v>
      </c>
      <c r="B64" s="66">
        <v>86707</v>
      </c>
      <c r="D64">
        <f t="shared" si="0"/>
        <v>77.853499982042166</v>
      </c>
      <c r="E64">
        <f t="shared" si="1"/>
        <v>77.853499982042166</v>
      </c>
      <c r="G64">
        <f t="shared" ca="1" si="2"/>
        <v>62</v>
      </c>
      <c r="H64">
        <f t="shared" ca="1" si="3"/>
        <v>4826.9169988866142</v>
      </c>
      <c r="I64">
        <f t="shared" ca="1" si="4"/>
        <v>8330.8885086409991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71250</v>
      </c>
      <c r="B67" s="66">
        <v>71250</v>
      </c>
      <c r="D67">
        <f t="shared" ref="D67:D130" si="5">IFERROR( 100*A67/MAX(A$2:A$257), 0 )</f>
        <v>63.974787199655211</v>
      </c>
      <c r="E67">
        <f t="shared" ref="E67:E130" si="6">IFERROR( 100*B67/MAX(B$2:B$257), 0 )</f>
        <v>63.974787199655211</v>
      </c>
      <c r="G67">
        <f t="shared" ref="G67:G130" ca="1" si="7">CELL("row",D67)-2</f>
        <v>65</v>
      </c>
      <c r="H67">
        <f t="shared" ref="H67:H130" ca="1" si="8">D67*G67</f>
        <v>4158.3611679775886</v>
      </c>
      <c r="I67">
        <f t="shared" ref="I67:I130" ca="1" si="9">D67*((G67-$L$1)^2)</f>
        <v>11392.235260606598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64293</v>
      </c>
      <c r="B69" s="66">
        <v>64293</v>
      </c>
      <c r="D69">
        <f t="shared" si="5"/>
        <v>57.728154293718347</v>
      </c>
      <c r="E69">
        <f t="shared" si="6"/>
        <v>57.728154293718347</v>
      </c>
      <c r="G69">
        <f t="shared" ca="1" si="7"/>
        <v>67</v>
      </c>
      <c r="H69">
        <f t="shared" ca="1" si="8"/>
        <v>3867.7863376791292</v>
      </c>
      <c r="I69">
        <f t="shared" ca="1" si="9"/>
        <v>13592.183438653135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61069</v>
      </c>
      <c r="B72" s="66">
        <v>61069</v>
      </c>
      <c r="D72">
        <f t="shared" si="5"/>
        <v>54.833351291168334</v>
      </c>
      <c r="E72">
        <f t="shared" si="6"/>
        <v>54.833351291168334</v>
      </c>
      <c r="G72">
        <f t="shared" ca="1" si="7"/>
        <v>70</v>
      </c>
      <c r="H72">
        <f t="shared" ca="1" si="8"/>
        <v>3838.3345903817835</v>
      </c>
      <c r="I72">
        <f t="shared" ca="1" si="9"/>
        <v>18452.417066675254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52894</v>
      </c>
      <c r="B75" s="66">
        <v>52894</v>
      </c>
      <c r="D75">
        <f t="shared" si="5"/>
        <v>47.493086233523684</v>
      </c>
      <c r="E75">
        <f t="shared" si="6"/>
        <v>47.493086233523684</v>
      </c>
      <c r="G75">
        <f t="shared" ca="1" si="7"/>
        <v>73</v>
      </c>
      <c r="H75">
        <f t="shared" ca="1" si="8"/>
        <v>3466.9952950472289</v>
      </c>
      <c r="I75">
        <f t="shared" ca="1" si="9"/>
        <v>21637.124288631927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44501</v>
      </c>
      <c r="B77" s="66">
        <v>44501</v>
      </c>
      <c r="D77">
        <f t="shared" si="5"/>
        <v>39.957080774341847</v>
      </c>
      <c r="E77">
        <f t="shared" si="6"/>
        <v>39.957080774341847</v>
      </c>
      <c r="G77">
        <f t="shared" ca="1" si="7"/>
        <v>75</v>
      </c>
      <c r="H77">
        <f t="shared" ca="1" si="8"/>
        <v>2996.7810580756386</v>
      </c>
      <c r="I77">
        <f t="shared" ca="1" si="9"/>
        <v>21775.108242181974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44504</v>
      </c>
      <c r="B80" s="66">
        <v>44504</v>
      </c>
      <c r="D80">
        <f t="shared" si="5"/>
        <v>39.959774449592359</v>
      </c>
      <c r="E80">
        <f t="shared" si="6"/>
        <v>39.959774449592359</v>
      </c>
      <c r="G80">
        <f t="shared" ca="1" si="7"/>
        <v>78</v>
      </c>
      <c r="H80">
        <f t="shared" ca="1" si="8"/>
        <v>3116.862407068204</v>
      </c>
      <c r="I80">
        <f t="shared" ca="1" si="9"/>
        <v>27733.24325349418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37601</v>
      </c>
      <c r="B82" s="66">
        <v>37601</v>
      </c>
      <c r="D82">
        <f t="shared" si="5"/>
        <v>33.761627698164709</v>
      </c>
      <c r="E82">
        <f t="shared" si="6"/>
        <v>33.761627698164709</v>
      </c>
      <c r="G82">
        <f t="shared" ca="1" si="7"/>
        <v>80</v>
      </c>
      <c r="H82">
        <f t="shared" ca="1" si="8"/>
        <v>2700.9302158531768</v>
      </c>
      <c r="I82">
        <f t="shared" ca="1" si="9"/>
        <v>27124.31945669965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35657</v>
      </c>
      <c r="B85" s="66">
        <v>35657</v>
      </c>
      <c r="D85">
        <f t="shared" si="5"/>
        <v>32.016126135833062</v>
      </c>
      <c r="E85">
        <f t="shared" si="6"/>
        <v>32.016126135833062</v>
      </c>
      <c r="G85">
        <f t="shared" ca="1" si="7"/>
        <v>83</v>
      </c>
      <c r="H85">
        <f t="shared" ca="1" si="8"/>
        <v>2657.3384692741442</v>
      </c>
      <c r="I85">
        <f t="shared" ca="1" si="9"/>
        <v>31454.990053881618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33322</v>
      </c>
      <c r="B88" s="66">
        <v>33322</v>
      </c>
      <c r="D88">
        <f t="shared" si="5"/>
        <v>29.919548899184715</v>
      </c>
      <c r="E88">
        <f t="shared" si="6"/>
        <v>29.919548899184715</v>
      </c>
      <c r="G88">
        <f t="shared" ca="1" si="7"/>
        <v>86</v>
      </c>
      <c r="H88">
        <f t="shared" ca="1" si="8"/>
        <v>2573.0812053298855</v>
      </c>
      <c r="I88">
        <f t="shared" ca="1" si="9"/>
        <v>35291.302119933425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28223</v>
      </c>
      <c r="B90" s="66">
        <v>28223</v>
      </c>
      <c r="D90">
        <f t="shared" si="5"/>
        <v>25.341198865064829</v>
      </c>
      <c r="E90">
        <f t="shared" si="6"/>
        <v>25.341198865064829</v>
      </c>
      <c r="G90">
        <f t="shared" ca="1" si="7"/>
        <v>88</v>
      </c>
      <c r="H90">
        <f t="shared" ca="1" si="8"/>
        <v>2230.0255001257051</v>
      </c>
      <c r="I90">
        <f t="shared" ca="1" si="9"/>
        <v>33473.636495588682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32734</v>
      </c>
      <c r="B93" s="66">
        <v>32734</v>
      </c>
      <c r="D93">
        <f t="shared" si="5"/>
        <v>29.391588550084403</v>
      </c>
      <c r="E93">
        <f t="shared" si="6"/>
        <v>29.391588550084403</v>
      </c>
      <c r="G93">
        <f t="shared" ca="1" si="7"/>
        <v>91</v>
      </c>
      <c r="H93">
        <f t="shared" ca="1" si="8"/>
        <v>2674.6345580576808</v>
      </c>
      <c r="I93">
        <f t="shared" ca="1" si="9"/>
        <v>45497.715262046309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21371</v>
      </c>
      <c r="B95" s="66">
        <v>21371</v>
      </c>
      <c r="D95">
        <f t="shared" si="5"/>
        <v>19.18884459289588</v>
      </c>
      <c r="E95">
        <f t="shared" si="6"/>
        <v>19.18884459289588</v>
      </c>
      <c r="G95">
        <f t="shared" ca="1" si="7"/>
        <v>93</v>
      </c>
      <c r="H95">
        <f t="shared" ca="1" si="8"/>
        <v>1784.5625471393168</v>
      </c>
      <c r="I95">
        <f t="shared" ca="1" si="9"/>
        <v>32800.68065671363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16974</v>
      </c>
      <c r="B98" s="66">
        <v>16974</v>
      </c>
      <c r="D98">
        <f t="shared" si="5"/>
        <v>15.240814567395756</v>
      </c>
      <c r="E98">
        <f t="shared" si="6"/>
        <v>15.240814567395756</v>
      </c>
      <c r="G98">
        <f t="shared" ca="1" si="7"/>
        <v>96</v>
      </c>
      <c r="H98">
        <f t="shared" ca="1" si="8"/>
        <v>1463.1181984699924</v>
      </c>
      <c r="I98">
        <f t="shared" ca="1" si="9"/>
        <v>29969.972517969803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11341</v>
      </c>
      <c r="B100" s="66">
        <v>11341</v>
      </c>
      <c r="D100">
        <f t="shared" si="5"/>
        <v>10.182990338684768</v>
      </c>
      <c r="E100">
        <f t="shared" si="6"/>
        <v>10.182990338684768</v>
      </c>
      <c r="G100">
        <f t="shared" ca="1" si="7"/>
        <v>98</v>
      </c>
      <c r="H100">
        <f t="shared" ca="1" si="8"/>
        <v>997.93305319110721</v>
      </c>
      <c r="I100">
        <f t="shared" ca="1" si="9"/>
        <v>21871.090272402143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8489</v>
      </c>
      <c r="B103" s="66">
        <v>8489</v>
      </c>
      <c r="D103">
        <f t="shared" si="5"/>
        <v>7.6222030671982184</v>
      </c>
      <c r="E103">
        <f t="shared" si="6"/>
        <v>7.6222030671982184</v>
      </c>
      <c r="G103">
        <f t="shared" ca="1" si="7"/>
        <v>101</v>
      </c>
      <c r="H103">
        <f t="shared" ca="1" si="8"/>
        <v>769.84250978702005</v>
      </c>
      <c r="I103">
        <f t="shared" ca="1" si="9"/>
        <v>18559.095165159786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6536</v>
      </c>
      <c r="B106" s="66">
        <v>6536</v>
      </c>
      <c r="D106">
        <f t="shared" si="5"/>
        <v>5.8686204791150383</v>
      </c>
      <c r="E106">
        <f t="shared" si="6"/>
        <v>5.8686204791150383</v>
      </c>
      <c r="G106">
        <f t="shared" ca="1" si="7"/>
        <v>104</v>
      </c>
      <c r="H106">
        <f t="shared" ca="1" si="8"/>
        <v>610.336529827964</v>
      </c>
      <c r="I106">
        <f t="shared" ca="1" si="9"/>
        <v>16079.664563625143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5332</v>
      </c>
      <c r="B108" s="66">
        <v>5332</v>
      </c>
      <c r="D108">
        <f t="shared" si="5"/>
        <v>4.7875588119096362</v>
      </c>
      <c r="E108">
        <f t="shared" si="6"/>
        <v>4.7875588119096362</v>
      </c>
      <c r="G108">
        <f t="shared" ca="1" si="7"/>
        <v>106</v>
      </c>
      <c r="H108">
        <f t="shared" ca="1" si="8"/>
        <v>507.48123406242144</v>
      </c>
      <c r="I108">
        <f t="shared" ca="1" si="9"/>
        <v>14139.179486587407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4600</v>
      </c>
      <c r="B111" s="66">
        <v>4600</v>
      </c>
      <c r="D111">
        <f t="shared" si="5"/>
        <v>4.1303020507847572</v>
      </c>
      <c r="E111">
        <f t="shared" si="6"/>
        <v>4.1303020507847572</v>
      </c>
      <c r="G111">
        <f t="shared" ca="1" si="7"/>
        <v>109</v>
      </c>
      <c r="H111">
        <f t="shared" ca="1" si="8"/>
        <v>450.20292353553856</v>
      </c>
      <c r="I111">
        <f t="shared" ca="1" si="9"/>
        <v>13582.01802761927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3980</v>
      </c>
      <c r="B113" s="66">
        <v>3980</v>
      </c>
      <c r="D113">
        <f t="shared" si="5"/>
        <v>3.5736091656789859</v>
      </c>
      <c r="E113">
        <f t="shared" si="6"/>
        <v>3.5736091656789859</v>
      </c>
      <c r="G113">
        <f t="shared" ca="1" si="7"/>
        <v>111</v>
      </c>
      <c r="H113">
        <f t="shared" ca="1" si="8"/>
        <v>396.67061739036745</v>
      </c>
      <c r="I113">
        <f t="shared" ca="1" si="9"/>
        <v>12585.398974389809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3869</v>
      </c>
      <c r="B116" s="66">
        <v>3869</v>
      </c>
      <c r="D116">
        <f t="shared" si="5"/>
        <v>3.473943181410049</v>
      </c>
      <c r="E116">
        <f t="shared" si="6"/>
        <v>3.473943181410049</v>
      </c>
      <c r="G116">
        <f t="shared" ca="1" si="7"/>
        <v>114</v>
      </c>
      <c r="H116">
        <f t="shared" ca="1" si="8"/>
        <v>396.02952268074557</v>
      </c>
      <c r="I116">
        <f t="shared" ca="1" si="9"/>
        <v>13502.619722678817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2000</v>
      </c>
      <c r="B118" s="66">
        <v>2000</v>
      </c>
      <c r="D118">
        <f t="shared" si="5"/>
        <v>1.7957835003411988</v>
      </c>
      <c r="E118">
        <f t="shared" si="6"/>
        <v>1.7957835003411988</v>
      </c>
      <c r="G118">
        <f t="shared" ca="1" si="7"/>
        <v>116</v>
      </c>
      <c r="H118">
        <f t="shared" ca="1" si="8"/>
        <v>208.31088603957906</v>
      </c>
      <c r="I118">
        <f t="shared" ca="1" si="9"/>
        <v>7434.9131733164168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2648</v>
      </c>
      <c r="B121" s="66">
        <v>2648</v>
      </c>
      <c r="D121">
        <f t="shared" si="5"/>
        <v>2.3776173544517474</v>
      </c>
      <c r="E121">
        <f t="shared" si="6"/>
        <v>2.3776173544517474</v>
      </c>
      <c r="G121">
        <f t="shared" ca="1" si="7"/>
        <v>119</v>
      </c>
      <c r="H121">
        <f t="shared" ca="1" si="8"/>
        <v>282.93646517975793</v>
      </c>
      <c r="I121">
        <f t="shared" ca="1" si="9"/>
        <v>10783.142206852672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870</v>
      </c>
      <c r="B124" s="66">
        <v>870</v>
      </c>
      <c r="D124">
        <f t="shared" si="5"/>
        <v>0.78116582264842149</v>
      </c>
      <c r="E124">
        <f t="shared" si="6"/>
        <v>0.78116582264842149</v>
      </c>
      <c r="G124">
        <f t="shared" ca="1" si="7"/>
        <v>122</v>
      </c>
      <c r="H124">
        <f t="shared" ca="1" si="8"/>
        <v>95.302230363107427</v>
      </c>
      <c r="I124">
        <f t="shared" ca="1" si="9"/>
        <v>3865.4732407910296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555</v>
      </c>
      <c r="B126" s="66">
        <v>555</v>
      </c>
      <c r="D126">
        <f t="shared" si="5"/>
        <v>0.49832992134468268</v>
      </c>
      <c r="E126">
        <f t="shared" si="6"/>
        <v>0.49832992134468268</v>
      </c>
      <c r="G126">
        <f t="shared" ca="1" si="7"/>
        <v>124</v>
      </c>
      <c r="H126">
        <f t="shared" ca="1" si="8"/>
        <v>61.792910246740654</v>
      </c>
      <c r="I126">
        <f t="shared" ca="1" si="9"/>
        <v>2608.1176012274036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550</v>
      </c>
      <c r="B129" s="66">
        <v>550</v>
      </c>
      <c r="D129">
        <f t="shared" si="5"/>
        <v>0.49384046259382969</v>
      </c>
      <c r="E129">
        <f t="shared" si="6"/>
        <v>0.49384046259382969</v>
      </c>
      <c r="G129">
        <f t="shared" ca="1" si="7"/>
        <v>127</v>
      </c>
      <c r="H129">
        <f t="shared" ca="1" si="8"/>
        <v>62.71773874941637</v>
      </c>
      <c r="I129">
        <f t="shared" ca="1" si="9"/>
        <v>2803.4252528767538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119</v>
      </c>
      <c r="B131" s="66">
        <v>119</v>
      </c>
      <c r="D131">
        <f t="shared" ref="D131:D194" si="10">IFERROR( 100*A131/MAX(A$2:A$257), 0 )</f>
        <v>0.10684911827030133</v>
      </c>
      <c r="E131">
        <f t="shared" ref="E131:E194" si="11">IFERROR( 100*B131/MAX(B$2:B$257), 0 )</f>
        <v>0.10684911827030133</v>
      </c>
      <c r="G131">
        <f t="shared" ref="G131:G194" ca="1" si="12">CELL("row",D131)-2</f>
        <v>129</v>
      </c>
      <c r="H131">
        <f t="shared" ref="H131:H194" ca="1" si="13">D131*G131</f>
        <v>13.783536256868871</v>
      </c>
      <c r="I131">
        <f t="shared" ref="I131:I194" ca="1" si="14">D131*((G131-$L$1)^2)</f>
        <v>639.18862236540451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121</v>
      </c>
      <c r="B134" s="66">
        <v>121</v>
      </c>
      <c r="D134">
        <f t="shared" si="10"/>
        <v>0.10864490177064254</v>
      </c>
      <c r="E134">
        <f t="shared" si="11"/>
        <v>0.10864490177064254</v>
      </c>
      <c r="G134">
        <f t="shared" ca="1" si="12"/>
        <v>132</v>
      </c>
      <c r="H134">
        <f t="shared" ca="1" si="13"/>
        <v>14.341127033724815</v>
      </c>
      <c r="I134">
        <f t="shared" ca="1" si="14"/>
        <v>701.3275607960112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60</v>
      </c>
      <c r="B136" s="66">
        <v>60</v>
      </c>
      <c r="D136">
        <f t="shared" si="10"/>
        <v>5.3873505010235967E-2</v>
      </c>
      <c r="E136">
        <f t="shared" si="11"/>
        <v>5.3873505010235967E-2</v>
      </c>
      <c r="G136">
        <f t="shared" ca="1" si="12"/>
        <v>134</v>
      </c>
      <c r="H136">
        <f t="shared" ca="1" si="13"/>
        <v>7.2190496713716197</v>
      </c>
      <c r="I136">
        <f t="shared" ca="1" si="14"/>
        <v>365.29497098481829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0</v>
      </c>
      <c r="B139" s="66">
        <v>0</v>
      </c>
      <c r="D139">
        <f t="shared" si="10"/>
        <v>0</v>
      </c>
      <c r="E139">
        <f t="shared" si="11"/>
        <v>0</v>
      </c>
      <c r="G139">
        <f t="shared" ca="1" si="12"/>
        <v>137</v>
      </c>
      <c r="H139">
        <f t="shared" ca="1" si="13"/>
        <v>0</v>
      </c>
      <c r="I139">
        <f t="shared" ca="1" si="14"/>
        <v>0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0</v>
      </c>
      <c r="B142" s="66">
        <v>0</v>
      </c>
      <c r="D142">
        <f t="shared" si="10"/>
        <v>0</v>
      </c>
      <c r="E142">
        <f t="shared" si="11"/>
        <v>0</v>
      </c>
      <c r="G142">
        <f t="shared" ca="1" si="12"/>
        <v>140</v>
      </c>
      <c r="H142">
        <f t="shared" ca="1" si="13"/>
        <v>0</v>
      </c>
      <c r="I142">
        <f t="shared" ca="1" si="14"/>
        <v>0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0</v>
      </c>
      <c r="B144" s="66">
        <v>0</v>
      </c>
      <c r="D144">
        <f t="shared" si="10"/>
        <v>0</v>
      </c>
      <c r="E144">
        <f t="shared" si="11"/>
        <v>0</v>
      </c>
      <c r="G144">
        <f t="shared" ca="1" si="12"/>
        <v>142</v>
      </c>
      <c r="H144">
        <f t="shared" ca="1" si="13"/>
        <v>0</v>
      </c>
      <c r="I144">
        <f t="shared" ca="1" si="14"/>
        <v>0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0</v>
      </c>
      <c r="B147" s="66">
        <v>0</v>
      </c>
      <c r="D147">
        <f t="shared" si="10"/>
        <v>0</v>
      </c>
      <c r="E147">
        <f t="shared" si="11"/>
        <v>0</v>
      </c>
      <c r="G147">
        <f t="shared" ca="1" si="12"/>
        <v>145</v>
      </c>
      <c r="H147">
        <f t="shared" ca="1" si="13"/>
        <v>0</v>
      </c>
      <c r="I147">
        <f t="shared" ca="1" si="14"/>
        <v>0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349</v>
      </c>
      <c r="B1" s="66" t="s">
        <v>350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85.733751401194596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1.6553035646515901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0.49083223664394049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182</v>
      </c>
      <c r="B8" s="66">
        <v>182</v>
      </c>
      <c r="D8">
        <f t="shared" si="0"/>
        <v>0.10280511088265532</v>
      </c>
      <c r="E8">
        <f t="shared" si="1"/>
        <v>0.10280511088265532</v>
      </c>
      <c r="G8">
        <f t="shared" ca="1" si="2"/>
        <v>6</v>
      </c>
      <c r="H8">
        <f t="shared" ca="1" si="3"/>
        <v>0.61683066529593189</v>
      </c>
      <c r="I8">
        <f t="shared" ca="1" si="4"/>
        <v>653.58052265461163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190</v>
      </c>
      <c r="B10" s="66">
        <v>190</v>
      </c>
      <c r="D10">
        <f t="shared" si="0"/>
        <v>0.10732401685551927</v>
      </c>
      <c r="E10">
        <f t="shared" si="1"/>
        <v>0.10732401685551927</v>
      </c>
      <c r="G10">
        <f t="shared" ca="1" si="2"/>
        <v>8</v>
      </c>
      <c r="H10">
        <f t="shared" ca="1" si="3"/>
        <v>0.8585921348441542</v>
      </c>
      <c r="I10">
        <f t="shared" ca="1" si="4"/>
        <v>648.50924698731171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427</v>
      </c>
      <c r="B13" s="66">
        <v>427</v>
      </c>
      <c r="D13">
        <f t="shared" si="0"/>
        <v>0.24119660630161438</v>
      </c>
      <c r="E13">
        <f t="shared" si="1"/>
        <v>0.24119660630161438</v>
      </c>
      <c r="G13">
        <f t="shared" ca="1" si="2"/>
        <v>11</v>
      </c>
      <c r="H13">
        <f t="shared" ca="1" si="3"/>
        <v>2.6531626693177581</v>
      </c>
      <c r="I13">
        <f t="shared" ca="1" si="4"/>
        <v>1347.1152696982513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575</v>
      </c>
      <c r="B15" s="66">
        <v>575</v>
      </c>
      <c r="D15">
        <f t="shared" si="0"/>
        <v>0.32479636679959784</v>
      </c>
      <c r="E15">
        <f t="shared" si="1"/>
        <v>0.32479636679959784</v>
      </c>
      <c r="G15">
        <f t="shared" ca="1" si="2"/>
        <v>13</v>
      </c>
      <c r="H15">
        <f t="shared" ca="1" si="3"/>
        <v>4.2223527683947717</v>
      </c>
      <c r="I15">
        <f t="shared" ca="1" si="4"/>
        <v>1718.2372826192691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810</v>
      </c>
      <c r="B18" s="66">
        <v>810</v>
      </c>
      <c r="D18">
        <f t="shared" si="0"/>
        <v>0.45753922975247691</v>
      </c>
      <c r="E18">
        <f t="shared" si="1"/>
        <v>0.45753922975247691</v>
      </c>
      <c r="G18">
        <f t="shared" ca="1" si="2"/>
        <v>16</v>
      </c>
      <c r="H18">
        <f t="shared" ca="1" si="3"/>
        <v>7.3206276760396305</v>
      </c>
      <c r="I18">
        <f t="shared" ca="1" si="4"/>
        <v>2224.9199749379909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1867</v>
      </c>
      <c r="B21" s="66">
        <v>1867</v>
      </c>
      <c r="D21">
        <f t="shared" si="0"/>
        <v>1.054599681417129</v>
      </c>
      <c r="E21">
        <f t="shared" si="1"/>
        <v>1.054599681417129</v>
      </c>
      <c r="G21">
        <f t="shared" ca="1" si="2"/>
        <v>19</v>
      </c>
      <c r="H21">
        <f t="shared" ca="1" si="3"/>
        <v>20.037393946925452</v>
      </c>
      <c r="I21">
        <f t="shared" ca="1" si="4"/>
        <v>4696.5474465553043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2954</v>
      </c>
      <c r="B23" s="66">
        <v>2954</v>
      </c>
      <c r="D23">
        <f t="shared" si="0"/>
        <v>1.6686060304800208</v>
      </c>
      <c r="E23">
        <f t="shared" si="1"/>
        <v>1.6686060304800208</v>
      </c>
      <c r="G23">
        <f t="shared" ca="1" si="2"/>
        <v>21</v>
      </c>
      <c r="H23">
        <f t="shared" ca="1" si="3"/>
        <v>35.040726640080436</v>
      </c>
      <c r="I23">
        <f t="shared" ca="1" si="4"/>
        <v>6992.2244411657039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6074</v>
      </c>
      <c r="B26" s="66">
        <v>6074</v>
      </c>
      <c r="D26">
        <f t="shared" si="0"/>
        <v>3.4309793598969689</v>
      </c>
      <c r="E26">
        <f t="shared" si="1"/>
        <v>3.4309793598969689</v>
      </c>
      <c r="G26">
        <f t="shared" ca="1" si="2"/>
        <v>24</v>
      </c>
      <c r="H26">
        <f t="shared" ca="1" si="3"/>
        <v>82.343504637527246</v>
      </c>
      <c r="I26">
        <f t="shared" ca="1" si="4"/>
        <v>13075.654688353507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8632</v>
      </c>
      <c r="B28" s="66">
        <v>8632</v>
      </c>
      <c r="D28">
        <f t="shared" si="0"/>
        <v>4.8758995447202231</v>
      </c>
      <c r="E28">
        <f t="shared" si="1"/>
        <v>4.8758995447202231</v>
      </c>
      <c r="G28">
        <f t="shared" ca="1" si="2"/>
        <v>26</v>
      </c>
      <c r="H28">
        <f t="shared" ca="1" si="3"/>
        <v>126.77338816272581</v>
      </c>
      <c r="I28">
        <f t="shared" ca="1" si="4"/>
        <v>17397.799834698577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13361</v>
      </c>
      <c r="B31" s="66">
        <v>13361</v>
      </c>
      <c r="D31">
        <f t="shared" si="0"/>
        <v>7.5471378379294372</v>
      </c>
      <c r="E31">
        <f t="shared" si="1"/>
        <v>7.5471378379294372</v>
      </c>
      <c r="G31">
        <f t="shared" ca="1" si="2"/>
        <v>29</v>
      </c>
      <c r="H31">
        <f t="shared" ca="1" si="3"/>
        <v>218.86699729995368</v>
      </c>
      <c r="I31">
        <f t="shared" ca="1" si="4"/>
        <v>24292.112543652696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13255</v>
      </c>
      <c r="B33" s="66">
        <v>13255</v>
      </c>
      <c r="D33">
        <f t="shared" si="0"/>
        <v>7.4872623337889896</v>
      </c>
      <c r="E33">
        <f t="shared" si="1"/>
        <v>7.4872623337889896</v>
      </c>
      <c r="G33">
        <f t="shared" ca="1" si="2"/>
        <v>31</v>
      </c>
      <c r="H33">
        <f t="shared" ca="1" si="3"/>
        <v>232.10513234745869</v>
      </c>
      <c r="I33">
        <f t="shared" ca="1" si="4"/>
        <v>22430.217277554148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16775</v>
      </c>
      <c r="B36" s="66">
        <v>16775</v>
      </c>
      <c r="D36">
        <f t="shared" si="0"/>
        <v>9.4755809618491362</v>
      </c>
      <c r="E36">
        <f t="shared" si="1"/>
        <v>9.4755809618491362</v>
      </c>
      <c r="G36">
        <f t="shared" ca="1" si="2"/>
        <v>34</v>
      </c>
      <c r="H36">
        <f t="shared" ca="1" si="3"/>
        <v>322.16975270287065</v>
      </c>
      <c r="I36">
        <f t="shared" ca="1" si="4"/>
        <v>25360.265172809253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20127</v>
      </c>
      <c r="B39" s="66">
        <v>20127</v>
      </c>
      <c r="D39">
        <f t="shared" si="0"/>
        <v>11.369002564479139</v>
      </c>
      <c r="E39">
        <f t="shared" si="1"/>
        <v>11.369002564479139</v>
      </c>
      <c r="G39">
        <f t="shared" ca="1" si="2"/>
        <v>37</v>
      </c>
      <c r="H39">
        <f t="shared" ca="1" si="3"/>
        <v>420.65309488572814</v>
      </c>
      <c r="I39">
        <f t="shared" ca="1" si="4"/>
        <v>27001.136948509422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29492</v>
      </c>
      <c r="B41" s="66">
        <v>29492</v>
      </c>
      <c r="D41">
        <f t="shared" si="0"/>
        <v>16.658946868963024</v>
      </c>
      <c r="E41">
        <f t="shared" si="1"/>
        <v>16.658946868963024</v>
      </c>
      <c r="G41">
        <f t="shared" ca="1" si="2"/>
        <v>39</v>
      </c>
      <c r="H41">
        <f t="shared" ca="1" si="3"/>
        <v>649.69892788955792</v>
      </c>
      <c r="I41">
        <f t="shared" ca="1" si="4"/>
        <v>36383.864959660394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35846</v>
      </c>
      <c r="B44" s="66">
        <v>35846</v>
      </c>
      <c r="D44">
        <f t="shared" si="0"/>
        <v>20.248087937910231</v>
      </c>
      <c r="E44">
        <f t="shared" si="1"/>
        <v>20.248087937910231</v>
      </c>
      <c r="G44">
        <f t="shared" ca="1" si="2"/>
        <v>42</v>
      </c>
      <c r="H44">
        <f t="shared" ca="1" si="3"/>
        <v>850.41969339222976</v>
      </c>
      <c r="I44">
        <f t="shared" ca="1" si="4"/>
        <v>38727.323396965519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50012</v>
      </c>
      <c r="B46" s="66">
        <v>50012</v>
      </c>
      <c r="D46">
        <f t="shared" si="0"/>
        <v>28.249940689359107</v>
      </c>
      <c r="E46">
        <f t="shared" si="1"/>
        <v>28.249940689359107</v>
      </c>
      <c r="G46">
        <f t="shared" ca="1" si="2"/>
        <v>44</v>
      </c>
      <c r="H46">
        <f t="shared" ca="1" si="3"/>
        <v>1242.9973903318007</v>
      </c>
      <c r="I46">
        <f t="shared" ca="1" si="4"/>
        <v>49203.091368272646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61929</v>
      </c>
      <c r="B49" s="66">
        <v>61929</v>
      </c>
      <c r="D49">
        <f t="shared" si="0"/>
        <v>34.981415999186595</v>
      </c>
      <c r="E49">
        <f t="shared" si="1"/>
        <v>34.981415999186595</v>
      </c>
      <c r="G49">
        <f t="shared" ca="1" si="2"/>
        <v>47</v>
      </c>
      <c r="H49">
        <f t="shared" ca="1" si="3"/>
        <v>1644.12655196177</v>
      </c>
      <c r="I49">
        <f t="shared" ca="1" si="4"/>
        <v>52482.74077491412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74338</v>
      </c>
      <c r="B51" s="66">
        <v>74338</v>
      </c>
      <c r="D51">
        <f t="shared" si="0"/>
        <v>41.990804026345224</v>
      </c>
      <c r="E51">
        <f t="shared" si="1"/>
        <v>41.990804026345224</v>
      </c>
      <c r="G51">
        <f t="shared" ca="1" si="2"/>
        <v>49</v>
      </c>
      <c r="H51">
        <f t="shared" ca="1" si="3"/>
        <v>2057.5493972909157</v>
      </c>
      <c r="I51">
        <f t="shared" ca="1" si="4"/>
        <v>56661.067907097102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75467</v>
      </c>
      <c r="B54" s="66">
        <v>75467</v>
      </c>
      <c r="D54">
        <f t="shared" si="0"/>
        <v>42.628534631765646</v>
      </c>
      <c r="E54">
        <f t="shared" si="1"/>
        <v>42.628534631765646</v>
      </c>
      <c r="G54">
        <f t="shared" ca="1" si="2"/>
        <v>52</v>
      </c>
      <c r="H54">
        <f t="shared" ca="1" si="3"/>
        <v>2216.6838008518134</v>
      </c>
      <c r="I54">
        <f t="shared" ca="1" si="4"/>
        <v>48509.822341561478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93453</v>
      </c>
      <c r="B57" s="66">
        <v>93453</v>
      </c>
      <c r="D57">
        <f t="shared" si="0"/>
        <v>52.788164985257069</v>
      </c>
      <c r="E57">
        <f t="shared" si="1"/>
        <v>52.788164985257069</v>
      </c>
      <c r="G57">
        <f t="shared" ca="1" si="2"/>
        <v>55</v>
      </c>
      <c r="H57">
        <f t="shared" ca="1" si="3"/>
        <v>2903.3490741891387</v>
      </c>
      <c r="I57">
        <f t="shared" ca="1" si="4"/>
        <v>49861.772567400229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107350</v>
      </c>
      <c r="B59" s="66">
        <v>107350</v>
      </c>
      <c r="D59">
        <f t="shared" si="0"/>
        <v>60.638069523368394</v>
      </c>
      <c r="E59">
        <f t="shared" si="1"/>
        <v>60.638069523368394</v>
      </c>
      <c r="G59">
        <f t="shared" ca="1" si="2"/>
        <v>57</v>
      </c>
      <c r="H59">
        <f t="shared" ca="1" si="3"/>
        <v>3456.3699628319982</v>
      </c>
      <c r="I59">
        <f t="shared" ca="1" si="4"/>
        <v>50064.516539207034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130807</v>
      </c>
      <c r="B62" s="66">
        <v>130807</v>
      </c>
      <c r="D62">
        <f t="shared" si="0"/>
        <v>73.88806669905216</v>
      </c>
      <c r="E62">
        <f t="shared" si="1"/>
        <v>73.88806669905216</v>
      </c>
      <c r="G62">
        <f t="shared" ca="1" si="2"/>
        <v>60</v>
      </c>
      <c r="H62">
        <f t="shared" ca="1" si="3"/>
        <v>4433.2840019431296</v>
      </c>
      <c r="I62">
        <f t="shared" ca="1" si="4"/>
        <v>48930.595989399808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124655</v>
      </c>
      <c r="B64" s="66">
        <v>124655</v>
      </c>
      <c r="D64">
        <f t="shared" si="0"/>
        <v>70.41302800591977</v>
      </c>
      <c r="E64">
        <f t="shared" si="1"/>
        <v>70.41302800591977</v>
      </c>
      <c r="G64">
        <f t="shared" ca="1" si="2"/>
        <v>62</v>
      </c>
      <c r="H64">
        <f t="shared" ca="1" si="3"/>
        <v>4365.6077363670256</v>
      </c>
      <c r="I64">
        <f t="shared" ca="1" si="4"/>
        <v>39663.021830292702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137423</v>
      </c>
      <c r="B67" s="66">
        <v>137423</v>
      </c>
      <c r="D67">
        <f t="shared" ref="D67:D130" si="5">IFERROR(100*A67/MAX(A$2:A$257), 0 )</f>
        <v>77.625201938610658</v>
      </c>
      <c r="E67">
        <f t="shared" ref="E67:E130" si="6">IFERROR(100*B67/MAX(B$2:B$257), 0 )</f>
        <v>77.625201938610658</v>
      </c>
      <c r="G67">
        <f t="shared" ref="G67:G130" ca="1" si="7">CELL("row",D67)-2</f>
        <v>65</v>
      </c>
      <c r="H67">
        <f t="shared" ref="H67:H130" ca="1" si="8">D67*G67</f>
        <v>5045.6381260096932</v>
      </c>
      <c r="I67">
        <f t="shared" ref="I67:I130" ca="1" si="9">D67*((G67-$L$1)^2)</f>
        <v>33370.177522378341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146527</v>
      </c>
      <c r="B69" s="66">
        <v>146527</v>
      </c>
      <c r="D69">
        <f t="shared" si="5"/>
        <v>82.767716935729865</v>
      </c>
      <c r="E69">
        <f t="shared" si="6"/>
        <v>82.767716935729865</v>
      </c>
      <c r="G69">
        <f t="shared" ca="1" si="7"/>
        <v>67</v>
      </c>
      <c r="H69">
        <f t="shared" ca="1" si="8"/>
        <v>5545.4370346939013</v>
      </c>
      <c r="I69">
        <f t="shared" ca="1" si="9"/>
        <v>29047.615108804006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149028</v>
      </c>
      <c r="B72" s="66">
        <v>149028</v>
      </c>
      <c r="D72">
        <f t="shared" si="5"/>
        <v>84.180439915496464</v>
      </c>
      <c r="E72">
        <f t="shared" si="6"/>
        <v>84.180439915496464</v>
      </c>
      <c r="G72">
        <f t="shared" ca="1" si="7"/>
        <v>70</v>
      </c>
      <c r="H72">
        <f t="shared" ca="1" si="8"/>
        <v>5892.6307940847528</v>
      </c>
      <c r="I72">
        <f t="shared" ca="1" si="9"/>
        <v>20838.946454445289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161842</v>
      </c>
      <c r="B75" s="66">
        <v>161842</v>
      </c>
      <c r="D75">
        <f t="shared" si="5"/>
        <v>91.418597557531328</v>
      </c>
      <c r="E75">
        <f t="shared" si="6"/>
        <v>91.418597557531328</v>
      </c>
      <c r="G75">
        <f t="shared" ca="1" si="7"/>
        <v>73</v>
      </c>
      <c r="H75">
        <f t="shared" ca="1" si="8"/>
        <v>6673.557621699787</v>
      </c>
      <c r="I75">
        <f t="shared" ca="1" si="9"/>
        <v>14823.38158657253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165444</v>
      </c>
      <c r="B77" s="66">
        <v>165444</v>
      </c>
      <c r="D77">
        <f t="shared" si="5"/>
        <v>93.45323497181333</v>
      </c>
      <c r="E77">
        <f t="shared" si="6"/>
        <v>93.45323497181333</v>
      </c>
      <c r="G77">
        <f t="shared" ca="1" si="7"/>
        <v>75</v>
      </c>
      <c r="H77">
        <f t="shared" ca="1" si="8"/>
        <v>7008.9926228859995</v>
      </c>
      <c r="I77">
        <f t="shared" ca="1" si="9"/>
        <v>10767.0667310438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175407</v>
      </c>
      <c r="B80" s="66">
        <v>175407</v>
      </c>
      <c r="D80">
        <f t="shared" si="5"/>
        <v>99.080967497768796</v>
      </c>
      <c r="E80">
        <f t="shared" si="6"/>
        <v>99.080967497768796</v>
      </c>
      <c r="G80">
        <f t="shared" ca="1" si="7"/>
        <v>78</v>
      </c>
      <c r="H80">
        <f t="shared" ca="1" si="8"/>
        <v>7728.315464825966</v>
      </c>
      <c r="I80">
        <f t="shared" ca="1" si="9"/>
        <v>5926.122902593982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170805</v>
      </c>
      <c r="B82" s="66">
        <v>170805</v>
      </c>
      <c r="D82">
        <f t="shared" si="5"/>
        <v>96.481466836878795</v>
      </c>
      <c r="E82">
        <f t="shared" si="6"/>
        <v>96.481466836878795</v>
      </c>
      <c r="G82">
        <f t="shared" ca="1" si="7"/>
        <v>80</v>
      </c>
      <c r="H82">
        <f t="shared" ca="1" si="8"/>
        <v>7718.5173469503034</v>
      </c>
      <c r="I82">
        <f t="shared" ca="1" si="9"/>
        <v>3171.9155506001007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177034</v>
      </c>
      <c r="B85" s="66">
        <v>177034</v>
      </c>
      <c r="D85">
        <f t="shared" si="5"/>
        <v>100</v>
      </c>
      <c r="E85">
        <f t="shared" si="6"/>
        <v>100</v>
      </c>
      <c r="G85">
        <f t="shared" ca="1" si="7"/>
        <v>83</v>
      </c>
      <c r="H85">
        <f t="shared" ca="1" si="8"/>
        <v>8300</v>
      </c>
      <c r="I85">
        <f t="shared" ca="1" si="9"/>
        <v>747.33967235334148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173980</v>
      </c>
      <c r="B88" s="66">
        <v>173980</v>
      </c>
      <c r="D88">
        <f t="shared" si="5"/>
        <v>98.274907644859184</v>
      </c>
      <c r="E88">
        <f t="shared" si="6"/>
        <v>98.274907644859184</v>
      </c>
      <c r="G88">
        <f t="shared" ca="1" si="7"/>
        <v>86</v>
      </c>
      <c r="H88">
        <f t="shared" ca="1" si="8"/>
        <v>8451.6420574578897</v>
      </c>
      <c r="I88">
        <f t="shared" ca="1" si="9"/>
        <v>6.9665427439526031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161381</v>
      </c>
      <c r="B90" s="66">
        <v>161381</v>
      </c>
      <c r="D90">
        <f t="shared" si="5"/>
        <v>91.158195600845033</v>
      </c>
      <c r="E90">
        <f t="shared" si="6"/>
        <v>91.158195600845033</v>
      </c>
      <c r="G90">
        <f t="shared" ca="1" si="7"/>
        <v>88</v>
      </c>
      <c r="H90">
        <f t="shared" ca="1" si="8"/>
        <v>8021.9212128743629</v>
      </c>
      <c r="I90">
        <f t="shared" ca="1" si="9"/>
        <v>468.17780080588795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162523</v>
      </c>
      <c r="B93" s="66">
        <v>162523</v>
      </c>
      <c r="D93">
        <f t="shared" si="5"/>
        <v>91.803269428471367</v>
      </c>
      <c r="E93">
        <f t="shared" si="6"/>
        <v>91.803269428471367</v>
      </c>
      <c r="G93">
        <f t="shared" ca="1" si="7"/>
        <v>91</v>
      </c>
      <c r="H93">
        <f t="shared" ca="1" si="8"/>
        <v>8354.0975179908946</v>
      </c>
      <c r="I93">
        <f t="shared" ca="1" si="9"/>
        <v>2546.0144334293036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159935</v>
      </c>
      <c r="B95" s="66">
        <v>159935</v>
      </c>
      <c r="D95">
        <f t="shared" si="5"/>
        <v>90.341403346249876</v>
      </c>
      <c r="E95">
        <f t="shared" si="6"/>
        <v>90.341403346249876</v>
      </c>
      <c r="G95">
        <f t="shared" ca="1" si="7"/>
        <v>93</v>
      </c>
      <c r="H95">
        <f t="shared" ca="1" si="8"/>
        <v>8401.7505112012386</v>
      </c>
      <c r="I95">
        <f t="shared" ca="1" si="9"/>
        <v>4769.8787227183275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150263</v>
      </c>
      <c r="B98" s="66">
        <v>150263</v>
      </c>
      <c r="D98">
        <f t="shared" si="5"/>
        <v>84.87804602505733</v>
      </c>
      <c r="E98">
        <f t="shared" si="6"/>
        <v>84.87804602505733</v>
      </c>
      <c r="G98">
        <f t="shared" ca="1" si="7"/>
        <v>96</v>
      </c>
      <c r="H98">
        <f t="shared" ca="1" si="8"/>
        <v>8148.2924184055037</v>
      </c>
      <c r="I98">
        <f t="shared" ca="1" si="9"/>
        <v>8945.7946807551143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141956</v>
      </c>
      <c r="B100" s="66">
        <v>141956</v>
      </c>
      <c r="D100">
        <f t="shared" si="5"/>
        <v>80.185727035484703</v>
      </c>
      <c r="E100">
        <f t="shared" si="6"/>
        <v>80.185727035484703</v>
      </c>
      <c r="G100">
        <f t="shared" ca="1" si="7"/>
        <v>98</v>
      </c>
      <c r="H100">
        <f t="shared" ca="1" si="8"/>
        <v>7858.2012494775008</v>
      </c>
      <c r="I100">
        <f t="shared" ca="1" si="9"/>
        <v>12064.813023513285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133558</v>
      </c>
      <c r="B103" s="66">
        <v>133558</v>
      </c>
      <c r="D103">
        <f t="shared" si="5"/>
        <v>75.442005490470763</v>
      </c>
      <c r="E103">
        <f t="shared" si="6"/>
        <v>75.442005490470763</v>
      </c>
      <c r="G103">
        <f t="shared" ca="1" si="7"/>
        <v>101</v>
      </c>
      <c r="H103">
        <f t="shared" ca="1" si="8"/>
        <v>7619.6425545375469</v>
      </c>
      <c r="I103">
        <f t="shared" ca="1" si="9"/>
        <v>17582.389039695627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127686</v>
      </c>
      <c r="B106" s="66">
        <v>127686</v>
      </c>
      <c r="D106">
        <f t="shared" si="5"/>
        <v>72.125128506388606</v>
      </c>
      <c r="E106">
        <f t="shared" si="6"/>
        <v>72.125128506388606</v>
      </c>
      <c r="G106">
        <f t="shared" ca="1" si="7"/>
        <v>104</v>
      </c>
      <c r="H106">
        <f t="shared" ca="1" si="8"/>
        <v>7501.0133646644153</v>
      </c>
      <c r="I106">
        <f t="shared" ca="1" si="9"/>
        <v>24064.970183522881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114691</v>
      </c>
      <c r="B108" s="66">
        <v>114691</v>
      </c>
      <c r="D108">
        <f t="shared" si="5"/>
        <v>64.784730616717695</v>
      </c>
      <c r="E108">
        <f t="shared" si="6"/>
        <v>64.784730616717695</v>
      </c>
      <c r="G108">
        <f t="shared" ca="1" si="7"/>
        <v>106</v>
      </c>
      <c r="H108">
        <f t="shared" ca="1" si="8"/>
        <v>6867.1814453720754</v>
      </c>
      <c r="I108">
        <f t="shared" ca="1" si="9"/>
        <v>26608.438477194177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101823</v>
      </c>
      <c r="B111" s="66">
        <v>101823</v>
      </c>
      <c r="D111">
        <f t="shared" si="5"/>
        <v>57.516070359365997</v>
      </c>
      <c r="E111">
        <f t="shared" si="6"/>
        <v>57.516070359365997</v>
      </c>
      <c r="G111">
        <f t="shared" ca="1" si="7"/>
        <v>109</v>
      </c>
      <c r="H111">
        <f t="shared" ca="1" si="8"/>
        <v>6269.2516691708934</v>
      </c>
      <c r="I111">
        <f t="shared" ca="1" si="9"/>
        <v>31134.502802027182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83403</v>
      </c>
      <c r="B113" s="66">
        <v>83403</v>
      </c>
      <c r="D113">
        <f t="shared" si="5"/>
        <v>47.111289356846704</v>
      </c>
      <c r="E113">
        <f t="shared" si="6"/>
        <v>47.111289356846704</v>
      </c>
      <c r="G113">
        <f t="shared" ca="1" si="7"/>
        <v>111</v>
      </c>
      <c r="H113">
        <f t="shared" ca="1" si="8"/>
        <v>5229.3531186099844</v>
      </c>
      <c r="I113">
        <f t="shared" ca="1" si="9"/>
        <v>30075.061226972339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72905</v>
      </c>
      <c r="B116" s="66">
        <v>72905</v>
      </c>
      <c r="D116">
        <f t="shared" si="5"/>
        <v>41.181354993955964</v>
      </c>
      <c r="E116">
        <f t="shared" si="6"/>
        <v>41.181354993955964</v>
      </c>
      <c r="G116">
        <f t="shared" ca="1" si="7"/>
        <v>114</v>
      </c>
      <c r="H116">
        <f t="shared" ca="1" si="8"/>
        <v>4694.6744693109795</v>
      </c>
      <c r="I116">
        <f t="shared" ca="1" si="9"/>
        <v>32903.112363769389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70980</v>
      </c>
      <c r="B118" s="66">
        <v>70980</v>
      </c>
      <c r="D118">
        <f t="shared" si="5"/>
        <v>40.09399324423557</v>
      </c>
      <c r="E118">
        <f t="shared" si="6"/>
        <v>40.09399324423557</v>
      </c>
      <c r="G118">
        <f t="shared" ca="1" si="7"/>
        <v>116</v>
      </c>
      <c r="H118">
        <f t="shared" ca="1" si="8"/>
        <v>4650.9032163313259</v>
      </c>
      <c r="I118">
        <f t="shared" ca="1" si="9"/>
        <v>36727.934286796946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69581</v>
      </c>
      <c r="B121" s="66">
        <v>69581</v>
      </c>
      <c r="D121">
        <f t="shared" si="5"/>
        <v>39.303749562230983</v>
      </c>
      <c r="E121">
        <f t="shared" si="6"/>
        <v>39.303749562230983</v>
      </c>
      <c r="G121">
        <f t="shared" ca="1" si="7"/>
        <v>119</v>
      </c>
      <c r="H121">
        <f t="shared" ca="1" si="8"/>
        <v>4677.1461979054866</v>
      </c>
      <c r="I121">
        <f t="shared" ca="1" si="9"/>
        <v>43495.230954319879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68994</v>
      </c>
      <c r="B124" s="66">
        <v>68994</v>
      </c>
      <c r="D124">
        <f t="shared" si="5"/>
        <v>38.972174836472092</v>
      </c>
      <c r="E124">
        <f t="shared" si="6"/>
        <v>38.972174836472092</v>
      </c>
      <c r="G124">
        <f t="shared" ca="1" si="7"/>
        <v>122</v>
      </c>
      <c r="H124">
        <f t="shared" ca="1" si="8"/>
        <v>4754.6053300495951</v>
      </c>
      <c r="I124">
        <f t="shared" ca="1" si="9"/>
        <v>51257.793919795018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60380</v>
      </c>
      <c r="B126" s="66">
        <v>60380</v>
      </c>
      <c r="D126">
        <f t="shared" si="5"/>
        <v>34.106442830190808</v>
      </c>
      <c r="E126">
        <f t="shared" si="6"/>
        <v>34.106442830190808</v>
      </c>
      <c r="G126">
        <f t="shared" ca="1" si="7"/>
        <v>124</v>
      </c>
      <c r="H126">
        <f t="shared" ca="1" si="8"/>
        <v>4229.1989109436599</v>
      </c>
      <c r="I126">
        <f t="shared" ca="1" si="9"/>
        <v>49942.261433751883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58778</v>
      </c>
      <c r="B129" s="66">
        <v>58778</v>
      </c>
      <c r="D129">
        <f t="shared" si="5"/>
        <v>33.201531909124803</v>
      </c>
      <c r="E129">
        <f t="shared" si="6"/>
        <v>33.201531909124803</v>
      </c>
      <c r="G129">
        <f t="shared" ca="1" si="7"/>
        <v>127</v>
      </c>
      <c r="H129">
        <f t="shared" ca="1" si="8"/>
        <v>4216.5945524588496</v>
      </c>
      <c r="I129">
        <f t="shared" ca="1" si="9"/>
        <v>56538.997370554389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48912</v>
      </c>
      <c r="B131" s="66">
        <v>48912</v>
      </c>
      <c r="D131">
        <f t="shared" ref="D131:D194" si="10">IFERROR(100*A131/MAX(A$2:A$257), 0 )</f>
        <v>27.628591118090309</v>
      </c>
      <c r="E131">
        <f t="shared" ref="E131:E194" si="11">IFERROR(100*B131/MAX(B$2:B$257), 0 )</f>
        <v>27.628591118090309</v>
      </c>
      <c r="G131">
        <f t="shared" ref="G131:G194" ca="1" si="12">CELL("row",D131)-2</f>
        <v>129</v>
      </c>
      <c r="H131">
        <f t="shared" ref="H131:H194" ca="1" si="13">D131*G131</f>
        <v>3564.0882542336499</v>
      </c>
      <c r="I131">
        <f t="shared" ref="I131:I194" ca="1" si="14">D131*((G131-$L$1)^2)</f>
        <v>51719.845857462577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40509</v>
      </c>
      <c r="B134" s="66">
        <v>40509</v>
      </c>
      <c r="D134">
        <f t="shared" si="10"/>
        <v>22.88204525684332</v>
      </c>
      <c r="E134">
        <f t="shared" si="11"/>
        <v>22.88204525684332</v>
      </c>
      <c r="G134">
        <f t="shared" ca="1" si="12"/>
        <v>132</v>
      </c>
      <c r="H134">
        <f t="shared" ca="1" si="13"/>
        <v>3020.4299739033181</v>
      </c>
      <c r="I134">
        <f t="shared" ca="1" si="14"/>
        <v>48980.522581987883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34615</v>
      </c>
      <c r="B136" s="66">
        <v>34615</v>
      </c>
      <c r="D136">
        <f t="shared" si="10"/>
        <v>19.552741281335788</v>
      </c>
      <c r="E136">
        <f t="shared" si="11"/>
        <v>19.552741281335788</v>
      </c>
      <c r="G136">
        <f t="shared" ca="1" si="12"/>
        <v>134</v>
      </c>
      <c r="H136">
        <f t="shared" ca="1" si="13"/>
        <v>2620.0673316989955</v>
      </c>
      <c r="I136">
        <f t="shared" ca="1" si="14"/>
        <v>45550.667410127608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32624</v>
      </c>
      <c r="B139" s="66">
        <v>32624</v>
      </c>
      <c r="D139">
        <f t="shared" si="10"/>
        <v>18.428098557339268</v>
      </c>
      <c r="E139">
        <f t="shared" si="11"/>
        <v>18.428098557339268</v>
      </c>
      <c r="G139">
        <f t="shared" ca="1" si="12"/>
        <v>137</v>
      </c>
      <c r="H139">
        <f t="shared" ca="1" si="13"/>
        <v>2524.6495023554799</v>
      </c>
      <c r="I139">
        <f t="shared" ca="1" si="14"/>
        <v>48433.249137313018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28497</v>
      </c>
      <c r="B142" s="66">
        <v>28497</v>
      </c>
      <c r="D142">
        <f t="shared" si="10"/>
        <v>16.096907938588068</v>
      </c>
      <c r="E142">
        <f t="shared" si="11"/>
        <v>16.096907938588068</v>
      </c>
      <c r="G142">
        <f t="shared" ca="1" si="12"/>
        <v>140</v>
      </c>
      <c r="H142">
        <f t="shared" ca="1" si="13"/>
        <v>2253.5671114023294</v>
      </c>
      <c r="I142">
        <f t="shared" ca="1" si="14"/>
        <v>47402.588783470121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21965</v>
      </c>
      <c r="B144" s="66">
        <v>21965</v>
      </c>
      <c r="D144">
        <f t="shared" si="10"/>
        <v>12.407221211744636</v>
      </c>
      <c r="E144">
        <f t="shared" si="11"/>
        <v>12.407221211744636</v>
      </c>
      <c r="G144">
        <f t="shared" ca="1" si="12"/>
        <v>142</v>
      </c>
      <c r="H144">
        <f t="shared" ca="1" si="13"/>
        <v>1761.8254120677384</v>
      </c>
      <c r="I144">
        <f t="shared" ca="1" si="14"/>
        <v>39279.906636475578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15225</v>
      </c>
      <c r="B147" s="66">
        <v>15225</v>
      </c>
      <c r="D147">
        <f t="shared" si="10"/>
        <v>8.600042929606742</v>
      </c>
      <c r="E147">
        <f t="shared" si="11"/>
        <v>8.600042929606742</v>
      </c>
      <c r="G147">
        <f t="shared" ca="1" si="12"/>
        <v>145</v>
      </c>
      <c r="H147">
        <f t="shared" ca="1" si="13"/>
        <v>1247.0062247929775</v>
      </c>
      <c r="I147">
        <f t="shared" ca="1" si="14"/>
        <v>30207.549507326567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10178</v>
      </c>
      <c r="B149" s="66">
        <v>10178</v>
      </c>
      <c r="D149">
        <f t="shared" si="10"/>
        <v>5.7491781239761854</v>
      </c>
      <c r="E149">
        <f t="shared" si="11"/>
        <v>5.7491781239761854</v>
      </c>
      <c r="G149">
        <f t="shared" ca="1" si="12"/>
        <v>147</v>
      </c>
      <c r="H149">
        <f t="shared" ca="1" si="13"/>
        <v>845.12918422449923</v>
      </c>
      <c r="I149">
        <f t="shared" ca="1" si="14"/>
        <v>21579.846044487625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8021</v>
      </c>
      <c r="B152" s="66">
        <v>8021</v>
      </c>
      <c r="D152">
        <f t="shared" si="10"/>
        <v>4.5307681010427379</v>
      </c>
      <c r="E152">
        <f t="shared" si="11"/>
        <v>4.5307681010427379</v>
      </c>
      <c r="G152">
        <f t="shared" ca="1" si="12"/>
        <v>150</v>
      </c>
      <c r="H152">
        <f t="shared" ca="1" si="13"/>
        <v>679.61521515641073</v>
      </c>
      <c r="I152">
        <f t="shared" ca="1" si="14"/>
        <v>18712.755084670684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5739</v>
      </c>
      <c r="B154" s="66">
        <v>5739</v>
      </c>
      <c r="D154">
        <f t="shared" si="10"/>
        <v>3.2417501722832904</v>
      </c>
      <c r="E154">
        <f t="shared" si="11"/>
        <v>3.2417501722832904</v>
      </c>
      <c r="G154">
        <f t="shared" ca="1" si="12"/>
        <v>152</v>
      </c>
      <c r="H154">
        <f t="shared" ca="1" si="13"/>
        <v>492.74602618706012</v>
      </c>
      <c r="I154">
        <f t="shared" ca="1" si="14"/>
        <v>14235.224262896088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3013</v>
      </c>
      <c r="B157" s="66">
        <v>3013</v>
      </c>
      <c r="D157">
        <f t="shared" si="10"/>
        <v>1.7019329620298926</v>
      </c>
      <c r="E157">
        <f t="shared" si="11"/>
        <v>1.7019329620298926</v>
      </c>
      <c r="G157">
        <f t="shared" ca="1" si="12"/>
        <v>155</v>
      </c>
      <c r="H157">
        <f t="shared" ca="1" si="13"/>
        <v>263.79960911463337</v>
      </c>
      <c r="I157">
        <f t="shared" ca="1" si="14"/>
        <v>8165.5564221499289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2170</v>
      </c>
      <c r="B160" s="66">
        <v>2170</v>
      </c>
      <c r="D160">
        <f t="shared" si="10"/>
        <v>1.2257532451393518</v>
      </c>
      <c r="E160">
        <f t="shared" si="11"/>
        <v>1.2257532451393518</v>
      </c>
      <c r="G160">
        <f t="shared" ca="1" si="12"/>
        <v>158</v>
      </c>
      <c r="H160">
        <f t="shared" ca="1" si="13"/>
        <v>193.66901273201759</v>
      </c>
      <c r="I160">
        <f t="shared" ca="1" si="14"/>
        <v>6401.3868464821599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3537</v>
      </c>
      <c r="B162" s="66">
        <v>3537</v>
      </c>
      <c r="D162">
        <f t="shared" si="10"/>
        <v>1.9979213032524825</v>
      </c>
      <c r="E162">
        <f t="shared" si="11"/>
        <v>1.9979213032524825</v>
      </c>
      <c r="G162">
        <f t="shared" ca="1" si="12"/>
        <v>160</v>
      </c>
      <c r="H162">
        <f t="shared" ca="1" si="13"/>
        <v>319.6674085203972</v>
      </c>
      <c r="I162">
        <f t="shared" ca="1" si="14"/>
        <v>11019.48636052015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2389</v>
      </c>
      <c r="B165" s="66">
        <v>2389</v>
      </c>
      <c r="D165">
        <f t="shared" si="10"/>
        <v>1.3494582961465029</v>
      </c>
      <c r="E165">
        <f t="shared" si="11"/>
        <v>1.3494582961465029</v>
      </c>
      <c r="G165">
        <f t="shared" ca="1" si="12"/>
        <v>163</v>
      </c>
      <c r="H165">
        <f t="shared" ca="1" si="13"/>
        <v>219.96170227187997</v>
      </c>
      <c r="I165">
        <f t="shared" ca="1" si="14"/>
        <v>8056.3647712755173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1736</v>
      </c>
      <c r="B167" s="66">
        <v>1736</v>
      </c>
      <c r="D167">
        <f t="shared" si="10"/>
        <v>0.98060259611148137</v>
      </c>
      <c r="E167">
        <f t="shared" si="11"/>
        <v>0.98060259611148137</v>
      </c>
      <c r="G167">
        <f t="shared" ca="1" si="12"/>
        <v>165</v>
      </c>
      <c r="H167">
        <f t="shared" ca="1" si="13"/>
        <v>161.79942835839444</v>
      </c>
      <c r="I167">
        <f t="shared" ca="1" si="14"/>
        <v>6161.2615982163579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726</v>
      </c>
      <c r="B170" s="66">
        <v>726</v>
      </c>
      <c r="D170">
        <f t="shared" si="10"/>
        <v>0.41009071703740524</v>
      </c>
      <c r="E170">
        <f t="shared" si="11"/>
        <v>0.41009071703740524</v>
      </c>
      <c r="G170">
        <f t="shared" ca="1" si="12"/>
        <v>168</v>
      </c>
      <c r="H170">
        <f t="shared" ca="1" si="13"/>
        <v>68.895240462284079</v>
      </c>
      <c r="I170">
        <f t="shared" ca="1" si="14"/>
        <v>2775.3855689222682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399</v>
      </c>
      <c r="B173" s="66">
        <v>399</v>
      </c>
      <c r="D173">
        <f t="shared" si="10"/>
        <v>0.22538043539659047</v>
      </c>
      <c r="E173">
        <f t="shared" si="11"/>
        <v>0.22538043539659047</v>
      </c>
      <c r="G173">
        <f t="shared" ca="1" si="12"/>
        <v>171</v>
      </c>
      <c r="H173">
        <f t="shared" ca="1" si="13"/>
        <v>38.540054452816968</v>
      </c>
      <c r="I173">
        <f t="shared" ca="1" si="14"/>
        <v>1638.5908508507971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496</v>
      </c>
      <c r="B175" s="66">
        <v>496</v>
      </c>
      <c r="D175">
        <f t="shared" si="10"/>
        <v>0.28017217031756614</v>
      </c>
      <c r="E175">
        <f t="shared" si="11"/>
        <v>0.28017217031756614</v>
      </c>
      <c r="G175">
        <f t="shared" ca="1" si="12"/>
        <v>173</v>
      </c>
      <c r="H175">
        <f t="shared" ca="1" si="13"/>
        <v>48.469785464938944</v>
      </c>
      <c r="I175">
        <f t="shared" ca="1" si="14"/>
        <v>2133.6226259793143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117</v>
      </c>
      <c r="B178" s="66">
        <v>117</v>
      </c>
      <c r="D178">
        <f t="shared" si="10"/>
        <v>6.6088999853135558E-2</v>
      </c>
      <c r="E178">
        <f t="shared" si="11"/>
        <v>6.6088999853135558E-2</v>
      </c>
      <c r="G178">
        <f t="shared" ca="1" si="12"/>
        <v>176</v>
      </c>
      <c r="H178">
        <f t="shared" ca="1" si="13"/>
        <v>11.631663974151857</v>
      </c>
      <c r="I178">
        <f t="shared" ca="1" si="14"/>
        <v>538.49288239765053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351</v>
      </c>
      <c r="B1" s="68" t="s">
        <v>352</v>
      </c>
      <c r="C1" s="32" t="s">
        <v>353</v>
      </c>
      <c r="D1" s="32" t="s">
        <v>354</v>
      </c>
      <c r="E1" s="32" t="s">
        <v>355</v>
      </c>
    </row>
    <row r="2" spans="1:5">
      <c r="A2" s="68">
        <v>0.11573</v>
      </c>
      <c r="B2" s="68">
        <v>0.76609499999999997</v>
      </c>
      <c r="C2" s="68">
        <v>0</v>
      </c>
      <c r="D2" s="68">
        <v>1</v>
      </c>
      <c r="E2" s="68" t="s">
        <v>356</v>
      </c>
    </row>
    <row r="3" spans="1:5">
      <c r="A3" s="68">
        <v>0.11809500000000001</v>
      </c>
      <c r="B3" s="68">
        <v>0.76090899999999995</v>
      </c>
      <c r="C3" s="68">
        <v>0.37840800000000002</v>
      </c>
      <c r="D3" s="89">
        <v>1</v>
      </c>
      <c r="E3" s="68" t="s">
        <v>357</v>
      </c>
    </row>
    <row r="4" spans="1:5">
      <c r="A4" s="68">
        <v>0.120874</v>
      </c>
      <c r="B4" s="68">
        <v>0.75369900000000001</v>
      </c>
      <c r="C4" s="68">
        <v>0.78430200000000005</v>
      </c>
      <c r="D4" s="89">
        <v>1</v>
      </c>
      <c r="E4" s="68" t="s">
        <v>358</v>
      </c>
    </row>
    <row r="5" spans="1:5">
      <c r="A5" s="89">
        <v>0.124097</v>
      </c>
      <c r="B5" s="89">
        <v>0.74506600000000001</v>
      </c>
      <c r="C5" s="89">
        <v>1.1911799999999999</v>
      </c>
      <c r="D5" s="89">
        <v>1</v>
      </c>
      <c r="E5" s="68" t="s">
        <v>359</v>
      </c>
    </row>
    <row r="6" spans="1:5">
      <c r="A6" s="68">
        <v>0.12761400000000001</v>
      </c>
      <c r="B6" s="68">
        <v>0.73584700000000003</v>
      </c>
      <c r="C6" s="68">
        <v>1.59213</v>
      </c>
      <c r="D6" s="68">
        <v>1</v>
      </c>
      <c r="E6" s="68" t="s">
        <v>360</v>
      </c>
    </row>
    <row r="7" spans="1:5">
      <c r="A7" s="68">
        <v>0.13156899999999999</v>
      </c>
      <c r="B7" s="68">
        <v>0.72517799999999999</v>
      </c>
      <c r="C7" s="68">
        <v>2.00034</v>
      </c>
      <c r="D7" s="68">
        <v>1</v>
      </c>
      <c r="E7" s="68" t="s">
        <v>361</v>
      </c>
    </row>
    <row r="8" spans="1:5">
      <c r="A8" s="68">
        <v>0.135681</v>
      </c>
      <c r="B8" s="68">
        <v>0.71419200000000005</v>
      </c>
      <c r="C8" s="68">
        <v>2.4079600000000001</v>
      </c>
      <c r="D8" s="68">
        <v>1</v>
      </c>
      <c r="E8" s="68" t="s">
        <v>362</v>
      </c>
    </row>
    <row r="9" spans="1:5">
      <c r="A9" s="68">
        <v>0.13997799999999999</v>
      </c>
      <c r="B9" s="68">
        <v>0.70331600000000005</v>
      </c>
      <c r="C9" s="68">
        <v>2.8119000000000001</v>
      </c>
      <c r="D9" s="68">
        <v>1</v>
      </c>
      <c r="E9" s="68" t="s">
        <v>363</v>
      </c>
    </row>
    <row r="10" spans="1:5">
      <c r="A10" s="68">
        <v>0.14442099999999999</v>
      </c>
      <c r="B10" s="68">
        <v>0.692527</v>
      </c>
      <c r="C10" s="68">
        <v>3.2197900000000002</v>
      </c>
      <c r="D10" s="68">
        <v>1</v>
      </c>
      <c r="E10" s="68" t="s">
        <v>364</v>
      </c>
    </row>
    <row r="11" spans="1:5">
      <c r="A11" s="68">
        <v>0.148672</v>
      </c>
      <c r="B11" s="68">
        <v>0.68357100000000004</v>
      </c>
      <c r="C11" s="68">
        <v>3.6277200000000001</v>
      </c>
      <c r="D11" s="68">
        <v>1</v>
      </c>
      <c r="E11" s="68" t="s">
        <v>365</v>
      </c>
    </row>
    <row r="12" spans="1:5">
      <c r="A12" s="68">
        <v>0.152948</v>
      </c>
      <c r="B12" s="68">
        <v>0.67518400000000001</v>
      </c>
      <c r="C12" s="68">
        <v>4.0297000000000001</v>
      </c>
      <c r="D12" s="68">
        <v>1</v>
      </c>
      <c r="E12" s="68" t="s">
        <v>366</v>
      </c>
    </row>
    <row r="13" spans="1:5">
      <c r="A13" s="68">
        <v>0.15731500000000001</v>
      </c>
      <c r="B13" s="68">
        <v>0.66710700000000001</v>
      </c>
      <c r="C13" s="68">
        <v>4.4406499999999998</v>
      </c>
      <c r="D13" s="68">
        <v>1</v>
      </c>
      <c r="E13" s="68" t="s">
        <v>367</v>
      </c>
    </row>
    <row r="14" spans="1:5">
      <c r="A14" s="68">
        <v>0.16157199999999999</v>
      </c>
      <c r="B14" s="68">
        <v>0.65995899999999996</v>
      </c>
      <c r="C14" s="68">
        <v>4.84842</v>
      </c>
      <c r="D14" s="68">
        <v>1</v>
      </c>
      <c r="E14" s="68" t="s">
        <v>368</v>
      </c>
    </row>
    <row r="15" spans="1:5">
      <c r="A15" s="68">
        <v>0.165661</v>
      </c>
      <c r="B15" s="68">
        <v>0.65425</v>
      </c>
      <c r="C15" s="68">
        <v>5.2533500000000002</v>
      </c>
      <c r="D15" s="68">
        <v>1</v>
      </c>
      <c r="E15" s="68" t="s">
        <v>369</v>
      </c>
    </row>
    <row r="16" spans="1:5">
      <c r="A16" s="68">
        <v>0.169622</v>
      </c>
      <c r="B16" s="68">
        <v>0.64962600000000004</v>
      </c>
      <c r="C16" s="68">
        <v>5.6552199999999999</v>
      </c>
      <c r="D16" s="68">
        <v>1</v>
      </c>
      <c r="E16" s="68" t="s">
        <v>370</v>
      </c>
    </row>
    <row r="17" spans="1:5">
      <c r="A17" s="68">
        <v>0.17353499999999999</v>
      </c>
      <c r="B17" s="68">
        <v>0.64573499999999995</v>
      </c>
      <c r="C17" s="68">
        <v>6.0654000000000003</v>
      </c>
      <c r="D17" s="68">
        <v>1</v>
      </c>
      <c r="E17" s="68" t="s">
        <v>371</v>
      </c>
    </row>
    <row r="18" spans="1:5">
      <c r="A18" s="68">
        <v>0.17737800000000001</v>
      </c>
      <c r="B18" s="68">
        <v>0.64254199999999995</v>
      </c>
      <c r="C18" s="68">
        <v>6.4740799999999998</v>
      </c>
      <c r="D18" s="68">
        <v>1</v>
      </c>
      <c r="E18" s="68" t="s">
        <v>372</v>
      </c>
    </row>
    <row r="19" spans="1:5">
      <c r="A19" s="68">
        <v>0.18104700000000001</v>
      </c>
      <c r="B19" s="68">
        <v>0.64044999999999996</v>
      </c>
      <c r="C19" s="68">
        <v>6.8789899999999999</v>
      </c>
      <c r="D19" s="68">
        <v>1</v>
      </c>
      <c r="E19" s="68" t="s">
        <v>373</v>
      </c>
    </row>
    <row r="20" spans="1:5">
      <c r="A20" s="68">
        <v>0.18465899999999999</v>
      </c>
      <c r="B20" s="68">
        <v>0.63895000000000002</v>
      </c>
      <c r="C20" s="68">
        <v>7.2849000000000004</v>
      </c>
      <c r="D20" s="68">
        <v>1</v>
      </c>
      <c r="E20" s="68" t="s">
        <v>374</v>
      </c>
    </row>
    <row r="21" spans="1:5">
      <c r="A21" s="68">
        <v>0.188084</v>
      </c>
      <c r="B21" s="68">
        <v>0.63850799999999996</v>
      </c>
      <c r="C21" s="68">
        <v>7.68588</v>
      </c>
      <c r="D21" s="68">
        <v>1</v>
      </c>
      <c r="E21" s="68" t="s">
        <v>375</v>
      </c>
    </row>
    <row r="22" spans="1:5">
      <c r="A22" s="68">
        <v>0.191251</v>
      </c>
      <c r="B22" s="68">
        <v>0.63922999999999996</v>
      </c>
      <c r="C22" s="68">
        <v>8.0949600000000004</v>
      </c>
      <c r="D22" s="68">
        <v>1</v>
      </c>
      <c r="E22" s="68" t="s">
        <v>376</v>
      </c>
    </row>
    <row r="23" spans="1:5">
      <c r="A23" s="68">
        <v>0.194299</v>
      </c>
      <c r="B23" s="68">
        <v>0.64046700000000001</v>
      </c>
      <c r="C23" s="68">
        <v>8.5036400000000008</v>
      </c>
      <c r="D23" s="68">
        <v>1</v>
      </c>
      <c r="E23" s="68" t="s">
        <v>377</v>
      </c>
    </row>
    <row r="24" spans="1:5">
      <c r="A24" s="68">
        <v>0.19720799999999999</v>
      </c>
      <c r="B24" s="68">
        <v>0.64216799999999996</v>
      </c>
      <c r="C24" s="68">
        <v>8.9115800000000007</v>
      </c>
      <c r="D24" s="68">
        <v>1</v>
      </c>
      <c r="E24" s="68" t="s">
        <v>378</v>
      </c>
    </row>
    <row r="25" spans="1:5">
      <c r="A25" s="68">
        <v>0.19997599999999999</v>
      </c>
      <c r="B25" s="68">
        <v>0.64443899999999998</v>
      </c>
      <c r="C25" s="68">
        <v>9.3154699999999995</v>
      </c>
      <c r="D25" s="68">
        <v>1</v>
      </c>
      <c r="E25" s="68" t="s">
        <v>379</v>
      </c>
    </row>
    <row r="26" spans="1:5">
      <c r="A26" s="68">
        <v>0.202649</v>
      </c>
      <c r="B26" s="68">
        <v>0.64709799999999995</v>
      </c>
      <c r="C26" s="68">
        <v>9.7166499999999996</v>
      </c>
      <c r="D26" s="68">
        <v>1</v>
      </c>
      <c r="E26" s="68" t="s">
        <v>380</v>
      </c>
    </row>
    <row r="27" spans="1:5">
      <c r="A27" s="68">
        <v>0.20518</v>
      </c>
      <c r="B27" s="68">
        <v>0.64950699999999995</v>
      </c>
      <c r="C27" s="68">
        <v>10.1243</v>
      </c>
      <c r="D27" s="68">
        <v>1</v>
      </c>
      <c r="E27" s="68" t="s">
        <v>381</v>
      </c>
    </row>
    <row r="28" spans="1:5">
      <c r="A28" s="68">
        <v>0.20752300000000001</v>
      </c>
      <c r="B28" s="68">
        <v>0.651258</v>
      </c>
      <c r="C28" s="68">
        <v>10.5352</v>
      </c>
      <c r="D28" s="68">
        <v>1</v>
      </c>
      <c r="E28" s="68" t="s">
        <v>382</v>
      </c>
    </row>
    <row r="29" spans="1:5">
      <c r="A29" s="68">
        <v>0.20972499999999999</v>
      </c>
      <c r="B29" s="68">
        <v>0.65241700000000002</v>
      </c>
      <c r="C29" s="68">
        <v>10.9391</v>
      </c>
      <c r="D29" s="68">
        <v>1</v>
      </c>
      <c r="E29" s="68" t="s">
        <v>383</v>
      </c>
    </row>
    <row r="30" spans="1:5">
      <c r="A30" s="68">
        <v>0.21176900000000001</v>
      </c>
      <c r="B30" s="68">
        <v>0.65275000000000005</v>
      </c>
      <c r="C30" s="68">
        <v>11.3498</v>
      </c>
      <c r="D30" s="68">
        <v>1</v>
      </c>
      <c r="E30" s="68" t="s">
        <v>384</v>
      </c>
    </row>
    <row r="31" spans="1:5">
      <c r="A31" s="68">
        <v>0.213723</v>
      </c>
      <c r="B31" s="68">
        <v>0.65241400000000005</v>
      </c>
      <c r="C31" s="68">
        <v>11.7529</v>
      </c>
      <c r="D31" s="68">
        <v>1</v>
      </c>
      <c r="E31" s="68" t="s">
        <v>385</v>
      </c>
    </row>
    <row r="32" spans="1:5">
      <c r="A32" s="68">
        <v>0.21543399999999999</v>
      </c>
      <c r="B32" s="68">
        <v>0.65147299999999997</v>
      </c>
      <c r="C32" s="68">
        <v>12.157299999999999</v>
      </c>
      <c r="D32" s="68">
        <v>1</v>
      </c>
      <c r="E32" s="68" t="s">
        <v>386</v>
      </c>
    </row>
    <row r="33" spans="1:5">
      <c r="A33" s="68">
        <v>0.21703500000000001</v>
      </c>
      <c r="B33" s="68">
        <v>0.65035399999999999</v>
      </c>
      <c r="C33" s="68">
        <v>12.5662</v>
      </c>
      <c r="D33" s="68">
        <v>1</v>
      </c>
      <c r="E33" s="68" t="s">
        <v>387</v>
      </c>
    </row>
    <row r="34" spans="1:5">
      <c r="A34" s="68">
        <v>0.218638</v>
      </c>
      <c r="B34" s="68">
        <v>0.648787</v>
      </c>
      <c r="C34" s="68">
        <v>12.972899999999999</v>
      </c>
      <c r="D34" s="68">
        <v>1</v>
      </c>
      <c r="E34" s="68" t="s">
        <v>388</v>
      </c>
    </row>
    <row r="35" spans="1:5">
      <c r="A35" s="68">
        <v>0.22014900000000001</v>
      </c>
      <c r="B35" s="68">
        <v>0.64706300000000005</v>
      </c>
      <c r="C35" s="68">
        <v>13.3756</v>
      </c>
      <c r="D35" s="68">
        <v>1</v>
      </c>
      <c r="E35" s="68" t="s">
        <v>389</v>
      </c>
    </row>
    <row r="36" spans="1:5">
      <c r="A36" s="68">
        <v>0.22195400000000001</v>
      </c>
      <c r="B36" s="68">
        <v>0.64463899999999996</v>
      </c>
      <c r="C36" s="68">
        <v>13.782500000000001</v>
      </c>
      <c r="D36" s="68">
        <v>1</v>
      </c>
      <c r="E36" s="68" t="s">
        <v>390</v>
      </c>
    </row>
    <row r="37" spans="1:5">
      <c r="A37" s="68">
        <v>0.223717</v>
      </c>
      <c r="B37" s="68">
        <v>0.64238399999999996</v>
      </c>
      <c r="C37" s="68">
        <v>14.1896</v>
      </c>
      <c r="D37" s="68">
        <v>1</v>
      </c>
      <c r="E37" s="68" t="s">
        <v>391</v>
      </c>
    </row>
    <row r="38" spans="1:5">
      <c r="A38" s="68">
        <v>0.22522500000000001</v>
      </c>
      <c r="B38" s="68">
        <v>0.64063099999999995</v>
      </c>
      <c r="C38" s="68">
        <v>14.597799999999999</v>
      </c>
      <c r="D38" s="68">
        <v>1</v>
      </c>
      <c r="E38" s="68" t="s">
        <v>392</v>
      </c>
    </row>
    <row r="39" spans="1:5">
      <c r="A39" s="68">
        <v>0.22659099999999999</v>
      </c>
      <c r="B39" s="68">
        <v>0.63945600000000002</v>
      </c>
      <c r="C39" s="68">
        <v>15.0022</v>
      </c>
      <c r="D39" s="68">
        <v>1</v>
      </c>
      <c r="E39" s="68" t="s">
        <v>393</v>
      </c>
    </row>
    <row r="40" spans="1:5">
      <c r="A40" s="68">
        <v>0.228021</v>
      </c>
      <c r="B40" s="68">
        <v>0.63802999999999999</v>
      </c>
      <c r="C40" s="68">
        <v>15.4056</v>
      </c>
      <c r="D40" s="68">
        <v>1</v>
      </c>
      <c r="E40" s="68" t="s">
        <v>394</v>
      </c>
    </row>
    <row r="41" spans="1:5">
      <c r="A41" s="68">
        <v>0.229463</v>
      </c>
      <c r="B41" s="68">
        <v>0.63659299999999996</v>
      </c>
      <c r="C41" s="68">
        <v>15.813000000000001</v>
      </c>
      <c r="D41" s="68">
        <v>1</v>
      </c>
      <c r="E41" s="68" t="s">
        <v>395</v>
      </c>
    </row>
    <row r="42" spans="1:5">
      <c r="A42" s="68">
        <v>0.230825</v>
      </c>
      <c r="B42" s="68">
        <v>0.63518200000000002</v>
      </c>
      <c r="C42" s="68">
        <v>16.217199999999998</v>
      </c>
      <c r="D42" s="68">
        <v>1</v>
      </c>
      <c r="E42" s="68" t="s">
        <v>396</v>
      </c>
    </row>
    <row r="43" spans="1:5">
      <c r="A43" s="68">
        <v>0.23202</v>
      </c>
      <c r="B43" s="68">
        <v>0.63407000000000002</v>
      </c>
      <c r="C43" s="68">
        <v>16.6251</v>
      </c>
      <c r="D43" s="68">
        <v>1</v>
      </c>
      <c r="E43" s="68" t="s">
        <v>397</v>
      </c>
    </row>
    <row r="44" spans="1:5">
      <c r="A44" s="68">
        <v>0.23319799999999999</v>
      </c>
      <c r="B44" s="68">
        <v>0.63297099999999995</v>
      </c>
      <c r="C44" s="68">
        <v>17.0337</v>
      </c>
      <c r="D44" s="68">
        <v>1</v>
      </c>
      <c r="E44" s="68" t="s">
        <v>398</v>
      </c>
    </row>
    <row r="45" spans="1:5">
      <c r="A45" s="68">
        <v>0.23427300000000001</v>
      </c>
      <c r="B45" s="68">
        <v>0.63173299999999999</v>
      </c>
      <c r="C45" s="68">
        <v>17.4377</v>
      </c>
      <c r="D45" s="68">
        <v>1</v>
      </c>
      <c r="E45" s="68" t="s">
        <v>399</v>
      </c>
    </row>
    <row r="46" spans="1:5">
      <c r="A46" s="68">
        <v>0.235342</v>
      </c>
      <c r="B46" s="68">
        <v>0.63030699999999995</v>
      </c>
      <c r="C46" s="68">
        <v>17.842700000000001</v>
      </c>
      <c r="D46" s="68">
        <v>1</v>
      </c>
      <c r="E46" s="68" t="s">
        <v>400</v>
      </c>
    </row>
    <row r="47" spans="1:5">
      <c r="A47" s="68">
        <v>0.23657600000000001</v>
      </c>
      <c r="B47" s="68">
        <v>0.62844299999999997</v>
      </c>
      <c r="C47" s="68">
        <v>18.250599999999999</v>
      </c>
      <c r="D47" s="68">
        <v>1</v>
      </c>
      <c r="E47" s="68" t="s">
        <v>401</v>
      </c>
    </row>
    <row r="48" spans="1:5">
      <c r="A48" s="68">
        <v>0.237845</v>
      </c>
      <c r="B48" s="68">
        <v>0.62641199999999997</v>
      </c>
      <c r="C48" s="68">
        <v>18.654599999999999</v>
      </c>
      <c r="D48" s="68">
        <v>1</v>
      </c>
      <c r="E48" s="68" t="s">
        <v>402</v>
      </c>
    </row>
    <row r="49" spans="1:5">
      <c r="A49" s="68">
        <v>0.23914099999999999</v>
      </c>
      <c r="B49" s="68">
        <v>0.62435099999999999</v>
      </c>
      <c r="C49" s="68">
        <v>19.066400000000002</v>
      </c>
      <c r="D49" s="68">
        <v>1</v>
      </c>
      <c r="E49" s="68" t="s">
        <v>403</v>
      </c>
    </row>
    <row r="50" spans="1:5">
      <c r="A50" s="68">
        <v>0.24079100000000001</v>
      </c>
      <c r="B50" s="68">
        <v>0.62139900000000003</v>
      </c>
      <c r="C50" s="68">
        <v>19.472300000000001</v>
      </c>
      <c r="D50" s="68">
        <v>1</v>
      </c>
      <c r="E50" s="68" t="s">
        <v>404</v>
      </c>
    </row>
    <row r="51" spans="1:5">
      <c r="A51" s="68">
        <v>0.24277399999999999</v>
      </c>
      <c r="B51" s="68">
        <v>0.61781799999999998</v>
      </c>
      <c r="C51" s="68">
        <v>19.8782</v>
      </c>
      <c r="D51" s="68">
        <v>1</v>
      </c>
      <c r="E51" s="68" t="s">
        <v>405</v>
      </c>
    </row>
    <row r="52" spans="1:5">
      <c r="A52" s="68">
        <v>0.24427199999999999</v>
      </c>
      <c r="B52" s="68">
        <v>0.61568800000000001</v>
      </c>
      <c r="C52" s="68">
        <v>20.281300000000002</v>
      </c>
      <c r="D52" s="68">
        <v>1</v>
      </c>
      <c r="E52" s="68" t="s">
        <v>406</v>
      </c>
    </row>
    <row r="53" spans="1:5">
      <c r="A53" s="68">
        <v>0.24623400000000001</v>
      </c>
      <c r="B53" s="68">
        <v>0.61252700000000004</v>
      </c>
      <c r="C53" s="68">
        <v>20.6874</v>
      </c>
      <c r="D53" s="68">
        <v>1</v>
      </c>
      <c r="E53" s="68" t="s">
        <v>407</v>
      </c>
    </row>
    <row r="54" spans="1:5">
      <c r="A54" s="68">
        <v>0.24801400000000001</v>
      </c>
      <c r="B54" s="68">
        <v>0.60994899999999996</v>
      </c>
      <c r="C54" s="68">
        <v>21.094999999999999</v>
      </c>
      <c r="D54" s="68">
        <v>1</v>
      </c>
      <c r="E54" s="68" t="s">
        <v>408</v>
      </c>
    </row>
    <row r="55" spans="1:5">
      <c r="A55" s="68">
        <v>0.24986700000000001</v>
      </c>
      <c r="B55" s="68">
        <v>0.60689899999999997</v>
      </c>
      <c r="C55" s="68">
        <v>21.503900000000002</v>
      </c>
      <c r="D55" s="68">
        <v>1</v>
      </c>
      <c r="E55" s="68" t="s">
        <v>409</v>
      </c>
    </row>
    <row r="56" spans="1:5">
      <c r="A56" s="68">
        <v>0.25166899999999998</v>
      </c>
      <c r="B56" s="68">
        <v>0.60365100000000005</v>
      </c>
      <c r="C56" s="68">
        <v>21.904800000000002</v>
      </c>
      <c r="D56" s="68">
        <v>1</v>
      </c>
      <c r="E56" s="68" t="s">
        <v>410</v>
      </c>
    </row>
    <row r="57" spans="1:5">
      <c r="A57" s="68">
        <v>0.25331700000000001</v>
      </c>
      <c r="B57" s="68">
        <v>0.60089300000000001</v>
      </c>
      <c r="C57" s="68">
        <v>22.3127</v>
      </c>
      <c r="D57" s="68">
        <v>1</v>
      </c>
      <c r="E57" s="68" t="s">
        <v>411</v>
      </c>
    </row>
    <row r="58" spans="1:5">
      <c r="A58" s="68">
        <v>0.25489800000000001</v>
      </c>
      <c r="B58" s="68">
        <v>0.59805399999999997</v>
      </c>
      <c r="C58" s="68">
        <v>22.718599999999999</v>
      </c>
      <c r="D58" s="68">
        <v>1</v>
      </c>
      <c r="E58" s="68" t="s">
        <v>412</v>
      </c>
    </row>
    <row r="59" spans="1:5">
      <c r="A59" s="68">
        <v>0.25634299999999999</v>
      </c>
      <c r="B59" s="68">
        <v>0.59514500000000004</v>
      </c>
      <c r="C59" s="68">
        <v>23.124500000000001</v>
      </c>
      <c r="D59" s="68">
        <v>1</v>
      </c>
      <c r="E59" s="68" t="s">
        <v>413</v>
      </c>
    </row>
    <row r="60" spans="1:5">
      <c r="A60" s="68">
        <v>0.25773600000000002</v>
      </c>
      <c r="B60" s="68">
        <v>0.59218700000000002</v>
      </c>
      <c r="C60" s="68">
        <v>23.528400000000001</v>
      </c>
      <c r="D60" s="68">
        <v>1</v>
      </c>
      <c r="E60" s="68" t="s">
        <v>414</v>
      </c>
    </row>
    <row r="61" spans="1:5">
      <c r="A61" s="68">
        <v>0.25905600000000001</v>
      </c>
      <c r="B61" s="68">
        <v>0.58863100000000002</v>
      </c>
      <c r="C61" s="68">
        <v>23.9375</v>
      </c>
      <c r="D61" s="68">
        <v>1</v>
      </c>
      <c r="E61" s="68" t="s">
        <v>415</v>
      </c>
    </row>
    <row r="62" spans="1:5">
      <c r="A62" s="68">
        <v>0.26039099999999998</v>
      </c>
      <c r="B62" s="68">
        <v>0.584785</v>
      </c>
      <c r="C62" s="68">
        <v>24.346299999999999</v>
      </c>
      <c r="D62" s="68">
        <v>1</v>
      </c>
      <c r="E62" s="68" t="s">
        <v>416</v>
      </c>
    </row>
    <row r="63" spans="1:5">
      <c r="A63" s="68">
        <v>0.26172600000000001</v>
      </c>
      <c r="B63" s="68">
        <v>0.58121999999999996</v>
      </c>
      <c r="C63" s="68">
        <v>24.752199999999998</v>
      </c>
      <c r="D63" s="68">
        <v>1</v>
      </c>
      <c r="E63" s="68" t="s">
        <v>417</v>
      </c>
    </row>
    <row r="64" spans="1:5">
      <c r="A64" s="68">
        <v>0.26333099999999998</v>
      </c>
      <c r="B64" s="68">
        <v>0.57725300000000002</v>
      </c>
      <c r="C64" s="68">
        <v>25.154599999999999</v>
      </c>
      <c r="D64" s="68">
        <v>1</v>
      </c>
      <c r="E64" s="68" t="s">
        <v>418</v>
      </c>
    </row>
    <row r="65" spans="1:5">
      <c r="A65" s="68">
        <v>0.26503500000000002</v>
      </c>
      <c r="B65" s="68">
        <v>0.57328900000000005</v>
      </c>
      <c r="C65" s="68">
        <v>25.562999999999999</v>
      </c>
      <c r="D65" s="68">
        <v>1</v>
      </c>
      <c r="E65" s="68" t="s">
        <v>419</v>
      </c>
    </row>
    <row r="66" spans="1:5">
      <c r="A66" s="68">
        <v>0.26693</v>
      </c>
      <c r="B66" s="68">
        <v>0.56909200000000004</v>
      </c>
      <c r="C66" s="68">
        <v>25.968299999999999</v>
      </c>
      <c r="D66" s="68">
        <v>1</v>
      </c>
      <c r="E66" s="68" t="s">
        <v>420</v>
      </c>
    </row>
    <row r="67" spans="1:5">
      <c r="A67" s="68">
        <v>0.26878200000000002</v>
      </c>
      <c r="B67" s="68">
        <v>0.56535599999999997</v>
      </c>
      <c r="C67" s="68">
        <v>26.376899999999999</v>
      </c>
      <c r="D67" s="68">
        <v>1</v>
      </c>
      <c r="E67" s="68" t="s">
        <v>421</v>
      </c>
    </row>
    <row r="68" spans="1:5">
      <c r="A68" s="68">
        <v>0.27063799999999999</v>
      </c>
      <c r="B68" s="68">
        <v>0.56212700000000004</v>
      </c>
      <c r="C68" s="68">
        <v>26.782800000000002</v>
      </c>
      <c r="D68" s="68">
        <v>1</v>
      </c>
      <c r="E68" s="68" t="s">
        <v>422</v>
      </c>
    </row>
    <row r="69" spans="1:5">
      <c r="A69" s="68">
        <v>0.27270499999999998</v>
      </c>
      <c r="B69" s="68">
        <v>0.55864400000000003</v>
      </c>
      <c r="C69" s="68">
        <v>27.1843</v>
      </c>
      <c r="D69" s="68">
        <v>1</v>
      </c>
      <c r="E69" s="68" t="s">
        <v>423</v>
      </c>
    </row>
    <row r="70" spans="1:5">
      <c r="A70" s="68">
        <v>0.27479100000000001</v>
      </c>
      <c r="B70" s="68">
        <v>0.55562400000000001</v>
      </c>
      <c r="C70" s="68">
        <v>27.596699999999998</v>
      </c>
      <c r="D70" s="68">
        <v>1</v>
      </c>
      <c r="E70" s="68" t="s">
        <v>424</v>
      </c>
    </row>
    <row r="71" spans="1:5">
      <c r="A71" s="68">
        <v>0.276839</v>
      </c>
      <c r="B71" s="68">
        <v>0.55335100000000004</v>
      </c>
      <c r="C71" s="68">
        <v>28.0002</v>
      </c>
      <c r="D71" s="68">
        <v>1</v>
      </c>
      <c r="E71" s="68" t="s">
        <v>425</v>
      </c>
    </row>
    <row r="72" spans="1:5">
      <c r="A72" s="68">
        <v>0.27888400000000002</v>
      </c>
      <c r="B72" s="68">
        <v>0.55157500000000004</v>
      </c>
      <c r="C72" s="68">
        <v>28.407499999999999</v>
      </c>
      <c r="D72" s="68">
        <v>1</v>
      </c>
      <c r="E72" s="68" t="s">
        <v>426</v>
      </c>
    </row>
    <row r="73" spans="1:5">
      <c r="A73" s="68">
        <v>0.28066099999999999</v>
      </c>
      <c r="B73" s="68">
        <v>0.55069400000000002</v>
      </c>
      <c r="C73" s="68">
        <v>28.816199999999998</v>
      </c>
      <c r="D73" s="68">
        <v>1</v>
      </c>
      <c r="E73" s="68" t="s">
        <v>427</v>
      </c>
    </row>
    <row r="74" spans="1:5">
      <c r="A74" s="68">
        <v>0.28232499999999999</v>
      </c>
      <c r="B74" s="68">
        <v>0.55008100000000004</v>
      </c>
      <c r="C74" s="68">
        <v>29.2193</v>
      </c>
      <c r="D74" s="68">
        <v>1</v>
      </c>
      <c r="E74" s="68" t="s">
        <v>428</v>
      </c>
    </row>
    <row r="75" spans="1:5">
      <c r="A75" s="68">
        <v>0.28379300000000002</v>
      </c>
      <c r="B75" s="68">
        <v>0.54947100000000004</v>
      </c>
      <c r="C75" s="68">
        <v>29.624199999999998</v>
      </c>
      <c r="D75" s="68">
        <v>1</v>
      </c>
      <c r="E75" s="68" t="s">
        <v>429</v>
      </c>
    </row>
    <row r="76" spans="1:5">
      <c r="A76" s="68">
        <v>0.28505000000000003</v>
      </c>
      <c r="B76" s="68">
        <v>0.54870300000000005</v>
      </c>
      <c r="C76" s="68">
        <v>30.033999999999999</v>
      </c>
      <c r="D76" s="68">
        <v>1</v>
      </c>
      <c r="E76" s="68" t="s">
        <v>430</v>
      </c>
    </row>
    <row r="77" spans="1:5">
      <c r="A77" s="68">
        <v>0.28674100000000002</v>
      </c>
      <c r="B77" s="68">
        <v>0.54776999999999998</v>
      </c>
      <c r="C77" s="68">
        <v>30.6401</v>
      </c>
      <c r="D77" s="68">
        <v>2</v>
      </c>
      <c r="E77" s="68" t="s">
        <v>431</v>
      </c>
    </row>
    <row r="78" spans="1:5">
      <c r="A78" s="68">
        <v>0.28850700000000001</v>
      </c>
      <c r="B78" s="68">
        <v>0.54654599999999998</v>
      </c>
      <c r="C78" s="68">
        <v>31.014700000000001</v>
      </c>
      <c r="D78" s="68">
        <v>2</v>
      </c>
      <c r="E78" s="68" t="s">
        <v>432</v>
      </c>
    </row>
    <row r="79" spans="1:5">
      <c r="A79" s="68">
        <v>0.290381</v>
      </c>
      <c r="B79" s="68">
        <v>0.54514600000000002</v>
      </c>
      <c r="C79" s="68">
        <v>31.391999999999999</v>
      </c>
      <c r="D79" s="68">
        <v>2</v>
      </c>
      <c r="E79" s="68" t="s">
        <v>433</v>
      </c>
    </row>
    <row r="80" spans="1:5">
      <c r="A80" s="68">
        <v>0.292487</v>
      </c>
      <c r="B80" s="68">
        <v>0.54349199999999998</v>
      </c>
      <c r="C80" s="68">
        <v>31.7684</v>
      </c>
      <c r="D80" s="68">
        <v>2</v>
      </c>
      <c r="E80" s="68" t="s">
        <v>434</v>
      </c>
    </row>
    <row r="81" spans="1:5">
      <c r="A81" s="68">
        <v>0.295039</v>
      </c>
      <c r="B81" s="68">
        <v>0.54120199999999996</v>
      </c>
      <c r="C81" s="68">
        <v>32.144399999999997</v>
      </c>
      <c r="D81" s="68">
        <v>2</v>
      </c>
      <c r="E81" s="68" t="s">
        <v>435</v>
      </c>
    </row>
    <row r="82" spans="1:5">
      <c r="A82" s="68">
        <v>0.29784699999999997</v>
      </c>
      <c r="B82" s="68">
        <v>0.53905199999999998</v>
      </c>
      <c r="C82" s="68">
        <v>32.545999999999999</v>
      </c>
      <c r="D82" s="68">
        <v>2</v>
      </c>
      <c r="E82" s="68" t="s">
        <v>436</v>
      </c>
    </row>
    <row r="83" spans="1:5">
      <c r="A83" s="68">
        <v>0.30058099999999999</v>
      </c>
      <c r="B83" s="68">
        <v>0.53756800000000005</v>
      </c>
      <c r="C83" s="68">
        <v>32.952300000000001</v>
      </c>
      <c r="D83" s="68">
        <v>2</v>
      </c>
      <c r="E83" s="68" t="s">
        <v>437</v>
      </c>
    </row>
    <row r="84" spans="1:5">
      <c r="A84" s="68">
        <v>0.30327900000000002</v>
      </c>
      <c r="B84" s="68">
        <v>0.536466</v>
      </c>
      <c r="C84" s="68">
        <v>33.359400000000001</v>
      </c>
      <c r="D84" s="68">
        <v>2</v>
      </c>
      <c r="E84" s="68" t="s">
        <v>438</v>
      </c>
    </row>
    <row r="85" spans="1:5">
      <c r="A85" s="68">
        <v>0.30595499999999998</v>
      </c>
      <c r="B85" s="68">
        <v>0.53572399999999998</v>
      </c>
      <c r="C85" s="68">
        <v>33.771099999999997</v>
      </c>
      <c r="D85" s="68">
        <v>2</v>
      </c>
      <c r="E85" s="68" t="s">
        <v>439</v>
      </c>
    </row>
    <row r="86" spans="1:5">
      <c r="A86" s="68">
        <v>0.30860199999999999</v>
      </c>
      <c r="B86" s="68">
        <v>0.53517099999999995</v>
      </c>
      <c r="C86" s="68">
        <v>34.174999999999997</v>
      </c>
      <c r="D86" s="68">
        <v>2</v>
      </c>
      <c r="E86" s="68" t="s">
        <v>440</v>
      </c>
    </row>
    <row r="87" spans="1:5">
      <c r="A87" s="68">
        <v>0.31121100000000002</v>
      </c>
      <c r="B87" s="68">
        <v>0.53461700000000001</v>
      </c>
      <c r="C87" s="68">
        <v>34.579000000000001</v>
      </c>
      <c r="D87" s="68">
        <v>2</v>
      </c>
      <c r="E87" s="68" t="s">
        <v>441</v>
      </c>
    </row>
    <row r="88" spans="1:5">
      <c r="A88" s="68">
        <v>0.313863</v>
      </c>
      <c r="B88" s="68">
        <v>0.53387899999999999</v>
      </c>
      <c r="C88" s="68">
        <v>34.985799999999998</v>
      </c>
      <c r="D88" s="68">
        <v>2</v>
      </c>
      <c r="E88" s="68" t="s">
        <v>442</v>
      </c>
    </row>
    <row r="89" spans="1:5">
      <c r="A89" s="68">
        <v>0.31655899999999998</v>
      </c>
      <c r="B89" s="68">
        <v>0.53259199999999995</v>
      </c>
      <c r="C89" s="68">
        <v>35.387599999999999</v>
      </c>
      <c r="D89" s="68">
        <v>2</v>
      </c>
      <c r="E89" s="68" t="s">
        <v>443</v>
      </c>
    </row>
    <row r="90" spans="1:5">
      <c r="A90" s="68">
        <v>0.31888699999999998</v>
      </c>
      <c r="B90" s="68">
        <v>0.53186900000000004</v>
      </c>
      <c r="C90" s="68">
        <v>35.801699999999997</v>
      </c>
      <c r="D90" s="68">
        <v>2</v>
      </c>
      <c r="E90" s="68" t="s">
        <v>444</v>
      </c>
    </row>
    <row r="91" spans="1:5">
      <c r="A91" s="68">
        <v>0.32102199999999997</v>
      </c>
      <c r="B91" s="68">
        <v>0.53159999999999996</v>
      </c>
      <c r="C91" s="68">
        <v>36.204700000000003</v>
      </c>
      <c r="D91" s="68">
        <v>2</v>
      </c>
      <c r="E91" s="68" t="s">
        <v>445</v>
      </c>
    </row>
    <row r="92" spans="1:5">
      <c r="A92" s="68">
        <v>0.32326500000000002</v>
      </c>
      <c r="B92" s="68">
        <v>0.53117999999999999</v>
      </c>
      <c r="C92" s="68">
        <v>36.609400000000001</v>
      </c>
      <c r="D92" s="68">
        <v>2</v>
      </c>
      <c r="E92" s="68" t="s">
        <v>446</v>
      </c>
    </row>
    <row r="93" spans="1:5">
      <c r="A93" s="68">
        <v>0.32573400000000002</v>
      </c>
      <c r="B93" s="68">
        <v>0.52990199999999998</v>
      </c>
      <c r="C93" s="68">
        <v>37.013599999999997</v>
      </c>
      <c r="D93" s="68">
        <v>2</v>
      </c>
      <c r="E93" s="68" t="s">
        <v>447</v>
      </c>
    </row>
    <row r="94" spans="1:5">
      <c r="A94" s="68">
        <v>0.32815800000000001</v>
      </c>
      <c r="B94" s="68">
        <v>0.52856999999999998</v>
      </c>
      <c r="C94" s="68">
        <v>37.424100000000003</v>
      </c>
      <c r="D94" s="68">
        <v>2</v>
      </c>
      <c r="E94" s="68" t="s">
        <v>448</v>
      </c>
    </row>
    <row r="95" spans="1:5">
      <c r="A95" s="68">
        <v>0.330679</v>
      </c>
      <c r="B95" s="68">
        <v>0.52724899999999997</v>
      </c>
      <c r="C95" s="68">
        <v>37.828200000000002</v>
      </c>
      <c r="D95" s="68">
        <v>2</v>
      </c>
      <c r="E95" s="68" t="s">
        <v>449</v>
      </c>
    </row>
    <row r="96" spans="1:5">
      <c r="A96" s="68">
        <v>0.33331100000000002</v>
      </c>
      <c r="B96" s="68">
        <v>0.52572399999999997</v>
      </c>
      <c r="C96" s="68">
        <v>38.2361</v>
      </c>
      <c r="D96" s="68">
        <v>2</v>
      </c>
      <c r="E96" s="68" t="s">
        <v>450</v>
      </c>
    </row>
    <row r="97" spans="1:5">
      <c r="A97" s="68">
        <v>0.33581</v>
      </c>
      <c r="B97" s="68">
        <v>0.52482700000000004</v>
      </c>
      <c r="C97" s="68">
        <v>38.645000000000003</v>
      </c>
      <c r="D97" s="68">
        <v>2</v>
      </c>
      <c r="E97" s="68" t="s">
        <v>451</v>
      </c>
    </row>
    <row r="98" spans="1:5">
      <c r="A98" s="68">
        <v>0.33843800000000002</v>
      </c>
      <c r="B98" s="68">
        <v>0.52436000000000005</v>
      </c>
      <c r="C98" s="68">
        <v>39.045999999999999</v>
      </c>
      <c r="D98" s="68">
        <v>2</v>
      </c>
      <c r="E98" s="68" t="s">
        <v>452</v>
      </c>
    </row>
    <row r="99" spans="1:5">
      <c r="A99" s="68">
        <v>0.34078399999999998</v>
      </c>
      <c r="B99" s="68">
        <v>0.52466800000000002</v>
      </c>
      <c r="C99" s="68">
        <v>39.451900000000002</v>
      </c>
      <c r="D99" s="68">
        <v>2</v>
      </c>
      <c r="E99" s="68" t="s">
        <v>453</v>
      </c>
    </row>
    <row r="100" spans="1:5">
      <c r="A100" s="68">
        <v>0.34289599999999998</v>
      </c>
      <c r="B100" s="68">
        <v>0.52501699999999996</v>
      </c>
      <c r="C100" s="68">
        <v>39.861800000000002</v>
      </c>
      <c r="D100" s="68">
        <v>2</v>
      </c>
      <c r="E100" s="68" t="s">
        <v>454</v>
      </c>
    </row>
    <row r="101" spans="1:5">
      <c r="A101" s="68">
        <v>0.34488999999999997</v>
      </c>
      <c r="B101" s="68">
        <v>0.52534000000000003</v>
      </c>
      <c r="C101" s="68">
        <v>40.268900000000002</v>
      </c>
      <c r="D101" s="68">
        <v>2</v>
      </c>
      <c r="E101" s="68" t="s">
        <v>455</v>
      </c>
    </row>
    <row r="102" spans="1:5">
      <c r="A102" s="68">
        <v>0.34674300000000002</v>
      </c>
      <c r="B102" s="68">
        <v>0.52513900000000002</v>
      </c>
      <c r="C102" s="68">
        <v>40.6736</v>
      </c>
      <c r="D102" s="68">
        <v>2</v>
      </c>
      <c r="E102" s="68" t="s">
        <v>456</v>
      </c>
    </row>
    <row r="103" spans="1:5">
      <c r="A103" s="68">
        <v>0.34855799999999998</v>
      </c>
      <c r="B103" s="68">
        <v>0.52435900000000002</v>
      </c>
      <c r="C103" s="68">
        <v>41.078499999999998</v>
      </c>
      <c r="D103" s="68">
        <v>2</v>
      </c>
      <c r="E103" s="68" t="s">
        <v>457</v>
      </c>
    </row>
    <row r="104" spans="1:5">
      <c r="A104" s="68">
        <v>0.35031400000000001</v>
      </c>
      <c r="B104" s="68">
        <v>0.52365099999999998</v>
      </c>
      <c r="C104" s="68">
        <v>41.483499999999999</v>
      </c>
      <c r="D104" s="68">
        <v>2</v>
      </c>
      <c r="E104" s="68" t="s">
        <v>458</v>
      </c>
    </row>
    <row r="105" spans="1:5">
      <c r="A105" s="68">
        <v>0.35214600000000001</v>
      </c>
      <c r="B105" s="68">
        <v>0.52238600000000002</v>
      </c>
      <c r="C105" s="68">
        <v>41.891399999999997</v>
      </c>
      <c r="D105" s="68">
        <v>2</v>
      </c>
      <c r="E105" s="68" t="s">
        <v>459</v>
      </c>
    </row>
    <row r="106" spans="1:5">
      <c r="A106" s="68">
        <v>0.35432999999999998</v>
      </c>
      <c r="B106" s="68">
        <v>0.52017999999999998</v>
      </c>
      <c r="C106" s="68">
        <v>42.299300000000002</v>
      </c>
      <c r="D106" s="68">
        <v>2</v>
      </c>
      <c r="E106" s="68" t="s">
        <v>460</v>
      </c>
    </row>
    <row r="107" spans="1:5">
      <c r="A107" s="68">
        <v>0.35668</v>
      </c>
      <c r="B107" s="68">
        <v>0.51716099999999998</v>
      </c>
      <c r="C107" s="68">
        <v>42.708199999999998</v>
      </c>
      <c r="D107" s="68">
        <v>2</v>
      </c>
      <c r="E107" s="68" t="s">
        <v>461</v>
      </c>
    </row>
    <row r="108" spans="1:5">
      <c r="A108" s="68">
        <v>0.35929800000000001</v>
      </c>
      <c r="B108" s="68">
        <v>0.51366100000000003</v>
      </c>
      <c r="C108" s="68">
        <v>43.1081</v>
      </c>
      <c r="D108" s="68">
        <v>2</v>
      </c>
      <c r="E108" s="68" t="s">
        <v>462</v>
      </c>
    </row>
    <row r="109" spans="1:5">
      <c r="A109" s="68">
        <v>0.362039</v>
      </c>
      <c r="B109" s="68">
        <v>0.51007899999999995</v>
      </c>
      <c r="C109" s="68">
        <v>43.515999999999998</v>
      </c>
      <c r="D109" s="68">
        <v>2</v>
      </c>
      <c r="E109" s="68" t="s">
        <v>463</v>
      </c>
    </row>
    <row r="110" spans="1:5">
      <c r="A110" s="68">
        <v>0.36451899999999998</v>
      </c>
      <c r="B110" s="68">
        <v>0.50767899999999999</v>
      </c>
      <c r="C110" s="68">
        <v>43.920999999999999</v>
      </c>
      <c r="D110" s="68">
        <v>2</v>
      </c>
      <c r="E110" s="68" t="s">
        <v>464</v>
      </c>
    </row>
    <row r="111" spans="1:5">
      <c r="A111" s="68">
        <v>0.366483</v>
      </c>
      <c r="B111" s="68">
        <v>0.50642500000000001</v>
      </c>
      <c r="C111" s="68">
        <v>44.327300000000001</v>
      </c>
      <c r="D111" s="68">
        <v>2</v>
      </c>
      <c r="E111" s="68" t="s">
        <v>465</v>
      </c>
    </row>
    <row r="112" spans="1:5">
      <c r="A112" s="68">
        <v>0.367946</v>
      </c>
      <c r="B112" s="68">
        <v>0.50620299999999996</v>
      </c>
      <c r="C112" s="68">
        <v>44.734900000000003</v>
      </c>
      <c r="D112" s="68">
        <v>2</v>
      </c>
      <c r="E112" s="68" t="s">
        <v>466</v>
      </c>
    </row>
    <row r="113" spans="1:5">
      <c r="A113" s="68">
        <v>0.36899399999999999</v>
      </c>
      <c r="B113" s="68">
        <v>0.50631999999999999</v>
      </c>
      <c r="C113" s="68">
        <v>45.1387</v>
      </c>
      <c r="D113" s="68">
        <v>2</v>
      </c>
      <c r="E113" s="68" t="s">
        <v>467</v>
      </c>
    </row>
    <row r="114" spans="1:5">
      <c r="A114" s="68">
        <v>0.36966500000000002</v>
      </c>
      <c r="B114" s="68">
        <v>0.50653099999999995</v>
      </c>
      <c r="C114" s="68">
        <v>45.550600000000003</v>
      </c>
      <c r="D114" s="68">
        <v>2</v>
      </c>
      <c r="E114" s="68" t="s">
        <v>468</v>
      </c>
    </row>
    <row r="115" spans="1:5">
      <c r="A115" s="68">
        <v>0.37021399999999999</v>
      </c>
      <c r="B115" s="68">
        <v>0.50734500000000005</v>
      </c>
      <c r="C115" s="68">
        <v>45.955399999999997</v>
      </c>
      <c r="D115" s="68">
        <v>2</v>
      </c>
      <c r="E115" s="68" t="s">
        <v>469</v>
      </c>
    </row>
    <row r="116" spans="1:5">
      <c r="A116" s="68">
        <v>0.37087599999999998</v>
      </c>
      <c r="B116" s="68">
        <v>0.50828700000000004</v>
      </c>
      <c r="C116" s="68">
        <v>46.359400000000001</v>
      </c>
      <c r="D116" s="68">
        <v>2</v>
      </c>
      <c r="E116" s="68" t="s">
        <v>470</v>
      </c>
    </row>
    <row r="117" spans="1:5">
      <c r="A117" s="68">
        <v>0.37152600000000002</v>
      </c>
      <c r="B117" s="68">
        <v>0.509378</v>
      </c>
      <c r="C117" s="68">
        <v>46.765500000000003</v>
      </c>
      <c r="D117" s="68">
        <v>2</v>
      </c>
      <c r="E117" s="68" t="s">
        <v>471</v>
      </c>
    </row>
    <row r="118" spans="1:5">
      <c r="A118" s="68">
        <v>0.37156</v>
      </c>
      <c r="B118" s="68">
        <v>0.51083699999999999</v>
      </c>
      <c r="C118" s="68">
        <v>47.170299999999997</v>
      </c>
      <c r="D118" s="68">
        <v>2</v>
      </c>
      <c r="E118" s="68" t="s">
        <v>472</v>
      </c>
    </row>
    <row r="119" spans="1:5">
      <c r="A119" s="68">
        <v>0.371311</v>
      </c>
      <c r="B119" s="68">
        <v>0.51227199999999995</v>
      </c>
      <c r="C119" s="68">
        <v>47.582299999999996</v>
      </c>
      <c r="D119" s="68">
        <v>2</v>
      </c>
      <c r="E119" s="68" t="s">
        <v>473</v>
      </c>
    </row>
    <row r="120" spans="1:5">
      <c r="A120" s="68">
        <v>0.37079699999999999</v>
      </c>
      <c r="B120" s="68">
        <v>0.51356199999999996</v>
      </c>
      <c r="C120" s="68">
        <v>47.9861</v>
      </c>
      <c r="D120" s="68">
        <v>2</v>
      </c>
      <c r="E120" s="68" t="s">
        <v>474</v>
      </c>
    </row>
    <row r="121" spans="1:5">
      <c r="A121" s="68">
        <v>0.36987999999999999</v>
      </c>
      <c r="B121" s="68">
        <v>0.51478599999999997</v>
      </c>
      <c r="C121" s="68">
        <v>48.387999999999998</v>
      </c>
      <c r="D121" s="68">
        <v>2</v>
      </c>
      <c r="E121" s="68" t="s">
        <v>475</v>
      </c>
    </row>
    <row r="122" spans="1:5">
      <c r="A122" s="68">
        <v>0.36885299999999999</v>
      </c>
      <c r="B122" s="68">
        <v>0.515648</v>
      </c>
      <c r="C122" s="68">
        <v>48.793799999999997</v>
      </c>
      <c r="D122" s="68">
        <v>2</v>
      </c>
      <c r="E122" s="68" t="s">
        <v>476</v>
      </c>
    </row>
    <row r="123" spans="1:5">
      <c r="A123" s="68">
        <v>0.36775000000000002</v>
      </c>
      <c r="B123" s="68">
        <v>0.51638499999999998</v>
      </c>
      <c r="C123" s="68">
        <v>49.201900000000002</v>
      </c>
      <c r="D123" s="68">
        <v>2</v>
      </c>
      <c r="E123" s="68" t="s">
        <v>477</v>
      </c>
    </row>
    <row r="124" spans="1:5">
      <c r="A124" s="68">
        <v>0.366927</v>
      </c>
      <c r="B124" s="68">
        <v>0.51709099999999997</v>
      </c>
      <c r="C124" s="68">
        <v>49.610700000000001</v>
      </c>
      <c r="D124" s="68">
        <v>2</v>
      </c>
      <c r="E124" s="68" t="s">
        <v>478</v>
      </c>
    </row>
    <row r="125" spans="1:5">
      <c r="A125" s="68">
        <v>0.366205</v>
      </c>
      <c r="B125" s="68">
        <v>0.51797700000000002</v>
      </c>
      <c r="C125" s="68">
        <v>50.0167</v>
      </c>
      <c r="D125" s="68">
        <v>2</v>
      </c>
      <c r="E125" s="68" t="s">
        <v>479</v>
      </c>
    </row>
    <row r="126" spans="1:5">
      <c r="A126" s="68">
        <v>0.36601099999999998</v>
      </c>
      <c r="B126" s="68">
        <v>0.51873999999999998</v>
      </c>
      <c r="C126" s="68">
        <v>50.422600000000003</v>
      </c>
      <c r="D126" s="68">
        <v>2</v>
      </c>
      <c r="E126" s="68" t="s">
        <v>480</v>
      </c>
    </row>
    <row r="127" spans="1:5">
      <c r="A127" s="68">
        <v>0.366365</v>
      </c>
      <c r="B127" s="68">
        <v>0.51933600000000002</v>
      </c>
      <c r="C127" s="68">
        <v>50.827500000000001</v>
      </c>
      <c r="D127" s="68">
        <v>2</v>
      </c>
      <c r="E127" s="68" t="s">
        <v>481</v>
      </c>
    </row>
    <row r="128" spans="1:5">
      <c r="A128" s="68">
        <v>0.366595</v>
      </c>
      <c r="B128" s="68">
        <v>0.52022400000000002</v>
      </c>
      <c r="C128" s="68">
        <v>51.2318</v>
      </c>
      <c r="D128" s="68">
        <v>2</v>
      </c>
      <c r="E128" s="68" t="s">
        <v>482</v>
      </c>
    </row>
    <row r="129" spans="1:5">
      <c r="A129" s="68">
        <v>0.36676799999999998</v>
      </c>
      <c r="B129" s="68">
        <v>0.52125999999999995</v>
      </c>
      <c r="C129" s="68">
        <v>51.644300000000001</v>
      </c>
      <c r="D129" s="68">
        <v>2</v>
      </c>
      <c r="E129" s="68" t="s">
        <v>483</v>
      </c>
    </row>
    <row r="130" spans="1:5">
      <c r="A130" s="68">
        <v>0.36660199999999998</v>
      </c>
      <c r="B130" s="68">
        <v>0.522532</v>
      </c>
      <c r="C130" s="68">
        <v>52.052199999999999</v>
      </c>
      <c r="D130" s="68">
        <v>2</v>
      </c>
      <c r="E130" s="68" t="s">
        <v>484</v>
      </c>
    </row>
    <row r="131" spans="1:5">
      <c r="A131" s="68">
        <v>0.36563200000000001</v>
      </c>
      <c r="B131" s="68">
        <v>0.52444500000000005</v>
      </c>
      <c r="C131" s="68">
        <v>52.451099999999997</v>
      </c>
      <c r="D131" s="68">
        <v>2</v>
      </c>
      <c r="E131" s="68" t="s">
        <v>485</v>
      </c>
    </row>
    <row r="132" spans="1:5">
      <c r="A132" s="68">
        <v>0.36405599999999999</v>
      </c>
      <c r="B132" s="68">
        <v>0.52731600000000001</v>
      </c>
      <c r="C132" s="68">
        <v>52.861400000000003</v>
      </c>
      <c r="D132" s="68">
        <v>2</v>
      </c>
      <c r="E132" s="68" t="s">
        <v>486</v>
      </c>
    </row>
    <row r="133" spans="1:5">
      <c r="A133" s="68">
        <v>0.36187900000000001</v>
      </c>
      <c r="B133" s="68">
        <v>0.53153899999999998</v>
      </c>
      <c r="C133" s="68">
        <v>53.262599999999999</v>
      </c>
      <c r="D133" s="68">
        <v>2</v>
      </c>
      <c r="E133" s="68" t="s">
        <v>487</v>
      </c>
    </row>
    <row r="134" spans="1:5">
      <c r="A134" s="68">
        <v>0.359157</v>
      </c>
      <c r="B134" s="68">
        <v>0.53729300000000002</v>
      </c>
      <c r="C134" s="68">
        <v>53.668900000000001</v>
      </c>
      <c r="D134" s="68">
        <v>2</v>
      </c>
      <c r="E134" s="68" t="s">
        <v>488</v>
      </c>
    </row>
    <row r="135" spans="1:5">
      <c r="A135" s="68">
        <v>0.35632599999999998</v>
      </c>
      <c r="B135" s="68">
        <v>0.54253799999999996</v>
      </c>
      <c r="C135" s="68">
        <v>54.082500000000003</v>
      </c>
      <c r="D135" s="68">
        <v>2</v>
      </c>
      <c r="E135" s="68" t="s">
        <v>489</v>
      </c>
    </row>
    <row r="136" spans="1:5">
      <c r="A136" s="68">
        <v>0.353854</v>
      </c>
      <c r="B136" s="68">
        <v>0.54677399999999998</v>
      </c>
      <c r="C136" s="68">
        <v>54.482700000000001</v>
      </c>
      <c r="D136" s="68">
        <v>2</v>
      </c>
      <c r="E136" s="68" t="s">
        <v>490</v>
      </c>
    </row>
    <row r="137" spans="1:5">
      <c r="A137" s="68">
        <v>0.35192800000000002</v>
      </c>
      <c r="B137" s="68">
        <v>0.549794</v>
      </c>
      <c r="C137" s="68">
        <v>54.889600000000002</v>
      </c>
      <c r="D137" s="68">
        <v>2</v>
      </c>
      <c r="E137" s="68" t="s">
        <v>491</v>
      </c>
    </row>
    <row r="138" spans="1:5">
      <c r="A138" s="68">
        <v>0.35039100000000001</v>
      </c>
      <c r="B138" s="68">
        <v>0.55243200000000003</v>
      </c>
      <c r="C138" s="68">
        <v>55.295099999999998</v>
      </c>
      <c r="D138" s="68">
        <v>2</v>
      </c>
      <c r="E138" s="68" t="s">
        <v>492</v>
      </c>
    </row>
    <row r="139" spans="1:5">
      <c r="A139" s="68">
        <v>0.34903400000000001</v>
      </c>
      <c r="B139" s="68">
        <v>0.55513500000000005</v>
      </c>
      <c r="C139" s="68">
        <v>55.700600000000001</v>
      </c>
      <c r="D139" s="68">
        <v>2</v>
      </c>
      <c r="E139" s="68" t="s">
        <v>493</v>
      </c>
    </row>
    <row r="140" spans="1:5">
      <c r="A140" s="68">
        <v>0.34799000000000002</v>
      </c>
      <c r="B140" s="68">
        <v>0.556315</v>
      </c>
      <c r="C140" s="68">
        <v>56.111699999999999</v>
      </c>
      <c r="D140" s="68">
        <v>2</v>
      </c>
      <c r="E140" s="68" t="s">
        <v>494</v>
      </c>
    </row>
    <row r="141" spans="1:5">
      <c r="A141" s="68">
        <v>0.34654400000000002</v>
      </c>
      <c r="B141" s="68">
        <v>0.55779999999999996</v>
      </c>
      <c r="C141" s="68">
        <v>56.515300000000003</v>
      </c>
      <c r="D141" s="68">
        <v>2</v>
      </c>
      <c r="E141" s="68" t="s">
        <v>495</v>
      </c>
    </row>
    <row r="142" spans="1:5">
      <c r="A142" s="68">
        <v>0.344439</v>
      </c>
      <c r="B142" s="68">
        <v>0.56009500000000001</v>
      </c>
      <c r="C142" s="68">
        <v>56.924199999999999</v>
      </c>
      <c r="D142" s="68">
        <v>2</v>
      </c>
      <c r="E142" s="68" t="s">
        <v>496</v>
      </c>
    </row>
    <row r="143" spans="1:5">
      <c r="A143" s="68">
        <v>0.34279500000000002</v>
      </c>
      <c r="B143" s="68">
        <v>0.56105700000000003</v>
      </c>
      <c r="C143" s="68">
        <v>57.326099999999997</v>
      </c>
      <c r="D143" s="68">
        <v>2</v>
      </c>
      <c r="E143" s="68" t="s">
        <v>497</v>
      </c>
    </row>
    <row r="144" spans="1:5">
      <c r="A144" s="68">
        <v>0.34125800000000001</v>
      </c>
      <c r="B144" s="68">
        <v>0.56160600000000005</v>
      </c>
      <c r="C144" s="68">
        <v>57.735999999999997</v>
      </c>
      <c r="D144" s="68">
        <v>2</v>
      </c>
      <c r="E144" s="68" t="s">
        <v>498</v>
      </c>
    </row>
    <row r="145" spans="1:5">
      <c r="A145" s="68">
        <v>0.33992600000000001</v>
      </c>
      <c r="B145" s="68">
        <v>0.562002</v>
      </c>
      <c r="C145" s="68">
        <v>58.139899999999997</v>
      </c>
      <c r="D145" s="68">
        <v>2</v>
      </c>
      <c r="E145" s="68" t="s">
        <v>499</v>
      </c>
    </row>
    <row r="146" spans="1:5">
      <c r="A146" s="68">
        <v>0.33932600000000002</v>
      </c>
      <c r="B146" s="68">
        <v>0.56135599999999997</v>
      </c>
      <c r="C146" s="68">
        <v>58.5488</v>
      </c>
      <c r="D146" s="68">
        <v>2</v>
      </c>
      <c r="E146" s="68" t="s">
        <v>500</v>
      </c>
    </row>
    <row r="147" spans="1:5">
      <c r="A147" s="68">
        <v>0.33958300000000002</v>
      </c>
      <c r="B147" s="68">
        <v>0.55968600000000002</v>
      </c>
      <c r="C147" s="68">
        <v>58.951700000000002</v>
      </c>
      <c r="D147" s="68">
        <v>2</v>
      </c>
      <c r="E147" s="68" t="s">
        <v>501</v>
      </c>
    </row>
    <row r="148" spans="1:5">
      <c r="A148" s="68">
        <v>0.34030899999999997</v>
      </c>
      <c r="B148" s="68">
        <v>0.55757100000000004</v>
      </c>
      <c r="C148" s="68">
        <v>59.361699999999999</v>
      </c>
      <c r="D148" s="68">
        <v>2</v>
      </c>
      <c r="E148" s="68" t="s">
        <v>502</v>
      </c>
    </row>
    <row r="149" spans="1:5">
      <c r="A149" s="68">
        <v>0.33990900000000002</v>
      </c>
      <c r="B149" s="68">
        <v>0.55574199999999996</v>
      </c>
      <c r="C149" s="68">
        <v>59.768500000000003</v>
      </c>
      <c r="D149" s="68">
        <v>2</v>
      </c>
      <c r="E149" s="68" t="s">
        <v>503</v>
      </c>
    </row>
    <row r="150" spans="1:5">
      <c r="A150" s="68">
        <v>0.338063</v>
      </c>
      <c r="B150" s="68">
        <v>0.55780300000000005</v>
      </c>
      <c r="C150" s="32">
        <v>60.169400000000003</v>
      </c>
      <c r="D150" s="32">
        <v>2</v>
      </c>
      <c r="E150" s="32" t="s">
        <v>504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353</v>
      </c>
      <c r="B1" s="66" t="s">
        <v>505</v>
      </c>
      <c r="C1" s="66" t="s">
        <v>507</v>
      </c>
      <c r="D1" s="66" t="s">
        <v>508</v>
      </c>
      <c r="E1" s="66" t="s">
        <v>509</v>
      </c>
      <c r="F1" s="66" t="s">
        <v>293</v>
      </c>
      <c r="G1" s="66" t="s">
        <v>294</v>
      </c>
      <c r="H1" s="66" t="s">
        <v>510</v>
      </c>
      <c r="I1" s="66" t="s">
        <v>511</v>
      </c>
      <c r="J1" s="66" t="s">
        <v>512</v>
      </c>
      <c r="K1" s="66" t="s">
        <v>513</v>
      </c>
      <c r="L1" s="66" t="s">
        <v>514</v>
      </c>
      <c r="M1" s="66" t="s">
        <v>515</v>
      </c>
      <c r="N1" s="66"/>
    </row>
    <row r="2" spans="1:14">
      <c r="A2" s="75">
        <v>43608.405972222223</v>
      </c>
      <c r="B2" s="66" t="s">
        <v>506</v>
      </c>
      <c r="C2" s="66"/>
      <c r="D2" s="66"/>
      <c r="E2" s="66">
        <v>4.9234099999999996</v>
      </c>
      <c r="F2" s="66">
        <v>1.6552899999999999</v>
      </c>
      <c r="G2" s="66">
        <v>0.49085499999999999</v>
      </c>
      <c r="H2" s="66">
        <v>0</v>
      </c>
      <c r="I2" s="66">
        <v>177034</v>
      </c>
      <c r="J2" s="66">
        <v>83</v>
      </c>
      <c r="K2" s="66">
        <v>83</v>
      </c>
      <c r="L2" s="66">
        <v>0</v>
      </c>
      <c r="M2" s="66" t="s">
        <v>516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2019-05-23T01:45:12Z</cp:lastPrinted>
  <dcterms:created xsi:type="dcterms:W3CDTF">2010-10-29T12:53:05Z</dcterms:created>
  <dcterms:modified xsi:type="dcterms:W3CDTF">2019-05-23T01:45:29Z</dcterms:modified>
</cp:coreProperties>
</file>