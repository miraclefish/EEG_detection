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P5" i="11" l="1"/>
  <c r="Q17" i="1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<sst xmlns="http://schemas.openxmlformats.org/spreadsheetml/2006/main" count="702" uniqueCount="522">
  <si>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</si>
  <si>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</si>
  <si>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</si>
  <si>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</si>
  <si>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</si>
  <si>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</si>
  <si>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</si>
  <si>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</si>
  <si>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</si>
  <si>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</si>
  <si>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</si>
  <si>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</si>
  <si>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</si>
  <si>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</si>
  <si>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</si>
  <si>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</si>
  <si>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</si>
  <si>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</si>
  <si>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</si>
  <si>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</si>
  <si>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</si>
  <si>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</si>
  <si>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</si>
  <si>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</si>
  <si>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</si>
  <si>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</si>
  <si>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</si>
  <si>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</si>
  <si>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</si>
  <si>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</si>
  <si>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</si>
  <si>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</si>
  <si>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</si>
  <si>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</si>
  <si>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</si>
  <si>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</si>
  <si>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</si>
  <si>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</si>
  <si>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</si>
  <si>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</si>
  <si>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</si>
  <si>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</si>
  <si>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</si>
  <si>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</si>
  <si>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</si>
  <si>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</si>
  <si>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</si>
  <si>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</si>
  <si>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</si>
  <si>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</si>
  <si>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</si>
  <si>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</si>
  <si>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</si>
  <si>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</si>
  <si>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</si>
  <si>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</si>
  <si>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</si>
  <si>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</si>
  <si>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</si>
  <si>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</si>
  <si>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</si>
  <si>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</si>
  <si>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</si>
  <si>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</si>
  <si>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</si>
  <si>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</si>
  <si>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</si>
  <si>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</si>
  <si>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</si>
  <si>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</si>
  <si>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</si>
  <si>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</si>
  <si>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</si>
  <si>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</si>
  <si>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</si>
  <si>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</si>
  <si>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</si>
  <si>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</si>
  <si>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</si>
  <si>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</si>
  <si>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</si>
  <si>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</si>
  <si>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</si>
  <si>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</si>
  <si>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</si>
  <si>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</si>
  <si>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</si>
  <si>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</si>
  <si>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</si>
  <si>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</si>
  <si>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</si>
  <si>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</si>
  <si>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</si>
  <si>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</si>
  <si>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</si>
  <si>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</si>
  <si>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</si>
  <si>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</si>
  <si>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</si>
  <si>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</si>
  <si>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</si>
  <si>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</si>
  <si>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</si>
  <si>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</si>
  <si>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</si>
  <si>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</si>
  <si>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</si>
  <si>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</si>
  <si>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</si>
  <si>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</si>
  <si>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</si>
  <si>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</si>
  <si>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</si>
  <si>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</si>
  <si>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</si>
  <si>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</si>
  <si>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</si>
  <si>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</si>
  <si>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</si>
  <si>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</si>
  <si>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</si>
  <si>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</si>
  <si>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</si>
  <si>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</si>
  <si>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</si>
  <si>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</si>
  <si>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</si>
  <si>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</si>
  <si>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</si>
  <si>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</si>
  <si>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</si>
  <si>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</si>
  <si>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</si>
  <si>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</si>
  <si>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</si>
  <si>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</si>
  <si>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</si>
  <si>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</si>
  <si>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</si>
  <si>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</si>
  <si>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</si>
  <si>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</si>
  <si>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</si>
  <si>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</si>
  <si>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</si>
  <si>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</si>
  <si>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</si>
  <si>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</si>
  <si>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</si>
  <si>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</si>
  <si>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</si>
  <si>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</si>
  <si>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</si>
  <si>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</si>
  <si>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</si>
  <si>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</si>
  <si>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</si>
  <si>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</si>
  <si>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</si>
  <si>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</si>
  <si>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</si>
  <si>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</si>
  <si>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</si>
  <si>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</si>
  <si>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</si>
  <si>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</si>
  <si>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</si>
  <si>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</si>
  <si>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</si>
  <si>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</si>
  <si>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</si>
  <si>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</si>
  <si>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</si>
  <si>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</si>
  <si>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</si>
  <si>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</si>
  <si>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</si>
  <si>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</si>
  <si>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</si>
  <si>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</si>
  <si>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</si>
  <si>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</si>
  <si>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</si>
  <si>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</si>
  <si>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</si>
  <si>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</si>
  <si>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</si>
  <si>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</si>
  <si>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</si>
  <si>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</si>
  <si>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</si>
  <si>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</si>
  <si>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</si>
  <si>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</si>
  <si>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</si>
  <si>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</si>
  <si>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</si>
  <si>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</si>
  <si>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</si>
  <si>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</si>
  <si>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</si>
  <si>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</si>
  <si>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</si>
  <si>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</si>
  <si>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</si>
  <si>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</si>
  <si>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</si>
  <si>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</si>
  <si>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</si>
  <si>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</si>
  <si>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</si>
  <si>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</si>
  <si>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</si>
  <si>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</si>
  <si>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</si>
  <si>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</si>
  <si>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</si>
  <si>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</si>
  <si>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</si>
  <si>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</si>
  <si>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</si>
  <si>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</si>
  <si>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</si>
  <si>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</si>
  <si>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</si>
  <si>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</si>
  <si>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</si>
  <si>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</si>
  <si>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</si>
  <si>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</si>
  <si>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</si>
  <si>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</si>
  <si>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</si>
  <si>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</si>
  <si>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</si>
  <si>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</si>
  <si>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</si>
  <si>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</si>
  <si>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</si>
  <si>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</si>
  <si>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</si>
  <si>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</si>
  <si>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</si>
  <si>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</si>
  <si>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</si>
  <si>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</si>
  <si>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</si>
  <si>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</si>
  <si>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</si>
  <si>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</si>
  <si>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</si>
  <si>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</si>
  <si>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</si>
  <si>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</si>
  <si>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</si>
  <si>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</si>
  <si>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</si>
  <si>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</si>
  <si>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</si>
  <si>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</si>
  <si>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</si>
  <si>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</si>
  <si>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</si>
  <si>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</si>
  <si>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</si>
  <si>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</si>
  <si>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</si>
  <si>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</si>
  <si>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</si>
  <si>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</si>
  <si>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</si>
  <si>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</si>
  <si>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</si>
  <si>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</si>
  <si>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</si>
  <si>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</si>
  <si>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</si>
  <si>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</si>
  <si>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</si>
  <si>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</si>
  <si>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</si>
  <si>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</si>
  <si>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</si>
  <si>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</si>
  <si>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</si>
  <si>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</si>
  <si>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</si>
  <si>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</si>
  <si>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</si>
  <si>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</si>
  <si>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</si>
  <si>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</si>
  <si>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</si>
  <si>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</si>
  <si>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</si>
  <si>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</si>
  <si>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</si>
  <si>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</si>
  <si>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</si>
  <si>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</si>
  <si>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</si>
  <si>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</si>
  <si>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</si>
  <si>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</si>
  <si>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</si>
  <si>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</si>
  <si>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</si>
  <si>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</si>
  <si>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</si>
  <si>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</si>
  <si>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</si>
  <si>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</si>
  <si>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</si>
  <si>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</si>
  <si>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</si>
  <si>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</si>
  <si>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</si>
  <si>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</si>
  <si>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</si>
  <si>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</si>
  <si>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</si>
  <si>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</si>
  <si>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</si>
  <si>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</si>
  <si>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</si>
  <si>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</si>
  <si>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</si>
  <si>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</si>
  <si>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</si>
  <si>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</si>
  <si>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</si>
  <si>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</si>
  <si>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</si>
  <si>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</si>
  <si>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</si>
  <si>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</si>
  <si>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</si>
  <si>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</si>
  <si>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</si>
  <si>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</si>
  <si>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</si>
  <si>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</si>
  <si>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</si>
  <si>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</si>
  <si>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</si>
  <si>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</si>
  <si>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M</t>
    <phoneticPr fontId="29" type="noConversion"/>
  </si>
  <si>
    <t>BMin</t>
    <phoneticPr fontId="29" type="noConversion"/>
  </si>
  <si>
    <t>CMax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</si>
  <si>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</si>
  <si>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</si>
  <si>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</si>
  <si>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h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</si>
  <si>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</si>
  <si>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</si>
  <si>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</si>
  <si>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</si>
  <si>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</si>
  <si>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</si>
  <si>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[0.384258]</t>
  </si>
  <si>
    <t>1 [0.792168]</t>
  </si>
  <si>
    <t>1 [1.197207]</t>
  </si>
  <si>
    <t>1 [1.600961]</t>
  </si>
  <si>
    <t>1 [2.008941]</t>
  </si>
  <si>
    <t>1 [2.412765]</t>
  </si>
  <si>
    <t>1 [2.819721]</t>
  </si>
  <si>
    <t>1 [3.227684]</t>
  </si>
  <si>
    <t>1 [3.636631]</t>
  </si>
  <si>
    <t>1 [4.041438]</t>
  </si>
  <si>
    <t>1 [4.446550]</t>
  </si>
  <si>
    <t>1 [4.851298]</t>
  </si>
  <si>
    <t>1 [5.261231]</t>
  </si>
  <si>
    <t>1 [5.669110]</t>
  </si>
  <si>
    <t>1 [6.073032]</t>
  </si>
  <si>
    <t>1 [6.477959]</t>
  </si>
  <si>
    <t>1 [6.882205]</t>
  </si>
  <si>
    <t>1 [7.287959]</t>
  </si>
  <si>
    <t>1 [7.697694]</t>
  </si>
  <si>
    <t>1 [8.100669]</t>
  </si>
  <si>
    <t>1 [8.509503]</t>
  </si>
  <si>
    <t>1 [8.914441]</t>
  </si>
  <si>
    <t>1 [9.322353]</t>
  </si>
  <si>
    <t>1 [9.725777]</t>
  </si>
  <si>
    <t>1 [10.132778]</t>
  </si>
  <si>
    <t>1 [10.543040]</t>
  </si>
  <si>
    <t>1 [10.944994]</t>
  </si>
  <si>
    <t>1 [11.354914]</t>
  </si>
  <si>
    <t>1 [11.757808]</t>
  </si>
  <si>
    <t>1 [12.164865]</t>
  </si>
  <si>
    <t>1 [12.573575]</t>
  </si>
  <si>
    <t>1 [12.975531]</t>
  </si>
  <si>
    <t>1 [13.383897]</t>
  </si>
  <si>
    <t>1 [13.788394]</t>
  </si>
  <si>
    <t>1 [14.198511]</t>
  </si>
  <si>
    <t>1 [14.600208]</t>
  </si>
  <si>
    <t>1 [15.009121]</t>
  </si>
  <si>
    <t>1 [15.414179]</t>
  </si>
  <si>
    <t>1 [15.820921]</t>
  </si>
  <si>
    <t>1 [16.229893]</t>
  </si>
  <si>
    <t>1 [16.634771]</t>
  </si>
  <si>
    <t>1 [17.040740]</t>
  </si>
  <si>
    <t>1 [17.447706]</t>
  </si>
  <si>
    <t>1 [17.856623]</t>
  </si>
  <si>
    <t>1 [18.261443]</t>
  </si>
  <si>
    <t>1 [18.669363]</t>
  </si>
  <si>
    <t>1 [19.067564]</t>
  </si>
  <si>
    <t>1 [19.477397]</t>
  </si>
  <si>
    <t>1 [19.884981]</t>
  </si>
  <si>
    <t>1 [20.290939]</t>
  </si>
  <si>
    <t>1 [20.697891]</t>
  </si>
  <si>
    <t>1 [21.104432]</t>
  </si>
  <si>
    <t>1 [21.507740]</t>
  </si>
  <si>
    <t>1 [21.914631]</t>
  </si>
  <si>
    <t>1 [22.323531]</t>
  </si>
  <si>
    <t>1 [22.728487]</t>
  </si>
  <si>
    <t>1 [23.132543]</t>
  </si>
  <si>
    <t>1 [23.539360]</t>
  </si>
  <si>
    <t>1 [23.945216]</t>
  </si>
  <si>
    <t>1 [24.355178]</t>
  </si>
  <si>
    <t>1 [24.757118]</t>
  </si>
  <si>
    <t>1 [25.165273]</t>
  </si>
  <si>
    <t>1 [25.570882]</t>
  </si>
  <si>
    <t>1 [25.976051]</t>
  </si>
  <si>
    <t>1 [26.386759]</t>
  </si>
  <si>
    <t>1 [26.790625]</t>
  </si>
  <si>
    <t>1 [27.197538]</t>
  </si>
  <si>
    <t>1 [27.604609]</t>
  </si>
  <si>
    <t>1 [28.007394]</t>
  </si>
  <si>
    <t>1 [28.413291]</t>
  </si>
  <si>
    <t>1 [28.821401]</t>
  </si>
  <si>
    <t>1 [29.228107]</t>
  </si>
  <si>
    <t>1 [29.631130]</t>
  </si>
  <si>
    <t>1 [30.041926]</t>
  </si>
  <si>
    <t>2 [30.616620]</t>
  </si>
  <si>
    <t>2 [30.995370]</t>
  </si>
  <si>
    <t>2 [31.368383]</t>
  </si>
  <si>
    <t>2 [31.743411]</t>
  </si>
  <si>
    <t>2 [32.118556]</t>
  </si>
  <si>
    <t>2 [32.527339]</t>
  </si>
  <si>
    <t>2 [32.933327]</t>
  </si>
  <si>
    <t>2 [33.335114]</t>
  </si>
  <si>
    <t>2 [33.745039]</t>
  </si>
  <si>
    <t>2 [34.148118]</t>
  </si>
  <si>
    <t>2 [34.557872]</t>
  </si>
  <si>
    <t>2 [34.965143]</t>
  </si>
  <si>
    <t>2 [35.365953]</t>
  </si>
  <si>
    <t>2 [35.773594]</t>
  </si>
  <si>
    <t>2 [36.181897]</t>
  </si>
  <si>
    <t>2 [36.588418]</t>
  </si>
  <si>
    <t>2 [36.993364]</t>
  </si>
  <si>
    <t>2 [37.399406]</t>
  </si>
  <si>
    <t>2 [37.805137]</t>
  </si>
  <si>
    <t>2 [38.212439]</t>
  </si>
  <si>
    <t>2 [38.619007]</t>
  </si>
  <si>
    <t>2 [39.019266]</t>
  </si>
  <si>
    <t>2 [39.432855]</t>
  </si>
  <si>
    <t>2 [39.837734]</t>
  </si>
  <si>
    <t>2 [40.241675]</t>
  </si>
  <si>
    <t>2 [40.651569]</t>
  </si>
  <si>
    <t>2 [41.055531]</t>
  </si>
  <si>
    <t>2 [41.464360]</t>
  </si>
  <si>
    <t>2 [41.867328]</t>
  </si>
  <si>
    <t>2 [42.273216]</t>
  </si>
  <si>
    <t>2 [42.681156]</t>
  </si>
  <si>
    <t>2 [43.089056]</t>
  </si>
  <si>
    <t>2 [43.494967]</t>
  </si>
  <si>
    <t>2 [43.901868]</t>
  </si>
  <si>
    <t>2 [44.305910]</t>
  </si>
  <si>
    <t>2 [44.708851]</t>
  </si>
  <si>
    <t>2 [45.120666]</t>
  </si>
  <si>
    <t>2 [45.525534]</t>
  </si>
  <si>
    <t>2 [45.931510]</t>
  </si>
  <si>
    <t>2 [46.336513]</t>
  </si>
  <si>
    <t>2 [46.744363]</t>
  </si>
  <si>
    <t>2 [47.149277]</t>
  </si>
  <si>
    <t>2 [47.558512]</t>
  </si>
  <si>
    <t>2 [47.965246]</t>
  </si>
  <si>
    <t>2 [48.368948]</t>
  </si>
  <si>
    <t>2 [48.772093]</t>
  </si>
  <si>
    <t>2 [49.182072]</t>
  </si>
  <si>
    <t>2 [49.586698]</t>
  </si>
  <si>
    <t>2 [49.992555]</t>
  </si>
  <si>
    <t>2 [50.399510]</t>
  </si>
  <si>
    <t>2 [50.805436]</t>
  </si>
  <si>
    <t>2 [51.211357]</t>
  </si>
  <si>
    <t>2 [51.619244]</t>
  </si>
  <si>
    <t>2 [52.025135]</t>
  </si>
  <si>
    <t>2 [52.432330]</t>
  </si>
  <si>
    <t>2 [52.835018]</t>
  </si>
  <si>
    <t>2 [53.243918]</t>
  </si>
  <si>
    <t>2 [53.649918]</t>
  </si>
  <si>
    <t>2 [54.053973]</t>
  </si>
  <si>
    <t>2 [54.463631]</t>
  </si>
  <si>
    <t>2 [54.870603]</t>
  </si>
  <si>
    <t>2 [55.273448]</t>
  </si>
  <si>
    <t>2 [55.681340]</t>
  </si>
  <si>
    <t>2 [56.084603]</t>
  </si>
  <si>
    <t>2 [56.495194]</t>
  </si>
  <si>
    <t>2 [56.898256]</t>
  </si>
  <si>
    <t>2 [57.308063]</t>
  </si>
  <si>
    <t>2 [57.712971]</t>
  </si>
  <si>
    <t>2 [58.118118]</t>
  </si>
  <si>
    <t>2 [58.522753]</t>
  </si>
  <si>
    <t>2 [58.932002]</t>
  </si>
  <si>
    <t>2 [59.339641]</t>
  </si>
  <si>
    <t>2 [59.742517]</t>
  </si>
  <si>
    <t>2 [60.150678]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</si>
  <si>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</si>
  <si>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</si>
  <si>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</si>
  <si>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</si>
  <si>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</si>
  <si>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</si>
  <si>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</si>
  <si>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</si>
  <si>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</si>
  <si>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</si>
  <si>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</si>
  <si>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</si>
  <si>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</si>
  <si>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</si>
  <si>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李芳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</si>
</sst>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52.116799999999998</c:v>
                </c:pt>
                <c:pt idx="1">
                  <c:v>28.2727</c:v>
                </c:pt>
                <c:pt idx="2">
                  <c:v>15.352600000000001</c:v>
                </c:pt>
                <c:pt idx="3">
                  <c:v>31.251799999999999</c:v>
                </c:pt>
                <c:pt idx="4">
                  <c:v>65.246600000000001</c:v>
                </c:pt>
                <c:pt idx="5">
                  <c:v>78.386899999999997</c:v>
                </c:pt>
                <c:pt idx="6">
                  <c:v>33.734900000000003</c:v>
                </c:pt>
                <c:pt idx="7">
                  <c:v>71.831100000000006</c:v>
                </c:pt>
                <c:pt idx="8">
                  <c:v>24.556699999999999</c:v>
                </c:pt>
                <c:pt idx="9">
                  <c:v>37.6601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0.4977747904128223</c:v>
                </c:pt>
                <c:pt idx="1">
                  <c:v>0.25366969819845914</c:v>
                </c:pt>
                <c:pt idx="2">
                  <c:v>0.24855551138871854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311</c:v>
                </c:pt>
                <c:pt idx="7">
                  <c:v>0</c:v>
                </c:pt>
                <c:pt idx="8">
                  <c:v>767</c:v>
                </c:pt>
                <c:pt idx="9">
                  <c:v>0</c:v>
                </c:pt>
                <c:pt idx="10">
                  <c:v>0</c:v>
                </c:pt>
                <c:pt idx="11">
                  <c:v>1053</c:v>
                </c:pt>
                <c:pt idx="12">
                  <c:v>0</c:v>
                </c:pt>
                <c:pt idx="13">
                  <c:v>657</c:v>
                </c:pt>
                <c:pt idx="14">
                  <c:v>0</c:v>
                </c:pt>
                <c:pt idx="15">
                  <c:v>0</c:v>
                </c:pt>
                <c:pt idx="16">
                  <c:v>1718</c:v>
                </c:pt>
                <c:pt idx="17">
                  <c:v>0</c:v>
                </c:pt>
                <c:pt idx="18">
                  <c:v>0</c:v>
                </c:pt>
                <c:pt idx="19">
                  <c:v>3710</c:v>
                </c:pt>
                <c:pt idx="20">
                  <c:v>0</c:v>
                </c:pt>
                <c:pt idx="21">
                  <c:v>4680</c:v>
                </c:pt>
                <c:pt idx="22">
                  <c:v>0</c:v>
                </c:pt>
                <c:pt idx="23">
                  <c:v>0</c:v>
                </c:pt>
                <c:pt idx="24">
                  <c:v>8132</c:v>
                </c:pt>
                <c:pt idx="25">
                  <c:v>0</c:v>
                </c:pt>
                <c:pt idx="26">
                  <c:v>12956</c:v>
                </c:pt>
                <c:pt idx="27">
                  <c:v>0</c:v>
                </c:pt>
                <c:pt idx="28">
                  <c:v>0</c:v>
                </c:pt>
                <c:pt idx="29">
                  <c:v>17603</c:v>
                </c:pt>
                <c:pt idx="30">
                  <c:v>0</c:v>
                </c:pt>
                <c:pt idx="31">
                  <c:v>17495</c:v>
                </c:pt>
                <c:pt idx="32">
                  <c:v>0</c:v>
                </c:pt>
                <c:pt idx="33">
                  <c:v>0</c:v>
                </c:pt>
                <c:pt idx="34">
                  <c:v>26017</c:v>
                </c:pt>
                <c:pt idx="35">
                  <c:v>0</c:v>
                </c:pt>
                <c:pt idx="36">
                  <c:v>0</c:v>
                </c:pt>
                <c:pt idx="37">
                  <c:v>29907</c:v>
                </c:pt>
                <c:pt idx="38">
                  <c:v>0</c:v>
                </c:pt>
                <c:pt idx="39">
                  <c:v>34117</c:v>
                </c:pt>
                <c:pt idx="40">
                  <c:v>0</c:v>
                </c:pt>
                <c:pt idx="41">
                  <c:v>0</c:v>
                </c:pt>
                <c:pt idx="42">
                  <c:v>46970</c:v>
                </c:pt>
                <c:pt idx="43">
                  <c:v>0</c:v>
                </c:pt>
                <c:pt idx="44">
                  <c:v>45024</c:v>
                </c:pt>
                <c:pt idx="45">
                  <c:v>0</c:v>
                </c:pt>
                <c:pt idx="46">
                  <c:v>0</c:v>
                </c:pt>
                <c:pt idx="47">
                  <c:v>50745</c:v>
                </c:pt>
                <c:pt idx="48">
                  <c:v>0</c:v>
                </c:pt>
                <c:pt idx="49">
                  <c:v>54359</c:v>
                </c:pt>
                <c:pt idx="50">
                  <c:v>0</c:v>
                </c:pt>
                <c:pt idx="51">
                  <c:v>0</c:v>
                </c:pt>
                <c:pt idx="52">
                  <c:v>66323</c:v>
                </c:pt>
                <c:pt idx="53">
                  <c:v>0</c:v>
                </c:pt>
                <c:pt idx="54">
                  <c:v>0</c:v>
                </c:pt>
                <c:pt idx="55">
                  <c:v>67827</c:v>
                </c:pt>
                <c:pt idx="56">
                  <c:v>0</c:v>
                </c:pt>
                <c:pt idx="57">
                  <c:v>72948</c:v>
                </c:pt>
                <c:pt idx="58">
                  <c:v>0</c:v>
                </c:pt>
                <c:pt idx="59">
                  <c:v>0</c:v>
                </c:pt>
                <c:pt idx="60">
                  <c:v>81092</c:v>
                </c:pt>
                <c:pt idx="61">
                  <c:v>0</c:v>
                </c:pt>
                <c:pt idx="62">
                  <c:v>88441</c:v>
                </c:pt>
                <c:pt idx="63">
                  <c:v>0</c:v>
                </c:pt>
                <c:pt idx="64">
                  <c:v>0</c:v>
                </c:pt>
                <c:pt idx="65">
                  <c:v>98990</c:v>
                </c:pt>
                <c:pt idx="66">
                  <c:v>0</c:v>
                </c:pt>
                <c:pt idx="67">
                  <c:v>104434</c:v>
                </c:pt>
                <c:pt idx="68">
                  <c:v>0</c:v>
                </c:pt>
                <c:pt idx="69">
                  <c:v>0</c:v>
                </c:pt>
                <c:pt idx="70">
                  <c:v>117521</c:v>
                </c:pt>
                <c:pt idx="71">
                  <c:v>0</c:v>
                </c:pt>
                <c:pt idx="72">
                  <c:v>0</c:v>
                </c:pt>
                <c:pt idx="73">
                  <c:v>126747</c:v>
                </c:pt>
                <c:pt idx="74">
                  <c:v>0</c:v>
                </c:pt>
                <c:pt idx="75">
                  <c:v>130854</c:v>
                </c:pt>
                <c:pt idx="76">
                  <c:v>0</c:v>
                </c:pt>
                <c:pt idx="77">
                  <c:v>0</c:v>
                </c:pt>
                <c:pt idx="78">
                  <c:v>138973</c:v>
                </c:pt>
                <c:pt idx="79">
                  <c:v>0</c:v>
                </c:pt>
                <c:pt idx="80">
                  <c:v>146494</c:v>
                </c:pt>
                <c:pt idx="81">
                  <c:v>0</c:v>
                </c:pt>
                <c:pt idx="82">
                  <c:v>0</c:v>
                </c:pt>
                <c:pt idx="83">
                  <c:v>152478</c:v>
                </c:pt>
                <c:pt idx="84">
                  <c:v>0</c:v>
                </c:pt>
                <c:pt idx="85">
                  <c:v>0</c:v>
                </c:pt>
                <c:pt idx="86">
                  <c:v>143457</c:v>
                </c:pt>
                <c:pt idx="87">
                  <c:v>0</c:v>
                </c:pt>
                <c:pt idx="88">
                  <c:v>140537</c:v>
                </c:pt>
                <c:pt idx="89">
                  <c:v>0</c:v>
                </c:pt>
                <c:pt idx="90">
                  <c:v>0</c:v>
                </c:pt>
                <c:pt idx="91">
                  <c:v>143986</c:v>
                </c:pt>
                <c:pt idx="92">
                  <c:v>0</c:v>
                </c:pt>
                <c:pt idx="93">
                  <c:v>146808</c:v>
                </c:pt>
                <c:pt idx="94">
                  <c:v>0</c:v>
                </c:pt>
                <c:pt idx="95">
                  <c:v>0</c:v>
                </c:pt>
                <c:pt idx="96">
                  <c:v>157159</c:v>
                </c:pt>
                <c:pt idx="97">
                  <c:v>0</c:v>
                </c:pt>
                <c:pt idx="98">
                  <c:v>150884</c:v>
                </c:pt>
                <c:pt idx="99">
                  <c:v>0</c:v>
                </c:pt>
                <c:pt idx="100">
                  <c:v>0</c:v>
                </c:pt>
                <c:pt idx="101">
                  <c:v>167719</c:v>
                </c:pt>
                <c:pt idx="102">
                  <c:v>0</c:v>
                </c:pt>
                <c:pt idx="103">
                  <c:v>0</c:v>
                </c:pt>
                <c:pt idx="104">
                  <c:v>166810</c:v>
                </c:pt>
                <c:pt idx="105">
                  <c:v>0</c:v>
                </c:pt>
                <c:pt idx="106">
                  <c:v>159788</c:v>
                </c:pt>
                <c:pt idx="107">
                  <c:v>0</c:v>
                </c:pt>
                <c:pt idx="108">
                  <c:v>0</c:v>
                </c:pt>
                <c:pt idx="109">
                  <c:v>156460</c:v>
                </c:pt>
                <c:pt idx="110">
                  <c:v>0</c:v>
                </c:pt>
                <c:pt idx="111">
                  <c:v>154216</c:v>
                </c:pt>
                <c:pt idx="112">
                  <c:v>0</c:v>
                </c:pt>
                <c:pt idx="113">
                  <c:v>0</c:v>
                </c:pt>
                <c:pt idx="114">
                  <c:v>159655</c:v>
                </c:pt>
                <c:pt idx="115">
                  <c:v>0</c:v>
                </c:pt>
                <c:pt idx="116">
                  <c:v>161829</c:v>
                </c:pt>
                <c:pt idx="117">
                  <c:v>0</c:v>
                </c:pt>
                <c:pt idx="118">
                  <c:v>0</c:v>
                </c:pt>
                <c:pt idx="119">
                  <c:v>163980</c:v>
                </c:pt>
                <c:pt idx="120">
                  <c:v>0</c:v>
                </c:pt>
                <c:pt idx="121">
                  <c:v>0</c:v>
                </c:pt>
                <c:pt idx="122">
                  <c:v>168571</c:v>
                </c:pt>
                <c:pt idx="123">
                  <c:v>0</c:v>
                </c:pt>
                <c:pt idx="124">
                  <c:v>161694</c:v>
                </c:pt>
                <c:pt idx="125">
                  <c:v>0</c:v>
                </c:pt>
                <c:pt idx="126">
                  <c:v>0</c:v>
                </c:pt>
                <c:pt idx="127">
                  <c:v>164803</c:v>
                </c:pt>
                <c:pt idx="128">
                  <c:v>0</c:v>
                </c:pt>
                <c:pt idx="129">
                  <c:v>161565</c:v>
                </c:pt>
                <c:pt idx="130">
                  <c:v>0</c:v>
                </c:pt>
                <c:pt idx="131">
                  <c:v>0</c:v>
                </c:pt>
                <c:pt idx="132">
                  <c:v>159745</c:v>
                </c:pt>
                <c:pt idx="133">
                  <c:v>0</c:v>
                </c:pt>
                <c:pt idx="134">
                  <c:v>158894</c:v>
                </c:pt>
                <c:pt idx="135">
                  <c:v>0</c:v>
                </c:pt>
                <c:pt idx="136">
                  <c:v>0</c:v>
                </c:pt>
                <c:pt idx="137">
                  <c:v>163688</c:v>
                </c:pt>
                <c:pt idx="138">
                  <c:v>0</c:v>
                </c:pt>
                <c:pt idx="139">
                  <c:v>0</c:v>
                </c:pt>
                <c:pt idx="140">
                  <c:v>166850</c:v>
                </c:pt>
                <c:pt idx="141">
                  <c:v>0</c:v>
                </c:pt>
                <c:pt idx="142">
                  <c:v>176306</c:v>
                </c:pt>
                <c:pt idx="143">
                  <c:v>0</c:v>
                </c:pt>
                <c:pt idx="144">
                  <c:v>0</c:v>
                </c:pt>
                <c:pt idx="145">
                  <c:v>185876</c:v>
                </c:pt>
                <c:pt idx="146">
                  <c:v>0</c:v>
                </c:pt>
                <c:pt idx="147">
                  <c:v>193189</c:v>
                </c:pt>
                <c:pt idx="148">
                  <c:v>0</c:v>
                </c:pt>
                <c:pt idx="149">
                  <c:v>0</c:v>
                </c:pt>
                <c:pt idx="150">
                  <c:v>189432</c:v>
                </c:pt>
                <c:pt idx="151">
                  <c:v>0</c:v>
                </c:pt>
                <c:pt idx="152">
                  <c:v>183631</c:v>
                </c:pt>
                <c:pt idx="153">
                  <c:v>0</c:v>
                </c:pt>
                <c:pt idx="154">
                  <c:v>0</c:v>
                </c:pt>
                <c:pt idx="155">
                  <c:v>181230</c:v>
                </c:pt>
                <c:pt idx="156">
                  <c:v>0</c:v>
                </c:pt>
                <c:pt idx="157">
                  <c:v>0</c:v>
                </c:pt>
                <c:pt idx="158">
                  <c:v>179792</c:v>
                </c:pt>
                <c:pt idx="159">
                  <c:v>0</c:v>
                </c:pt>
                <c:pt idx="160">
                  <c:v>163331</c:v>
                </c:pt>
                <c:pt idx="161">
                  <c:v>0</c:v>
                </c:pt>
                <c:pt idx="162">
                  <c:v>0</c:v>
                </c:pt>
                <c:pt idx="163">
                  <c:v>147694</c:v>
                </c:pt>
                <c:pt idx="164">
                  <c:v>0</c:v>
                </c:pt>
                <c:pt idx="165">
                  <c:v>134020</c:v>
                </c:pt>
                <c:pt idx="166">
                  <c:v>0</c:v>
                </c:pt>
                <c:pt idx="167">
                  <c:v>0</c:v>
                </c:pt>
                <c:pt idx="168">
                  <c:v>124591</c:v>
                </c:pt>
                <c:pt idx="169">
                  <c:v>0</c:v>
                </c:pt>
                <c:pt idx="170">
                  <c:v>0</c:v>
                </c:pt>
                <c:pt idx="171">
                  <c:v>111491</c:v>
                </c:pt>
                <c:pt idx="172">
                  <c:v>0</c:v>
                </c:pt>
                <c:pt idx="173">
                  <c:v>98971</c:v>
                </c:pt>
                <c:pt idx="174">
                  <c:v>0</c:v>
                </c:pt>
                <c:pt idx="175">
                  <c:v>0</c:v>
                </c:pt>
                <c:pt idx="176">
                  <c:v>87557</c:v>
                </c:pt>
                <c:pt idx="177">
                  <c:v>0</c:v>
                </c:pt>
                <c:pt idx="178">
                  <c:v>75551</c:v>
                </c:pt>
                <c:pt idx="179">
                  <c:v>0</c:v>
                </c:pt>
                <c:pt idx="180">
                  <c:v>0</c:v>
                </c:pt>
                <c:pt idx="181">
                  <c:v>60271</c:v>
                </c:pt>
                <c:pt idx="182">
                  <c:v>0</c:v>
                </c:pt>
                <c:pt idx="183">
                  <c:v>52914</c:v>
                </c:pt>
                <c:pt idx="184">
                  <c:v>0</c:v>
                </c:pt>
                <c:pt idx="185">
                  <c:v>0</c:v>
                </c:pt>
                <c:pt idx="186">
                  <c:v>41499</c:v>
                </c:pt>
                <c:pt idx="187">
                  <c:v>0</c:v>
                </c:pt>
                <c:pt idx="188">
                  <c:v>0</c:v>
                </c:pt>
                <c:pt idx="189">
                  <c:v>34662</c:v>
                </c:pt>
                <c:pt idx="190">
                  <c:v>0</c:v>
                </c:pt>
                <c:pt idx="191">
                  <c:v>27216</c:v>
                </c:pt>
                <c:pt idx="192">
                  <c:v>0</c:v>
                </c:pt>
                <c:pt idx="193">
                  <c:v>0</c:v>
                </c:pt>
                <c:pt idx="194">
                  <c:v>17230</c:v>
                </c:pt>
                <c:pt idx="195">
                  <c:v>0</c:v>
                </c:pt>
                <c:pt idx="196">
                  <c:v>15224</c:v>
                </c:pt>
                <c:pt idx="197">
                  <c:v>0</c:v>
                </c:pt>
                <c:pt idx="198">
                  <c:v>0</c:v>
                </c:pt>
                <c:pt idx="199">
                  <c:v>12333</c:v>
                </c:pt>
                <c:pt idx="200">
                  <c:v>0</c:v>
                </c:pt>
                <c:pt idx="201">
                  <c:v>11596</c:v>
                </c:pt>
                <c:pt idx="202">
                  <c:v>0</c:v>
                </c:pt>
                <c:pt idx="203">
                  <c:v>0</c:v>
                </c:pt>
                <c:pt idx="204">
                  <c:v>11218</c:v>
                </c:pt>
                <c:pt idx="205">
                  <c:v>0</c:v>
                </c:pt>
                <c:pt idx="206">
                  <c:v>0</c:v>
                </c:pt>
                <c:pt idx="207">
                  <c:v>9635</c:v>
                </c:pt>
                <c:pt idx="208">
                  <c:v>0</c:v>
                </c:pt>
                <c:pt idx="209">
                  <c:v>6051</c:v>
                </c:pt>
                <c:pt idx="210">
                  <c:v>0</c:v>
                </c:pt>
                <c:pt idx="211">
                  <c:v>0</c:v>
                </c:pt>
                <c:pt idx="212">
                  <c:v>3663</c:v>
                </c:pt>
                <c:pt idx="213">
                  <c:v>0</c:v>
                </c:pt>
                <c:pt idx="214">
                  <c:v>3719</c:v>
                </c:pt>
                <c:pt idx="215">
                  <c:v>0</c:v>
                </c:pt>
                <c:pt idx="216">
                  <c:v>0</c:v>
                </c:pt>
                <c:pt idx="217">
                  <c:v>2454</c:v>
                </c:pt>
                <c:pt idx="218">
                  <c:v>0</c:v>
                </c:pt>
                <c:pt idx="219">
                  <c:v>374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2.6108099999999999</c:v>
                </c:pt>
                <c:pt idx="1">
                  <c:v>2.6824700000000004</c:v>
                </c:pt>
                <c:pt idx="2">
                  <c:v>2.7545700000000002</c:v>
                </c:pt>
                <c:pt idx="3">
                  <c:v>2.8247100000000005</c:v>
                </c:pt>
                <c:pt idx="4">
                  <c:v>2.8954999999999997</c:v>
                </c:pt>
                <c:pt idx="5">
                  <c:v>2.9702999999999999</c:v>
                </c:pt>
                <c:pt idx="6">
                  <c:v>3.0477599999999998</c:v>
                </c:pt>
                <c:pt idx="7">
                  <c:v>3.12568</c:v>
                </c:pt>
                <c:pt idx="8">
                  <c:v>3.20749</c:v>
                </c:pt>
                <c:pt idx="9">
                  <c:v>3.2926000000000002</c:v>
                </c:pt>
                <c:pt idx="10">
                  <c:v>3.37696</c:v>
                </c:pt>
                <c:pt idx="11">
                  <c:v>3.4616599999999997</c:v>
                </c:pt>
                <c:pt idx="12">
                  <c:v>3.5454499999999998</c:v>
                </c:pt>
                <c:pt idx="13">
                  <c:v>3.6296099999999996</c:v>
                </c:pt>
                <c:pt idx="14">
                  <c:v>3.7143900000000003</c:v>
                </c:pt>
                <c:pt idx="15">
                  <c:v>3.8010699999999997</c:v>
                </c:pt>
                <c:pt idx="16">
                  <c:v>3.8895</c:v>
                </c:pt>
                <c:pt idx="17">
                  <c:v>3.9793699999999999</c:v>
                </c:pt>
                <c:pt idx="18">
                  <c:v>4.0705299999999998</c:v>
                </c:pt>
                <c:pt idx="19">
                  <c:v>4.1587399999999999</c:v>
                </c:pt>
                <c:pt idx="20">
                  <c:v>4.2434699999999994</c:v>
                </c:pt>
                <c:pt idx="21">
                  <c:v>4.3230599999999999</c:v>
                </c:pt>
                <c:pt idx="22">
                  <c:v>4.3994900000000001</c:v>
                </c:pt>
                <c:pt idx="23">
                  <c:v>4.4732599999999998</c:v>
                </c:pt>
                <c:pt idx="24">
                  <c:v>4.54183</c:v>
                </c:pt>
                <c:pt idx="25">
                  <c:v>4.6046100000000001</c:v>
                </c:pt>
                <c:pt idx="26">
                  <c:v>4.6633899999999997</c:v>
                </c:pt>
                <c:pt idx="27">
                  <c:v>4.7153600000000004</c:v>
                </c:pt>
                <c:pt idx="28">
                  <c:v>4.76389</c:v>
                </c:pt>
                <c:pt idx="29">
                  <c:v>4.8105399999999996</c:v>
                </c:pt>
                <c:pt idx="30">
                  <c:v>4.8541400000000001</c:v>
                </c:pt>
                <c:pt idx="31">
                  <c:v>4.89419</c:v>
                </c:pt>
                <c:pt idx="32">
                  <c:v>4.9292100000000003</c:v>
                </c:pt>
                <c:pt idx="33">
                  <c:v>4.9589100000000004</c:v>
                </c:pt>
                <c:pt idx="34">
                  <c:v>4.9845600000000001</c:v>
                </c:pt>
                <c:pt idx="35">
                  <c:v>5.0103399999999993</c:v>
                </c:pt>
                <c:pt idx="36">
                  <c:v>5.0368999999999993</c:v>
                </c:pt>
                <c:pt idx="37">
                  <c:v>5.0627800000000001</c:v>
                </c:pt>
                <c:pt idx="38">
                  <c:v>5.0855099999999993</c:v>
                </c:pt>
                <c:pt idx="39">
                  <c:v>5.1055799999999998</c:v>
                </c:pt>
                <c:pt idx="40">
                  <c:v>5.1232999999999995</c:v>
                </c:pt>
                <c:pt idx="41">
                  <c:v>5.1403200000000009</c:v>
                </c:pt>
                <c:pt idx="42">
                  <c:v>5.1542600000000007</c:v>
                </c:pt>
                <c:pt idx="43">
                  <c:v>5.16554</c:v>
                </c:pt>
                <c:pt idx="44">
                  <c:v>5.1751400000000007</c:v>
                </c:pt>
                <c:pt idx="45">
                  <c:v>5.1842500000000005</c:v>
                </c:pt>
                <c:pt idx="46">
                  <c:v>5.1964100000000002</c:v>
                </c:pt>
                <c:pt idx="47">
                  <c:v>5.20655</c:v>
                </c:pt>
                <c:pt idx="48">
                  <c:v>5.2149299999999998</c:v>
                </c:pt>
                <c:pt idx="49">
                  <c:v>5.2230400000000001</c:v>
                </c:pt>
                <c:pt idx="50">
                  <c:v>5.2294200000000002</c:v>
                </c:pt>
                <c:pt idx="51">
                  <c:v>5.2396699999999994</c:v>
                </c:pt>
                <c:pt idx="52">
                  <c:v>5.2513699999999996</c:v>
                </c:pt>
                <c:pt idx="53">
                  <c:v>5.2613399999999997</c:v>
                </c:pt>
                <c:pt idx="54">
                  <c:v>5.2702400000000003</c:v>
                </c:pt>
                <c:pt idx="55">
                  <c:v>5.2795499999999995</c:v>
                </c:pt>
                <c:pt idx="56">
                  <c:v>5.2905899999999999</c:v>
                </c:pt>
                <c:pt idx="57">
                  <c:v>5.3018699999999992</c:v>
                </c:pt>
                <c:pt idx="58">
                  <c:v>5.3105100000000007</c:v>
                </c:pt>
                <c:pt idx="59">
                  <c:v>5.3157399999999999</c:v>
                </c:pt>
                <c:pt idx="60">
                  <c:v>5.3185700000000002</c:v>
                </c:pt>
                <c:pt idx="61">
                  <c:v>5.3180499999999995</c:v>
                </c:pt>
                <c:pt idx="62">
                  <c:v>5.3156999999999996</c:v>
                </c:pt>
                <c:pt idx="63">
                  <c:v>5.3136799999999997</c:v>
                </c:pt>
                <c:pt idx="64">
                  <c:v>5.3127899999999997</c:v>
                </c:pt>
                <c:pt idx="65">
                  <c:v>5.3088500000000005</c:v>
                </c:pt>
                <c:pt idx="66">
                  <c:v>5.3014899999999994</c:v>
                </c:pt>
                <c:pt idx="67">
                  <c:v>5.2927299999999997</c:v>
                </c:pt>
                <c:pt idx="68">
                  <c:v>5.2739700000000003</c:v>
                </c:pt>
                <c:pt idx="69">
                  <c:v>5.2645900000000001</c:v>
                </c:pt>
                <c:pt idx="70">
                  <c:v>5.246690000000001</c:v>
                </c:pt>
                <c:pt idx="71">
                  <c:v>5.2256899999999993</c:v>
                </c:pt>
                <c:pt idx="72">
                  <c:v>5.2055300000000004</c:v>
                </c:pt>
                <c:pt idx="73">
                  <c:v>5.1848299999999998</c:v>
                </c:pt>
                <c:pt idx="74">
                  <c:v>5.1648300000000003</c:v>
                </c:pt>
                <c:pt idx="75">
                  <c:v>5.1405900000000004</c:v>
                </c:pt>
                <c:pt idx="76">
                  <c:v>5.1217699999999997</c:v>
                </c:pt>
                <c:pt idx="77">
                  <c:v>5.1028399999999996</c:v>
                </c:pt>
                <c:pt idx="78">
                  <c:v>5.0831599999999995</c:v>
                </c:pt>
                <c:pt idx="79">
                  <c:v>5.0615299999999994</c:v>
                </c:pt>
                <c:pt idx="80">
                  <c:v>5.0362300000000007</c:v>
                </c:pt>
                <c:pt idx="81">
                  <c:v>5.0114099999999997</c:v>
                </c:pt>
                <c:pt idx="82">
                  <c:v>4.9885099999999998</c:v>
                </c:pt>
                <c:pt idx="83">
                  <c:v>4.9686599999999999</c:v>
                </c:pt>
                <c:pt idx="84">
                  <c:v>4.9474400000000003</c:v>
                </c:pt>
                <c:pt idx="85">
                  <c:v>4.9243600000000001</c:v>
                </c:pt>
                <c:pt idx="86">
                  <c:v>4.8989799999999999</c:v>
                </c:pt>
                <c:pt idx="87">
                  <c:v>4.8708499999999999</c:v>
                </c:pt>
                <c:pt idx="88">
                  <c:v>4.8382699999999996</c:v>
                </c:pt>
                <c:pt idx="89">
                  <c:v>4.80274</c:v>
                </c:pt>
                <c:pt idx="90">
                  <c:v>4.7693000000000003</c:v>
                </c:pt>
                <c:pt idx="91">
                  <c:v>4.7369399999999997</c:v>
                </c:pt>
                <c:pt idx="92">
                  <c:v>4.7103200000000003</c:v>
                </c:pt>
                <c:pt idx="93">
                  <c:v>4.6873800000000001</c:v>
                </c:pt>
                <c:pt idx="94">
                  <c:v>4.6694599999999999</c:v>
                </c:pt>
                <c:pt idx="95">
                  <c:v>4.6554400000000005</c:v>
                </c:pt>
                <c:pt idx="96">
                  <c:v>4.6428799999999999</c:v>
                </c:pt>
                <c:pt idx="97">
                  <c:v>4.6361499999999998</c:v>
                </c:pt>
                <c:pt idx="98">
                  <c:v>4.6307999999999998</c:v>
                </c:pt>
                <c:pt idx="99">
                  <c:v>4.6221899999999998</c:v>
                </c:pt>
                <c:pt idx="100">
                  <c:v>4.6100099999999999</c:v>
                </c:pt>
                <c:pt idx="101">
                  <c:v>4.5965699999999998</c:v>
                </c:pt>
                <c:pt idx="102">
                  <c:v>4.5814700000000004</c:v>
                </c:pt>
                <c:pt idx="103">
                  <c:v>4.5631599999999999</c:v>
                </c:pt>
                <c:pt idx="104">
                  <c:v>4.5469499999999998</c:v>
                </c:pt>
                <c:pt idx="105">
                  <c:v>4.5308999999999999</c:v>
                </c:pt>
                <c:pt idx="106">
                  <c:v>4.5151200000000005</c:v>
                </c:pt>
                <c:pt idx="107">
                  <c:v>4.50054</c:v>
                </c:pt>
                <c:pt idx="108">
                  <c:v>4.4908700000000001</c:v>
                </c:pt>
                <c:pt idx="109">
                  <c:v>4.4870400000000004</c:v>
                </c:pt>
                <c:pt idx="110">
                  <c:v>4.4884899999999996</c:v>
                </c:pt>
                <c:pt idx="111">
                  <c:v>4.4973900000000002</c:v>
                </c:pt>
                <c:pt idx="112">
                  <c:v>4.5127100000000002</c:v>
                </c:pt>
                <c:pt idx="113">
                  <c:v>4.5271099999999995</c:v>
                </c:pt>
                <c:pt idx="114">
                  <c:v>4.5455899999999998</c:v>
                </c:pt>
                <c:pt idx="115">
                  <c:v>4.5647599999999997</c:v>
                </c:pt>
                <c:pt idx="116">
                  <c:v>4.5840100000000001</c:v>
                </c:pt>
                <c:pt idx="117">
                  <c:v>4.6019700000000006</c:v>
                </c:pt>
                <c:pt idx="118">
                  <c:v>4.6193800000000005</c:v>
                </c:pt>
                <c:pt idx="119">
                  <c:v>4.6359300000000001</c:v>
                </c:pt>
                <c:pt idx="120">
                  <c:v>4.6503100000000002</c:v>
                </c:pt>
                <c:pt idx="121">
                  <c:v>4.6603599999999998</c:v>
                </c:pt>
                <c:pt idx="122">
                  <c:v>4.6659600000000001</c:v>
                </c:pt>
                <c:pt idx="123">
                  <c:v>4.6707400000000003</c:v>
                </c:pt>
                <c:pt idx="124">
                  <c:v>4.6752099999999999</c:v>
                </c:pt>
                <c:pt idx="125">
                  <c:v>4.6808199999999998</c:v>
                </c:pt>
                <c:pt idx="126">
                  <c:v>4.6883400000000002</c:v>
                </c:pt>
                <c:pt idx="127">
                  <c:v>4.6987399999999999</c:v>
                </c:pt>
                <c:pt idx="128">
                  <c:v>4.7138499999999999</c:v>
                </c:pt>
                <c:pt idx="129">
                  <c:v>4.7300700000000004</c:v>
                </c:pt>
                <c:pt idx="130">
                  <c:v>4.7477</c:v>
                </c:pt>
                <c:pt idx="131">
                  <c:v>4.7650399999999999</c:v>
                </c:pt>
                <c:pt idx="132">
                  <c:v>4.7808400000000004</c:v>
                </c:pt>
                <c:pt idx="133">
                  <c:v>4.7938799999999997</c:v>
                </c:pt>
                <c:pt idx="134">
                  <c:v>4.8035099999999993</c:v>
                </c:pt>
                <c:pt idx="135">
                  <c:v>4.8097399999999997</c:v>
                </c:pt>
                <c:pt idx="136">
                  <c:v>4.8099100000000004</c:v>
                </c:pt>
                <c:pt idx="137">
                  <c:v>4.8051399999999997</c:v>
                </c:pt>
                <c:pt idx="138">
                  <c:v>4.8034100000000004</c:v>
                </c:pt>
                <c:pt idx="139">
                  <c:v>4.7986899999999997</c:v>
                </c:pt>
                <c:pt idx="140">
                  <c:v>4.7946299999999997</c:v>
                </c:pt>
                <c:pt idx="141">
                  <c:v>4.7897400000000001</c:v>
                </c:pt>
                <c:pt idx="142">
                  <c:v>4.7844600000000002</c:v>
                </c:pt>
                <c:pt idx="143">
                  <c:v>4.7778599999999996</c:v>
                </c:pt>
                <c:pt idx="144">
                  <c:v>4.7641600000000004</c:v>
                </c:pt>
                <c:pt idx="145">
                  <c:v>4.7482199999999999</c:v>
                </c:pt>
                <c:pt idx="146">
                  <c:v>4.7371099999999995</c:v>
                </c:pt>
                <c:pt idx="147">
                  <c:v>4.7360600000000002</c:v>
                </c:pt>
                <c:pt idx="148">
                  <c:v>4.7350300000000001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58.475999999999992</c:v>
                </c:pt>
                <c:pt idx="1">
                  <c:v>57.901599999999995</c:v>
                </c:pt>
                <c:pt idx="2">
                  <c:v>57.151499999999999</c:v>
                </c:pt>
                <c:pt idx="3">
                  <c:v>56.1419</c:v>
                </c:pt>
                <c:pt idx="4">
                  <c:v>55.0762</c:v>
                </c:pt>
                <c:pt idx="5">
                  <c:v>54.004200000000004</c:v>
                </c:pt>
                <c:pt idx="6">
                  <c:v>52.924800000000005</c:v>
                </c:pt>
                <c:pt idx="7">
                  <c:v>51.767200000000003</c:v>
                </c:pt>
                <c:pt idx="8">
                  <c:v>50.381699999999995</c:v>
                </c:pt>
                <c:pt idx="9">
                  <c:v>48.859700000000004</c:v>
                </c:pt>
                <c:pt idx="10">
                  <c:v>47.437899999999999</c:v>
                </c:pt>
                <c:pt idx="11">
                  <c:v>46.1614</c:v>
                </c:pt>
                <c:pt idx="12">
                  <c:v>44.959299999999999</c:v>
                </c:pt>
                <c:pt idx="13">
                  <c:v>43.796700000000001</c:v>
                </c:pt>
                <c:pt idx="14">
                  <c:v>42.595100000000002</c:v>
                </c:pt>
                <c:pt idx="15">
                  <c:v>41.5182</c:v>
                </c:pt>
                <c:pt idx="16">
                  <c:v>40.594000000000001</c:v>
                </c:pt>
                <c:pt idx="17">
                  <c:v>39.748400000000004</c:v>
                </c:pt>
                <c:pt idx="18">
                  <c:v>38.905000000000001</c:v>
                </c:pt>
                <c:pt idx="19">
                  <c:v>38.152099999999997</c:v>
                </c:pt>
                <c:pt idx="20">
                  <c:v>37.613799999999998</c:v>
                </c:pt>
                <c:pt idx="21">
                  <c:v>37.378499999999995</c:v>
                </c:pt>
                <c:pt idx="22">
                  <c:v>37.297999999999995</c:v>
                </c:pt>
                <c:pt idx="23">
                  <c:v>37.331199999999995</c:v>
                </c:pt>
                <c:pt idx="24">
                  <c:v>37.4039</c:v>
                </c:pt>
                <c:pt idx="25">
                  <c:v>37.492999999999995</c:v>
                </c:pt>
                <c:pt idx="26">
                  <c:v>37.650700000000001</c:v>
                </c:pt>
                <c:pt idx="27">
                  <c:v>37.816400000000002</c:v>
                </c:pt>
                <c:pt idx="28">
                  <c:v>37.960799999999999</c:v>
                </c:pt>
                <c:pt idx="29">
                  <c:v>38.091200000000001</c:v>
                </c:pt>
                <c:pt idx="30">
                  <c:v>38.188600000000001</c:v>
                </c:pt>
                <c:pt idx="31">
                  <c:v>38.214799999999997</c:v>
                </c:pt>
                <c:pt idx="32">
                  <c:v>38.159700000000001</c:v>
                </c:pt>
                <c:pt idx="33">
                  <c:v>38.010100000000001</c:v>
                </c:pt>
                <c:pt idx="34">
                  <c:v>37.759100000000004</c:v>
                </c:pt>
                <c:pt idx="35">
                  <c:v>37.448</c:v>
                </c:pt>
                <c:pt idx="36">
                  <c:v>37.0929</c:v>
                </c:pt>
                <c:pt idx="37">
                  <c:v>36.759300000000003</c:v>
                </c:pt>
                <c:pt idx="38">
                  <c:v>36.457899999999995</c:v>
                </c:pt>
                <c:pt idx="39">
                  <c:v>36.160899999999998</c:v>
                </c:pt>
                <c:pt idx="40">
                  <c:v>35.786900000000003</c:v>
                </c:pt>
                <c:pt idx="41">
                  <c:v>35.322900000000004</c:v>
                </c:pt>
                <c:pt idx="42">
                  <c:v>34.811700000000002</c:v>
                </c:pt>
                <c:pt idx="43">
                  <c:v>34.293199999999999</c:v>
                </c:pt>
                <c:pt idx="44">
                  <c:v>33.795999999999999</c:v>
                </c:pt>
                <c:pt idx="45">
                  <c:v>33.330199999999998</c:v>
                </c:pt>
                <c:pt idx="46">
                  <c:v>32.833199999999998</c:v>
                </c:pt>
                <c:pt idx="47">
                  <c:v>32.345500000000001</c:v>
                </c:pt>
                <c:pt idx="48">
                  <c:v>31.837399999999999</c:v>
                </c:pt>
                <c:pt idx="49">
                  <c:v>31.350699999999996</c:v>
                </c:pt>
                <c:pt idx="50">
                  <c:v>30.998799999999999</c:v>
                </c:pt>
                <c:pt idx="51">
                  <c:v>30.646600000000003</c:v>
                </c:pt>
                <c:pt idx="52">
                  <c:v>30.384800000000002</c:v>
                </c:pt>
                <c:pt idx="53">
                  <c:v>30.127800000000001</c:v>
                </c:pt>
                <c:pt idx="54">
                  <c:v>29.845800000000001</c:v>
                </c:pt>
                <c:pt idx="55">
                  <c:v>29.498999999999999</c:v>
                </c:pt>
                <c:pt idx="56">
                  <c:v>29.141299999999998</c:v>
                </c:pt>
                <c:pt idx="57">
                  <c:v>28.8337</c:v>
                </c:pt>
                <c:pt idx="58">
                  <c:v>28.565200000000001</c:v>
                </c:pt>
                <c:pt idx="59">
                  <c:v>28.366700000000002</c:v>
                </c:pt>
                <c:pt idx="60">
                  <c:v>28.242299999999997</c:v>
                </c:pt>
                <c:pt idx="61">
                  <c:v>28.150300000000001</c:v>
                </c:pt>
                <c:pt idx="62">
                  <c:v>28.0688</c:v>
                </c:pt>
                <c:pt idx="63">
                  <c:v>27.9833</c:v>
                </c:pt>
                <c:pt idx="64">
                  <c:v>27.857199999999999</c:v>
                </c:pt>
                <c:pt idx="65">
                  <c:v>27.734100000000002</c:v>
                </c:pt>
                <c:pt idx="66">
                  <c:v>27.616200000000003</c:v>
                </c:pt>
                <c:pt idx="67">
                  <c:v>27.537099999999999</c:v>
                </c:pt>
                <c:pt idx="68">
                  <c:v>27.494200000000003</c:v>
                </c:pt>
                <c:pt idx="69">
                  <c:v>27.505499999999998</c:v>
                </c:pt>
                <c:pt idx="70">
                  <c:v>27.468999999999998</c:v>
                </c:pt>
                <c:pt idx="71">
                  <c:v>27.4758</c:v>
                </c:pt>
                <c:pt idx="72">
                  <c:v>27.476800000000001</c:v>
                </c:pt>
                <c:pt idx="73">
                  <c:v>27.472300000000001</c:v>
                </c:pt>
                <c:pt idx="74">
                  <c:v>27.491900000000001</c:v>
                </c:pt>
                <c:pt idx="75">
                  <c:v>27.4848</c:v>
                </c:pt>
                <c:pt idx="76">
                  <c:v>27.422400000000003</c:v>
                </c:pt>
                <c:pt idx="77">
                  <c:v>27.347300000000001</c:v>
                </c:pt>
                <c:pt idx="78">
                  <c:v>27.2803</c:v>
                </c:pt>
                <c:pt idx="79">
                  <c:v>27.272800000000004</c:v>
                </c:pt>
                <c:pt idx="80">
                  <c:v>27.332099999999997</c:v>
                </c:pt>
                <c:pt idx="81">
                  <c:v>27.393699999999999</c:v>
                </c:pt>
                <c:pt idx="82">
                  <c:v>27.4663</c:v>
                </c:pt>
                <c:pt idx="83">
                  <c:v>27.4312</c:v>
                </c:pt>
                <c:pt idx="84">
                  <c:v>27.403899999999997</c:v>
                </c:pt>
                <c:pt idx="85">
                  <c:v>27.3963</c:v>
                </c:pt>
                <c:pt idx="86">
                  <c:v>27.396700000000003</c:v>
                </c:pt>
                <c:pt idx="87">
                  <c:v>27.374300000000002</c:v>
                </c:pt>
                <c:pt idx="88">
                  <c:v>27.458300000000001</c:v>
                </c:pt>
                <c:pt idx="89">
                  <c:v>27.5885</c:v>
                </c:pt>
                <c:pt idx="90">
                  <c:v>27.707799999999999</c:v>
                </c:pt>
                <c:pt idx="91">
                  <c:v>27.828199999999999</c:v>
                </c:pt>
                <c:pt idx="92">
                  <c:v>27.871400000000001</c:v>
                </c:pt>
                <c:pt idx="93">
                  <c:v>27.807199999999998</c:v>
                </c:pt>
                <c:pt idx="94">
                  <c:v>27.706099999999999</c:v>
                </c:pt>
                <c:pt idx="95">
                  <c:v>27.6098</c:v>
                </c:pt>
                <c:pt idx="96">
                  <c:v>27.548099999999998</c:v>
                </c:pt>
                <c:pt idx="97">
                  <c:v>27.570099999999996</c:v>
                </c:pt>
                <c:pt idx="98">
                  <c:v>27.6374</c:v>
                </c:pt>
                <c:pt idx="99">
                  <c:v>27.750299999999999</c:v>
                </c:pt>
                <c:pt idx="100">
                  <c:v>27.900799999999997</c:v>
                </c:pt>
                <c:pt idx="101">
                  <c:v>28.114099999999997</c:v>
                </c:pt>
                <c:pt idx="102">
                  <c:v>28.344899999999999</c:v>
                </c:pt>
                <c:pt idx="103">
                  <c:v>28.631899999999998</c:v>
                </c:pt>
                <c:pt idx="104">
                  <c:v>28.959299999999999</c:v>
                </c:pt>
                <c:pt idx="105">
                  <c:v>29.367799999999999</c:v>
                </c:pt>
                <c:pt idx="106">
                  <c:v>29.852800000000002</c:v>
                </c:pt>
                <c:pt idx="107">
                  <c:v>30.364000000000001</c:v>
                </c:pt>
                <c:pt idx="108">
                  <c:v>30.808999999999997</c:v>
                </c:pt>
                <c:pt idx="109">
                  <c:v>31.152899999999999</c:v>
                </c:pt>
                <c:pt idx="110">
                  <c:v>31.408199999999997</c:v>
                </c:pt>
                <c:pt idx="111">
                  <c:v>31.519100000000002</c:v>
                </c:pt>
                <c:pt idx="112">
                  <c:v>31.521900000000002</c:v>
                </c:pt>
                <c:pt idx="113">
                  <c:v>31.554700000000004</c:v>
                </c:pt>
                <c:pt idx="114">
                  <c:v>31.555899999999998</c:v>
                </c:pt>
                <c:pt idx="115">
                  <c:v>31.5654</c:v>
                </c:pt>
                <c:pt idx="116">
                  <c:v>31.625599999999999</c:v>
                </c:pt>
                <c:pt idx="117">
                  <c:v>31.7851</c:v>
                </c:pt>
                <c:pt idx="118">
                  <c:v>31.968900000000001</c:v>
                </c:pt>
                <c:pt idx="119">
                  <c:v>32.138100000000001</c:v>
                </c:pt>
                <c:pt idx="120">
                  <c:v>32.308100000000003</c:v>
                </c:pt>
                <c:pt idx="121">
                  <c:v>32.475500000000004</c:v>
                </c:pt>
                <c:pt idx="122">
                  <c:v>32.633000000000003</c:v>
                </c:pt>
                <c:pt idx="123">
                  <c:v>32.803800000000003</c:v>
                </c:pt>
                <c:pt idx="124">
                  <c:v>32.906800000000004</c:v>
                </c:pt>
                <c:pt idx="125">
                  <c:v>32.939299999999996</c:v>
                </c:pt>
                <c:pt idx="126">
                  <c:v>32.946199999999997</c:v>
                </c:pt>
                <c:pt idx="127">
                  <c:v>32.959500000000006</c:v>
                </c:pt>
                <c:pt idx="128">
                  <c:v>32.958300000000001</c:v>
                </c:pt>
                <c:pt idx="129">
                  <c:v>32.930300000000003</c:v>
                </c:pt>
                <c:pt idx="130">
                  <c:v>32.900400000000005</c:v>
                </c:pt>
                <c:pt idx="131">
                  <c:v>32.862200000000001</c:v>
                </c:pt>
                <c:pt idx="132">
                  <c:v>32.825199999999995</c:v>
                </c:pt>
                <c:pt idx="133">
                  <c:v>32.834699999999998</c:v>
                </c:pt>
                <c:pt idx="134">
                  <c:v>32.830799999999996</c:v>
                </c:pt>
                <c:pt idx="135">
                  <c:v>32.807099999999998</c:v>
                </c:pt>
                <c:pt idx="136">
                  <c:v>32.849899999999998</c:v>
                </c:pt>
                <c:pt idx="137">
                  <c:v>32.987300000000005</c:v>
                </c:pt>
                <c:pt idx="138">
                  <c:v>33.097500000000004</c:v>
                </c:pt>
                <c:pt idx="139">
                  <c:v>33.298100000000005</c:v>
                </c:pt>
                <c:pt idx="140">
                  <c:v>33.553600000000003</c:v>
                </c:pt>
                <c:pt idx="141">
                  <c:v>33.785800000000002</c:v>
                </c:pt>
                <c:pt idx="142">
                  <c:v>33.948499999999996</c:v>
                </c:pt>
                <c:pt idx="143">
                  <c:v>34.081000000000003</c:v>
                </c:pt>
                <c:pt idx="144">
                  <c:v>34.350700000000003</c:v>
                </c:pt>
                <c:pt idx="145">
                  <c:v>34.667099999999998</c:v>
                </c:pt>
                <c:pt idx="146">
                  <c:v>35.157699999999998</c:v>
                </c:pt>
                <c:pt idx="147">
                  <c:v>35.576099999999997</c:v>
                </c:pt>
                <c:pt idx="148">
                  <c:v>36.082599999999999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2.6108099999999999</c:v>
                </c:pt>
                <c:pt idx="1">
                  <c:v>2.6824700000000004</c:v>
                </c:pt>
                <c:pt idx="2">
                  <c:v>2.7545700000000002</c:v>
                </c:pt>
                <c:pt idx="3">
                  <c:v>2.8247100000000005</c:v>
                </c:pt>
                <c:pt idx="4">
                  <c:v>2.8954999999999997</c:v>
                </c:pt>
                <c:pt idx="5">
                  <c:v>2.9702999999999999</c:v>
                </c:pt>
                <c:pt idx="6">
                  <c:v>3.0477599999999998</c:v>
                </c:pt>
                <c:pt idx="7">
                  <c:v>3.12568</c:v>
                </c:pt>
                <c:pt idx="8">
                  <c:v>3.20749</c:v>
                </c:pt>
                <c:pt idx="9">
                  <c:v>3.2926000000000002</c:v>
                </c:pt>
                <c:pt idx="10">
                  <c:v>3.37696</c:v>
                </c:pt>
                <c:pt idx="11">
                  <c:v>3.4616599999999997</c:v>
                </c:pt>
                <c:pt idx="12">
                  <c:v>3.5454499999999998</c:v>
                </c:pt>
                <c:pt idx="13">
                  <c:v>3.6296099999999996</c:v>
                </c:pt>
                <c:pt idx="14">
                  <c:v>3.7143900000000003</c:v>
                </c:pt>
                <c:pt idx="15">
                  <c:v>3.8010699999999997</c:v>
                </c:pt>
                <c:pt idx="16">
                  <c:v>3.8895</c:v>
                </c:pt>
                <c:pt idx="17">
                  <c:v>3.9793699999999999</c:v>
                </c:pt>
                <c:pt idx="18">
                  <c:v>4.0705299999999998</c:v>
                </c:pt>
                <c:pt idx="19">
                  <c:v>4.1587399999999999</c:v>
                </c:pt>
                <c:pt idx="20">
                  <c:v>4.2434699999999994</c:v>
                </c:pt>
                <c:pt idx="21">
                  <c:v>4.3230599999999999</c:v>
                </c:pt>
                <c:pt idx="22">
                  <c:v>4.3994900000000001</c:v>
                </c:pt>
                <c:pt idx="23">
                  <c:v>4.4732599999999998</c:v>
                </c:pt>
                <c:pt idx="24">
                  <c:v>4.54183</c:v>
                </c:pt>
                <c:pt idx="25">
                  <c:v>4.6046100000000001</c:v>
                </c:pt>
                <c:pt idx="26">
                  <c:v>4.6633899999999997</c:v>
                </c:pt>
                <c:pt idx="27">
                  <c:v>4.7153600000000004</c:v>
                </c:pt>
                <c:pt idx="28">
                  <c:v>4.76389</c:v>
                </c:pt>
                <c:pt idx="29">
                  <c:v>4.8105399999999996</c:v>
                </c:pt>
                <c:pt idx="30">
                  <c:v>4.8541400000000001</c:v>
                </c:pt>
                <c:pt idx="31">
                  <c:v>4.89419</c:v>
                </c:pt>
                <c:pt idx="32">
                  <c:v>4.9292100000000003</c:v>
                </c:pt>
                <c:pt idx="33">
                  <c:v>4.9589100000000004</c:v>
                </c:pt>
                <c:pt idx="34">
                  <c:v>4.9845600000000001</c:v>
                </c:pt>
                <c:pt idx="35">
                  <c:v>5.0103399999999993</c:v>
                </c:pt>
                <c:pt idx="36">
                  <c:v>5.0368999999999993</c:v>
                </c:pt>
                <c:pt idx="37">
                  <c:v>5.0627800000000001</c:v>
                </c:pt>
                <c:pt idx="38">
                  <c:v>5.0855099999999993</c:v>
                </c:pt>
                <c:pt idx="39">
                  <c:v>5.1055799999999998</c:v>
                </c:pt>
                <c:pt idx="40">
                  <c:v>5.1232999999999995</c:v>
                </c:pt>
                <c:pt idx="41">
                  <c:v>5.1403200000000009</c:v>
                </c:pt>
                <c:pt idx="42">
                  <c:v>5.1542600000000007</c:v>
                </c:pt>
                <c:pt idx="43">
                  <c:v>5.16554</c:v>
                </c:pt>
                <c:pt idx="44">
                  <c:v>5.1751400000000007</c:v>
                </c:pt>
                <c:pt idx="45">
                  <c:v>5.1842500000000005</c:v>
                </c:pt>
                <c:pt idx="46">
                  <c:v>5.1964100000000002</c:v>
                </c:pt>
                <c:pt idx="47">
                  <c:v>5.20655</c:v>
                </c:pt>
                <c:pt idx="48">
                  <c:v>5.2149299999999998</c:v>
                </c:pt>
                <c:pt idx="49">
                  <c:v>5.2230400000000001</c:v>
                </c:pt>
                <c:pt idx="50">
                  <c:v>5.2294200000000002</c:v>
                </c:pt>
                <c:pt idx="51">
                  <c:v>5.2396699999999994</c:v>
                </c:pt>
                <c:pt idx="52">
                  <c:v>5.2513699999999996</c:v>
                </c:pt>
                <c:pt idx="53">
                  <c:v>5.2613399999999997</c:v>
                </c:pt>
                <c:pt idx="54">
                  <c:v>5.2702400000000003</c:v>
                </c:pt>
                <c:pt idx="55">
                  <c:v>5.2795499999999995</c:v>
                </c:pt>
                <c:pt idx="56">
                  <c:v>5.2905899999999999</c:v>
                </c:pt>
                <c:pt idx="57">
                  <c:v>5.3018699999999992</c:v>
                </c:pt>
                <c:pt idx="58">
                  <c:v>5.3105100000000007</c:v>
                </c:pt>
                <c:pt idx="59">
                  <c:v>5.3157399999999999</c:v>
                </c:pt>
                <c:pt idx="60">
                  <c:v>5.3185700000000002</c:v>
                </c:pt>
                <c:pt idx="61">
                  <c:v>5.3180499999999995</c:v>
                </c:pt>
                <c:pt idx="62">
                  <c:v>5.3156999999999996</c:v>
                </c:pt>
                <c:pt idx="63">
                  <c:v>5.3136799999999997</c:v>
                </c:pt>
                <c:pt idx="64">
                  <c:v>5.3127899999999997</c:v>
                </c:pt>
                <c:pt idx="65">
                  <c:v>5.3088500000000005</c:v>
                </c:pt>
                <c:pt idx="66">
                  <c:v>5.3014899999999994</c:v>
                </c:pt>
                <c:pt idx="67">
                  <c:v>5.2927299999999997</c:v>
                </c:pt>
                <c:pt idx="68">
                  <c:v>5.2739700000000003</c:v>
                </c:pt>
                <c:pt idx="69">
                  <c:v>5.2645900000000001</c:v>
                </c:pt>
                <c:pt idx="70">
                  <c:v>5.246690000000001</c:v>
                </c:pt>
                <c:pt idx="71">
                  <c:v>5.2256899999999993</c:v>
                </c:pt>
                <c:pt idx="72">
                  <c:v>5.2055300000000004</c:v>
                </c:pt>
                <c:pt idx="73">
                  <c:v>5.1848299999999998</c:v>
                </c:pt>
                <c:pt idx="74">
                  <c:v>5.1648300000000003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58.475999999999992</c:v>
                </c:pt>
                <c:pt idx="1">
                  <c:v>57.901599999999995</c:v>
                </c:pt>
                <c:pt idx="2">
                  <c:v>57.151499999999999</c:v>
                </c:pt>
                <c:pt idx="3">
                  <c:v>56.1419</c:v>
                </c:pt>
                <c:pt idx="4">
                  <c:v>55.0762</c:v>
                </c:pt>
                <c:pt idx="5">
                  <c:v>54.004200000000004</c:v>
                </c:pt>
                <c:pt idx="6">
                  <c:v>52.924800000000005</c:v>
                </c:pt>
                <c:pt idx="7">
                  <c:v>51.767200000000003</c:v>
                </c:pt>
                <c:pt idx="8">
                  <c:v>50.381699999999995</c:v>
                </c:pt>
                <c:pt idx="9">
                  <c:v>48.859700000000004</c:v>
                </c:pt>
                <c:pt idx="10">
                  <c:v>47.437899999999999</c:v>
                </c:pt>
                <c:pt idx="11">
                  <c:v>46.1614</c:v>
                </c:pt>
                <c:pt idx="12">
                  <c:v>44.959299999999999</c:v>
                </c:pt>
                <c:pt idx="13">
                  <c:v>43.796700000000001</c:v>
                </c:pt>
                <c:pt idx="14">
                  <c:v>42.595100000000002</c:v>
                </c:pt>
                <c:pt idx="15">
                  <c:v>41.5182</c:v>
                </c:pt>
                <c:pt idx="16">
                  <c:v>40.594000000000001</c:v>
                </c:pt>
                <c:pt idx="17">
                  <c:v>39.748400000000004</c:v>
                </c:pt>
                <c:pt idx="18">
                  <c:v>38.905000000000001</c:v>
                </c:pt>
                <c:pt idx="19">
                  <c:v>38.152099999999997</c:v>
                </c:pt>
                <c:pt idx="20">
                  <c:v>37.613799999999998</c:v>
                </c:pt>
                <c:pt idx="21">
                  <c:v>37.378499999999995</c:v>
                </c:pt>
                <c:pt idx="22">
                  <c:v>37.297999999999995</c:v>
                </c:pt>
                <c:pt idx="23">
                  <c:v>37.331199999999995</c:v>
                </c:pt>
                <c:pt idx="24">
                  <c:v>37.4039</c:v>
                </c:pt>
                <c:pt idx="25">
                  <c:v>37.492999999999995</c:v>
                </c:pt>
                <c:pt idx="26">
                  <c:v>37.650700000000001</c:v>
                </c:pt>
                <c:pt idx="27">
                  <c:v>37.816400000000002</c:v>
                </c:pt>
                <c:pt idx="28">
                  <c:v>37.960799999999999</c:v>
                </c:pt>
                <c:pt idx="29">
                  <c:v>38.091200000000001</c:v>
                </c:pt>
                <c:pt idx="30">
                  <c:v>38.188600000000001</c:v>
                </c:pt>
                <c:pt idx="31">
                  <c:v>38.214799999999997</c:v>
                </c:pt>
                <c:pt idx="32">
                  <c:v>38.159700000000001</c:v>
                </c:pt>
                <c:pt idx="33">
                  <c:v>38.010100000000001</c:v>
                </c:pt>
                <c:pt idx="34">
                  <c:v>37.759100000000004</c:v>
                </c:pt>
                <c:pt idx="35">
                  <c:v>37.448</c:v>
                </c:pt>
                <c:pt idx="36">
                  <c:v>37.0929</c:v>
                </c:pt>
                <c:pt idx="37">
                  <c:v>36.759300000000003</c:v>
                </c:pt>
                <c:pt idx="38">
                  <c:v>36.457899999999995</c:v>
                </c:pt>
                <c:pt idx="39">
                  <c:v>36.160899999999998</c:v>
                </c:pt>
                <c:pt idx="40">
                  <c:v>35.786900000000003</c:v>
                </c:pt>
                <c:pt idx="41">
                  <c:v>35.322900000000004</c:v>
                </c:pt>
                <c:pt idx="42">
                  <c:v>34.811700000000002</c:v>
                </c:pt>
                <c:pt idx="43">
                  <c:v>34.293199999999999</c:v>
                </c:pt>
                <c:pt idx="44">
                  <c:v>33.795999999999999</c:v>
                </c:pt>
                <c:pt idx="45">
                  <c:v>33.330199999999998</c:v>
                </c:pt>
                <c:pt idx="46">
                  <c:v>32.833199999999998</c:v>
                </c:pt>
                <c:pt idx="47">
                  <c:v>32.345500000000001</c:v>
                </c:pt>
                <c:pt idx="48">
                  <c:v>31.837399999999999</c:v>
                </c:pt>
                <c:pt idx="49">
                  <c:v>31.350699999999996</c:v>
                </c:pt>
                <c:pt idx="50">
                  <c:v>30.998799999999999</c:v>
                </c:pt>
                <c:pt idx="51">
                  <c:v>30.646600000000003</c:v>
                </c:pt>
                <c:pt idx="52">
                  <c:v>30.384800000000002</c:v>
                </c:pt>
                <c:pt idx="53">
                  <c:v>30.127800000000001</c:v>
                </c:pt>
                <c:pt idx="54">
                  <c:v>29.845800000000001</c:v>
                </c:pt>
                <c:pt idx="55">
                  <c:v>29.498999999999999</c:v>
                </c:pt>
                <c:pt idx="56">
                  <c:v>29.141299999999998</c:v>
                </c:pt>
                <c:pt idx="57">
                  <c:v>28.8337</c:v>
                </c:pt>
                <c:pt idx="58">
                  <c:v>28.565200000000001</c:v>
                </c:pt>
                <c:pt idx="59">
                  <c:v>28.366700000000002</c:v>
                </c:pt>
                <c:pt idx="60">
                  <c:v>28.242299999999997</c:v>
                </c:pt>
                <c:pt idx="61">
                  <c:v>28.150300000000001</c:v>
                </c:pt>
                <c:pt idx="62">
                  <c:v>28.0688</c:v>
                </c:pt>
                <c:pt idx="63">
                  <c:v>27.9833</c:v>
                </c:pt>
                <c:pt idx="64">
                  <c:v>27.857199999999999</c:v>
                </c:pt>
                <c:pt idx="65">
                  <c:v>27.734100000000002</c:v>
                </c:pt>
                <c:pt idx="66">
                  <c:v>27.616200000000003</c:v>
                </c:pt>
                <c:pt idx="67">
                  <c:v>27.537099999999999</c:v>
                </c:pt>
                <c:pt idx="68">
                  <c:v>27.494200000000003</c:v>
                </c:pt>
                <c:pt idx="69">
                  <c:v>27.505499999999998</c:v>
                </c:pt>
                <c:pt idx="70">
                  <c:v>27.468999999999998</c:v>
                </c:pt>
                <c:pt idx="71">
                  <c:v>27.4758</c:v>
                </c:pt>
                <c:pt idx="72">
                  <c:v>27.476800000000001</c:v>
                </c:pt>
                <c:pt idx="73">
                  <c:v>27.472300000000001</c:v>
                </c:pt>
                <c:pt idx="74">
                  <c:v>27.491900000000001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5.1648300000000003</c:v>
                </c:pt>
                <c:pt idx="1">
                  <c:v>5.1405900000000004</c:v>
                </c:pt>
                <c:pt idx="2">
                  <c:v>5.1217699999999997</c:v>
                </c:pt>
                <c:pt idx="3">
                  <c:v>5.1028399999999996</c:v>
                </c:pt>
                <c:pt idx="4">
                  <c:v>5.0831599999999995</c:v>
                </c:pt>
                <c:pt idx="5">
                  <c:v>5.0615299999999994</c:v>
                </c:pt>
                <c:pt idx="6">
                  <c:v>5.0362300000000007</c:v>
                </c:pt>
                <c:pt idx="7">
                  <c:v>5.0114099999999997</c:v>
                </c:pt>
                <c:pt idx="8">
                  <c:v>4.9885099999999998</c:v>
                </c:pt>
                <c:pt idx="9">
                  <c:v>4.9686599999999999</c:v>
                </c:pt>
                <c:pt idx="10">
                  <c:v>4.9474400000000003</c:v>
                </c:pt>
                <c:pt idx="11">
                  <c:v>4.9243600000000001</c:v>
                </c:pt>
                <c:pt idx="12">
                  <c:v>4.8989799999999999</c:v>
                </c:pt>
                <c:pt idx="13">
                  <c:v>4.8708499999999999</c:v>
                </c:pt>
                <c:pt idx="14">
                  <c:v>4.8382699999999996</c:v>
                </c:pt>
                <c:pt idx="15">
                  <c:v>4.80274</c:v>
                </c:pt>
                <c:pt idx="16">
                  <c:v>4.7693000000000003</c:v>
                </c:pt>
                <c:pt idx="17">
                  <c:v>4.7369399999999997</c:v>
                </c:pt>
                <c:pt idx="18">
                  <c:v>4.7103200000000003</c:v>
                </c:pt>
                <c:pt idx="19">
                  <c:v>4.6873800000000001</c:v>
                </c:pt>
                <c:pt idx="20">
                  <c:v>4.6694599999999999</c:v>
                </c:pt>
                <c:pt idx="21">
                  <c:v>4.6554400000000005</c:v>
                </c:pt>
                <c:pt idx="22">
                  <c:v>4.6428799999999999</c:v>
                </c:pt>
                <c:pt idx="23">
                  <c:v>4.6361499999999998</c:v>
                </c:pt>
                <c:pt idx="24">
                  <c:v>4.6307999999999998</c:v>
                </c:pt>
                <c:pt idx="25">
                  <c:v>4.6221899999999998</c:v>
                </c:pt>
                <c:pt idx="26">
                  <c:v>4.6100099999999999</c:v>
                </c:pt>
                <c:pt idx="27">
                  <c:v>4.5965699999999998</c:v>
                </c:pt>
                <c:pt idx="28">
                  <c:v>4.5814700000000004</c:v>
                </c:pt>
                <c:pt idx="29">
                  <c:v>4.5631599999999999</c:v>
                </c:pt>
                <c:pt idx="30">
                  <c:v>4.5469499999999998</c:v>
                </c:pt>
                <c:pt idx="31">
                  <c:v>4.5308999999999999</c:v>
                </c:pt>
                <c:pt idx="32">
                  <c:v>4.5151200000000005</c:v>
                </c:pt>
                <c:pt idx="33">
                  <c:v>4.50054</c:v>
                </c:pt>
                <c:pt idx="34">
                  <c:v>4.4908700000000001</c:v>
                </c:pt>
                <c:pt idx="35">
                  <c:v>4.4870400000000004</c:v>
                </c:pt>
                <c:pt idx="36">
                  <c:v>4.4884899999999996</c:v>
                </c:pt>
                <c:pt idx="37">
                  <c:v>4.4973900000000002</c:v>
                </c:pt>
                <c:pt idx="38">
                  <c:v>4.5127100000000002</c:v>
                </c:pt>
                <c:pt idx="39">
                  <c:v>4.5271099999999995</c:v>
                </c:pt>
                <c:pt idx="40">
                  <c:v>4.5455899999999998</c:v>
                </c:pt>
                <c:pt idx="41">
                  <c:v>4.5647599999999997</c:v>
                </c:pt>
                <c:pt idx="42">
                  <c:v>4.5840100000000001</c:v>
                </c:pt>
                <c:pt idx="43">
                  <c:v>4.6019700000000006</c:v>
                </c:pt>
                <c:pt idx="44">
                  <c:v>4.6193800000000005</c:v>
                </c:pt>
                <c:pt idx="45">
                  <c:v>4.6359300000000001</c:v>
                </c:pt>
                <c:pt idx="46">
                  <c:v>4.6503100000000002</c:v>
                </c:pt>
                <c:pt idx="47">
                  <c:v>4.6603599999999998</c:v>
                </c:pt>
                <c:pt idx="48">
                  <c:v>4.6659600000000001</c:v>
                </c:pt>
                <c:pt idx="49">
                  <c:v>4.6707400000000003</c:v>
                </c:pt>
                <c:pt idx="50">
                  <c:v>4.6752099999999999</c:v>
                </c:pt>
                <c:pt idx="51">
                  <c:v>4.6808199999999998</c:v>
                </c:pt>
                <c:pt idx="52">
                  <c:v>4.6883400000000002</c:v>
                </c:pt>
                <c:pt idx="53">
                  <c:v>4.6987399999999999</c:v>
                </c:pt>
                <c:pt idx="54">
                  <c:v>4.7138499999999999</c:v>
                </c:pt>
                <c:pt idx="55">
                  <c:v>4.7300700000000004</c:v>
                </c:pt>
                <c:pt idx="56">
                  <c:v>4.7477</c:v>
                </c:pt>
                <c:pt idx="57">
                  <c:v>4.7650399999999999</c:v>
                </c:pt>
                <c:pt idx="58">
                  <c:v>4.7808400000000004</c:v>
                </c:pt>
                <c:pt idx="59">
                  <c:v>4.7938799999999997</c:v>
                </c:pt>
                <c:pt idx="60">
                  <c:v>4.8035099999999993</c:v>
                </c:pt>
                <c:pt idx="61">
                  <c:v>4.8097399999999997</c:v>
                </c:pt>
                <c:pt idx="62">
                  <c:v>4.8099100000000004</c:v>
                </c:pt>
                <c:pt idx="63">
                  <c:v>4.8051399999999997</c:v>
                </c:pt>
                <c:pt idx="64">
                  <c:v>4.8034100000000004</c:v>
                </c:pt>
                <c:pt idx="65">
                  <c:v>4.7986899999999997</c:v>
                </c:pt>
                <c:pt idx="66">
                  <c:v>4.7946299999999997</c:v>
                </c:pt>
                <c:pt idx="67">
                  <c:v>4.7897400000000001</c:v>
                </c:pt>
                <c:pt idx="68">
                  <c:v>4.7844600000000002</c:v>
                </c:pt>
                <c:pt idx="69">
                  <c:v>4.7778599999999996</c:v>
                </c:pt>
                <c:pt idx="70">
                  <c:v>4.7641600000000004</c:v>
                </c:pt>
                <c:pt idx="71">
                  <c:v>4.7482199999999999</c:v>
                </c:pt>
                <c:pt idx="72">
                  <c:v>4.7371099999999995</c:v>
                </c:pt>
                <c:pt idx="73">
                  <c:v>4.7360600000000002</c:v>
                </c:pt>
                <c:pt idx="74">
                  <c:v>4.7350300000000001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27.491900000000001</c:v>
                </c:pt>
                <c:pt idx="1">
                  <c:v>27.4848</c:v>
                </c:pt>
                <c:pt idx="2">
                  <c:v>27.422400000000003</c:v>
                </c:pt>
                <c:pt idx="3">
                  <c:v>27.347300000000001</c:v>
                </c:pt>
                <c:pt idx="4">
                  <c:v>27.2803</c:v>
                </c:pt>
                <c:pt idx="5">
                  <c:v>27.272800000000004</c:v>
                </c:pt>
                <c:pt idx="6">
                  <c:v>27.332099999999997</c:v>
                </c:pt>
                <c:pt idx="7">
                  <c:v>27.393699999999999</c:v>
                </c:pt>
                <c:pt idx="8">
                  <c:v>27.4663</c:v>
                </c:pt>
                <c:pt idx="9">
                  <c:v>27.4312</c:v>
                </c:pt>
                <c:pt idx="10">
                  <c:v>27.403899999999997</c:v>
                </c:pt>
                <c:pt idx="11">
                  <c:v>27.3963</c:v>
                </c:pt>
                <c:pt idx="12">
                  <c:v>27.396700000000003</c:v>
                </c:pt>
                <c:pt idx="13">
                  <c:v>27.374300000000002</c:v>
                </c:pt>
                <c:pt idx="14">
                  <c:v>27.458300000000001</c:v>
                </c:pt>
                <c:pt idx="15">
                  <c:v>27.5885</c:v>
                </c:pt>
                <c:pt idx="16">
                  <c:v>27.707799999999999</c:v>
                </c:pt>
                <c:pt idx="17">
                  <c:v>27.828199999999999</c:v>
                </c:pt>
                <c:pt idx="18">
                  <c:v>27.871400000000001</c:v>
                </c:pt>
                <c:pt idx="19">
                  <c:v>27.807199999999998</c:v>
                </c:pt>
                <c:pt idx="20">
                  <c:v>27.706099999999999</c:v>
                </c:pt>
                <c:pt idx="21">
                  <c:v>27.6098</c:v>
                </c:pt>
                <c:pt idx="22">
                  <c:v>27.548099999999998</c:v>
                </c:pt>
                <c:pt idx="23">
                  <c:v>27.570099999999996</c:v>
                </c:pt>
                <c:pt idx="24">
                  <c:v>27.6374</c:v>
                </c:pt>
                <c:pt idx="25">
                  <c:v>27.750299999999999</c:v>
                </c:pt>
                <c:pt idx="26">
                  <c:v>27.900799999999997</c:v>
                </c:pt>
                <c:pt idx="27">
                  <c:v>28.114099999999997</c:v>
                </c:pt>
                <c:pt idx="28">
                  <c:v>28.344899999999999</c:v>
                </c:pt>
                <c:pt idx="29">
                  <c:v>28.631899999999998</c:v>
                </c:pt>
                <c:pt idx="30">
                  <c:v>28.959299999999999</c:v>
                </c:pt>
                <c:pt idx="31">
                  <c:v>29.367799999999999</c:v>
                </c:pt>
                <c:pt idx="32">
                  <c:v>29.852800000000002</c:v>
                </c:pt>
                <c:pt idx="33">
                  <c:v>30.364000000000001</c:v>
                </c:pt>
                <c:pt idx="34">
                  <c:v>30.808999999999997</c:v>
                </c:pt>
                <c:pt idx="35">
                  <c:v>31.152899999999999</c:v>
                </c:pt>
                <c:pt idx="36">
                  <c:v>31.408199999999997</c:v>
                </c:pt>
                <c:pt idx="37">
                  <c:v>31.519100000000002</c:v>
                </c:pt>
                <c:pt idx="38">
                  <c:v>31.521900000000002</c:v>
                </c:pt>
                <c:pt idx="39">
                  <c:v>31.554700000000004</c:v>
                </c:pt>
                <c:pt idx="40">
                  <c:v>31.555899999999998</c:v>
                </c:pt>
                <c:pt idx="41">
                  <c:v>31.5654</c:v>
                </c:pt>
                <c:pt idx="42">
                  <c:v>31.625599999999999</c:v>
                </c:pt>
                <c:pt idx="43">
                  <c:v>31.7851</c:v>
                </c:pt>
                <c:pt idx="44">
                  <c:v>31.968900000000001</c:v>
                </c:pt>
                <c:pt idx="45">
                  <c:v>32.138100000000001</c:v>
                </c:pt>
                <c:pt idx="46">
                  <c:v>32.308100000000003</c:v>
                </c:pt>
                <c:pt idx="47">
                  <c:v>32.475500000000004</c:v>
                </c:pt>
                <c:pt idx="48">
                  <c:v>32.633000000000003</c:v>
                </c:pt>
                <c:pt idx="49">
                  <c:v>32.803800000000003</c:v>
                </c:pt>
                <c:pt idx="50">
                  <c:v>32.906800000000004</c:v>
                </c:pt>
                <c:pt idx="51">
                  <c:v>32.939299999999996</c:v>
                </c:pt>
                <c:pt idx="52">
                  <c:v>32.946199999999997</c:v>
                </c:pt>
                <c:pt idx="53">
                  <c:v>32.959500000000006</c:v>
                </c:pt>
                <c:pt idx="54">
                  <c:v>32.958300000000001</c:v>
                </c:pt>
                <c:pt idx="55">
                  <c:v>32.930300000000003</c:v>
                </c:pt>
                <c:pt idx="56">
                  <c:v>32.900400000000005</c:v>
                </c:pt>
                <c:pt idx="57">
                  <c:v>32.862200000000001</c:v>
                </c:pt>
                <c:pt idx="58">
                  <c:v>32.825199999999995</c:v>
                </c:pt>
                <c:pt idx="59">
                  <c:v>32.834699999999998</c:v>
                </c:pt>
                <c:pt idx="60">
                  <c:v>32.830799999999996</c:v>
                </c:pt>
                <c:pt idx="61">
                  <c:v>32.807099999999998</c:v>
                </c:pt>
                <c:pt idx="62">
                  <c:v>32.849899999999998</c:v>
                </c:pt>
                <c:pt idx="63">
                  <c:v>32.987300000000005</c:v>
                </c:pt>
                <c:pt idx="64">
                  <c:v>33.097500000000004</c:v>
                </c:pt>
                <c:pt idx="65">
                  <c:v>33.298100000000005</c:v>
                </c:pt>
                <c:pt idx="66">
                  <c:v>33.553600000000003</c:v>
                </c:pt>
                <c:pt idx="67">
                  <c:v>33.785800000000002</c:v>
                </c:pt>
                <c:pt idx="68">
                  <c:v>33.948499999999996</c:v>
                </c:pt>
                <c:pt idx="69">
                  <c:v>34.081000000000003</c:v>
                </c:pt>
                <c:pt idx="70">
                  <c:v>34.350700000000003</c:v>
                </c:pt>
                <c:pt idx="71">
                  <c:v>34.667099999999998</c:v>
                </c:pt>
                <c:pt idx="72">
                  <c:v>35.157699999999998</c:v>
                </c:pt>
                <c:pt idx="73">
                  <c:v>35.576099999999997</c:v>
                </c:pt>
                <c:pt idx="74">
                  <c:v>36.082599999999999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4.6069917567567584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36.987054054054042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4.7379391891891869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30.513406756756762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4.7379391891891869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30.513406756756762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0.19286945519529308</c:v>
                </c:pt>
                <c:pt idx="1">
                  <c:v>0.40196968667478944</c:v>
                </c:pt>
                <c:pt idx="2">
                  <c:v>0.40516085812991742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0.38425799999999999</c:v>
                </c:pt>
                <c:pt idx="2">
                  <c:v>0.79216799999999998</c:v>
                </c:pt>
                <c:pt idx="3">
                  <c:v>1.1972100000000001</c:v>
                </c:pt>
                <c:pt idx="4">
                  <c:v>1.6009599999999999</c:v>
                </c:pt>
                <c:pt idx="5">
                  <c:v>2.0089399999999999</c:v>
                </c:pt>
                <c:pt idx="6">
                  <c:v>2.4127700000000001</c:v>
                </c:pt>
                <c:pt idx="7">
                  <c:v>2.8197199999999998</c:v>
                </c:pt>
                <c:pt idx="8">
                  <c:v>3.2276799999999999</c:v>
                </c:pt>
                <c:pt idx="9">
                  <c:v>3.6366299999999998</c:v>
                </c:pt>
                <c:pt idx="10">
                  <c:v>4.0414399999999997</c:v>
                </c:pt>
                <c:pt idx="11">
                  <c:v>4.4465500000000002</c:v>
                </c:pt>
                <c:pt idx="12">
                  <c:v>4.8513000000000002</c:v>
                </c:pt>
                <c:pt idx="13">
                  <c:v>5.2612300000000003</c:v>
                </c:pt>
                <c:pt idx="14">
                  <c:v>5.6691099999999999</c:v>
                </c:pt>
                <c:pt idx="15">
                  <c:v>6.0730300000000002</c:v>
                </c:pt>
                <c:pt idx="16">
                  <c:v>6.4779600000000004</c:v>
                </c:pt>
                <c:pt idx="17">
                  <c:v>6.8822099999999997</c:v>
                </c:pt>
                <c:pt idx="18">
                  <c:v>7.28796</c:v>
                </c:pt>
                <c:pt idx="19">
                  <c:v>7.6976899999999997</c:v>
                </c:pt>
                <c:pt idx="20">
                  <c:v>8.1006699999999991</c:v>
                </c:pt>
                <c:pt idx="21">
                  <c:v>8.5094999999999992</c:v>
                </c:pt>
                <c:pt idx="22">
                  <c:v>8.9144400000000008</c:v>
                </c:pt>
                <c:pt idx="23">
                  <c:v>9.3223500000000001</c:v>
                </c:pt>
                <c:pt idx="24">
                  <c:v>9.7257800000000003</c:v>
                </c:pt>
                <c:pt idx="25">
                  <c:v>10.1328</c:v>
                </c:pt>
                <c:pt idx="26">
                  <c:v>10.542999999999999</c:v>
                </c:pt>
                <c:pt idx="27">
                  <c:v>10.945</c:v>
                </c:pt>
                <c:pt idx="28">
                  <c:v>11.354900000000001</c:v>
                </c:pt>
                <c:pt idx="29">
                  <c:v>11.7578</c:v>
                </c:pt>
                <c:pt idx="30">
                  <c:v>12.164899999999999</c:v>
                </c:pt>
                <c:pt idx="31">
                  <c:v>12.573600000000001</c:v>
                </c:pt>
                <c:pt idx="32">
                  <c:v>12.9755</c:v>
                </c:pt>
                <c:pt idx="33">
                  <c:v>13.383900000000001</c:v>
                </c:pt>
                <c:pt idx="34">
                  <c:v>13.788399999999999</c:v>
                </c:pt>
                <c:pt idx="35">
                  <c:v>14.198499999999999</c:v>
                </c:pt>
                <c:pt idx="36">
                  <c:v>14.600199999999999</c:v>
                </c:pt>
                <c:pt idx="37">
                  <c:v>15.0091</c:v>
                </c:pt>
                <c:pt idx="38">
                  <c:v>15.414199999999999</c:v>
                </c:pt>
                <c:pt idx="39">
                  <c:v>15.8209</c:v>
                </c:pt>
                <c:pt idx="40">
                  <c:v>16.229900000000001</c:v>
                </c:pt>
                <c:pt idx="41">
                  <c:v>16.634799999999998</c:v>
                </c:pt>
                <c:pt idx="42">
                  <c:v>17.040700000000001</c:v>
                </c:pt>
                <c:pt idx="43">
                  <c:v>17.447700000000001</c:v>
                </c:pt>
                <c:pt idx="44">
                  <c:v>17.8566</c:v>
                </c:pt>
                <c:pt idx="45">
                  <c:v>18.261399999999998</c:v>
                </c:pt>
                <c:pt idx="46">
                  <c:v>18.6694</c:v>
                </c:pt>
                <c:pt idx="47">
                  <c:v>19.067599999999999</c:v>
                </c:pt>
                <c:pt idx="48">
                  <c:v>19.477399999999999</c:v>
                </c:pt>
                <c:pt idx="49">
                  <c:v>19.885000000000002</c:v>
                </c:pt>
                <c:pt idx="50">
                  <c:v>20.290900000000001</c:v>
                </c:pt>
                <c:pt idx="51">
                  <c:v>20.697900000000001</c:v>
                </c:pt>
                <c:pt idx="52">
                  <c:v>21.104399999999998</c:v>
                </c:pt>
                <c:pt idx="53">
                  <c:v>21.5077</c:v>
                </c:pt>
                <c:pt idx="54">
                  <c:v>21.9146</c:v>
                </c:pt>
                <c:pt idx="55">
                  <c:v>22.323499999999999</c:v>
                </c:pt>
                <c:pt idx="56">
                  <c:v>22.7285</c:v>
                </c:pt>
                <c:pt idx="57">
                  <c:v>23.1325</c:v>
                </c:pt>
                <c:pt idx="58">
                  <c:v>23.539400000000001</c:v>
                </c:pt>
                <c:pt idx="59">
                  <c:v>23.9452</c:v>
                </c:pt>
                <c:pt idx="60">
                  <c:v>24.3552</c:v>
                </c:pt>
                <c:pt idx="61">
                  <c:v>24.757100000000001</c:v>
                </c:pt>
                <c:pt idx="62">
                  <c:v>25.165299999999998</c:v>
                </c:pt>
                <c:pt idx="63">
                  <c:v>25.570900000000002</c:v>
                </c:pt>
                <c:pt idx="64">
                  <c:v>25.976099999999999</c:v>
                </c:pt>
                <c:pt idx="65">
                  <c:v>26.386800000000001</c:v>
                </c:pt>
                <c:pt idx="66">
                  <c:v>26.790600000000001</c:v>
                </c:pt>
                <c:pt idx="67">
                  <c:v>27.197500000000002</c:v>
                </c:pt>
                <c:pt idx="68">
                  <c:v>27.604600000000001</c:v>
                </c:pt>
                <c:pt idx="69">
                  <c:v>28.007400000000001</c:v>
                </c:pt>
                <c:pt idx="70">
                  <c:v>28.4133</c:v>
                </c:pt>
                <c:pt idx="71">
                  <c:v>28.821400000000001</c:v>
                </c:pt>
                <c:pt idx="72">
                  <c:v>29.228100000000001</c:v>
                </c:pt>
                <c:pt idx="73">
                  <c:v>29.6311</c:v>
                </c:pt>
                <c:pt idx="74">
                  <c:v>30.041899999999998</c:v>
                </c:pt>
                <c:pt idx="75">
                  <c:v>30.616599999999998</c:v>
                </c:pt>
                <c:pt idx="76">
                  <c:v>30.9954</c:v>
                </c:pt>
                <c:pt idx="77">
                  <c:v>31.368400000000001</c:v>
                </c:pt>
                <c:pt idx="78">
                  <c:v>31.743400000000001</c:v>
                </c:pt>
                <c:pt idx="79">
                  <c:v>32.118600000000001</c:v>
                </c:pt>
                <c:pt idx="80">
                  <c:v>32.527299999999997</c:v>
                </c:pt>
                <c:pt idx="81">
                  <c:v>32.933300000000003</c:v>
                </c:pt>
                <c:pt idx="82">
                  <c:v>33.335099999999997</c:v>
                </c:pt>
                <c:pt idx="83">
                  <c:v>33.744999999999997</c:v>
                </c:pt>
                <c:pt idx="84">
                  <c:v>34.148099999999999</c:v>
                </c:pt>
                <c:pt idx="85">
                  <c:v>34.557899999999997</c:v>
                </c:pt>
                <c:pt idx="86">
                  <c:v>34.9651</c:v>
                </c:pt>
                <c:pt idx="87">
                  <c:v>35.366</c:v>
                </c:pt>
                <c:pt idx="88">
                  <c:v>35.773600000000002</c:v>
                </c:pt>
                <c:pt idx="89">
                  <c:v>36.181899999999999</c:v>
                </c:pt>
                <c:pt idx="90">
                  <c:v>36.5884</c:v>
                </c:pt>
                <c:pt idx="91">
                  <c:v>36.993400000000001</c:v>
                </c:pt>
                <c:pt idx="92">
                  <c:v>37.3994</c:v>
                </c:pt>
                <c:pt idx="93">
                  <c:v>37.805100000000003</c:v>
                </c:pt>
                <c:pt idx="94">
                  <c:v>38.212400000000002</c:v>
                </c:pt>
                <c:pt idx="95">
                  <c:v>38.619</c:v>
                </c:pt>
                <c:pt idx="96">
                  <c:v>39.019300000000001</c:v>
                </c:pt>
                <c:pt idx="97">
                  <c:v>39.432899999999997</c:v>
                </c:pt>
                <c:pt idx="98">
                  <c:v>39.837699999999998</c:v>
                </c:pt>
                <c:pt idx="99">
                  <c:v>40.241700000000002</c:v>
                </c:pt>
                <c:pt idx="100">
                  <c:v>40.651600000000002</c:v>
                </c:pt>
                <c:pt idx="101">
                  <c:v>41.055500000000002</c:v>
                </c:pt>
                <c:pt idx="102">
                  <c:v>41.464399999999998</c:v>
                </c:pt>
                <c:pt idx="103">
                  <c:v>41.8673</c:v>
                </c:pt>
                <c:pt idx="104">
                  <c:v>42.273200000000003</c:v>
                </c:pt>
                <c:pt idx="105">
                  <c:v>42.681199999999997</c:v>
                </c:pt>
                <c:pt idx="106">
                  <c:v>43.089100000000002</c:v>
                </c:pt>
                <c:pt idx="107">
                  <c:v>43.494999999999997</c:v>
                </c:pt>
                <c:pt idx="108">
                  <c:v>43.901899999999998</c:v>
                </c:pt>
                <c:pt idx="109">
                  <c:v>44.305900000000001</c:v>
                </c:pt>
                <c:pt idx="110">
                  <c:v>44.7089</c:v>
                </c:pt>
                <c:pt idx="111">
                  <c:v>45.120699999999999</c:v>
                </c:pt>
                <c:pt idx="112">
                  <c:v>45.525500000000001</c:v>
                </c:pt>
                <c:pt idx="113">
                  <c:v>45.9315</c:v>
                </c:pt>
                <c:pt idx="114">
                  <c:v>46.336500000000001</c:v>
                </c:pt>
                <c:pt idx="115">
                  <c:v>46.744399999999999</c:v>
                </c:pt>
                <c:pt idx="116">
                  <c:v>47.149299999999997</c:v>
                </c:pt>
                <c:pt idx="117">
                  <c:v>47.558500000000002</c:v>
                </c:pt>
                <c:pt idx="118">
                  <c:v>47.965200000000003</c:v>
                </c:pt>
                <c:pt idx="119">
                  <c:v>48.368899999999996</c:v>
                </c:pt>
                <c:pt idx="120">
                  <c:v>48.772100000000002</c:v>
                </c:pt>
                <c:pt idx="121">
                  <c:v>49.182099999999998</c:v>
                </c:pt>
                <c:pt idx="122">
                  <c:v>49.5867</c:v>
                </c:pt>
                <c:pt idx="123">
                  <c:v>49.992600000000003</c:v>
                </c:pt>
                <c:pt idx="124">
                  <c:v>50.399500000000003</c:v>
                </c:pt>
                <c:pt idx="125">
                  <c:v>50.805399999999999</c:v>
                </c:pt>
                <c:pt idx="126">
                  <c:v>51.211399999999998</c:v>
                </c:pt>
                <c:pt idx="127">
                  <c:v>51.619199999999999</c:v>
                </c:pt>
                <c:pt idx="128">
                  <c:v>52.025100000000002</c:v>
                </c:pt>
                <c:pt idx="129">
                  <c:v>52.432299999999998</c:v>
                </c:pt>
                <c:pt idx="130">
                  <c:v>52.835000000000001</c:v>
                </c:pt>
                <c:pt idx="131">
                  <c:v>53.243899999999996</c:v>
                </c:pt>
                <c:pt idx="132">
                  <c:v>53.649900000000002</c:v>
                </c:pt>
                <c:pt idx="133">
                  <c:v>54.054000000000002</c:v>
                </c:pt>
                <c:pt idx="134">
                  <c:v>54.4636</c:v>
                </c:pt>
                <c:pt idx="135">
                  <c:v>54.870600000000003</c:v>
                </c:pt>
                <c:pt idx="136">
                  <c:v>55.273400000000002</c:v>
                </c:pt>
                <c:pt idx="137">
                  <c:v>55.6813</c:v>
                </c:pt>
                <c:pt idx="138">
                  <c:v>56.084600000000002</c:v>
                </c:pt>
                <c:pt idx="139">
                  <c:v>56.495199999999997</c:v>
                </c:pt>
                <c:pt idx="140">
                  <c:v>56.898299999999999</c:v>
                </c:pt>
                <c:pt idx="141">
                  <c:v>57.308100000000003</c:v>
                </c:pt>
                <c:pt idx="142">
                  <c:v>57.713000000000001</c:v>
                </c:pt>
                <c:pt idx="143">
                  <c:v>58.118099999999998</c:v>
                </c:pt>
                <c:pt idx="144">
                  <c:v>58.522799999999997</c:v>
                </c:pt>
                <c:pt idx="145">
                  <c:v>58.932000000000002</c:v>
                </c:pt>
                <c:pt idx="146">
                  <c:v>59.339599999999997</c:v>
                </c:pt>
                <c:pt idx="147">
                  <c:v>59.7425</c:v>
                </c:pt>
                <c:pt idx="148">
                  <c:v>60.150700000000001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2.6108099999999999</c:v>
                </c:pt>
                <c:pt idx="1">
                  <c:v>2.6824700000000004</c:v>
                </c:pt>
                <c:pt idx="2">
                  <c:v>2.7545700000000002</c:v>
                </c:pt>
                <c:pt idx="3">
                  <c:v>2.8247100000000005</c:v>
                </c:pt>
                <c:pt idx="4">
                  <c:v>2.8954999999999997</c:v>
                </c:pt>
                <c:pt idx="5">
                  <c:v>2.9702999999999999</c:v>
                </c:pt>
                <c:pt idx="6">
                  <c:v>3.0477599999999998</c:v>
                </c:pt>
                <c:pt idx="7">
                  <c:v>3.12568</c:v>
                </c:pt>
                <c:pt idx="8">
                  <c:v>3.20749</c:v>
                </c:pt>
                <c:pt idx="9">
                  <c:v>3.2926000000000002</c:v>
                </c:pt>
                <c:pt idx="10">
                  <c:v>3.37696</c:v>
                </c:pt>
                <c:pt idx="11">
                  <c:v>3.4616599999999997</c:v>
                </c:pt>
                <c:pt idx="12">
                  <c:v>3.5454499999999998</c:v>
                </c:pt>
                <c:pt idx="13">
                  <c:v>3.6296099999999996</c:v>
                </c:pt>
                <c:pt idx="14">
                  <c:v>3.7143900000000003</c:v>
                </c:pt>
                <c:pt idx="15">
                  <c:v>3.8010699999999997</c:v>
                </c:pt>
                <c:pt idx="16">
                  <c:v>3.8895</c:v>
                </c:pt>
                <c:pt idx="17">
                  <c:v>3.9793699999999999</c:v>
                </c:pt>
                <c:pt idx="18">
                  <c:v>4.0705299999999998</c:v>
                </c:pt>
                <c:pt idx="19">
                  <c:v>4.1587399999999999</c:v>
                </c:pt>
                <c:pt idx="20">
                  <c:v>4.2434699999999994</c:v>
                </c:pt>
                <c:pt idx="21">
                  <c:v>4.3230599999999999</c:v>
                </c:pt>
                <c:pt idx="22">
                  <c:v>4.3994900000000001</c:v>
                </c:pt>
                <c:pt idx="23">
                  <c:v>4.4732599999999998</c:v>
                </c:pt>
                <c:pt idx="24">
                  <c:v>4.54183</c:v>
                </c:pt>
                <c:pt idx="25">
                  <c:v>4.6046100000000001</c:v>
                </c:pt>
                <c:pt idx="26">
                  <c:v>4.6633899999999997</c:v>
                </c:pt>
                <c:pt idx="27">
                  <c:v>4.7153600000000004</c:v>
                </c:pt>
                <c:pt idx="28">
                  <c:v>4.76389</c:v>
                </c:pt>
                <c:pt idx="29">
                  <c:v>4.8105399999999996</c:v>
                </c:pt>
                <c:pt idx="30">
                  <c:v>4.8541400000000001</c:v>
                </c:pt>
                <c:pt idx="31">
                  <c:v>4.89419</c:v>
                </c:pt>
                <c:pt idx="32">
                  <c:v>4.9292100000000003</c:v>
                </c:pt>
                <c:pt idx="33">
                  <c:v>4.9589100000000004</c:v>
                </c:pt>
                <c:pt idx="34">
                  <c:v>4.9845600000000001</c:v>
                </c:pt>
                <c:pt idx="35">
                  <c:v>5.0103399999999993</c:v>
                </c:pt>
                <c:pt idx="36">
                  <c:v>5.0368999999999993</c:v>
                </c:pt>
                <c:pt idx="37">
                  <c:v>5.0627800000000001</c:v>
                </c:pt>
                <c:pt idx="38">
                  <c:v>5.0855099999999993</c:v>
                </c:pt>
                <c:pt idx="39">
                  <c:v>5.1055799999999998</c:v>
                </c:pt>
                <c:pt idx="40">
                  <c:v>5.1232999999999995</c:v>
                </c:pt>
                <c:pt idx="41">
                  <c:v>5.1403200000000009</c:v>
                </c:pt>
                <c:pt idx="42">
                  <c:v>5.1542600000000007</c:v>
                </c:pt>
                <c:pt idx="43">
                  <c:v>5.16554</c:v>
                </c:pt>
                <c:pt idx="44">
                  <c:v>5.1751400000000007</c:v>
                </c:pt>
                <c:pt idx="45">
                  <c:v>5.1842500000000005</c:v>
                </c:pt>
                <c:pt idx="46">
                  <c:v>5.1964100000000002</c:v>
                </c:pt>
                <c:pt idx="47">
                  <c:v>5.20655</c:v>
                </c:pt>
                <c:pt idx="48">
                  <c:v>5.2149299999999998</c:v>
                </c:pt>
                <c:pt idx="49">
                  <c:v>5.2230400000000001</c:v>
                </c:pt>
                <c:pt idx="50">
                  <c:v>5.2294200000000002</c:v>
                </c:pt>
                <c:pt idx="51">
                  <c:v>5.2396699999999994</c:v>
                </c:pt>
                <c:pt idx="52">
                  <c:v>5.2513699999999996</c:v>
                </c:pt>
                <c:pt idx="53">
                  <c:v>5.2613399999999997</c:v>
                </c:pt>
                <c:pt idx="54">
                  <c:v>5.2702400000000003</c:v>
                </c:pt>
                <c:pt idx="55">
                  <c:v>5.2795499999999995</c:v>
                </c:pt>
                <c:pt idx="56">
                  <c:v>5.2905899999999999</c:v>
                </c:pt>
                <c:pt idx="57">
                  <c:v>5.3018699999999992</c:v>
                </c:pt>
                <c:pt idx="58">
                  <c:v>5.3105100000000007</c:v>
                </c:pt>
                <c:pt idx="59">
                  <c:v>5.3157399999999999</c:v>
                </c:pt>
                <c:pt idx="60">
                  <c:v>5.3185700000000002</c:v>
                </c:pt>
                <c:pt idx="61">
                  <c:v>5.3180499999999995</c:v>
                </c:pt>
                <c:pt idx="62">
                  <c:v>5.3156999999999996</c:v>
                </c:pt>
                <c:pt idx="63">
                  <c:v>5.3136799999999997</c:v>
                </c:pt>
                <c:pt idx="64">
                  <c:v>5.3127899999999997</c:v>
                </c:pt>
                <c:pt idx="65">
                  <c:v>5.3088500000000005</c:v>
                </c:pt>
                <c:pt idx="66">
                  <c:v>5.3014899999999994</c:v>
                </c:pt>
                <c:pt idx="67">
                  <c:v>5.2927299999999997</c:v>
                </c:pt>
                <c:pt idx="68">
                  <c:v>5.2739700000000003</c:v>
                </c:pt>
                <c:pt idx="69">
                  <c:v>5.2645900000000001</c:v>
                </c:pt>
                <c:pt idx="70">
                  <c:v>5.246690000000001</c:v>
                </c:pt>
                <c:pt idx="71">
                  <c:v>5.2256899999999993</c:v>
                </c:pt>
                <c:pt idx="72">
                  <c:v>5.2055300000000004</c:v>
                </c:pt>
                <c:pt idx="73">
                  <c:v>5.1848299999999998</c:v>
                </c:pt>
                <c:pt idx="74">
                  <c:v>5.1648300000000003</c:v>
                </c:pt>
                <c:pt idx="75">
                  <c:v>5.1405900000000004</c:v>
                </c:pt>
                <c:pt idx="76">
                  <c:v>5.1217699999999997</c:v>
                </c:pt>
                <c:pt idx="77">
                  <c:v>5.1028399999999996</c:v>
                </c:pt>
                <c:pt idx="78">
                  <c:v>5.0831599999999995</c:v>
                </c:pt>
                <c:pt idx="79">
                  <c:v>5.0615299999999994</c:v>
                </c:pt>
                <c:pt idx="80">
                  <c:v>5.0362300000000007</c:v>
                </c:pt>
                <c:pt idx="81">
                  <c:v>5.0114099999999997</c:v>
                </c:pt>
                <c:pt idx="82">
                  <c:v>4.9885099999999998</c:v>
                </c:pt>
                <c:pt idx="83">
                  <c:v>4.9686599999999999</c:v>
                </c:pt>
                <c:pt idx="84">
                  <c:v>4.9474400000000003</c:v>
                </c:pt>
                <c:pt idx="85">
                  <c:v>4.9243600000000001</c:v>
                </c:pt>
                <c:pt idx="86">
                  <c:v>4.8989799999999999</c:v>
                </c:pt>
                <c:pt idx="87">
                  <c:v>4.8708499999999999</c:v>
                </c:pt>
                <c:pt idx="88">
                  <c:v>4.8382699999999996</c:v>
                </c:pt>
                <c:pt idx="89">
                  <c:v>4.80274</c:v>
                </c:pt>
                <c:pt idx="90">
                  <c:v>4.7693000000000003</c:v>
                </c:pt>
                <c:pt idx="91">
                  <c:v>4.7369399999999997</c:v>
                </c:pt>
                <c:pt idx="92">
                  <c:v>4.7103200000000003</c:v>
                </c:pt>
                <c:pt idx="93">
                  <c:v>4.6873800000000001</c:v>
                </c:pt>
                <c:pt idx="94">
                  <c:v>4.6694599999999999</c:v>
                </c:pt>
                <c:pt idx="95">
                  <c:v>4.6554400000000005</c:v>
                </c:pt>
                <c:pt idx="96">
                  <c:v>4.6428799999999999</c:v>
                </c:pt>
                <c:pt idx="97">
                  <c:v>4.6361499999999998</c:v>
                </c:pt>
                <c:pt idx="98">
                  <c:v>4.6307999999999998</c:v>
                </c:pt>
                <c:pt idx="99">
                  <c:v>4.6221899999999998</c:v>
                </c:pt>
                <c:pt idx="100">
                  <c:v>4.6100099999999999</c:v>
                </c:pt>
                <c:pt idx="101">
                  <c:v>4.5965699999999998</c:v>
                </c:pt>
                <c:pt idx="102">
                  <c:v>4.5814700000000004</c:v>
                </c:pt>
                <c:pt idx="103">
                  <c:v>4.5631599999999999</c:v>
                </c:pt>
                <c:pt idx="104">
                  <c:v>4.5469499999999998</c:v>
                </c:pt>
                <c:pt idx="105">
                  <c:v>4.5308999999999999</c:v>
                </c:pt>
                <c:pt idx="106">
                  <c:v>4.5151200000000005</c:v>
                </c:pt>
                <c:pt idx="107">
                  <c:v>4.50054</c:v>
                </c:pt>
                <c:pt idx="108">
                  <c:v>4.4908700000000001</c:v>
                </c:pt>
                <c:pt idx="109">
                  <c:v>4.4870400000000004</c:v>
                </c:pt>
                <c:pt idx="110">
                  <c:v>4.4884899999999996</c:v>
                </c:pt>
                <c:pt idx="111">
                  <c:v>4.4973900000000002</c:v>
                </c:pt>
                <c:pt idx="112">
                  <c:v>4.5127100000000002</c:v>
                </c:pt>
                <c:pt idx="113">
                  <c:v>4.5271099999999995</c:v>
                </c:pt>
                <c:pt idx="114">
                  <c:v>4.5455899999999998</c:v>
                </c:pt>
                <c:pt idx="115">
                  <c:v>4.5647599999999997</c:v>
                </c:pt>
                <c:pt idx="116">
                  <c:v>4.5840100000000001</c:v>
                </c:pt>
                <c:pt idx="117">
                  <c:v>4.6019700000000006</c:v>
                </c:pt>
                <c:pt idx="118">
                  <c:v>4.6193800000000005</c:v>
                </c:pt>
                <c:pt idx="119">
                  <c:v>4.6359300000000001</c:v>
                </c:pt>
                <c:pt idx="120">
                  <c:v>4.6503100000000002</c:v>
                </c:pt>
                <c:pt idx="121">
                  <c:v>4.6603599999999998</c:v>
                </c:pt>
                <c:pt idx="122">
                  <c:v>4.6659600000000001</c:v>
                </c:pt>
                <c:pt idx="123">
                  <c:v>4.6707400000000003</c:v>
                </c:pt>
                <c:pt idx="124">
                  <c:v>4.6752099999999999</c:v>
                </c:pt>
                <c:pt idx="125">
                  <c:v>4.6808199999999998</c:v>
                </c:pt>
                <c:pt idx="126">
                  <c:v>4.6883400000000002</c:v>
                </c:pt>
                <c:pt idx="127">
                  <c:v>4.6987399999999999</c:v>
                </c:pt>
                <c:pt idx="128">
                  <c:v>4.7138499999999999</c:v>
                </c:pt>
                <c:pt idx="129">
                  <c:v>4.7300700000000004</c:v>
                </c:pt>
                <c:pt idx="130">
                  <c:v>4.7477</c:v>
                </c:pt>
                <c:pt idx="131">
                  <c:v>4.7650399999999999</c:v>
                </c:pt>
                <c:pt idx="132">
                  <c:v>4.7808400000000004</c:v>
                </c:pt>
                <c:pt idx="133">
                  <c:v>4.7938799999999997</c:v>
                </c:pt>
                <c:pt idx="134">
                  <c:v>4.8035099999999993</c:v>
                </c:pt>
                <c:pt idx="135">
                  <c:v>4.8097399999999997</c:v>
                </c:pt>
                <c:pt idx="136">
                  <c:v>4.8099100000000004</c:v>
                </c:pt>
                <c:pt idx="137">
                  <c:v>4.8051399999999997</c:v>
                </c:pt>
                <c:pt idx="138">
                  <c:v>4.8034100000000004</c:v>
                </c:pt>
                <c:pt idx="139">
                  <c:v>4.7986899999999997</c:v>
                </c:pt>
                <c:pt idx="140">
                  <c:v>4.7946299999999997</c:v>
                </c:pt>
                <c:pt idx="141">
                  <c:v>4.7897400000000001</c:v>
                </c:pt>
                <c:pt idx="142">
                  <c:v>4.7844600000000002</c:v>
                </c:pt>
                <c:pt idx="143">
                  <c:v>4.7778599999999996</c:v>
                </c:pt>
                <c:pt idx="144">
                  <c:v>4.7641600000000004</c:v>
                </c:pt>
                <c:pt idx="145">
                  <c:v>4.7482199999999999</c:v>
                </c:pt>
                <c:pt idx="146">
                  <c:v>4.7371099999999995</c:v>
                </c:pt>
                <c:pt idx="147">
                  <c:v>4.7360600000000002</c:v>
                </c:pt>
                <c:pt idx="148">
                  <c:v>4.7350300000000001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0.38425799999999999</c:v>
                </c:pt>
                <c:pt idx="2">
                  <c:v>0.79216799999999998</c:v>
                </c:pt>
                <c:pt idx="3">
                  <c:v>1.1972100000000001</c:v>
                </c:pt>
                <c:pt idx="4">
                  <c:v>1.6009599999999999</c:v>
                </c:pt>
                <c:pt idx="5">
                  <c:v>2.0089399999999999</c:v>
                </c:pt>
                <c:pt idx="6">
                  <c:v>2.4127700000000001</c:v>
                </c:pt>
                <c:pt idx="7">
                  <c:v>2.8197199999999998</c:v>
                </c:pt>
                <c:pt idx="8">
                  <c:v>3.2276799999999999</c:v>
                </c:pt>
                <c:pt idx="9">
                  <c:v>3.6366299999999998</c:v>
                </c:pt>
                <c:pt idx="10">
                  <c:v>4.0414399999999997</c:v>
                </c:pt>
                <c:pt idx="11">
                  <c:v>4.4465500000000002</c:v>
                </c:pt>
                <c:pt idx="12">
                  <c:v>4.8513000000000002</c:v>
                </c:pt>
                <c:pt idx="13">
                  <c:v>5.2612300000000003</c:v>
                </c:pt>
                <c:pt idx="14">
                  <c:v>5.6691099999999999</c:v>
                </c:pt>
                <c:pt idx="15">
                  <c:v>6.0730300000000002</c:v>
                </c:pt>
                <c:pt idx="16">
                  <c:v>6.4779600000000004</c:v>
                </c:pt>
                <c:pt idx="17">
                  <c:v>6.8822099999999997</c:v>
                </c:pt>
                <c:pt idx="18">
                  <c:v>7.28796</c:v>
                </c:pt>
                <c:pt idx="19">
                  <c:v>7.6976899999999997</c:v>
                </c:pt>
                <c:pt idx="20">
                  <c:v>8.1006699999999991</c:v>
                </c:pt>
                <c:pt idx="21">
                  <c:v>8.5094999999999992</c:v>
                </c:pt>
                <c:pt idx="22">
                  <c:v>8.9144400000000008</c:v>
                </c:pt>
                <c:pt idx="23">
                  <c:v>9.3223500000000001</c:v>
                </c:pt>
                <c:pt idx="24">
                  <c:v>9.7257800000000003</c:v>
                </c:pt>
                <c:pt idx="25">
                  <c:v>10.1328</c:v>
                </c:pt>
                <c:pt idx="26">
                  <c:v>10.542999999999999</c:v>
                </c:pt>
                <c:pt idx="27">
                  <c:v>10.945</c:v>
                </c:pt>
                <c:pt idx="28">
                  <c:v>11.354900000000001</c:v>
                </c:pt>
                <c:pt idx="29">
                  <c:v>11.7578</c:v>
                </c:pt>
                <c:pt idx="30">
                  <c:v>12.164899999999999</c:v>
                </c:pt>
                <c:pt idx="31">
                  <c:v>12.573600000000001</c:v>
                </c:pt>
                <c:pt idx="32">
                  <c:v>12.9755</c:v>
                </c:pt>
                <c:pt idx="33">
                  <c:v>13.383900000000001</c:v>
                </c:pt>
                <c:pt idx="34">
                  <c:v>13.788399999999999</c:v>
                </c:pt>
                <c:pt idx="35">
                  <c:v>14.198499999999999</c:v>
                </c:pt>
                <c:pt idx="36">
                  <c:v>14.600199999999999</c:v>
                </c:pt>
                <c:pt idx="37">
                  <c:v>15.0091</c:v>
                </c:pt>
                <c:pt idx="38">
                  <c:v>15.414199999999999</c:v>
                </c:pt>
                <c:pt idx="39">
                  <c:v>15.8209</c:v>
                </c:pt>
                <c:pt idx="40">
                  <c:v>16.229900000000001</c:v>
                </c:pt>
                <c:pt idx="41">
                  <c:v>16.634799999999998</c:v>
                </c:pt>
                <c:pt idx="42">
                  <c:v>17.040700000000001</c:v>
                </c:pt>
                <c:pt idx="43">
                  <c:v>17.447700000000001</c:v>
                </c:pt>
                <c:pt idx="44">
                  <c:v>17.8566</c:v>
                </c:pt>
                <c:pt idx="45">
                  <c:v>18.261399999999998</c:v>
                </c:pt>
                <c:pt idx="46">
                  <c:v>18.6694</c:v>
                </c:pt>
                <c:pt idx="47">
                  <c:v>19.067599999999999</c:v>
                </c:pt>
                <c:pt idx="48">
                  <c:v>19.477399999999999</c:v>
                </c:pt>
                <c:pt idx="49">
                  <c:v>19.885000000000002</c:v>
                </c:pt>
                <c:pt idx="50">
                  <c:v>20.290900000000001</c:v>
                </c:pt>
                <c:pt idx="51">
                  <c:v>20.697900000000001</c:v>
                </c:pt>
                <c:pt idx="52">
                  <c:v>21.104399999999998</c:v>
                </c:pt>
                <c:pt idx="53">
                  <c:v>21.5077</c:v>
                </c:pt>
                <c:pt idx="54">
                  <c:v>21.9146</c:v>
                </c:pt>
                <c:pt idx="55">
                  <c:v>22.323499999999999</c:v>
                </c:pt>
                <c:pt idx="56">
                  <c:v>22.7285</c:v>
                </c:pt>
                <c:pt idx="57">
                  <c:v>23.1325</c:v>
                </c:pt>
                <c:pt idx="58">
                  <c:v>23.539400000000001</c:v>
                </c:pt>
                <c:pt idx="59">
                  <c:v>23.9452</c:v>
                </c:pt>
                <c:pt idx="60">
                  <c:v>24.3552</c:v>
                </c:pt>
                <c:pt idx="61">
                  <c:v>24.757100000000001</c:v>
                </c:pt>
                <c:pt idx="62">
                  <c:v>25.165299999999998</c:v>
                </c:pt>
                <c:pt idx="63">
                  <c:v>25.570900000000002</c:v>
                </c:pt>
                <c:pt idx="64">
                  <c:v>25.976099999999999</c:v>
                </c:pt>
                <c:pt idx="65">
                  <c:v>26.386800000000001</c:v>
                </c:pt>
                <c:pt idx="66">
                  <c:v>26.790600000000001</c:v>
                </c:pt>
                <c:pt idx="67">
                  <c:v>27.197500000000002</c:v>
                </c:pt>
                <c:pt idx="68">
                  <c:v>27.604600000000001</c:v>
                </c:pt>
                <c:pt idx="69">
                  <c:v>28.007400000000001</c:v>
                </c:pt>
                <c:pt idx="70">
                  <c:v>28.4133</c:v>
                </c:pt>
                <c:pt idx="71">
                  <c:v>28.821400000000001</c:v>
                </c:pt>
                <c:pt idx="72">
                  <c:v>29.228100000000001</c:v>
                </c:pt>
                <c:pt idx="73">
                  <c:v>29.6311</c:v>
                </c:pt>
                <c:pt idx="74">
                  <c:v>30.041899999999998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2.6108099999999999</c:v>
                </c:pt>
                <c:pt idx="1">
                  <c:v>2.6824700000000004</c:v>
                </c:pt>
                <c:pt idx="2">
                  <c:v>2.7545700000000002</c:v>
                </c:pt>
                <c:pt idx="3">
                  <c:v>2.8247100000000005</c:v>
                </c:pt>
                <c:pt idx="4">
                  <c:v>2.8954999999999997</c:v>
                </c:pt>
                <c:pt idx="5">
                  <c:v>2.9702999999999999</c:v>
                </c:pt>
                <c:pt idx="6">
                  <c:v>3.0477599999999998</c:v>
                </c:pt>
                <c:pt idx="7">
                  <c:v>3.12568</c:v>
                </c:pt>
                <c:pt idx="8">
                  <c:v>3.20749</c:v>
                </c:pt>
                <c:pt idx="9">
                  <c:v>3.2926000000000002</c:v>
                </c:pt>
                <c:pt idx="10">
                  <c:v>3.37696</c:v>
                </c:pt>
                <c:pt idx="11">
                  <c:v>3.4616599999999997</c:v>
                </c:pt>
                <c:pt idx="12">
                  <c:v>3.5454499999999998</c:v>
                </c:pt>
                <c:pt idx="13">
                  <c:v>3.6296099999999996</c:v>
                </c:pt>
                <c:pt idx="14">
                  <c:v>3.7143900000000003</c:v>
                </c:pt>
                <c:pt idx="15">
                  <c:v>3.8010699999999997</c:v>
                </c:pt>
                <c:pt idx="16">
                  <c:v>3.8895</c:v>
                </c:pt>
                <c:pt idx="17">
                  <c:v>3.9793699999999999</c:v>
                </c:pt>
                <c:pt idx="18">
                  <c:v>4.0705299999999998</c:v>
                </c:pt>
                <c:pt idx="19">
                  <c:v>4.1587399999999999</c:v>
                </c:pt>
                <c:pt idx="20">
                  <c:v>4.2434699999999994</c:v>
                </c:pt>
                <c:pt idx="21">
                  <c:v>4.3230599999999999</c:v>
                </c:pt>
                <c:pt idx="22">
                  <c:v>4.3994900000000001</c:v>
                </c:pt>
                <c:pt idx="23">
                  <c:v>4.4732599999999998</c:v>
                </c:pt>
                <c:pt idx="24">
                  <c:v>4.54183</c:v>
                </c:pt>
                <c:pt idx="25">
                  <c:v>4.6046100000000001</c:v>
                </c:pt>
                <c:pt idx="26">
                  <c:v>4.6633899999999997</c:v>
                </c:pt>
                <c:pt idx="27">
                  <c:v>4.7153600000000004</c:v>
                </c:pt>
                <c:pt idx="28">
                  <c:v>4.76389</c:v>
                </c:pt>
                <c:pt idx="29">
                  <c:v>4.8105399999999996</c:v>
                </c:pt>
                <c:pt idx="30">
                  <c:v>4.8541400000000001</c:v>
                </c:pt>
                <c:pt idx="31">
                  <c:v>4.89419</c:v>
                </c:pt>
                <c:pt idx="32">
                  <c:v>4.9292100000000003</c:v>
                </c:pt>
                <c:pt idx="33">
                  <c:v>4.9589100000000004</c:v>
                </c:pt>
                <c:pt idx="34">
                  <c:v>4.9845600000000001</c:v>
                </c:pt>
                <c:pt idx="35">
                  <c:v>5.0103399999999993</c:v>
                </c:pt>
                <c:pt idx="36">
                  <c:v>5.0368999999999993</c:v>
                </c:pt>
                <c:pt idx="37">
                  <c:v>5.0627800000000001</c:v>
                </c:pt>
                <c:pt idx="38">
                  <c:v>5.0855099999999993</c:v>
                </c:pt>
                <c:pt idx="39">
                  <c:v>5.1055799999999998</c:v>
                </c:pt>
                <c:pt idx="40">
                  <c:v>5.1232999999999995</c:v>
                </c:pt>
                <c:pt idx="41">
                  <c:v>5.1403200000000009</c:v>
                </c:pt>
                <c:pt idx="42">
                  <c:v>5.1542600000000007</c:v>
                </c:pt>
                <c:pt idx="43">
                  <c:v>5.16554</c:v>
                </c:pt>
                <c:pt idx="44">
                  <c:v>5.1751400000000007</c:v>
                </c:pt>
                <c:pt idx="45">
                  <c:v>5.1842500000000005</c:v>
                </c:pt>
                <c:pt idx="46">
                  <c:v>5.1964100000000002</c:v>
                </c:pt>
                <c:pt idx="47">
                  <c:v>5.20655</c:v>
                </c:pt>
                <c:pt idx="48">
                  <c:v>5.2149299999999998</c:v>
                </c:pt>
                <c:pt idx="49">
                  <c:v>5.2230400000000001</c:v>
                </c:pt>
                <c:pt idx="50">
                  <c:v>5.2294200000000002</c:v>
                </c:pt>
                <c:pt idx="51">
                  <c:v>5.2396699999999994</c:v>
                </c:pt>
                <c:pt idx="52">
                  <c:v>5.2513699999999996</c:v>
                </c:pt>
                <c:pt idx="53">
                  <c:v>5.2613399999999997</c:v>
                </c:pt>
                <c:pt idx="54">
                  <c:v>5.2702400000000003</c:v>
                </c:pt>
                <c:pt idx="55">
                  <c:v>5.2795499999999995</c:v>
                </c:pt>
                <c:pt idx="56">
                  <c:v>5.2905899999999999</c:v>
                </c:pt>
                <c:pt idx="57">
                  <c:v>5.3018699999999992</c:v>
                </c:pt>
                <c:pt idx="58">
                  <c:v>5.3105100000000007</c:v>
                </c:pt>
                <c:pt idx="59">
                  <c:v>5.3157399999999999</c:v>
                </c:pt>
                <c:pt idx="60">
                  <c:v>5.3185700000000002</c:v>
                </c:pt>
                <c:pt idx="61">
                  <c:v>5.3180499999999995</c:v>
                </c:pt>
                <c:pt idx="62">
                  <c:v>5.3156999999999996</c:v>
                </c:pt>
                <c:pt idx="63">
                  <c:v>5.3136799999999997</c:v>
                </c:pt>
                <c:pt idx="64">
                  <c:v>5.3127899999999997</c:v>
                </c:pt>
                <c:pt idx="65">
                  <c:v>5.3088500000000005</c:v>
                </c:pt>
                <c:pt idx="66">
                  <c:v>5.3014899999999994</c:v>
                </c:pt>
                <c:pt idx="67">
                  <c:v>5.2927299999999997</c:v>
                </c:pt>
                <c:pt idx="68">
                  <c:v>5.2739700000000003</c:v>
                </c:pt>
                <c:pt idx="69">
                  <c:v>5.2645900000000001</c:v>
                </c:pt>
                <c:pt idx="70">
                  <c:v>5.246690000000001</c:v>
                </c:pt>
                <c:pt idx="71">
                  <c:v>5.2256899999999993</c:v>
                </c:pt>
                <c:pt idx="72">
                  <c:v>5.2055300000000004</c:v>
                </c:pt>
                <c:pt idx="73">
                  <c:v>5.1848299999999998</c:v>
                </c:pt>
                <c:pt idx="74">
                  <c:v>5.1648300000000003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30.041899999999998</c:v>
                </c:pt>
                <c:pt idx="1">
                  <c:v>30.616599999999998</c:v>
                </c:pt>
                <c:pt idx="2">
                  <c:v>30.9954</c:v>
                </c:pt>
                <c:pt idx="3">
                  <c:v>31.368400000000001</c:v>
                </c:pt>
                <c:pt idx="4">
                  <c:v>31.743400000000001</c:v>
                </c:pt>
                <c:pt idx="5">
                  <c:v>32.118600000000001</c:v>
                </c:pt>
                <c:pt idx="6">
                  <c:v>32.527299999999997</c:v>
                </c:pt>
                <c:pt idx="7">
                  <c:v>32.933300000000003</c:v>
                </c:pt>
                <c:pt idx="8">
                  <c:v>33.335099999999997</c:v>
                </c:pt>
                <c:pt idx="9">
                  <c:v>33.744999999999997</c:v>
                </c:pt>
                <c:pt idx="10">
                  <c:v>34.148099999999999</c:v>
                </c:pt>
                <c:pt idx="11">
                  <c:v>34.557899999999997</c:v>
                </c:pt>
                <c:pt idx="12">
                  <c:v>34.9651</c:v>
                </c:pt>
                <c:pt idx="13">
                  <c:v>35.366</c:v>
                </c:pt>
                <c:pt idx="14">
                  <c:v>35.773600000000002</c:v>
                </c:pt>
                <c:pt idx="15">
                  <c:v>36.181899999999999</c:v>
                </c:pt>
                <c:pt idx="16">
                  <c:v>36.5884</c:v>
                </c:pt>
                <c:pt idx="17">
                  <c:v>36.993400000000001</c:v>
                </c:pt>
                <c:pt idx="18">
                  <c:v>37.3994</c:v>
                </c:pt>
                <c:pt idx="19">
                  <c:v>37.805100000000003</c:v>
                </c:pt>
                <c:pt idx="20">
                  <c:v>38.212400000000002</c:v>
                </c:pt>
                <c:pt idx="21">
                  <c:v>38.619</c:v>
                </c:pt>
                <c:pt idx="22">
                  <c:v>39.019300000000001</c:v>
                </c:pt>
                <c:pt idx="23">
                  <c:v>39.432899999999997</c:v>
                </c:pt>
                <c:pt idx="24">
                  <c:v>39.837699999999998</c:v>
                </c:pt>
                <c:pt idx="25">
                  <c:v>40.241700000000002</c:v>
                </c:pt>
                <c:pt idx="26">
                  <c:v>40.651600000000002</c:v>
                </c:pt>
                <c:pt idx="27">
                  <c:v>41.055500000000002</c:v>
                </c:pt>
                <c:pt idx="28">
                  <c:v>41.464399999999998</c:v>
                </c:pt>
                <c:pt idx="29">
                  <c:v>41.8673</c:v>
                </c:pt>
                <c:pt idx="30">
                  <c:v>42.273200000000003</c:v>
                </c:pt>
                <c:pt idx="31">
                  <c:v>42.681199999999997</c:v>
                </c:pt>
                <c:pt idx="32">
                  <c:v>43.089100000000002</c:v>
                </c:pt>
                <c:pt idx="33">
                  <c:v>43.494999999999997</c:v>
                </c:pt>
                <c:pt idx="34">
                  <c:v>43.901899999999998</c:v>
                </c:pt>
                <c:pt idx="35">
                  <c:v>44.305900000000001</c:v>
                </c:pt>
                <c:pt idx="36">
                  <c:v>44.7089</c:v>
                </c:pt>
                <c:pt idx="37">
                  <c:v>45.120699999999999</c:v>
                </c:pt>
                <c:pt idx="38">
                  <c:v>45.525500000000001</c:v>
                </c:pt>
                <c:pt idx="39">
                  <c:v>45.9315</c:v>
                </c:pt>
                <c:pt idx="40">
                  <c:v>46.336500000000001</c:v>
                </c:pt>
                <c:pt idx="41">
                  <c:v>46.744399999999999</c:v>
                </c:pt>
                <c:pt idx="42">
                  <c:v>47.149299999999997</c:v>
                </c:pt>
                <c:pt idx="43">
                  <c:v>47.558500000000002</c:v>
                </c:pt>
                <c:pt idx="44">
                  <c:v>47.965200000000003</c:v>
                </c:pt>
                <c:pt idx="45">
                  <c:v>48.368899999999996</c:v>
                </c:pt>
                <c:pt idx="46">
                  <c:v>48.772100000000002</c:v>
                </c:pt>
                <c:pt idx="47">
                  <c:v>49.182099999999998</c:v>
                </c:pt>
                <c:pt idx="48">
                  <c:v>49.5867</c:v>
                </c:pt>
                <c:pt idx="49">
                  <c:v>49.992600000000003</c:v>
                </c:pt>
                <c:pt idx="50">
                  <c:v>50.399500000000003</c:v>
                </c:pt>
                <c:pt idx="51">
                  <c:v>50.805399999999999</c:v>
                </c:pt>
                <c:pt idx="52">
                  <c:v>51.211399999999998</c:v>
                </c:pt>
                <c:pt idx="53">
                  <c:v>51.619199999999999</c:v>
                </c:pt>
                <c:pt idx="54">
                  <c:v>52.025100000000002</c:v>
                </c:pt>
                <c:pt idx="55">
                  <c:v>52.432299999999998</c:v>
                </c:pt>
                <c:pt idx="56">
                  <c:v>52.835000000000001</c:v>
                </c:pt>
                <c:pt idx="57">
                  <c:v>53.243899999999996</c:v>
                </c:pt>
                <c:pt idx="58">
                  <c:v>53.649900000000002</c:v>
                </c:pt>
                <c:pt idx="59">
                  <c:v>54.054000000000002</c:v>
                </c:pt>
                <c:pt idx="60">
                  <c:v>54.4636</c:v>
                </c:pt>
                <c:pt idx="61">
                  <c:v>54.870600000000003</c:v>
                </c:pt>
                <c:pt idx="62">
                  <c:v>55.273400000000002</c:v>
                </c:pt>
                <c:pt idx="63">
                  <c:v>55.6813</c:v>
                </c:pt>
                <c:pt idx="64">
                  <c:v>56.084600000000002</c:v>
                </c:pt>
                <c:pt idx="65">
                  <c:v>56.495199999999997</c:v>
                </c:pt>
                <c:pt idx="66">
                  <c:v>56.898299999999999</c:v>
                </c:pt>
                <c:pt idx="67">
                  <c:v>57.308100000000003</c:v>
                </c:pt>
                <c:pt idx="68">
                  <c:v>57.713000000000001</c:v>
                </c:pt>
                <c:pt idx="69">
                  <c:v>58.118099999999998</c:v>
                </c:pt>
                <c:pt idx="70">
                  <c:v>58.522799999999997</c:v>
                </c:pt>
                <c:pt idx="71">
                  <c:v>58.932000000000002</c:v>
                </c:pt>
                <c:pt idx="72">
                  <c:v>59.339599999999997</c:v>
                </c:pt>
                <c:pt idx="73">
                  <c:v>59.7425</c:v>
                </c:pt>
                <c:pt idx="74">
                  <c:v>60.150700000000001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5.1648300000000003</c:v>
                </c:pt>
                <c:pt idx="1">
                  <c:v>5.1405900000000004</c:v>
                </c:pt>
                <c:pt idx="2">
                  <c:v>5.1217699999999997</c:v>
                </c:pt>
                <c:pt idx="3">
                  <c:v>5.1028399999999996</c:v>
                </c:pt>
                <c:pt idx="4">
                  <c:v>5.0831599999999995</c:v>
                </c:pt>
                <c:pt idx="5">
                  <c:v>5.0615299999999994</c:v>
                </c:pt>
                <c:pt idx="6">
                  <c:v>5.0362300000000007</c:v>
                </c:pt>
                <c:pt idx="7">
                  <c:v>5.0114099999999997</c:v>
                </c:pt>
                <c:pt idx="8">
                  <c:v>4.9885099999999998</c:v>
                </c:pt>
                <c:pt idx="9">
                  <c:v>4.9686599999999999</c:v>
                </c:pt>
                <c:pt idx="10">
                  <c:v>4.9474400000000003</c:v>
                </c:pt>
                <c:pt idx="11">
                  <c:v>4.9243600000000001</c:v>
                </c:pt>
                <c:pt idx="12">
                  <c:v>4.8989799999999999</c:v>
                </c:pt>
                <c:pt idx="13">
                  <c:v>4.8708499999999999</c:v>
                </c:pt>
                <c:pt idx="14">
                  <c:v>4.8382699999999996</c:v>
                </c:pt>
                <c:pt idx="15">
                  <c:v>4.80274</c:v>
                </c:pt>
                <c:pt idx="16">
                  <c:v>4.7693000000000003</c:v>
                </c:pt>
                <c:pt idx="17">
                  <c:v>4.7369399999999997</c:v>
                </c:pt>
                <c:pt idx="18">
                  <c:v>4.7103200000000003</c:v>
                </c:pt>
                <c:pt idx="19">
                  <c:v>4.6873800000000001</c:v>
                </c:pt>
                <c:pt idx="20">
                  <c:v>4.6694599999999999</c:v>
                </c:pt>
                <c:pt idx="21">
                  <c:v>4.6554400000000005</c:v>
                </c:pt>
                <c:pt idx="22">
                  <c:v>4.6428799999999999</c:v>
                </c:pt>
                <c:pt idx="23">
                  <c:v>4.6361499999999998</c:v>
                </c:pt>
                <c:pt idx="24">
                  <c:v>4.6307999999999998</c:v>
                </c:pt>
                <c:pt idx="25">
                  <c:v>4.6221899999999998</c:v>
                </c:pt>
                <c:pt idx="26">
                  <c:v>4.6100099999999999</c:v>
                </c:pt>
                <c:pt idx="27">
                  <c:v>4.5965699999999998</c:v>
                </c:pt>
                <c:pt idx="28">
                  <c:v>4.5814700000000004</c:v>
                </c:pt>
                <c:pt idx="29">
                  <c:v>4.5631599999999999</c:v>
                </c:pt>
                <c:pt idx="30">
                  <c:v>4.5469499999999998</c:v>
                </c:pt>
                <c:pt idx="31">
                  <c:v>4.5308999999999999</c:v>
                </c:pt>
                <c:pt idx="32">
                  <c:v>4.5151200000000005</c:v>
                </c:pt>
                <c:pt idx="33">
                  <c:v>4.50054</c:v>
                </c:pt>
                <c:pt idx="34">
                  <c:v>4.4908700000000001</c:v>
                </c:pt>
                <c:pt idx="35">
                  <c:v>4.4870400000000004</c:v>
                </c:pt>
                <c:pt idx="36">
                  <c:v>4.4884899999999996</c:v>
                </c:pt>
                <c:pt idx="37">
                  <c:v>4.4973900000000002</c:v>
                </c:pt>
                <c:pt idx="38">
                  <c:v>4.5127100000000002</c:v>
                </c:pt>
                <c:pt idx="39">
                  <c:v>4.5271099999999995</c:v>
                </c:pt>
                <c:pt idx="40">
                  <c:v>4.5455899999999998</c:v>
                </c:pt>
                <c:pt idx="41">
                  <c:v>4.5647599999999997</c:v>
                </c:pt>
                <c:pt idx="42">
                  <c:v>4.5840100000000001</c:v>
                </c:pt>
                <c:pt idx="43">
                  <c:v>4.6019700000000006</c:v>
                </c:pt>
                <c:pt idx="44">
                  <c:v>4.6193800000000005</c:v>
                </c:pt>
                <c:pt idx="45">
                  <c:v>4.6359300000000001</c:v>
                </c:pt>
                <c:pt idx="46">
                  <c:v>4.6503100000000002</c:v>
                </c:pt>
                <c:pt idx="47">
                  <c:v>4.6603599999999998</c:v>
                </c:pt>
                <c:pt idx="48">
                  <c:v>4.6659600000000001</c:v>
                </c:pt>
                <c:pt idx="49">
                  <c:v>4.6707400000000003</c:v>
                </c:pt>
                <c:pt idx="50">
                  <c:v>4.6752099999999999</c:v>
                </c:pt>
                <c:pt idx="51">
                  <c:v>4.6808199999999998</c:v>
                </c:pt>
                <c:pt idx="52">
                  <c:v>4.6883400000000002</c:v>
                </c:pt>
                <c:pt idx="53">
                  <c:v>4.6987399999999999</c:v>
                </c:pt>
                <c:pt idx="54">
                  <c:v>4.7138499999999999</c:v>
                </c:pt>
                <c:pt idx="55">
                  <c:v>4.7300700000000004</c:v>
                </c:pt>
                <c:pt idx="56">
                  <c:v>4.7477</c:v>
                </c:pt>
                <c:pt idx="57">
                  <c:v>4.7650399999999999</c:v>
                </c:pt>
                <c:pt idx="58">
                  <c:v>4.7808400000000004</c:v>
                </c:pt>
                <c:pt idx="59">
                  <c:v>4.7938799999999997</c:v>
                </c:pt>
                <c:pt idx="60">
                  <c:v>4.8035099999999993</c:v>
                </c:pt>
                <c:pt idx="61">
                  <c:v>4.8097399999999997</c:v>
                </c:pt>
                <c:pt idx="62">
                  <c:v>4.8099100000000004</c:v>
                </c:pt>
                <c:pt idx="63">
                  <c:v>4.8051399999999997</c:v>
                </c:pt>
                <c:pt idx="64">
                  <c:v>4.8034100000000004</c:v>
                </c:pt>
                <c:pt idx="65">
                  <c:v>4.7986899999999997</c:v>
                </c:pt>
                <c:pt idx="66">
                  <c:v>4.7946299999999997</c:v>
                </c:pt>
                <c:pt idx="67">
                  <c:v>4.7897400000000001</c:v>
                </c:pt>
                <c:pt idx="68">
                  <c:v>4.7844600000000002</c:v>
                </c:pt>
                <c:pt idx="69">
                  <c:v>4.7778599999999996</c:v>
                </c:pt>
                <c:pt idx="70">
                  <c:v>4.7641600000000004</c:v>
                </c:pt>
                <c:pt idx="71">
                  <c:v>4.7482199999999999</c:v>
                </c:pt>
                <c:pt idx="72">
                  <c:v>4.7371099999999995</c:v>
                </c:pt>
                <c:pt idx="73">
                  <c:v>4.7360600000000002</c:v>
                </c:pt>
                <c:pt idx="74">
                  <c:v>4.7350300000000001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15.037675</c:v>
                </c:pt>
                <c:pt idx="1">
                  <c:v>45.113025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4.6069917567567584</c:v>
                </c:pt>
                <c:pt idx="1">
                  <c:v>4.7379391891891869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0.38425799999999999</c:v>
                </c:pt>
                <c:pt idx="2">
                  <c:v>0.79216799999999998</c:v>
                </c:pt>
                <c:pt idx="3">
                  <c:v>1.1972100000000001</c:v>
                </c:pt>
                <c:pt idx="4">
                  <c:v>1.6009599999999999</c:v>
                </c:pt>
                <c:pt idx="5">
                  <c:v>2.0089399999999999</c:v>
                </c:pt>
                <c:pt idx="6">
                  <c:v>2.4127700000000001</c:v>
                </c:pt>
                <c:pt idx="7">
                  <c:v>2.8197199999999998</c:v>
                </c:pt>
                <c:pt idx="8">
                  <c:v>3.2276799999999999</c:v>
                </c:pt>
                <c:pt idx="9">
                  <c:v>3.6366299999999998</c:v>
                </c:pt>
                <c:pt idx="10">
                  <c:v>4.0414399999999997</c:v>
                </c:pt>
                <c:pt idx="11">
                  <c:v>4.4465500000000002</c:v>
                </c:pt>
                <c:pt idx="12">
                  <c:v>4.8513000000000002</c:v>
                </c:pt>
                <c:pt idx="13">
                  <c:v>5.2612300000000003</c:v>
                </c:pt>
                <c:pt idx="14">
                  <c:v>5.6691099999999999</c:v>
                </c:pt>
                <c:pt idx="15">
                  <c:v>6.0730300000000002</c:v>
                </c:pt>
                <c:pt idx="16">
                  <c:v>6.4779600000000004</c:v>
                </c:pt>
                <c:pt idx="17">
                  <c:v>6.8822099999999997</c:v>
                </c:pt>
                <c:pt idx="18">
                  <c:v>7.28796</c:v>
                </c:pt>
                <c:pt idx="19">
                  <c:v>7.6976899999999997</c:v>
                </c:pt>
                <c:pt idx="20">
                  <c:v>8.1006699999999991</c:v>
                </c:pt>
                <c:pt idx="21">
                  <c:v>8.5094999999999992</c:v>
                </c:pt>
                <c:pt idx="22">
                  <c:v>8.9144400000000008</c:v>
                </c:pt>
                <c:pt idx="23">
                  <c:v>9.3223500000000001</c:v>
                </c:pt>
                <c:pt idx="24">
                  <c:v>9.7257800000000003</c:v>
                </c:pt>
                <c:pt idx="25">
                  <c:v>10.1328</c:v>
                </c:pt>
                <c:pt idx="26">
                  <c:v>10.542999999999999</c:v>
                </c:pt>
                <c:pt idx="27">
                  <c:v>10.945</c:v>
                </c:pt>
                <c:pt idx="28">
                  <c:v>11.354900000000001</c:v>
                </c:pt>
                <c:pt idx="29">
                  <c:v>11.7578</c:v>
                </c:pt>
                <c:pt idx="30">
                  <c:v>12.164899999999999</c:v>
                </c:pt>
                <c:pt idx="31">
                  <c:v>12.573600000000001</c:v>
                </c:pt>
                <c:pt idx="32">
                  <c:v>12.9755</c:v>
                </c:pt>
                <c:pt idx="33">
                  <c:v>13.383900000000001</c:v>
                </c:pt>
                <c:pt idx="34">
                  <c:v>13.788399999999999</c:v>
                </c:pt>
                <c:pt idx="35">
                  <c:v>14.198499999999999</c:v>
                </c:pt>
                <c:pt idx="36">
                  <c:v>14.600199999999999</c:v>
                </c:pt>
                <c:pt idx="37">
                  <c:v>15.0091</c:v>
                </c:pt>
                <c:pt idx="38">
                  <c:v>15.414199999999999</c:v>
                </c:pt>
                <c:pt idx="39">
                  <c:v>15.8209</c:v>
                </c:pt>
                <c:pt idx="40">
                  <c:v>16.229900000000001</c:v>
                </c:pt>
                <c:pt idx="41">
                  <c:v>16.634799999999998</c:v>
                </c:pt>
                <c:pt idx="42">
                  <c:v>17.040700000000001</c:v>
                </c:pt>
                <c:pt idx="43">
                  <c:v>17.447700000000001</c:v>
                </c:pt>
                <c:pt idx="44">
                  <c:v>17.8566</c:v>
                </c:pt>
                <c:pt idx="45">
                  <c:v>18.261399999999998</c:v>
                </c:pt>
                <c:pt idx="46">
                  <c:v>18.6694</c:v>
                </c:pt>
                <c:pt idx="47">
                  <c:v>19.067599999999999</c:v>
                </c:pt>
                <c:pt idx="48">
                  <c:v>19.477399999999999</c:v>
                </c:pt>
                <c:pt idx="49">
                  <c:v>19.885000000000002</c:v>
                </c:pt>
                <c:pt idx="50">
                  <c:v>20.290900000000001</c:v>
                </c:pt>
                <c:pt idx="51">
                  <c:v>20.697900000000001</c:v>
                </c:pt>
                <c:pt idx="52">
                  <c:v>21.104399999999998</c:v>
                </c:pt>
                <c:pt idx="53">
                  <c:v>21.5077</c:v>
                </c:pt>
                <c:pt idx="54">
                  <c:v>21.9146</c:v>
                </c:pt>
                <c:pt idx="55">
                  <c:v>22.323499999999999</c:v>
                </c:pt>
                <c:pt idx="56">
                  <c:v>22.7285</c:v>
                </c:pt>
                <c:pt idx="57">
                  <c:v>23.1325</c:v>
                </c:pt>
                <c:pt idx="58">
                  <c:v>23.539400000000001</c:v>
                </c:pt>
                <c:pt idx="59">
                  <c:v>23.9452</c:v>
                </c:pt>
                <c:pt idx="60">
                  <c:v>24.3552</c:v>
                </c:pt>
                <c:pt idx="61">
                  <c:v>24.757100000000001</c:v>
                </c:pt>
                <c:pt idx="62">
                  <c:v>25.165299999999998</c:v>
                </c:pt>
                <c:pt idx="63">
                  <c:v>25.570900000000002</c:v>
                </c:pt>
                <c:pt idx="64">
                  <c:v>25.976099999999999</c:v>
                </c:pt>
                <c:pt idx="65">
                  <c:v>26.386800000000001</c:v>
                </c:pt>
                <c:pt idx="66">
                  <c:v>26.790600000000001</c:v>
                </c:pt>
                <c:pt idx="67">
                  <c:v>27.197500000000002</c:v>
                </c:pt>
                <c:pt idx="68">
                  <c:v>27.604600000000001</c:v>
                </c:pt>
                <c:pt idx="69">
                  <c:v>28.007400000000001</c:v>
                </c:pt>
                <c:pt idx="70">
                  <c:v>28.4133</c:v>
                </c:pt>
                <c:pt idx="71">
                  <c:v>28.821400000000001</c:v>
                </c:pt>
                <c:pt idx="72">
                  <c:v>29.228100000000001</c:v>
                </c:pt>
                <c:pt idx="73">
                  <c:v>29.6311</c:v>
                </c:pt>
                <c:pt idx="74">
                  <c:v>30.041899999999998</c:v>
                </c:pt>
                <c:pt idx="75">
                  <c:v>30.616599999999998</c:v>
                </c:pt>
                <c:pt idx="76">
                  <c:v>30.9954</c:v>
                </c:pt>
                <c:pt idx="77">
                  <c:v>31.368400000000001</c:v>
                </c:pt>
                <c:pt idx="78">
                  <c:v>31.743400000000001</c:v>
                </c:pt>
                <c:pt idx="79">
                  <c:v>32.118600000000001</c:v>
                </c:pt>
                <c:pt idx="80">
                  <c:v>32.527299999999997</c:v>
                </c:pt>
                <c:pt idx="81">
                  <c:v>32.933300000000003</c:v>
                </c:pt>
                <c:pt idx="82">
                  <c:v>33.335099999999997</c:v>
                </c:pt>
                <c:pt idx="83">
                  <c:v>33.744999999999997</c:v>
                </c:pt>
                <c:pt idx="84">
                  <c:v>34.148099999999999</c:v>
                </c:pt>
                <c:pt idx="85">
                  <c:v>34.557899999999997</c:v>
                </c:pt>
                <c:pt idx="86">
                  <c:v>34.9651</c:v>
                </c:pt>
                <c:pt idx="87">
                  <c:v>35.366</c:v>
                </c:pt>
                <c:pt idx="88">
                  <c:v>35.773600000000002</c:v>
                </c:pt>
                <c:pt idx="89">
                  <c:v>36.181899999999999</c:v>
                </c:pt>
                <c:pt idx="90">
                  <c:v>36.5884</c:v>
                </c:pt>
                <c:pt idx="91">
                  <c:v>36.993400000000001</c:v>
                </c:pt>
                <c:pt idx="92">
                  <c:v>37.3994</c:v>
                </c:pt>
                <c:pt idx="93">
                  <c:v>37.805100000000003</c:v>
                </c:pt>
                <c:pt idx="94">
                  <c:v>38.212400000000002</c:v>
                </c:pt>
                <c:pt idx="95">
                  <c:v>38.619</c:v>
                </c:pt>
                <c:pt idx="96">
                  <c:v>39.019300000000001</c:v>
                </c:pt>
                <c:pt idx="97">
                  <c:v>39.432899999999997</c:v>
                </c:pt>
                <c:pt idx="98">
                  <c:v>39.837699999999998</c:v>
                </c:pt>
                <c:pt idx="99">
                  <c:v>40.241700000000002</c:v>
                </c:pt>
                <c:pt idx="100">
                  <c:v>40.651600000000002</c:v>
                </c:pt>
                <c:pt idx="101">
                  <c:v>41.055500000000002</c:v>
                </c:pt>
                <c:pt idx="102">
                  <c:v>41.464399999999998</c:v>
                </c:pt>
                <c:pt idx="103">
                  <c:v>41.8673</c:v>
                </c:pt>
                <c:pt idx="104">
                  <c:v>42.273200000000003</c:v>
                </c:pt>
                <c:pt idx="105">
                  <c:v>42.681199999999997</c:v>
                </c:pt>
                <c:pt idx="106">
                  <c:v>43.089100000000002</c:v>
                </c:pt>
                <c:pt idx="107">
                  <c:v>43.494999999999997</c:v>
                </c:pt>
                <c:pt idx="108">
                  <c:v>43.901899999999998</c:v>
                </c:pt>
                <c:pt idx="109">
                  <c:v>44.305900000000001</c:v>
                </c:pt>
                <c:pt idx="110">
                  <c:v>44.7089</c:v>
                </c:pt>
                <c:pt idx="111">
                  <c:v>45.120699999999999</c:v>
                </c:pt>
                <c:pt idx="112">
                  <c:v>45.525500000000001</c:v>
                </c:pt>
                <c:pt idx="113">
                  <c:v>45.9315</c:v>
                </c:pt>
                <c:pt idx="114">
                  <c:v>46.336500000000001</c:v>
                </c:pt>
                <c:pt idx="115">
                  <c:v>46.744399999999999</c:v>
                </c:pt>
                <c:pt idx="116">
                  <c:v>47.149299999999997</c:v>
                </c:pt>
                <c:pt idx="117">
                  <c:v>47.558500000000002</c:v>
                </c:pt>
                <c:pt idx="118">
                  <c:v>47.965200000000003</c:v>
                </c:pt>
                <c:pt idx="119">
                  <c:v>48.368899999999996</c:v>
                </c:pt>
                <c:pt idx="120">
                  <c:v>48.772100000000002</c:v>
                </c:pt>
                <c:pt idx="121">
                  <c:v>49.182099999999998</c:v>
                </c:pt>
                <c:pt idx="122">
                  <c:v>49.5867</c:v>
                </c:pt>
                <c:pt idx="123">
                  <c:v>49.992600000000003</c:v>
                </c:pt>
                <c:pt idx="124">
                  <c:v>50.399500000000003</c:v>
                </c:pt>
                <c:pt idx="125">
                  <c:v>50.805399999999999</c:v>
                </c:pt>
                <c:pt idx="126">
                  <c:v>51.211399999999998</c:v>
                </c:pt>
                <c:pt idx="127">
                  <c:v>51.619199999999999</c:v>
                </c:pt>
                <c:pt idx="128">
                  <c:v>52.025100000000002</c:v>
                </c:pt>
                <c:pt idx="129">
                  <c:v>52.432299999999998</c:v>
                </c:pt>
                <c:pt idx="130">
                  <c:v>52.835000000000001</c:v>
                </c:pt>
                <c:pt idx="131">
                  <c:v>53.243899999999996</c:v>
                </c:pt>
                <c:pt idx="132">
                  <c:v>53.649900000000002</c:v>
                </c:pt>
                <c:pt idx="133">
                  <c:v>54.054000000000002</c:v>
                </c:pt>
                <c:pt idx="134">
                  <c:v>54.4636</c:v>
                </c:pt>
                <c:pt idx="135">
                  <c:v>54.870600000000003</c:v>
                </c:pt>
                <c:pt idx="136">
                  <c:v>55.273400000000002</c:v>
                </c:pt>
                <c:pt idx="137">
                  <c:v>55.6813</c:v>
                </c:pt>
                <c:pt idx="138">
                  <c:v>56.084600000000002</c:v>
                </c:pt>
                <c:pt idx="139">
                  <c:v>56.495199999999997</c:v>
                </c:pt>
                <c:pt idx="140">
                  <c:v>56.898299999999999</c:v>
                </c:pt>
                <c:pt idx="141">
                  <c:v>57.308100000000003</c:v>
                </c:pt>
                <c:pt idx="142">
                  <c:v>57.713000000000001</c:v>
                </c:pt>
                <c:pt idx="143">
                  <c:v>58.118099999999998</c:v>
                </c:pt>
                <c:pt idx="144">
                  <c:v>58.522799999999997</c:v>
                </c:pt>
                <c:pt idx="145">
                  <c:v>58.932000000000002</c:v>
                </c:pt>
                <c:pt idx="146">
                  <c:v>59.339599999999997</c:v>
                </c:pt>
                <c:pt idx="147">
                  <c:v>59.7425</c:v>
                </c:pt>
                <c:pt idx="148">
                  <c:v>60.150700000000001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58.475999999999992</c:v>
                </c:pt>
                <c:pt idx="1">
                  <c:v>57.901599999999995</c:v>
                </c:pt>
                <c:pt idx="2">
                  <c:v>57.151499999999999</c:v>
                </c:pt>
                <c:pt idx="3">
                  <c:v>56.1419</c:v>
                </c:pt>
                <c:pt idx="4">
                  <c:v>55.0762</c:v>
                </c:pt>
                <c:pt idx="5">
                  <c:v>54.004200000000004</c:v>
                </c:pt>
                <c:pt idx="6">
                  <c:v>52.924800000000005</c:v>
                </c:pt>
                <c:pt idx="7">
                  <c:v>51.767200000000003</c:v>
                </c:pt>
                <c:pt idx="8">
                  <c:v>50.381699999999995</c:v>
                </c:pt>
                <c:pt idx="9">
                  <c:v>48.859700000000004</c:v>
                </c:pt>
                <c:pt idx="10">
                  <c:v>47.437899999999999</c:v>
                </c:pt>
                <c:pt idx="11">
                  <c:v>46.1614</c:v>
                </c:pt>
                <c:pt idx="12">
                  <c:v>44.959299999999999</c:v>
                </c:pt>
                <c:pt idx="13">
                  <c:v>43.796700000000001</c:v>
                </c:pt>
                <c:pt idx="14">
                  <c:v>42.595100000000002</c:v>
                </c:pt>
                <c:pt idx="15">
                  <c:v>41.5182</c:v>
                </c:pt>
                <c:pt idx="16">
                  <c:v>40.594000000000001</c:v>
                </c:pt>
                <c:pt idx="17">
                  <c:v>39.748400000000004</c:v>
                </c:pt>
                <c:pt idx="18">
                  <c:v>38.905000000000001</c:v>
                </c:pt>
                <c:pt idx="19">
                  <c:v>38.152099999999997</c:v>
                </c:pt>
                <c:pt idx="20">
                  <c:v>37.613799999999998</c:v>
                </c:pt>
                <c:pt idx="21">
                  <c:v>37.378499999999995</c:v>
                </c:pt>
                <c:pt idx="22">
                  <c:v>37.297999999999995</c:v>
                </c:pt>
                <c:pt idx="23">
                  <c:v>37.331199999999995</c:v>
                </c:pt>
                <c:pt idx="24">
                  <c:v>37.4039</c:v>
                </c:pt>
                <c:pt idx="25">
                  <c:v>37.492999999999995</c:v>
                </c:pt>
                <c:pt idx="26">
                  <c:v>37.650700000000001</c:v>
                </c:pt>
                <c:pt idx="27">
                  <c:v>37.816400000000002</c:v>
                </c:pt>
                <c:pt idx="28">
                  <c:v>37.960799999999999</c:v>
                </c:pt>
                <c:pt idx="29">
                  <c:v>38.091200000000001</c:v>
                </c:pt>
                <c:pt idx="30">
                  <c:v>38.188600000000001</c:v>
                </c:pt>
                <c:pt idx="31">
                  <c:v>38.214799999999997</c:v>
                </c:pt>
                <c:pt idx="32">
                  <c:v>38.159700000000001</c:v>
                </c:pt>
                <c:pt idx="33">
                  <c:v>38.010100000000001</c:v>
                </c:pt>
                <c:pt idx="34">
                  <c:v>37.759100000000004</c:v>
                </c:pt>
                <c:pt idx="35">
                  <c:v>37.448</c:v>
                </c:pt>
                <c:pt idx="36">
                  <c:v>37.0929</c:v>
                </c:pt>
                <c:pt idx="37">
                  <c:v>36.759300000000003</c:v>
                </c:pt>
                <c:pt idx="38">
                  <c:v>36.457899999999995</c:v>
                </c:pt>
                <c:pt idx="39">
                  <c:v>36.160899999999998</c:v>
                </c:pt>
                <c:pt idx="40">
                  <c:v>35.786900000000003</c:v>
                </c:pt>
                <c:pt idx="41">
                  <c:v>35.322900000000004</c:v>
                </c:pt>
                <c:pt idx="42">
                  <c:v>34.811700000000002</c:v>
                </c:pt>
                <c:pt idx="43">
                  <c:v>34.293199999999999</c:v>
                </c:pt>
                <c:pt idx="44">
                  <c:v>33.795999999999999</c:v>
                </c:pt>
                <c:pt idx="45">
                  <c:v>33.330199999999998</c:v>
                </c:pt>
                <c:pt idx="46">
                  <c:v>32.833199999999998</c:v>
                </c:pt>
                <c:pt idx="47">
                  <c:v>32.345500000000001</c:v>
                </c:pt>
                <c:pt idx="48">
                  <c:v>31.837399999999999</c:v>
                </c:pt>
                <c:pt idx="49">
                  <c:v>31.350699999999996</c:v>
                </c:pt>
                <c:pt idx="50">
                  <c:v>30.998799999999999</c:v>
                </c:pt>
                <c:pt idx="51">
                  <c:v>30.646600000000003</c:v>
                </c:pt>
                <c:pt idx="52">
                  <c:v>30.384800000000002</c:v>
                </c:pt>
                <c:pt idx="53">
                  <c:v>30.127800000000001</c:v>
                </c:pt>
                <c:pt idx="54">
                  <c:v>29.845800000000001</c:v>
                </c:pt>
                <c:pt idx="55">
                  <c:v>29.498999999999999</c:v>
                </c:pt>
                <c:pt idx="56">
                  <c:v>29.141299999999998</c:v>
                </c:pt>
                <c:pt idx="57">
                  <c:v>28.8337</c:v>
                </c:pt>
                <c:pt idx="58">
                  <c:v>28.565200000000001</c:v>
                </c:pt>
                <c:pt idx="59">
                  <c:v>28.366700000000002</c:v>
                </c:pt>
                <c:pt idx="60">
                  <c:v>28.242299999999997</c:v>
                </c:pt>
                <c:pt idx="61">
                  <c:v>28.150300000000001</c:v>
                </c:pt>
                <c:pt idx="62">
                  <c:v>28.0688</c:v>
                </c:pt>
                <c:pt idx="63">
                  <c:v>27.9833</c:v>
                </c:pt>
                <c:pt idx="64">
                  <c:v>27.857199999999999</c:v>
                </c:pt>
                <c:pt idx="65">
                  <c:v>27.734100000000002</c:v>
                </c:pt>
                <c:pt idx="66">
                  <c:v>27.616200000000003</c:v>
                </c:pt>
                <c:pt idx="67">
                  <c:v>27.537099999999999</c:v>
                </c:pt>
                <c:pt idx="68">
                  <c:v>27.494200000000003</c:v>
                </c:pt>
                <c:pt idx="69">
                  <c:v>27.505499999999998</c:v>
                </c:pt>
                <c:pt idx="70">
                  <c:v>27.468999999999998</c:v>
                </c:pt>
                <c:pt idx="71">
                  <c:v>27.4758</c:v>
                </c:pt>
                <c:pt idx="72">
                  <c:v>27.476800000000001</c:v>
                </c:pt>
                <c:pt idx="73">
                  <c:v>27.472300000000001</c:v>
                </c:pt>
                <c:pt idx="74">
                  <c:v>27.491900000000001</c:v>
                </c:pt>
                <c:pt idx="75">
                  <c:v>27.4848</c:v>
                </c:pt>
                <c:pt idx="76">
                  <c:v>27.422400000000003</c:v>
                </c:pt>
                <c:pt idx="77">
                  <c:v>27.347300000000001</c:v>
                </c:pt>
                <c:pt idx="78">
                  <c:v>27.2803</c:v>
                </c:pt>
                <c:pt idx="79">
                  <c:v>27.272800000000004</c:v>
                </c:pt>
                <c:pt idx="80">
                  <c:v>27.332099999999997</c:v>
                </c:pt>
                <c:pt idx="81">
                  <c:v>27.393699999999999</c:v>
                </c:pt>
                <c:pt idx="82">
                  <c:v>27.4663</c:v>
                </c:pt>
                <c:pt idx="83">
                  <c:v>27.4312</c:v>
                </c:pt>
                <c:pt idx="84">
                  <c:v>27.403899999999997</c:v>
                </c:pt>
                <c:pt idx="85">
                  <c:v>27.3963</c:v>
                </c:pt>
                <c:pt idx="86">
                  <c:v>27.396700000000003</c:v>
                </c:pt>
                <c:pt idx="87">
                  <c:v>27.374300000000002</c:v>
                </c:pt>
                <c:pt idx="88">
                  <c:v>27.458300000000001</c:v>
                </c:pt>
                <c:pt idx="89">
                  <c:v>27.5885</c:v>
                </c:pt>
                <c:pt idx="90">
                  <c:v>27.707799999999999</c:v>
                </c:pt>
                <c:pt idx="91">
                  <c:v>27.828199999999999</c:v>
                </c:pt>
                <c:pt idx="92">
                  <c:v>27.871400000000001</c:v>
                </c:pt>
                <c:pt idx="93">
                  <c:v>27.807199999999998</c:v>
                </c:pt>
                <c:pt idx="94">
                  <c:v>27.706099999999999</c:v>
                </c:pt>
                <c:pt idx="95">
                  <c:v>27.6098</c:v>
                </c:pt>
                <c:pt idx="96">
                  <c:v>27.548099999999998</c:v>
                </c:pt>
                <c:pt idx="97">
                  <c:v>27.570099999999996</c:v>
                </c:pt>
                <c:pt idx="98">
                  <c:v>27.6374</c:v>
                </c:pt>
                <c:pt idx="99">
                  <c:v>27.750299999999999</c:v>
                </c:pt>
                <c:pt idx="100">
                  <c:v>27.900799999999997</c:v>
                </c:pt>
                <c:pt idx="101">
                  <c:v>28.114099999999997</c:v>
                </c:pt>
                <c:pt idx="102">
                  <c:v>28.344899999999999</c:v>
                </c:pt>
                <c:pt idx="103">
                  <c:v>28.631899999999998</c:v>
                </c:pt>
                <c:pt idx="104">
                  <c:v>28.959299999999999</c:v>
                </c:pt>
                <c:pt idx="105">
                  <c:v>29.367799999999999</c:v>
                </c:pt>
                <c:pt idx="106">
                  <c:v>29.852800000000002</c:v>
                </c:pt>
                <c:pt idx="107">
                  <c:v>30.364000000000001</c:v>
                </c:pt>
                <c:pt idx="108">
                  <c:v>30.808999999999997</c:v>
                </c:pt>
                <c:pt idx="109">
                  <c:v>31.152899999999999</c:v>
                </c:pt>
                <c:pt idx="110">
                  <c:v>31.408199999999997</c:v>
                </c:pt>
                <c:pt idx="111">
                  <c:v>31.519100000000002</c:v>
                </c:pt>
                <c:pt idx="112">
                  <c:v>31.521900000000002</c:v>
                </c:pt>
                <c:pt idx="113">
                  <c:v>31.554700000000004</c:v>
                </c:pt>
                <c:pt idx="114">
                  <c:v>31.555899999999998</c:v>
                </c:pt>
                <c:pt idx="115">
                  <c:v>31.5654</c:v>
                </c:pt>
                <c:pt idx="116">
                  <c:v>31.625599999999999</c:v>
                </c:pt>
                <c:pt idx="117">
                  <c:v>31.7851</c:v>
                </c:pt>
                <c:pt idx="118">
                  <c:v>31.968900000000001</c:v>
                </c:pt>
                <c:pt idx="119">
                  <c:v>32.138100000000001</c:v>
                </c:pt>
                <c:pt idx="120">
                  <c:v>32.308100000000003</c:v>
                </c:pt>
                <c:pt idx="121">
                  <c:v>32.475500000000004</c:v>
                </c:pt>
                <c:pt idx="122">
                  <c:v>32.633000000000003</c:v>
                </c:pt>
                <c:pt idx="123">
                  <c:v>32.803800000000003</c:v>
                </c:pt>
                <c:pt idx="124">
                  <c:v>32.906800000000004</c:v>
                </c:pt>
                <c:pt idx="125">
                  <c:v>32.939299999999996</c:v>
                </c:pt>
                <c:pt idx="126">
                  <c:v>32.946199999999997</c:v>
                </c:pt>
                <c:pt idx="127">
                  <c:v>32.959500000000006</c:v>
                </c:pt>
                <c:pt idx="128">
                  <c:v>32.958300000000001</c:v>
                </c:pt>
                <c:pt idx="129">
                  <c:v>32.930300000000003</c:v>
                </c:pt>
                <c:pt idx="130">
                  <c:v>32.900400000000005</c:v>
                </c:pt>
                <c:pt idx="131">
                  <c:v>32.862200000000001</c:v>
                </c:pt>
                <c:pt idx="132">
                  <c:v>32.825199999999995</c:v>
                </c:pt>
                <c:pt idx="133">
                  <c:v>32.834699999999998</c:v>
                </c:pt>
                <c:pt idx="134">
                  <c:v>32.830799999999996</c:v>
                </c:pt>
                <c:pt idx="135">
                  <c:v>32.807099999999998</c:v>
                </c:pt>
                <c:pt idx="136">
                  <c:v>32.849899999999998</c:v>
                </c:pt>
                <c:pt idx="137">
                  <c:v>32.987300000000005</c:v>
                </c:pt>
                <c:pt idx="138">
                  <c:v>33.097500000000004</c:v>
                </c:pt>
                <c:pt idx="139">
                  <c:v>33.298100000000005</c:v>
                </c:pt>
                <c:pt idx="140">
                  <c:v>33.553600000000003</c:v>
                </c:pt>
                <c:pt idx="141">
                  <c:v>33.785800000000002</c:v>
                </c:pt>
                <c:pt idx="142">
                  <c:v>33.948499999999996</c:v>
                </c:pt>
                <c:pt idx="143">
                  <c:v>34.081000000000003</c:v>
                </c:pt>
                <c:pt idx="144">
                  <c:v>34.350700000000003</c:v>
                </c:pt>
                <c:pt idx="145">
                  <c:v>34.667099999999998</c:v>
                </c:pt>
                <c:pt idx="146">
                  <c:v>35.157699999999998</c:v>
                </c:pt>
                <c:pt idx="147">
                  <c:v>35.576099999999997</c:v>
                </c:pt>
                <c:pt idx="148">
                  <c:v>36.082599999999999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0.38425799999999999</c:v>
                </c:pt>
                <c:pt idx="2">
                  <c:v>0.79216799999999998</c:v>
                </c:pt>
                <c:pt idx="3">
                  <c:v>1.1972100000000001</c:v>
                </c:pt>
                <c:pt idx="4">
                  <c:v>1.6009599999999999</c:v>
                </c:pt>
                <c:pt idx="5">
                  <c:v>2.0089399999999999</c:v>
                </c:pt>
                <c:pt idx="6">
                  <c:v>2.4127700000000001</c:v>
                </c:pt>
                <c:pt idx="7">
                  <c:v>2.8197199999999998</c:v>
                </c:pt>
                <c:pt idx="8">
                  <c:v>3.2276799999999999</c:v>
                </c:pt>
                <c:pt idx="9">
                  <c:v>3.6366299999999998</c:v>
                </c:pt>
                <c:pt idx="10">
                  <c:v>4.0414399999999997</c:v>
                </c:pt>
                <c:pt idx="11">
                  <c:v>4.4465500000000002</c:v>
                </c:pt>
                <c:pt idx="12">
                  <c:v>4.8513000000000002</c:v>
                </c:pt>
                <c:pt idx="13">
                  <c:v>5.2612300000000003</c:v>
                </c:pt>
                <c:pt idx="14">
                  <c:v>5.6691099999999999</c:v>
                </c:pt>
                <c:pt idx="15">
                  <c:v>6.0730300000000002</c:v>
                </c:pt>
                <c:pt idx="16">
                  <c:v>6.4779600000000004</c:v>
                </c:pt>
                <c:pt idx="17">
                  <c:v>6.8822099999999997</c:v>
                </c:pt>
                <c:pt idx="18">
                  <c:v>7.28796</c:v>
                </c:pt>
                <c:pt idx="19">
                  <c:v>7.6976899999999997</c:v>
                </c:pt>
                <c:pt idx="20">
                  <c:v>8.1006699999999991</c:v>
                </c:pt>
                <c:pt idx="21">
                  <c:v>8.5094999999999992</c:v>
                </c:pt>
                <c:pt idx="22">
                  <c:v>8.9144400000000008</c:v>
                </c:pt>
                <c:pt idx="23">
                  <c:v>9.3223500000000001</c:v>
                </c:pt>
                <c:pt idx="24">
                  <c:v>9.7257800000000003</c:v>
                </c:pt>
                <c:pt idx="25">
                  <c:v>10.1328</c:v>
                </c:pt>
                <c:pt idx="26">
                  <c:v>10.542999999999999</c:v>
                </c:pt>
                <c:pt idx="27">
                  <c:v>10.945</c:v>
                </c:pt>
                <c:pt idx="28">
                  <c:v>11.354900000000001</c:v>
                </c:pt>
                <c:pt idx="29">
                  <c:v>11.7578</c:v>
                </c:pt>
                <c:pt idx="30">
                  <c:v>12.164899999999999</c:v>
                </c:pt>
                <c:pt idx="31">
                  <c:v>12.573600000000001</c:v>
                </c:pt>
                <c:pt idx="32">
                  <c:v>12.9755</c:v>
                </c:pt>
                <c:pt idx="33">
                  <c:v>13.383900000000001</c:v>
                </c:pt>
                <c:pt idx="34">
                  <c:v>13.788399999999999</c:v>
                </c:pt>
                <c:pt idx="35">
                  <c:v>14.198499999999999</c:v>
                </c:pt>
                <c:pt idx="36">
                  <c:v>14.600199999999999</c:v>
                </c:pt>
                <c:pt idx="37">
                  <c:v>15.0091</c:v>
                </c:pt>
                <c:pt idx="38">
                  <c:v>15.414199999999999</c:v>
                </c:pt>
                <c:pt idx="39">
                  <c:v>15.8209</c:v>
                </c:pt>
                <c:pt idx="40">
                  <c:v>16.229900000000001</c:v>
                </c:pt>
                <c:pt idx="41">
                  <c:v>16.634799999999998</c:v>
                </c:pt>
                <c:pt idx="42">
                  <c:v>17.040700000000001</c:v>
                </c:pt>
                <c:pt idx="43">
                  <c:v>17.447700000000001</c:v>
                </c:pt>
                <c:pt idx="44">
                  <c:v>17.8566</c:v>
                </c:pt>
                <c:pt idx="45">
                  <c:v>18.261399999999998</c:v>
                </c:pt>
                <c:pt idx="46">
                  <c:v>18.6694</c:v>
                </c:pt>
                <c:pt idx="47">
                  <c:v>19.067599999999999</c:v>
                </c:pt>
                <c:pt idx="48">
                  <c:v>19.477399999999999</c:v>
                </c:pt>
                <c:pt idx="49">
                  <c:v>19.885000000000002</c:v>
                </c:pt>
                <c:pt idx="50">
                  <c:v>20.290900000000001</c:v>
                </c:pt>
                <c:pt idx="51">
                  <c:v>20.697900000000001</c:v>
                </c:pt>
                <c:pt idx="52">
                  <c:v>21.104399999999998</c:v>
                </c:pt>
                <c:pt idx="53">
                  <c:v>21.5077</c:v>
                </c:pt>
                <c:pt idx="54">
                  <c:v>21.9146</c:v>
                </c:pt>
                <c:pt idx="55">
                  <c:v>22.323499999999999</c:v>
                </c:pt>
                <c:pt idx="56">
                  <c:v>22.7285</c:v>
                </c:pt>
                <c:pt idx="57">
                  <c:v>23.1325</c:v>
                </c:pt>
                <c:pt idx="58">
                  <c:v>23.539400000000001</c:v>
                </c:pt>
                <c:pt idx="59">
                  <c:v>23.9452</c:v>
                </c:pt>
                <c:pt idx="60">
                  <c:v>24.3552</c:v>
                </c:pt>
                <c:pt idx="61">
                  <c:v>24.757100000000001</c:v>
                </c:pt>
                <c:pt idx="62">
                  <c:v>25.165299999999998</c:v>
                </c:pt>
                <c:pt idx="63">
                  <c:v>25.570900000000002</c:v>
                </c:pt>
                <c:pt idx="64">
                  <c:v>25.976099999999999</c:v>
                </c:pt>
                <c:pt idx="65">
                  <c:v>26.386800000000001</c:v>
                </c:pt>
                <c:pt idx="66">
                  <c:v>26.790600000000001</c:v>
                </c:pt>
                <c:pt idx="67">
                  <c:v>27.197500000000002</c:v>
                </c:pt>
                <c:pt idx="68">
                  <c:v>27.604600000000001</c:v>
                </c:pt>
                <c:pt idx="69">
                  <c:v>28.007400000000001</c:v>
                </c:pt>
                <c:pt idx="70">
                  <c:v>28.4133</c:v>
                </c:pt>
                <c:pt idx="71">
                  <c:v>28.821400000000001</c:v>
                </c:pt>
                <c:pt idx="72">
                  <c:v>29.228100000000001</c:v>
                </c:pt>
                <c:pt idx="73">
                  <c:v>29.6311</c:v>
                </c:pt>
                <c:pt idx="74">
                  <c:v>30.041899999999998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58.475999999999992</c:v>
                </c:pt>
                <c:pt idx="1">
                  <c:v>57.901599999999995</c:v>
                </c:pt>
                <c:pt idx="2">
                  <c:v>57.151499999999999</c:v>
                </c:pt>
                <c:pt idx="3">
                  <c:v>56.1419</c:v>
                </c:pt>
                <c:pt idx="4">
                  <c:v>55.0762</c:v>
                </c:pt>
                <c:pt idx="5">
                  <c:v>54.004200000000004</c:v>
                </c:pt>
                <c:pt idx="6">
                  <c:v>52.924800000000005</c:v>
                </c:pt>
                <c:pt idx="7">
                  <c:v>51.767200000000003</c:v>
                </c:pt>
                <c:pt idx="8">
                  <c:v>50.381699999999995</c:v>
                </c:pt>
                <c:pt idx="9">
                  <c:v>48.859700000000004</c:v>
                </c:pt>
                <c:pt idx="10">
                  <c:v>47.437899999999999</c:v>
                </c:pt>
                <c:pt idx="11">
                  <c:v>46.1614</c:v>
                </c:pt>
                <c:pt idx="12">
                  <c:v>44.959299999999999</c:v>
                </c:pt>
                <c:pt idx="13">
                  <c:v>43.796700000000001</c:v>
                </c:pt>
                <c:pt idx="14">
                  <c:v>42.595100000000002</c:v>
                </c:pt>
                <c:pt idx="15">
                  <c:v>41.5182</c:v>
                </c:pt>
                <c:pt idx="16">
                  <c:v>40.594000000000001</c:v>
                </c:pt>
                <c:pt idx="17">
                  <c:v>39.748400000000004</c:v>
                </c:pt>
                <c:pt idx="18">
                  <c:v>38.905000000000001</c:v>
                </c:pt>
                <c:pt idx="19">
                  <c:v>38.152099999999997</c:v>
                </c:pt>
                <c:pt idx="20">
                  <c:v>37.613799999999998</c:v>
                </c:pt>
                <c:pt idx="21">
                  <c:v>37.378499999999995</c:v>
                </c:pt>
                <c:pt idx="22">
                  <c:v>37.297999999999995</c:v>
                </c:pt>
                <c:pt idx="23">
                  <c:v>37.331199999999995</c:v>
                </c:pt>
                <c:pt idx="24">
                  <c:v>37.4039</c:v>
                </c:pt>
                <c:pt idx="25">
                  <c:v>37.492999999999995</c:v>
                </c:pt>
                <c:pt idx="26">
                  <c:v>37.650700000000001</c:v>
                </c:pt>
                <c:pt idx="27">
                  <c:v>37.816400000000002</c:v>
                </c:pt>
                <c:pt idx="28">
                  <c:v>37.960799999999999</c:v>
                </c:pt>
                <c:pt idx="29">
                  <c:v>38.091200000000001</c:v>
                </c:pt>
                <c:pt idx="30">
                  <c:v>38.188600000000001</c:v>
                </c:pt>
                <c:pt idx="31">
                  <c:v>38.214799999999997</c:v>
                </c:pt>
                <c:pt idx="32">
                  <c:v>38.159700000000001</c:v>
                </c:pt>
                <c:pt idx="33">
                  <c:v>38.010100000000001</c:v>
                </c:pt>
                <c:pt idx="34">
                  <c:v>37.759100000000004</c:v>
                </c:pt>
                <c:pt idx="35">
                  <c:v>37.448</c:v>
                </c:pt>
                <c:pt idx="36">
                  <c:v>37.0929</c:v>
                </c:pt>
                <c:pt idx="37">
                  <c:v>36.759300000000003</c:v>
                </c:pt>
                <c:pt idx="38">
                  <c:v>36.457899999999995</c:v>
                </c:pt>
                <c:pt idx="39">
                  <c:v>36.160899999999998</c:v>
                </c:pt>
                <c:pt idx="40">
                  <c:v>35.786900000000003</c:v>
                </c:pt>
                <c:pt idx="41">
                  <c:v>35.322900000000004</c:v>
                </c:pt>
                <c:pt idx="42">
                  <c:v>34.811700000000002</c:v>
                </c:pt>
                <c:pt idx="43">
                  <c:v>34.293199999999999</c:v>
                </c:pt>
                <c:pt idx="44">
                  <c:v>33.795999999999999</c:v>
                </c:pt>
                <c:pt idx="45">
                  <c:v>33.330199999999998</c:v>
                </c:pt>
                <c:pt idx="46">
                  <c:v>32.833199999999998</c:v>
                </c:pt>
                <c:pt idx="47">
                  <c:v>32.345500000000001</c:v>
                </c:pt>
                <c:pt idx="48">
                  <c:v>31.837399999999999</c:v>
                </c:pt>
                <c:pt idx="49">
                  <c:v>31.350699999999996</c:v>
                </c:pt>
                <c:pt idx="50">
                  <c:v>30.998799999999999</c:v>
                </c:pt>
                <c:pt idx="51">
                  <c:v>30.646600000000003</c:v>
                </c:pt>
                <c:pt idx="52">
                  <c:v>30.384800000000002</c:v>
                </c:pt>
                <c:pt idx="53">
                  <c:v>30.127800000000001</c:v>
                </c:pt>
                <c:pt idx="54">
                  <c:v>29.845800000000001</c:v>
                </c:pt>
                <c:pt idx="55">
                  <c:v>29.498999999999999</c:v>
                </c:pt>
                <c:pt idx="56">
                  <c:v>29.141299999999998</c:v>
                </c:pt>
                <c:pt idx="57">
                  <c:v>28.8337</c:v>
                </c:pt>
                <c:pt idx="58">
                  <c:v>28.565200000000001</c:v>
                </c:pt>
                <c:pt idx="59">
                  <c:v>28.366700000000002</c:v>
                </c:pt>
                <c:pt idx="60">
                  <c:v>28.242299999999997</c:v>
                </c:pt>
                <c:pt idx="61">
                  <c:v>28.150300000000001</c:v>
                </c:pt>
                <c:pt idx="62">
                  <c:v>28.0688</c:v>
                </c:pt>
                <c:pt idx="63">
                  <c:v>27.9833</c:v>
                </c:pt>
                <c:pt idx="64">
                  <c:v>27.857199999999999</c:v>
                </c:pt>
                <c:pt idx="65">
                  <c:v>27.734100000000002</c:v>
                </c:pt>
                <c:pt idx="66">
                  <c:v>27.616200000000003</c:v>
                </c:pt>
                <c:pt idx="67">
                  <c:v>27.537099999999999</c:v>
                </c:pt>
                <c:pt idx="68">
                  <c:v>27.494200000000003</c:v>
                </c:pt>
                <c:pt idx="69">
                  <c:v>27.505499999999998</c:v>
                </c:pt>
                <c:pt idx="70">
                  <c:v>27.468999999999998</c:v>
                </c:pt>
                <c:pt idx="71">
                  <c:v>27.4758</c:v>
                </c:pt>
                <c:pt idx="72">
                  <c:v>27.476800000000001</c:v>
                </c:pt>
                <c:pt idx="73">
                  <c:v>27.472300000000001</c:v>
                </c:pt>
                <c:pt idx="74">
                  <c:v>27.491900000000001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30.041899999999998</c:v>
                </c:pt>
                <c:pt idx="1">
                  <c:v>30.616599999999998</c:v>
                </c:pt>
                <c:pt idx="2">
                  <c:v>30.9954</c:v>
                </c:pt>
                <c:pt idx="3">
                  <c:v>31.368400000000001</c:v>
                </c:pt>
                <c:pt idx="4">
                  <c:v>31.743400000000001</c:v>
                </c:pt>
                <c:pt idx="5">
                  <c:v>32.118600000000001</c:v>
                </c:pt>
                <c:pt idx="6">
                  <c:v>32.527299999999997</c:v>
                </c:pt>
                <c:pt idx="7">
                  <c:v>32.933300000000003</c:v>
                </c:pt>
                <c:pt idx="8">
                  <c:v>33.335099999999997</c:v>
                </c:pt>
                <c:pt idx="9">
                  <c:v>33.744999999999997</c:v>
                </c:pt>
                <c:pt idx="10">
                  <c:v>34.148099999999999</c:v>
                </c:pt>
                <c:pt idx="11">
                  <c:v>34.557899999999997</c:v>
                </c:pt>
                <c:pt idx="12">
                  <c:v>34.9651</c:v>
                </c:pt>
                <c:pt idx="13">
                  <c:v>35.366</c:v>
                </c:pt>
                <c:pt idx="14">
                  <c:v>35.773600000000002</c:v>
                </c:pt>
                <c:pt idx="15">
                  <c:v>36.181899999999999</c:v>
                </c:pt>
                <c:pt idx="16">
                  <c:v>36.5884</c:v>
                </c:pt>
                <c:pt idx="17">
                  <c:v>36.993400000000001</c:v>
                </c:pt>
                <c:pt idx="18">
                  <c:v>37.3994</c:v>
                </c:pt>
                <c:pt idx="19">
                  <c:v>37.805100000000003</c:v>
                </c:pt>
                <c:pt idx="20">
                  <c:v>38.212400000000002</c:v>
                </c:pt>
                <c:pt idx="21">
                  <c:v>38.619</c:v>
                </c:pt>
                <c:pt idx="22">
                  <c:v>39.019300000000001</c:v>
                </c:pt>
                <c:pt idx="23">
                  <c:v>39.432899999999997</c:v>
                </c:pt>
                <c:pt idx="24">
                  <c:v>39.837699999999998</c:v>
                </c:pt>
                <c:pt idx="25">
                  <c:v>40.241700000000002</c:v>
                </c:pt>
                <c:pt idx="26">
                  <c:v>40.651600000000002</c:v>
                </c:pt>
                <c:pt idx="27">
                  <c:v>41.055500000000002</c:v>
                </c:pt>
                <c:pt idx="28">
                  <c:v>41.464399999999998</c:v>
                </c:pt>
                <c:pt idx="29">
                  <c:v>41.8673</c:v>
                </c:pt>
                <c:pt idx="30">
                  <c:v>42.273200000000003</c:v>
                </c:pt>
                <c:pt idx="31">
                  <c:v>42.681199999999997</c:v>
                </c:pt>
                <c:pt idx="32">
                  <c:v>43.089100000000002</c:v>
                </c:pt>
                <c:pt idx="33">
                  <c:v>43.494999999999997</c:v>
                </c:pt>
                <c:pt idx="34">
                  <c:v>43.901899999999998</c:v>
                </c:pt>
                <c:pt idx="35">
                  <c:v>44.305900000000001</c:v>
                </c:pt>
                <c:pt idx="36">
                  <c:v>44.7089</c:v>
                </c:pt>
                <c:pt idx="37">
                  <c:v>45.120699999999999</c:v>
                </c:pt>
                <c:pt idx="38">
                  <c:v>45.525500000000001</c:v>
                </c:pt>
                <c:pt idx="39">
                  <c:v>45.9315</c:v>
                </c:pt>
                <c:pt idx="40">
                  <c:v>46.336500000000001</c:v>
                </c:pt>
                <c:pt idx="41">
                  <c:v>46.744399999999999</c:v>
                </c:pt>
                <c:pt idx="42">
                  <c:v>47.149299999999997</c:v>
                </c:pt>
                <c:pt idx="43">
                  <c:v>47.558500000000002</c:v>
                </c:pt>
                <c:pt idx="44">
                  <c:v>47.965200000000003</c:v>
                </c:pt>
                <c:pt idx="45">
                  <c:v>48.368899999999996</c:v>
                </c:pt>
                <c:pt idx="46">
                  <c:v>48.772100000000002</c:v>
                </c:pt>
                <c:pt idx="47">
                  <c:v>49.182099999999998</c:v>
                </c:pt>
                <c:pt idx="48">
                  <c:v>49.5867</c:v>
                </c:pt>
                <c:pt idx="49">
                  <c:v>49.992600000000003</c:v>
                </c:pt>
                <c:pt idx="50">
                  <c:v>50.399500000000003</c:v>
                </c:pt>
                <c:pt idx="51">
                  <c:v>50.805399999999999</c:v>
                </c:pt>
                <c:pt idx="52">
                  <c:v>51.211399999999998</c:v>
                </c:pt>
                <c:pt idx="53">
                  <c:v>51.619199999999999</c:v>
                </c:pt>
                <c:pt idx="54">
                  <c:v>52.025100000000002</c:v>
                </c:pt>
                <c:pt idx="55">
                  <c:v>52.432299999999998</c:v>
                </c:pt>
                <c:pt idx="56">
                  <c:v>52.835000000000001</c:v>
                </c:pt>
                <c:pt idx="57">
                  <c:v>53.243899999999996</c:v>
                </c:pt>
                <c:pt idx="58">
                  <c:v>53.649900000000002</c:v>
                </c:pt>
                <c:pt idx="59">
                  <c:v>54.054000000000002</c:v>
                </c:pt>
                <c:pt idx="60">
                  <c:v>54.4636</c:v>
                </c:pt>
                <c:pt idx="61">
                  <c:v>54.870600000000003</c:v>
                </c:pt>
                <c:pt idx="62">
                  <c:v>55.273400000000002</c:v>
                </c:pt>
                <c:pt idx="63">
                  <c:v>55.6813</c:v>
                </c:pt>
                <c:pt idx="64">
                  <c:v>56.084600000000002</c:v>
                </c:pt>
                <c:pt idx="65">
                  <c:v>56.495199999999997</c:v>
                </c:pt>
                <c:pt idx="66">
                  <c:v>56.898299999999999</c:v>
                </c:pt>
                <c:pt idx="67">
                  <c:v>57.308100000000003</c:v>
                </c:pt>
                <c:pt idx="68">
                  <c:v>57.713000000000001</c:v>
                </c:pt>
                <c:pt idx="69">
                  <c:v>58.118099999999998</c:v>
                </c:pt>
                <c:pt idx="70">
                  <c:v>58.522799999999997</c:v>
                </c:pt>
                <c:pt idx="71">
                  <c:v>58.932000000000002</c:v>
                </c:pt>
                <c:pt idx="72">
                  <c:v>59.339599999999997</c:v>
                </c:pt>
                <c:pt idx="73">
                  <c:v>59.7425</c:v>
                </c:pt>
                <c:pt idx="74">
                  <c:v>60.150700000000001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27.491900000000001</c:v>
                </c:pt>
                <c:pt idx="1">
                  <c:v>27.4848</c:v>
                </c:pt>
                <c:pt idx="2">
                  <c:v>27.422400000000003</c:v>
                </c:pt>
                <c:pt idx="3">
                  <c:v>27.347300000000001</c:v>
                </c:pt>
                <c:pt idx="4">
                  <c:v>27.2803</c:v>
                </c:pt>
                <c:pt idx="5">
                  <c:v>27.272800000000004</c:v>
                </c:pt>
                <c:pt idx="6">
                  <c:v>27.332099999999997</c:v>
                </c:pt>
                <c:pt idx="7">
                  <c:v>27.393699999999999</c:v>
                </c:pt>
                <c:pt idx="8">
                  <c:v>27.4663</c:v>
                </c:pt>
                <c:pt idx="9">
                  <c:v>27.4312</c:v>
                </c:pt>
                <c:pt idx="10">
                  <c:v>27.403899999999997</c:v>
                </c:pt>
                <c:pt idx="11">
                  <c:v>27.3963</c:v>
                </c:pt>
                <c:pt idx="12">
                  <c:v>27.396700000000003</c:v>
                </c:pt>
                <c:pt idx="13">
                  <c:v>27.374300000000002</c:v>
                </c:pt>
                <c:pt idx="14">
                  <c:v>27.458300000000001</c:v>
                </c:pt>
                <c:pt idx="15">
                  <c:v>27.5885</c:v>
                </c:pt>
                <c:pt idx="16">
                  <c:v>27.707799999999999</c:v>
                </c:pt>
                <c:pt idx="17">
                  <c:v>27.828199999999999</c:v>
                </c:pt>
                <c:pt idx="18">
                  <c:v>27.871400000000001</c:v>
                </c:pt>
                <c:pt idx="19">
                  <c:v>27.807199999999998</c:v>
                </c:pt>
                <c:pt idx="20">
                  <c:v>27.706099999999999</c:v>
                </c:pt>
                <c:pt idx="21">
                  <c:v>27.6098</c:v>
                </c:pt>
                <c:pt idx="22">
                  <c:v>27.548099999999998</c:v>
                </c:pt>
                <c:pt idx="23">
                  <c:v>27.570099999999996</c:v>
                </c:pt>
                <c:pt idx="24">
                  <c:v>27.6374</c:v>
                </c:pt>
                <c:pt idx="25">
                  <c:v>27.750299999999999</c:v>
                </c:pt>
                <c:pt idx="26">
                  <c:v>27.900799999999997</c:v>
                </c:pt>
                <c:pt idx="27">
                  <c:v>28.114099999999997</c:v>
                </c:pt>
                <c:pt idx="28">
                  <c:v>28.344899999999999</c:v>
                </c:pt>
                <c:pt idx="29">
                  <c:v>28.631899999999998</c:v>
                </c:pt>
                <c:pt idx="30">
                  <c:v>28.959299999999999</c:v>
                </c:pt>
                <c:pt idx="31">
                  <c:v>29.367799999999999</c:v>
                </c:pt>
                <c:pt idx="32">
                  <c:v>29.852800000000002</c:v>
                </c:pt>
                <c:pt idx="33">
                  <c:v>30.364000000000001</c:v>
                </c:pt>
                <c:pt idx="34">
                  <c:v>30.808999999999997</c:v>
                </c:pt>
                <c:pt idx="35">
                  <c:v>31.152899999999999</c:v>
                </c:pt>
                <c:pt idx="36">
                  <c:v>31.408199999999997</c:v>
                </c:pt>
                <c:pt idx="37">
                  <c:v>31.519100000000002</c:v>
                </c:pt>
                <c:pt idx="38">
                  <c:v>31.521900000000002</c:v>
                </c:pt>
                <c:pt idx="39">
                  <c:v>31.554700000000004</c:v>
                </c:pt>
                <c:pt idx="40">
                  <c:v>31.555899999999998</c:v>
                </c:pt>
                <c:pt idx="41">
                  <c:v>31.5654</c:v>
                </c:pt>
                <c:pt idx="42">
                  <c:v>31.625599999999999</c:v>
                </c:pt>
                <c:pt idx="43">
                  <c:v>31.7851</c:v>
                </c:pt>
                <c:pt idx="44">
                  <c:v>31.968900000000001</c:v>
                </c:pt>
                <c:pt idx="45">
                  <c:v>32.138100000000001</c:v>
                </c:pt>
                <c:pt idx="46">
                  <c:v>32.308100000000003</c:v>
                </c:pt>
                <c:pt idx="47">
                  <c:v>32.475500000000004</c:v>
                </c:pt>
                <c:pt idx="48">
                  <c:v>32.633000000000003</c:v>
                </c:pt>
                <c:pt idx="49">
                  <c:v>32.803800000000003</c:v>
                </c:pt>
                <c:pt idx="50">
                  <c:v>32.906800000000004</c:v>
                </c:pt>
                <c:pt idx="51">
                  <c:v>32.939299999999996</c:v>
                </c:pt>
                <c:pt idx="52">
                  <c:v>32.946199999999997</c:v>
                </c:pt>
                <c:pt idx="53">
                  <c:v>32.959500000000006</c:v>
                </c:pt>
                <c:pt idx="54">
                  <c:v>32.958300000000001</c:v>
                </c:pt>
                <c:pt idx="55">
                  <c:v>32.930300000000003</c:v>
                </c:pt>
                <c:pt idx="56">
                  <c:v>32.900400000000005</c:v>
                </c:pt>
                <c:pt idx="57">
                  <c:v>32.862200000000001</c:v>
                </c:pt>
                <c:pt idx="58">
                  <c:v>32.825199999999995</c:v>
                </c:pt>
                <c:pt idx="59">
                  <c:v>32.834699999999998</c:v>
                </c:pt>
                <c:pt idx="60">
                  <c:v>32.830799999999996</c:v>
                </c:pt>
                <c:pt idx="61">
                  <c:v>32.807099999999998</c:v>
                </c:pt>
                <c:pt idx="62">
                  <c:v>32.849899999999998</c:v>
                </c:pt>
                <c:pt idx="63">
                  <c:v>32.987300000000005</c:v>
                </c:pt>
                <c:pt idx="64">
                  <c:v>33.097500000000004</c:v>
                </c:pt>
                <c:pt idx="65">
                  <c:v>33.298100000000005</c:v>
                </c:pt>
                <c:pt idx="66">
                  <c:v>33.553600000000003</c:v>
                </c:pt>
                <c:pt idx="67">
                  <c:v>33.785800000000002</c:v>
                </c:pt>
                <c:pt idx="68">
                  <c:v>33.948499999999996</c:v>
                </c:pt>
                <c:pt idx="69">
                  <c:v>34.081000000000003</c:v>
                </c:pt>
                <c:pt idx="70">
                  <c:v>34.350700000000003</c:v>
                </c:pt>
                <c:pt idx="71">
                  <c:v>34.667099999999998</c:v>
                </c:pt>
                <c:pt idx="72">
                  <c:v>35.157699999999998</c:v>
                </c:pt>
                <c:pt idx="73">
                  <c:v>35.576099999999997</c:v>
                </c:pt>
                <c:pt idx="74">
                  <c:v>36.082599999999999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15.037675</c:v>
                </c:pt>
                <c:pt idx="1">
                  <c:v>45.113025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36.987054054054042</c:v>
                </c:pt>
                <c:pt idx="1">
                  <c:v>30.513406756756762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45.936500000000002</c:v>
                </c:pt>
                <c:pt idx="1">
                  <c:v>19.811399999999999</c:v>
                </c:pt>
                <c:pt idx="2">
                  <c:v>14.4396</c:v>
                </c:pt>
                <c:pt idx="3">
                  <c:v>26.254300000000001</c:v>
                </c:pt>
                <c:pt idx="4">
                  <c:v>71.448999999999998</c:v>
                </c:pt>
                <c:pt idx="5">
                  <c:v>82.588099999999997</c:v>
                </c:pt>
                <c:pt idx="6">
                  <c:v>34.1768</c:v>
                </c:pt>
                <c:pt idx="7">
                  <c:v>77.087400000000002</c:v>
                </c:pt>
                <c:pt idx="8">
                  <c:v>24.439399999999999</c:v>
                </c:pt>
                <c:pt idx="9">
                  <c:v>36.600499999999997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56.161499999999997</c:v>
                </c:pt>
                <c:pt idx="1">
                  <c:v>30.662199999999999</c:v>
                </c:pt>
                <c:pt idx="2">
                  <c:v>16.685700000000001</c:v>
                </c:pt>
                <c:pt idx="3">
                  <c:v>34.635899999999999</c:v>
                </c:pt>
                <c:pt idx="4">
                  <c:v>60.734400000000001</c:v>
                </c:pt>
                <c:pt idx="5">
                  <c:v>76.09</c:v>
                </c:pt>
                <c:pt idx="6">
                  <c:v>33.686</c:v>
                </c:pt>
                <c:pt idx="7">
                  <c:v>68.628299999999996</c:v>
                </c:pt>
                <c:pt idx="8">
                  <c:v>24.7315</c:v>
                </c:pt>
                <c:pt idx="9">
                  <c:v>38.6785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0.53723976753609448</c:v>
                </c:pt>
                <c:pt idx="1">
                  <c:v>0.21554650462746866</c:v>
                </c:pt>
                <c:pt idx="2">
                  <c:v>0.24721372783643689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250</c:v>
                </c:pt>
                <c:pt idx="7">
                  <c:v>0</c:v>
                </c:pt>
                <c:pt idx="8">
                  <c:v>666</c:v>
                </c:pt>
                <c:pt idx="9">
                  <c:v>0</c:v>
                </c:pt>
                <c:pt idx="10">
                  <c:v>0</c:v>
                </c:pt>
                <c:pt idx="11">
                  <c:v>768</c:v>
                </c:pt>
                <c:pt idx="12">
                  <c:v>0</c:v>
                </c:pt>
                <c:pt idx="13">
                  <c:v>173</c:v>
                </c:pt>
                <c:pt idx="14">
                  <c:v>0</c:v>
                </c:pt>
                <c:pt idx="15">
                  <c:v>0</c:v>
                </c:pt>
                <c:pt idx="16">
                  <c:v>1001</c:v>
                </c:pt>
                <c:pt idx="17">
                  <c:v>0</c:v>
                </c:pt>
                <c:pt idx="18">
                  <c:v>0</c:v>
                </c:pt>
                <c:pt idx="19">
                  <c:v>2461</c:v>
                </c:pt>
                <c:pt idx="20">
                  <c:v>0</c:v>
                </c:pt>
                <c:pt idx="21">
                  <c:v>2079</c:v>
                </c:pt>
                <c:pt idx="22">
                  <c:v>0</c:v>
                </c:pt>
                <c:pt idx="23">
                  <c:v>0</c:v>
                </c:pt>
                <c:pt idx="24">
                  <c:v>3919</c:v>
                </c:pt>
                <c:pt idx="25">
                  <c:v>0</c:v>
                </c:pt>
                <c:pt idx="26">
                  <c:v>6868</c:v>
                </c:pt>
                <c:pt idx="27">
                  <c:v>0</c:v>
                </c:pt>
                <c:pt idx="28">
                  <c:v>0</c:v>
                </c:pt>
                <c:pt idx="29">
                  <c:v>11686</c:v>
                </c:pt>
                <c:pt idx="30">
                  <c:v>0</c:v>
                </c:pt>
                <c:pt idx="31">
                  <c:v>12810</c:v>
                </c:pt>
                <c:pt idx="32">
                  <c:v>0</c:v>
                </c:pt>
                <c:pt idx="33">
                  <c:v>0</c:v>
                </c:pt>
                <c:pt idx="34">
                  <c:v>18536</c:v>
                </c:pt>
                <c:pt idx="35">
                  <c:v>0</c:v>
                </c:pt>
                <c:pt idx="36">
                  <c:v>0</c:v>
                </c:pt>
                <c:pt idx="37">
                  <c:v>22462</c:v>
                </c:pt>
                <c:pt idx="38">
                  <c:v>0</c:v>
                </c:pt>
                <c:pt idx="39">
                  <c:v>24236</c:v>
                </c:pt>
                <c:pt idx="40">
                  <c:v>0</c:v>
                </c:pt>
                <c:pt idx="41">
                  <c:v>0</c:v>
                </c:pt>
                <c:pt idx="42">
                  <c:v>33261</c:v>
                </c:pt>
                <c:pt idx="43">
                  <c:v>0</c:v>
                </c:pt>
                <c:pt idx="44">
                  <c:v>34826</c:v>
                </c:pt>
                <c:pt idx="45">
                  <c:v>0</c:v>
                </c:pt>
                <c:pt idx="46">
                  <c:v>0</c:v>
                </c:pt>
                <c:pt idx="47">
                  <c:v>40236</c:v>
                </c:pt>
                <c:pt idx="48">
                  <c:v>0</c:v>
                </c:pt>
                <c:pt idx="49">
                  <c:v>41757</c:v>
                </c:pt>
                <c:pt idx="50">
                  <c:v>0</c:v>
                </c:pt>
                <c:pt idx="51">
                  <c:v>0</c:v>
                </c:pt>
                <c:pt idx="52">
                  <c:v>49232</c:v>
                </c:pt>
                <c:pt idx="53">
                  <c:v>0</c:v>
                </c:pt>
                <c:pt idx="54">
                  <c:v>0</c:v>
                </c:pt>
                <c:pt idx="55">
                  <c:v>48429</c:v>
                </c:pt>
                <c:pt idx="56">
                  <c:v>0</c:v>
                </c:pt>
                <c:pt idx="57">
                  <c:v>48611</c:v>
                </c:pt>
                <c:pt idx="58">
                  <c:v>0</c:v>
                </c:pt>
                <c:pt idx="59">
                  <c:v>0</c:v>
                </c:pt>
                <c:pt idx="60">
                  <c:v>51821</c:v>
                </c:pt>
                <c:pt idx="61">
                  <c:v>0</c:v>
                </c:pt>
                <c:pt idx="62">
                  <c:v>52642</c:v>
                </c:pt>
                <c:pt idx="63">
                  <c:v>0</c:v>
                </c:pt>
                <c:pt idx="64">
                  <c:v>0</c:v>
                </c:pt>
                <c:pt idx="65">
                  <c:v>57706</c:v>
                </c:pt>
                <c:pt idx="66">
                  <c:v>0</c:v>
                </c:pt>
                <c:pt idx="67">
                  <c:v>59601</c:v>
                </c:pt>
                <c:pt idx="68">
                  <c:v>0</c:v>
                </c:pt>
                <c:pt idx="69">
                  <c:v>0</c:v>
                </c:pt>
                <c:pt idx="70">
                  <c:v>66076</c:v>
                </c:pt>
                <c:pt idx="71">
                  <c:v>0</c:v>
                </c:pt>
                <c:pt idx="72">
                  <c:v>0</c:v>
                </c:pt>
                <c:pt idx="73">
                  <c:v>72756</c:v>
                </c:pt>
                <c:pt idx="74">
                  <c:v>0</c:v>
                </c:pt>
                <c:pt idx="75">
                  <c:v>80459</c:v>
                </c:pt>
                <c:pt idx="76">
                  <c:v>0</c:v>
                </c:pt>
                <c:pt idx="77">
                  <c:v>0</c:v>
                </c:pt>
                <c:pt idx="78">
                  <c:v>84727</c:v>
                </c:pt>
                <c:pt idx="79">
                  <c:v>0</c:v>
                </c:pt>
                <c:pt idx="80">
                  <c:v>88114</c:v>
                </c:pt>
                <c:pt idx="81">
                  <c:v>0</c:v>
                </c:pt>
                <c:pt idx="82">
                  <c:v>0</c:v>
                </c:pt>
                <c:pt idx="83">
                  <c:v>89251</c:v>
                </c:pt>
                <c:pt idx="84">
                  <c:v>0</c:v>
                </c:pt>
                <c:pt idx="85">
                  <c:v>0</c:v>
                </c:pt>
                <c:pt idx="86">
                  <c:v>83748</c:v>
                </c:pt>
                <c:pt idx="87">
                  <c:v>0</c:v>
                </c:pt>
                <c:pt idx="88">
                  <c:v>83382</c:v>
                </c:pt>
                <c:pt idx="89">
                  <c:v>0</c:v>
                </c:pt>
                <c:pt idx="90">
                  <c:v>0</c:v>
                </c:pt>
                <c:pt idx="91">
                  <c:v>82551</c:v>
                </c:pt>
                <c:pt idx="92">
                  <c:v>0</c:v>
                </c:pt>
                <c:pt idx="93">
                  <c:v>81443</c:v>
                </c:pt>
                <c:pt idx="94">
                  <c:v>0</c:v>
                </c:pt>
                <c:pt idx="95">
                  <c:v>0</c:v>
                </c:pt>
                <c:pt idx="96">
                  <c:v>88308</c:v>
                </c:pt>
                <c:pt idx="97">
                  <c:v>0</c:v>
                </c:pt>
                <c:pt idx="98">
                  <c:v>86279</c:v>
                </c:pt>
                <c:pt idx="99">
                  <c:v>0</c:v>
                </c:pt>
                <c:pt idx="100">
                  <c:v>0</c:v>
                </c:pt>
                <c:pt idx="101">
                  <c:v>92110</c:v>
                </c:pt>
                <c:pt idx="102">
                  <c:v>0</c:v>
                </c:pt>
                <c:pt idx="103">
                  <c:v>0</c:v>
                </c:pt>
                <c:pt idx="104">
                  <c:v>92985</c:v>
                </c:pt>
                <c:pt idx="105">
                  <c:v>0</c:v>
                </c:pt>
                <c:pt idx="106">
                  <c:v>85305</c:v>
                </c:pt>
                <c:pt idx="107">
                  <c:v>0</c:v>
                </c:pt>
                <c:pt idx="108">
                  <c:v>0</c:v>
                </c:pt>
                <c:pt idx="109">
                  <c:v>74743</c:v>
                </c:pt>
                <c:pt idx="110">
                  <c:v>0</c:v>
                </c:pt>
                <c:pt idx="111">
                  <c:v>72680</c:v>
                </c:pt>
                <c:pt idx="112">
                  <c:v>0</c:v>
                </c:pt>
                <c:pt idx="113">
                  <c:v>0</c:v>
                </c:pt>
                <c:pt idx="114">
                  <c:v>65799</c:v>
                </c:pt>
                <c:pt idx="115">
                  <c:v>0</c:v>
                </c:pt>
                <c:pt idx="116">
                  <c:v>67867</c:v>
                </c:pt>
                <c:pt idx="117">
                  <c:v>0</c:v>
                </c:pt>
                <c:pt idx="118">
                  <c:v>0</c:v>
                </c:pt>
                <c:pt idx="119">
                  <c:v>67114</c:v>
                </c:pt>
                <c:pt idx="120">
                  <c:v>0</c:v>
                </c:pt>
                <c:pt idx="121">
                  <c:v>0</c:v>
                </c:pt>
                <c:pt idx="122">
                  <c:v>68659</c:v>
                </c:pt>
                <c:pt idx="123">
                  <c:v>0</c:v>
                </c:pt>
                <c:pt idx="124">
                  <c:v>67234</c:v>
                </c:pt>
                <c:pt idx="125">
                  <c:v>0</c:v>
                </c:pt>
                <c:pt idx="126">
                  <c:v>0</c:v>
                </c:pt>
                <c:pt idx="127">
                  <c:v>73106</c:v>
                </c:pt>
                <c:pt idx="128">
                  <c:v>0</c:v>
                </c:pt>
                <c:pt idx="129">
                  <c:v>75240</c:v>
                </c:pt>
                <c:pt idx="130">
                  <c:v>0</c:v>
                </c:pt>
                <c:pt idx="131">
                  <c:v>0</c:v>
                </c:pt>
                <c:pt idx="132">
                  <c:v>76561</c:v>
                </c:pt>
                <c:pt idx="133">
                  <c:v>0</c:v>
                </c:pt>
                <c:pt idx="134">
                  <c:v>73420</c:v>
                </c:pt>
                <c:pt idx="135">
                  <c:v>0</c:v>
                </c:pt>
                <c:pt idx="136">
                  <c:v>0</c:v>
                </c:pt>
                <c:pt idx="137">
                  <c:v>77459</c:v>
                </c:pt>
                <c:pt idx="138">
                  <c:v>0</c:v>
                </c:pt>
                <c:pt idx="139">
                  <c:v>0</c:v>
                </c:pt>
                <c:pt idx="140">
                  <c:v>77064</c:v>
                </c:pt>
                <c:pt idx="141">
                  <c:v>0</c:v>
                </c:pt>
                <c:pt idx="142">
                  <c:v>78570</c:v>
                </c:pt>
                <c:pt idx="143">
                  <c:v>0</c:v>
                </c:pt>
                <c:pt idx="144">
                  <c:v>0</c:v>
                </c:pt>
                <c:pt idx="145">
                  <c:v>81542</c:v>
                </c:pt>
                <c:pt idx="146">
                  <c:v>0</c:v>
                </c:pt>
                <c:pt idx="147">
                  <c:v>81205</c:v>
                </c:pt>
                <c:pt idx="148">
                  <c:v>0</c:v>
                </c:pt>
                <c:pt idx="149">
                  <c:v>0</c:v>
                </c:pt>
                <c:pt idx="150">
                  <c:v>81369</c:v>
                </c:pt>
                <c:pt idx="151">
                  <c:v>0</c:v>
                </c:pt>
                <c:pt idx="152">
                  <c:v>83800</c:v>
                </c:pt>
                <c:pt idx="153">
                  <c:v>0</c:v>
                </c:pt>
                <c:pt idx="154">
                  <c:v>0</c:v>
                </c:pt>
                <c:pt idx="155">
                  <c:v>83455</c:v>
                </c:pt>
                <c:pt idx="156">
                  <c:v>0</c:v>
                </c:pt>
                <c:pt idx="157">
                  <c:v>0</c:v>
                </c:pt>
                <c:pt idx="158">
                  <c:v>82949</c:v>
                </c:pt>
                <c:pt idx="159">
                  <c:v>0</c:v>
                </c:pt>
                <c:pt idx="160">
                  <c:v>73651</c:v>
                </c:pt>
                <c:pt idx="161">
                  <c:v>0</c:v>
                </c:pt>
                <c:pt idx="162">
                  <c:v>0</c:v>
                </c:pt>
                <c:pt idx="163">
                  <c:v>69523</c:v>
                </c:pt>
                <c:pt idx="164">
                  <c:v>0</c:v>
                </c:pt>
                <c:pt idx="165">
                  <c:v>59791</c:v>
                </c:pt>
                <c:pt idx="166">
                  <c:v>0</c:v>
                </c:pt>
                <c:pt idx="167">
                  <c:v>0</c:v>
                </c:pt>
                <c:pt idx="168">
                  <c:v>53910</c:v>
                </c:pt>
                <c:pt idx="169">
                  <c:v>0</c:v>
                </c:pt>
                <c:pt idx="170">
                  <c:v>0</c:v>
                </c:pt>
                <c:pt idx="171">
                  <c:v>45522</c:v>
                </c:pt>
                <c:pt idx="172">
                  <c:v>0</c:v>
                </c:pt>
                <c:pt idx="173">
                  <c:v>39028</c:v>
                </c:pt>
                <c:pt idx="174">
                  <c:v>0</c:v>
                </c:pt>
                <c:pt idx="175">
                  <c:v>0</c:v>
                </c:pt>
                <c:pt idx="176">
                  <c:v>33700</c:v>
                </c:pt>
                <c:pt idx="177">
                  <c:v>0</c:v>
                </c:pt>
                <c:pt idx="178">
                  <c:v>29062</c:v>
                </c:pt>
                <c:pt idx="179">
                  <c:v>0</c:v>
                </c:pt>
                <c:pt idx="180">
                  <c:v>0</c:v>
                </c:pt>
                <c:pt idx="181">
                  <c:v>24019</c:v>
                </c:pt>
                <c:pt idx="182">
                  <c:v>0</c:v>
                </c:pt>
                <c:pt idx="183">
                  <c:v>21499</c:v>
                </c:pt>
                <c:pt idx="184">
                  <c:v>0</c:v>
                </c:pt>
                <c:pt idx="185">
                  <c:v>0</c:v>
                </c:pt>
                <c:pt idx="186">
                  <c:v>16055</c:v>
                </c:pt>
                <c:pt idx="187">
                  <c:v>0</c:v>
                </c:pt>
                <c:pt idx="188">
                  <c:v>0</c:v>
                </c:pt>
                <c:pt idx="189">
                  <c:v>14502</c:v>
                </c:pt>
                <c:pt idx="190">
                  <c:v>0</c:v>
                </c:pt>
                <c:pt idx="191">
                  <c:v>14221</c:v>
                </c:pt>
                <c:pt idx="192">
                  <c:v>0</c:v>
                </c:pt>
                <c:pt idx="193">
                  <c:v>0</c:v>
                </c:pt>
                <c:pt idx="194">
                  <c:v>9329</c:v>
                </c:pt>
                <c:pt idx="195">
                  <c:v>0</c:v>
                </c:pt>
                <c:pt idx="196">
                  <c:v>8141</c:v>
                </c:pt>
                <c:pt idx="197">
                  <c:v>0</c:v>
                </c:pt>
                <c:pt idx="198">
                  <c:v>0</c:v>
                </c:pt>
                <c:pt idx="199">
                  <c:v>6687</c:v>
                </c:pt>
                <c:pt idx="200">
                  <c:v>0</c:v>
                </c:pt>
                <c:pt idx="201">
                  <c:v>5247</c:v>
                </c:pt>
                <c:pt idx="202">
                  <c:v>0</c:v>
                </c:pt>
                <c:pt idx="203">
                  <c:v>0</c:v>
                </c:pt>
                <c:pt idx="204">
                  <c:v>6461</c:v>
                </c:pt>
                <c:pt idx="205">
                  <c:v>0</c:v>
                </c:pt>
                <c:pt idx="206">
                  <c:v>0</c:v>
                </c:pt>
                <c:pt idx="207">
                  <c:v>6965</c:v>
                </c:pt>
                <c:pt idx="208">
                  <c:v>0</c:v>
                </c:pt>
                <c:pt idx="209">
                  <c:v>5161</c:v>
                </c:pt>
                <c:pt idx="210">
                  <c:v>0</c:v>
                </c:pt>
                <c:pt idx="211">
                  <c:v>0</c:v>
                </c:pt>
                <c:pt idx="212">
                  <c:v>3381</c:v>
                </c:pt>
                <c:pt idx="213">
                  <c:v>0</c:v>
                </c:pt>
                <c:pt idx="214">
                  <c:v>3719</c:v>
                </c:pt>
                <c:pt idx="215">
                  <c:v>0</c:v>
                </c:pt>
                <c:pt idx="216">
                  <c:v>0</c:v>
                </c:pt>
                <c:pt idx="217">
                  <c:v>2454</c:v>
                </c:pt>
                <c:pt idx="218">
                  <c:v>0</c:v>
                </c:pt>
                <c:pt idx="219">
                  <c:v>374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61</c:v>
                </c:pt>
                <c:pt idx="7">
                  <c:v>0</c:v>
                </c:pt>
                <c:pt idx="8">
                  <c:v>101</c:v>
                </c:pt>
                <c:pt idx="9">
                  <c:v>0</c:v>
                </c:pt>
                <c:pt idx="10">
                  <c:v>0</c:v>
                </c:pt>
                <c:pt idx="11">
                  <c:v>293</c:v>
                </c:pt>
                <c:pt idx="12">
                  <c:v>0</c:v>
                </c:pt>
                <c:pt idx="13">
                  <c:v>484</c:v>
                </c:pt>
                <c:pt idx="14">
                  <c:v>0</c:v>
                </c:pt>
                <c:pt idx="15">
                  <c:v>0</c:v>
                </c:pt>
                <c:pt idx="16">
                  <c:v>717</c:v>
                </c:pt>
                <c:pt idx="17">
                  <c:v>0</c:v>
                </c:pt>
                <c:pt idx="18">
                  <c:v>0</c:v>
                </c:pt>
                <c:pt idx="19">
                  <c:v>1260</c:v>
                </c:pt>
                <c:pt idx="20">
                  <c:v>0</c:v>
                </c:pt>
                <c:pt idx="21">
                  <c:v>2601</c:v>
                </c:pt>
                <c:pt idx="22">
                  <c:v>0</c:v>
                </c:pt>
                <c:pt idx="23">
                  <c:v>0</c:v>
                </c:pt>
                <c:pt idx="24">
                  <c:v>4230</c:v>
                </c:pt>
                <c:pt idx="25">
                  <c:v>0</c:v>
                </c:pt>
                <c:pt idx="26">
                  <c:v>6106</c:v>
                </c:pt>
                <c:pt idx="27">
                  <c:v>0</c:v>
                </c:pt>
                <c:pt idx="28">
                  <c:v>0</c:v>
                </c:pt>
                <c:pt idx="29">
                  <c:v>5936</c:v>
                </c:pt>
                <c:pt idx="30">
                  <c:v>0</c:v>
                </c:pt>
                <c:pt idx="31">
                  <c:v>4685</c:v>
                </c:pt>
                <c:pt idx="32">
                  <c:v>0</c:v>
                </c:pt>
                <c:pt idx="33">
                  <c:v>0</c:v>
                </c:pt>
                <c:pt idx="34">
                  <c:v>7528</c:v>
                </c:pt>
                <c:pt idx="35">
                  <c:v>0</c:v>
                </c:pt>
                <c:pt idx="36">
                  <c:v>0</c:v>
                </c:pt>
                <c:pt idx="37">
                  <c:v>7470</c:v>
                </c:pt>
                <c:pt idx="38">
                  <c:v>0</c:v>
                </c:pt>
                <c:pt idx="39">
                  <c:v>9953</c:v>
                </c:pt>
                <c:pt idx="40">
                  <c:v>0</c:v>
                </c:pt>
                <c:pt idx="41">
                  <c:v>0</c:v>
                </c:pt>
                <c:pt idx="42">
                  <c:v>13826</c:v>
                </c:pt>
                <c:pt idx="43">
                  <c:v>0</c:v>
                </c:pt>
                <c:pt idx="44">
                  <c:v>10198</c:v>
                </c:pt>
                <c:pt idx="45">
                  <c:v>0</c:v>
                </c:pt>
                <c:pt idx="46">
                  <c:v>0</c:v>
                </c:pt>
                <c:pt idx="47">
                  <c:v>10573</c:v>
                </c:pt>
                <c:pt idx="48">
                  <c:v>0</c:v>
                </c:pt>
                <c:pt idx="49">
                  <c:v>12634</c:v>
                </c:pt>
                <c:pt idx="50">
                  <c:v>0</c:v>
                </c:pt>
                <c:pt idx="51">
                  <c:v>0</c:v>
                </c:pt>
                <c:pt idx="52">
                  <c:v>17124</c:v>
                </c:pt>
                <c:pt idx="53">
                  <c:v>0</c:v>
                </c:pt>
                <c:pt idx="54">
                  <c:v>0</c:v>
                </c:pt>
                <c:pt idx="55">
                  <c:v>19550</c:v>
                </c:pt>
                <c:pt idx="56">
                  <c:v>0</c:v>
                </c:pt>
                <c:pt idx="57">
                  <c:v>24519</c:v>
                </c:pt>
                <c:pt idx="58">
                  <c:v>0</c:v>
                </c:pt>
                <c:pt idx="59">
                  <c:v>0</c:v>
                </c:pt>
                <c:pt idx="60">
                  <c:v>29494</c:v>
                </c:pt>
                <c:pt idx="61">
                  <c:v>0</c:v>
                </c:pt>
                <c:pt idx="62">
                  <c:v>35974</c:v>
                </c:pt>
                <c:pt idx="63">
                  <c:v>0</c:v>
                </c:pt>
                <c:pt idx="64">
                  <c:v>0</c:v>
                </c:pt>
                <c:pt idx="65">
                  <c:v>41397</c:v>
                </c:pt>
                <c:pt idx="66">
                  <c:v>0</c:v>
                </c:pt>
                <c:pt idx="67">
                  <c:v>45081</c:v>
                </c:pt>
                <c:pt idx="68">
                  <c:v>0</c:v>
                </c:pt>
                <c:pt idx="69">
                  <c:v>0</c:v>
                </c:pt>
                <c:pt idx="70">
                  <c:v>51818</c:v>
                </c:pt>
                <c:pt idx="71">
                  <c:v>0</c:v>
                </c:pt>
                <c:pt idx="72">
                  <c:v>0</c:v>
                </c:pt>
                <c:pt idx="73">
                  <c:v>54420</c:v>
                </c:pt>
                <c:pt idx="74">
                  <c:v>0</c:v>
                </c:pt>
                <c:pt idx="75">
                  <c:v>50907</c:v>
                </c:pt>
                <c:pt idx="76">
                  <c:v>0</c:v>
                </c:pt>
                <c:pt idx="77">
                  <c:v>0</c:v>
                </c:pt>
                <c:pt idx="78">
                  <c:v>54670</c:v>
                </c:pt>
                <c:pt idx="79">
                  <c:v>0</c:v>
                </c:pt>
                <c:pt idx="80">
                  <c:v>58848</c:v>
                </c:pt>
                <c:pt idx="81">
                  <c:v>0</c:v>
                </c:pt>
                <c:pt idx="82">
                  <c:v>0</c:v>
                </c:pt>
                <c:pt idx="83">
                  <c:v>63558</c:v>
                </c:pt>
                <c:pt idx="84">
                  <c:v>0</c:v>
                </c:pt>
                <c:pt idx="85">
                  <c:v>0</c:v>
                </c:pt>
                <c:pt idx="86">
                  <c:v>60064</c:v>
                </c:pt>
                <c:pt idx="87">
                  <c:v>0</c:v>
                </c:pt>
                <c:pt idx="88">
                  <c:v>57499</c:v>
                </c:pt>
                <c:pt idx="89">
                  <c:v>0</c:v>
                </c:pt>
                <c:pt idx="90">
                  <c:v>0</c:v>
                </c:pt>
                <c:pt idx="91">
                  <c:v>61839</c:v>
                </c:pt>
                <c:pt idx="92">
                  <c:v>0</c:v>
                </c:pt>
                <c:pt idx="93">
                  <c:v>66117</c:v>
                </c:pt>
                <c:pt idx="94">
                  <c:v>0</c:v>
                </c:pt>
                <c:pt idx="95">
                  <c:v>0</c:v>
                </c:pt>
                <c:pt idx="96">
                  <c:v>69276</c:v>
                </c:pt>
                <c:pt idx="97">
                  <c:v>0</c:v>
                </c:pt>
                <c:pt idx="98">
                  <c:v>65176</c:v>
                </c:pt>
                <c:pt idx="99">
                  <c:v>0</c:v>
                </c:pt>
                <c:pt idx="100">
                  <c:v>0</c:v>
                </c:pt>
                <c:pt idx="101">
                  <c:v>76019</c:v>
                </c:pt>
                <c:pt idx="102">
                  <c:v>0</c:v>
                </c:pt>
                <c:pt idx="103">
                  <c:v>0</c:v>
                </c:pt>
                <c:pt idx="104">
                  <c:v>74404</c:v>
                </c:pt>
                <c:pt idx="105">
                  <c:v>0</c:v>
                </c:pt>
                <c:pt idx="106">
                  <c:v>74789</c:v>
                </c:pt>
                <c:pt idx="107">
                  <c:v>0</c:v>
                </c:pt>
                <c:pt idx="108">
                  <c:v>0</c:v>
                </c:pt>
                <c:pt idx="109">
                  <c:v>82095</c:v>
                </c:pt>
                <c:pt idx="110">
                  <c:v>0</c:v>
                </c:pt>
                <c:pt idx="111">
                  <c:v>81829</c:v>
                </c:pt>
                <c:pt idx="112">
                  <c:v>0</c:v>
                </c:pt>
                <c:pt idx="113">
                  <c:v>0</c:v>
                </c:pt>
                <c:pt idx="114">
                  <c:v>94457</c:v>
                </c:pt>
                <c:pt idx="115">
                  <c:v>0</c:v>
                </c:pt>
                <c:pt idx="116">
                  <c:v>94186</c:v>
                </c:pt>
                <c:pt idx="117">
                  <c:v>0</c:v>
                </c:pt>
                <c:pt idx="118">
                  <c:v>0</c:v>
                </c:pt>
                <c:pt idx="119">
                  <c:v>97390</c:v>
                </c:pt>
                <c:pt idx="120">
                  <c:v>0</c:v>
                </c:pt>
                <c:pt idx="121">
                  <c:v>0</c:v>
                </c:pt>
                <c:pt idx="122">
                  <c:v>100648</c:v>
                </c:pt>
                <c:pt idx="123">
                  <c:v>0</c:v>
                </c:pt>
                <c:pt idx="124">
                  <c:v>94984</c:v>
                </c:pt>
                <c:pt idx="125">
                  <c:v>0</c:v>
                </c:pt>
                <c:pt idx="126">
                  <c:v>0</c:v>
                </c:pt>
                <c:pt idx="127">
                  <c:v>92465</c:v>
                </c:pt>
                <c:pt idx="128">
                  <c:v>0</c:v>
                </c:pt>
                <c:pt idx="129">
                  <c:v>86684</c:v>
                </c:pt>
                <c:pt idx="130">
                  <c:v>0</c:v>
                </c:pt>
                <c:pt idx="131">
                  <c:v>0</c:v>
                </c:pt>
                <c:pt idx="132">
                  <c:v>83872</c:v>
                </c:pt>
                <c:pt idx="133">
                  <c:v>0</c:v>
                </c:pt>
                <c:pt idx="134">
                  <c:v>86098</c:v>
                </c:pt>
                <c:pt idx="135">
                  <c:v>0</c:v>
                </c:pt>
                <c:pt idx="136">
                  <c:v>0</c:v>
                </c:pt>
                <c:pt idx="137">
                  <c:v>86748</c:v>
                </c:pt>
                <c:pt idx="138">
                  <c:v>0</c:v>
                </c:pt>
                <c:pt idx="139">
                  <c:v>0</c:v>
                </c:pt>
                <c:pt idx="140">
                  <c:v>90326</c:v>
                </c:pt>
                <c:pt idx="141">
                  <c:v>0</c:v>
                </c:pt>
                <c:pt idx="142">
                  <c:v>98485</c:v>
                </c:pt>
                <c:pt idx="143">
                  <c:v>0</c:v>
                </c:pt>
                <c:pt idx="144">
                  <c:v>0</c:v>
                </c:pt>
                <c:pt idx="145">
                  <c:v>105046</c:v>
                </c:pt>
                <c:pt idx="146">
                  <c:v>0</c:v>
                </c:pt>
                <c:pt idx="147">
                  <c:v>112688</c:v>
                </c:pt>
                <c:pt idx="148">
                  <c:v>0</c:v>
                </c:pt>
                <c:pt idx="149">
                  <c:v>0</c:v>
                </c:pt>
                <c:pt idx="150">
                  <c:v>108968</c:v>
                </c:pt>
                <c:pt idx="151">
                  <c:v>0</c:v>
                </c:pt>
                <c:pt idx="152">
                  <c:v>101238</c:v>
                </c:pt>
                <c:pt idx="153">
                  <c:v>0</c:v>
                </c:pt>
                <c:pt idx="154">
                  <c:v>0</c:v>
                </c:pt>
                <c:pt idx="155">
                  <c:v>98768</c:v>
                </c:pt>
                <c:pt idx="156">
                  <c:v>0</c:v>
                </c:pt>
                <c:pt idx="157">
                  <c:v>0</c:v>
                </c:pt>
                <c:pt idx="158">
                  <c:v>97796</c:v>
                </c:pt>
                <c:pt idx="159">
                  <c:v>0</c:v>
                </c:pt>
                <c:pt idx="160">
                  <c:v>90784</c:v>
                </c:pt>
                <c:pt idx="161">
                  <c:v>0</c:v>
                </c:pt>
                <c:pt idx="162">
                  <c:v>0</c:v>
                </c:pt>
                <c:pt idx="163">
                  <c:v>79345</c:v>
                </c:pt>
                <c:pt idx="164">
                  <c:v>0</c:v>
                </c:pt>
                <c:pt idx="165">
                  <c:v>75231</c:v>
                </c:pt>
                <c:pt idx="166">
                  <c:v>0</c:v>
                </c:pt>
                <c:pt idx="167">
                  <c:v>0</c:v>
                </c:pt>
                <c:pt idx="168">
                  <c:v>72113</c:v>
                </c:pt>
                <c:pt idx="169">
                  <c:v>0</c:v>
                </c:pt>
                <c:pt idx="170">
                  <c:v>0</c:v>
                </c:pt>
                <c:pt idx="171">
                  <c:v>67381</c:v>
                </c:pt>
                <c:pt idx="172">
                  <c:v>0</c:v>
                </c:pt>
                <c:pt idx="173">
                  <c:v>60821</c:v>
                </c:pt>
                <c:pt idx="174">
                  <c:v>0</c:v>
                </c:pt>
                <c:pt idx="175">
                  <c:v>0</c:v>
                </c:pt>
                <c:pt idx="176">
                  <c:v>54630</c:v>
                </c:pt>
                <c:pt idx="177">
                  <c:v>0</c:v>
                </c:pt>
                <c:pt idx="178">
                  <c:v>47319</c:v>
                </c:pt>
                <c:pt idx="179">
                  <c:v>0</c:v>
                </c:pt>
                <c:pt idx="180">
                  <c:v>0</c:v>
                </c:pt>
                <c:pt idx="181">
                  <c:v>36757</c:v>
                </c:pt>
                <c:pt idx="182">
                  <c:v>0</c:v>
                </c:pt>
                <c:pt idx="183">
                  <c:v>31717</c:v>
                </c:pt>
                <c:pt idx="184">
                  <c:v>0</c:v>
                </c:pt>
                <c:pt idx="185">
                  <c:v>0</c:v>
                </c:pt>
                <c:pt idx="186">
                  <c:v>25731</c:v>
                </c:pt>
                <c:pt idx="187">
                  <c:v>0</c:v>
                </c:pt>
                <c:pt idx="188">
                  <c:v>0</c:v>
                </c:pt>
                <c:pt idx="189">
                  <c:v>20221</c:v>
                </c:pt>
                <c:pt idx="190">
                  <c:v>0</c:v>
                </c:pt>
                <c:pt idx="191">
                  <c:v>13203</c:v>
                </c:pt>
                <c:pt idx="192">
                  <c:v>0</c:v>
                </c:pt>
                <c:pt idx="193">
                  <c:v>0</c:v>
                </c:pt>
                <c:pt idx="194">
                  <c:v>8058</c:v>
                </c:pt>
                <c:pt idx="195">
                  <c:v>0</c:v>
                </c:pt>
                <c:pt idx="196">
                  <c:v>7244</c:v>
                </c:pt>
                <c:pt idx="197">
                  <c:v>0</c:v>
                </c:pt>
                <c:pt idx="198">
                  <c:v>0</c:v>
                </c:pt>
                <c:pt idx="199">
                  <c:v>5646</c:v>
                </c:pt>
                <c:pt idx="200">
                  <c:v>0</c:v>
                </c:pt>
                <c:pt idx="201">
                  <c:v>6349</c:v>
                </c:pt>
                <c:pt idx="202">
                  <c:v>0</c:v>
                </c:pt>
                <c:pt idx="203">
                  <c:v>0</c:v>
                </c:pt>
                <c:pt idx="204">
                  <c:v>5037</c:v>
                </c:pt>
                <c:pt idx="205">
                  <c:v>0</c:v>
                </c:pt>
                <c:pt idx="206">
                  <c:v>0</c:v>
                </c:pt>
                <c:pt idx="207">
                  <c:v>2670</c:v>
                </c:pt>
                <c:pt idx="208">
                  <c:v>0</c:v>
                </c:pt>
                <c:pt idx="209">
                  <c:v>890</c:v>
                </c:pt>
                <c:pt idx="210">
                  <c:v>0</c:v>
                </c:pt>
                <c:pt idx="211">
                  <c:v>0</c:v>
                </c:pt>
                <c:pt idx="212">
                  <c:v>282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0.19129683737979336</c:v>
                </c:pt>
                <c:pt idx="1">
                  <c:v>0.42557824224534246</c:v>
                </c:pt>
                <c:pt idx="2">
                  <c:v>0.38312492037486423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0.47438365892752293</c:v>
                </c:pt>
                <c:pt idx="1">
                  <c:v>0.27404126926189831</c:v>
                </c:pt>
                <c:pt idx="2">
                  <c:v>0.25157507181057875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6.8353999999999999</c:v>
                </c:pt>
                <c:pt idx="1">
                  <c:v>13.581505</c:v>
                </c:pt>
                <c:pt idx="2">
                  <c:v>23.911799999999999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0.38425799999999999</c:v>
                </c:pt>
                <c:pt idx="2">
                  <c:v>0.79216799999999998</c:v>
                </c:pt>
                <c:pt idx="3">
                  <c:v>1.1972100000000001</c:v>
                </c:pt>
                <c:pt idx="4">
                  <c:v>1.6009599999999999</c:v>
                </c:pt>
                <c:pt idx="5">
                  <c:v>2.0089399999999999</c:v>
                </c:pt>
                <c:pt idx="6">
                  <c:v>2.4127700000000001</c:v>
                </c:pt>
                <c:pt idx="7">
                  <c:v>2.8197199999999998</c:v>
                </c:pt>
                <c:pt idx="8">
                  <c:v>3.2276799999999999</c:v>
                </c:pt>
                <c:pt idx="9">
                  <c:v>3.6366299999999998</c:v>
                </c:pt>
                <c:pt idx="10">
                  <c:v>4.0414399999999997</c:v>
                </c:pt>
                <c:pt idx="11">
                  <c:v>4.4465500000000002</c:v>
                </c:pt>
                <c:pt idx="12">
                  <c:v>4.8513000000000002</c:v>
                </c:pt>
                <c:pt idx="13">
                  <c:v>5.2612300000000003</c:v>
                </c:pt>
                <c:pt idx="14">
                  <c:v>5.6691099999999999</c:v>
                </c:pt>
                <c:pt idx="15">
                  <c:v>6.0730300000000002</c:v>
                </c:pt>
                <c:pt idx="16">
                  <c:v>6.4779600000000004</c:v>
                </c:pt>
                <c:pt idx="17">
                  <c:v>6.8822099999999997</c:v>
                </c:pt>
                <c:pt idx="18">
                  <c:v>7.28796</c:v>
                </c:pt>
                <c:pt idx="19">
                  <c:v>7.6976899999999997</c:v>
                </c:pt>
                <c:pt idx="20">
                  <c:v>8.1006699999999991</c:v>
                </c:pt>
                <c:pt idx="21">
                  <c:v>8.5094999999999992</c:v>
                </c:pt>
                <c:pt idx="22">
                  <c:v>8.9144400000000008</c:v>
                </c:pt>
                <c:pt idx="23">
                  <c:v>9.3223500000000001</c:v>
                </c:pt>
                <c:pt idx="24">
                  <c:v>9.7257800000000003</c:v>
                </c:pt>
                <c:pt idx="25">
                  <c:v>10.1328</c:v>
                </c:pt>
                <c:pt idx="26">
                  <c:v>10.542999999999999</c:v>
                </c:pt>
                <c:pt idx="27">
                  <c:v>10.945</c:v>
                </c:pt>
                <c:pt idx="28">
                  <c:v>11.354900000000001</c:v>
                </c:pt>
                <c:pt idx="29">
                  <c:v>11.7578</c:v>
                </c:pt>
                <c:pt idx="30">
                  <c:v>12.164899999999999</c:v>
                </c:pt>
                <c:pt idx="31">
                  <c:v>12.573600000000001</c:v>
                </c:pt>
                <c:pt idx="32">
                  <c:v>12.9755</c:v>
                </c:pt>
                <c:pt idx="33">
                  <c:v>13.383900000000001</c:v>
                </c:pt>
                <c:pt idx="34">
                  <c:v>13.788399999999999</c:v>
                </c:pt>
                <c:pt idx="35">
                  <c:v>14.198499999999999</c:v>
                </c:pt>
                <c:pt idx="36">
                  <c:v>14.600199999999999</c:v>
                </c:pt>
                <c:pt idx="37">
                  <c:v>15.0091</c:v>
                </c:pt>
                <c:pt idx="38">
                  <c:v>15.414199999999999</c:v>
                </c:pt>
                <c:pt idx="39">
                  <c:v>15.8209</c:v>
                </c:pt>
                <c:pt idx="40">
                  <c:v>16.229900000000001</c:v>
                </c:pt>
                <c:pt idx="41">
                  <c:v>16.634799999999998</c:v>
                </c:pt>
                <c:pt idx="42">
                  <c:v>17.040700000000001</c:v>
                </c:pt>
                <c:pt idx="43">
                  <c:v>17.447700000000001</c:v>
                </c:pt>
                <c:pt idx="44">
                  <c:v>17.8566</c:v>
                </c:pt>
                <c:pt idx="45">
                  <c:v>18.261399999999998</c:v>
                </c:pt>
                <c:pt idx="46">
                  <c:v>18.6694</c:v>
                </c:pt>
                <c:pt idx="47">
                  <c:v>19.067599999999999</c:v>
                </c:pt>
                <c:pt idx="48">
                  <c:v>19.477399999999999</c:v>
                </c:pt>
                <c:pt idx="49">
                  <c:v>19.885000000000002</c:v>
                </c:pt>
                <c:pt idx="50">
                  <c:v>20.290900000000001</c:v>
                </c:pt>
                <c:pt idx="51">
                  <c:v>20.697900000000001</c:v>
                </c:pt>
                <c:pt idx="52">
                  <c:v>21.104399999999998</c:v>
                </c:pt>
                <c:pt idx="53">
                  <c:v>21.5077</c:v>
                </c:pt>
                <c:pt idx="54">
                  <c:v>21.9146</c:v>
                </c:pt>
                <c:pt idx="55">
                  <c:v>22.323499999999999</c:v>
                </c:pt>
                <c:pt idx="56">
                  <c:v>22.7285</c:v>
                </c:pt>
                <c:pt idx="57">
                  <c:v>23.1325</c:v>
                </c:pt>
                <c:pt idx="58">
                  <c:v>23.539400000000001</c:v>
                </c:pt>
                <c:pt idx="59">
                  <c:v>23.9452</c:v>
                </c:pt>
                <c:pt idx="60">
                  <c:v>24.3552</c:v>
                </c:pt>
                <c:pt idx="61">
                  <c:v>24.757100000000001</c:v>
                </c:pt>
                <c:pt idx="62">
                  <c:v>25.165299999999998</c:v>
                </c:pt>
                <c:pt idx="63">
                  <c:v>25.570900000000002</c:v>
                </c:pt>
                <c:pt idx="64">
                  <c:v>25.976099999999999</c:v>
                </c:pt>
                <c:pt idx="65">
                  <c:v>26.386800000000001</c:v>
                </c:pt>
                <c:pt idx="66">
                  <c:v>26.790600000000001</c:v>
                </c:pt>
                <c:pt idx="67">
                  <c:v>27.197500000000002</c:v>
                </c:pt>
                <c:pt idx="68">
                  <c:v>27.604600000000001</c:v>
                </c:pt>
                <c:pt idx="69">
                  <c:v>28.007400000000001</c:v>
                </c:pt>
                <c:pt idx="70">
                  <c:v>28.4133</c:v>
                </c:pt>
                <c:pt idx="71">
                  <c:v>28.821400000000001</c:v>
                </c:pt>
                <c:pt idx="72">
                  <c:v>29.228100000000001</c:v>
                </c:pt>
                <c:pt idx="73">
                  <c:v>29.6311</c:v>
                </c:pt>
                <c:pt idx="74">
                  <c:v>30.041899999999998</c:v>
                </c:pt>
                <c:pt idx="75">
                  <c:v>30.616599999999998</c:v>
                </c:pt>
                <c:pt idx="76">
                  <c:v>30.9954</c:v>
                </c:pt>
                <c:pt idx="77">
                  <c:v>31.368400000000001</c:v>
                </c:pt>
                <c:pt idx="78">
                  <c:v>31.743400000000001</c:v>
                </c:pt>
                <c:pt idx="79">
                  <c:v>32.118600000000001</c:v>
                </c:pt>
                <c:pt idx="80">
                  <c:v>32.527299999999997</c:v>
                </c:pt>
                <c:pt idx="81">
                  <c:v>32.933300000000003</c:v>
                </c:pt>
                <c:pt idx="82">
                  <c:v>33.335099999999997</c:v>
                </c:pt>
                <c:pt idx="83">
                  <c:v>33.744999999999997</c:v>
                </c:pt>
                <c:pt idx="84">
                  <c:v>34.148099999999999</c:v>
                </c:pt>
                <c:pt idx="85">
                  <c:v>34.557899999999997</c:v>
                </c:pt>
                <c:pt idx="86">
                  <c:v>34.9651</c:v>
                </c:pt>
                <c:pt idx="87">
                  <c:v>35.366</c:v>
                </c:pt>
                <c:pt idx="88">
                  <c:v>35.773600000000002</c:v>
                </c:pt>
                <c:pt idx="89">
                  <c:v>36.181899999999999</c:v>
                </c:pt>
                <c:pt idx="90">
                  <c:v>36.5884</c:v>
                </c:pt>
                <c:pt idx="91">
                  <c:v>36.993400000000001</c:v>
                </c:pt>
                <c:pt idx="92">
                  <c:v>37.3994</c:v>
                </c:pt>
                <c:pt idx="93">
                  <c:v>37.805100000000003</c:v>
                </c:pt>
                <c:pt idx="94">
                  <c:v>38.212400000000002</c:v>
                </c:pt>
                <c:pt idx="95">
                  <c:v>38.619</c:v>
                </c:pt>
                <c:pt idx="96">
                  <c:v>39.019300000000001</c:v>
                </c:pt>
                <c:pt idx="97">
                  <c:v>39.432899999999997</c:v>
                </c:pt>
                <c:pt idx="98">
                  <c:v>39.837699999999998</c:v>
                </c:pt>
                <c:pt idx="99">
                  <c:v>40.241700000000002</c:v>
                </c:pt>
                <c:pt idx="100">
                  <c:v>40.651600000000002</c:v>
                </c:pt>
                <c:pt idx="101">
                  <c:v>41.055500000000002</c:v>
                </c:pt>
                <c:pt idx="102">
                  <c:v>41.464399999999998</c:v>
                </c:pt>
                <c:pt idx="103">
                  <c:v>41.8673</c:v>
                </c:pt>
                <c:pt idx="104">
                  <c:v>42.273200000000003</c:v>
                </c:pt>
                <c:pt idx="105">
                  <c:v>42.681199999999997</c:v>
                </c:pt>
                <c:pt idx="106">
                  <c:v>43.089100000000002</c:v>
                </c:pt>
                <c:pt idx="107">
                  <c:v>43.494999999999997</c:v>
                </c:pt>
                <c:pt idx="108">
                  <c:v>43.901899999999998</c:v>
                </c:pt>
                <c:pt idx="109">
                  <c:v>44.305900000000001</c:v>
                </c:pt>
                <c:pt idx="110">
                  <c:v>44.7089</c:v>
                </c:pt>
                <c:pt idx="111">
                  <c:v>45.120699999999999</c:v>
                </c:pt>
                <c:pt idx="112">
                  <c:v>45.525500000000001</c:v>
                </c:pt>
                <c:pt idx="113">
                  <c:v>45.9315</c:v>
                </c:pt>
                <c:pt idx="114">
                  <c:v>46.336500000000001</c:v>
                </c:pt>
                <c:pt idx="115">
                  <c:v>46.744399999999999</c:v>
                </c:pt>
                <c:pt idx="116">
                  <c:v>47.149299999999997</c:v>
                </c:pt>
                <c:pt idx="117">
                  <c:v>47.558500000000002</c:v>
                </c:pt>
                <c:pt idx="118">
                  <c:v>47.965200000000003</c:v>
                </c:pt>
                <c:pt idx="119">
                  <c:v>48.368899999999996</c:v>
                </c:pt>
                <c:pt idx="120">
                  <c:v>48.772100000000002</c:v>
                </c:pt>
                <c:pt idx="121">
                  <c:v>49.182099999999998</c:v>
                </c:pt>
                <c:pt idx="122">
                  <c:v>49.5867</c:v>
                </c:pt>
                <c:pt idx="123">
                  <c:v>49.992600000000003</c:v>
                </c:pt>
                <c:pt idx="124">
                  <c:v>50.399500000000003</c:v>
                </c:pt>
                <c:pt idx="125">
                  <c:v>50.805399999999999</c:v>
                </c:pt>
                <c:pt idx="126">
                  <c:v>51.211399999999998</c:v>
                </c:pt>
                <c:pt idx="127">
                  <c:v>51.619199999999999</c:v>
                </c:pt>
                <c:pt idx="128">
                  <c:v>52.025100000000002</c:v>
                </c:pt>
                <c:pt idx="129">
                  <c:v>52.432299999999998</c:v>
                </c:pt>
                <c:pt idx="130">
                  <c:v>52.835000000000001</c:v>
                </c:pt>
                <c:pt idx="131">
                  <c:v>53.243899999999996</c:v>
                </c:pt>
                <c:pt idx="132">
                  <c:v>53.649900000000002</c:v>
                </c:pt>
                <c:pt idx="133">
                  <c:v>54.054000000000002</c:v>
                </c:pt>
                <c:pt idx="134">
                  <c:v>54.4636</c:v>
                </c:pt>
                <c:pt idx="135">
                  <c:v>54.870600000000003</c:v>
                </c:pt>
                <c:pt idx="136">
                  <c:v>55.273400000000002</c:v>
                </c:pt>
                <c:pt idx="137">
                  <c:v>55.6813</c:v>
                </c:pt>
                <c:pt idx="138">
                  <c:v>56.084600000000002</c:v>
                </c:pt>
                <c:pt idx="139">
                  <c:v>56.495199999999997</c:v>
                </c:pt>
                <c:pt idx="140">
                  <c:v>56.898299999999999</c:v>
                </c:pt>
                <c:pt idx="141">
                  <c:v>57.308100000000003</c:v>
                </c:pt>
                <c:pt idx="142">
                  <c:v>57.713000000000001</c:v>
                </c:pt>
                <c:pt idx="143">
                  <c:v>58.118099999999998</c:v>
                </c:pt>
                <c:pt idx="144">
                  <c:v>58.522799999999997</c:v>
                </c:pt>
                <c:pt idx="145">
                  <c:v>58.932000000000002</c:v>
                </c:pt>
                <c:pt idx="146">
                  <c:v>59.339599999999997</c:v>
                </c:pt>
                <c:pt idx="147">
                  <c:v>59.7425</c:v>
                </c:pt>
                <c:pt idx="148">
                  <c:v>60.150700000000001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2.6108099999999999</c:v>
                </c:pt>
                <c:pt idx="1">
                  <c:v>2.6824700000000004</c:v>
                </c:pt>
                <c:pt idx="2">
                  <c:v>2.7545700000000002</c:v>
                </c:pt>
                <c:pt idx="3">
                  <c:v>2.8247100000000005</c:v>
                </c:pt>
                <c:pt idx="4">
                  <c:v>2.8954999999999997</c:v>
                </c:pt>
                <c:pt idx="5">
                  <c:v>2.9702999999999999</c:v>
                </c:pt>
                <c:pt idx="6">
                  <c:v>3.0477599999999998</c:v>
                </c:pt>
                <c:pt idx="7">
                  <c:v>3.12568</c:v>
                </c:pt>
                <c:pt idx="8">
                  <c:v>3.20749</c:v>
                </c:pt>
                <c:pt idx="9">
                  <c:v>3.2926000000000002</c:v>
                </c:pt>
                <c:pt idx="10">
                  <c:v>3.37696</c:v>
                </c:pt>
                <c:pt idx="11">
                  <c:v>3.4616599999999997</c:v>
                </c:pt>
                <c:pt idx="12">
                  <c:v>3.5454499999999998</c:v>
                </c:pt>
                <c:pt idx="13">
                  <c:v>3.6296099999999996</c:v>
                </c:pt>
                <c:pt idx="14">
                  <c:v>3.7143900000000003</c:v>
                </c:pt>
                <c:pt idx="15">
                  <c:v>3.8010699999999997</c:v>
                </c:pt>
                <c:pt idx="16">
                  <c:v>3.8895</c:v>
                </c:pt>
                <c:pt idx="17">
                  <c:v>3.9793699999999999</c:v>
                </c:pt>
                <c:pt idx="18">
                  <c:v>4.0705299999999998</c:v>
                </c:pt>
                <c:pt idx="19">
                  <c:v>4.1587399999999999</c:v>
                </c:pt>
                <c:pt idx="20">
                  <c:v>4.2434699999999994</c:v>
                </c:pt>
                <c:pt idx="21">
                  <c:v>4.3230599999999999</c:v>
                </c:pt>
                <c:pt idx="22">
                  <c:v>4.3994900000000001</c:v>
                </c:pt>
                <c:pt idx="23">
                  <c:v>4.4732599999999998</c:v>
                </c:pt>
                <c:pt idx="24">
                  <c:v>4.54183</c:v>
                </c:pt>
                <c:pt idx="25">
                  <c:v>4.6046100000000001</c:v>
                </c:pt>
                <c:pt idx="26">
                  <c:v>4.6633899999999997</c:v>
                </c:pt>
                <c:pt idx="27">
                  <c:v>4.7153600000000004</c:v>
                </c:pt>
                <c:pt idx="28">
                  <c:v>4.76389</c:v>
                </c:pt>
                <c:pt idx="29">
                  <c:v>4.8105399999999996</c:v>
                </c:pt>
                <c:pt idx="30">
                  <c:v>4.8541400000000001</c:v>
                </c:pt>
                <c:pt idx="31">
                  <c:v>4.89419</c:v>
                </c:pt>
                <c:pt idx="32">
                  <c:v>4.9292100000000003</c:v>
                </c:pt>
                <c:pt idx="33">
                  <c:v>4.9589100000000004</c:v>
                </c:pt>
                <c:pt idx="34">
                  <c:v>4.9845600000000001</c:v>
                </c:pt>
                <c:pt idx="35">
                  <c:v>5.0103399999999993</c:v>
                </c:pt>
                <c:pt idx="36">
                  <c:v>5.0368999999999993</c:v>
                </c:pt>
                <c:pt idx="37">
                  <c:v>5.0627800000000001</c:v>
                </c:pt>
                <c:pt idx="38">
                  <c:v>5.0855099999999993</c:v>
                </c:pt>
                <c:pt idx="39">
                  <c:v>5.1055799999999998</c:v>
                </c:pt>
                <c:pt idx="40">
                  <c:v>5.1232999999999995</c:v>
                </c:pt>
                <c:pt idx="41">
                  <c:v>5.1403200000000009</c:v>
                </c:pt>
                <c:pt idx="42">
                  <c:v>5.1542600000000007</c:v>
                </c:pt>
                <c:pt idx="43">
                  <c:v>5.16554</c:v>
                </c:pt>
                <c:pt idx="44">
                  <c:v>5.1751400000000007</c:v>
                </c:pt>
                <c:pt idx="45">
                  <c:v>5.1842500000000005</c:v>
                </c:pt>
                <c:pt idx="46">
                  <c:v>5.1964100000000002</c:v>
                </c:pt>
                <c:pt idx="47">
                  <c:v>5.20655</c:v>
                </c:pt>
                <c:pt idx="48">
                  <c:v>5.2149299999999998</c:v>
                </c:pt>
                <c:pt idx="49">
                  <c:v>5.2230400000000001</c:v>
                </c:pt>
                <c:pt idx="50">
                  <c:v>5.2294200000000002</c:v>
                </c:pt>
                <c:pt idx="51">
                  <c:v>5.2396699999999994</c:v>
                </c:pt>
                <c:pt idx="52">
                  <c:v>5.2513699999999996</c:v>
                </c:pt>
                <c:pt idx="53">
                  <c:v>5.2613399999999997</c:v>
                </c:pt>
                <c:pt idx="54">
                  <c:v>5.2702400000000003</c:v>
                </c:pt>
                <c:pt idx="55">
                  <c:v>5.2795499999999995</c:v>
                </c:pt>
                <c:pt idx="56">
                  <c:v>5.2905899999999999</c:v>
                </c:pt>
                <c:pt idx="57">
                  <c:v>5.3018699999999992</c:v>
                </c:pt>
                <c:pt idx="58">
                  <c:v>5.3105100000000007</c:v>
                </c:pt>
                <c:pt idx="59">
                  <c:v>5.3157399999999999</c:v>
                </c:pt>
                <c:pt idx="60">
                  <c:v>5.3185700000000002</c:v>
                </c:pt>
                <c:pt idx="61">
                  <c:v>5.3180499999999995</c:v>
                </c:pt>
                <c:pt idx="62">
                  <c:v>5.3156999999999996</c:v>
                </c:pt>
                <c:pt idx="63">
                  <c:v>5.3136799999999997</c:v>
                </c:pt>
                <c:pt idx="64">
                  <c:v>5.3127899999999997</c:v>
                </c:pt>
                <c:pt idx="65">
                  <c:v>5.3088500000000005</c:v>
                </c:pt>
                <c:pt idx="66">
                  <c:v>5.3014899999999994</c:v>
                </c:pt>
                <c:pt idx="67">
                  <c:v>5.2927299999999997</c:v>
                </c:pt>
                <c:pt idx="68">
                  <c:v>5.2739700000000003</c:v>
                </c:pt>
                <c:pt idx="69">
                  <c:v>5.2645900000000001</c:v>
                </c:pt>
                <c:pt idx="70">
                  <c:v>5.246690000000001</c:v>
                </c:pt>
                <c:pt idx="71">
                  <c:v>5.2256899999999993</c:v>
                </c:pt>
                <c:pt idx="72">
                  <c:v>5.2055300000000004</c:v>
                </c:pt>
                <c:pt idx="73">
                  <c:v>5.1848299999999998</c:v>
                </c:pt>
                <c:pt idx="74">
                  <c:v>5.1648300000000003</c:v>
                </c:pt>
                <c:pt idx="75">
                  <c:v>5.1405900000000004</c:v>
                </c:pt>
                <c:pt idx="76">
                  <c:v>5.1217699999999997</c:v>
                </c:pt>
                <c:pt idx="77">
                  <c:v>5.1028399999999996</c:v>
                </c:pt>
                <c:pt idx="78">
                  <c:v>5.0831599999999995</c:v>
                </c:pt>
                <c:pt idx="79">
                  <c:v>5.0615299999999994</c:v>
                </c:pt>
                <c:pt idx="80">
                  <c:v>5.0362300000000007</c:v>
                </c:pt>
                <c:pt idx="81">
                  <c:v>5.0114099999999997</c:v>
                </c:pt>
                <c:pt idx="82">
                  <c:v>4.9885099999999998</c:v>
                </c:pt>
                <c:pt idx="83">
                  <c:v>4.9686599999999999</c:v>
                </c:pt>
                <c:pt idx="84">
                  <c:v>4.9474400000000003</c:v>
                </c:pt>
                <c:pt idx="85">
                  <c:v>4.9243600000000001</c:v>
                </c:pt>
                <c:pt idx="86">
                  <c:v>4.8989799999999999</c:v>
                </c:pt>
                <c:pt idx="87">
                  <c:v>4.8708499999999999</c:v>
                </c:pt>
                <c:pt idx="88">
                  <c:v>4.8382699999999996</c:v>
                </c:pt>
                <c:pt idx="89">
                  <c:v>4.80274</c:v>
                </c:pt>
                <c:pt idx="90">
                  <c:v>4.7693000000000003</c:v>
                </c:pt>
                <c:pt idx="91">
                  <c:v>4.7369399999999997</c:v>
                </c:pt>
                <c:pt idx="92">
                  <c:v>4.7103200000000003</c:v>
                </c:pt>
                <c:pt idx="93">
                  <c:v>4.6873800000000001</c:v>
                </c:pt>
                <c:pt idx="94">
                  <c:v>4.6694599999999999</c:v>
                </c:pt>
                <c:pt idx="95">
                  <c:v>4.6554400000000005</c:v>
                </c:pt>
                <c:pt idx="96">
                  <c:v>4.6428799999999999</c:v>
                </c:pt>
                <c:pt idx="97">
                  <c:v>4.6361499999999998</c:v>
                </c:pt>
                <c:pt idx="98">
                  <c:v>4.6307999999999998</c:v>
                </c:pt>
                <c:pt idx="99">
                  <c:v>4.6221899999999998</c:v>
                </c:pt>
                <c:pt idx="100">
                  <c:v>4.6100099999999999</c:v>
                </c:pt>
                <c:pt idx="101">
                  <c:v>4.5965699999999998</c:v>
                </c:pt>
                <c:pt idx="102">
                  <c:v>4.5814700000000004</c:v>
                </c:pt>
                <c:pt idx="103">
                  <c:v>4.5631599999999999</c:v>
                </c:pt>
                <c:pt idx="104">
                  <c:v>4.5469499999999998</c:v>
                </c:pt>
                <c:pt idx="105">
                  <c:v>4.5308999999999999</c:v>
                </c:pt>
                <c:pt idx="106">
                  <c:v>4.5151200000000005</c:v>
                </c:pt>
                <c:pt idx="107">
                  <c:v>4.50054</c:v>
                </c:pt>
                <c:pt idx="108">
                  <c:v>4.4908700000000001</c:v>
                </c:pt>
                <c:pt idx="109">
                  <c:v>4.4870400000000004</c:v>
                </c:pt>
                <c:pt idx="110">
                  <c:v>4.4884899999999996</c:v>
                </c:pt>
                <c:pt idx="111">
                  <c:v>4.4973900000000002</c:v>
                </c:pt>
                <c:pt idx="112">
                  <c:v>4.5127100000000002</c:v>
                </c:pt>
                <c:pt idx="113">
                  <c:v>4.5271099999999995</c:v>
                </c:pt>
                <c:pt idx="114">
                  <c:v>4.5455899999999998</c:v>
                </c:pt>
                <c:pt idx="115">
                  <c:v>4.5647599999999997</c:v>
                </c:pt>
                <c:pt idx="116">
                  <c:v>4.5840100000000001</c:v>
                </c:pt>
                <c:pt idx="117">
                  <c:v>4.6019700000000006</c:v>
                </c:pt>
                <c:pt idx="118">
                  <c:v>4.6193800000000005</c:v>
                </c:pt>
                <c:pt idx="119">
                  <c:v>4.6359300000000001</c:v>
                </c:pt>
                <c:pt idx="120">
                  <c:v>4.6503100000000002</c:v>
                </c:pt>
                <c:pt idx="121">
                  <c:v>4.6603599999999998</c:v>
                </c:pt>
                <c:pt idx="122">
                  <c:v>4.6659600000000001</c:v>
                </c:pt>
                <c:pt idx="123">
                  <c:v>4.6707400000000003</c:v>
                </c:pt>
                <c:pt idx="124">
                  <c:v>4.6752099999999999</c:v>
                </c:pt>
                <c:pt idx="125">
                  <c:v>4.6808199999999998</c:v>
                </c:pt>
                <c:pt idx="126">
                  <c:v>4.6883400000000002</c:v>
                </c:pt>
                <c:pt idx="127">
                  <c:v>4.6987399999999999</c:v>
                </c:pt>
                <c:pt idx="128">
                  <c:v>4.7138499999999999</c:v>
                </c:pt>
                <c:pt idx="129">
                  <c:v>4.7300700000000004</c:v>
                </c:pt>
                <c:pt idx="130">
                  <c:v>4.7477</c:v>
                </c:pt>
                <c:pt idx="131">
                  <c:v>4.7650399999999999</c:v>
                </c:pt>
                <c:pt idx="132">
                  <c:v>4.7808400000000004</c:v>
                </c:pt>
                <c:pt idx="133">
                  <c:v>4.7938799999999997</c:v>
                </c:pt>
                <c:pt idx="134">
                  <c:v>4.8035099999999993</c:v>
                </c:pt>
                <c:pt idx="135">
                  <c:v>4.8097399999999997</c:v>
                </c:pt>
                <c:pt idx="136">
                  <c:v>4.8099100000000004</c:v>
                </c:pt>
                <c:pt idx="137">
                  <c:v>4.8051399999999997</c:v>
                </c:pt>
                <c:pt idx="138">
                  <c:v>4.8034100000000004</c:v>
                </c:pt>
                <c:pt idx="139">
                  <c:v>4.7986899999999997</c:v>
                </c:pt>
                <c:pt idx="140">
                  <c:v>4.7946299999999997</c:v>
                </c:pt>
                <c:pt idx="141">
                  <c:v>4.7897400000000001</c:v>
                </c:pt>
                <c:pt idx="142">
                  <c:v>4.7844600000000002</c:v>
                </c:pt>
                <c:pt idx="143">
                  <c:v>4.7778599999999996</c:v>
                </c:pt>
                <c:pt idx="144">
                  <c:v>4.7641600000000004</c:v>
                </c:pt>
                <c:pt idx="145">
                  <c:v>4.7482199999999999</c:v>
                </c:pt>
                <c:pt idx="146">
                  <c:v>4.7371099999999995</c:v>
                </c:pt>
                <c:pt idx="147">
                  <c:v>4.7360600000000002</c:v>
                </c:pt>
                <c:pt idx="148">
                  <c:v>4.7350300000000001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0.38425799999999999</c:v>
                </c:pt>
                <c:pt idx="2">
                  <c:v>0.79216799999999998</c:v>
                </c:pt>
                <c:pt idx="3">
                  <c:v>1.1972100000000001</c:v>
                </c:pt>
                <c:pt idx="4">
                  <c:v>1.6009599999999999</c:v>
                </c:pt>
                <c:pt idx="5">
                  <c:v>2.0089399999999999</c:v>
                </c:pt>
                <c:pt idx="6">
                  <c:v>2.4127700000000001</c:v>
                </c:pt>
                <c:pt idx="7">
                  <c:v>2.8197199999999998</c:v>
                </c:pt>
                <c:pt idx="8">
                  <c:v>3.2276799999999999</c:v>
                </c:pt>
                <c:pt idx="9">
                  <c:v>3.6366299999999998</c:v>
                </c:pt>
                <c:pt idx="10">
                  <c:v>4.0414399999999997</c:v>
                </c:pt>
                <c:pt idx="11">
                  <c:v>4.4465500000000002</c:v>
                </c:pt>
                <c:pt idx="12">
                  <c:v>4.8513000000000002</c:v>
                </c:pt>
                <c:pt idx="13">
                  <c:v>5.2612300000000003</c:v>
                </c:pt>
                <c:pt idx="14">
                  <c:v>5.6691099999999999</c:v>
                </c:pt>
                <c:pt idx="15">
                  <c:v>6.0730300000000002</c:v>
                </c:pt>
                <c:pt idx="16">
                  <c:v>6.4779600000000004</c:v>
                </c:pt>
                <c:pt idx="17">
                  <c:v>6.8822099999999997</c:v>
                </c:pt>
                <c:pt idx="18">
                  <c:v>7.28796</c:v>
                </c:pt>
                <c:pt idx="19">
                  <c:v>7.6976899999999997</c:v>
                </c:pt>
                <c:pt idx="20">
                  <c:v>8.1006699999999991</c:v>
                </c:pt>
                <c:pt idx="21">
                  <c:v>8.5094999999999992</c:v>
                </c:pt>
                <c:pt idx="22">
                  <c:v>8.9144400000000008</c:v>
                </c:pt>
                <c:pt idx="23">
                  <c:v>9.3223500000000001</c:v>
                </c:pt>
                <c:pt idx="24">
                  <c:v>9.7257800000000003</c:v>
                </c:pt>
                <c:pt idx="25">
                  <c:v>10.1328</c:v>
                </c:pt>
                <c:pt idx="26">
                  <c:v>10.542999999999999</c:v>
                </c:pt>
                <c:pt idx="27">
                  <c:v>10.945</c:v>
                </c:pt>
                <c:pt idx="28">
                  <c:v>11.354900000000001</c:v>
                </c:pt>
                <c:pt idx="29">
                  <c:v>11.7578</c:v>
                </c:pt>
                <c:pt idx="30">
                  <c:v>12.164899999999999</c:v>
                </c:pt>
                <c:pt idx="31">
                  <c:v>12.573600000000001</c:v>
                </c:pt>
                <c:pt idx="32">
                  <c:v>12.9755</c:v>
                </c:pt>
                <c:pt idx="33">
                  <c:v>13.383900000000001</c:v>
                </c:pt>
                <c:pt idx="34">
                  <c:v>13.788399999999999</c:v>
                </c:pt>
                <c:pt idx="35">
                  <c:v>14.198499999999999</c:v>
                </c:pt>
                <c:pt idx="36">
                  <c:v>14.600199999999999</c:v>
                </c:pt>
                <c:pt idx="37">
                  <c:v>15.0091</c:v>
                </c:pt>
                <c:pt idx="38">
                  <c:v>15.414199999999999</c:v>
                </c:pt>
                <c:pt idx="39">
                  <c:v>15.8209</c:v>
                </c:pt>
                <c:pt idx="40">
                  <c:v>16.229900000000001</c:v>
                </c:pt>
                <c:pt idx="41">
                  <c:v>16.634799999999998</c:v>
                </c:pt>
                <c:pt idx="42">
                  <c:v>17.040700000000001</c:v>
                </c:pt>
                <c:pt idx="43">
                  <c:v>17.447700000000001</c:v>
                </c:pt>
                <c:pt idx="44">
                  <c:v>17.8566</c:v>
                </c:pt>
                <c:pt idx="45">
                  <c:v>18.261399999999998</c:v>
                </c:pt>
                <c:pt idx="46">
                  <c:v>18.6694</c:v>
                </c:pt>
                <c:pt idx="47">
                  <c:v>19.067599999999999</c:v>
                </c:pt>
                <c:pt idx="48">
                  <c:v>19.477399999999999</c:v>
                </c:pt>
                <c:pt idx="49">
                  <c:v>19.885000000000002</c:v>
                </c:pt>
                <c:pt idx="50">
                  <c:v>20.290900000000001</c:v>
                </c:pt>
                <c:pt idx="51">
                  <c:v>20.697900000000001</c:v>
                </c:pt>
                <c:pt idx="52">
                  <c:v>21.104399999999998</c:v>
                </c:pt>
                <c:pt idx="53">
                  <c:v>21.5077</c:v>
                </c:pt>
                <c:pt idx="54">
                  <c:v>21.9146</c:v>
                </c:pt>
                <c:pt idx="55">
                  <c:v>22.323499999999999</c:v>
                </c:pt>
                <c:pt idx="56">
                  <c:v>22.7285</c:v>
                </c:pt>
                <c:pt idx="57">
                  <c:v>23.1325</c:v>
                </c:pt>
                <c:pt idx="58">
                  <c:v>23.539400000000001</c:v>
                </c:pt>
                <c:pt idx="59">
                  <c:v>23.9452</c:v>
                </c:pt>
                <c:pt idx="60">
                  <c:v>24.3552</c:v>
                </c:pt>
                <c:pt idx="61">
                  <c:v>24.757100000000001</c:v>
                </c:pt>
                <c:pt idx="62">
                  <c:v>25.165299999999998</c:v>
                </c:pt>
                <c:pt idx="63">
                  <c:v>25.570900000000002</c:v>
                </c:pt>
                <c:pt idx="64">
                  <c:v>25.976099999999999</c:v>
                </c:pt>
                <c:pt idx="65">
                  <c:v>26.386800000000001</c:v>
                </c:pt>
                <c:pt idx="66">
                  <c:v>26.790600000000001</c:v>
                </c:pt>
                <c:pt idx="67">
                  <c:v>27.197500000000002</c:v>
                </c:pt>
                <c:pt idx="68">
                  <c:v>27.604600000000001</c:v>
                </c:pt>
                <c:pt idx="69">
                  <c:v>28.007400000000001</c:v>
                </c:pt>
                <c:pt idx="70">
                  <c:v>28.4133</c:v>
                </c:pt>
                <c:pt idx="71">
                  <c:v>28.821400000000001</c:v>
                </c:pt>
                <c:pt idx="72">
                  <c:v>29.228100000000001</c:v>
                </c:pt>
                <c:pt idx="73">
                  <c:v>29.6311</c:v>
                </c:pt>
                <c:pt idx="74">
                  <c:v>30.041899999999998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2.6108099999999999</c:v>
                </c:pt>
                <c:pt idx="1">
                  <c:v>2.6824700000000004</c:v>
                </c:pt>
                <c:pt idx="2">
                  <c:v>2.7545700000000002</c:v>
                </c:pt>
                <c:pt idx="3">
                  <c:v>2.8247100000000005</c:v>
                </c:pt>
                <c:pt idx="4">
                  <c:v>2.8954999999999997</c:v>
                </c:pt>
                <c:pt idx="5">
                  <c:v>2.9702999999999999</c:v>
                </c:pt>
                <c:pt idx="6">
                  <c:v>3.0477599999999998</c:v>
                </c:pt>
                <c:pt idx="7">
                  <c:v>3.12568</c:v>
                </c:pt>
                <c:pt idx="8">
                  <c:v>3.20749</c:v>
                </c:pt>
                <c:pt idx="9">
                  <c:v>3.2926000000000002</c:v>
                </c:pt>
                <c:pt idx="10">
                  <c:v>3.37696</c:v>
                </c:pt>
                <c:pt idx="11">
                  <c:v>3.4616599999999997</c:v>
                </c:pt>
                <c:pt idx="12">
                  <c:v>3.5454499999999998</c:v>
                </c:pt>
                <c:pt idx="13">
                  <c:v>3.6296099999999996</c:v>
                </c:pt>
                <c:pt idx="14">
                  <c:v>3.7143900000000003</c:v>
                </c:pt>
                <c:pt idx="15">
                  <c:v>3.8010699999999997</c:v>
                </c:pt>
                <c:pt idx="16">
                  <c:v>3.8895</c:v>
                </c:pt>
                <c:pt idx="17">
                  <c:v>3.9793699999999999</c:v>
                </c:pt>
                <c:pt idx="18">
                  <c:v>4.0705299999999998</c:v>
                </c:pt>
                <c:pt idx="19">
                  <c:v>4.1587399999999999</c:v>
                </c:pt>
                <c:pt idx="20">
                  <c:v>4.2434699999999994</c:v>
                </c:pt>
                <c:pt idx="21">
                  <c:v>4.3230599999999999</c:v>
                </c:pt>
                <c:pt idx="22">
                  <c:v>4.3994900000000001</c:v>
                </c:pt>
                <c:pt idx="23">
                  <c:v>4.4732599999999998</c:v>
                </c:pt>
                <c:pt idx="24">
                  <c:v>4.54183</c:v>
                </c:pt>
                <c:pt idx="25">
                  <c:v>4.6046100000000001</c:v>
                </c:pt>
                <c:pt idx="26">
                  <c:v>4.6633899999999997</c:v>
                </c:pt>
                <c:pt idx="27">
                  <c:v>4.7153600000000004</c:v>
                </c:pt>
                <c:pt idx="28">
                  <c:v>4.76389</c:v>
                </c:pt>
                <c:pt idx="29">
                  <c:v>4.8105399999999996</c:v>
                </c:pt>
                <c:pt idx="30">
                  <c:v>4.8541400000000001</c:v>
                </c:pt>
                <c:pt idx="31">
                  <c:v>4.89419</c:v>
                </c:pt>
                <c:pt idx="32">
                  <c:v>4.9292100000000003</c:v>
                </c:pt>
                <c:pt idx="33">
                  <c:v>4.9589100000000004</c:v>
                </c:pt>
                <c:pt idx="34">
                  <c:v>4.9845600000000001</c:v>
                </c:pt>
                <c:pt idx="35">
                  <c:v>5.0103399999999993</c:v>
                </c:pt>
                <c:pt idx="36">
                  <c:v>5.0368999999999993</c:v>
                </c:pt>
                <c:pt idx="37">
                  <c:v>5.0627800000000001</c:v>
                </c:pt>
                <c:pt idx="38">
                  <c:v>5.0855099999999993</c:v>
                </c:pt>
                <c:pt idx="39">
                  <c:v>5.1055799999999998</c:v>
                </c:pt>
                <c:pt idx="40">
                  <c:v>5.1232999999999995</c:v>
                </c:pt>
                <c:pt idx="41">
                  <c:v>5.1403200000000009</c:v>
                </c:pt>
                <c:pt idx="42">
                  <c:v>5.1542600000000007</c:v>
                </c:pt>
                <c:pt idx="43">
                  <c:v>5.16554</c:v>
                </c:pt>
                <c:pt idx="44">
                  <c:v>5.1751400000000007</c:v>
                </c:pt>
                <c:pt idx="45">
                  <c:v>5.1842500000000005</c:v>
                </c:pt>
                <c:pt idx="46">
                  <c:v>5.1964100000000002</c:v>
                </c:pt>
                <c:pt idx="47">
                  <c:v>5.20655</c:v>
                </c:pt>
                <c:pt idx="48">
                  <c:v>5.2149299999999998</c:v>
                </c:pt>
                <c:pt idx="49">
                  <c:v>5.2230400000000001</c:v>
                </c:pt>
                <c:pt idx="50">
                  <c:v>5.2294200000000002</c:v>
                </c:pt>
                <c:pt idx="51">
                  <c:v>5.2396699999999994</c:v>
                </c:pt>
                <c:pt idx="52">
                  <c:v>5.2513699999999996</c:v>
                </c:pt>
                <c:pt idx="53">
                  <c:v>5.2613399999999997</c:v>
                </c:pt>
                <c:pt idx="54">
                  <c:v>5.2702400000000003</c:v>
                </c:pt>
                <c:pt idx="55">
                  <c:v>5.2795499999999995</c:v>
                </c:pt>
                <c:pt idx="56">
                  <c:v>5.2905899999999999</c:v>
                </c:pt>
                <c:pt idx="57">
                  <c:v>5.3018699999999992</c:v>
                </c:pt>
                <c:pt idx="58">
                  <c:v>5.3105100000000007</c:v>
                </c:pt>
                <c:pt idx="59">
                  <c:v>5.3157399999999999</c:v>
                </c:pt>
                <c:pt idx="60">
                  <c:v>5.3185700000000002</c:v>
                </c:pt>
                <c:pt idx="61">
                  <c:v>5.3180499999999995</c:v>
                </c:pt>
                <c:pt idx="62">
                  <c:v>5.3156999999999996</c:v>
                </c:pt>
                <c:pt idx="63">
                  <c:v>5.3136799999999997</c:v>
                </c:pt>
                <c:pt idx="64">
                  <c:v>5.3127899999999997</c:v>
                </c:pt>
                <c:pt idx="65">
                  <c:v>5.3088500000000005</c:v>
                </c:pt>
                <c:pt idx="66">
                  <c:v>5.3014899999999994</c:v>
                </c:pt>
                <c:pt idx="67">
                  <c:v>5.2927299999999997</c:v>
                </c:pt>
                <c:pt idx="68">
                  <c:v>5.2739700000000003</c:v>
                </c:pt>
                <c:pt idx="69">
                  <c:v>5.2645900000000001</c:v>
                </c:pt>
                <c:pt idx="70">
                  <c:v>5.246690000000001</c:v>
                </c:pt>
                <c:pt idx="71">
                  <c:v>5.2256899999999993</c:v>
                </c:pt>
                <c:pt idx="72">
                  <c:v>5.2055300000000004</c:v>
                </c:pt>
                <c:pt idx="73">
                  <c:v>5.1848299999999998</c:v>
                </c:pt>
                <c:pt idx="74">
                  <c:v>5.1648300000000003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30.041899999999998</c:v>
                </c:pt>
                <c:pt idx="1">
                  <c:v>30.616599999999998</c:v>
                </c:pt>
                <c:pt idx="2">
                  <c:v>30.9954</c:v>
                </c:pt>
                <c:pt idx="3">
                  <c:v>31.368400000000001</c:v>
                </c:pt>
                <c:pt idx="4">
                  <c:v>31.743400000000001</c:v>
                </c:pt>
                <c:pt idx="5">
                  <c:v>32.118600000000001</c:v>
                </c:pt>
                <c:pt idx="6">
                  <c:v>32.527299999999997</c:v>
                </c:pt>
                <c:pt idx="7">
                  <c:v>32.933300000000003</c:v>
                </c:pt>
                <c:pt idx="8">
                  <c:v>33.335099999999997</c:v>
                </c:pt>
                <c:pt idx="9">
                  <c:v>33.744999999999997</c:v>
                </c:pt>
                <c:pt idx="10">
                  <c:v>34.148099999999999</c:v>
                </c:pt>
                <c:pt idx="11">
                  <c:v>34.557899999999997</c:v>
                </c:pt>
                <c:pt idx="12">
                  <c:v>34.9651</c:v>
                </c:pt>
                <c:pt idx="13">
                  <c:v>35.366</c:v>
                </c:pt>
                <c:pt idx="14">
                  <c:v>35.773600000000002</c:v>
                </c:pt>
                <c:pt idx="15">
                  <c:v>36.181899999999999</c:v>
                </c:pt>
                <c:pt idx="16">
                  <c:v>36.5884</c:v>
                </c:pt>
                <c:pt idx="17">
                  <c:v>36.993400000000001</c:v>
                </c:pt>
                <c:pt idx="18">
                  <c:v>37.3994</c:v>
                </c:pt>
                <c:pt idx="19">
                  <c:v>37.805100000000003</c:v>
                </c:pt>
                <c:pt idx="20">
                  <c:v>38.212400000000002</c:v>
                </c:pt>
                <c:pt idx="21">
                  <c:v>38.619</c:v>
                </c:pt>
                <c:pt idx="22">
                  <c:v>39.019300000000001</c:v>
                </c:pt>
                <c:pt idx="23">
                  <c:v>39.432899999999997</c:v>
                </c:pt>
                <c:pt idx="24">
                  <c:v>39.837699999999998</c:v>
                </c:pt>
                <c:pt idx="25">
                  <c:v>40.241700000000002</c:v>
                </c:pt>
                <c:pt idx="26">
                  <c:v>40.651600000000002</c:v>
                </c:pt>
                <c:pt idx="27">
                  <c:v>41.055500000000002</c:v>
                </c:pt>
                <c:pt idx="28">
                  <c:v>41.464399999999998</c:v>
                </c:pt>
                <c:pt idx="29">
                  <c:v>41.8673</c:v>
                </c:pt>
                <c:pt idx="30">
                  <c:v>42.273200000000003</c:v>
                </c:pt>
                <c:pt idx="31">
                  <c:v>42.681199999999997</c:v>
                </c:pt>
                <c:pt idx="32">
                  <c:v>43.089100000000002</c:v>
                </c:pt>
                <c:pt idx="33">
                  <c:v>43.494999999999997</c:v>
                </c:pt>
                <c:pt idx="34">
                  <c:v>43.901899999999998</c:v>
                </c:pt>
                <c:pt idx="35">
                  <c:v>44.305900000000001</c:v>
                </c:pt>
                <c:pt idx="36">
                  <c:v>44.7089</c:v>
                </c:pt>
                <c:pt idx="37">
                  <c:v>45.120699999999999</c:v>
                </c:pt>
                <c:pt idx="38">
                  <c:v>45.525500000000001</c:v>
                </c:pt>
                <c:pt idx="39">
                  <c:v>45.9315</c:v>
                </c:pt>
                <c:pt idx="40">
                  <c:v>46.336500000000001</c:v>
                </c:pt>
                <c:pt idx="41">
                  <c:v>46.744399999999999</c:v>
                </c:pt>
                <c:pt idx="42">
                  <c:v>47.149299999999997</c:v>
                </c:pt>
                <c:pt idx="43">
                  <c:v>47.558500000000002</c:v>
                </c:pt>
                <c:pt idx="44">
                  <c:v>47.965200000000003</c:v>
                </c:pt>
                <c:pt idx="45">
                  <c:v>48.368899999999996</c:v>
                </c:pt>
                <c:pt idx="46">
                  <c:v>48.772100000000002</c:v>
                </c:pt>
                <c:pt idx="47">
                  <c:v>49.182099999999998</c:v>
                </c:pt>
                <c:pt idx="48">
                  <c:v>49.5867</c:v>
                </c:pt>
                <c:pt idx="49">
                  <c:v>49.992600000000003</c:v>
                </c:pt>
                <c:pt idx="50">
                  <c:v>50.399500000000003</c:v>
                </c:pt>
                <c:pt idx="51">
                  <c:v>50.805399999999999</c:v>
                </c:pt>
                <c:pt idx="52">
                  <c:v>51.211399999999998</c:v>
                </c:pt>
                <c:pt idx="53">
                  <c:v>51.619199999999999</c:v>
                </c:pt>
                <c:pt idx="54">
                  <c:v>52.025100000000002</c:v>
                </c:pt>
                <c:pt idx="55">
                  <c:v>52.432299999999998</c:v>
                </c:pt>
                <c:pt idx="56">
                  <c:v>52.835000000000001</c:v>
                </c:pt>
                <c:pt idx="57">
                  <c:v>53.243899999999996</c:v>
                </c:pt>
                <c:pt idx="58">
                  <c:v>53.649900000000002</c:v>
                </c:pt>
                <c:pt idx="59">
                  <c:v>54.054000000000002</c:v>
                </c:pt>
                <c:pt idx="60">
                  <c:v>54.4636</c:v>
                </c:pt>
                <c:pt idx="61">
                  <c:v>54.870600000000003</c:v>
                </c:pt>
                <c:pt idx="62">
                  <c:v>55.273400000000002</c:v>
                </c:pt>
                <c:pt idx="63">
                  <c:v>55.6813</c:v>
                </c:pt>
                <c:pt idx="64">
                  <c:v>56.084600000000002</c:v>
                </c:pt>
                <c:pt idx="65">
                  <c:v>56.495199999999997</c:v>
                </c:pt>
                <c:pt idx="66">
                  <c:v>56.898299999999999</c:v>
                </c:pt>
                <c:pt idx="67">
                  <c:v>57.308100000000003</c:v>
                </c:pt>
                <c:pt idx="68">
                  <c:v>57.713000000000001</c:v>
                </c:pt>
                <c:pt idx="69">
                  <c:v>58.118099999999998</c:v>
                </c:pt>
                <c:pt idx="70">
                  <c:v>58.522799999999997</c:v>
                </c:pt>
                <c:pt idx="71">
                  <c:v>58.932000000000002</c:v>
                </c:pt>
                <c:pt idx="72">
                  <c:v>59.339599999999997</c:v>
                </c:pt>
                <c:pt idx="73">
                  <c:v>59.7425</c:v>
                </c:pt>
                <c:pt idx="74">
                  <c:v>60.150700000000001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5.1648300000000003</c:v>
                </c:pt>
                <c:pt idx="1">
                  <c:v>5.1405900000000004</c:v>
                </c:pt>
                <c:pt idx="2">
                  <c:v>5.1217699999999997</c:v>
                </c:pt>
                <c:pt idx="3">
                  <c:v>5.1028399999999996</c:v>
                </c:pt>
                <c:pt idx="4">
                  <c:v>5.0831599999999995</c:v>
                </c:pt>
                <c:pt idx="5">
                  <c:v>5.0615299999999994</c:v>
                </c:pt>
                <c:pt idx="6">
                  <c:v>5.0362300000000007</c:v>
                </c:pt>
                <c:pt idx="7">
                  <c:v>5.0114099999999997</c:v>
                </c:pt>
                <c:pt idx="8">
                  <c:v>4.9885099999999998</c:v>
                </c:pt>
                <c:pt idx="9">
                  <c:v>4.9686599999999999</c:v>
                </c:pt>
                <c:pt idx="10">
                  <c:v>4.9474400000000003</c:v>
                </c:pt>
                <c:pt idx="11">
                  <c:v>4.9243600000000001</c:v>
                </c:pt>
                <c:pt idx="12">
                  <c:v>4.8989799999999999</c:v>
                </c:pt>
                <c:pt idx="13">
                  <c:v>4.8708499999999999</c:v>
                </c:pt>
                <c:pt idx="14">
                  <c:v>4.8382699999999996</c:v>
                </c:pt>
                <c:pt idx="15">
                  <c:v>4.80274</c:v>
                </c:pt>
                <c:pt idx="16">
                  <c:v>4.7693000000000003</c:v>
                </c:pt>
                <c:pt idx="17">
                  <c:v>4.7369399999999997</c:v>
                </c:pt>
                <c:pt idx="18">
                  <c:v>4.7103200000000003</c:v>
                </c:pt>
                <c:pt idx="19">
                  <c:v>4.6873800000000001</c:v>
                </c:pt>
                <c:pt idx="20">
                  <c:v>4.6694599999999999</c:v>
                </c:pt>
                <c:pt idx="21">
                  <c:v>4.6554400000000005</c:v>
                </c:pt>
                <c:pt idx="22">
                  <c:v>4.6428799999999999</c:v>
                </c:pt>
                <c:pt idx="23">
                  <c:v>4.6361499999999998</c:v>
                </c:pt>
                <c:pt idx="24">
                  <c:v>4.6307999999999998</c:v>
                </c:pt>
                <c:pt idx="25">
                  <c:v>4.6221899999999998</c:v>
                </c:pt>
                <c:pt idx="26">
                  <c:v>4.6100099999999999</c:v>
                </c:pt>
                <c:pt idx="27">
                  <c:v>4.5965699999999998</c:v>
                </c:pt>
                <c:pt idx="28">
                  <c:v>4.5814700000000004</c:v>
                </c:pt>
                <c:pt idx="29">
                  <c:v>4.5631599999999999</c:v>
                </c:pt>
                <c:pt idx="30">
                  <c:v>4.5469499999999998</c:v>
                </c:pt>
                <c:pt idx="31">
                  <c:v>4.5308999999999999</c:v>
                </c:pt>
                <c:pt idx="32">
                  <c:v>4.5151200000000005</c:v>
                </c:pt>
                <c:pt idx="33">
                  <c:v>4.50054</c:v>
                </c:pt>
                <c:pt idx="34">
                  <c:v>4.4908700000000001</c:v>
                </c:pt>
                <c:pt idx="35">
                  <c:v>4.4870400000000004</c:v>
                </c:pt>
                <c:pt idx="36">
                  <c:v>4.4884899999999996</c:v>
                </c:pt>
                <c:pt idx="37">
                  <c:v>4.4973900000000002</c:v>
                </c:pt>
                <c:pt idx="38">
                  <c:v>4.5127100000000002</c:v>
                </c:pt>
                <c:pt idx="39">
                  <c:v>4.5271099999999995</c:v>
                </c:pt>
                <c:pt idx="40">
                  <c:v>4.5455899999999998</c:v>
                </c:pt>
                <c:pt idx="41">
                  <c:v>4.5647599999999997</c:v>
                </c:pt>
                <c:pt idx="42">
                  <c:v>4.5840100000000001</c:v>
                </c:pt>
                <c:pt idx="43">
                  <c:v>4.6019700000000006</c:v>
                </c:pt>
                <c:pt idx="44">
                  <c:v>4.6193800000000005</c:v>
                </c:pt>
                <c:pt idx="45">
                  <c:v>4.6359300000000001</c:v>
                </c:pt>
                <c:pt idx="46">
                  <c:v>4.6503100000000002</c:v>
                </c:pt>
                <c:pt idx="47">
                  <c:v>4.6603599999999998</c:v>
                </c:pt>
                <c:pt idx="48">
                  <c:v>4.6659600000000001</c:v>
                </c:pt>
                <c:pt idx="49">
                  <c:v>4.6707400000000003</c:v>
                </c:pt>
                <c:pt idx="50">
                  <c:v>4.6752099999999999</c:v>
                </c:pt>
                <c:pt idx="51">
                  <c:v>4.6808199999999998</c:v>
                </c:pt>
                <c:pt idx="52">
                  <c:v>4.6883400000000002</c:v>
                </c:pt>
                <c:pt idx="53">
                  <c:v>4.6987399999999999</c:v>
                </c:pt>
                <c:pt idx="54">
                  <c:v>4.7138499999999999</c:v>
                </c:pt>
                <c:pt idx="55">
                  <c:v>4.7300700000000004</c:v>
                </c:pt>
                <c:pt idx="56">
                  <c:v>4.7477</c:v>
                </c:pt>
                <c:pt idx="57">
                  <c:v>4.7650399999999999</c:v>
                </c:pt>
                <c:pt idx="58">
                  <c:v>4.7808400000000004</c:v>
                </c:pt>
                <c:pt idx="59">
                  <c:v>4.7938799999999997</c:v>
                </c:pt>
                <c:pt idx="60">
                  <c:v>4.8035099999999993</c:v>
                </c:pt>
                <c:pt idx="61">
                  <c:v>4.8097399999999997</c:v>
                </c:pt>
                <c:pt idx="62">
                  <c:v>4.8099100000000004</c:v>
                </c:pt>
                <c:pt idx="63">
                  <c:v>4.8051399999999997</c:v>
                </c:pt>
                <c:pt idx="64">
                  <c:v>4.8034100000000004</c:v>
                </c:pt>
                <c:pt idx="65">
                  <c:v>4.7986899999999997</c:v>
                </c:pt>
                <c:pt idx="66">
                  <c:v>4.7946299999999997</c:v>
                </c:pt>
                <c:pt idx="67">
                  <c:v>4.7897400000000001</c:v>
                </c:pt>
                <c:pt idx="68">
                  <c:v>4.7844600000000002</c:v>
                </c:pt>
                <c:pt idx="69">
                  <c:v>4.7778599999999996</c:v>
                </c:pt>
                <c:pt idx="70">
                  <c:v>4.7641600000000004</c:v>
                </c:pt>
                <c:pt idx="71">
                  <c:v>4.7482199999999999</c:v>
                </c:pt>
                <c:pt idx="72">
                  <c:v>4.7371099999999995</c:v>
                </c:pt>
                <c:pt idx="73">
                  <c:v>4.7360600000000002</c:v>
                </c:pt>
                <c:pt idx="74">
                  <c:v>4.7350300000000001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15.037675</c:v>
                </c:pt>
                <c:pt idx="1">
                  <c:v>45.113025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4.6069917567567584</c:v>
                </c:pt>
                <c:pt idx="1">
                  <c:v>4.7379391891891869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0.38425799999999999</c:v>
                </c:pt>
                <c:pt idx="2">
                  <c:v>0.79216799999999998</c:v>
                </c:pt>
                <c:pt idx="3">
                  <c:v>1.1972100000000001</c:v>
                </c:pt>
                <c:pt idx="4">
                  <c:v>1.6009599999999999</c:v>
                </c:pt>
                <c:pt idx="5">
                  <c:v>2.0089399999999999</c:v>
                </c:pt>
                <c:pt idx="6">
                  <c:v>2.4127700000000001</c:v>
                </c:pt>
                <c:pt idx="7">
                  <c:v>2.8197199999999998</c:v>
                </c:pt>
                <c:pt idx="8">
                  <c:v>3.2276799999999999</c:v>
                </c:pt>
                <c:pt idx="9">
                  <c:v>3.6366299999999998</c:v>
                </c:pt>
                <c:pt idx="10">
                  <c:v>4.0414399999999997</c:v>
                </c:pt>
                <c:pt idx="11">
                  <c:v>4.4465500000000002</c:v>
                </c:pt>
                <c:pt idx="12">
                  <c:v>4.8513000000000002</c:v>
                </c:pt>
                <c:pt idx="13">
                  <c:v>5.2612300000000003</c:v>
                </c:pt>
                <c:pt idx="14">
                  <c:v>5.6691099999999999</c:v>
                </c:pt>
                <c:pt idx="15">
                  <c:v>6.0730300000000002</c:v>
                </c:pt>
                <c:pt idx="16">
                  <c:v>6.4779600000000004</c:v>
                </c:pt>
                <c:pt idx="17">
                  <c:v>6.8822099999999997</c:v>
                </c:pt>
                <c:pt idx="18">
                  <c:v>7.28796</c:v>
                </c:pt>
                <c:pt idx="19">
                  <c:v>7.6976899999999997</c:v>
                </c:pt>
                <c:pt idx="20">
                  <c:v>8.1006699999999991</c:v>
                </c:pt>
                <c:pt idx="21">
                  <c:v>8.5094999999999992</c:v>
                </c:pt>
                <c:pt idx="22">
                  <c:v>8.9144400000000008</c:v>
                </c:pt>
                <c:pt idx="23">
                  <c:v>9.3223500000000001</c:v>
                </c:pt>
                <c:pt idx="24">
                  <c:v>9.7257800000000003</c:v>
                </c:pt>
                <c:pt idx="25">
                  <c:v>10.1328</c:v>
                </c:pt>
                <c:pt idx="26">
                  <c:v>10.542999999999999</c:v>
                </c:pt>
                <c:pt idx="27">
                  <c:v>10.945</c:v>
                </c:pt>
                <c:pt idx="28">
                  <c:v>11.354900000000001</c:v>
                </c:pt>
                <c:pt idx="29">
                  <c:v>11.7578</c:v>
                </c:pt>
                <c:pt idx="30">
                  <c:v>12.164899999999999</c:v>
                </c:pt>
                <c:pt idx="31">
                  <c:v>12.573600000000001</c:v>
                </c:pt>
                <c:pt idx="32">
                  <c:v>12.9755</c:v>
                </c:pt>
                <c:pt idx="33">
                  <c:v>13.383900000000001</c:v>
                </c:pt>
                <c:pt idx="34">
                  <c:v>13.788399999999999</c:v>
                </c:pt>
                <c:pt idx="35">
                  <c:v>14.198499999999999</c:v>
                </c:pt>
                <c:pt idx="36">
                  <c:v>14.600199999999999</c:v>
                </c:pt>
                <c:pt idx="37">
                  <c:v>15.0091</c:v>
                </c:pt>
                <c:pt idx="38">
                  <c:v>15.414199999999999</c:v>
                </c:pt>
                <c:pt idx="39">
                  <c:v>15.8209</c:v>
                </c:pt>
                <c:pt idx="40">
                  <c:v>16.229900000000001</c:v>
                </c:pt>
                <c:pt idx="41">
                  <c:v>16.634799999999998</c:v>
                </c:pt>
                <c:pt idx="42">
                  <c:v>17.040700000000001</c:v>
                </c:pt>
                <c:pt idx="43">
                  <c:v>17.447700000000001</c:v>
                </c:pt>
                <c:pt idx="44">
                  <c:v>17.8566</c:v>
                </c:pt>
                <c:pt idx="45">
                  <c:v>18.261399999999998</c:v>
                </c:pt>
                <c:pt idx="46">
                  <c:v>18.6694</c:v>
                </c:pt>
                <c:pt idx="47">
                  <c:v>19.067599999999999</c:v>
                </c:pt>
                <c:pt idx="48">
                  <c:v>19.477399999999999</c:v>
                </c:pt>
                <c:pt idx="49">
                  <c:v>19.885000000000002</c:v>
                </c:pt>
                <c:pt idx="50">
                  <c:v>20.290900000000001</c:v>
                </c:pt>
                <c:pt idx="51">
                  <c:v>20.697900000000001</c:v>
                </c:pt>
                <c:pt idx="52">
                  <c:v>21.104399999999998</c:v>
                </c:pt>
                <c:pt idx="53">
                  <c:v>21.5077</c:v>
                </c:pt>
                <c:pt idx="54">
                  <c:v>21.9146</c:v>
                </c:pt>
                <c:pt idx="55">
                  <c:v>22.323499999999999</c:v>
                </c:pt>
                <c:pt idx="56">
                  <c:v>22.7285</c:v>
                </c:pt>
                <c:pt idx="57">
                  <c:v>23.1325</c:v>
                </c:pt>
                <c:pt idx="58">
                  <c:v>23.539400000000001</c:v>
                </c:pt>
                <c:pt idx="59">
                  <c:v>23.9452</c:v>
                </c:pt>
                <c:pt idx="60">
                  <c:v>24.3552</c:v>
                </c:pt>
                <c:pt idx="61">
                  <c:v>24.757100000000001</c:v>
                </c:pt>
                <c:pt idx="62">
                  <c:v>25.165299999999998</c:v>
                </c:pt>
                <c:pt idx="63">
                  <c:v>25.570900000000002</c:v>
                </c:pt>
                <c:pt idx="64">
                  <c:v>25.976099999999999</c:v>
                </c:pt>
                <c:pt idx="65">
                  <c:v>26.386800000000001</c:v>
                </c:pt>
                <c:pt idx="66">
                  <c:v>26.790600000000001</c:v>
                </c:pt>
                <c:pt idx="67">
                  <c:v>27.197500000000002</c:v>
                </c:pt>
                <c:pt idx="68">
                  <c:v>27.604600000000001</c:v>
                </c:pt>
                <c:pt idx="69">
                  <c:v>28.007400000000001</c:v>
                </c:pt>
                <c:pt idx="70">
                  <c:v>28.4133</c:v>
                </c:pt>
                <c:pt idx="71">
                  <c:v>28.821400000000001</c:v>
                </c:pt>
                <c:pt idx="72">
                  <c:v>29.228100000000001</c:v>
                </c:pt>
                <c:pt idx="73">
                  <c:v>29.6311</c:v>
                </c:pt>
                <c:pt idx="74">
                  <c:v>30.041899999999998</c:v>
                </c:pt>
                <c:pt idx="75">
                  <c:v>30.616599999999998</c:v>
                </c:pt>
                <c:pt idx="76">
                  <c:v>30.9954</c:v>
                </c:pt>
                <c:pt idx="77">
                  <c:v>31.368400000000001</c:v>
                </c:pt>
                <c:pt idx="78">
                  <c:v>31.743400000000001</c:v>
                </c:pt>
                <c:pt idx="79">
                  <c:v>32.118600000000001</c:v>
                </c:pt>
                <c:pt idx="80">
                  <c:v>32.527299999999997</c:v>
                </c:pt>
                <c:pt idx="81">
                  <c:v>32.933300000000003</c:v>
                </c:pt>
                <c:pt idx="82">
                  <c:v>33.335099999999997</c:v>
                </c:pt>
                <c:pt idx="83">
                  <c:v>33.744999999999997</c:v>
                </c:pt>
                <c:pt idx="84">
                  <c:v>34.148099999999999</c:v>
                </c:pt>
                <c:pt idx="85">
                  <c:v>34.557899999999997</c:v>
                </c:pt>
                <c:pt idx="86">
                  <c:v>34.9651</c:v>
                </c:pt>
                <c:pt idx="87">
                  <c:v>35.366</c:v>
                </c:pt>
                <c:pt idx="88">
                  <c:v>35.773600000000002</c:v>
                </c:pt>
                <c:pt idx="89">
                  <c:v>36.181899999999999</c:v>
                </c:pt>
                <c:pt idx="90">
                  <c:v>36.5884</c:v>
                </c:pt>
                <c:pt idx="91">
                  <c:v>36.993400000000001</c:v>
                </c:pt>
                <c:pt idx="92">
                  <c:v>37.3994</c:v>
                </c:pt>
                <c:pt idx="93">
                  <c:v>37.805100000000003</c:v>
                </c:pt>
                <c:pt idx="94">
                  <c:v>38.212400000000002</c:v>
                </c:pt>
                <c:pt idx="95">
                  <c:v>38.619</c:v>
                </c:pt>
                <c:pt idx="96">
                  <c:v>39.019300000000001</c:v>
                </c:pt>
                <c:pt idx="97">
                  <c:v>39.432899999999997</c:v>
                </c:pt>
                <c:pt idx="98">
                  <c:v>39.837699999999998</c:v>
                </c:pt>
                <c:pt idx="99">
                  <c:v>40.241700000000002</c:v>
                </c:pt>
                <c:pt idx="100">
                  <c:v>40.651600000000002</c:v>
                </c:pt>
                <c:pt idx="101">
                  <c:v>41.055500000000002</c:v>
                </c:pt>
                <c:pt idx="102">
                  <c:v>41.464399999999998</c:v>
                </c:pt>
                <c:pt idx="103">
                  <c:v>41.8673</c:v>
                </c:pt>
                <c:pt idx="104">
                  <c:v>42.273200000000003</c:v>
                </c:pt>
                <c:pt idx="105">
                  <c:v>42.681199999999997</c:v>
                </c:pt>
                <c:pt idx="106">
                  <c:v>43.089100000000002</c:v>
                </c:pt>
                <c:pt idx="107">
                  <c:v>43.494999999999997</c:v>
                </c:pt>
                <c:pt idx="108">
                  <c:v>43.901899999999998</c:v>
                </c:pt>
                <c:pt idx="109">
                  <c:v>44.305900000000001</c:v>
                </c:pt>
                <c:pt idx="110">
                  <c:v>44.7089</c:v>
                </c:pt>
                <c:pt idx="111">
                  <c:v>45.120699999999999</c:v>
                </c:pt>
                <c:pt idx="112">
                  <c:v>45.525500000000001</c:v>
                </c:pt>
                <c:pt idx="113">
                  <c:v>45.9315</c:v>
                </c:pt>
                <c:pt idx="114">
                  <c:v>46.336500000000001</c:v>
                </c:pt>
                <c:pt idx="115">
                  <c:v>46.744399999999999</c:v>
                </c:pt>
                <c:pt idx="116">
                  <c:v>47.149299999999997</c:v>
                </c:pt>
                <c:pt idx="117">
                  <c:v>47.558500000000002</c:v>
                </c:pt>
                <c:pt idx="118">
                  <c:v>47.965200000000003</c:v>
                </c:pt>
                <c:pt idx="119">
                  <c:v>48.368899999999996</c:v>
                </c:pt>
                <c:pt idx="120">
                  <c:v>48.772100000000002</c:v>
                </c:pt>
                <c:pt idx="121">
                  <c:v>49.182099999999998</c:v>
                </c:pt>
                <c:pt idx="122">
                  <c:v>49.5867</c:v>
                </c:pt>
                <c:pt idx="123">
                  <c:v>49.992600000000003</c:v>
                </c:pt>
                <c:pt idx="124">
                  <c:v>50.399500000000003</c:v>
                </c:pt>
                <c:pt idx="125">
                  <c:v>50.805399999999999</c:v>
                </c:pt>
                <c:pt idx="126">
                  <c:v>51.211399999999998</c:v>
                </c:pt>
                <c:pt idx="127">
                  <c:v>51.619199999999999</c:v>
                </c:pt>
                <c:pt idx="128">
                  <c:v>52.025100000000002</c:v>
                </c:pt>
                <c:pt idx="129">
                  <c:v>52.432299999999998</c:v>
                </c:pt>
                <c:pt idx="130">
                  <c:v>52.835000000000001</c:v>
                </c:pt>
                <c:pt idx="131">
                  <c:v>53.243899999999996</c:v>
                </c:pt>
                <c:pt idx="132">
                  <c:v>53.649900000000002</c:v>
                </c:pt>
                <c:pt idx="133">
                  <c:v>54.054000000000002</c:v>
                </c:pt>
                <c:pt idx="134">
                  <c:v>54.4636</c:v>
                </c:pt>
                <c:pt idx="135">
                  <c:v>54.870600000000003</c:v>
                </c:pt>
                <c:pt idx="136">
                  <c:v>55.273400000000002</c:v>
                </c:pt>
                <c:pt idx="137">
                  <c:v>55.6813</c:v>
                </c:pt>
                <c:pt idx="138">
                  <c:v>56.084600000000002</c:v>
                </c:pt>
                <c:pt idx="139">
                  <c:v>56.495199999999997</c:v>
                </c:pt>
                <c:pt idx="140">
                  <c:v>56.898299999999999</c:v>
                </c:pt>
                <c:pt idx="141">
                  <c:v>57.308100000000003</c:v>
                </c:pt>
                <c:pt idx="142">
                  <c:v>57.713000000000001</c:v>
                </c:pt>
                <c:pt idx="143">
                  <c:v>58.118099999999998</c:v>
                </c:pt>
                <c:pt idx="144">
                  <c:v>58.522799999999997</c:v>
                </c:pt>
                <c:pt idx="145">
                  <c:v>58.932000000000002</c:v>
                </c:pt>
                <c:pt idx="146">
                  <c:v>59.339599999999997</c:v>
                </c:pt>
                <c:pt idx="147">
                  <c:v>59.7425</c:v>
                </c:pt>
                <c:pt idx="148">
                  <c:v>60.150700000000001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58.475999999999992</c:v>
                </c:pt>
                <c:pt idx="1">
                  <c:v>57.901599999999995</c:v>
                </c:pt>
                <c:pt idx="2">
                  <c:v>57.151499999999999</c:v>
                </c:pt>
                <c:pt idx="3">
                  <c:v>56.1419</c:v>
                </c:pt>
                <c:pt idx="4">
                  <c:v>55.0762</c:v>
                </c:pt>
                <c:pt idx="5">
                  <c:v>54.004200000000004</c:v>
                </c:pt>
                <c:pt idx="6">
                  <c:v>52.924800000000005</c:v>
                </c:pt>
                <c:pt idx="7">
                  <c:v>51.767200000000003</c:v>
                </c:pt>
                <c:pt idx="8">
                  <c:v>50.381699999999995</c:v>
                </c:pt>
                <c:pt idx="9">
                  <c:v>48.859700000000004</c:v>
                </c:pt>
                <c:pt idx="10">
                  <c:v>47.437899999999999</c:v>
                </c:pt>
                <c:pt idx="11">
                  <c:v>46.1614</c:v>
                </c:pt>
                <c:pt idx="12">
                  <c:v>44.959299999999999</c:v>
                </c:pt>
                <c:pt idx="13">
                  <c:v>43.796700000000001</c:v>
                </c:pt>
                <c:pt idx="14">
                  <c:v>42.595100000000002</c:v>
                </c:pt>
                <c:pt idx="15">
                  <c:v>41.5182</c:v>
                </c:pt>
                <c:pt idx="16">
                  <c:v>40.594000000000001</c:v>
                </c:pt>
                <c:pt idx="17">
                  <c:v>39.748400000000004</c:v>
                </c:pt>
                <c:pt idx="18">
                  <c:v>38.905000000000001</c:v>
                </c:pt>
                <c:pt idx="19">
                  <c:v>38.152099999999997</c:v>
                </c:pt>
                <c:pt idx="20">
                  <c:v>37.613799999999998</c:v>
                </c:pt>
                <c:pt idx="21">
                  <c:v>37.378499999999995</c:v>
                </c:pt>
                <c:pt idx="22">
                  <c:v>37.297999999999995</c:v>
                </c:pt>
                <c:pt idx="23">
                  <c:v>37.331199999999995</c:v>
                </c:pt>
                <c:pt idx="24">
                  <c:v>37.4039</c:v>
                </c:pt>
                <c:pt idx="25">
                  <c:v>37.492999999999995</c:v>
                </c:pt>
                <c:pt idx="26">
                  <c:v>37.650700000000001</c:v>
                </c:pt>
                <c:pt idx="27">
                  <c:v>37.816400000000002</c:v>
                </c:pt>
                <c:pt idx="28">
                  <c:v>37.960799999999999</c:v>
                </c:pt>
                <c:pt idx="29">
                  <c:v>38.091200000000001</c:v>
                </c:pt>
                <c:pt idx="30">
                  <c:v>38.188600000000001</c:v>
                </c:pt>
                <c:pt idx="31">
                  <c:v>38.214799999999997</c:v>
                </c:pt>
                <c:pt idx="32">
                  <c:v>38.159700000000001</c:v>
                </c:pt>
                <c:pt idx="33">
                  <c:v>38.010100000000001</c:v>
                </c:pt>
                <c:pt idx="34">
                  <c:v>37.759100000000004</c:v>
                </c:pt>
                <c:pt idx="35">
                  <c:v>37.448</c:v>
                </c:pt>
                <c:pt idx="36">
                  <c:v>37.0929</c:v>
                </c:pt>
                <c:pt idx="37">
                  <c:v>36.759300000000003</c:v>
                </c:pt>
                <c:pt idx="38">
                  <c:v>36.457899999999995</c:v>
                </c:pt>
                <c:pt idx="39">
                  <c:v>36.160899999999998</c:v>
                </c:pt>
                <c:pt idx="40">
                  <c:v>35.786900000000003</c:v>
                </c:pt>
                <c:pt idx="41">
                  <c:v>35.322900000000004</c:v>
                </c:pt>
                <c:pt idx="42">
                  <c:v>34.811700000000002</c:v>
                </c:pt>
                <c:pt idx="43">
                  <c:v>34.293199999999999</c:v>
                </c:pt>
                <c:pt idx="44">
                  <c:v>33.795999999999999</c:v>
                </c:pt>
                <c:pt idx="45">
                  <c:v>33.330199999999998</c:v>
                </c:pt>
                <c:pt idx="46">
                  <c:v>32.833199999999998</c:v>
                </c:pt>
                <c:pt idx="47">
                  <c:v>32.345500000000001</c:v>
                </c:pt>
                <c:pt idx="48">
                  <c:v>31.837399999999999</c:v>
                </c:pt>
                <c:pt idx="49">
                  <c:v>31.350699999999996</c:v>
                </c:pt>
                <c:pt idx="50">
                  <c:v>30.998799999999999</c:v>
                </c:pt>
                <c:pt idx="51">
                  <c:v>30.646600000000003</c:v>
                </c:pt>
                <c:pt idx="52">
                  <c:v>30.384800000000002</c:v>
                </c:pt>
                <c:pt idx="53">
                  <c:v>30.127800000000001</c:v>
                </c:pt>
                <c:pt idx="54">
                  <c:v>29.845800000000001</c:v>
                </c:pt>
                <c:pt idx="55">
                  <c:v>29.498999999999999</c:v>
                </c:pt>
                <c:pt idx="56">
                  <c:v>29.141299999999998</c:v>
                </c:pt>
                <c:pt idx="57">
                  <c:v>28.8337</c:v>
                </c:pt>
                <c:pt idx="58">
                  <c:v>28.565200000000001</c:v>
                </c:pt>
                <c:pt idx="59">
                  <c:v>28.366700000000002</c:v>
                </c:pt>
                <c:pt idx="60">
                  <c:v>28.242299999999997</c:v>
                </c:pt>
                <c:pt idx="61">
                  <c:v>28.150300000000001</c:v>
                </c:pt>
                <c:pt idx="62">
                  <c:v>28.0688</c:v>
                </c:pt>
                <c:pt idx="63">
                  <c:v>27.9833</c:v>
                </c:pt>
                <c:pt idx="64">
                  <c:v>27.857199999999999</c:v>
                </c:pt>
                <c:pt idx="65">
                  <c:v>27.734100000000002</c:v>
                </c:pt>
                <c:pt idx="66">
                  <c:v>27.616200000000003</c:v>
                </c:pt>
                <c:pt idx="67">
                  <c:v>27.537099999999999</c:v>
                </c:pt>
                <c:pt idx="68">
                  <c:v>27.494200000000003</c:v>
                </c:pt>
                <c:pt idx="69">
                  <c:v>27.505499999999998</c:v>
                </c:pt>
                <c:pt idx="70">
                  <c:v>27.468999999999998</c:v>
                </c:pt>
                <c:pt idx="71">
                  <c:v>27.4758</c:v>
                </c:pt>
                <c:pt idx="72">
                  <c:v>27.476800000000001</c:v>
                </c:pt>
                <c:pt idx="73">
                  <c:v>27.472300000000001</c:v>
                </c:pt>
                <c:pt idx="74">
                  <c:v>27.491900000000001</c:v>
                </c:pt>
                <c:pt idx="75">
                  <c:v>27.4848</c:v>
                </c:pt>
                <c:pt idx="76">
                  <c:v>27.422400000000003</c:v>
                </c:pt>
                <c:pt idx="77">
                  <c:v>27.347300000000001</c:v>
                </c:pt>
                <c:pt idx="78">
                  <c:v>27.2803</c:v>
                </c:pt>
                <c:pt idx="79">
                  <c:v>27.272800000000004</c:v>
                </c:pt>
                <c:pt idx="80">
                  <c:v>27.332099999999997</c:v>
                </c:pt>
                <c:pt idx="81">
                  <c:v>27.393699999999999</c:v>
                </c:pt>
                <c:pt idx="82">
                  <c:v>27.4663</c:v>
                </c:pt>
                <c:pt idx="83">
                  <c:v>27.4312</c:v>
                </c:pt>
                <c:pt idx="84">
                  <c:v>27.403899999999997</c:v>
                </c:pt>
                <c:pt idx="85">
                  <c:v>27.3963</c:v>
                </c:pt>
                <c:pt idx="86">
                  <c:v>27.396700000000003</c:v>
                </c:pt>
                <c:pt idx="87">
                  <c:v>27.374300000000002</c:v>
                </c:pt>
                <c:pt idx="88">
                  <c:v>27.458300000000001</c:v>
                </c:pt>
                <c:pt idx="89">
                  <c:v>27.5885</c:v>
                </c:pt>
                <c:pt idx="90">
                  <c:v>27.707799999999999</c:v>
                </c:pt>
                <c:pt idx="91">
                  <c:v>27.828199999999999</c:v>
                </c:pt>
                <c:pt idx="92">
                  <c:v>27.871400000000001</c:v>
                </c:pt>
                <c:pt idx="93">
                  <c:v>27.807199999999998</c:v>
                </c:pt>
                <c:pt idx="94">
                  <c:v>27.706099999999999</c:v>
                </c:pt>
                <c:pt idx="95">
                  <c:v>27.6098</c:v>
                </c:pt>
                <c:pt idx="96">
                  <c:v>27.548099999999998</c:v>
                </c:pt>
                <c:pt idx="97">
                  <c:v>27.570099999999996</c:v>
                </c:pt>
                <c:pt idx="98">
                  <c:v>27.6374</c:v>
                </c:pt>
                <c:pt idx="99">
                  <c:v>27.750299999999999</c:v>
                </c:pt>
                <c:pt idx="100">
                  <c:v>27.900799999999997</c:v>
                </c:pt>
                <c:pt idx="101">
                  <c:v>28.114099999999997</c:v>
                </c:pt>
                <c:pt idx="102">
                  <c:v>28.344899999999999</c:v>
                </c:pt>
                <c:pt idx="103">
                  <c:v>28.631899999999998</c:v>
                </c:pt>
                <c:pt idx="104">
                  <c:v>28.959299999999999</c:v>
                </c:pt>
                <c:pt idx="105">
                  <c:v>29.367799999999999</c:v>
                </c:pt>
                <c:pt idx="106">
                  <c:v>29.852800000000002</c:v>
                </c:pt>
                <c:pt idx="107">
                  <c:v>30.364000000000001</c:v>
                </c:pt>
                <c:pt idx="108">
                  <c:v>30.808999999999997</c:v>
                </c:pt>
                <c:pt idx="109">
                  <c:v>31.152899999999999</c:v>
                </c:pt>
                <c:pt idx="110">
                  <c:v>31.408199999999997</c:v>
                </c:pt>
                <c:pt idx="111">
                  <c:v>31.519100000000002</c:v>
                </c:pt>
                <c:pt idx="112">
                  <c:v>31.521900000000002</c:v>
                </c:pt>
                <c:pt idx="113">
                  <c:v>31.554700000000004</c:v>
                </c:pt>
                <c:pt idx="114">
                  <c:v>31.555899999999998</c:v>
                </c:pt>
                <c:pt idx="115">
                  <c:v>31.5654</c:v>
                </c:pt>
                <c:pt idx="116">
                  <c:v>31.625599999999999</c:v>
                </c:pt>
                <c:pt idx="117">
                  <c:v>31.7851</c:v>
                </c:pt>
                <c:pt idx="118">
                  <c:v>31.968900000000001</c:v>
                </c:pt>
                <c:pt idx="119">
                  <c:v>32.138100000000001</c:v>
                </c:pt>
                <c:pt idx="120">
                  <c:v>32.308100000000003</c:v>
                </c:pt>
                <c:pt idx="121">
                  <c:v>32.475500000000004</c:v>
                </c:pt>
                <c:pt idx="122">
                  <c:v>32.633000000000003</c:v>
                </c:pt>
                <c:pt idx="123">
                  <c:v>32.803800000000003</c:v>
                </c:pt>
                <c:pt idx="124">
                  <c:v>32.906800000000004</c:v>
                </c:pt>
                <c:pt idx="125">
                  <c:v>32.939299999999996</c:v>
                </c:pt>
                <c:pt idx="126">
                  <c:v>32.946199999999997</c:v>
                </c:pt>
                <c:pt idx="127">
                  <c:v>32.959500000000006</c:v>
                </c:pt>
                <c:pt idx="128">
                  <c:v>32.958300000000001</c:v>
                </c:pt>
                <c:pt idx="129">
                  <c:v>32.930300000000003</c:v>
                </c:pt>
                <c:pt idx="130">
                  <c:v>32.900400000000005</c:v>
                </c:pt>
                <c:pt idx="131">
                  <c:v>32.862200000000001</c:v>
                </c:pt>
                <c:pt idx="132">
                  <c:v>32.825199999999995</c:v>
                </c:pt>
                <c:pt idx="133">
                  <c:v>32.834699999999998</c:v>
                </c:pt>
                <c:pt idx="134">
                  <c:v>32.830799999999996</c:v>
                </c:pt>
                <c:pt idx="135">
                  <c:v>32.807099999999998</c:v>
                </c:pt>
                <c:pt idx="136">
                  <c:v>32.849899999999998</c:v>
                </c:pt>
                <c:pt idx="137">
                  <c:v>32.987300000000005</c:v>
                </c:pt>
                <c:pt idx="138">
                  <c:v>33.097500000000004</c:v>
                </c:pt>
                <c:pt idx="139">
                  <c:v>33.298100000000005</c:v>
                </c:pt>
                <c:pt idx="140">
                  <c:v>33.553600000000003</c:v>
                </c:pt>
                <c:pt idx="141">
                  <c:v>33.785800000000002</c:v>
                </c:pt>
                <c:pt idx="142">
                  <c:v>33.948499999999996</c:v>
                </c:pt>
                <c:pt idx="143">
                  <c:v>34.081000000000003</c:v>
                </c:pt>
                <c:pt idx="144">
                  <c:v>34.350700000000003</c:v>
                </c:pt>
                <c:pt idx="145">
                  <c:v>34.667099999999998</c:v>
                </c:pt>
                <c:pt idx="146">
                  <c:v>35.157699999999998</c:v>
                </c:pt>
                <c:pt idx="147">
                  <c:v>35.576099999999997</c:v>
                </c:pt>
                <c:pt idx="148">
                  <c:v>36.082599999999999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0.38425799999999999</c:v>
                </c:pt>
                <c:pt idx="2">
                  <c:v>0.79216799999999998</c:v>
                </c:pt>
                <c:pt idx="3">
                  <c:v>1.1972100000000001</c:v>
                </c:pt>
                <c:pt idx="4">
                  <c:v>1.6009599999999999</c:v>
                </c:pt>
                <c:pt idx="5">
                  <c:v>2.0089399999999999</c:v>
                </c:pt>
                <c:pt idx="6">
                  <c:v>2.4127700000000001</c:v>
                </c:pt>
                <c:pt idx="7">
                  <c:v>2.8197199999999998</c:v>
                </c:pt>
                <c:pt idx="8">
                  <c:v>3.2276799999999999</c:v>
                </c:pt>
                <c:pt idx="9">
                  <c:v>3.6366299999999998</c:v>
                </c:pt>
                <c:pt idx="10">
                  <c:v>4.0414399999999997</c:v>
                </c:pt>
                <c:pt idx="11">
                  <c:v>4.4465500000000002</c:v>
                </c:pt>
                <c:pt idx="12">
                  <c:v>4.8513000000000002</c:v>
                </c:pt>
                <c:pt idx="13">
                  <c:v>5.2612300000000003</c:v>
                </c:pt>
                <c:pt idx="14">
                  <c:v>5.6691099999999999</c:v>
                </c:pt>
                <c:pt idx="15">
                  <c:v>6.0730300000000002</c:v>
                </c:pt>
                <c:pt idx="16">
                  <c:v>6.4779600000000004</c:v>
                </c:pt>
                <c:pt idx="17">
                  <c:v>6.8822099999999997</c:v>
                </c:pt>
                <c:pt idx="18">
                  <c:v>7.28796</c:v>
                </c:pt>
                <c:pt idx="19">
                  <c:v>7.6976899999999997</c:v>
                </c:pt>
                <c:pt idx="20">
                  <c:v>8.1006699999999991</c:v>
                </c:pt>
                <c:pt idx="21">
                  <c:v>8.5094999999999992</c:v>
                </c:pt>
                <c:pt idx="22">
                  <c:v>8.9144400000000008</c:v>
                </c:pt>
                <c:pt idx="23">
                  <c:v>9.3223500000000001</c:v>
                </c:pt>
                <c:pt idx="24">
                  <c:v>9.7257800000000003</c:v>
                </c:pt>
                <c:pt idx="25">
                  <c:v>10.1328</c:v>
                </c:pt>
                <c:pt idx="26">
                  <c:v>10.542999999999999</c:v>
                </c:pt>
                <c:pt idx="27">
                  <c:v>10.945</c:v>
                </c:pt>
                <c:pt idx="28">
                  <c:v>11.354900000000001</c:v>
                </c:pt>
                <c:pt idx="29">
                  <c:v>11.7578</c:v>
                </c:pt>
                <c:pt idx="30">
                  <c:v>12.164899999999999</c:v>
                </c:pt>
                <c:pt idx="31">
                  <c:v>12.573600000000001</c:v>
                </c:pt>
                <c:pt idx="32">
                  <c:v>12.9755</c:v>
                </c:pt>
                <c:pt idx="33">
                  <c:v>13.383900000000001</c:v>
                </c:pt>
                <c:pt idx="34">
                  <c:v>13.788399999999999</c:v>
                </c:pt>
                <c:pt idx="35">
                  <c:v>14.198499999999999</c:v>
                </c:pt>
                <c:pt idx="36">
                  <c:v>14.600199999999999</c:v>
                </c:pt>
                <c:pt idx="37">
                  <c:v>15.0091</c:v>
                </c:pt>
                <c:pt idx="38">
                  <c:v>15.414199999999999</c:v>
                </c:pt>
                <c:pt idx="39">
                  <c:v>15.8209</c:v>
                </c:pt>
                <c:pt idx="40">
                  <c:v>16.229900000000001</c:v>
                </c:pt>
                <c:pt idx="41">
                  <c:v>16.634799999999998</c:v>
                </c:pt>
                <c:pt idx="42">
                  <c:v>17.040700000000001</c:v>
                </c:pt>
                <c:pt idx="43">
                  <c:v>17.447700000000001</c:v>
                </c:pt>
                <c:pt idx="44">
                  <c:v>17.8566</c:v>
                </c:pt>
                <c:pt idx="45">
                  <c:v>18.261399999999998</c:v>
                </c:pt>
                <c:pt idx="46">
                  <c:v>18.6694</c:v>
                </c:pt>
                <c:pt idx="47">
                  <c:v>19.067599999999999</c:v>
                </c:pt>
                <c:pt idx="48">
                  <c:v>19.477399999999999</c:v>
                </c:pt>
                <c:pt idx="49">
                  <c:v>19.885000000000002</c:v>
                </c:pt>
                <c:pt idx="50">
                  <c:v>20.290900000000001</c:v>
                </c:pt>
                <c:pt idx="51">
                  <c:v>20.697900000000001</c:v>
                </c:pt>
                <c:pt idx="52">
                  <c:v>21.104399999999998</c:v>
                </c:pt>
                <c:pt idx="53">
                  <c:v>21.5077</c:v>
                </c:pt>
                <c:pt idx="54">
                  <c:v>21.9146</c:v>
                </c:pt>
                <c:pt idx="55">
                  <c:v>22.323499999999999</c:v>
                </c:pt>
                <c:pt idx="56">
                  <c:v>22.7285</c:v>
                </c:pt>
                <c:pt idx="57">
                  <c:v>23.1325</c:v>
                </c:pt>
                <c:pt idx="58">
                  <c:v>23.539400000000001</c:v>
                </c:pt>
                <c:pt idx="59">
                  <c:v>23.9452</c:v>
                </c:pt>
                <c:pt idx="60">
                  <c:v>24.3552</c:v>
                </c:pt>
                <c:pt idx="61">
                  <c:v>24.757100000000001</c:v>
                </c:pt>
                <c:pt idx="62">
                  <c:v>25.165299999999998</c:v>
                </c:pt>
                <c:pt idx="63">
                  <c:v>25.570900000000002</c:v>
                </c:pt>
                <c:pt idx="64">
                  <c:v>25.976099999999999</c:v>
                </c:pt>
                <c:pt idx="65">
                  <c:v>26.386800000000001</c:v>
                </c:pt>
                <c:pt idx="66">
                  <c:v>26.790600000000001</c:v>
                </c:pt>
                <c:pt idx="67">
                  <c:v>27.197500000000002</c:v>
                </c:pt>
                <c:pt idx="68">
                  <c:v>27.604600000000001</c:v>
                </c:pt>
                <c:pt idx="69">
                  <c:v>28.007400000000001</c:v>
                </c:pt>
                <c:pt idx="70">
                  <c:v>28.4133</c:v>
                </c:pt>
                <c:pt idx="71">
                  <c:v>28.821400000000001</c:v>
                </c:pt>
                <c:pt idx="72">
                  <c:v>29.228100000000001</c:v>
                </c:pt>
                <c:pt idx="73">
                  <c:v>29.6311</c:v>
                </c:pt>
                <c:pt idx="74">
                  <c:v>30.041899999999998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58.475999999999992</c:v>
                </c:pt>
                <c:pt idx="1">
                  <c:v>57.901599999999995</c:v>
                </c:pt>
                <c:pt idx="2">
                  <c:v>57.151499999999999</c:v>
                </c:pt>
                <c:pt idx="3">
                  <c:v>56.1419</c:v>
                </c:pt>
                <c:pt idx="4">
                  <c:v>55.0762</c:v>
                </c:pt>
                <c:pt idx="5">
                  <c:v>54.004200000000004</c:v>
                </c:pt>
                <c:pt idx="6">
                  <c:v>52.924800000000005</c:v>
                </c:pt>
                <c:pt idx="7">
                  <c:v>51.767200000000003</c:v>
                </c:pt>
                <c:pt idx="8">
                  <c:v>50.381699999999995</c:v>
                </c:pt>
                <c:pt idx="9">
                  <c:v>48.859700000000004</c:v>
                </c:pt>
                <c:pt idx="10">
                  <c:v>47.437899999999999</c:v>
                </c:pt>
                <c:pt idx="11">
                  <c:v>46.1614</c:v>
                </c:pt>
                <c:pt idx="12">
                  <c:v>44.959299999999999</c:v>
                </c:pt>
                <c:pt idx="13">
                  <c:v>43.796700000000001</c:v>
                </c:pt>
                <c:pt idx="14">
                  <c:v>42.595100000000002</c:v>
                </c:pt>
                <c:pt idx="15">
                  <c:v>41.5182</c:v>
                </c:pt>
                <c:pt idx="16">
                  <c:v>40.594000000000001</c:v>
                </c:pt>
                <c:pt idx="17">
                  <c:v>39.748400000000004</c:v>
                </c:pt>
                <c:pt idx="18">
                  <c:v>38.905000000000001</c:v>
                </c:pt>
                <c:pt idx="19">
                  <c:v>38.152099999999997</c:v>
                </c:pt>
                <c:pt idx="20">
                  <c:v>37.613799999999998</c:v>
                </c:pt>
                <c:pt idx="21">
                  <c:v>37.378499999999995</c:v>
                </c:pt>
                <c:pt idx="22">
                  <c:v>37.297999999999995</c:v>
                </c:pt>
                <c:pt idx="23">
                  <c:v>37.331199999999995</c:v>
                </c:pt>
                <c:pt idx="24">
                  <c:v>37.4039</c:v>
                </c:pt>
                <c:pt idx="25">
                  <c:v>37.492999999999995</c:v>
                </c:pt>
                <c:pt idx="26">
                  <c:v>37.650700000000001</c:v>
                </c:pt>
                <c:pt idx="27">
                  <c:v>37.816400000000002</c:v>
                </c:pt>
                <c:pt idx="28">
                  <c:v>37.960799999999999</c:v>
                </c:pt>
                <c:pt idx="29">
                  <c:v>38.091200000000001</c:v>
                </c:pt>
                <c:pt idx="30">
                  <c:v>38.188600000000001</c:v>
                </c:pt>
                <c:pt idx="31">
                  <c:v>38.214799999999997</c:v>
                </c:pt>
                <c:pt idx="32">
                  <c:v>38.159700000000001</c:v>
                </c:pt>
                <c:pt idx="33">
                  <c:v>38.010100000000001</c:v>
                </c:pt>
                <c:pt idx="34">
                  <c:v>37.759100000000004</c:v>
                </c:pt>
                <c:pt idx="35">
                  <c:v>37.448</c:v>
                </c:pt>
                <c:pt idx="36">
                  <c:v>37.0929</c:v>
                </c:pt>
                <c:pt idx="37">
                  <c:v>36.759300000000003</c:v>
                </c:pt>
                <c:pt idx="38">
                  <c:v>36.457899999999995</c:v>
                </c:pt>
                <c:pt idx="39">
                  <c:v>36.160899999999998</c:v>
                </c:pt>
                <c:pt idx="40">
                  <c:v>35.786900000000003</c:v>
                </c:pt>
                <c:pt idx="41">
                  <c:v>35.322900000000004</c:v>
                </c:pt>
                <c:pt idx="42">
                  <c:v>34.811700000000002</c:v>
                </c:pt>
                <c:pt idx="43">
                  <c:v>34.293199999999999</c:v>
                </c:pt>
                <c:pt idx="44">
                  <c:v>33.795999999999999</c:v>
                </c:pt>
                <c:pt idx="45">
                  <c:v>33.330199999999998</c:v>
                </c:pt>
                <c:pt idx="46">
                  <c:v>32.833199999999998</c:v>
                </c:pt>
                <c:pt idx="47">
                  <c:v>32.345500000000001</c:v>
                </c:pt>
                <c:pt idx="48">
                  <c:v>31.837399999999999</c:v>
                </c:pt>
                <c:pt idx="49">
                  <c:v>31.350699999999996</c:v>
                </c:pt>
                <c:pt idx="50">
                  <c:v>30.998799999999999</c:v>
                </c:pt>
                <c:pt idx="51">
                  <c:v>30.646600000000003</c:v>
                </c:pt>
                <c:pt idx="52">
                  <c:v>30.384800000000002</c:v>
                </c:pt>
                <c:pt idx="53">
                  <c:v>30.127800000000001</c:v>
                </c:pt>
                <c:pt idx="54">
                  <c:v>29.845800000000001</c:v>
                </c:pt>
                <c:pt idx="55">
                  <c:v>29.498999999999999</c:v>
                </c:pt>
                <c:pt idx="56">
                  <c:v>29.141299999999998</c:v>
                </c:pt>
                <c:pt idx="57">
                  <c:v>28.8337</c:v>
                </c:pt>
                <c:pt idx="58">
                  <c:v>28.565200000000001</c:v>
                </c:pt>
                <c:pt idx="59">
                  <c:v>28.366700000000002</c:v>
                </c:pt>
                <c:pt idx="60">
                  <c:v>28.242299999999997</c:v>
                </c:pt>
                <c:pt idx="61">
                  <c:v>28.150300000000001</c:v>
                </c:pt>
                <c:pt idx="62">
                  <c:v>28.0688</c:v>
                </c:pt>
                <c:pt idx="63">
                  <c:v>27.9833</c:v>
                </c:pt>
                <c:pt idx="64">
                  <c:v>27.857199999999999</c:v>
                </c:pt>
                <c:pt idx="65">
                  <c:v>27.734100000000002</c:v>
                </c:pt>
                <c:pt idx="66">
                  <c:v>27.616200000000003</c:v>
                </c:pt>
                <c:pt idx="67">
                  <c:v>27.537099999999999</c:v>
                </c:pt>
                <c:pt idx="68">
                  <c:v>27.494200000000003</c:v>
                </c:pt>
                <c:pt idx="69">
                  <c:v>27.505499999999998</c:v>
                </c:pt>
                <c:pt idx="70">
                  <c:v>27.468999999999998</c:v>
                </c:pt>
                <c:pt idx="71">
                  <c:v>27.4758</c:v>
                </c:pt>
                <c:pt idx="72">
                  <c:v>27.476800000000001</c:v>
                </c:pt>
                <c:pt idx="73">
                  <c:v>27.472300000000001</c:v>
                </c:pt>
                <c:pt idx="74">
                  <c:v>27.491900000000001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30.041899999999998</c:v>
                </c:pt>
                <c:pt idx="1">
                  <c:v>30.616599999999998</c:v>
                </c:pt>
                <c:pt idx="2">
                  <c:v>30.9954</c:v>
                </c:pt>
                <c:pt idx="3">
                  <c:v>31.368400000000001</c:v>
                </c:pt>
                <c:pt idx="4">
                  <c:v>31.743400000000001</c:v>
                </c:pt>
                <c:pt idx="5">
                  <c:v>32.118600000000001</c:v>
                </c:pt>
                <c:pt idx="6">
                  <c:v>32.527299999999997</c:v>
                </c:pt>
                <c:pt idx="7">
                  <c:v>32.933300000000003</c:v>
                </c:pt>
                <c:pt idx="8">
                  <c:v>33.335099999999997</c:v>
                </c:pt>
                <c:pt idx="9">
                  <c:v>33.744999999999997</c:v>
                </c:pt>
                <c:pt idx="10">
                  <c:v>34.148099999999999</c:v>
                </c:pt>
                <c:pt idx="11">
                  <c:v>34.557899999999997</c:v>
                </c:pt>
                <c:pt idx="12">
                  <c:v>34.9651</c:v>
                </c:pt>
                <c:pt idx="13">
                  <c:v>35.366</c:v>
                </c:pt>
                <c:pt idx="14">
                  <c:v>35.773600000000002</c:v>
                </c:pt>
                <c:pt idx="15">
                  <c:v>36.181899999999999</c:v>
                </c:pt>
                <c:pt idx="16">
                  <c:v>36.5884</c:v>
                </c:pt>
                <c:pt idx="17">
                  <c:v>36.993400000000001</c:v>
                </c:pt>
                <c:pt idx="18">
                  <c:v>37.3994</c:v>
                </c:pt>
                <c:pt idx="19">
                  <c:v>37.805100000000003</c:v>
                </c:pt>
                <c:pt idx="20">
                  <c:v>38.212400000000002</c:v>
                </c:pt>
                <c:pt idx="21">
                  <c:v>38.619</c:v>
                </c:pt>
                <c:pt idx="22">
                  <c:v>39.019300000000001</c:v>
                </c:pt>
                <c:pt idx="23">
                  <c:v>39.432899999999997</c:v>
                </c:pt>
                <c:pt idx="24">
                  <c:v>39.837699999999998</c:v>
                </c:pt>
                <c:pt idx="25">
                  <c:v>40.241700000000002</c:v>
                </c:pt>
                <c:pt idx="26">
                  <c:v>40.651600000000002</c:v>
                </c:pt>
                <c:pt idx="27">
                  <c:v>41.055500000000002</c:v>
                </c:pt>
                <c:pt idx="28">
                  <c:v>41.464399999999998</c:v>
                </c:pt>
                <c:pt idx="29">
                  <c:v>41.8673</c:v>
                </c:pt>
                <c:pt idx="30">
                  <c:v>42.273200000000003</c:v>
                </c:pt>
                <c:pt idx="31">
                  <c:v>42.681199999999997</c:v>
                </c:pt>
                <c:pt idx="32">
                  <c:v>43.089100000000002</c:v>
                </c:pt>
                <c:pt idx="33">
                  <c:v>43.494999999999997</c:v>
                </c:pt>
                <c:pt idx="34">
                  <c:v>43.901899999999998</c:v>
                </c:pt>
                <c:pt idx="35">
                  <c:v>44.305900000000001</c:v>
                </c:pt>
                <c:pt idx="36">
                  <c:v>44.7089</c:v>
                </c:pt>
                <c:pt idx="37">
                  <c:v>45.120699999999999</c:v>
                </c:pt>
                <c:pt idx="38">
                  <c:v>45.525500000000001</c:v>
                </c:pt>
                <c:pt idx="39">
                  <c:v>45.9315</c:v>
                </c:pt>
                <c:pt idx="40">
                  <c:v>46.336500000000001</c:v>
                </c:pt>
                <c:pt idx="41">
                  <c:v>46.744399999999999</c:v>
                </c:pt>
                <c:pt idx="42">
                  <c:v>47.149299999999997</c:v>
                </c:pt>
                <c:pt idx="43">
                  <c:v>47.558500000000002</c:v>
                </c:pt>
                <c:pt idx="44">
                  <c:v>47.965200000000003</c:v>
                </c:pt>
                <c:pt idx="45">
                  <c:v>48.368899999999996</c:v>
                </c:pt>
                <c:pt idx="46">
                  <c:v>48.772100000000002</c:v>
                </c:pt>
                <c:pt idx="47">
                  <c:v>49.182099999999998</c:v>
                </c:pt>
                <c:pt idx="48">
                  <c:v>49.5867</c:v>
                </c:pt>
                <c:pt idx="49">
                  <c:v>49.992600000000003</c:v>
                </c:pt>
                <c:pt idx="50">
                  <c:v>50.399500000000003</c:v>
                </c:pt>
                <c:pt idx="51">
                  <c:v>50.805399999999999</c:v>
                </c:pt>
                <c:pt idx="52">
                  <c:v>51.211399999999998</c:v>
                </c:pt>
                <c:pt idx="53">
                  <c:v>51.619199999999999</c:v>
                </c:pt>
                <c:pt idx="54">
                  <c:v>52.025100000000002</c:v>
                </c:pt>
                <c:pt idx="55">
                  <c:v>52.432299999999998</c:v>
                </c:pt>
                <c:pt idx="56">
                  <c:v>52.835000000000001</c:v>
                </c:pt>
                <c:pt idx="57">
                  <c:v>53.243899999999996</c:v>
                </c:pt>
                <c:pt idx="58">
                  <c:v>53.649900000000002</c:v>
                </c:pt>
                <c:pt idx="59">
                  <c:v>54.054000000000002</c:v>
                </c:pt>
                <c:pt idx="60">
                  <c:v>54.4636</c:v>
                </c:pt>
                <c:pt idx="61">
                  <c:v>54.870600000000003</c:v>
                </c:pt>
                <c:pt idx="62">
                  <c:v>55.273400000000002</c:v>
                </c:pt>
                <c:pt idx="63">
                  <c:v>55.6813</c:v>
                </c:pt>
                <c:pt idx="64">
                  <c:v>56.084600000000002</c:v>
                </c:pt>
                <c:pt idx="65">
                  <c:v>56.495199999999997</c:v>
                </c:pt>
                <c:pt idx="66">
                  <c:v>56.898299999999999</c:v>
                </c:pt>
                <c:pt idx="67">
                  <c:v>57.308100000000003</c:v>
                </c:pt>
                <c:pt idx="68">
                  <c:v>57.713000000000001</c:v>
                </c:pt>
                <c:pt idx="69">
                  <c:v>58.118099999999998</c:v>
                </c:pt>
                <c:pt idx="70">
                  <c:v>58.522799999999997</c:v>
                </c:pt>
                <c:pt idx="71">
                  <c:v>58.932000000000002</c:v>
                </c:pt>
                <c:pt idx="72">
                  <c:v>59.339599999999997</c:v>
                </c:pt>
                <c:pt idx="73">
                  <c:v>59.7425</c:v>
                </c:pt>
                <c:pt idx="74">
                  <c:v>60.150700000000001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27.491900000000001</c:v>
                </c:pt>
                <c:pt idx="1">
                  <c:v>27.4848</c:v>
                </c:pt>
                <c:pt idx="2">
                  <c:v>27.422400000000003</c:v>
                </c:pt>
                <c:pt idx="3">
                  <c:v>27.347300000000001</c:v>
                </c:pt>
                <c:pt idx="4">
                  <c:v>27.2803</c:v>
                </c:pt>
                <c:pt idx="5">
                  <c:v>27.272800000000004</c:v>
                </c:pt>
                <c:pt idx="6">
                  <c:v>27.332099999999997</c:v>
                </c:pt>
                <c:pt idx="7">
                  <c:v>27.393699999999999</c:v>
                </c:pt>
                <c:pt idx="8">
                  <c:v>27.4663</c:v>
                </c:pt>
                <c:pt idx="9">
                  <c:v>27.4312</c:v>
                </c:pt>
                <c:pt idx="10">
                  <c:v>27.403899999999997</c:v>
                </c:pt>
                <c:pt idx="11">
                  <c:v>27.3963</c:v>
                </c:pt>
                <c:pt idx="12">
                  <c:v>27.396700000000003</c:v>
                </c:pt>
                <c:pt idx="13">
                  <c:v>27.374300000000002</c:v>
                </c:pt>
                <c:pt idx="14">
                  <c:v>27.458300000000001</c:v>
                </c:pt>
                <c:pt idx="15">
                  <c:v>27.5885</c:v>
                </c:pt>
                <c:pt idx="16">
                  <c:v>27.707799999999999</c:v>
                </c:pt>
                <c:pt idx="17">
                  <c:v>27.828199999999999</c:v>
                </c:pt>
                <c:pt idx="18">
                  <c:v>27.871400000000001</c:v>
                </c:pt>
                <c:pt idx="19">
                  <c:v>27.807199999999998</c:v>
                </c:pt>
                <c:pt idx="20">
                  <c:v>27.706099999999999</c:v>
                </c:pt>
                <c:pt idx="21">
                  <c:v>27.6098</c:v>
                </c:pt>
                <c:pt idx="22">
                  <c:v>27.548099999999998</c:v>
                </c:pt>
                <c:pt idx="23">
                  <c:v>27.570099999999996</c:v>
                </c:pt>
                <c:pt idx="24">
                  <c:v>27.6374</c:v>
                </c:pt>
                <c:pt idx="25">
                  <c:v>27.750299999999999</c:v>
                </c:pt>
                <c:pt idx="26">
                  <c:v>27.900799999999997</c:v>
                </c:pt>
                <c:pt idx="27">
                  <c:v>28.114099999999997</c:v>
                </c:pt>
                <c:pt idx="28">
                  <c:v>28.344899999999999</c:v>
                </c:pt>
                <c:pt idx="29">
                  <c:v>28.631899999999998</c:v>
                </c:pt>
                <c:pt idx="30">
                  <c:v>28.959299999999999</c:v>
                </c:pt>
                <c:pt idx="31">
                  <c:v>29.367799999999999</c:v>
                </c:pt>
                <c:pt idx="32">
                  <c:v>29.852800000000002</c:v>
                </c:pt>
                <c:pt idx="33">
                  <c:v>30.364000000000001</c:v>
                </c:pt>
                <c:pt idx="34">
                  <c:v>30.808999999999997</c:v>
                </c:pt>
                <c:pt idx="35">
                  <c:v>31.152899999999999</c:v>
                </c:pt>
                <c:pt idx="36">
                  <c:v>31.408199999999997</c:v>
                </c:pt>
                <c:pt idx="37">
                  <c:v>31.519100000000002</c:v>
                </c:pt>
                <c:pt idx="38">
                  <c:v>31.521900000000002</c:v>
                </c:pt>
                <c:pt idx="39">
                  <c:v>31.554700000000004</c:v>
                </c:pt>
                <c:pt idx="40">
                  <c:v>31.555899999999998</c:v>
                </c:pt>
                <c:pt idx="41">
                  <c:v>31.5654</c:v>
                </c:pt>
                <c:pt idx="42">
                  <c:v>31.625599999999999</c:v>
                </c:pt>
                <c:pt idx="43">
                  <c:v>31.7851</c:v>
                </c:pt>
                <c:pt idx="44">
                  <c:v>31.968900000000001</c:v>
                </c:pt>
                <c:pt idx="45">
                  <c:v>32.138100000000001</c:v>
                </c:pt>
                <c:pt idx="46">
                  <c:v>32.308100000000003</c:v>
                </c:pt>
                <c:pt idx="47">
                  <c:v>32.475500000000004</c:v>
                </c:pt>
                <c:pt idx="48">
                  <c:v>32.633000000000003</c:v>
                </c:pt>
                <c:pt idx="49">
                  <c:v>32.803800000000003</c:v>
                </c:pt>
                <c:pt idx="50">
                  <c:v>32.906800000000004</c:v>
                </c:pt>
                <c:pt idx="51">
                  <c:v>32.939299999999996</c:v>
                </c:pt>
                <c:pt idx="52">
                  <c:v>32.946199999999997</c:v>
                </c:pt>
                <c:pt idx="53">
                  <c:v>32.959500000000006</c:v>
                </c:pt>
                <c:pt idx="54">
                  <c:v>32.958300000000001</c:v>
                </c:pt>
                <c:pt idx="55">
                  <c:v>32.930300000000003</c:v>
                </c:pt>
                <c:pt idx="56">
                  <c:v>32.900400000000005</c:v>
                </c:pt>
                <c:pt idx="57">
                  <c:v>32.862200000000001</c:v>
                </c:pt>
                <c:pt idx="58">
                  <c:v>32.825199999999995</c:v>
                </c:pt>
                <c:pt idx="59">
                  <c:v>32.834699999999998</c:v>
                </c:pt>
                <c:pt idx="60">
                  <c:v>32.830799999999996</c:v>
                </c:pt>
                <c:pt idx="61">
                  <c:v>32.807099999999998</c:v>
                </c:pt>
                <c:pt idx="62">
                  <c:v>32.849899999999998</c:v>
                </c:pt>
                <c:pt idx="63">
                  <c:v>32.987300000000005</c:v>
                </c:pt>
                <c:pt idx="64">
                  <c:v>33.097500000000004</c:v>
                </c:pt>
                <c:pt idx="65">
                  <c:v>33.298100000000005</c:v>
                </c:pt>
                <c:pt idx="66">
                  <c:v>33.553600000000003</c:v>
                </c:pt>
                <c:pt idx="67">
                  <c:v>33.785800000000002</c:v>
                </c:pt>
                <c:pt idx="68">
                  <c:v>33.948499999999996</c:v>
                </c:pt>
                <c:pt idx="69">
                  <c:v>34.081000000000003</c:v>
                </c:pt>
                <c:pt idx="70">
                  <c:v>34.350700000000003</c:v>
                </c:pt>
                <c:pt idx="71">
                  <c:v>34.667099999999998</c:v>
                </c:pt>
                <c:pt idx="72">
                  <c:v>35.157699999999998</c:v>
                </c:pt>
                <c:pt idx="73">
                  <c:v>35.576099999999997</c:v>
                </c:pt>
                <c:pt idx="74">
                  <c:v>36.082599999999999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15.037675</c:v>
                </c:pt>
                <c:pt idx="1">
                  <c:v>45.113025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36.987054054054042</c:v>
                </c:pt>
                <c:pt idx="1">
                  <c:v>30.513406756756762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2.6108099999999999</c:v>
                </c:pt>
                <c:pt idx="1">
                  <c:v>2.6824700000000004</c:v>
                </c:pt>
                <c:pt idx="2">
                  <c:v>2.7545700000000002</c:v>
                </c:pt>
                <c:pt idx="3">
                  <c:v>2.8247100000000005</c:v>
                </c:pt>
                <c:pt idx="4">
                  <c:v>2.8954999999999997</c:v>
                </c:pt>
                <c:pt idx="5">
                  <c:v>2.9702999999999999</c:v>
                </c:pt>
                <c:pt idx="6">
                  <c:v>3.0477599999999998</c:v>
                </c:pt>
                <c:pt idx="7">
                  <c:v>3.12568</c:v>
                </c:pt>
                <c:pt idx="8">
                  <c:v>3.20749</c:v>
                </c:pt>
                <c:pt idx="9">
                  <c:v>3.2926000000000002</c:v>
                </c:pt>
                <c:pt idx="10">
                  <c:v>3.37696</c:v>
                </c:pt>
                <c:pt idx="11">
                  <c:v>3.4616599999999997</c:v>
                </c:pt>
                <c:pt idx="12">
                  <c:v>3.5454499999999998</c:v>
                </c:pt>
                <c:pt idx="13">
                  <c:v>3.6296099999999996</c:v>
                </c:pt>
                <c:pt idx="14">
                  <c:v>3.7143900000000003</c:v>
                </c:pt>
                <c:pt idx="15">
                  <c:v>3.8010699999999997</c:v>
                </c:pt>
                <c:pt idx="16">
                  <c:v>3.8895</c:v>
                </c:pt>
                <c:pt idx="17">
                  <c:v>3.9793699999999999</c:v>
                </c:pt>
                <c:pt idx="18">
                  <c:v>4.0705299999999998</c:v>
                </c:pt>
                <c:pt idx="19">
                  <c:v>4.1587399999999999</c:v>
                </c:pt>
                <c:pt idx="20">
                  <c:v>4.2434699999999994</c:v>
                </c:pt>
                <c:pt idx="21">
                  <c:v>4.3230599999999999</c:v>
                </c:pt>
                <c:pt idx="22">
                  <c:v>4.3994900000000001</c:v>
                </c:pt>
                <c:pt idx="23">
                  <c:v>4.4732599999999998</c:v>
                </c:pt>
                <c:pt idx="24">
                  <c:v>4.54183</c:v>
                </c:pt>
                <c:pt idx="25">
                  <c:v>4.6046100000000001</c:v>
                </c:pt>
                <c:pt idx="26">
                  <c:v>4.6633899999999997</c:v>
                </c:pt>
                <c:pt idx="27">
                  <c:v>4.7153600000000004</c:v>
                </c:pt>
                <c:pt idx="28">
                  <c:v>4.76389</c:v>
                </c:pt>
                <c:pt idx="29">
                  <c:v>4.8105399999999996</c:v>
                </c:pt>
                <c:pt idx="30">
                  <c:v>4.8541400000000001</c:v>
                </c:pt>
                <c:pt idx="31">
                  <c:v>4.89419</c:v>
                </c:pt>
                <c:pt idx="32">
                  <c:v>4.9292100000000003</c:v>
                </c:pt>
                <c:pt idx="33">
                  <c:v>4.9589100000000004</c:v>
                </c:pt>
                <c:pt idx="34">
                  <c:v>4.9845600000000001</c:v>
                </c:pt>
                <c:pt idx="35">
                  <c:v>5.0103399999999993</c:v>
                </c:pt>
                <c:pt idx="36">
                  <c:v>5.0368999999999993</c:v>
                </c:pt>
                <c:pt idx="37">
                  <c:v>5.0627800000000001</c:v>
                </c:pt>
                <c:pt idx="38">
                  <c:v>5.0855099999999993</c:v>
                </c:pt>
                <c:pt idx="39">
                  <c:v>5.1055799999999998</c:v>
                </c:pt>
                <c:pt idx="40">
                  <c:v>5.1232999999999995</c:v>
                </c:pt>
                <c:pt idx="41">
                  <c:v>5.1403200000000009</c:v>
                </c:pt>
                <c:pt idx="42">
                  <c:v>5.1542600000000007</c:v>
                </c:pt>
                <c:pt idx="43">
                  <c:v>5.16554</c:v>
                </c:pt>
                <c:pt idx="44">
                  <c:v>5.1751400000000007</c:v>
                </c:pt>
                <c:pt idx="45">
                  <c:v>5.1842500000000005</c:v>
                </c:pt>
                <c:pt idx="46">
                  <c:v>5.1964100000000002</c:v>
                </c:pt>
                <c:pt idx="47">
                  <c:v>5.20655</c:v>
                </c:pt>
                <c:pt idx="48">
                  <c:v>5.2149299999999998</c:v>
                </c:pt>
                <c:pt idx="49">
                  <c:v>5.2230400000000001</c:v>
                </c:pt>
                <c:pt idx="50">
                  <c:v>5.2294200000000002</c:v>
                </c:pt>
                <c:pt idx="51">
                  <c:v>5.2396699999999994</c:v>
                </c:pt>
                <c:pt idx="52">
                  <c:v>5.2513699999999996</c:v>
                </c:pt>
                <c:pt idx="53">
                  <c:v>5.2613399999999997</c:v>
                </c:pt>
                <c:pt idx="54">
                  <c:v>5.2702400000000003</c:v>
                </c:pt>
                <c:pt idx="55">
                  <c:v>5.2795499999999995</c:v>
                </c:pt>
                <c:pt idx="56">
                  <c:v>5.2905899999999999</c:v>
                </c:pt>
                <c:pt idx="57">
                  <c:v>5.3018699999999992</c:v>
                </c:pt>
                <c:pt idx="58">
                  <c:v>5.3105100000000007</c:v>
                </c:pt>
                <c:pt idx="59">
                  <c:v>5.3157399999999999</c:v>
                </c:pt>
                <c:pt idx="60">
                  <c:v>5.3185700000000002</c:v>
                </c:pt>
                <c:pt idx="61">
                  <c:v>5.3180499999999995</c:v>
                </c:pt>
                <c:pt idx="62">
                  <c:v>5.3156999999999996</c:v>
                </c:pt>
                <c:pt idx="63">
                  <c:v>5.3136799999999997</c:v>
                </c:pt>
                <c:pt idx="64">
                  <c:v>5.3127899999999997</c:v>
                </c:pt>
                <c:pt idx="65">
                  <c:v>5.3088500000000005</c:v>
                </c:pt>
                <c:pt idx="66">
                  <c:v>5.3014899999999994</c:v>
                </c:pt>
                <c:pt idx="67">
                  <c:v>5.2927299999999997</c:v>
                </c:pt>
                <c:pt idx="68">
                  <c:v>5.2739700000000003</c:v>
                </c:pt>
                <c:pt idx="69">
                  <c:v>5.2645900000000001</c:v>
                </c:pt>
                <c:pt idx="70">
                  <c:v>5.246690000000001</c:v>
                </c:pt>
                <c:pt idx="71">
                  <c:v>5.2256899999999993</c:v>
                </c:pt>
                <c:pt idx="72">
                  <c:v>5.2055300000000004</c:v>
                </c:pt>
                <c:pt idx="73">
                  <c:v>5.1848299999999998</c:v>
                </c:pt>
                <c:pt idx="74">
                  <c:v>5.1648300000000003</c:v>
                </c:pt>
                <c:pt idx="75">
                  <c:v>5.1405900000000004</c:v>
                </c:pt>
                <c:pt idx="76">
                  <c:v>5.1217699999999997</c:v>
                </c:pt>
                <c:pt idx="77">
                  <c:v>5.1028399999999996</c:v>
                </c:pt>
                <c:pt idx="78">
                  <c:v>5.0831599999999995</c:v>
                </c:pt>
                <c:pt idx="79">
                  <c:v>5.0615299999999994</c:v>
                </c:pt>
                <c:pt idx="80">
                  <c:v>5.0362300000000007</c:v>
                </c:pt>
                <c:pt idx="81">
                  <c:v>5.0114099999999997</c:v>
                </c:pt>
                <c:pt idx="82">
                  <c:v>4.9885099999999998</c:v>
                </c:pt>
                <c:pt idx="83">
                  <c:v>4.9686599999999999</c:v>
                </c:pt>
                <c:pt idx="84">
                  <c:v>4.9474400000000003</c:v>
                </c:pt>
                <c:pt idx="85">
                  <c:v>4.9243600000000001</c:v>
                </c:pt>
                <c:pt idx="86">
                  <c:v>4.8989799999999999</c:v>
                </c:pt>
                <c:pt idx="87">
                  <c:v>4.8708499999999999</c:v>
                </c:pt>
                <c:pt idx="88">
                  <c:v>4.8382699999999996</c:v>
                </c:pt>
                <c:pt idx="89">
                  <c:v>4.80274</c:v>
                </c:pt>
                <c:pt idx="90">
                  <c:v>4.7693000000000003</c:v>
                </c:pt>
                <c:pt idx="91">
                  <c:v>4.7369399999999997</c:v>
                </c:pt>
                <c:pt idx="92">
                  <c:v>4.7103200000000003</c:v>
                </c:pt>
                <c:pt idx="93">
                  <c:v>4.6873800000000001</c:v>
                </c:pt>
                <c:pt idx="94">
                  <c:v>4.6694599999999999</c:v>
                </c:pt>
                <c:pt idx="95">
                  <c:v>4.6554400000000005</c:v>
                </c:pt>
                <c:pt idx="96">
                  <c:v>4.6428799999999999</c:v>
                </c:pt>
                <c:pt idx="97">
                  <c:v>4.6361499999999998</c:v>
                </c:pt>
                <c:pt idx="98">
                  <c:v>4.6307999999999998</c:v>
                </c:pt>
                <c:pt idx="99">
                  <c:v>4.6221899999999998</c:v>
                </c:pt>
                <c:pt idx="100">
                  <c:v>4.6100099999999999</c:v>
                </c:pt>
                <c:pt idx="101">
                  <c:v>4.5965699999999998</c:v>
                </c:pt>
                <c:pt idx="102">
                  <c:v>4.5814700000000004</c:v>
                </c:pt>
                <c:pt idx="103">
                  <c:v>4.5631599999999999</c:v>
                </c:pt>
                <c:pt idx="104">
                  <c:v>4.5469499999999998</c:v>
                </c:pt>
                <c:pt idx="105">
                  <c:v>4.5308999999999999</c:v>
                </c:pt>
                <c:pt idx="106">
                  <c:v>4.5151200000000005</c:v>
                </c:pt>
                <c:pt idx="107">
                  <c:v>4.50054</c:v>
                </c:pt>
                <c:pt idx="108">
                  <c:v>4.4908700000000001</c:v>
                </c:pt>
                <c:pt idx="109">
                  <c:v>4.4870400000000004</c:v>
                </c:pt>
                <c:pt idx="110">
                  <c:v>4.4884899999999996</c:v>
                </c:pt>
                <c:pt idx="111">
                  <c:v>4.4973900000000002</c:v>
                </c:pt>
                <c:pt idx="112">
                  <c:v>4.5127100000000002</c:v>
                </c:pt>
                <c:pt idx="113">
                  <c:v>4.5271099999999995</c:v>
                </c:pt>
                <c:pt idx="114">
                  <c:v>4.5455899999999998</c:v>
                </c:pt>
                <c:pt idx="115">
                  <c:v>4.5647599999999997</c:v>
                </c:pt>
                <c:pt idx="116">
                  <c:v>4.5840100000000001</c:v>
                </c:pt>
                <c:pt idx="117">
                  <c:v>4.6019700000000006</c:v>
                </c:pt>
                <c:pt idx="118">
                  <c:v>4.6193800000000005</c:v>
                </c:pt>
                <c:pt idx="119">
                  <c:v>4.6359300000000001</c:v>
                </c:pt>
                <c:pt idx="120">
                  <c:v>4.6503100000000002</c:v>
                </c:pt>
                <c:pt idx="121">
                  <c:v>4.6603599999999998</c:v>
                </c:pt>
                <c:pt idx="122">
                  <c:v>4.6659600000000001</c:v>
                </c:pt>
                <c:pt idx="123">
                  <c:v>4.6707400000000003</c:v>
                </c:pt>
                <c:pt idx="124">
                  <c:v>4.6752099999999999</c:v>
                </c:pt>
                <c:pt idx="125">
                  <c:v>4.6808199999999998</c:v>
                </c:pt>
                <c:pt idx="126">
                  <c:v>4.6883400000000002</c:v>
                </c:pt>
                <c:pt idx="127">
                  <c:v>4.6987399999999999</c:v>
                </c:pt>
                <c:pt idx="128">
                  <c:v>4.7138499999999999</c:v>
                </c:pt>
                <c:pt idx="129">
                  <c:v>4.7300700000000004</c:v>
                </c:pt>
                <c:pt idx="130">
                  <c:v>4.7477</c:v>
                </c:pt>
                <c:pt idx="131">
                  <c:v>4.7650399999999999</c:v>
                </c:pt>
                <c:pt idx="132">
                  <c:v>4.7808400000000004</c:v>
                </c:pt>
                <c:pt idx="133">
                  <c:v>4.7938799999999997</c:v>
                </c:pt>
                <c:pt idx="134">
                  <c:v>4.8035099999999993</c:v>
                </c:pt>
                <c:pt idx="135">
                  <c:v>4.8097399999999997</c:v>
                </c:pt>
                <c:pt idx="136">
                  <c:v>4.8099100000000004</c:v>
                </c:pt>
                <c:pt idx="137">
                  <c:v>4.8051399999999997</c:v>
                </c:pt>
                <c:pt idx="138">
                  <c:v>4.8034100000000004</c:v>
                </c:pt>
                <c:pt idx="139">
                  <c:v>4.7986899999999997</c:v>
                </c:pt>
                <c:pt idx="140">
                  <c:v>4.7946299999999997</c:v>
                </c:pt>
                <c:pt idx="141">
                  <c:v>4.7897400000000001</c:v>
                </c:pt>
                <c:pt idx="142">
                  <c:v>4.7844600000000002</c:v>
                </c:pt>
                <c:pt idx="143">
                  <c:v>4.7778599999999996</c:v>
                </c:pt>
                <c:pt idx="144">
                  <c:v>4.7641600000000004</c:v>
                </c:pt>
                <c:pt idx="145">
                  <c:v>4.7482199999999999</c:v>
                </c:pt>
                <c:pt idx="146">
                  <c:v>4.7371099999999995</c:v>
                </c:pt>
                <c:pt idx="147">
                  <c:v>4.7360600000000002</c:v>
                </c:pt>
                <c:pt idx="148">
                  <c:v>4.7350300000000001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58.475999999999992</c:v>
                </c:pt>
                <c:pt idx="1">
                  <c:v>57.901599999999995</c:v>
                </c:pt>
                <c:pt idx="2">
                  <c:v>57.151499999999999</c:v>
                </c:pt>
                <c:pt idx="3">
                  <c:v>56.1419</c:v>
                </c:pt>
                <c:pt idx="4">
                  <c:v>55.0762</c:v>
                </c:pt>
                <c:pt idx="5">
                  <c:v>54.004200000000004</c:v>
                </c:pt>
                <c:pt idx="6">
                  <c:v>52.924800000000005</c:v>
                </c:pt>
                <c:pt idx="7">
                  <c:v>51.767200000000003</c:v>
                </c:pt>
                <c:pt idx="8">
                  <c:v>50.381699999999995</c:v>
                </c:pt>
                <c:pt idx="9">
                  <c:v>48.859700000000004</c:v>
                </c:pt>
                <c:pt idx="10">
                  <c:v>47.437899999999999</c:v>
                </c:pt>
                <c:pt idx="11">
                  <c:v>46.1614</c:v>
                </c:pt>
                <c:pt idx="12">
                  <c:v>44.959299999999999</c:v>
                </c:pt>
                <c:pt idx="13">
                  <c:v>43.796700000000001</c:v>
                </c:pt>
                <c:pt idx="14">
                  <c:v>42.595100000000002</c:v>
                </c:pt>
                <c:pt idx="15">
                  <c:v>41.5182</c:v>
                </c:pt>
                <c:pt idx="16">
                  <c:v>40.594000000000001</c:v>
                </c:pt>
                <c:pt idx="17">
                  <c:v>39.748400000000004</c:v>
                </c:pt>
                <c:pt idx="18">
                  <c:v>38.905000000000001</c:v>
                </c:pt>
                <c:pt idx="19">
                  <c:v>38.152099999999997</c:v>
                </c:pt>
                <c:pt idx="20">
                  <c:v>37.613799999999998</c:v>
                </c:pt>
                <c:pt idx="21">
                  <c:v>37.378499999999995</c:v>
                </c:pt>
                <c:pt idx="22">
                  <c:v>37.297999999999995</c:v>
                </c:pt>
                <c:pt idx="23">
                  <c:v>37.331199999999995</c:v>
                </c:pt>
                <c:pt idx="24">
                  <c:v>37.4039</c:v>
                </c:pt>
                <c:pt idx="25">
                  <c:v>37.492999999999995</c:v>
                </c:pt>
                <c:pt idx="26">
                  <c:v>37.650700000000001</c:v>
                </c:pt>
                <c:pt idx="27">
                  <c:v>37.816400000000002</c:v>
                </c:pt>
                <c:pt idx="28">
                  <c:v>37.960799999999999</c:v>
                </c:pt>
                <c:pt idx="29">
                  <c:v>38.091200000000001</c:v>
                </c:pt>
                <c:pt idx="30">
                  <c:v>38.188600000000001</c:v>
                </c:pt>
                <c:pt idx="31">
                  <c:v>38.214799999999997</c:v>
                </c:pt>
                <c:pt idx="32">
                  <c:v>38.159700000000001</c:v>
                </c:pt>
                <c:pt idx="33">
                  <c:v>38.010100000000001</c:v>
                </c:pt>
                <c:pt idx="34">
                  <c:v>37.759100000000004</c:v>
                </c:pt>
                <c:pt idx="35">
                  <c:v>37.448</c:v>
                </c:pt>
                <c:pt idx="36">
                  <c:v>37.0929</c:v>
                </c:pt>
                <c:pt idx="37">
                  <c:v>36.759300000000003</c:v>
                </c:pt>
                <c:pt idx="38">
                  <c:v>36.457899999999995</c:v>
                </c:pt>
                <c:pt idx="39">
                  <c:v>36.160899999999998</c:v>
                </c:pt>
                <c:pt idx="40">
                  <c:v>35.786900000000003</c:v>
                </c:pt>
                <c:pt idx="41">
                  <c:v>35.322900000000004</c:v>
                </c:pt>
                <c:pt idx="42">
                  <c:v>34.811700000000002</c:v>
                </c:pt>
                <c:pt idx="43">
                  <c:v>34.293199999999999</c:v>
                </c:pt>
                <c:pt idx="44">
                  <c:v>33.795999999999999</c:v>
                </c:pt>
                <c:pt idx="45">
                  <c:v>33.330199999999998</c:v>
                </c:pt>
                <c:pt idx="46">
                  <c:v>32.833199999999998</c:v>
                </c:pt>
                <c:pt idx="47">
                  <c:v>32.345500000000001</c:v>
                </c:pt>
                <c:pt idx="48">
                  <c:v>31.837399999999999</c:v>
                </c:pt>
                <c:pt idx="49">
                  <c:v>31.350699999999996</c:v>
                </c:pt>
                <c:pt idx="50">
                  <c:v>30.998799999999999</c:v>
                </c:pt>
                <c:pt idx="51">
                  <c:v>30.646600000000003</c:v>
                </c:pt>
                <c:pt idx="52">
                  <c:v>30.384800000000002</c:v>
                </c:pt>
                <c:pt idx="53">
                  <c:v>30.127800000000001</c:v>
                </c:pt>
                <c:pt idx="54">
                  <c:v>29.845800000000001</c:v>
                </c:pt>
                <c:pt idx="55">
                  <c:v>29.498999999999999</c:v>
                </c:pt>
                <c:pt idx="56">
                  <c:v>29.141299999999998</c:v>
                </c:pt>
                <c:pt idx="57">
                  <c:v>28.8337</c:v>
                </c:pt>
                <c:pt idx="58">
                  <c:v>28.565200000000001</c:v>
                </c:pt>
                <c:pt idx="59">
                  <c:v>28.366700000000002</c:v>
                </c:pt>
                <c:pt idx="60">
                  <c:v>28.242299999999997</c:v>
                </c:pt>
                <c:pt idx="61">
                  <c:v>28.150300000000001</c:v>
                </c:pt>
                <c:pt idx="62">
                  <c:v>28.0688</c:v>
                </c:pt>
                <c:pt idx="63">
                  <c:v>27.9833</c:v>
                </c:pt>
                <c:pt idx="64">
                  <c:v>27.857199999999999</c:v>
                </c:pt>
                <c:pt idx="65">
                  <c:v>27.734100000000002</c:v>
                </c:pt>
                <c:pt idx="66">
                  <c:v>27.616200000000003</c:v>
                </c:pt>
                <c:pt idx="67">
                  <c:v>27.537099999999999</c:v>
                </c:pt>
                <c:pt idx="68">
                  <c:v>27.494200000000003</c:v>
                </c:pt>
                <c:pt idx="69">
                  <c:v>27.505499999999998</c:v>
                </c:pt>
                <c:pt idx="70">
                  <c:v>27.468999999999998</c:v>
                </c:pt>
                <c:pt idx="71">
                  <c:v>27.4758</c:v>
                </c:pt>
                <c:pt idx="72">
                  <c:v>27.476800000000001</c:v>
                </c:pt>
                <c:pt idx="73">
                  <c:v>27.472300000000001</c:v>
                </c:pt>
                <c:pt idx="74">
                  <c:v>27.491900000000001</c:v>
                </c:pt>
                <c:pt idx="75">
                  <c:v>27.4848</c:v>
                </c:pt>
                <c:pt idx="76">
                  <c:v>27.422400000000003</c:v>
                </c:pt>
                <c:pt idx="77">
                  <c:v>27.347300000000001</c:v>
                </c:pt>
                <c:pt idx="78">
                  <c:v>27.2803</c:v>
                </c:pt>
                <c:pt idx="79">
                  <c:v>27.272800000000004</c:v>
                </c:pt>
                <c:pt idx="80">
                  <c:v>27.332099999999997</c:v>
                </c:pt>
                <c:pt idx="81">
                  <c:v>27.393699999999999</c:v>
                </c:pt>
                <c:pt idx="82">
                  <c:v>27.4663</c:v>
                </c:pt>
                <c:pt idx="83">
                  <c:v>27.4312</c:v>
                </c:pt>
                <c:pt idx="84">
                  <c:v>27.403899999999997</c:v>
                </c:pt>
                <c:pt idx="85">
                  <c:v>27.3963</c:v>
                </c:pt>
                <c:pt idx="86">
                  <c:v>27.396700000000003</c:v>
                </c:pt>
                <c:pt idx="87">
                  <c:v>27.374300000000002</c:v>
                </c:pt>
                <c:pt idx="88">
                  <c:v>27.458300000000001</c:v>
                </c:pt>
                <c:pt idx="89">
                  <c:v>27.5885</c:v>
                </c:pt>
                <c:pt idx="90">
                  <c:v>27.707799999999999</c:v>
                </c:pt>
                <c:pt idx="91">
                  <c:v>27.828199999999999</c:v>
                </c:pt>
                <c:pt idx="92">
                  <c:v>27.871400000000001</c:v>
                </c:pt>
                <c:pt idx="93">
                  <c:v>27.807199999999998</c:v>
                </c:pt>
                <c:pt idx="94">
                  <c:v>27.706099999999999</c:v>
                </c:pt>
                <c:pt idx="95">
                  <c:v>27.6098</c:v>
                </c:pt>
                <c:pt idx="96">
                  <c:v>27.548099999999998</c:v>
                </c:pt>
                <c:pt idx="97">
                  <c:v>27.570099999999996</c:v>
                </c:pt>
                <c:pt idx="98">
                  <c:v>27.6374</c:v>
                </c:pt>
                <c:pt idx="99">
                  <c:v>27.750299999999999</c:v>
                </c:pt>
                <c:pt idx="100">
                  <c:v>27.900799999999997</c:v>
                </c:pt>
                <c:pt idx="101">
                  <c:v>28.114099999999997</c:v>
                </c:pt>
                <c:pt idx="102">
                  <c:v>28.344899999999999</c:v>
                </c:pt>
                <c:pt idx="103">
                  <c:v>28.631899999999998</c:v>
                </c:pt>
                <c:pt idx="104">
                  <c:v>28.959299999999999</c:v>
                </c:pt>
                <c:pt idx="105">
                  <c:v>29.367799999999999</c:v>
                </c:pt>
                <c:pt idx="106">
                  <c:v>29.852800000000002</c:v>
                </c:pt>
                <c:pt idx="107">
                  <c:v>30.364000000000001</c:v>
                </c:pt>
                <c:pt idx="108">
                  <c:v>30.808999999999997</c:v>
                </c:pt>
                <c:pt idx="109">
                  <c:v>31.152899999999999</c:v>
                </c:pt>
                <c:pt idx="110">
                  <c:v>31.408199999999997</c:v>
                </c:pt>
                <c:pt idx="111">
                  <c:v>31.519100000000002</c:v>
                </c:pt>
                <c:pt idx="112">
                  <c:v>31.521900000000002</c:v>
                </c:pt>
                <c:pt idx="113">
                  <c:v>31.554700000000004</c:v>
                </c:pt>
                <c:pt idx="114">
                  <c:v>31.555899999999998</c:v>
                </c:pt>
                <c:pt idx="115">
                  <c:v>31.5654</c:v>
                </c:pt>
                <c:pt idx="116">
                  <c:v>31.625599999999999</c:v>
                </c:pt>
                <c:pt idx="117">
                  <c:v>31.7851</c:v>
                </c:pt>
                <c:pt idx="118">
                  <c:v>31.968900000000001</c:v>
                </c:pt>
                <c:pt idx="119">
                  <c:v>32.138100000000001</c:v>
                </c:pt>
                <c:pt idx="120">
                  <c:v>32.308100000000003</c:v>
                </c:pt>
                <c:pt idx="121">
                  <c:v>32.475500000000004</c:v>
                </c:pt>
                <c:pt idx="122">
                  <c:v>32.633000000000003</c:v>
                </c:pt>
                <c:pt idx="123">
                  <c:v>32.803800000000003</c:v>
                </c:pt>
                <c:pt idx="124">
                  <c:v>32.906800000000004</c:v>
                </c:pt>
                <c:pt idx="125">
                  <c:v>32.939299999999996</c:v>
                </c:pt>
                <c:pt idx="126">
                  <c:v>32.946199999999997</c:v>
                </c:pt>
                <c:pt idx="127">
                  <c:v>32.959500000000006</c:v>
                </c:pt>
                <c:pt idx="128">
                  <c:v>32.958300000000001</c:v>
                </c:pt>
                <c:pt idx="129">
                  <c:v>32.930300000000003</c:v>
                </c:pt>
                <c:pt idx="130">
                  <c:v>32.900400000000005</c:v>
                </c:pt>
                <c:pt idx="131">
                  <c:v>32.862200000000001</c:v>
                </c:pt>
                <c:pt idx="132">
                  <c:v>32.825199999999995</c:v>
                </c:pt>
                <c:pt idx="133">
                  <c:v>32.834699999999998</c:v>
                </c:pt>
                <c:pt idx="134">
                  <c:v>32.830799999999996</c:v>
                </c:pt>
                <c:pt idx="135">
                  <c:v>32.807099999999998</c:v>
                </c:pt>
                <c:pt idx="136">
                  <c:v>32.849899999999998</c:v>
                </c:pt>
                <c:pt idx="137">
                  <c:v>32.987300000000005</c:v>
                </c:pt>
                <c:pt idx="138">
                  <c:v>33.097500000000004</c:v>
                </c:pt>
                <c:pt idx="139">
                  <c:v>33.298100000000005</c:v>
                </c:pt>
                <c:pt idx="140">
                  <c:v>33.553600000000003</c:v>
                </c:pt>
                <c:pt idx="141">
                  <c:v>33.785800000000002</c:v>
                </c:pt>
                <c:pt idx="142">
                  <c:v>33.948499999999996</c:v>
                </c:pt>
                <c:pt idx="143">
                  <c:v>34.081000000000003</c:v>
                </c:pt>
                <c:pt idx="144">
                  <c:v>34.350700000000003</c:v>
                </c:pt>
                <c:pt idx="145">
                  <c:v>34.667099999999998</c:v>
                </c:pt>
                <c:pt idx="146">
                  <c:v>35.157699999999998</c:v>
                </c:pt>
                <c:pt idx="147">
                  <c:v>35.576099999999997</c:v>
                </c:pt>
                <c:pt idx="148">
                  <c:v>36.082599999999999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2.6108099999999999</c:v>
                </c:pt>
                <c:pt idx="1">
                  <c:v>2.6824700000000004</c:v>
                </c:pt>
                <c:pt idx="2">
                  <c:v>2.7545700000000002</c:v>
                </c:pt>
                <c:pt idx="3">
                  <c:v>2.8247100000000005</c:v>
                </c:pt>
                <c:pt idx="4">
                  <c:v>2.8954999999999997</c:v>
                </c:pt>
                <c:pt idx="5">
                  <c:v>2.9702999999999999</c:v>
                </c:pt>
                <c:pt idx="6">
                  <c:v>3.0477599999999998</c:v>
                </c:pt>
                <c:pt idx="7">
                  <c:v>3.12568</c:v>
                </c:pt>
                <c:pt idx="8">
                  <c:v>3.20749</c:v>
                </c:pt>
                <c:pt idx="9">
                  <c:v>3.2926000000000002</c:v>
                </c:pt>
                <c:pt idx="10">
                  <c:v>3.37696</c:v>
                </c:pt>
                <c:pt idx="11">
                  <c:v>3.4616599999999997</c:v>
                </c:pt>
                <c:pt idx="12">
                  <c:v>3.5454499999999998</c:v>
                </c:pt>
                <c:pt idx="13">
                  <c:v>3.6296099999999996</c:v>
                </c:pt>
                <c:pt idx="14">
                  <c:v>3.7143900000000003</c:v>
                </c:pt>
                <c:pt idx="15">
                  <c:v>3.8010699999999997</c:v>
                </c:pt>
                <c:pt idx="16">
                  <c:v>3.8895</c:v>
                </c:pt>
                <c:pt idx="17">
                  <c:v>3.9793699999999999</c:v>
                </c:pt>
                <c:pt idx="18">
                  <c:v>4.0705299999999998</c:v>
                </c:pt>
                <c:pt idx="19">
                  <c:v>4.1587399999999999</c:v>
                </c:pt>
                <c:pt idx="20">
                  <c:v>4.2434699999999994</c:v>
                </c:pt>
                <c:pt idx="21">
                  <c:v>4.3230599999999999</c:v>
                </c:pt>
                <c:pt idx="22">
                  <c:v>4.3994900000000001</c:v>
                </c:pt>
                <c:pt idx="23">
                  <c:v>4.4732599999999998</c:v>
                </c:pt>
                <c:pt idx="24">
                  <c:v>4.54183</c:v>
                </c:pt>
                <c:pt idx="25">
                  <c:v>4.6046100000000001</c:v>
                </c:pt>
                <c:pt idx="26">
                  <c:v>4.6633899999999997</c:v>
                </c:pt>
                <c:pt idx="27">
                  <c:v>4.7153600000000004</c:v>
                </c:pt>
                <c:pt idx="28">
                  <c:v>4.76389</c:v>
                </c:pt>
                <c:pt idx="29">
                  <c:v>4.8105399999999996</c:v>
                </c:pt>
                <c:pt idx="30">
                  <c:v>4.8541400000000001</c:v>
                </c:pt>
                <c:pt idx="31">
                  <c:v>4.89419</c:v>
                </c:pt>
                <c:pt idx="32">
                  <c:v>4.9292100000000003</c:v>
                </c:pt>
                <c:pt idx="33">
                  <c:v>4.9589100000000004</c:v>
                </c:pt>
                <c:pt idx="34">
                  <c:v>4.9845600000000001</c:v>
                </c:pt>
                <c:pt idx="35">
                  <c:v>5.0103399999999993</c:v>
                </c:pt>
                <c:pt idx="36">
                  <c:v>5.0368999999999993</c:v>
                </c:pt>
                <c:pt idx="37">
                  <c:v>5.0627800000000001</c:v>
                </c:pt>
                <c:pt idx="38">
                  <c:v>5.0855099999999993</c:v>
                </c:pt>
                <c:pt idx="39">
                  <c:v>5.1055799999999998</c:v>
                </c:pt>
                <c:pt idx="40">
                  <c:v>5.1232999999999995</c:v>
                </c:pt>
                <c:pt idx="41">
                  <c:v>5.1403200000000009</c:v>
                </c:pt>
                <c:pt idx="42">
                  <c:v>5.1542600000000007</c:v>
                </c:pt>
                <c:pt idx="43">
                  <c:v>5.16554</c:v>
                </c:pt>
                <c:pt idx="44">
                  <c:v>5.1751400000000007</c:v>
                </c:pt>
                <c:pt idx="45">
                  <c:v>5.1842500000000005</c:v>
                </c:pt>
                <c:pt idx="46">
                  <c:v>5.1964100000000002</c:v>
                </c:pt>
                <c:pt idx="47">
                  <c:v>5.20655</c:v>
                </c:pt>
                <c:pt idx="48">
                  <c:v>5.2149299999999998</c:v>
                </c:pt>
                <c:pt idx="49">
                  <c:v>5.2230400000000001</c:v>
                </c:pt>
                <c:pt idx="50">
                  <c:v>5.2294200000000002</c:v>
                </c:pt>
                <c:pt idx="51">
                  <c:v>5.2396699999999994</c:v>
                </c:pt>
                <c:pt idx="52">
                  <c:v>5.2513699999999996</c:v>
                </c:pt>
                <c:pt idx="53">
                  <c:v>5.2613399999999997</c:v>
                </c:pt>
                <c:pt idx="54">
                  <c:v>5.2702400000000003</c:v>
                </c:pt>
                <c:pt idx="55">
                  <c:v>5.2795499999999995</c:v>
                </c:pt>
                <c:pt idx="56">
                  <c:v>5.2905899999999999</c:v>
                </c:pt>
                <c:pt idx="57">
                  <c:v>5.3018699999999992</c:v>
                </c:pt>
                <c:pt idx="58">
                  <c:v>5.3105100000000007</c:v>
                </c:pt>
                <c:pt idx="59">
                  <c:v>5.3157399999999999</c:v>
                </c:pt>
                <c:pt idx="60">
                  <c:v>5.3185700000000002</c:v>
                </c:pt>
                <c:pt idx="61">
                  <c:v>5.3180499999999995</c:v>
                </c:pt>
                <c:pt idx="62">
                  <c:v>5.3156999999999996</c:v>
                </c:pt>
                <c:pt idx="63">
                  <c:v>5.3136799999999997</c:v>
                </c:pt>
                <c:pt idx="64">
                  <c:v>5.3127899999999997</c:v>
                </c:pt>
                <c:pt idx="65">
                  <c:v>5.3088500000000005</c:v>
                </c:pt>
                <c:pt idx="66">
                  <c:v>5.3014899999999994</c:v>
                </c:pt>
                <c:pt idx="67">
                  <c:v>5.2927299999999997</c:v>
                </c:pt>
                <c:pt idx="68">
                  <c:v>5.2739700000000003</c:v>
                </c:pt>
                <c:pt idx="69">
                  <c:v>5.2645900000000001</c:v>
                </c:pt>
                <c:pt idx="70">
                  <c:v>5.246690000000001</c:v>
                </c:pt>
                <c:pt idx="71">
                  <c:v>5.2256899999999993</c:v>
                </c:pt>
                <c:pt idx="72">
                  <c:v>5.2055300000000004</c:v>
                </c:pt>
                <c:pt idx="73">
                  <c:v>5.1848299999999998</c:v>
                </c:pt>
                <c:pt idx="74">
                  <c:v>5.1648300000000003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58.475999999999992</c:v>
                </c:pt>
                <c:pt idx="1">
                  <c:v>57.901599999999995</c:v>
                </c:pt>
                <c:pt idx="2">
                  <c:v>57.151499999999999</c:v>
                </c:pt>
                <c:pt idx="3">
                  <c:v>56.1419</c:v>
                </c:pt>
                <c:pt idx="4">
                  <c:v>55.0762</c:v>
                </c:pt>
                <c:pt idx="5">
                  <c:v>54.004200000000004</c:v>
                </c:pt>
                <c:pt idx="6">
                  <c:v>52.924800000000005</c:v>
                </c:pt>
                <c:pt idx="7">
                  <c:v>51.767200000000003</c:v>
                </c:pt>
                <c:pt idx="8">
                  <c:v>50.381699999999995</c:v>
                </c:pt>
                <c:pt idx="9">
                  <c:v>48.859700000000004</c:v>
                </c:pt>
                <c:pt idx="10">
                  <c:v>47.437899999999999</c:v>
                </c:pt>
                <c:pt idx="11">
                  <c:v>46.1614</c:v>
                </c:pt>
                <c:pt idx="12">
                  <c:v>44.959299999999999</c:v>
                </c:pt>
                <c:pt idx="13">
                  <c:v>43.796700000000001</c:v>
                </c:pt>
                <c:pt idx="14">
                  <c:v>42.595100000000002</c:v>
                </c:pt>
                <c:pt idx="15">
                  <c:v>41.5182</c:v>
                </c:pt>
                <c:pt idx="16">
                  <c:v>40.594000000000001</c:v>
                </c:pt>
                <c:pt idx="17">
                  <c:v>39.748400000000004</c:v>
                </c:pt>
                <c:pt idx="18">
                  <c:v>38.905000000000001</c:v>
                </c:pt>
                <c:pt idx="19">
                  <c:v>38.152099999999997</c:v>
                </c:pt>
                <c:pt idx="20">
                  <c:v>37.613799999999998</c:v>
                </c:pt>
                <c:pt idx="21">
                  <c:v>37.378499999999995</c:v>
                </c:pt>
                <c:pt idx="22">
                  <c:v>37.297999999999995</c:v>
                </c:pt>
                <c:pt idx="23">
                  <c:v>37.331199999999995</c:v>
                </c:pt>
                <c:pt idx="24">
                  <c:v>37.4039</c:v>
                </c:pt>
                <c:pt idx="25">
                  <c:v>37.492999999999995</c:v>
                </c:pt>
                <c:pt idx="26">
                  <c:v>37.650700000000001</c:v>
                </c:pt>
                <c:pt idx="27">
                  <c:v>37.816400000000002</c:v>
                </c:pt>
                <c:pt idx="28">
                  <c:v>37.960799999999999</c:v>
                </c:pt>
                <c:pt idx="29">
                  <c:v>38.091200000000001</c:v>
                </c:pt>
                <c:pt idx="30">
                  <c:v>38.188600000000001</c:v>
                </c:pt>
                <c:pt idx="31">
                  <c:v>38.214799999999997</c:v>
                </c:pt>
                <c:pt idx="32">
                  <c:v>38.159700000000001</c:v>
                </c:pt>
                <c:pt idx="33">
                  <c:v>38.010100000000001</c:v>
                </c:pt>
                <c:pt idx="34">
                  <c:v>37.759100000000004</c:v>
                </c:pt>
                <c:pt idx="35">
                  <c:v>37.448</c:v>
                </c:pt>
                <c:pt idx="36">
                  <c:v>37.0929</c:v>
                </c:pt>
                <c:pt idx="37">
                  <c:v>36.759300000000003</c:v>
                </c:pt>
                <c:pt idx="38">
                  <c:v>36.457899999999995</c:v>
                </c:pt>
                <c:pt idx="39">
                  <c:v>36.160899999999998</c:v>
                </c:pt>
                <c:pt idx="40">
                  <c:v>35.786900000000003</c:v>
                </c:pt>
                <c:pt idx="41">
                  <c:v>35.322900000000004</c:v>
                </c:pt>
                <c:pt idx="42">
                  <c:v>34.811700000000002</c:v>
                </c:pt>
                <c:pt idx="43">
                  <c:v>34.293199999999999</c:v>
                </c:pt>
                <c:pt idx="44">
                  <c:v>33.795999999999999</c:v>
                </c:pt>
                <c:pt idx="45">
                  <c:v>33.330199999999998</c:v>
                </c:pt>
                <c:pt idx="46">
                  <c:v>32.833199999999998</c:v>
                </c:pt>
                <c:pt idx="47">
                  <c:v>32.345500000000001</c:v>
                </c:pt>
                <c:pt idx="48">
                  <c:v>31.837399999999999</c:v>
                </c:pt>
                <c:pt idx="49">
                  <c:v>31.350699999999996</c:v>
                </c:pt>
                <c:pt idx="50">
                  <c:v>30.998799999999999</c:v>
                </c:pt>
                <c:pt idx="51">
                  <c:v>30.646600000000003</c:v>
                </c:pt>
                <c:pt idx="52">
                  <c:v>30.384800000000002</c:v>
                </c:pt>
                <c:pt idx="53">
                  <c:v>30.127800000000001</c:v>
                </c:pt>
                <c:pt idx="54">
                  <c:v>29.845800000000001</c:v>
                </c:pt>
                <c:pt idx="55">
                  <c:v>29.498999999999999</c:v>
                </c:pt>
                <c:pt idx="56">
                  <c:v>29.141299999999998</c:v>
                </c:pt>
                <c:pt idx="57">
                  <c:v>28.8337</c:v>
                </c:pt>
                <c:pt idx="58">
                  <c:v>28.565200000000001</c:v>
                </c:pt>
                <c:pt idx="59">
                  <c:v>28.366700000000002</c:v>
                </c:pt>
                <c:pt idx="60">
                  <c:v>28.242299999999997</c:v>
                </c:pt>
                <c:pt idx="61">
                  <c:v>28.150300000000001</c:v>
                </c:pt>
                <c:pt idx="62">
                  <c:v>28.0688</c:v>
                </c:pt>
                <c:pt idx="63">
                  <c:v>27.9833</c:v>
                </c:pt>
                <c:pt idx="64">
                  <c:v>27.857199999999999</c:v>
                </c:pt>
                <c:pt idx="65">
                  <c:v>27.734100000000002</c:v>
                </c:pt>
                <c:pt idx="66">
                  <c:v>27.616200000000003</c:v>
                </c:pt>
                <c:pt idx="67">
                  <c:v>27.537099999999999</c:v>
                </c:pt>
                <c:pt idx="68">
                  <c:v>27.494200000000003</c:v>
                </c:pt>
                <c:pt idx="69">
                  <c:v>27.505499999999998</c:v>
                </c:pt>
                <c:pt idx="70">
                  <c:v>27.468999999999998</c:v>
                </c:pt>
                <c:pt idx="71">
                  <c:v>27.4758</c:v>
                </c:pt>
                <c:pt idx="72">
                  <c:v>27.476800000000001</c:v>
                </c:pt>
                <c:pt idx="73">
                  <c:v>27.472300000000001</c:v>
                </c:pt>
                <c:pt idx="74">
                  <c:v>27.491900000000001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5.1648300000000003</c:v>
                </c:pt>
                <c:pt idx="1">
                  <c:v>5.1405900000000004</c:v>
                </c:pt>
                <c:pt idx="2">
                  <c:v>5.1217699999999997</c:v>
                </c:pt>
                <c:pt idx="3">
                  <c:v>5.1028399999999996</c:v>
                </c:pt>
                <c:pt idx="4">
                  <c:v>5.0831599999999995</c:v>
                </c:pt>
                <c:pt idx="5">
                  <c:v>5.0615299999999994</c:v>
                </c:pt>
                <c:pt idx="6">
                  <c:v>5.0362300000000007</c:v>
                </c:pt>
                <c:pt idx="7">
                  <c:v>5.0114099999999997</c:v>
                </c:pt>
                <c:pt idx="8">
                  <c:v>4.9885099999999998</c:v>
                </c:pt>
                <c:pt idx="9">
                  <c:v>4.9686599999999999</c:v>
                </c:pt>
                <c:pt idx="10">
                  <c:v>4.9474400000000003</c:v>
                </c:pt>
                <c:pt idx="11">
                  <c:v>4.9243600000000001</c:v>
                </c:pt>
                <c:pt idx="12">
                  <c:v>4.8989799999999999</c:v>
                </c:pt>
                <c:pt idx="13">
                  <c:v>4.8708499999999999</c:v>
                </c:pt>
                <c:pt idx="14">
                  <c:v>4.8382699999999996</c:v>
                </c:pt>
                <c:pt idx="15">
                  <c:v>4.80274</c:v>
                </c:pt>
                <c:pt idx="16">
                  <c:v>4.7693000000000003</c:v>
                </c:pt>
                <c:pt idx="17">
                  <c:v>4.7369399999999997</c:v>
                </c:pt>
                <c:pt idx="18">
                  <c:v>4.7103200000000003</c:v>
                </c:pt>
                <c:pt idx="19">
                  <c:v>4.6873800000000001</c:v>
                </c:pt>
                <c:pt idx="20">
                  <c:v>4.6694599999999999</c:v>
                </c:pt>
                <c:pt idx="21">
                  <c:v>4.6554400000000005</c:v>
                </c:pt>
                <c:pt idx="22">
                  <c:v>4.6428799999999999</c:v>
                </c:pt>
                <c:pt idx="23">
                  <c:v>4.6361499999999998</c:v>
                </c:pt>
                <c:pt idx="24">
                  <c:v>4.6307999999999998</c:v>
                </c:pt>
                <c:pt idx="25">
                  <c:v>4.6221899999999998</c:v>
                </c:pt>
                <c:pt idx="26">
                  <c:v>4.6100099999999999</c:v>
                </c:pt>
                <c:pt idx="27">
                  <c:v>4.5965699999999998</c:v>
                </c:pt>
                <c:pt idx="28">
                  <c:v>4.5814700000000004</c:v>
                </c:pt>
                <c:pt idx="29">
                  <c:v>4.5631599999999999</c:v>
                </c:pt>
                <c:pt idx="30">
                  <c:v>4.5469499999999998</c:v>
                </c:pt>
                <c:pt idx="31">
                  <c:v>4.5308999999999999</c:v>
                </c:pt>
                <c:pt idx="32">
                  <c:v>4.5151200000000005</c:v>
                </c:pt>
                <c:pt idx="33">
                  <c:v>4.50054</c:v>
                </c:pt>
                <c:pt idx="34">
                  <c:v>4.4908700000000001</c:v>
                </c:pt>
                <c:pt idx="35">
                  <c:v>4.4870400000000004</c:v>
                </c:pt>
                <c:pt idx="36">
                  <c:v>4.4884899999999996</c:v>
                </c:pt>
                <c:pt idx="37">
                  <c:v>4.4973900000000002</c:v>
                </c:pt>
                <c:pt idx="38">
                  <c:v>4.5127100000000002</c:v>
                </c:pt>
                <c:pt idx="39">
                  <c:v>4.5271099999999995</c:v>
                </c:pt>
                <c:pt idx="40">
                  <c:v>4.5455899999999998</c:v>
                </c:pt>
                <c:pt idx="41">
                  <c:v>4.5647599999999997</c:v>
                </c:pt>
                <c:pt idx="42">
                  <c:v>4.5840100000000001</c:v>
                </c:pt>
                <c:pt idx="43">
                  <c:v>4.6019700000000006</c:v>
                </c:pt>
                <c:pt idx="44">
                  <c:v>4.6193800000000005</c:v>
                </c:pt>
                <c:pt idx="45">
                  <c:v>4.6359300000000001</c:v>
                </c:pt>
                <c:pt idx="46">
                  <c:v>4.6503100000000002</c:v>
                </c:pt>
                <c:pt idx="47">
                  <c:v>4.6603599999999998</c:v>
                </c:pt>
                <c:pt idx="48">
                  <c:v>4.6659600000000001</c:v>
                </c:pt>
                <c:pt idx="49">
                  <c:v>4.6707400000000003</c:v>
                </c:pt>
                <c:pt idx="50">
                  <c:v>4.6752099999999999</c:v>
                </c:pt>
                <c:pt idx="51">
                  <c:v>4.6808199999999998</c:v>
                </c:pt>
                <c:pt idx="52">
                  <c:v>4.6883400000000002</c:v>
                </c:pt>
                <c:pt idx="53">
                  <c:v>4.6987399999999999</c:v>
                </c:pt>
                <c:pt idx="54">
                  <c:v>4.7138499999999999</c:v>
                </c:pt>
                <c:pt idx="55">
                  <c:v>4.7300700000000004</c:v>
                </c:pt>
                <c:pt idx="56">
                  <c:v>4.7477</c:v>
                </c:pt>
                <c:pt idx="57">
                  <c:v>4.7650399999999999</c:v>
                </c:pt>
                <c:pt idx="58">
                  <c:v>4.7808400000000004</c:v>
                </c:pt>
                <c:pt idx="59">
                  <c:v>4.7938799999999997</c:v>
                </c:pt>
                <c:pt idx="60">
                  <c:v>4.8035099999999993</c:v>
                </c:pt>
                <c:pt idx="61">
                  <c:v>4.8097399999999997</c:v>
                </c:pt>
                <c:pt idx="62">
                  <c:v>4.8099100000000004</c:v>
                </c:pt>
                <c:pt idx="63">
                  <c:v>4.8051399999999997</c:v>
                </c:pt>
                <c:pt idx="64">
                  <c:v>4.8034100000000004</c:v>
                </c:pt>
                <c:pt idx="65">
                  <c:v>4.7986899999999997</c:v>
                </c:pt>
                <c:pt idx="66">
                  <c:v>4.7946299999999997</c:v>
                </c:pt>
                <c:pt idx="67">
                  <c:v>4.7897400000000001</c:v>
                </c:pt>
                <c:pt idx="68">
                  <c:v>4.7844600000000002</c:v>
                </c:pt>
                <c:pt idx="69">
                  <c:v>4.7778599999999996</c:v>
                </c:pt>
                <c:pt idx="70">
                  <c:v>4.7641600000000004</c:v>
                </c:pt>
                <c:pt idx="71">
                  <c:v>4.7482199999999999</c:v>
                </c:pt>
                <c:pt idx="72">
                  <c:v>4.7371099999999995</c:v>
                </c:pt>
                <c:pt idx="73">
                  <c:v>4.7360600000000002</c:v>
                </c:pt>
                <c:pt idx="74">
                  <c:v>4.7350300000000001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27.491900000000001</c:v>
                </c:pt>
                <c:pt idx="1">
                  <c:v>27.4848</c:v>
                </c:pt>
                <c:pt idx="2">
                  <c:v>27.422400000000003</c:v>
                </c:pt>
                <c:pt idx="3">
                  <c:v>27.347300000000001</c:v>
                </c:pt>
                <c:pt idx="4">
                  <c:v>27.2803</c:v>
                </c:pt>
                <c:pt idx="5">
                  <c:v>27.272800000000004</c:v>
                </c:pt>
                <c:pt idx="6">
                  <c:v>27.332099999999997</c:v>
                </c:pt>
                <c:pt idx="7">
                  <c:v>27.393699999999999</c:v>
                </c:pt>
                <c:pt idx="8">
                  <c:v>27.4663</c:v>
                </c:pt>
                <c:pt idx="9">
                  <c:v>27.4312</c:v>
                </c:pt>
                <c:pt idx="10">
                  <c:v>27.403899999999997</c:v>
                </c:pt>
                <c:pt idx="11">
                  <c:v>27.3963</c:v>
                </c:pt>
                <c:pt idx="12">
                  <c:v>27.396700000000003</c:v>
                </c:pt>
                <c:pt idx="13">
                  <c:v>27.374300000000002</c:v>
                </c:pt>
                <c:pt idx="14">
                  <c:v>27.458300000000001</c:v>
                </c:pt>
                <c:pt idx="15">
                  <c:v>27.5885</c:v>
                </c:pt>
                <c:pt idx="16">
                  <c:v>27.707799999999999</c:v>
                </c:pt>
                <c:pt idx="17">
                  <c:v>27.828199999999999</c:v>
                </c:pt>
                <c:pt idx="18">
                  <c:v>27.871400000000001</c:v>
                </c:pt>
                <c:pt idx="19">
                  <c:v>27.807199999999998</c:v>
                </c:pt>
                <c:pt idx="20">
                  <c:v>27.706099999999999</c:v>
                </c:pt>
                <c:pt idx="21">
                  <c:v>27.6098</c:v>
                </c:pt>
                <c:pt idx="22">
                  <c:v>27.548099999999998</c:v>
                </c:pt>
                <c:pt idx="23">
                  <c:v>27.570099999999996</c:v>
                </c:pt>
                <c:pt idx="24">
                  <c:v>27.6374</c:v>
                </c:pt>
                <c:pt idx="25">
                  <c:v>27.750299999999999</c:v>
                </c:pt>
                <c:pt idx="26">
                  <c:v>27.900799999999997</c:v>
                </c:pt>
                <c:pt idx="27">
                  <c:v>28.114099999999997</c:v>
                </c:pt>
                <c:pt idx="28">
                  <c:v>28.344899999999999</c:v>
                </c:pt>
                <c:pt idx="29">
                  <c:v>28.631899999999998</c:v>
                </c:pt>
                <c:pt idx="30">
                  <c:v>28.959299999999999</c:v>
                </c:pt>
                <c:pt idx="31">
                  <c:v>29.367799999999999</c:v>
                </c:pt>
                <c:pt idx="32">
                  <c:v>29.852800000000002</c:v>
                </c:pt>
                <c:pt idx="33">
                  <c:v>30.364000000000001</c:v>
                </c:pt>
                <c:pt idx="34">
                  <c:v>30.808999999999997</c:v>
                </c:pt>
                <c:pt idx="35">
                  <c:v>31.152899999999999</c:v>
                </c:pt>
                <c:pt idx="36">
                  <c:v>31.408199999999997</c:v>
                </c:pt>
                <c:pt idx="37">
                  <c:v>31.519100000000002</c:v>
                </c:pt>
                <c:pt idx="38">
                  <c:v>31.521900000000002</c:v>
                </c:pt>
                <c:pt idx="39">
                  <c:v>31.554700000000004</c:v>
                </c:pt>
                <c:pt idx="40">
                  <c:v>31.555899999999998</c:v>
                </c:pt>
                <c:pt idx="41">
                  <c:v>31.5654</c:v>
                </c:pt>
                <c:pt idx="42">
                  <c:v>31.625599999999999</c:v>
                </c:pt>
                <c:pt idx="43">
                  <c:v>31.7851</c:v>
                </c:pt>
                <c:pt idx="44">
                  <c:v>31.968900000000001</c:v>
                </c:pt>
                <c:pt idx="45">
                  <c:v>32.138100000000001</c:v>
                </c:pt>
                <c:pt idx="46">
                  <c:v>32.308100000000003</c:v>
                </c:pt>
                <c:pt idx="47">
                  <c:v>32.475500000000004</c:v>
                </c:pt>
                <c:pt idx="48">
                  <c:v>32.633000000000003</c:v>
                </c:pt>
                <c:pt idx="49">
                  <c:v>32.803800000000003</c:v>
                </c:pt>
                <c:pt idx="50">
                  <c:v>32.906800000000004</c:v>
                </c:pt>
                <c:pt idx="51">
                  <c:v>32.939299999999996</c:v>
                </c:pt>
                <c:pt idx="52">
                  <c:v>32.946199999999997</c:v>
                </c:pt>
                <c:pt idx="53">
                  <c:v>32.959500000000006</c:v>
                </c:pt>
                <c:pt idx="54">
                  <c:v>32.958300000000001</c:v>
                </c:pt>
                <c:pt idx="55">
                  <c:v>32.930300000000003</c:v>
                </c:pt>
                <c:pt idx="56">
                  <c:v>32.900400000000005</c:v>
                </c:pt>
                <c:pt idx="57">
                  <c:v>32.862200000000001</c:v>
                </c:pt>
                <c:pt idx="58">
                  <c:v>32.825199999999995</c:v>
                </c:pt>
                <c:pt idx="59">
                  <c:v>32.834699999999998</c:v>
                </c:pt>
                <c:pt idx="60">
                  <c:v>32.830799999999996</c:v>
                </c:pt>
                <c:pt idx="61">
                  <c:v>32.807099999999998</c:v>
                </c:pt>
                <c:pt idx="62">
                  <c:v>32.849899999999998</c:v>
                </c:pt>
                <c:pt idx="63">
                  <c:v>32.987300000000005</c:v>
                </c:pt>
                <c:pt idx="64">
                  <c:v>33.097500000000004</c:v>
                </c:pt>
                <c:pt idx="65">
                  <c:v>33.298100000000005</c:v>
                </c:pt>
                <c:pt idx="66">
                  <c:v>33.553600000000003</c:v>
                </c:pt>
                <c:pt idx="67">
                  <c:v>33.785800000000002</c:v>
                </c:pt>
                <c:pt idx="68">
                  <c:v>33.948499999999996</c:v>
                </c:pt>
                <c:pt idx="69">
                  <c:v>34.081000000000003</c:v>
                </c:pt>
                <c:pt idx="70">
                  <c:v>34.350700000000003</c:v>
                </c:pt>
                <c:pt idx="71">
                  <c:v>34.667099999999998</c:v>
                </c:pt>
                <c:pt idx="72">
                  <c:v>35.157699999999998</c:v>
                </c:pt>
                <c:pt idx="73">
                  <c:v>35.576099999999997</c:v>
                </c:pt>
                <c:pt idx="74">
                  <c:v>36.082599999999999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2.6108099999999999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58.475999999999992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4.6069917567567584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36.987054054054042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4.7379391891891869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30.513406756756762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4.7379391891891869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30.513406756756762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topLeftCell="A4" zoomScaleNormal="100" workbookViewId="0">
      <selection activeCell="L4" sqref="L4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7" t="s">
        <v>521</v>
      </c>
      <c r="D5" s="191"/>
      <c r="E5" s="191"/>
      <c r="F5" s="192"/>
      <c r="G5" s="48" t="str">
        <f>lang!B27</f>
        <v>编号</v>
      </c>
      <c r="H5" s="190">
        <v>10</v>
      </c>
      <c r="I5" s="191"/>
      <c r="J5" s="191"/>
      <c r="K5" s="193"/>
    </row>
    <row r="6" spans="2:21" ht="17.25" customHeight="1">
      <c r="B6" s="46" t="str">
        <f>lang!B25</f>
        <v>性别</v>
      </c>
      <c r="C6" s="198" t="s">
        <v>520</v>
      </c>
      <c r="D6" s="145"/>
      <c r="E6" s="145"/>
      <c r="F6" s="146"/>
      <c r="G6" s="49" t="str">
        <f>lang!B28</f>
        <v xml:space="preserve"> 日期</v>
      </c>
      <c r="H6" s="129">
        <f>FH_info!A2</f>
        <v>43608.394502314812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24</v>
      </c>
      <c r="D7" s="148"/>
      <c r="E7" s="148"/>
      <c r="F7" s="149"/>
      <c r="G7" s="50" t="str">
        <f>lang!B29</f>
        <v>误差率（%）</v>
      </c>
      <c r="H7" s="132">
        <f>M!B17*1</f>
        <v>19.341000000000001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52.116799999999998</v>
      </c>
      <c r="O8" s="59">
        <f>M!C5*1</f>
        <v>12.3911</v>
      </c>
      <c r="P8" s="59">
        <f>M!D5*1</f>
        <v>23.775700000000001</v>
      </c>
      <c r="Q8" s="59">
        <f>M!E5*1</f>
        <v>20</v>
      </c>
      <c r="R8" s="59">
        <f>M!F5*1</f>
        <v>13.9192</v>
      </c>
      <c r="S8" s="59">
        <f>M!G5*1</f>
        <v>50</v>
      </c>
      <c r="T8" s="59">
        <f>M!H5*1</f>
        <v>62.532899999999998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28.2727</v>
      </c>
      <c r="O9" s="59">
        <f>M!C6*1</f>
        <v>5.8667800000000003</v>
      </c>
      <c r="P9" s="59">
        <f>M!D6*1</f>
        <v>20.750699999999998</v>
      </c>
      <c r="Q9" s="59">
        <f>M!E6*1</f>
        <v>20</v>
      </c>
      <c r="R9" s="59">
        <f>M!F6*1</f>
        <v>15.3325</v>
      </c>
      <c r="S9" s="59">
        <f>M!G6*1</f>
        <v>40</v>
      </c>
      <c r="T9" s="59">
        <f>M!H6*1</f>
        <v>36.206099999999999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13.9192</v>
      </c>
      <c r="D10" s="99">
        <f>N8</f>
        <v>52.116799999999998</v>
      </c>
      <c r="E10" s="100">
        <f>T8</f>
        <v>62.532899999999998</v>
      </c>
      <c r="F10" s="91">
        <f>P8</f>
        <v>23.775700000000001</v>
      </c>
      <c r="G10" s="81" t="str">
        <f>CONCATENATE(M9,"
(20 ~ 40)")</f>
        <v>压力
(20 ~ 40)</v>
      </c>
      <c r="H10" s="98">
        <f>R9</f>
        <v>15.3325</v>
      </c>
      <c r="I10" s="108">
        <f>N9</f>
        <v>28.2727</v>
      </c>
      <c r="J10" s="98">
        <f>T9</f>
        <v>36.206099999999999</v>
      </c>
      <c r="K10" s="92">
        <f>P9</f>
        <v>20.750699999999998</v>
      </c>
      <c r="L10" s="6"/>
      <c r="M10" s="27" t="str">
        <f>lang!B16</f>
        <v>焦虑</v>
      </c>
      <c r="N10" s="59">
        <f>M!B7*1</f>
        <v>15.352600000000001</v>
      </c>
      <c r="O10" s="59">
        <f>M!C7*1</f>
        <v>5.0095200000000002</v>
      </c>
      <c r="P10" s="59">
        <f>M!D7*1</f>
        <v>32.629800000000003</v>
      </c>
      <c r="Q10" s="59">
        <f>M!E7*1</f>
        <v>15</v>
      </c>
      <c r="R10" s="59">
        <f>M!F7*1</f>
        <v>4.1661299999999999</v>
      </c>
      <c r="S10" s="59">
        <f>M!G7*1</f>
        <v>40</v>
      </c>
      <c r="T10" s="59">
        <f>M!H7*1</f>
        <v>33.880200000000002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4.1661299999999999</v>
      </c>
      <c r="D11" s="102">
        <f>N10</f>
        <v>15.352600000000001</v>
      </c>
      <c r="E11" s="103">
        <f>T10</f>
        <v>33.880200000000002</v>
      </c>
      <c r="F11" s="94">
        <f>P10</f>
        <v>32.629800000000003</v>
      </c>
      <c r="G11" s="52" t="str">
        <f>CONCATENATE(M11,"
(20 ~ 50)")</f>
        <v>可疑
(20 ~ 50)</v>
      </c>
      <c r="H11" s="101">
        <f>R11</f>
        <v>13.6028</v>
      </c>
      <c r="I11" s="104">
        <f>N11</f>
        <v>31.251799999999999</v>
      </c>
      <c r="J11" s="101">
        <f>T11</f>
        <v>38.517899999999997</v>
      </c>
      <c r="K11" s="95">
        <f>P11</f>
        <v>20.339200000000002</v>
      </c>
      <c r="L11" s="4"/>
      <c r="M11" s="27" t="str">
        <f>lang!B17</f>
        <v>可疑</v>
      </c>
      <c r="N11" s="59">
        <f>M!B8*1</f>
        <v>31.251799999999999</v>
      </c>
      <c r="O11" s="59">
        <f>M!C8*1</f>
        <v>6.3563599999999996</v>
      </c>
      <c r="P11" s="59">
        <f>M!D8*1</f>
        <v>20.339200000000002</v>
      </c>
      <c r="Q11" s="59">
        <f>M!E8*1</f>
        <v>20</v>
      </c>
      <c r="R11" s="59">
        <f>M!F8*1</f>
        <v>13.6028</v>
      </c>
      <c r="S11" s="59">
        <f>M!G8*1</f>
        <v>50</v>
      </c>
      <c r="T11" s="59">
        <f>M!H8*1</f>
        <v>38.517899999999997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45.617899999999999</v>
      </c>
      <c r="D12" s="104">
        <f>N12</f>
        <v>65.246600000000001</v>
      </c>
      <c r="E12" s="101">
        <f>T12</f>
        <v>79.9709</v>
      </c>
      <c r="F12" s="93">
        <f>P12</f>
        <v>13.0373</v>
      </c>
      <c r="G12" s="52" t="str">
        <f>CONCATENATE(M13,"
(40 ~ 100)")</f>
        <v>自信
(40 ~ 100)</v>
      </c>
      <c r="H12" s="101">
        <f>R13</f>
        <v>73.358400000000003</v>
      </c>
      <c r="I12" s="104">
        <f>N13</f>
        <v>78.386899999999997</v>
      </c>
      <c r="J12" s="101">
        <f>T13</f>
        <v>87.951099999999997</v>
      </c>
      <c r="K12" s="95">
        <f>P13</f>
        <v>4.8005800000000001</v>
      </c>
      <c r="L12" s="4"/>
      <c r="M12" s="27" t="str">
        <f>lang!B18</f>
        <v>平衡</v>
      </c>
      <c r="N12" s="59">
        <f>M!B9*1</f>
        <v>65.246600000000001</v>
      </c>
      <c r="O12" s="59">
        <f>M!C9*1</f>
        <v>8.5063999999999993</v>
      </c>
      <c r="P12" s="59">
        <f>M!D9*1</f>
        <v>13.0373</v>
      </c>
      <c r="Q12" s="59">
        <f>M!E9*1</f>
        <v>50</v>
      </c>
      <c r="R12" s="59">
        <f>M!F9*1</f>
        <v>45.617899999999999</v>
      </c>
      <c r="S12" s="59">
        <f>M!G9*1</f>
        <v>100</v>
      </c>
      <c r="T12" s="59">
        <f>M!H9*1</f>
        <v>79.9709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9.5861900000000002</v>
      </c>
      <c r="D13" s="102">
        <f>N14</f>
        <v>33.734900000000003</v>
      </c>
      <c r="E13" s="103">
        <f>T14</f>
        <v>39.529200000000003</v>
      </c>
      <c r="F13" s="94">
        <f>P14</f>
        <v>20.685199999999998</v>
      </c>
      <c r="G13" s="52" t="str">
        <f>CONCATENATE(M15,"
(50 ~ 100)")</f>
        <v>自我调节
(50 ~ 100)</v>
      </c>
      <c r="H13" s="101">
        <f>R15</f>
        <v>60.591200000000001</v>
      </c>
      <c r="I13" s="104">
        <f>N15</f>
        <v>71.831100000000006</v>
      </c>
      <c r="J13" s="101">
        <f>T15</f>
        <v>83.410799999999995</v>
      </c>
      <c r="K13" s="95">
        <f>P15</f>
        <v>8.2562800000000003</v>
      </c>
      <c r="L13" s="4"/>
      <c r="M13" s="27" t="str">
        <f>lang!B19</f>
        <v>自信</v>
      </c>
      <c r="N13" s="59">
        <f>M!B10*1</f>
        <v>78.386899999999997</v>
      </c>
      <c r="O13" s="59">
        <f>M!C10*1</f>
        <v>3.7630300000000001</v>
      </c>
      <c r="P13" s="59">
        <f>M!D10*1</f>
        <v>4.8005800000000001</v>
      </c>
      <c r="Q13" s="59">
        <f>M!E10*1</f>
        <v>40</v>
      </c>
      <c r="R13" s="59">
        <f>M!F10*1</f>
        <v>73.358400000000003</v>
      </c>
      <c r="S13" s="59">
        <f>M!G10*1</f>
        <v>100</v>
      </c>
      <c r="T13" s="59">
        <f>M!H10*1</f>
        <v>87.951099999999997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18.1127</v>
      </c>
      <c r="D14" s="106">
        <f>N16</f>
        <v>24.556699999999999</v>
      </c>
      <c r="E14" s="107">
        <f>T16</f>
        <v>36.052900000000001</v>
      </c>
      <c r="F14" s="96">
        <f>P16</f>
        <v>15.336</v>
      </c>
      <c r="G14" s="112" t="str">
        <f>CONCATENATE(M17,"
(10 ~ 50)")</f>
        <v>神经质
(10 ~ 50)</v>
      </c>
      <c r="H14" s="105">
        <f>R17</f>
        <v>2.8296399999999999</v>
      </c>
      <c r="I14" s="106">
        <f>N17</f>
        <v>37.6601</v>
      </c>
      <c r="J14" s="107">
        <f>T17</f>
        <v>42.771999999999998</v>
      </c>
      <c r="K14" s="97">
        <f>P17</f>
        <v>33.798699999999997</v>
      </c>
      <c r="M14" s="27" t="str">
        <f>lang!B20</f>
        <v>活力</v>
      </c>
      <c r="N14" s="59">
        <f>M!B11*1</f>
        <v>33.734900000000003</v>
      </c>
      <c r="O14" s="59">
        <f>M!C11*1</f>
        <v>6.9781199999999997</v>
      </c>
      <c r="P14" s="59">
        <f>M!D11*1</f>
        <v>20.685199999999998</v>
      </c>
      <c r="Q14" s="59">
        <f>M!E11*1</f>
        <v>10</v>
      </c>
      <c r="R14" s="59">
        <f>M!F11*1</f>
        <v>9.5861900000000002</v>
      </c>
      <c r="S14" s="59">
        <f>M!G11*1</f>
        <v>50</v>
      </c>
      <c r="T14" s="59">
        <f>M!H11*1</f>
        <v>39.529200000000003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71.831100000000006</v>
      </c>
      <c r="O15" s="59">
        <f>M!C12*1</f>
        <v>5.93058</v>
      </c>
      <c r="P15" s="59">
        <f>M!D12*1</f>
        <v>8.2562800000000003</v>
      </c>
      <c r="Q15" s="59">
        <f>M!E12*1</f>
        <v>50</v>
      </c>
      <c r="R15" s="59">
        <f>M!F12*1</f>
        <v>60.591200000000001</v>
      </c>
      <c r="S15" s="59">
        <f>M!G12*1</f>
        <v>100</v>
      </c>
      <c r="T15" s="59">
        <f>M!H12*1</f>
        <v>83.410799999999995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24.556699999999999</v>
      </c>
      <c r="O16" s="59">
        <f>M!C13*1</f>
        <v>3.7660100000000001</v>
      </c>
      <c r="P16" s="59">
        <f>M!D13*1</f>
        <v>15.336</v>
      </c>
      <c r="Q16" s="59">
        <f>M!E13*1</f>
        <v>10</v>
      </c>
      <c r="R16" s="59">
        <f>M!F13*1</f>
        <v>18.1127</v>
      </c>
      <c r="S16" s="59">
        <f>M!G13*1</f>
        <v>25</v>
      </c>
      <c r="T16" s="59">
        <f>M!H13*1</f>
        <v>36.052900000000001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37.6601</v>
      </c>
      <c r="O17" s="59">
        <f>M!C14*1</f>
        <v>12.7286</v>
      </c>
      <c r="P17" s="59">
        <f>M!D14*1</f>
        <v>33.798699999999997</v>
      </c>
      <c r="Q17" s="59">
        <f>M!E14*1</f>
        <v>10</v>
      </c>
      <c r="R17" s="59">
        <f>M!F14*1</f>
        <v>2.8296399999999999</v>
      </c>
      <c r="S17" s="59">
        <f>M!G14*1</f>
        <v>50</v>
      </c>
      <c r="T17" s="59">
        <f>M!H14*1</f>
        <v>42.771999999999998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62.299875</v>
      </c>
      <c r="O18" s="22">
        <f>N18/(N18+N19+N20)</f>
        <v>0.4977747904128223</v>
      </c>
      <c r="P18" s="65">
        <f>SUM(P12:P15)/4</f>
        <v>11.694839999999999</v>
      </c>
      <c r="Q18" s="22">
        <f>P18/(P18+P19+P20)</f>
        <v>0.19286945519529308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31.748474999999999</v>
      </c>
      <c r="O19" s="22">
        <f>N19/(N18+N19+N20)</f>
        <v>0.25366969819845914</v>
      </c>
      <c r="P19" s="18">
        <f>SUM(P8:P11)/4</f>
        <v>24.373850000000001</v>
      </c>
      <c r="Q19" s="22">
        <f>P19/(P18+P19+P20)</f>
        <v>0.40196968667478944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31.1084</v>
      </c>
      <c r="O20" s="22">
        <f>N20/(N18+N19+N20)</f>
        <v>0.24855551138871854</v>
      </c>
      <c r="P20" s="18">
        <f>(P16+P17)/2</f>
        <v>24.567349999999998</v>
      </c>
      <c r="Q20" s="22">
        <f>P20/(P18+P19+P20)</f>
        <v>0.40516085812991742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-7.7831216216215693E-2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2.2756607425984714</v>
      </c>
      <c r="D25" s="44" t="str">
        <f>lang!B11</f>
        <v>频率方差</v>
      </c>
      <c r="E25" s="182">
        <f ca="1">FH!L3</f>
        <v>0.754356035093385</v>
      </c>
      <c r="F25" s="183"/>
      <c r="G25" s="174" t="str">
        <f>lang!B12</f>
        <v>生理变化率</v>
      </c>
      <c r="H25" s="175"/>
      <c r="I25" s="62" t="str">
        <f ca="1">CONCATENATE(info!M7,"-",info!M8)</f>
        <v>27.3-58.5</v>
      </c>
      <c r="J25" s="42" t="str">
        <f>lang!B13</f>
        <v>千卡l/分钟</v>
      </c>
      <c r="K25" s="41" t="str">
        <f ca="1">CONCATENATE(info!M5,"-",info!M6)</f>
        <v>2.6-5.3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35.939799999999998</v>
      </c>
      <c r="F28" s="121"/>
      <c r="G28" s="135" t="str">
        <f>lang!B33</f>
        <v>稳定性</v>
      </c>
      <c r="H28" s="136"/>
      <c r="I28" s="137"/>
      <c r="J28" s="138">
        <f>M!B19*100</f>
        <v>45.596399999999996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43608.394502314812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10.224999999999994</v>
      </c>
      <c r="O7" s="59">
        <f t="shared" ref="O7:T7" si="2">AG7-X7</f>
        <v>-10.12552</v>
      </c>
      <c r="P7" s="59">
        <f t="shared" si="2"/>
        <v>-23.762589999999999</v>
      </c>
      <c r="Q7" s="59">
        <f t="shared" si="2"/>
        <v>0</v>
      </c>
      <c r="R7" s="59">
        <f t="shared" si="2"/>
        <v>32.763900000000007</v>
      </c>
      <c r="S7" s="59">
        <f t="shared" si="2"/>
        <v>0</v>
      </c>
      <c r="T7" s="59">
        <f t="shared" si="2"/>
        <v>-0.51820000000000022</v>
      </c>
      <c r="U7" s="14"/>
      <c r="V7" s="27" t="str">
        <f>M7</f>
        <v>攻击性</v>
      </c>
      <c r="W7" s="59">
        <f>'M1'!B5*1</f>
        <v>45.936500000000002</v>
      </c>
      <c r="X7" s="59">
        <f>'M1'!C5*1</f>
        <v>14.4658</v>
      </c>
      <c r="Y7" s="59">
        <f>'M1'!D5*1</f>
        <v>31.4908</v>
      </c>
      <c r="Z7" s="59">
        <f>'M1'!E5*1</f>
        <v>20</v>
      </c>
      <c r="AA7" s="59">
        <f>'M1'!F5*1</f>
        <v>13.9192</v>
      </c>
      <c r="AB7" s="59">
        <f>'M1'!G5*1</f>
        <v>50</v>
      </c>
      <c r="AC7" s="59">
        <f>'M1'!H5*1</f>
        <v>62.532899999999998</v>
      </c>
      <c r="AE7" s="27" t="str">
        <f>V7</f>
        <v>攻击性</v>
      </c>
      <c r="AF7" s="59">
        <f>'M2'!B5*1</f>
        <v>56.161499999999997</v>
      </c>
      <c r="AG7" s="59">
        <f>'M2'!C5*1</f>
        <v>4.3402799999999999</v>
      </c>
      <c r="AH7" s="59">
        <f>'M2'!D5*1</f>
        <v>7.7282099999999998</v>
      </c>
      <c r="AI7" s="59">
        <f>'M2'!E5*1</f>
        <v>20</v>
      </c>
      <c r="AJ7" s="59">
        <f>'M2'!F5*1</f>
        <v>46.683100000000003</v>
      </c>
      <c r="AK7" s="59">
        <f>'M2'!G5*1</f>
        <v>50</v>
      </c>
      <c r="AL7" s="59">
        <f>'M2'!H5*1</f>
        <v>62.014699999999998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10.8508</v>
      </c>
      <c r="O8" s="59">
        <f t="shared" ref="O8:O16" si="5">AG8-X8</f>
        <v>-1.1809600000000002</v>
      </c>
      <c r="P8" s="59">
        <f t="shared" ref="P8:P16" si="6">AH8-Y8</f>
        <v>-11.633699999999999</v>
      </c>
      <c r="Q8" s="59">
        <f t="shared" ref="Q8:Q16" si="7">AI8-Z8</f>
        <v>0</v>
      </c>
      <c r="R8" s="59">
        <f t="shared" ref="R8:R16" si="8">AJ8-AA8</f>
        <v>8.0013000000000005</v>
      </c>
      <c r="S8" s="59">
        <f t="shared" ref="S8:S16" si="9">AK8-AB8</f>
        <v>0</v>
      </c>
      <c r="T8" s="59">
        <f t="shared" ref="T8:T16" si="10">AL8-AC8</f>
        <v>6.8697999999999979</v>
      </c>
      <c r="U8" s="15"/>
      <c r="V8" s="27" t="str">
        <f t="shared" ref="V8:V16" si="11">M8</f>
        <v>压力</v>
      </c>
      <c r="W8" s="59">
        <f>'M1'!B6*1</f>
        <v>19.811399999999999</v>
      </c>
      <c r="X8" s="59">
        <f>'M1'!C6*1</f>
        <v>4.3566700000000003</v>
      </c>
      <c r="Y8" s="59">
        <f>'M1'!D6*1</f>
        <v>21.9908</v>
      </c>
      <c r="Z8" s="59">
        <f>'M1'!E6*1</f>
        <v>20</v>
      </c>
      <c r="AA8" s="59">
        <f>'M1'!F6*1</f>
        <v>15.3325</v>
      </c>
      <c r="AB8" s="59">
        <f>'M1'!G6*1</f>
        <v>40</v>
      </c>
      <c r="AC8" s="59">
        <f>'M1'!H6*1</f>
        <v>29.336300000000001</v>
      </c>
      <c r="AE8" s="27" t="str">
        <f t="shared" ref="AE8:AE16" si="12">V8</f>
        <v>压力</v>
      </c>
      <c r="AF8" s="59">
        <f>'M2'!B6*1</f>
        <v>30.662199999999999</v>
      </c>
      <c r="AG8" s="59">
        <f>'M2'!C6*1</f>
        <v>3.17571</v>
      </c>
      <c r="AH8" s="59">
        <f>'M2'!D6*1</f>
        <v>10.357100000000001</v>
      </c>
      <c r="AI8" s="59">
        <f>'M2'!E6*1</f>
        <v>20</v>
      </c>
      <c r="AJ8" s="59">
        <f>'M2'!F6*1</f>
        <v>23.3338</v>
      </c>
      <c r="AK8" s="59">
        <f>'M2'!G6*1</f>
        <v>40</v>
      </c>
      <c r="AL8" s="59">
        <f>'M2'!H6*1</f>
        <v>36.206099999999999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32.763900000000007</v>
      </c>
      <c r="D9" s="78">
        <f>N7</f>
        <v>10.224999999999994</v>
      </c>
      <c r="E9" s="79">
        <f>T7</f>
        <v>-0.51820000000000022</v>
      </c>
      <c r="F9" s="79">
        <f>P7</f>
        <v>-23.762589999999999</v>
      </c>
      <c r="G9" s="80" t="str">
        <f>CONCATENATE(M8,"
(20 ~ 40)")</f>
        <v>压力
(20 ~ 40)</v>
      </c>
      <c r="H9" s="77">
        <f>R8</f>
        <v>8.0013000000000005</v>
      </c>
      <c r="I9" s="81">
        <f>N8</f>
        <v>10.8508</v>
      </c>
      <c r="J9" s="77">
        <f>T8</f>
        <v>6.8697999999999979</v>
      </c>
      <c r="K9" s="82">
        <f>P8</f>
        <v>-11.633699999999999</v>
      </c>
      <c r="L9" s="6"/>
      <c r="M9" s="27" t="str">
        <f>lang!B16</f>
        <v>焦虑</v>
      </c>
      <c r="N9" s="59">
        <f t="shared" si="4"/>
        <v>2.2461000000000002</v>
      </c>
      <c r="O9" s="59">
        <f t="shared" si="5"/>
        <v>-0.37353000000000058</v>
      </c>
      <c r="P9" s="59">
        <f t="shared" si="6"/>
        <v>-7.0067000000000021</v>
      </c>
      <c r="Q9" s="59">
        <f t="shared" si="7"/>
        <v>0</v>
      </c>
      <c r="R9" s="59">
        <f t="shared" si="8"/>
        <v>0.51926999999999968</v>
      </c>
      <c r="S9" s="59">
        <f t="shared" si="9"/>
        <v>0</v>
      </c>
      <c r="T9" s="59">
        <f t="shared" si="10"/>
        <v>-3.1605000000000025</v>
      </c>
      <c r="U9" s="14"/>
      <c r="V9" s="27" t="str">
        <f t="shared" si="11"/>
        <v>焦虑</v>
      </c>
      <c r="W9" s="59">
        <f>'M1'!B7*1</f>
        <v>14.4396</v>
      </c>
      <c r="X9" s="59">
        <f>'M1'!C7*1</f>
        <v>5.1146500000000001</v>
      </c>
      <c r="Y9" s="59">
        <f>'M1'!D7*1</f>
        <v>35.420900000000003</v>
      </c>
      <c r="Z9" s="59">
        <f>'M1'!E7*1</f>
        <v>15</v>
      </c>
      <c r="AA9" s="59">
        <f>'M1'!F7*1</f>
        <v>4.1661299999999999</v>
      </c>
      <c r="AB9" s="59">
        <f>'M1'!G7*1</f>
        <v>40</v>
      </c>
      <c r="AC9" s="59">
        <f>'M1'!H7*1</f>
        <v>33.880200000000002</v>
      </c>
      <c r="AE9" s="27" t="str">
        <f t="shared" si="12"/>
        <v>焦虑</v>
      </c>
      <c r="AF9" s="59">
        <f>'M2'!B7*1</f>
        <v>16.685700000000001</v>
      </c>
      <c r="AG9" s="59">
        <f>'M2'!C7*1</f>
        <v>4.7411199999999996</v>
      </c>
      <c r="AH9" s="59">
        <f>'M2'!D7*1</f>
        <v>28.414200000000001</v>
      </c>
      <c r="AI9" s="59">
        <f>'M2'!E7*1</f>
        <v>15</v>
      </c>
      <c r="AJ9" s="59">
        <f>'M2'!F7*1</f>
        <v>4.6853999999999996</v>
      </c>
      <c r="AK9" s="59">
        <f>'M2'!G7*1</f>
        <v>40</v>
      </c>
      <c r="AL9" s="59">
        <f>'M2'!H7*1</f>
        <v>30.7197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0.51926999999999968</v>
      </c>
      <c r="D10" s="51">
        <f>N9</f>
        <v>2.2461000000000002</v>
      </c>
      <c r="E10" s="53">
        <f>T9</f>
        <v>-3.1605000000000025</v>
      </c>
      <c r="F10" s="53">
        <f>P9</f>
        <v>-7.0067000000000021</v>
      </c>
      <c r="G10" s="73" t="str">
        <f>CONCATENATE(M10,"
(20 ~ 50)")</f>
        <v>可疑
(20 ~ 50)</v>
      </c>
      <c r="H10" s="24">
        <f>R10</f>
        <v>13.9931</v>
      </c>
      <c r="I10" s="52">
        <f>N10</f>
        <v>8.3815999999999988</v>
      </c>
      <c r="J10" s="24">
        <f>T10</f>
        <v>2.1272999999999982</v>
      </c>
      <c r="K10" s="25">
        <f>P10</f>
        <v>-15.344190000000001</v>
      </c>
      <c r="L10" s="4"/>
      <c r="M10" s="27" t="str">
        <f>lang!B17</f>
        <v>可疑</v>
      </c>
      <c r="N10" s="59">
        <f t="shared" si="4"/>
        <v>8.3815999999999988</v>
      </c>
      <c r="O10" s="59">
        <f t="shared" si="5"/>
        <v>-3.3725299999999998</v>
      </c>
      <c r="P10" s="59">
        <f t="shared" si="6"/>
        <v>-15.344190000000001</v>
      </c>
      <c r="Q10" s="59">
        <f t="shared" si="7"/>
        <v>0</v>
      </c>
      <c r="R10" s="59">
        <f t="shared" si="8"/>
        <v>13.9931</v>
      </c>
      <c r="S10" s="59">
        <f t="shared" si="9"/>
        <v>0</v>
      </c>
      <c r="T10" s="59">
        <f t="shared" si="10"/>
        <v>2.1272999999999982</v>
      </c>
      <c r="U10" s="14"/>
      <c r="V10" s="27" t="str">
        <f t="shared" si="11"/>
        <v>可疑</v>
      </c>
      <c r="W10" s="59">
        <f>'M1'!B8*1</f>
        <v>26.254300000000001</v>
      </c>
      <c r="X10" s="59">
        <f>'M1'!C8*1</f>
        <v>6.08331</v>
      </c>
      <c r="Y10" s="59">
        <f>'M1'!D8*1</f>
        <v>23.1707</v>
      </c>
      <c r="Z10" s="59">
        <f>'M1'!E8*1</f>
        <v>20</v>
      </c>
      <c r="AA10" s="59">
        <f>'M1'!F8*1</f>
        <v>13.6028</v>
      </c>
      <c r="AB10" s="59">
        <f>'M1'!G8*1</f>
        <v>50</v>
      </c>
      <c r="AC10" s="59">
        <f>'M1'!H8*1</f>
        <v>36.390599999999999</v>
      </c>
      <c r="AE10" s="27" t="str">
        <f t="shared" si="12"/>
        <v>可疑</v>
      </c>
      <c r="AF10" s="59">
        <f>'M2'!B8*1</f>
        <v>34.635899999999999</v>
      </c>
      <c r="AG10" s="59">
        <f>'M2'!C8*1</f>
        <v>2.7107800000000002</v>
      </c>
      <c r="AH10" s="59">
        <f>'M2'!D8*1</f>
        <v>7.8265099999999999</v>
      </c>
      <c r="AI10" s="59">
        <f>'M2'!E8*1</f>
        <v>20</v>
      </c>
      <c r="AJ10" s="59">
        <f>'M2'!F8*1</f>
        <v>27.5959</v>
      </c>
      <c r="AK10" s="59">
        <f>'M2'!G8*1</f>
        <v>50</v>
      </c>
      <c r="AL10" s="59">
        <f>'M2'!H8*1</f>
        <v>38.517899999999997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3.5688999999999993</v>
      </c>
      <c r="D11" s="52">
        <f>N11</f>
        <v>-10.714599999999997</v>
      </c>
      <c r="E11" s="24">
        <f>T11</f>
        <v>-6.748500000000007</v>
      </c>
      <c r="F11" s="24">
        <f>P11</f>
        <v>-1.3638999999999992</v>
      </c>
      <c r="G11" s="73" t="str">
        <f>CONCATENATE(M12,"
(40 ~ 100)")</f>
        <v>自信
(40 ~ 100)</v>
      </c>
      <c r="H11" s="24">
        <f>R12</f>
        <v>-2.0610999999999962</v>
      </c>
      <c r="I11" s="52">
        <f>N12</f>
        <v>-6.4980999999999938</v>
      </c>
      <c r="J11" s="24">
        <f>T12</f>
        <v>-6.1251999999999924</v>
      </c>
      <c r="K11" s="25">
        <f>P12</f>
        <v>-1.2984599999999999</v>
      </c>
      <c r="L11" s="4"/>
      <c r="M11" s="27" t="str">
        <f>lang!B18</f>
        <v>平衡</v>
      </c>
      <c r="N11" s="59">
        <f t="shared" si="4"/>
        <v>-10.714599999999997</v>
      </c>
      <c r="O11" s="59">
        <f t="shared" si="5"/>
        <v>-2.1073900000000005</v>
      </c>
      <c r="P11" s="59">
        <f t="shared" si="6"/>
        <v>-1.3638999999999992</v>
      </c>
      <c r="Q11" s="59">
        <f t="shared" si="7"/>
        <v>0</v>
      </c>
      <c r="R11" s="59">
        <f t="shared" si="8"/>
        <v>3.5688999999999993</v>
      </c>
      <c r="S11" s="59">
        <f t="shared" si="9"/>
        <v>0</v>
      </c>
      <c r="T11" s="59">
        <f t="shared" si="10"/>
        <v>-6.748500000000007</v>
      </c>
      <c r="U11" s="14"/>
      <c r="V11" s="27" t="str">
        <f t="shared" si="11"/>
        <v>平衡</v>
      </c>
      <c r="W11" s="59">
        <f>'M1'!B9*1</f>
        <v>71.448999999999998</v>
      </c>
      <c r="X11" s="59">
        <f>'M1'!C9*1</f>
        <v>8.5294100000000004</v>
      </c>
      <c r="Y11" s="59">
        <f>'M1'!D9*1</f>
        <v>11.937799999999999</v>
      </c>
      <c r="Z11" s="59">
        <f>'M1'!E9*1</f>
        <v>50</v>
      </c>
      <c r="AA11" s="59">
        <f>'M1'!F9*1</f>
        <v>45.617899999999999</v>
      </c>
      <c r="AB11" s="59">
        <f>'M1'!G9*1</f>
        <v>100</v>
      </c>
      <c r="AC11" s="59">
        <f>'M1'!H9*1</f>
        <v>79.9709</v>
      </c>
      <c r="AE11" s="27" t="str">
        <f t="shared" si="12"/>
        <v>平衡</v>
      </c>
      <c r="AF11" s="59">
        <f>'M2'!B9*1</f>
        <v>60.734400000000001</v>
      </c>
      <c r="AG11" s="59">
        <f>'M2'!C9*1</f>
        <v>6.4220199999999998</v>
      </c>
      <c r="AH11" s="59">
        <f>'M2'!D9*1</f>
        <v>10.5739</v>
      </c>
      <c r="AI11" s="59">
        <f>'M2'!E9*1</f>
        <v>50</v>
      </c>
      <c r="AJ11" s="59">
        <f>'M2'!F9*1</f>
        <v>49.186799999999998</v>
      </c>
      <c r="AK11" s="59">
        <f>'M2'!G9*1</f>
        <v>100</v>
      </c>
      <c r="AL11" s="59">
        <f>'M2'!H9*1</f>
        <v>73.222399999999993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19.850110000000001</v>
      </c>
      <c r="D12" s="51">
        <f>N13</f>
        <v>-0.49080000000000013</v>
      </c>
      <c r="E12" s="53">
        <f>T13</f>
        <v>-0.35120000000000573</v>
      </c>
      <c r="F12" s="53">
        <f>P13</f>
        <v>-18.549199999999999</v>
      </c>
      <c r="G12" s="73" t="str">
        <f>CONCATENATE(M14,"
(50 ~ 100)")</f>
        <v>自我调节
(50 ~ 100)</v>
      </c>
      <c r="H12" s="24">
        <f>R14</f>
        <v>1.7081999999999979</v>
      </c>
      <c r="I12" s="52">
        <f>N14</f>
        <v>-8.4591000000000065</v>
      </c>
      <c r="J12" s="24">
        <f>T14</f>
        <v>-7.2674999999999983</v>
      </c>
      <c r="K12" s="25">
        <f>P14</f>
        <v>-1.8235900000000003</v>
      </c>
      <c r="L12" s="4"/>
      <c r="M12" s="27" t="str">
        <f>lang!B19</f>
        <v>自信</v>
      </c>
      <c r="N12" s="59">
        <f t="shared" si="4"/>
        <v>-6.4980999999999938</v>
      </c>
      <c r="O12" s="59">
        <f t="shared" si="5"/>
        <v>-1.2537199999999999</v>
      </c>
      <c r="P12" s="59">
        <f t="shared" si="6"/>
        <v>-1.2984599999999999</v>
      </c>
      <c r="Q12" s="59">
        <f t="shared" si="7"/>
        <v>0</v>
      </c>
      <c r="R12" s="59">
        <f t="shared" si="8"/>
        <v>-2.0610999999999962</v>
      </c>
      <c r="S12" s="59">
        <f t="shared" si="9"/>
        <v>0</v>
      </c>
      <c r="T12" s="59">
        <f t="shared" si="10"/>
        <v>-6.1251999999999924</v>
      </c>
      <c r="U12" s="15"/>
      <c r="V12" s="27" t="str">
        <f t="shared" si="11"/>
        <v>自信</v>
      </c>
      <c r="W12" s="59">
        <f>'M1'!B10*1</f>
        <v>82.588099999999997</v>
      </c>
      <c r="X12" s="59">
        <f>'M1'!C10*1</f>
        <v>3.3771900000000001</v>
      </c>
      <c r="Y12" s="59">
        <f>'M1'!D10*1</f>
        <v>4.0891999999999999</v>
      </c>
      <c r="Z12" s="59">
        <f>'M1'!E10*1</f>
        <v>40</v>
      </c>
      <c r="AA12" s="59">
        <f>'M1'!F10*1</f>
        <v>75.419499999999999</v>
      </c>
      <c r="AB12" s="59">
        <f>'M1'!G10*1</f>
        <v>100</v>
      </c>
      <c r="AC12" s="59">
        <f>'M1'!H10*1</f>
        <v>87.951099999999997</v>
      </c>
      <c r="AE12" s="27" t="str">
        <f t="shared" si="12"/>
        <v>自信</v>
      </c>
      <c r="AF12" s="59">
        <f>'M2'!B10*1</f>
        <v>76.09</v>
      </c>
      <c r="AG12" s="59">
        <f>'M2'!C10*1</f>
        <v>2.1234700000000002</v>
      </c>
      <c r="AH12" s="59">
        <f>'M2'!D10*1</f>
        <v>2.79074</v>
      </c>
      <c r="AI12" s="59">
        <f>'M2'!E10*1</f>
        <v>40</v>
      </c>
      <c r="AJ12" s="59">
        <f>'M2'!F10*1</f>
        <v>73.358400000000003</v>
      </c>
      <c r="AK12" s="59">
        <f>'M2'!G10*1</f>
        <v>100</v>
      </c>
      <c r="AL12" s="59">
        <f>'M2'!H10*1</f>
        <v>81.825900000000004</v>
      </c>
    </row>
    <row r="13" spans="2:38" ht="25.5" customHeight="1" thickBot="1">
      <c r="B13" s="72" t="str">
        <f>CONCATENATE(M15,"
(10 ~ 25)")</f>
        <v>抑郁
(10 ~ 25)</v>
      </c>
      <c r="C13" s="54">
        <f>R15</f>
        <v>-1.1557999999999993</v>
      </c>
      <c r="D13" s="55">
        <f>N15</f>
        <v>0.29210000000000136</v>
      </c>
      <c r="E13" s="56">
        <f>T15</f>
        <v>-1.0343000000000018</v>
      </c>
      <c r="F13" s="56">
        <f>P15</f>
        <v>0.66329999999999956</v>
      </c>
      <c r="G13" s="74" t="str">
        <f>CONCATENATE(M16,"
(10 ~ 50)")</f>
        <v>神经质
(10 ~ 50)</v>
      </c>
      <c r="H13" s="54">
        <f>R16</f>
        <v>1.17794</v>
      </c>
      <c r="I13" s="55">
        <f>N16</f>
        <v>2.078000000000003</v>
      </c>
      <c r="J13" s="56">
        <f>T16</f>
        <v>-5.1118999999999986</v>
      </c>
      <c r="K13" s="57">
        <f>P16</f>
        <v>-3.2864000000000004</v>
      </c>
      <c r="M13" s="27" t="str">
        <f>lang!B20</f>
        <v>活力</v>
      </c>
      <c r="N13" s="59">
        <f t="shared" si="4"/>
        <v>-0.49080000000000013</v>
      </c>
      <c r="O13" s="59">
        <f t="shared" si="5"/>
        <v>-6.3798000000000004</v>
      </c>
      <c r="P13" s="59">
        <f t="shared" si="6"/>
        <v>-18.549199999999999</v>
      </c>
      <c r="Q13" s="59">
        <f t="shared" si="7"/>
        <v>0</v>
      </c>
      <c r="R13" s="59">
        <f t="shared" si="8"/>
        <v>19.850110000000001</v>
      </c>
      <c r="S13" s="59">
        <f t="shared" si="9"/>
        <v>0</v>
      </c>
      <c r="T13" s="59">
        <f t="shared" si="10"/>
        <v>-0.35120000000000573</v>
      </c>
      <c r="U13" s="14"/>
      <c r="V13" s="27" t="str">
        <f t="shared" si="11"/>
        <v>活力</v>
      </c>
      <c r="W13" s="59">
        <f>'M1'!B11*1</f>
        <v>34.1768</v>
      </c>
      <c r="X13" s="59">
        <f>'M1'!C11*1</f>
        <v>9.1448900000000002</v>
      </c>
      <c r="Y13" s="59">
        <f>'M1'!D11*1</f>
        <v>26.7576</v>
      </c>
      <c r="Z13" s="59">
        <f>'M1'!E11*1</f>
        <v>10</v>
      </c>
      <c r="AA13" s="59">
        <f>'M1'!F11*1</f>
        <v>9.5861900000000002</v>
      </c>
      <c r="AB13" s="59">
        <f>'M1'!G11*1</f>
        <v>50</v>
      </c>
      <c r="AC13" s="59">
        <f>'M1'!H11*1</f>
        <v>39.529200000000003</v>
      </c>
      <c r="AE13" s="27" t="str">
        <f t="shared" si="12"/>
        <v>活力</v>
      </c>
      <c r="AF13" s="59">
        <f>'M2'!B11*1</f>
        <v>33.686</v>
      </c>
      <c r="AG13" s="59">
        <f>'M2'!C11*1</f>
        <v>2.7650899999999998</v>
      </c>
      <c r="AH13" s="59">
        <f>'M2'!D11*1</f>
        <v>8.2083999999999993</v>
      </c>
      <c r="AI13" s="59">
        <f>'M2'!E11*1</f>
        <v>10</v>
      </c>
      <c r="AJ13" s="59">
        <f>'M2'!F11*1</f>
        <v>29.436299999999999</v>
      </c>
      <c r="AK13" s="59">
        <f>'M2'!G11*1</f>
        <v>50</v>
      </c>
      <c r="AL13" s="59">
        <f>'M2'!H11*1</f>
        <v>39.177999999999997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-8.4591000000000065</v>
      </c>
      <c r="O14" s="59">
        <f t="shared" si="5"/>
        <v>-1.8937399999999998</v>
      </c>
      <c r="P14" s="59">
        <f t="shared" si="6"/>
        <v>-1.8235900000000003</v>
      </c>
      <c r="Q14" s="59">
        <f t="shared" si="7"/>
        <v>0</v>
      </c>
      <c r="R14" s="59">
        <f t="shared" si="8"/>
        <v>1.7081999999999979</v>
      </c>
      <c r="S14" s="59">
        <f t="shared" si="9"/>
        <v>0</v>
      </c>
      <c r="T14" s="59">
        <f t="shared" si="10"/>
        <v>-7.2674999999999983</v>
      </c>
      <c r="U14" s="14"/>
      <c r="V14" s="27" t="str">
        <f t="shared" si="11"/>
        <v>自我调节</v>
      </c>
      <c r="W14" s="59">
        <f>'M1'!B12*1</f>
        <v>77.087400000000002</v>
      </c>
      <c r="X14" s="59">
        <f>'M1'!C12*1</f>
        <v>5.8525999999999998</v>
      </c>
      <c r="Y14" s="59">
        <f>'M1'!D12*1</f>
        <v>7.5921500000000002</v>
      </c>
      <c r="Z14" s="59">
        <f>'M1'!E12*1</f>
        <v>50</v>
      </c>
      <c r="AA14" s="59">
        <f>'M1'!F12*1</f>
        <v>60.591200000000001</v>
      </c>
      <c r="AB14" s="59">
        <f>'M1'!G12*1</f>
        <v>100</v>
      </c>
      <c r="AC14" s="59">
        <f>'M1'!H12*1</f>
        <v>83.410799999999995</v>
      </c>
      <c r="AE14" s="27" t="str">
        <f t="shared" si="12"/>
        <v>自我调节</v>
      </c>
      <c r="AF14" s="59">
        <f>'M2'!B12*1</f>
        <v>68.628299999999996</v>
      </c>
      <c r="AG14" s="59">
        <f>'M2'!C12*1</f>
        <v>3.95886</v>
      </c>
      <c r="AH14" s="59">
        <f>'M2'!D12*1</f>
        <v>5.7685599999999999</v>
      </c>
      <c r="AI14" s="59">
        <f>'M2'!E12*1</f>
        <v>50</v>
      </c>
      <c r="AJ14" s="59">
        <f>'M2'!F12*1</f>
        <v>62.299399999999999</v>
      </c>
      <c r="AK14" s="59">
        <f>'M2'!G12*1</f>
        <v>100</v>
      </c>
      <c r="AL14" s="59">
        <f>'M2'!H12*1</f>
        <v>76.143299999999996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0.29210000000000136</v>
      </c>
      <c r="O15" s="59">
        <f t="shared" si="5"/>
        <v>0.20779999999999976</v>
      </c>
      <c r="P15" s="59">
        <f t="shared" si="6"/>
        <v>0.66329999999999956</v>
      </c>
      <c r="Q15" s="59">
        <f t="shared" si="7"/>
        <v>0</v>
      </c>
      <c r="R15" s="59">
        <f t="shared" si="8"/>
        <v>-1.1557999999999993</v>
      </c>
      <c r="S15" s="59">
        <f t="shared" si="9"/>
        <v>0</v>
      </c>
      <c r="T15" s="59">
        <f t="shared" si="10"/>
        <v>-1.0343000000000018</v>
      </c>
      <c r="U15" s="14"/>
      <c r="V15" s="27" t="str">
        <f t="shared" si="11"/>
        <v>抑郁</v>
      </c>
      <c r="W15" s="59">
        <f>'M1'!B13*1</f>
        <v>24.439399999999999</v>
      </c>
      <c r="X15" s="59">
        <f>'M1'!C13*1</f>
        <v>3.66005</v>
      </c>
      <c r="Y15" s="59">
        <f>'M1'!D13*1</f>
        <v>14.976100000000001</v>
      </c>
      <c r="Z15" s="59">
        <f>'M1'!E13*1</f>
        <v>10</v>
      </c>
      <c r="AA15" s="59">
        <f>'M1'!F13*1</f>
        <v>19.2685</v>
      </c>
      <c r="AB15" s="59">
        <f>'M1'!G13*1</f>
        <v>25</v>
      </c>
      <c r="AC15" s="59">
        <f>'M1'!H13*1</f>
        <v>36.052900000000001</v>
      </c>
      <c r="AE15" s="27" t="str">
        <f t="shared" si="12"/>
        <v>抑郁</v>
      </c>
      <c r="AF15" s="59">
        <f>'M2'!B13*1</f>
        <v>24.7315</v>
      </c>
      <c r="AG15" s="59">
        <f>'M2'!C13*1</f>
        <v>3.8678499999999998</v>
      </c>
      <c r="AH15" s="59">
        <f>'M2'!D13*1</f>
        <v>15.6394</v>
      </c>
      <c r="AI15" s="59">
        <f>'M2'!E13*1</f>
        <v>10</v>
      </c>
      <c r="AJ15" s="59">
        <f>'M2'!F13*1</f>
        <v>18.1127</v>
      </c>
      <c r="AK15" s="59">
        <f>'M2'!G13*1</f>
        <v>25</v>
      </c>
      <c r="AL15" s="59">
        <f>'M2'!H13*1</f>
        <v>35.018599999999999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2.078000000000003</v>
      </c>
      <c r="O16" s="59">
        <f t="shared" si="5"/>
        <v>-0.5340000000000007</v>
      </c>
      <c r="P16" s="59">
        <f t="shared" si="6"/>
        <v>-3.2864000000000004</v>
      </c>
      <c r="Q16" s="59">
        <f t="shared" si="7"/>
        <v>0</v>
      </c>
      <c r="R16" s="59">
        <f t="shared" si="8"/>
        <v>1.17794</v>
      </c>
      <c r="S16" s="59">
        <f t="shared" si="9"/>
        <v>0</v>
      </c>
      <c r="T16" s="59">
        <f t="shared" si="10"/>
        <v>-5.1118999999999986</v>
      </c>
      <c r="U16" s="15"/>
      <c r="V16" s="27" t="str">
        <f t="shared" si="11"/>
        <v>神经质</v>
      </c>
      <c r="W16" s="59">
        <f>'M1'!B14*1</f>
        <v>36.600499999999997</v>
      </c>
      <c r="X16" s="59">
        <f>'M1'!C14*1</f>
        <v>12.9824</v>
      </c>
      <c r="Y16" s="59">
        <f>'M1'!D14*1</f>
        <v>35.470599999999997</v>
      </c>
      <c r="Z16" s="59">
        <f>'M1'!E14*1</f>
        <v>10</v>
      </c>
      <c r="AA16" s="59">
        <f>'M1'!F14*1</f>
        <v>2.8296399999999999</v>
      </c>
      <c r="AB16" s="59">
        <f>'M1'!G14*1</f>
        <v>50</v>
      </c>
      <c r="AC16" s="59">
        <f>'M1'!H14*1</f>
        <v>42.771999999999998</v>
      </c>
      <c r="AE16" s="27" t="str">
        <f t="shared" si="12"/>
        <v>神经质</v>
      </c>
      <c r="AF16" s="59">
        <f>'M2'!B14*1</f>
        <v>38.6785</v>
      </c>
      <c r="AG16" s="59">
        <f>'M2'!C14*1</f>
        <v>12.448399999999999</v>
      </c>
      <c r="AH16" s="59">
        <f>'M2'!D14*1</f>
        <v>32.184199999999997</v>
      </c>
      <c r="AI16" s="59">
        <f>'M2'!E14*1</f>
        <v>10</v>
      </c>
      <c r="AJ16" s="59">
        <f>'M2'!F14*1</f>
        <v>4.0075799999999999</v>
      </c>
      <c r="AK16" s="59">
        <f>'M2'!G14*1</f>
        <v>50</v>
      </c>
      <c r="AL16" s="59">
        <f>'M2'!H14*1</f>
        <v>37.6601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-6.5406499999999994</v>
      </c>
      <c r="O17" s="22">
        <f>N17/(N17+N18+N19)</f>
        <v>-2.5447277042339822</v>
      </c>
      <c r="P17" s="65">
        <f>SUM(P11:P14)/4</f>
        <v>-5.7587874999999995</v>
      </c>
      <c r="Q17" s="22">
        <f>P17/(P17+P18+P19)</f>
        <v>0.26776175299054855</v>
      </c>
      <c r="R17" s="14"/>
      <c r="S17" s="14"/>
      <c r="T17" s="14"/>
      <c r="U17" s="14"/>
      <c r="V17" s="21" t="str">
        <f>M17</f>
        <v>Positive</v>
      </c>
      <c r="W17" s="65">
        <f>SUM(W11:W14)/4</f>
        <v>66.325325000000007</v>
      </c>
      <c r="X17" s="22">
        <f>W17/(W17+W18+W19)</f>
        <v>0.53723976753609448</v>
      </c>
      <c r="Y17" s="65">
        <f>SUM(Y11:Y14)/4</f>
        <v>12.5941875</v>
      </c>
      <c r="Z17" s="22">
        <f>Y17/(Y17+Y18+Y19)</f>
        <v>0.19129683737979336</v>
      </c>
      <c r="AA17" s="14"/>
      <c r="AB17" s="14"/>
      <c r="AC17" s="14"/>
      <c r="AE17" s="21" t="str">
        <f>V17</f>
        <v>Positive</v>
      </c>
      <c r="AF17" s="65">
        <f>SUM(AF11:AF14)/4</f>
        <v>59.784675</v>
      </c>
      <c r="AG17" s="22">
        <f>AF17/(AF17+AF18+AF19)</f>
        <v>0.47438365892752293</v>
      </c>
      <c r="AH17" s="65">
        <f>SUM(AH11:AH14)/4</f>
        <v>6.8353999999999999</v>
      </c>
      <c r="AI17" s="22">
        <f>AH17/(AH17+AH18+AH19)</f>
        <v>0.15419805293206737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7.9258749999999978</v>
      </c>
      <c r="O18" s="22">
        <f>N18/(N17+N18+N19)</f>
        <v>3.0836680899903692</v>
      </c>
      <c r="P18" s="18">
        <f>SUM(P7:P10)/4</f>
        <v>-14.436795</v>
      </c>
      <c r="Q18" s="22">
        <f>P18/(P17+P18+P19)</f>
        <v>0.67125615188356702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26.61045</v>
      </c>
      <c r="X18" s="22">
        <f>W18/(W17+W18+W19)</f>
        <v>0.21554650462746866</v>
      </c>
      <c r="Y18" s="18">
        <f>SUM(Y7:Y10)/4</f>
        <v>28.0183</v>
      </c>
      <c r="Z18" s="22">
        <f>Y18/(Y17+Y18+Y19)</f>
        <v>0.42557824224534246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34.536324999999998</v>
      </c>
      <c r="AG18" s="22">
        <f>AF18/(AF17+AF18+AF19)</f>
        <v>0.27404126926189831</v>
      </c>
      <c r="AH18" s="18">
        <f>SUM(AH7:AH10)/4</f>
        <v>13.581505</v>
      </c>
      <c r="AI18" s="22">
        <f>AH18/(AH17+AH18+AH19)</f>
        <v>0.30638172263322377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1.1850500000000022</v>
      </c>
      <c r="O19" s="22">
        <f>N19/(N17+N18+N19)</f>
        <v>0.4610596142436128</v>
      </c>
      <c r="P19" s="18">
        <f>(P15+P16)/2</f>
        <v>-1.3115500000000004</v>
      </c>
      <c r="Q19" s="22">
        <f>P19/(P17+P18+P19)</f>
        <v>6.0982095125884421E-2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30.519949999999998</v>
      </c>
      <c r="X19" s="22">
        <f>W19/(W17+W18+W19)</f>
        <v>0.24721372783643689</v>
      </c>
      <c r="Y19" s="18">
        <f>(Y15+Y16)/2</f>
        <v>25.22335</v>
      </c>
      <c r="Z19" s="22">
        <f>Y19/(Y17+Y18+Y19)</f>
        <v>0.38312492037486423</v>
      </c>
      <c r="AA19" s="14"/>
      <c r="AB19" s="14"/>
      <c r="AC19" s="14"/>
      <c r="AE19" s="21" t="str">
        <f t="shared" si="14"/>
        <v>Physiological</v>
      </c>
      <c r="AF19" s="18">
        <f>(AF15+AF16)/2</f>
        <v>31.704999999999998</v>
      </c>
      <c r="AG19" s="22">
        <f>AF19/(AF17+AF18+AF19)</f>
        <v>0.25157507181057875</v>
      </c>
      <c r="AH19" s="18">
        <f>(AH15+AH16)/2</f>
        <v>23.911799999999999</v>
      </c>
      <c r="AI19" s="22">
        <f>AH19/(AH17+AH18+AH19)</f>
        <v>0.53942022443470883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2.17/2.39</v>
      </c>
      <c r="D24" s="44" t="str">
        <f>lang!B11</f>
        <v>频率方差</v>
      </c>
      <c r="E24" s="182" t="str">
        <f ca="1">CONCATENATE(ROUND('FH1'!L3,2),"/",ROUND('FH2'!L3,2))</f>
        <v>0.78/0.71</v>
      </c>
      <c r="F24" s="183"/>
      <c r="G24" s="174" t="str">
        <f>lang!B12</f>
        <v>生理变化率</v>
      </c>
      <c r="H24" s="175"/>
      <c r="I24" s="62" t="str">
        <f ca="1">CONCATENATE(info!M7,"-",info!M8)</f>
        <v>27.3-58.5</v>
      </c>
      <c r="J24" s="42" t="str">
        <f>lang!B13</f>
        <v>千卡l/分钟</v>
      </c>
      <c r="K24" s="41" t="str">
        <f ca="1">CONCATENATE(info!M5,"-",info!M6)</f>
        <v>2.6-5.3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-2.2948000000000022</v>
      </c>
      <c r="F27" s="121"/>
      <c r="G27" s="135" t="str">
        <f>lang!B33</f>
        <v>稳定性</v>
      </c>
      <c r="H27" s="136"/>
      <c r="I27" s="137"/>
      <c r="J27" s="138">
        <f>dM!B19*100</f>
        <v>4.8201999999999963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-0.95144106319139321</v>
      </c>
      <c r="C2">
        <f t="array" aca="1" ref="C2" ca="1">CORREL(FT_E02,FT_PH02)</f>
        <v>-0.30750305245526549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2.6108099999999999</v>
      </c>
      <c r="G2" s="61">
        <f>IF(FT!B2&lt;&gt;"",FT!B2*100,"")</f>
        <v>58.475999999999992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2.6824700000000004</v>
      </c>
      <c r="G3" s="61">
        <f>IF(FT!B3&lt;&gt;"",FT!B3*100,"")</f>
        <v>57.901599999999995</v>
      </c>
      <c r="H3" s="61">
        <f t="shared" ref="H3:H66" si="1">(IF(F3&lt;&gt;"",1,""))</f>
        <v>1</v>
      </c>
      <c r="I3" t="str">
        <f>IF(FT!B3&lt;&gt;"",FT!E3,"")</f>
        <v>1 [0.384258]</v>
      </c>
      <c r="J3">
        <f>IF(FT!B3&lt;&gt;"",FT!C3,"")</f>
        <v>0.38425799999999999</v>
      </c>
      <c r="K3" t="s">
        <v>52</v>
      </c>
      <c r="L3">
        <f>SUM(H2:H2005)</f>
        <v>149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0.36987054054054042</v>
      </c>
      <c r="V3">
        <f ca="1">AVERAGE(OFFSET(FT!B2,info!$L$3/2,0,info!$L$3/2,1))</f>
        <v>0.30513406756756761</v>
      </c>
      <c r="W3">
        <f ca="1">AVERAGE(OFFSET(FT!A2,0,0,info!$L$3/2,1))</f>
        <v>0.46069917567567581</v>
      </c>
      <c r="X3">
        <f ca="1">AVERAGE(OFFSET(FT!A2,info!$L$3/2,0,info!$L$3/2,1))</f>
        <v>0.4737939189189187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2.7545700000000002</v>
      </c>
      <c r="G4" s="61">
        <f>IF(FT!B4&lt;&gt;"",FT!B4*100,"")</f>
        <v>57.151499999999999</v>
      </c>
      <c r="H4" s="61">
        <f t="shared" si="1"/>
        <v>1</v>
      </c>
      <c r="I4" t="str">
        <f>IF(FT!B4&lt;&gt;"",FT!E4,"")</f>
        <v>1 [0.792168]</v>
      </c>
      <c r="J4">
        <f>IF(FT!B4&lt;&gt;"",FT!C4,"")</f>
        <v>0.79216799999999998</v>
      </c>
      <c r="O4">
        <f>O3+1</f>
        <v>1</v>
      </c>
      <c r="P4">
        <v>0</v>
      </c>
      <c r="Q4">
        <f>IF(R4=1998,0,R4)</f>
        <v>74</v>
      </c>
      <c r="R4">
        <f t="array" ref="R4">MAX(IF(ft_nq=O4,row_n))</f>
        <v>74</v>
      </c>
      <c r="S4">
        <f>Q4-P4+1</f>
        <v>75</v>
      </c>
      <c r="U4">
        <f>MAX(FT!C2:C4000)/4</f>
        <v>15.037675</v>
      </c>
      <c r="V4">
        <f>U4*3</f>
        <v>45.113025</v>
      </c>
      <c r="W4">
        <f>U4</f>
        <v>15.037675</v>
      </c>
      <c r="X4">
        <f>V4</f>
        <v>45.113025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2.8247100000000005</v>
      </c>
      <c r="G5" s="61">
        <f>IF(FT!B5&lt;&gt;"",FT!B5*100,"")</f>
        <v>56.1419</v>
      </c>
      <c r="H5" s="61">
        <f t="shared" si="1"/>
        <v>1</v>
      </c>
      <c r="I5" t="str">
        <f>IF(FT!B5&lt;&gt;"",FT!E5,"")</f>
        <v>1 [1.197207]</v>
      </c>
      <c r="J5">
        <f>IF(FT!B5&lt;&gt;"",FT!C5,"")</f>
        <v>1.1972100000000001</v>
      </c>
      <c r="K5" t="s">
        <v>53</v>
      </c>
      <c r="L5" s="63">
        <f ca="1">MIN(FT_E)</f>
        <v>2.6108099999999999</v>
      </c>
      <c r="M5" s="63">
        <f ca="1">ROUND(L5,1)</f>
        <v>2.6</v>
      </c>
      <c r="O5">
        <f t="shared" ref="O5:O27" si="4">O4+1</f>
        <v>2</v>
      </c>
      <c r="P5">
        <f>IF(OR(R5=1998,R5=0),0,Q4)</f>
        <v>74</v>
      </c>
      <c r="Q5">
        <f>IF(R5=1998,0,R5)</f>
        <v>148</v>
      </c>
      <c r="R5">
        <f t="array" ref="R5">MAX(IF(ft_nq=O5,row_n))</f>
        <v>148</v>
      </c>
      <c r="S5">
        <f t="shared" ref="S5:S27" si="5">Q5-P5+1</f>
        <v>75</v>
      </c>
      <c r="U5">
        <f ca="1">U3*100</f>
        <v>36.987054054054042</v>
      </c>
      <c r="V5">
        <f ca="1">V3*100</f>
        <v>30.513406756756762</v>
      </c>
      <c r="W5">
        <f ca="1">W3*10</f>
        <v>4.6069917567567584</v>
      </c>
      <c r="X5">
        <f ca="1">X3*10</f>
        <v>4.7379391891891869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2.8954999999999997</v>
      </c>
      <c r="G6" s="61">
        <f>IF(FT!B6&lt;&gt;"",FT!B6*100,"")</f>
        <v>55.0762</v>
      </c>
      <c r="H6" s="61">
        <f t="shared" si="1"/>
        <v>1</v>
      </c>
      <c r="I6" t="str">
        <f>IF(FT!B6&lt;&gt;"",FT!E6,"")</f>
        <v>1 [1.600961]</v>
      </c>
      <c r="J6">
        <f>IF(FT!B6&lt;&gt;"",FT!C6,"")</f>
        <v>1.6009599999999999</v>
      </c>
      <c r="K6" t="s">
        <v>54</v>
      </c>
      <c r="L6" s="63">
        <f ca="1">MAX(FT_E)</f>
        <v>5.3185700000000002</v>
      </c>
      <c r="M6" s="63">
        <f ca="1">ROUND(L6,1)</f>
        <v>5.3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2.9702999999999999</v>
      </c>
      <c r="G7" s="61">
        <f>IF(FT!B7&lt;&gt;"",FT!B7*100,"")</f>
        <v>54.004200000000004</v>
      </c>
      <c r="H7" s="61">
        <f t="shared" si="1"/>
        <v>1</v>
      </c>
      <c r="I7" t="str">
        <f>IF(FT!B7&lt;&gt;"",FT!E7,"")</f>
        <v>1 [2.008941]</v>
      </c>
      <c r="J7">
        <f>IF(FT!B7&lt;&gt;"",FT!C7,"")</f>
        <v>2.0089399999999999</v>
      </c>
      <c r="K7" t="s">
        <v>55</v>
      </c>
      <c r="L7" s="63">
        <f ca="1">MIN(FT_PH)</f>
        <v>27.272800000000004</v>
      </c>
      <c r="M7" s="63">
        <f ca="1">ROUND(L7,1)</f>
        <v>27.3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311</v>
      </c>
      <c r="D8" s="61">
        <f>FH!B8*1</f>
        <v>311</v>
      </c>
      <c r="E8">
        <f t="shared" si="3"/>
        <v>6</v>
      </c>
      <c r="F8" s="61">
        <f>IF(FT!A8&lt;&gt;"",FT!A8*10,"")</f>
        <v>3.0477599999999998</v>
      </c>
      <c r="G8" s="61">
        <f>IF(FT!B8&lt;&gt;"",FT!B8*100,"")</f>
        <v>52.924800000000005</v>
      </c>
      <c r="H8" s="61">
        <f t="shared" si="1"/>
        <v>1</v>
      </c>
      <c r="I8" t="str">
        <f>IF(FT!B8&lt;&gt;"",FT!E8,"")</f>
        <v>1 [2.412765]</v>
      </c>
      <c r="J8">
        <f>IF(FT!B8&lt;&gt;"",FT!C8,"")</f>
        <v>2.4127700000000001</v>
      </c>
      <c r="K8" t="s">
        <v>56</v>
      </c>
      <c r="L8" s="63">
        <f ca="1">MAX(FT_PH)</f>
        <v>58.475999999999992</v>
      </c>
      <c r="M8" s="63">
        <f ca="1">ROUND(L8,1)</f>
        <v>58.5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3.12568</v>
      </c>
      <c r="G9" s="61">
        <f>IF(FT!B9&lt;&gt;"",FT!B9*100,"")</f>
        <v>51.767200000000003</v>
      </c>
      <c r="H9" s="61">
        <f t="shared" si="1"/>
        <v>1</v>
      </c>
      <c r="I9" t="str">
        <f>IF(FT!B9&lt;&gt;"",FT!E9,"")</f>
        <v>1 [2.819721]</v>
      </c>
      <c r="J9">
        <f>IF(FT!B9&lt;&gt;"",FT!C9,"")</f>
        <v>2.8197199999999998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767</v>
      </c>
      <c r="D10" s="61">
        <f>FH!B10*1</f>
        <v>767</v>
      </c>
      <c r="E10">
        <f t="shared" si="3"/>
        <v>8</v>
      </c>
      <c r="F10" s="61">
        <f>IF(FT!A10&lt;&gt;"",FT!A10*10,"")</f>
        <v>3.20749</v>
      </c>
      <c r="G10" s="61">
        <f>IF(FT!B10&lt;&gt;"",FT!B10*100,"")</f>
        <v>50.381699999999995</v>
      </c>
      <c r="H10" s="61">
        <f t="shared" si="1"/>
        <v>1</v>
      </c>
      <c r="I10" t="str">
        <f>IF(FT!B10&lt;&gt;"",FT!E10,"")</f>
        <v>1 [3.227684]</v>
      </c>
      <c r="J10">
        <f>IF(FT!B10&lt;&gt;"",FT!C10,"")</f>
        <v>3.2276799999999999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3.2926000000000002</v>
      </c>
      <c r="G11" s="61">
        <f>IF(FT!B11&lt;&gt;"",FT!B11*100,"")</f>
        <v>48.859700000000004</v>
      </c>
      <c r="H11" s="61">
        <f t="shared" si="1"/>
        <v>1</v>
      </c>
      <c r="I11" t="str">
        <f>IF(FT!B11&lt;&gt;"",FT!E11,"")</f>
        <v>1 [3.636631]</v>
      </c>
      <c r="J11">
        <f>IF(FT!B11&lt;&gt;"",FT!C11,"")</f>
        <v>3.6366299999999998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3.37696</v>
      </c>
      <c r="G12" s="61">
        <f>IF(FT!B12&lt;&gt;"",FT!B12*100,"")</f>
        <v>47.437899999999999</v>
      </c>
      <c r="H12" s="61">
        <f t="shared" si="1"/>
        <v>1</v>
      </c>
      <c r="I12" t="str">
        <f>IF(FT!B12&lt;&gt;"",FT!E12,"")</f>
        <v>1 [4.041438]</v>
      </c>
      <c r="J12">
        <f>IF(FT!B12&lt;&gt;"",FT!C12,"")</f>
        <v>4.0414399999999997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1053</v>
      </c>
      <c r="D13" s="61">
        <f>FH!B13*1</f>
        <v>1053</v>
      </c>
      <c r="E13">
        <f t="shared" si="3"/>
        <v>11</v>
      </c>
      <c r="F13" s="61">
        <f>IF(FT!A13&lt;&gt;"",FT!A13*10,"")</f>
        <v>3.4616599999999997</v>
      </c>
      <c r="G13" s="61">
        <f>IF(FT!B13&lt;&gt;"",FT!B13*100,"")</f>
        <v>46.1614</v>
      </c>
      <c r="H13" s="61">
        <f t="shared" si="1"/>
        <v>1</v>
      </c>
      <c r="I13" t="str">
        <f>IF(FT!B13&lt;&gt;"",FT!E13,"")</f>
        <v>1 [4.446550]</v>
      </c>
      <c r="J13">
        <f>IF(FT!B13&lt;&gt;"",FT!C13,"")</f>
        <v>4.4465500000000002</v>
      </c>
      <c r="L13" s="67">
        <f t="array" ref="L13">MAX(IF(ft_nq=2,row_n))</f>
        <v>148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3.5454499999999998</v>
      </c>
      <c r="G14" s="61">
        <f>IF(FT!B14&lt;&gt;"",FT!B14*100,"")</f>
        <v>44.959299999999999</v>
      </c>
      <c r="H14" s="61">
        <f t="shared" si="1"/>
        <v>1</v>
      </c>
      <c r="I14" t="str">
        <f>IF(FT!B14&lt;&gt;"",FT!E14,"")</f>
        <v>1 [4.851298]</v>
      </c>
      <c r="J14">
        <f>IF(FT!B14&lt;&gt;"",FT!C14,"")</f>
        <v>4.8513000000000002</v>
      </c>
      <c r="L14">
        <f>L13+1</f>
        <v>149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657</v>
      </c>
      <c r="D15" s="61">
        <f>FH!B15*1</f>
        <v>657</v>
      </c>
      <c r="E15">
        <f t="shared" si="3"/>
        <v>13</v>
      </c>
      <c r="F15" s="61">
        <f>IF(FT!A15&lt;&gt;"",FT!A15*10,"")</f>
        <v>3.6296099999999996</v>
      </c>
      <c r="G15" s="61">
        <f>IF(FT!B15&lt;&gt;"",FT!B15*100,"")</f>
        <v>43.796700000000001</v>
      </c>
      <c r="H15" s="61">
        <f t="shared" si="1"/>
        <v>1</v>
      </c>
      <c r="I15" t="str">
        <f>IF(FT!B15&lt;&gt;"",FT!E15,"")</f>
        <v>1 [5.261231]</v>
      </c>
      <c r="J15">
        <f>IF(FT!B15&lt;&gt;"",FT!C15,"")</f>
        <v>5.2612300000000003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3.7143900000000003</v>
      </c>
      <c r="G16" s="61">
        <f>IF(FT!B16&lt;&gt;"",FT!B16*100,"")</f>
        <v>42.595100000000002</v>
      </c>
      <c r="H16" s="61">
        <f t="shared" si="1"/>
        <v>1</v>
      </c>
      <c r="I16" t="str">
        <f>IF(FT!B16&lt;&gt;"",FT!E16,"")</f>
        <v>1 [5.669110]</v>
      </c>
      <c r="J16">
        <f>IF(FT!B16&lt;&gt;"",FT!C16,"")</f>
        <v>5.6691099999999999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3.8010699999999997</v>
      </c>
      <c r="G17" s="61">
        <f>IF(FT!B17&lt;&gt;"",FT!B17*100,"")</f>
        <v>41.5182</v>
      </c>
      <c r="H17" s="61">
        <f t="shared" si="1"/>
        <v>1</v>
      </c>
      <c r="I17" t="str">
        <f>IF(FT!B17&lt;&gt;"",FT!E17,"")</f>
        <v>1 [6.073032]</v>
      </c>
      <c r="J17">
        <f>IF(FT!B17&lt;&gt;"",FT!C17,"")</f>
        <v>6.0730300000000002</v>
      </c>
      <c r="L17">
        <f>L3+1</f>
        <v>150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1718</v>
      </c>
      <c r="D18" s="61">
        <f>FH!B18*1</f>
        <v>1718</v>
      </c>
      <c r="E18">
        <f t="shared" si="3"/>
        <v>16</v>
      </c>
      <c r="F18" s="61">
        <f>IF(FT!A18&lt;&gt;"",FT!A18*10,"")</f>
        <v>3.8895</v>
      </c>
      <c r="G18" s="61">
        <f>IF(FT!B18&lt;&gt;"",FT!B18*100,"")</f>
        <v>40.594000000000001</v>
      </c>
      <c r="H18" s="61">
        <f t="shared" si="1"/>
        <v>1</v>
      </c>
      <c r="I18" t="str">
        <f>IF(FT!B18&lt;&gt;"",FT!E18,"")</f>
        <v>1 [6.477959]</v>
      </c>
      <c r="J18">
        <f>IF(FT!B18&lt;&gt;"",FT!C18,"")</f>
        <v>6.4779600000000004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3.9793699999999999</v>
      </c>
      <c r="G19" s="61">
        <f>IF(FT!B19&lt;&gt;"",FT!B19*100,"")</f>
        <v>39.748400000000004</v>
      </c>
      <c r="H19" s="61">
        <f t="shared" si="1"/>
        <v>1</v>
      </c>
      <c r="I19" t="str">
        <f>IF(FT!B19&lt;&gt;"",FT!E19,"")</f>
        <v>1 [6.882205]</v>
      </c>
      <c r="J19">
        <f>IF(FT!B19&lt;&gt;"",FT!C19,"")</f>
        <v>6.8822099999999997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4.0705299999999998</v>
      </c>
      <c r="G20" s="61">
        <f>IF(FT!B20&lt;&gt;"",FT!B20*100,"")</f>
        <v>38.905000000000001</v>
      </c>
      <c r="H20" s="61">
        <f t="shared" si="1"/>
        <v>1</v>
      </c>
      <c r="I20" t="str">
        <f>IF(FT!B20&lt;&gt;"",FT!E20,"")</f>
        <v>1 [7.287959]</v>
      </c>
      <c r="J20">
        <f>IF(FT!B20&lt;&gt;"",FT!C20,"")</f>
        <v>7.28796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3710</v>
      </c>
      <c r="D21" s="61">
        <f>FH!B21*1</f>
        <v>3710</v>
      </c>
      <c r="E21">
        <f t="shared" si="3"/>
        <v>19</v>
      </c>
      <c r="F21" s="61">
        <f>IF(FT!A21&lt;&gt;"",FT!A21*10,"")</f>
        <v>4.1587399999999999</v>
      </c>
      <c r="G21" s="61">
        <f>IF(FT!B21&lt;&gt;"",FT!B21*100,"")</f>
        <v>38.152099999999997</v>
      </c>
      <c r="H21" s="61">
        <f t="shared" si="1"/>
        <v>1</v>
      </c>
      <c r="I21" t="str">
        <f>IF(FT!B21&lt;&gt;"",FT!E21,"")</f>
        <v>1 [7.697694]</v>
      </c>
      <c r="J21">
        <f>IF(FT!B21&lt;&gt;"",FT!C21,"")</f>
        <v>7.6976899999999997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4.2434699999999994</v>
      </c>
      <c r="G22" s="61">
        <f>IF(FT!B22&lt;&gt;"",FT!B22*100,"")</f>
        <v>37.613799999999998</v>
      </c>
      <c r="H22" s="61">
        <f t="shared" si="1"/>
        <v>1</v>
      </c>
      <c r="I22" t="str">
        <f>IF(FT!B22&lt;&gt;"",FT!E22,"")</f>
        <v>1 [8.100669]</v>
      </c>
      <c r="J22">
        <f>IF(FT!B22&lt;&gt;"",FT!C22,"")</f>
        <v>8.1006699999999991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4680</v>
      </c>
      <c r="D23" s="61">
        <f>FH!B23*1</f>
        <v>4680</v>
      </c>
      <c r="E23">
        <f t="shared" si="3"/>
        <v>21</v>
      </c>
      <c r="F23" s="61">
        <f>IF(FT!A23&lt;&gt;"",FT!A23*10,"")</f>
        <v>4.3230599999999999</v>
      </c>
      <c r="G23" s="61">
        <f>IF(FT!B23&lt;&gt;"",FT!B23*100,"")</f>
        <v>37.378499999999995</v>
      </c>
      <c r="H23" s="61">
        <f t="shared" si="1"/>
        <v>1</v>
      </c>
      <c r="I23" t="str">
        <f>IF(FT!B23&lt;&gt;"",FT!E23,"")</f>
        <v>1 [8.509503]</v>
      </c>
      <c r="J23">
        <f>IF(FT!B23&lt;&gt;"",FT!C23,"")</f>
        <v>8.5094999999999992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4.3994900000000001</v>
      </c>
      <c r="G24" s="61">
        <f>IF(FT!B24&lt;&gt;"",FT!B24*100,"")</f>
        <v>37.297999999999995</v>
      </c>
      <c r="H24" s="61">
        <f t="shared" si="1"/>
        <v>1</v>
      </c>
      <c r="I24" t="str">
        <f>IF(FT!B24&lt;&gt;"",FT!E24,"")</f>
        <v>1 [8.914441]</v>
      </c>
      <c r="J24">
        <f>IF(FT!B24&lt;&gt;"",FT!C24,"")</f>
        <v>8.9144400000000008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4.4732599999999998</v>
      </c>
      <c r="G25" s="61">
        <f>IF(FT!B25&lt;&gt;"",FT!B25*100,"")</f>
        <v>37.331199999999995</v>
      </c>
      <c r="H25" s="61">
        <f t="shared" si="1"/>
        <v>1</v>
      </c>
      <c r="I25" t="str">
        <f>IF(FT!B25&lt;&gt;"",FT!E25,"")</f>
        <v>1 [9.322353]</v>
      </c>
      <c r="J25">
        <f>IF(FT!B25&lt;&gt;"",FT!C25,"")</f>
        <v>9.3223500000000001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8132</v>
      </c>
      <c r="D26" s="61">
        <f>FH!B26*1</f>
        <v>8132</v>
      </c>
      <c r="E26">
        <f t="shared" si="3"/>
        <v>24</v>
      </c>
      <c r="F26" s="61">
        <f>IF(FT!A26&lt;&gt;"",FT!A26*10,"")</f>
        <v>4.54183</v>
      </c>
      <c r="G26" s="61">
        <f>IF(FT!B26&lt;&gt;"",FT!B26*100,"")</f>
        <v>37.4039</v>
      </c>
      <c r="H26" s="61">
        <f t="shared" si="1"/>
        <v>1</v>
      </c>
      <c r="I26" t="str">
        <f>IF(FT!B26&lt;&gt;"",FT!E26,"")</f>
        <v>1 [9.725777]</v>
      </c>
      <c r="J26">
        <f>IF(FT!B26&lt;&gt;"",FT!C26,"")</f>
        <v>9.7257800000000003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4.6046100000000001</v>
      </c>
      <c r="G27" s="61">
        <f>IF(FT!B27&lt;&gt;"",FT!B27*100,"")</f>
        <v>37.492999999999995</v>
      </c>
      <c r="H27" s="61">
        <f t="shared" si="1"/>
        <v>1</v>
      </c>
      <c r="I27" t="str">
        <f>IF(FT!B27&lt;&gt;"",FT!E27,"")</f>
        <v>1 [10.132778]</v>
      </c>
      <c r="J27">
        <f>IF(FT!B27&lt;&gt;"",FT!C27,"")</f>
        <v>10.1328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12956</v>
      </c>
      <c r="D28" s="61">
        <f>FH!B28*1</f>
        <v>12956</v>
      </c>
      <c r="E28">
        <f t="shared" si="3"/>
        <v>26</v>
      </c>
      <c r="F28" s="61">
        <f>IF(FT!A28&lt;&gt;"",FT!A28*10,"")</f>
        <v>4.6633899999999997</v>
      </c>
      <c r="G28" s="61">
        <f>IF(FT!B28&lt;&gt;"",FT!B28*100,"")</f>
        <v>37.650700000000001</v>
      </c>
      <c r="H28" s="61">
        <f t="shared" si="1"/>
        <v>1</v>
      </c>
      <c r="I28" t="str">
        <f>IF(FT!B28&lt;&gt;"",FT!E28,"")</f>
        <v>1 [10.543040]</v>
      </c>
      <c r="J28">
        <f>IF(FT!B28&lt;&gt;"",FT!C28,"")</f>
        <v>10.542999999999999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4.7153600000000004</v>
      </c>
      <c r="G29" s="61">
        <f>IF(FT!B29&lt;&gt;"",FT!B29*100,"")</f>
        <v>37.816400000000002</v>
      </c>
      <c r="H29" s="61">
        <f t="shared" si="1"/>
        <v>1</v>
      </c>
      <c r="I29" t="str">
        <f>IF(FT!B29&lt;&gt;"",FT!E29,"")</f>
        <v>1 [10.944994]</v>
      </c>
      <c r="J29">
        <f>IF(FT!B29&lt;&gt;"",FT!C29,"")</f>
        <v>10.945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4.76389</v>
      </c>
      <c r="G30" s="61">
        <f>IF(FT!B30&lt;&gt;"",FT!B30*100,"")</f>
        <v>37.960799999999999</v>
      </c>
      <c r="H30" s="61">
        <f t="shared" si="1"/>
        <v>1</v>
      </c>
      <c r="I30" t="str">
        <f>IF(FT!B30&lt;&gt;"",FT!E30,"")</f>
        <v>1 [11.354914]</v>
      </c>
      <c r="J30">
        <f>IF(FT!B30&lt;&gt;"",FT!C30,"")</f>
        <v>11.354900000000001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17603</v>
      </c>
      <c r="D31" s="61">
        <f>FH!B31*1</f>
        <v>17603</v>
      </c>
      <c r="E31">
        <f t="shared" si="3"/>
        <v>29</v>
      </c>
      <c r="F31" s="61">
        <f>IF(FT!A31&lt;&gt;"",FT!A31*10,"")</f>
        <v>4.8105399999999996</v>
      </c>
      <c r="G31" s="61">
        <f>IF(FT!B31&lt;&gt;"",FT!B31*100,"")</f>
        <v>38.091200000000001</v>
      </c>
      <c r="H31" s="61">
        <f t="shared" si="1"/>
        <v>1</v>
      </c>
      <c r="I31" t="str">
        <f>IF(FT!B31&lt;&gt;"",FT!E31,"")</f>
        <v>1 [11.757808]</v>
      </c>
      <c r="J31">
        <f>IF(FT!B31&lt;&gt;"",FT!C31,"")</f>
        <v>11.7578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4.8541400000000001</v>
      </c>
      <c r="G32" s="61">
        <f>IF(FT!B32&lt;&gt;"",FT!B32*100,"")</f>
        <v>38.188600000000001</v>
      </c>
      <c r="H32" s="61">
        <f t="shared" si="1"/>
        <v>1</v>
      </c>
      <c r="I32" t="str">
        <f>IF(FT!B32&lt;&gt;"",FT!E32,"")</f>
        <v>1 [12.164865]</v>
      </c>
      <c r="J32">
        <f>IF(FT!B32&lt;&gt;"",FT!C32,"")</f>
        <v>12.164899999999999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17495</v>
      </c>
      <c r="D33" s="61">
        <f>FH!B33*1</f>
        <v>17495</v>
      </c>
      <c r="E33">
        <f t="shared" si="3"/>
        <v>31</v>
      </c>
      <c r="F33" s="61">
        <f>IF(FT!A33&lt;&gt;"",FT!A33*10,"")</f>
        <v>4.89419</v>
      </c>
      <c r="G33" s="61">
        <f>IF(FT!B33&lt;&gt;"",FT!B33*100,"")</f>
        <v>38.214799999999997</v>
      </c>
      <c r="H33" s="61">
        <f t="shared" si="1"/>
        <v>1</v>
      </c>
      <c r="I33" t="str">
        <f>IF(FT!B33&lt;&gt;"",FT!E33,"")</f>
        <v>1 [12.573575]</v>
      </c>
      <c r="J33">
        <f>IF(FT!B33&lt;&gt;"",FT!C33,"")</f>
        <v>12.573600000000001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4.9292100000000003</v>
      </c>
      <c r="G34" s="61">
        <f>IF(FT!B34&lt;&gt;"",FT!B34*100,"")</f>
        <v>38.159700000000001</v>
      </c>
      <c r="H34" s="61">
        <f t="shared" si="1"/>
        <v>1</v>
      </c>
      <c r="I34" t="str">
        <f>IF(FT!B34&lt;&gt;"",FT!E34,"")</f>
        <v>1 [12.975531]</v>
      </c>
      <c r="J34">
        <f>IF(FT!B34&lt;&gt;"",FT!C34,"")</f>
        <v>12.9755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4.9589100000000004</v>
      </c>
      <c r="G35" s="61">
        <f>IF(FT!B35&lt;&gt;"",FT!B35*100,"")</f>
        <v>38.010100000000001</v>
      </c>
      <c r="H35" s="61">
        <f t="shared" si="1"/>
        <v>1</v>
      </c>
      <c r="I35" t="str">
        <f>IF(FT!B35&lt;&gt;"",FT!E35,"")</f>
        <v>1 [13.383897]</v>
      </c>
      <c r="J35">
        <f>IF(FT!B35&lt;&gt;"",FT!C35,"")</f>
        <v>13.383900000000001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26017</v>
      </c>
      <c r="D36" s="61">
        <f>FH!B36*1</f>
        <v>26017</v>
      </c>
      <c r="E36">
        <f t="shared" si="3"/>
        <v>34</v>
      </c>
      <c r="F36" s="61">
        <f>IF(FT!A36&lt;&gt;"",FT!A36*10,"")</f>
        <v>4.9845600000000001</v>
      </c>
      <c r="G36" s="61">
        <f>IF(FT!B36&lt;&gt;"",FT!B36*100,"")</f>
        <v>37.759100000000004</v>
      </c>
      <c r="H36" s="61">
        <f t="shared" si="1"/>
        <v>1</v>
      </c>
      <c r="I36" t="str">
        <f>IF(FT!B36&lt;&gt;"",FT!E36,"")</f>
        <v>1 [13.788394]</v>
      </c>
      <c r="J36">
        <f>IF(FT!B36&lt;&gt;"",FT!C36,"")</f>
        <v>13.788399999999999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5.0103399999999993</v>
      </c>
      <c r="G37" s="61">
        <f>IF(FT!B37&lt;&gt;"",FT!B37*100,"")</f>
        <v>37.448</v>
      </c>
      <c r="H37" s="61">
        <f t="shared" si="1"/>
        <v>1</v>
      </c>
      <c r="I37" t="str">
        <f>IF(FT!B37&lt;&gt;"",FT!E37,"")</f>
        <v>1 [14.198511]</v>
      </c>
      <c r="J37">
        <f>IF(FT!B37&lt;&gt;"",FT!C37,"")</f>
        <v>14.198499999999999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5.0368999999999993</v>
      </c>
      <c r="G38" s="61">
        <f>IF(FT!B38&lt;&gt;"",FT!B38*100,"")</f>
        <v>37.0929</v>
      </c>
      <c r="H38" s="61">
        <f t="shared" si="1"/>
        <v>1</v>
      </c>
      <c r="I38" t="str">
        <f>IF(FT!B38&lt;&gt;"",FT!E38,"")</f>
        <v>1 [14.600208]</v>
      </c>
      <c r="J38">
        <f>IF(FT!B38&lt;&gt;"",FT!C38,"")</f>
        <v>14.600199999999999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29907</v>
      </c>
      <c r="D39" s="61">
        <f>FH!B39*1</f>
        <v>29907</v>
      </c>
      <c r="E39">
        <f t="shared" si="3"/>
        <v>37</v>
      </c>
      <c r="F39" s="61">
        <f>IF(FT!A39&lt;&gt;"",FT!A39*10,"")</f>
        <v>5.0627800000000001</v>
      </c>
      <c r="G39" s="61">
        <f>IF(FT!B39&lt;&gt;"",FT!B39*100,"")</f>
        <v>36.759300000000003</v>
      </c>
      <c r="H39" s="61">
        <f t="shared" si="1"/>
        <v>1</v>
      </c>
      <c r="I39" t="str">
        <f>IF(FT!B39&lt;&gt;"",FT!E39,"")</f>
        <v>1 [15.009121]</v>
      </c>
      <c r="J39">
        <f>IF(FT!B39&lt;&gt;"",FT!C39,"")</f>
        <v>15.0091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5.0855099999999993</v>
      </c>
      <c r="G40" s="61">
        <f>IF(FT!B40&lt;&gt;"",FT!B40*100,"")</f>
        <v>36.457899999999995</v>
      </c>
      <c r="H40" s="61">
        <f t="shared" si="1"/>
        <v>1</v>
      </c>
      <c r="I40" t="str">
        <f>IF(FT!B40&lt;&gt;"",FT!E40,"")</f>
        <v>1 [15.414179]</v>
      </c>
      <c r="J40">
        <f>IF(FT!B40&lt;&gt;"",FT!C40,"")</f>
        <v>15.414199999999999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34117</v>
      </c>
      <c r="D41" s="61">
        <f>FH!B41*1</f>
        <v>34117</v>
      </c>
      <c r="E41">
        <f t="shared" si="3"/>
        <v>39</v>
      </c>
      <c r="F41" s="61">
        <f>IF(FT!A41&lt;&gt;"",FT!A41*10,"")</f>
        <v>5.1055799999999998</v>
      </c>
      <c r="G41" s="61">
        <f>IF(FT!B41&lt;&gt;"",FT!B41*100,"")</f>
        <v>36.160899999999998</v>
      </c>
      <c r="H41" s="61">
        <f t="shared" si="1"/>
        <v>1</v>
      </c>
      <c r="I41" t="str">
        <f>IF(FT!B41&lt;&gt;"",FT!E41,"")</f>
        <v>1 [15.820921]</v>
      </c>
      <c r="J41">
        <f>IF(FT!B41&lt;&gt;"",FT!C41,"")</f>
        <v>15.8209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5.1232999999999995</v>
      </c>
      <c r="G42" s="61">
        <f>IF(FT!B42&lt;&gt;"",FT!B42*100,"")</f>
        <v>35.786900000000003</v>
      </c>
      <c r="H42" s="61">
        <f t="shared" si="1"/>
        <v>1</v>
      </c>
      <c r="I42" t="str">
        <f>IF(FT!B42&lt;&gt;"",FT!E42,"")</f>
        <v>1 [16.229893]</v>
      </c>
      <c r="J42">
        <f>IF(FT!B42&lt;&gt;"",FT!C42,"")</f>
        <v>16.229900000000001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5.1403200000000009</v>
      </c>
      <c r="G43" s="61">
        <f>IF(FT!B43&lt;&gt;"",FT!B43*100,"")</f>
        <v>35.322900000000004</v>
      </c>
      <c r="H43" s="61">
        <f t="shared" si="1"/>
        <v>1</v>
      </c>
      <c r="I43" t="str">
        <f>IF(FT!B43&lt;&gt;"",FT!E43,"")</f>
        <v>1 [16.634771]</v>
      </c>
      <c r="J43">
        <f>IF(FT!B43&lt;&gt;"",FT!C43,"")</f>
        <v>16.634799999999998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46970</v>
      </c>
      <c r="D44" s="61">
        <f>FH!B44*1</f>
        <v>46970</v>
      </c>
      <c r="E44">
        <f t="shared" si="3"/>
        <v>42</v>
      </c>
      <c r="F44" s="61">
        <f>IF(FT!A44&lt;&gt;"",FT!A44*10,"")</f>
        <v>5.1542600000000007</v>
      </c>
      <c r="G44" s="61">
        <f>IF(FT!B44&lt;&gt;"",FT!B44*100,"")</f>
        <v>34.811700000000002</v>
      </c>
      <c r="H44" s="61">
        <f t="shared" si="1"/>
        <v>1</v>
      </c>
      <c r="I44" t="str">
        <f>IF(FT!B44&lt;&gt;"",FT!E44,"")</f>
        <v>1 [17.040740]</v>
      </c>
      <c r="J44">
        <f>IF(FT!B44&lt;&gt;"",FT!C44,"")</f>
        <v>17.040700000000001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5.16554</v>
      </c>
      <c r="G45" s="61">
        <f>IF(FT!B45&lt;&gt;"",FT!B45*100,"")</f>
        <v>34.293199999999999</v>
      </c>
      <c r="H45" s="61">
        <f t="shared" si="1"/>
        <v>1</v>
      </c>
      <c r="I45" t="str">
        <f>IF(FT!B45&lt;&gt;"",FT!E45,"")</f>
        <v>1 [17.447706]</v>
      </c>
      <c r="J45">
        <f>IF(FT!B45&lt;&gt;"",FT!C45,"")</f>
        <v>17.447700000000001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45024</v>
      </c>
      <c r="D46" s="61">
        <f>FH!B46*1</f>
        <v>45024</v>
      </c>
      <c r="E46">
        <f t="shared" si="3"/>
        <v>44</v>
      </c>
      <c r="F46" s="61">
        <f>IF(FT!A46&lt;&gt;"",FT!A46*10,"")</f>
        <v>5.1751400000000007</v>
      </c>
      <c r="G46" s="61">
        <f>IF(FT!B46&lt;&gt;"",FT!B46*100,"")</f>
        <v>33.795999999999999</v>
      </c>
      <c r="H46" s="61">
        <f t="shared" si="1"/>
        <v>1</v>
      </c>
      <c r="I46" t="str">
        <f>IF(FT!B46&lt;&gt;"",FT!E46,"")</f>
        <v>1 [17.856623]</v>
      </c>
      <c r="J46">
        <f>IF(FT!B46&lt;&gt;"",FT!C46,"")</f>
        <v>17.8566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5.1842500000000005</v>
      </c>
      <c r="G47" s="61">
        <f>IF(FT!B47&lt;&gt;"",FT!B47*100,"")</f>
        <v>33.330199999999998</v>
      </c>
      <c r="H47" s="61">
        <f t="shared" si="1"/>
        <v>1</v>
      </c>
      <c r="I47" t="str">
        <f>IF(FT!B47&lt;&gt;"",FT!E47,"")</f>
        <v>1 [18.261443]</v>
      </c>
      <c r="J47">
        <f>IF(FT!B47&lt;&gt;"",FT!C47,"")</f>
        <v>18.261399999999998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5.1964100000000002</v>
      </c>
      <c r="G48" s="61">
        <f>IF(FT!B48&lt;&gt;"",FT!B48*100,"")</f>
        <v>32.833199999999998</v>
      </c>
      <c r="H48" s="61">
        <f t="shared" si="1"/>
        <v>1</v>
      </c>
      <c r="I48" t="str">
        <f>IF(FT!B48&lt;&gt;"",FT!E48,"")</f>
        <v>1 [18.669363]</v>
      </c>
      <c r="J48">
        <f>IF(FT!B48&lt;&gt;"",FT!C48,"")</f>
        <v>18.6694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50745</v>
      </c>
      <c r="D49" s="61">
        <f>FH!B49*1</f>
        <v>50745</v>
      </c>
      <c r="E49">
        <f t="shared" si="3"/>
        <v>47</v>
      </c>
      <c r="F49" s="61">
        <f>IF(FT!A49&lt;&gt;"",FT!A49*10,"")</f>
        <v>5.20655</v>
      </c>
      <c r="G49" s="61">
        <f>IF(FT!B49&lt;&gt;"",FT!B49*100,"")</f>
        <v>32.345500000000001</v>
      </c>
      <c r="H49" s="61">
        <f t="shared" si="1"/>
        <v>1</v>
      </c>
      <c r="I49" t="str">
        <f>IF(FT!B49&lt;&gt;"",FT!E49,"")</f>
        <v>1 [19.067564]</v>
      </c>
      <c r="J49">
        <f>IF(FT!B49&lt;&gt;"",FT!C49,"")</f>
        <v>19.067599999999999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5.2149299999999998</v>
      </c>
      <c r="G50" s="61">
        <f>IF(FT!B50&lt;&gt;"",FT!B50*100,"")</f>
        <v>31.837399999999999</v>
      </c>
      <c r="H50" s="61">
        <f t="shared" si="1"/>
        <v>1</v>
      </c>
      <c r="I50" t="str">
        <f>IF(FT!B50&lt;&gt;"",FT!E50,"")</f>
        <v>1 [19.477397]</v>
      </c>
      <c r="J50">
        <f>IF(FT!B50&lt;&gt;"",FT!C50,"")</f>
        <v>19.477399999999999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54359</v>
      </c>
      <c r="D51" s="61">
        <f>FH!B51*1</f>
        <v>54359</v>
      </c>
      <c r="E51">
        <f t="shared" si="3"/>
        <v>49</v>
      </c>
      <c r="F51" s="61">
        <f>IF(FT!A51&lt;&gt;"",FT!A51*10,"")</f>
        <v>5.2230400000000001</v>
      </c>
      <c r="G51" s="61">
        <f>IF(FT!B51&lt;&gt;"",FT!B51*100,"")</f>
        <v>31.350699999999996</v>
      </c>
      <c r="H51" s="61">
        <f t="shared" si="1"/>
        <v>1</v>
      </c>
      <c r="I51" t="str">
        <f>IF(FT!B51&lt;&gt;"",FT!E51,"")</f>
        <v>1 [19.884981]</v>
      </c>
      <c r="J51">
        <f>IF(FT!B51&lt;&gt;"",FT!C51,"")</f>
        <v>19.885000000000002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5.2294200000000002</v>
      </c>
      <c r="G52" s="61">
        <f>IF(FT!B52&lt;&gt;"",FT!B52*100,"")</f>
        <v>30.998799999999999</v>
      </c>
      <c r="H52" s="61">
        <f t="shared" si="1"/>
        <v>1</v>
      </c>
      <c r="I52" t="str">
        <f>IF(FT!B52&lt;&gt;"",FT!E52,"")</f>
        <v>1 [20.290939]</v>
      </c>
      <c r="J52">
        <f>IF(FT!B52&lt;&gt;"",FT!C52,"")</f>
        <v>20.290900000000001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5.2396699999999994</v>
      </c>
      <c r="G53" s="61">
        <f>IF(FT!B53&lt;&gt;"",FT!B53*100,"")</f>
        <v>30.646600000000003</v>
      </c>
      <c r="H53" s="61">
        <f t="shared" si="1"/>
        <v>1</v>
      </c>
      <c r="I53" t="str">
        <f>IF(FT!B53&lt;&gt;"",FT!E53,"")</f>
        <v>1 [20.697891]</v>
      </c>
      <c r="J53">
        <f>IF(FT!B53&lt;&gt;"",FT!C53,"")</f>
        <v>20.697900000000001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66323</v>
      </c>
      <c r="D54" s="61">
        <f>FH!B54*1</f>
        <v>66323</v>
      </c>
      <c r="E54">
        <f t="shared" si="3"/>
        <v>52</v>
      </c>
      <c r="F54" s="61">
        <f>IF(FT!A54&lt;&gt;"",FT!A54*10,"")</f>
        <v>5.2513699999999996</v>
      </c>
      <c r="G54" s="61">
        <f>IF(FT!B54&lt;&gt;"",FT!B54*100,"")</f>
        <v>30.384800000000002</v>
      </c>
      <c r="H54" s="61">
        <f t="shared" si="1"/>
        <v>1</v>
      </c>
      <c r="I54" t="str">
        <f>IF(FT!B54&lt;&gt;"",FT!E54,"")</f>
        <v>1 [21.104432]</v>
      </c>
      <c r="J54">
        <f>IF(FT!B54&lt;&gt;"",FT!C54,"")</f>
        <v>21.104399999999998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5.2613399999999997</v>
      </c>
      <c r="G55" s="61">
        <f>IF(FT!B55&lt;&gt;"",FT!B55*100,"")</f>
        <v>30.127800000000001</v>
      </c>
      <c r="H55" s="61">
        <f t="shared" si="1"/>
        <v>1</v>
      </c>
      <c r="I55" t="str">
        <f>IF(FT!B55&lt;&gt;"",FT!E55,"")</f>
        <v>1 [21.507740]</v>
      </c>
      <c r="J55">
        <f>IF(FT!B55&lt;&gt;"",FT!C55,"")</f>
        <v>21.5077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5.2702400000000003</v>
      </c>
      <c r="G56" s="61">
        <f>IF(FT!B56&lt;&gt;"",FT!B56*100,"")</f>
        <v>29.845800000000001</v>
      </c>
      <c r="H56" s="61">
        <f t="shared" si="1"/>
        <v>1</v>
      </c>
      <c r="I56" t="str">
        <f>IF(FT!B56&lt;&gt;"",FT!E56,"")</f>
        <v>1 [21.914631]</v>
      </c>
      <c r="J56">
        <f>IF(FT!B56&lt;&gt;"",FT!C56,"")</f>
        <v>21.9146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67827</v>
      </c>
      <c r="D57" s="61">
        <f>FH!B57*1</f>
        <v>67827</v>
      </c>
      <c r="E57">
        <f t="shared" si="3"/>
        <v>55</v>
      </c>
      <c r="F57" s="61">
        <f>IF(FT!A57&lt;&gt;"",FT!A57*10,"")</f>
        <v>5.2795499999999995</v>
      </c>
      <c r="G57" s="61">
        <f>IF(FT!B57&lt;&gt;"",FT!B57*100,"")</f>
        <v>29.498999999999999</v>
      </c>
      <c r="H57" s="61">
        <f t="shared" si="1"/>
        <v>1</v>
      </c>
      <c r="I57" t="str">
        <f>IF(FT!B57&lt;&gt;"",FT!E57,"")</f>
        <v>1 [22.323531]</v>
      </c>
      <c r="J57">
        <f>IF(FT!B57&lt;&gt;"",FT!C57,"")</f>
        <v>22.323499999999999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5.2905899999999999</v>
      </c>
      <c r="G58" s="61">
        <f>IF(FT!B58&lt;&gt;"",FT!B58*100,"")</f>
        <v>29.141299999999998</v>
      </c>
      <c r="H58" s="61">
        <f t="shared" si="1"/>
        <v>1</v>
      </c>
      <c r="I58" t="str">
        <f>IF(FT!B58&lt;&gt;"",FT!E58,"")</f>
        <v>1 [22.728487]</v>
      </c>
      <c r="J58">
        <f>IF(FT!B58&lt;&gt;"",FT!C58,"")</f>
        <v>22.7285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72948</v>
      </c>
      <c r="D59" s="61">
        <f>FH!B59*1</f>
        <v>72948</v>
      </c>
      <c r="E59">
        <f t="shared" si="3"/>
        <v>57</v>
      </c>
      <c r="F59" s="61">
        <f>IF(FT!A59&lt;&gt;"",FT!A59*10,"")</f>
        <v>5.3018699999999992</v>
      </c>
      <c r="G59" s="61">
        <f>IF(FT!B59&lt;&gt;"",FT!B59*100,"")</f>
        <v>28.8337</v>
      </c>
      <c r="H59" s="61">
        <f t="shared" si="1"/>
        <v>1</v>
      </c>
      <c r="I59" t="str">
        <f>IF(FT!B59&lt;&gt;"",FT!E59,"")</f>
        <v>1 [23.132543]</v>
      </c>
      <c r="J59">
        <f>IF(FT!B59&lt;&gt;"",FT!C59,"")</f>
        <v>23.1325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5.3105100000000007</v>
      </c>
      <c r="G60" s="61">
        <f>IF(FT!B60&lt;&gt;"",FT!B60*100,"")</f>
        <v>28.565200000000001</v>
      </c>
      <c r="H60" s="61">
        <f t="shared" si="1"/>
        <v>1</v>
      </c>
      <c r="I60" t="str">
        <f>IF(FT!B60&lt;&gt;"",FT!E60,"")</f>
        <v>1 [23.539360]</v>
      </c>
      <c r="J60">
        <f>IF(FT!B60&lt;&gt;"",FT!C60,"")</f>
        <v>23.539400000000001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5.3157399999999999</v>
      </c>
      <c r="G61" s="61">
        <f>IF(FT!B61&lt;&gt;"",FT!B61*100,"")</f>
        <v>28.366700000000002</v>
      </c>
      <c r="H61" s="61">
        <f t="shared" si="1"/>
        <v>1</v>
      </c>
      <c r="I61" t="str">
        <f>IF(FT!B61&lt;&gt;"",FT!E61,"")</f>
        <v>1 [23.945216]</v>
      </c>
      <c r="J61">
        <f>IF(FT!B61&lt;&gt;"",FT!C61,"")</f>
        <v>23.9452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81092</v>
      </c>
      <c r="D62" s="61">
        <f>FH!B62*1</f>
        <v>81092</v>
      </c>
      <c r="E62">
        <f t="shared" si="3"/>
        <v>60</v>
      </c>
      <c r="F62" s="61">
        <f>IF(FT!A62&lt;&gt;"",FT!A62*10,"")</f>
        <v>5.3185700000000002</v>
      </c>
      <c r="G62" s="61">
        <f>IF(FT!B62&lt;&gt;"",FT!B62*100,"")</f>
        <v>28.242299999999997</v>
      </c>
      <c r="H62" s="61">
        <f t="shared" si="1"/>
        <v>1</v>
      </c>
      <c r="I62" t="str">
        <f>IF(FT!B62&lt;&gt;"",FT!E62,"")</f>
        <v>1 [24.355178]</v>
      </c>
      <c r="J62">
        <f>IF(FT!B62&lt;&gt;"",FT!C62,"")</f>
        <v>24.3552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5.3180499999999995</v>
      </c>
      <c r="G63" s="61">
        <f>IF(FT!B63&lt;&gt;"",FT!B63*100,"")</f>
        <v>28.150300000000001</v>
      </c>
      <c r="H63" s="61">
        <f t="shared" si="1"/>
        <v>1</v>
      </c>
      <c r="I63" t="str">
        <f>IF(FT!B63&lt;&gt;"",FT!E63,"")</f>
        <v>1 [24.757118]</v>
      </c>
      <c r="J63">
        <f>IF(FT!B63&lt;&gt;"",FT!C63,"")</f>
        <v>24.757100000000001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88441</v>
      </c>
      <c r="D64" s="61">
        <f>FH!B64*1</f>
        <v>88441</v>
      </c>
      <c r="E64">
        <f t="shared" si="3"/>
        <v>62</v>
      </c>
      <c r="F64" s="61">
        <f>IF(FT!A64&lt;&gt;"",FT!A64*10,"")</f>
        <v>5.3156999999999996</v>
      </c>
      <c r="G64" s="61">
        <f>IF(FT!B64&lt;&gt;"",FT!B64*100,"")</f>
        <v>28.0688</v>
      </c>
      <c r="H64" s="61">
        <f t="shared" si="1"/>
        <v>1</v>
      </c>
      <c r="I64" t="str">
        <f>IF(FT!B64&lt;&gt;"",FT!E64,"")</f>
        <v>1 [25.165273]</v>
      </c>
      <c r="J64">
        <f>IF(FT!B64&lt;&gt;"",FT!C64,"")</f>
        <v>25.165299999999998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5.3136799999999997</v>
      </c>
      <c r="G65" s="61">
        <f>IF(FT!B65&lt;&gt;"",FT!B65*100,"")</f>
        <v>27.9833</v>
      </c>
      <c r="H65" s="61">
        <f t="shared" si="1"/>
        <v>1</v>
      </c>
      <c r="I65" t="str">
        <f>IF(FT!B65&lt;&gt;"",FT!E65,"")</f>
        <v>1 [25.570882]</v>
      </c>
      <c r="J65">
        <f>IF(FT!B65&lt;&gt;"",FT!C65,"")</f>
        <v>25.570900000000002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5.3127899999999997</v>
      </c>
      <c r="G66" s="61">
        <f>IF(FT!B66&lt;&gt;"",FT!B66*100,"")</f>
        <v>27.857199999999999</v>
      </c>
      <c r="H66" s="61">
        <f t="shared" si="1"/>
        <v>1</v>
      </c>
      <c r="I66" t="str">
        <f>IF(FT!B66&lt;&gt;"",FT!E66,"")</f>
        <v>1 [25.976051]</v>
      </c>
      <c r="J66">
        <f>IF(FT!B66&lt;&gt;"",FT!C66,"")</f>
        <v>25.976099999999999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98990</v>
      </c>
      <c r="D67" s="61">
        <f>FH!B67*1</f>
        <v>98990</v>
      </c>
      <c r="E67">
        <f t="shared" si="3"/>
        <v>65</v>
      </c>
      <c r="F67" s="61">
        <f>IF(FT!A67&lt;&gt;"",FT!A67*10,"")</f>
        <v>5.3088500000000005</v>
      </c>
      <c r="G67" s="61">
        <f>IF(FT!B67&lt;&gt;"",FT!B67*100,"")</f>
        <v>27.734100000000002</v>
      </c>
      <c r="H67" s="61">
        <f t="shared" ref="H67:H130" si="9">(IF(F67&lt;&gt;"",1,""))</f>
        <v>1</v>
      </c>
      <c r="I67" t="str">
        <f>IF(FT!B67&lt;&gt;"",FT!E67,"")</f>
        <v>1 [26.386759]</v>
      </c>
      <c r="J67">
        <f>IF(FT!B67&lt;&gt;"",FT!C67,"")</f>
        <v>26.386800000000001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5.3014899999999994</v>
      </c>
      <c r="G68" s="61">
        <f>IF(FT!B68&lt;&gt;"",FT!B68*100,"")</f>
        <v>27.616200000000003</v>
      </c>
      <c r="H68" s="61">
        <f t="shared" si="9"/>
        <v>1</v>
      </c>
      <c r="I68" t="str">
        <f>IF(FT!B68&lt;&gt;"",FT!E68,"")</f>
        <v>1 [26.790625]</v>
      </c>
      <c r="J68">
        <f>IF(FT!B68&lt;&gt;"",FT!C68,"")</f>
        <v>26.790600000000001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104434</v>
      </c>
      <c r="D69" s="61">
        <f>FH!B69*1</f>
        <v>104434</v>
      </c>
      <c r="E69">
        <f t="shared" si="11"/>
        <v>67</v>
      </c>
      <c r="F69" s="61">
        <f>IF(FT!A69&lt;&gt;"",FT!A69*10,"")</f>
        <v>5.2927299999999997</v>
      </c>
      <c r="G69" s="61">
        <f>IF(FT!B69&lt;&gt;"",FT!B69*100,"")</f>
        <v>27.537099999999999</v>
      </c>
      <c r="H69" s="61">
        <f t="shared" si="9"/>
        <v>1</v>
      </c>
      <c r="I69" t="str">
        <f>IF(FT!B69&lt;&gt;"",FT!E69,"")</f>
        <v>1 [27.197538]</v>
      </c>
      <c r="J69">
        <f>IF(FT!B69&lt;&gt;"",FT!C69,"")</f>
        <v>27.197500000000002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5.2739700000000003</v>
      </c>
      <c r="G70" s="61">
        <f>IF(FT!B70&lt;&gt;"",FT!B70*100,"")</f>
        <v>27.494200000000003</v>
      </c>
      <c r="H70" s="61">
        <f t="shared" si="9"/>
        <v>1</v>
      </c>
      <c r="I70" t="str">
        <f>IF(FT!B70&lt;&gt;"",FT!E70,"")</f>
        <v>1 [27.604609]</v>
      </c>
      <c r="J70">
        <f>IF(FT!B70&lt;&gt;"",FT!C70,"")</f>
        <v>27.604600000000001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5.2645900000000001</v>
      </c>
      <c r="G71" s="61">
        <f>IF(FT!B71&lt;&gt;"",FT!B71*100,"")</f>
        <v>27.505499999999998</v>
      </c>
      <c r="H71" s="61">
        <f t="shared" si="9"/>
        <v>1</v>
      </c>
      <c r="I71" t="str">
        <f>IF(FT!B71&lt;&gt;"",FT!E71,"")</f>
        <v>1 [28.007394]</v>
      </c>
      <c r="J71">
        <f>IF(FT!B71&lt;&gt;"",FT!C71,"")</f>
        <v>28.007400000000001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117521</v>
      </c>
      <c r="D72" s="61">
        <f>FH!B72*1</f>
        <v>117521</v>
      </c>
      <c r="E72">
        <f t="shared" si="11"/>
        <v>70</v>
      </c>
      <c r="F72" s="61">
        <f>IF(FT!A72&lt;&gt;"",FT!A72*10,"")</f>
        <v>5.246690000000001</v>
      </c>
      <c r="G72" s="61">
        <f>IF(FT!B72&lt;&gt;"",FT!B72*100,"")</f>
        <v>27.468999999999998</v>
      </c>
      <c r="H72" s="61">
        <f t="shared" si="9"/>
        <v>1</v>
      </c>
      <c r="I72" t="str">
        <f>IF(FT!B72&lt;&gt;"",FT!E72,"")</f>
        <v>1 [28.413291]</v>
      </c>
      <c r="J72">
        <f>IF(FT!B72&lt;&gt;"",FT!C72,"")</f>
        <v>28.4133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5.2256899999999993</v>
      </c>
      <c r="G73" s="61">
        <f>IF(FT!B73&lt;&gt;"",FT!B73*100,"")</f>
        <v>27.4758</v>
      </c>
      <c r="H73" s="61">
        <f t="shared" si="9"/>
        <v>1</v>
      </c>
      <c r="I73" t="str">
        <f>IF(FT!B73&lt;&gt;"",FT!E73,"")</f>
        <v>1 [28.821401]</v>
      </c>
      <c r="J73">
        <f>IF(FT!B73&lt;&gt;"",FT!C73,"")</f>
        <v>28.821400000000001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5.2055300000000004</v>
      </c>
      <c r="G74" s="61">
        <f>IF(FT!B74&lt;&gt;"",FT!B74*100,"")</f>
        <v>27.476800000000001</v>
      </c>
      <c r="H74" s="61">
        <f t="shared" si="9"/>
        <v>1</v>
      </c>
      <c r="I74" t="str">
        <f>IF(FT!B74&lt;&gt;"",FT!E74,"")</f>
        <v>1 [29.228107]</v>
      </c>
      <c r="J74">
        <f>IF(FT!B74&lt;&gt;"",FT!C74,"")</f>
        <v>29.228100000000001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126747</v>
      </c>
      <c r="D75" s="61">
        <f>FH!B75*1</f>
        <v>126747</v>
      </c>
      <c r="E75">
        <f t="shared" si="11"/>
        <v>73</v>
      </c>
      <c r="F75" s="61">
        <f>IF(FT!A75&lt;&gt;"",FT!A75*10,"")</f>
        <v>5.1848299999999998</v>
      </c>
      <c r="G75" s="61">
        <f>IF(FT!B75&lt;&gt;"",FT!B75*100,"")</f>
        <v>27.472300000000001</v>
      </c>
      <c r="H75" s="61">
        <f t="shared" si="9"/>
        <v>1</v>
      </c>
      <c r="I75" t="str">
        <f>IF(FT!B75&lt;&gt;"",FT!E75,"")</f>
        <v>1 [29.631130]</v>
      </c>
      <c r="J75">
        <f>IF(FT!B75&lt;&gt;"",FT!C75,"")</f>
        <v>29.6311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5.1648300000000003</v>
      </c>
      <c r="G76" s="61">
        <f>IF(FT!B76&lt;&gt;"",FT!B76*100,"")</f>
        <v>27.491900000000001</v>
      </c>
      <c r="H76" s="61">
        <f t="shared" si="9"/>
        <v>1</v>
      </c>
      <c r="I76" t="str">
        <f>IF(FT!B76&lt;&gt;"",FT!E76,"")</f>
        <v>1 [30.041926]</v>
      </c>
      <c r="J76">
        <f>IF(FT!B76&lt;&gt;"",FT!C76,"")</f>
        <v>30.041899999999998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130854</v>
      </c>
      <c r="D77" s="61">
        <f>FH!B77*1</f>
        <v>130854</v>
      </c>
      <c r="E77">
        <f t="shared" si="11"/>
        <v>75</v>
      </c>
      <c r="F77" s="61">
        <f>IF(FT!A77&lt;&gt;"",FT!A77*10,"")</f>
        <v>5.1405900000000004</v>
      </c>
      <c r="G77" s="61">
        <f>IF(FT!B77&lt;&gt;"",FT!B77*100,"")</f>
        <v>27.4848</v>
      </c>
      <c r="H77" s="61">
        <f t="shared" si="9"/>
        <v>1</v>
      </c>
      <c r="I77" t="str">
        <f>IF(FT!B77&lt;&gt;"",FT!E77,"")</f>
        <v>2 [30.616620]</v>
      </c>
      <c r="J77">
        <f>IF(FT!B77&lt;&gt;"",FT!C77,"")</f>
        <v>30.616599999999998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5.1217699999999997</v>
      </c>
      <c r="G78" s="61">
        <f>IF(FT!B78&lt;&gt;"",FT!B78*100,"")</f>
        <v>27.422400000000003</v>
      </c>
      <c r="H78" s="61">
        <f t="shared" si="9"/>
        <v>1</v>
      </c>
      <c r="I78" t="str">
        <f>IF(FT!B78&lt;&gt;"",FT!E78,"")</f>
        <v>2 [30.995370]</v>
      </c>
      <c r="J78">
        <f>IF(FT!B78&lt;&gt;"",FT!C78,"")</f>
        <v>30.9954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5.1028399999999996</v>
      </c>
      <c r="G79" s="61">
        <f>IF(FT!B79&lt;&gt;"",FT!B79*100,"")</f>
        <v>27.347300000000001</v>
      </c>
      <c r="H79" s="61">
        <f t="shared" si="9"/>
        <v>1</v>
      </c>
      <c r="I79" t="str">
        <f>IF(FT!B79&lt;&gt;"",FT!E79,"")</f>
        <v>2 [31.368383]</v>
      </c>
      <c r="J79">
        <f>IF(FT!B79&lt;&gt;"",FT!C79,"")</f>
        <v>31.368400000000001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138973</v>
      </c>
      <c r="D80" s="61">
        <f>FH!B80*1</f>
        <v>138973</v>
      </c>
      <c r="E80">
        <f t="shared" si="11"/>
        <v>78</v>
      </c>
      <c r="F80" s="61">
        <f>IF(FT!A80&lt;&gt;"",FT!A80*10,"")</f>
        <v>5.0831599999999995</v>
      </c>
      <c r="G80" s="61">
        <f>IF(FT!B80&lt;&gt;"",FT!B80*100,"")</f>
        <v>27.2803</v>
      </c>
      <c r="H80" s="61">
        <f t="shared" si="9"/>
        <v>1</v>
      </c>
      <c r="I80" t="str">
        <f>IF(FT!B80&lt;&gt;"",FT!E80,"")</f>
        <v>2 [31.743411]</v>
      </c>
      <c r="J80">
        <f>IF(FT!B80&lt;&gt;"",FT!C80,"")</f>
        <v>31.743400000000001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5.0615299999999994</v>
      </c>
      <c r="G81" s="61">
        <f>IF(FT!B81&lt;&gt;"",FT!B81*100,"")</f>
        <v>27.272800000000004</v>
      </c>
      <c r="H81" s="61">
        <f t="shared" si="9"/>
        <v>1</v>
      </c>
      <c r="I81" t="str">
        <f>IF(FT!B81&lt;&gt;"",FT!E81,"")</f>
        <v>2 [32.118556]</v>
      </c>
      <c r="J81">
        <f>IF(FT!B81&lt;&gt;"",FT!C81,"")</f>
        <v>32.118600000000001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146494</v>
      </c>
      <c r="D82" s="61">
        <f>FH!B82*1</f>
        <v>146494</v>
      </c>
      <c r="E82">
        <f t="shared" si="11"/>
        <v>80</v>
      </c>
      <c r="F82" s="61">
        <f>IF(FT!A82&lt;&gt;"",FT!A82*10,"")</f>
        <v>5.0362300000000007</v>
      </c>
      <c r="G82" s="61">
        <f>IF(FT!B82&lt;&gt;"",FT!B82*100,"")</f>
        <v>27.332099999999997</v>
      </c>
      <c r="H82" s="61">
        <f t="shared" si="9"/>
        <v>1</v>
      </c>
      <c r="I82" t="str">
        <f>IF(FT!B82&lt;&gt;"",FT!E82,"")</f>
        <v>2 [32.527339]</v>
      </c>
      <c r="J82">
        <f>IF(FT!B82&lt;&gt;"",FT!C82,"")</f>
        <v>32.527299999999997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5.0114099999999997</v>
      </c>
      <c r="G83" s="61">
        <f>IF(FT!B83&lt;&gt;"",FT!B83*100,"")</f>
        <v>27.393699999999999</v>
      </c>
      <c r="H83" s="61">
        <f t="shared" si="9"/>
        <v>1</v>
      </c>
      <c r="I83" t="str">
        <f>IF(FT!B83&lt;&gt;"",FT!E83,"")</f>
        <v>2 [32.933327]</v>
      </c>
      <c r="J83">
        <f>IF(FT!B83&lt;&gt;"",FT!C83,"")</f>
        <v>32.933300000000003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4.9885099999999998</v>
      </c>
      <c r="G84" s="61">
        <f>IF(FT!B84&lt;&gt;"",FT!B84*100,"")</f>
        <v>27.4663</v>
      </c>
      <c r="H84" s="61">
        <f t="shared" si="9"/>
        <v>1</v>
      </c>
      <c r="I84" t="str">
        <f>IF(FT!B84&lt;&gt;"",FT!E84,"")</f>
        <v>2 [33.335114]</v>
      </c>
      <c r="J84">
        <f>IF(FT!B84&lt;&gt;"",FT!C84,"")</f>
        <v>33.335099999999997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152478</v>
      </c>
      <c r="D85" s="61">
        <f>FH!B85*1</f>
        <v>152478</v>
      </c>
      <c r="E85">
        <f t="shared" si="11"/>
        <v>83</v>
      </c>
      <c r="F85" s="61">
        <f>IF(FT!A85&lt;&gt;"",FT!A85*10,"")</f>
        <v>4.9686599999999999</v>
      </c>
      <c r="G85" s="61">
        <f>IF(FT!B85&lt;&gt;"",FT!B85*100,"")</f>
        <v>27.4312</v>
      </c>
      <c r="H85" s="61">
        <f t="shared" si="9"/>
        <v>1</v>
      </c>
      <c r="I85" t="str">
        <f>IF(FT!B85&lt;&gt;"",FT!E85,"")</f>
        <v>2 [33.745039]</v>
      </c>
      <c r="J85">
        <f>IF(FT!B85&lt;&gt;"",FT!C85,"")</f>
        <v>33.744999999999997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4.9474400000000003</v>
      </c>
      <c r="G86" s="61">
        <f>IF(FT!B86&lt;&gt;"",FT!B86*100,"")</f>
        <v>27.403899999999997</v>
      </c>
      <c r="H86" s="61">
        <f t="shared" si="9"/>
        <v>1</v>
      </c>
      <c r="I86" t="str">
        <f>IF(FT!B86&lt;&gt;"",FT!E86,"")</f>
        <v>2 [34.148118]</v>
      </c>
      <c r="J86">
        <f>IF(FT!B86&lt;&gt;"",FT!C86,"")</f>
        <v>34.148099999999999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4.9243600000000001</v>
      </c>
      <c r="G87" s="61">
        <f>IF(FT!B87&lt;&gt;"",FT!B87*100,"")</f>
        <v>27.3963</v>
      </c>
      <c r="H87" s="61">
        <f t="shared" si="9"/>
        <v>1</v>
      </c>
      <c r="I87" t="str">
        <f>IF(FT!B87&lt;&gt;"",FT!E87,"")</f>
        <v>2 [34.557872]</v>
      </c>
      <c r="J87">
        <f>IF(FT!B87&lt;&gt;"",FT!C87,"")</f>
        <v>34.557899999999997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143457</v>
      </c>
      <c r="D88" s="61">
        <f>FH!B88*1</f>
        <v>143457</v>
      </c>
      <c r="E88">
        <f t="shared" si="11"/>
        <v>86</v>
      </c>
      <c r="F88" s="61">
        <f>IF(FT!A88&lt;&gt;"",FT!A88*10,"")</f>
        <v>4.8989799999999999</v>
      </c>
      <c r="G88" s="61">
        <f>IF(FT!B88&lt;&gt;"",FT!B88*100,"")</f>
        <v>27.396700000000003</v>
      </c>
      <c r="H88" s="61">
        <f t="shared" si="9"/>
        <v>1</v>
      </c>
      <c r="I88" t="str">
        <f>IF(FT!B88&lt;&gt;"",FT!E88,"")</f>
        <v>2 [34.965143]</v>
      </c>
      <c r="J88">
        <f>IF(FT!B88&lt;&gt;"",FT!C88,"")</f>
        <v>34.9651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4.8708499999999999</v>
      </c>
      <c r="G89" s="61">
        <f>IF(FT!B89&lt;&gt;"",FT!B89*100,"")</f>
        <v>27.374300000000002</v>
      </c>
      <c r="H89" s="61">
        <f t="shared" si="9"/>
        <v>1</v>
      </c>
      <c r="I89" t="str">
        <f>IF(FT!B89&lt;&gt;"",FT!E89,"")</f>
        <v>2 [35.365953]</v>
      </c>
      <c r="J89">
        <f>IF(FT!B89&lt;&gt;"",FT!C89,"")</f>
        <v>35.366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140537</v>
      </c>
      <c r="D90" s="61">
        <f>FH!B90*1</f>
        <v>140537</v>
      </c>
      <c r="E90">
        <f t="shared" si="11"/>
        <v>88</v>
      </c>
      <c r="F90" s="61">
        <f>IF(FT!A90&lt;&gt;"",FT!A90*10,"")</f>
        <v>4.8382699999999996</v>
      </c>
      <c r="G90" s="61">
        <f>IF(FT!B90&lt;&gt;"",FT!B90*100,"")</f>
        <v>27.458300000000001</v>
      </c>
      <c r="H90" s="61">
        <f t="shared" si="9"/>
        <v>1</v>
      </c>
      <c r="I90" t="str">
        <f>IF(FT!B90&lt;&gt;"",FT!E90,"")</f>
        <v>2 [35.773594]</v>
      </c>
      <c r="J90">
        <f>IF(FT!B90&lt;&gt;"",FT!C90,"")</f>
        <v>35.773600000000002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4.80274</v>
      </c>
      <c r="G91" s="61">
        <f>IF(FT!B91&lt;&gt;"",FT!B91*100,"")</f>
        <v>27.5885</v>
      </c>
      <c r="H91" s="61">
        <f t="shared" si="9"/>
        <v>1</v>
      </c>
      <c r="I91" t="str">
        <f>IF(FT!B91&lt;&gt;"",FT!E91,"")</f>
        <v>2 [36.181897]</v>
      </c>
      <c r="J91">
        <f>IF(FT!B91&lt;&gt;"",FT!C91,"")</f>
        <v>36.181899999999999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4.7693000000000003</v>
      </c>
      <c r="G92" s="61">
        <f>IF(FT!B92&lt;&gt;"",FT!B92*100,"")</f>
        <v>27.707799999999999</v>
      </c>
      <c r="H92" s="61">
        <f t="shared" si="9"/>
        <v>1</v>
      </c>
      <c r="I92" t="str">
        <f>IF(FT!B92&lt;&gt;"",FT!E92,"")</f>
        <v>2 [36.588418]</v>
      </c>
      <c r="J92">
        <f>IF(FT!B92&lt;&gt;"",FT!C92,"")</f>
        <v>36.5884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143986</v>
      </c>
      <c r="D93" s="61">
        <f>FH!B93*1</f>
        <v>143986</v>
      </c>
      <c r="E93">
        <f t="shared" si="11"/>
        <v>91</v>
      </c>
      <c r="F93" s="61">
        <f>IF(FT!A93&lt;&gt;"",FT!A93*10,"")</f>
        <v>4.7369399999999997</v>
      </c>
      <c r="G93" s="61">
        <f>IF(FT!B93&lt;&gt;"",FT!B93*100,"")</f>
        <v>27.828199999999999</v>
      </c>
      <c r="H93" s="61">
        <f t="shared" si="9"/>
        <v>1</v>
      </c>
      <c r="I93" t="str">
        <f>IF(FT!B93&lt;&gt;"",FT!E93,"")</f>
        <v>2 [36.993364]</v>
      </c>
      <c r="J93">
        <f>IF(FT!B93&lt;&gt;"",FT!C93,"")</f>
        <v>36.993400000000001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4.7103200000000003</v>
      </c>
      <c r="G94" s="61">
        <f>IF(FT!B94&lt;&gt;"",FT!B94*100,"")</f>
        <v>27.871400000000001</v>
      </c>
      <c r="H94" s="61">
        <f t="shared" si="9"/>
        <v>1</v>
      </c>
      <c r="I94" t="str">
        <f>IF(FT!B94&lt;&gt;"",FT!E94,"")</f>
        <v>2 [37.399406]</v>
      </c>
      <c r="J94">
        <f>IF(FT!B94&lt;&gt;"",FT!C94,"")</f>
        <v>37.3994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146808</v>
      </c>
      <c r="D95" s="61">
        <f>FH!B95*1</f>
        <v>146808</v>
      </c>
      <c r="E95">
        <f t="shared" si="11"/>
        <v>93</v>
      </c>
      <c r="F95" s="61">
        <f>IF(FT!A95&lt;&gt;"",FT!A95*10,"")</f>
        <v>4.6873800000000001</v>
      </c>
      <c r="G95" s="61">
        <f>IF(FT!B95&lt;&gt;"",FT!B95*100,"")</f>
        <v>27.807199999999998</v>
      </c>
      <c r="H95" s="61">
        <f t="shared" si="9"/>
        <v>1</v>
      </c>
      <c r="I95" t="str">
        <f>IF(FT!B95&lt;&gt;"",FT!E95,"")</f>
        <v>2 [37.805137]</v>
      </c>
      <c r="J95">
        <f>IF(FT!B95&lt;&gt;"",FT!C95,"")</f>
        <v>37.805100000000003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4.6694599999999999</v>
      </c>
      <c r="G96" s="61">
        <f>IF(FT!B96&lt;&gt;"",FT!B96*100,"")</f>
        <v>27.706099999999999</v>
      </c>
      <c r="H96" s="61">
        <f t="shared" si="9"/>
        <v>1</v>
      </c>
      <c r="I96" t="str">
        <f>IF(FT!B96&lt;&gt;"",FT!E96,"")</f>
        <v>2 [38.212439]</v>
      </c>
      <c r="J96">
        <f>IF(FT!B96&lt;&gt;"",FT!C96,"")</f>
        <v>38.212400000000002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4.6554400000000005</v>
      </c>
      <c r="G97" s="61">
        <f>IF(FT!B97&lt;&gt;"",FT!B97*100,"")</f>
        <v>27.6098</v>
      </c>
      <c r="H97" s="61">
        <f t="shared" si="9"/>
        <v>1</v>
      </c>
      <c r="I97" t="str">
        <f>IF(FT!B97&lt;&gt;"",FT!E97,"")</f>
        <v>2 [38.619007]</v>
      </c>
      <c r="J97">
        <f>IF(FT!B97&lt;&gt;"",FT!C97,"")</f>
        <v>38.619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157159</v>
      </c>
      <c r="D98" s="61">
        <f>FH!B98*1</f>
        <v>157159</v>
      </c>
      <c r="E98">
        <f t="shared" si="11"/>
        <v>96</v>
      </c>
      <c r="F98" s="61">
        <f>IF(FT!A98&lt;&gt;"",FT!A98*10,"")</f>
        <v>4.6428799999999999</v>
      </c>
      <c r="G98" s="61">
        <f>IF(FT!B98&lt;&gt;"",FT!B98*100,"")</f>
        <v>27.548099999999998</v>
      </c>
      <c r="H98" s="61">
        <f t="shared" si="9"/>
        <v>1</v>
      </c>
      <c r="I98" t="str">
        <f>IF(FT!B98&lt;&gt;"",FT!E98,"")</f>
        <v>2 [39.019266]</v>
      </c>
      <c r="J98">
        <f>IF(FT!B98&lt;&gt;"",FT!C98,"")</f>
        <v>39.019300000000001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4.6361499999999998</v>
      </c>
      <c r="G99" s="61">
        <f>IF(FT!B99&lt;&gt;"",FT!B99*100,"")</f>
        <v>27.570099999999996</v>
      </c>
      <c r="H99" s="61">
        <f t="shared" si="9"/>
        <v>1</v>
      </c>
      <c r="I99" t="str">
        <f>IF(FT!B99&lt;&gt;"",FT!E99,"")</f>
        <v>2 [39.432855]</v>
      </c>
      <c r="J99">
        <f>IF(FT!B99&lt;&gt;"",FT!C99,"")</f>
        <v>39.432899999999997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150884</v>
      </c>
      <c r="D100" s="61">
        <f>FH!B100*1</f>
        <v>150884</v>
      </c>
      <c r="E100">
        <f t="shared" si="11"/>
        <v>98</v>
      </c>
      <c r="F100" s="61">
        <f>IF(FT!A100&lt;&gt;"",FT!A100*10,"")</f>
        <v>4.6307999999999998</v>
      </c>
      <c r="G100" s="61">
        <f>IF(FT!B100&lt;&gt;"",FT!B100*100,"")</f>
        <v>27.6374</v>
      </c>
      <c r="H100" s="61">
        <f t="shared" si="9"/>
        <v>1</v>
      </c>
      <c r="I100" t="str">
        <f>IF(FT!B100&lt;&gt;"",FT!E100,"")</f>
        <v>2 [39.837734]</v>
      </c>
      <c r="J100">
        <f>IF(FT!B100&lt;&gt;"",FT!C100,"")</f>
        <v>39.837699999999998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4.6221899999999998</v>
      </c>
      <c r="G101" s="61">
        <f>IF(FT!B101&lt;&gt;"",FT!B101*100,"")</f>
        <v>27.750299999999999</v>
      </c>
      <c r="H101" s="61">
        <f t="shared" si="9"/>
        <v>1</v>
      </c>
      <c r="I101" t="str">
        <f>IF(FT!B101&lt;&gt;"",FT!E101,"")</f>
        <v>2 [40.241675]</v>
      </c>
      <c r="J101">
        <f>IF(FT!B101&lt;&gt;"",FT!C101,"")</f>
        <v>40.241700000000002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4.6100099999999999</v>
      </c>
      <c r="G102" s="61">
        <f>IF(FT!B102&lt;&gt;"",FT!B102*100,"")</f>
        <v>27.900799999999997</v>
      </c>
      <c r="H102" s="61">
        <f t="shared" si="9"/>
        <v>1</v>
      </c>
      <c r="I102" t="str">
        <f>IF(FT!B102&lt;&gt;"",FT!E102,"")</f>
        <v>2 [40.651569]</v>
      </c>
      <c r="J102">
        <f>IF(FT!B102&lt;&gt;"",FT!C102,"")</f>
        <v>40.651600000000002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167719</v>
      </c>
      <c r="D103" s="61">
        <f>FH!B103*1</f>
        <v>167719</v>
      </c>
      <c r="E103">
        <f t="shared" si="11"/>
        <v>101</v>
      </c>
      <c r="F103" s="61">
        <f>IF(FT!A103&lt;&gt;"",FT!A103*10,"")</f>
        <v>4.5965699999999998</v>
      </c>
      <c r="G103" s="61">
        <f>IF(FT!B103&lt;&gt;"",FT!B103*100,"")</f>
        <v>28.114099999999997</v>
      </c>
      <c r="H103" s="61">
        <f t="shared" si="9"/>
        <v>1</v>
      </c>
      <c r="I103" t="str">
        <f>IF(FT!B103&lt;&gt;"",FT!E103,"")</f>
        <v>2 [41.055531]</v>
      </c>
      <c r="J103">
        <f>IF(FT!B103&lt;&gt;"",FT!C103,"")</f>
        <v>41.055500000000002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4.5814700000000004</v>
      </c>
      <c r="G104" s="61">
        <f>IF(FT!B104&lt;&gt;"",FT!B104*100,"")</f>
        <v>28.344899999999999</v>
      </c>
      <c r="H104" s="61">
        <f t="shared" si="9"/>
        <v>1</v>
      </c>
      <c r="I104" t="str">
        <f>IF(FT!B104&lt;&gt;"",FT!E104,"")</f>
        <v>2 [41.464360]</v>
      </c>
      <c r="J104">
        <f>IF(FT!B104&lt;&gt;"",FT!C104,"")</f>
        <v>41.464399999999998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4.5631599999999999</v>
      </c>
      <c r="G105" s="61">
        <f>IF(FT!B105&lt;&gt;"",FT!B105*100,"")</f>
        <v>28.631899999999998</v>
      </c>
      <c r="H105" s="61">
        <f t="shared" si="9"/>
        <v>1</v>
      </c>
      <c r="I105" t="str">
        <f>IF(FT!B105&lt;&gt;"",FT!E105,"")</f>
        <v>2 [41.867328]</v>
      </c>
      <c r="J105">
        <f>IF(FT!B105&lt;&gt;"",FT!C105,"")</f>
        <v>41.8673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166810</v>
      </c>
      <c r="D106" s="61">
        <f>FH!B106*1</f>
        <v>166810</v>
      </c>
      <c r="E106">
        <f t="shared" si="11"/>
        <v>104</v>
      </c>
      <c r="F106" s="61">
        <f>IF(FT!A106&lt;&gt;"",FT!A106*10,"")</f>
        <v>4.5469499999999998</v>
      </c>
      <c r="G106" s="61">
        <f>IF(FT!B106&lt;&gt;"",FT!B106*100,"")</f>
        <v>28.959299999999999</v>
      </c>
      <c r="H106" s="61">
        <f t="shared" si="9"/>
        <v>1</v>
      </c>
      <c r="I106" t="str">
        <f>IF(FT!B106&lt;&gt;"",FT!E106,"")</f>
        <v>2 [42.273216]</v>
      </c>
      <c r="J106">
        <f>IF(FT!B106&lt;&gt;"",FT!C106,"")</f>
        <v>42.273200000000003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4.5308999999999999</v>
      </c>
      <c r="G107" s="61">
        <f>IF(FT!B107&lt;&gt;"",FT!B107*100,"")</f>
        <v>29.367799999999999</v>
      </c>
      <c r="H107" s="61">
        <f t="shared" si="9"/>
        <v>1</v>
      </c>
      <c r="I107" t="str">
        <f>IF(FT!B107&lt;&gt;"",FT!E107,"")</f>
        <v>2 [42.681156]</v>
      </c>
      <c r="J107">
        <f>IF(FT!B107&lt;&gt;"",FT!C107,"")</f>
        <v>42.681199999999997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159788</v>
      </c>
      <c r="D108" s="61">
        <f>FH!B108*1</f>
        <v>159788</v>
      </c>
      <c r="E108">
        <f t="shared" si="11"/>
        <v>106</v>
      </c>
      <c r="F108" s="61">
        <f>IF(FT!A108&lt;&gt;"",FT!A108*10,"")</f>
        <v>4.5151200000000005</v>
      </c>
      <c r="G108" s="61">
        <f>IF(FT!B108&lt;&gt;"",FT!B108*100,"")</f>
        <v>29.852800000000002</v>
      </c>
      <c r="H108" s="61">
        <f t="shared" si="9"/>
        <v>1</v>
      </c>
      <c r="I108" t="str">
        <f>IF(FT!B108&lt;&gt;"",FT!E108,"")</f>
        <v>2 [43.089056]</v>
      </c>
      <c r="J108">
        <f>IF(FT!B108&lt;&gt;"",FT!C108,"")</f>
        <v>43.089100000000002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4.50054</v>
      </c>
      <c r="G109" s="61">
        <f>IF(FT!B109&lt;&gt;"",FT!B109*100,"")</f>
        <v>30.364000000000001</v>
      </c>
      <c r="H109" s="61">
        <f t="shared" si="9"/>
        <v>1</v>
      </c>
      <c r="I109" t="str">
        <f>IF(FT!B109&lt;&gt;"",FT!E109,"")</f>
        <v>2 [43.494967]</v>
      </c>
      <c r="J109">
        <f>IF(FT!B109&lt;&gt;"",FT!C109,"")</f>
        <v>43.494999999999997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4.4908700000000001</v>
      </c>
      <c r="G110" s="61">
        <f>IF(FT!B110&lt;&gt;"",FT!B110*100,"")</f>
        <v>30.808999999999997</v>
      </c>
      <c r="H110" s="61">
        <f t="shared" si="9"/>
        <v>1</v>
      </c>
      <c r="I110" t="str">
        <f>IF(FT!B110&lt;&gt;"",FT!E110,"")</f>
        <v>2 [43.901868]</v>
      </c>
      <c r="J110">
        <f>IF(FT!B110&lt;&gt;"",FT!C110,"")</f>
        <v>43.901899999999998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156460</v>
      </c>
      <c r="D111" s="61">
        <f>FH!B111*1</f>
        <v>156460</v>
      </c>
      <c r="E111">
        <f t="shared" si="11"/>
        <v>109</v>
      </c>
      <c r="F111" s="61">
        <f>IF(FT!A111&lt;&gt;"",FT!A111*10,"")</f>
        <v>4.4870400000000004</v>
      </c>
      <c r="G111" s="61">
        <f>IF(FT!B111&lt;&gt;"",FT!B111*100,"")</f>
        <v>31.152899999999999</v>
      </c>
      <c r="H111" s="61">
        <f t="shared" si="9"/>
        <v>1</v>
      </c>
      <c r="I111" t="str">
        <f>IF(FT!B111&lt;&gt;"",FT!E111,"")</f>
        <v>2 [44.305910]</v>
      </c>
      <c r="J111">
        <f>IF(FT!B111&lt;&gt;"",FT!C111,"")</f>
        <v>44.305900000000001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4.4884899999999996</v>
      </c>
      <c r="G112" s="61">
        <f>IF(FT!B112&lt;&gt;"",FT!B112*100,"")</f>
        <v>31.408199999999997</v>
      </c>
      <c r="H112" s="61">
        <f t="shared" si="9"/>
        <v>1</v>
      </c>
      <c r="I112" t="str">
        <f>IF(FT!B112&lt;&gt;"",FT!E112,"")</f>
        <v>2 [44.708851]</v>
      </c>
      <c r="J112">
        <f>IF(FT!B112&lt;&gt;"",FT!C112,"")</f>
        <v>44.7089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154216</v>
      </c>
      <c r="D113" s="61">
        <f>FH!B113*1</f>
        <v>154216</v>
      </c>
      <c r="E113">
        <f t="shared" si="11"/>
        <v>111</v>
      </c>
      <c r="F113" s="61">
        <f>IF(FT!A113&lt;&gt;"",FT!A113*10,"")</f>
        <v>4.4973900000000002</v>
      </c>
      <c r="G113" s="61">
        <f>IF(FT!B113&lt;&gt;"",FT!B113*100,"")</f>
        <v>31.519100000000002</v>
      </c>
      <c r="H113" s="61">
        <f t="shared" si="9"/>
        <v>1</v>
      </c>
      <c r="I113" t="str">
        <f>IF(FT!B113&lt;&gt;"",FT!E113,"")</f>
        <v>2 [45.120666]</v>
      </c>
      <c r="J113">
        <f>IF(FT!B113&lt;&gt;"",FT!C113,"")</f>
        <v>45.120699999999999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4.5127100000000002</v>
      </c>
      <c r="G114" s="61">
        <f>IF(FT!B114&lt;&gt;"",FT!B114*100,"")</f>
        <v>31.521900000000002</v>
      </c>
      <c r="H114" s="61">
        <f t="shared" si="9"/>
        <v>1</v>
      </c>
      <c r="I114" t="str">
        <f>IF(FT!B114&lt;&gt;"",FT!E114,"")</f>
        <v>2 [45.525534]</v>
      </c>
      <c r="J114">
        <f>IF(FT!B114&lt;&gt;"",FT!C114,"")</f>
        <v>45.525500000000001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4.5271099999999995</v>
      </c>
      <c r="G115" s="61">
        <f>IF(FT!B115&lt;&gt;"",FT!B115*100,"")</f>
        <v>31.554700000000004</v>
      </c>
      <c r="H115" s="61">
        <f t="shared" si="9"/>
        <v>1</v>
      </c>
      <c r="I115" t="str">
        <f>IF(FT!B115&lt;&gt;"",FT!E115,"")</f>
        <v>2 [45.931510]</v>
      </c>
      <c r="J115">
        <f>IF(FT!B115&lt;&gt;"",FT!C115,"")</f>
        <v>45.9315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159655</v>
      </c>
      <c r="D116" s="61">
        <f>FH!B116*1</f>
        <v>159655</v>
      </c>
      <c r="E116">
        <f t="shared" si="11"/>
        <v>114</v>
      </c>
      <c r="F116" s="61">
        <f>IF(FT!A116&lt;&gt;"",FT!A116*10,"")</f>
        <v>4.5455899999999998</v>
      </c>
      <c r="G116" s="61">
        <f>IF(FT!B116&lt;&gt;"",FT!B116*100,"")</f>
        <v>31.555899999999998</v>
      </c>
      <c r="H116" s="61">
        <f t="shared" si="9"/>
        <v>1</v>
      </c>
      <c r="I116" t="str">
        <f>IF(FT!B116&lt;&gt;"",FT!E116,"")</f>
        <v>2 [46.336513]</v>
      </c>
      <c r="J116">
        <f>IF(FT!B116&lt;&gt;"",FT!C116,"")</f>
        <v>46.336500000000001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4.5647599999999997</v>
      </c>
      <c r="G117" s="61">
        <f>IF(FT!B117&lt;&gt;"",FT!B117*100,"")</f>
        <v>31.5654</v>
      </c>
      <c r="H117" s="61">
        <f t="shared" si="9"/>
        <v>1</v>
      </c>
      <c r="I117" t="str">
        <f>IF(FT!B117&lt;&gt;"",FT!E117,"")</f>
        <v>2 [46.744363]</v>
      </c>
      <c r="J117">
        <f>IF(FT!B117&lt;&gt;"",FT!C117,"")</f>
        <v>46.744399999999999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161829</v>
      </c>
      <c r="D118" s="61">
        <f>FH!B118*1</f>
        <v>161829</v>
      </c>
      <c r="E118">
        <f t="shared" si="11"/>
        <v>116</v>
      </c>
      <c r="F118" s="61">
        <f>IF(FT!A118&lt;&gt;"",FT!A118*10,"")</f>
        <v>4.5840100000000001</v>
      </c>
      <c r="G118" s="61">
        <f>IF(FT!B118&lt;&gt;"",FT!B118*100,"")</f>
        <v>31.625599999999999</v>
      </c>
      <c r="H118" s="61">
        <f t="shared" si="9"/>
        <v>1</v>
      </c>
      <c r="I118" t="str">
        <f>IF(FT!B118&lt;&gt;"",FT!E118,"")</f>
        <v>2 [47.149277]</v>
      </c>
      <c r="J118">
        <f>IF(FT!B118&lt;&gt;"",FT!C118,"")</f>
        <v>47.149299999999997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4.6019700000000006</v>
      </c>
      <c r="G119" s="61">
        <f>IF(FT!B119&lt;&gt;"",FT!B119*100,"")</f>
        <v>31.7851</v>
      </c>
      <c r="H119" s="61">
        <f t="shared" si="9"/>
        <v>1</v>
      </c>
      <c r="I119" t="str">
        <f>IF(FT!B119&lt;&gt;"",FT!E119,"")</f>
        <v>2 [47.558512]</v>
      </c>
      <c r="J119">
        <f>IF(FT!B119&lt;&gt;"",FT!C119,"")</f>
        <v>47.558500000000002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4.6193800000000005</v>
      </c>
      <c r="G120" s="61">
        <f>IF(FT!B120&lt;&gt;"",FT!B120*100,"")</f>
        <v>31.968900000000001</v>
      </c>
      <c r="H120" s="61">
        <f t="shared" si="9"/>
        <v>1</v>
      </c>
      <c r="I120" t="str">
        <f>IF(FT!B120&lt;&gt;"",FT!E120,"")</f>
        <v>2 [47.965246]</v>
      </c>
      <c r="J120">
        <f>IF(FT!B120&lt;&gt;"",FT!C120,"")</f>
        <v>47.965200000000003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163980</v>
      </c>
      <c r="D121" s="61">
        <f>FH!B121*1</f>
        <v>163980</v>
      </c>
      <c r="E121">
        <f t="shared" si="11"/>
        <v>119</v>
      </c>
      <c r="F121" s="61">
        <f>IF(FT!A121&lt;&gt;"",FT!A121*10,"")</f>
        <v>4.6359300000000001</v>
      </c>
      <c r="G121" s="61">
        <f>IF(FT!B121&lt;&gt;"",FT!B121*100,"")</f>
        <v>32.138100000000001</v>
      </c>
      <c r="H121" s="61">
        <f t="shared" si="9"/>
        <v>1</v>
      </c>
      <c r="I121" t="str">
        <f>IF(FT!B121&lt;&gt;"",FT!E121,"")</f>
        <v>2 [48.368948]</v>
      </c>
      <c r="J121">
        <f>IF(FT!B121&lt;&gt;"",FT!C121,"")</f>
        <v>48.368899999999996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4.6503100000000002</v>
      </c>
      <c r="G122" s="61">
        <f>IF(FT!B122&lt;&gt;"",FT!B122*100,"")</f>
        <v>32.308100000000003</v>
      </c>
      <c r="H122" s="61">
        <f t="shared" si="9"/>
        <v>1</v>
      </c>
      <c r="I122" t="str">
        <f>IF(FT!B122&lt;&gt;"",FT!E122,"")</f>
        <v>2 [48.772093]</v>
      </c>
      <c r="J122">
        <f>IF(FT!B122&lt;&gt;"",FT!C122,"")</f>
        <v>48.772100000000002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4.6603599999999998</v>
      </c>
      <c r="G123" s="61">
        <f>IF(FT!B123&lt;&gt;"",FT!B123*100,"")</f>
        <v>32.475500000000004</v>
      </c>
      <c r="H123" s="61">
        <f t="shared" si="9"/>
        <v>1</v>
      </c>
      <c r="I123" t="str">
        <f>IF(FT!B123&lt;&gt;"",FT!E123,"")</f>
        <v>2 [49.182072]</v>
      </c>
      <c r="J123">
        <f>IF(FT!B123&lt;&gt;"",FT!C123,"")</f>
        <v>49.182099999999998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168571</v>
      </c>
      <c r="D124" s="61">
        <f>FH!B124*1</f>
        <v>168571</v>
      </c>
      <c r="E124">
        <f t="shared" si="11"/>
        <v>122</v>
      </c>
      <c r="F124" s="61">
        <f>IF(FT!A124&lt;&gt;"",FT!A124*10,"")</f>
        <v>4.6659600000000001</v>
      </c>
      <c r="G124" s="61">
        <f>IF(FT!B124&lt;&gt;"",FT!B124*100,"")</f>
        <v>32.633000000000003</v>
      </c>
      <c r="H124" s="61">
        <f t="shared" si="9"/>
        <v>1</v>
      </c>
      <c r="I124" t="str">
        <f>IF(FT!B124&lt;&gt;"",FT!E124,"")</f>
        <v>2 [49.586698]</v>
      </c>
      <c r="J124">
        <f>IF(FT!B124&lt;&gt;"",FT!C124,"")</f>
        <v>49.5867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4.6707400000000003</v>
      </c>
      <c r="G125" s="61">
        <f>IF(FT!B125&lt;&gt;"",FT!B125*100,"")</f>
        <v>32.803800000000003</v>
      </c>
      <c r="H125" s="61">
        <f t="shared" si="9"/>
        <v>1</v>
      </c>
      <c r="I125" t="str">
        <f>IF(FT!B125&lt;&gt;"",FT!E125,"")</f>
        <v>2 [49.992555]</v>
      </c>
      <c r="J125">
        <f>IF(FT!B125&lt;&gt;"",FT!C125,"")</f>
        <v>49.992600000000003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161694</v>
      </c>
      <c r="D126" s="61">
        <f>FH!B126*1</f>
        <v>161694</v>
      </c>
      <c r="E126">
        <f t="shared" si="11"/>
        <v>124</v>
      </c>
      <c r="F126" s="61">
        <f>IF(FT!A126&lt;&gt;"",FT!A126*10,"")</f>
        <v>4.6752099999999999</v>
      </c>
      <c r="G126" s="61">
        <f>IF(FT!B126&lt;&gt;"",FT!B126*100,"")</f>
        <v>32.906800000000004</v>
      </c>
      <c r="H126" s="61">
        <f t="shared" si="9"/>
        <v>1</v>
      </c>
      <c r="I126" t="str">
        <f>IF(FT!B126&lt;&gt;"",FT!E126,"")</f>
        <v>2 [50.399510]</v>
      </c>
      <c r="J126">
        <f>IF(FT!B126&lt;&gt;"",FT!C126,"")</f>
        <v>50.399500000000003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4.6808199999999998</v>
      </c>
      <c r="G127" s="61">
        <f>IF(FT!B127&lt;&gt;"",FT!B127*100,"")</f>
        <v>32.939299999999996</v>
      </c>
      <c r="H127" s="61">
        <f t="shared" si="9"/>
        <v>1</v>
      </c>
      <c r="I127" t="str">
        <f>IF(FT!B127&lt;&gt;"",FT!E127,"")</f>
        <v>2 [50.805436]</v>
      </c>
      <c r="J127">
        <f>IF(FT!B127&lt;&gt;"",FT!C127,"")</f>
        <v>50.805399999999999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4.6883400000000002</v>
      </c>
      <c r="G128" s="61">
        <f>IF(FT!B128&lt;&gt;"",FT!B128*100,"")</f>
        <v>32.946199999999997</v>
      </c>
      <c r="H128" s="61">
        <f t="shared" si="9"/>
        <v>1</v>
      </c>
      <c r="I128" t="str">
        <f>IF(FT!B128&lt;&gt;"",FT!E128,"")</f>
        <v>2 [51.211357]</v>
      </c>
      <c r="J128">
        <f>IF(FT!B128&lt;&gt;"",FT!C128,"")</f>
        <v>51.211399999999998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164803</v>
      </c>
      <c r="D129" s="61">
        <f>FH!B129*1</f>
        <v>164803</v>
      </c>
      <c r="E129">
        <f t="shared" si="11"/>
        <v>127</v>
      </c>
      <c r="F129" s="61">
        <f>IF(FT!A129&lt;&gt;"",FT!A129*10,"")</f>
        <v>4.6987399999999999</v>
      </c>
      <c r="G129" s="61">
        <f>IF(FT!B129&lt;&gt;"",FT!B129*100,"")</f>
        <v>32.959500000000006</v>
      </c>
      <c r="H129" s="61">
        <f t="shared" si="9"/>
        <v>1</v>
      </c>
      <c r="I129" t="str">
        <f>IF(FT!B129&lt;&gt;"",FT!E129,"")</f>
        <v>2 [51.619244]</v>
      </c>
      <c r="J129">
        <f>IF(FT!B129&lt;&gt;"",FT!C129,"")</f>
        <v>51.619199999999999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4.7138499999999999</v>
      </c>
      <c r="G130" s="61">
        <f>IF(FT!B130&lt;&gt;"",FT!B130*100,"")</f>
        <v>32.958300000000001</v>
      </c>
      <c r="H130" s="61">
        <f t="shared" si="9"/>
        <v>1</v>
      </c>
      <c r="I130" t="str">
        <f>IF(FT!B130&lt;&gt;"",FT!E130,"")</f>
        <v>2 [52.025135]</v>
      </c>
      <c r="J130">
        <f>IF(FT!B130&lt;&gt;"",FT!C130,"")</f>
        <v>52.025100000000002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161565</v>
      </c>
      <c r="D131" s="61">
        <f>FH!B131*1</f>
        <v>161565</v>
      </c>
      <c r="E131">
        <f t="shared" si="11"/>
        <v>129</v>
      </c>
      <c r="F131" s="61">
        <f>IF(FT!A131&lt;&gt;"",FT!A131*10,"")</f>
        <v>4.7300700000000004</v>
      </c>
      <c r="G131" s="61">
        <f>IF(FT!B131&lt;&gt;"",FT!B131*100,"")</f>
        <v>32.930300000000003</v>
      </c>
      <c r="H131" s="61">
        <f t="shared" ref="H131:H194" si="13">(IF(F131&lt;&gt;"",1,""))</f>
        <v>1</v>
      </c>
      <c r="I131" t="str">
        <f>IF(FT!B131&lt;&gt;"",FT!E131,"")</f>
        <v>2 [52.432330]</v>
      </c>
      <c r="J131">
        <f>IF(FT!B131&lt;&gt;"",FT!C131,"")</f>
        <v>52.432299999999998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4.7477</v>
      </c>
      <c r="G132" s="61">
        <f>IF(FT!B132&lt;&gt;"",FT!B132*100,"")</f>
        <v>32.900400000000005</v>
      </c>
      <c r="H132" s="61">
        <f t="shared" si="13"/>
        <v>1</v>
      </c>
      <c r="I132" t="str">
        <f>IF(FT!B132&lt;&gt;"",FT!E132,"")</f>
        <v>2 [52.835018]</v>
      </c>
      <c r="J132">
        <f>IF(FT!B132&lt;&gt;"",FT!C132,"")</f>
        <v>52.835000000000001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4.7650399999999999</v>
      </c>
      <c r="G133" s="61">
        <f>IF(FT!B133&lt;&gt;"",FT!B133*100,"")</f>
        <v>32.862200000000001</v>
      </c>
      <c r="H133" s="61">
        <f t="shared" si="13"/>
        <v>1</v>
      </c>
      <c r="I133" t="str">
        <f>IF(FT!B133&lt;&gt;"",FT!E133,"")</f>
        <v>2 [53.243918]</v>
      </c>
      <c r="J133">
        <f>IF(FT!B133&lt;&gt;"",FT!C133,"")</f>
        <v>53.243899999999996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159745</v>
      </c>
      <c r="D134" s="61">
        <f>FH!B134*1</f>
        <v>159745</v>
      </c>
      <c r="E134">
        <f t="shared" si="15"/>
        <v>132</v>
      </c>
      <c r="F134" s="61">
        <f>IF(FT!A134&lt;&gt;"",FT!A134*10,"")</f>
        <v>4.7808400000000004</v>
      </c>
      <c r="G134" s="61">
        <f>IF(FT!B134&lt;&gt;"",FT!B134*100,"")</f>
        <v>32.825199999999995</v>
      </c>
      <c r="H134" s="61">
        <f t="shared" si="13"/>
        <v>1</v>
      </c>
      <c r="I134" t="str">
        <f>IF(FT!B134&lt;&gt;"",FT!E134,"")</f>
        <v>2 [53.649918]</v>
      </c>
      <c r="J134">
        <f>IF(FT!B134&lt;&gt;"",FT!C134,"")</f>
        <v>53.649900000000002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4.7938799999999997</v>
      </c>
      <c r="G135" s="61">
        <f>IF(FT!B135&lt;&gt;"",FT!B135*100,"")</f>
        <v>32.834699999999998</v>
      </c>
      <c r="H135" s="61">
        <f t="shared" si="13"/>
        <v>1</v>
      </c>
      <c r="I135" t="str">
        <f>IF(FT!B135&lt;&gt;"",FT!E135,"")</f>
        <v>2 [54.053973]</v>
      </c>
      <c r="J135">
        <f>IF(FT!B135&lt;&gt;"",FT!C135,"")</f>
        <v>54.054000000000002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158894</v>
      </c>
      <c r="D136" s="61">
        <f>FH!B136*1</f>
        <v>158894</v>
      </c>
      <c r="E136">
        <f t="shared" si="15"/>
        <v>134</v>
      </c>
      <c r="F136" s="61">
        <f>IF(FT!A136&lt;&gt;"",FT!A136*10,"")</f>
        <v>4.8035099999999993</v>
      </c>
      <c r="G136" s="61">
        <f>IF(FT!B136&lt;&gt;"",FT!B136*100,"")</f>
        <v>32.830799999999996</v>
      </c>
      <c r="H136" s="61">
        <f t="shared" si="13"/>
        <v>1</v>
      </c>
      <c r="I136" t="str">
        <f>IF(FT!B136&lt;&gt;"",FT!E136,"")</f>
        <v>2 [54.463631]</v>
      </c>
      <c r="J136">
        <f>IF(FT!B136&lt;&gt;"",FT!C136,"")</f>
        <v>54.4636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4.8097399999999997</v>
      </c>
      <c r="G137" s="61">
        <f>IF(FT!B137&lt;&gt;"",FT!B137*100,"")</f>
        <v>32.807099999999998</v>
      </c>
      <c r="H137" s="61">
        <f t="shared" si="13"/>
        <v>1</v>
      </c>
      <c r="I137" t="str">
        <f>IF(FT!B137&lt;&gt;"",FT!E137,"")</f>
        <v>2 [54.870603]</v>
      </c>
      <c r="J137">
        <f>IF(FT!B137&lt;&gt;"",FT!C137,"")</f>
        <v>54.870600000000003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4.8099100000000004</v>
      </c>
      <c r="G138" s="61">
        <f>IF(FT!B138&lt;&gt;"",FT!B138*100,"")</f>
        <v>32.849899999999998</v>
      </c>
      <c r="H138" s="61">
        <f t="shared" si="13"/>
        <v>1</v>
      </c>
      <c r="I138" t="str">
        <f>IF(FT!B138&lt;&gt;"",FT!E138,"")</f>
        <v>2 [55.273448]</v>
      </c>
      <c r="J138">
        <f>IF(FT!B138&lt;&gt;"",FT!C138,"")</f>
        <v>55.273400000000002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163688</v>
      </c>
      <c r="D139" s="61">
        <f>FH!B139*1</f>
        <v>163688</v>
      </c>
      <c r="E139">
        <f t="shared" si="15"/>
        <v>137</v>
      </c>
      <c r="F139" s="61">
        <f>IF(FT!A139&lt;&gt;"",FT!A139*10,"")</f>
        <v>4.8051399999999997</v>
      </c>
      <c r="G139" s="61">
        <f>IF(FT!B139&lt;&gt;"",FT!B139*100,"")</f>
        <v>32.987300000000005</v>
      </c>
      <c r="H139" s="61">
        <f t="shared" si="13"/>
        <v>1</v>
      </c>
      <c r="I139" t="str">
        <f>IF(FT!B139&lt;&gt;"",FT!E139,"")</f>
        <v>2 [55.681340]</v>
      </c>
      <c r="J139">
        <f>IF(FT!B139&lt;&gt;"",FT!C139,"")</f>
        <v>55.6813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4.8034100000000004</v>
      </c>
      <c r="G140" s="61">
        <f>IF(FT!B140&lt;&gt;"",FT!B140*100,"")</f>
        <v>33.097500000000004</v>
      </c>
      <c r="H140" s="61">
        <f t="shared" si="13"/>
        <v>1</v>
      </c>
      <c r="I140" t="str">
        <f>IF(FT!B140&lt;&gt;"",FT!E140,"")</f>
        <v>2 [56.084603]</v>
      </c>
      <c r="J140">
        <f>IF(FT!B140&lt;&gt;"",FT!C140,"")</f>
        <v>56.084600000000002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4.7986899999999997</v>
      </c>
      <c r="G141" s="61">
        <f>IF(FT!B141&lt;&gt;"",FT!B141*100,"")</f>
        <v>33.298100000000005</v>
      </c>
      <c r="H141" s="61">
        <f t="shared" si="13"/>
        <v>1</v>
      </c>
      <c r="I141" t="str">
        <f>IF(FT!B141&lt;&gt;"",FT!E141,"")</f>
        <v>2 [56.495194]</v>
      </c>
      <c r="J141">
        <f>IF(FT!B141&lt;&gt;"",FT!C141,"")</f>
        <v>56.495199999999997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166850</v>
      </c>
      <c r="D142" s="61">
        <f>FH!B142*1</f>
        <v>166850</v>
      </c>
      <c r="E142">
        <f t="shared" si="15"/>
        <v>140</v>
      </c>
      <c r="F142" s="61">
        <f>IF(FT!A142&lt;&gt;"",FT!A142*10,"")</f>
        <v>4.7946299999999997</v>
      </c>
      <c r="G142" s="61">
        <f>IF(FT!B142&lt;&gt;"",FT!B142*100,"")</f>
        <v>33.553600000000003</v>
      </c>
      <c r="H142" s="61">
        <f t="shared" si="13"/>
        <v>1</v>
      </c>
      <c r="I142" t="str">
        <f>IF(FT!B142&lt;&gt;"",FT!E142,"")</f>
        <v>2 [56.898256]</v>
      </c>
      <c r="J142">
        <f>IF(FT!B142&lt;&gt;"",FT!C142,"")</f>
        <v>56.898299999999999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4.7897400000000001</v>
      </c>
      <c r="G143" s="61">
        <f>IF(FT!B143&lt;&gt;"",FT!B143*100,"")</f>
        <v>33.785800000000002</v>
      </c>
      <c r="H143" s="61">
        <f t="shared" si="13"/>
        <v>1</v>
      </c>
      <c r="I143" t="str">
        <f>IF(FT!B143&lt;&gt;"",FT!E143,"")</f>
        <v>2 [57.308063]</v>
      </c>
      <c r="J143">
        <f>IF(FT!B143&lt;&gt;"",FT!C143,"")</f>
        <v>57.308100000000003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176306</v>
      </c>
      <c r="D144" s="61">
        <f>FH!B144*1</f>
        <v>176306</v>
      </c>
      <c r="E144">
        <f t="shared" si="15"/>
        <v>142</v>
      </c>
      <c r="F144" s="61">
        <f>IF(FT!A144&lt;&gt;"",FT!A144*10,"")</f>
        <v>4.7844600000000002</v>
      </c>
      <c r="G144" s="61">
        <f>IF(FT!B144&lt;&gt;"",FT!B144*100,"")</f>
        <v>33.948499999999996</v>
      </c>
      <c r="H144" s="61">
        <f t="shared" si="13"/>
        <v>1</v>
      </c>
      <c r="I144" t="str">
        <f>IF(FT!B144&lt;&gt;"",FT!E144,"")</f>
        <v>2 [57.712971]</v>
      </c>
      <c r="J144">
        <f>IF(FT!B144&lt;&gt;"",FT!C144,"")</f>
        <v>57.713000000000001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4.7778599999999996</v>
      </c>
      <c r="G145" s="61">
        <f>IF(FT!B145&lt;&gt;"",FT!B145*100,"")</f>
        <v>34.081000000000003</v>
      </c>
      <c r="H145" s="61">
        <f t="shared" si="13"/>
        <v>1</v>
      </c>
      <c r="I145" t="str">
        <f>IF(FT!B145&lt;&gt;"",FT!E145,"")</f>
        <v>2 [58.118118]</v>
      </c>
      <c r="J145">
        <f>IF(FT!B145&lt;&gt;"",FT!C145,"")</f>
        <v>58.118099999999998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4.7641600000000004</v>
      </c>
      <c r="G146" s="61">
        <f>IF(FT!B146&lt;&gt;"",FT!B146*100,"")</f>
        <v>34.350700000000003</v>
      </c>
      <c r="H146" s="61">
        <f t="shared" si="13"/>
        <v>1</v>
      </c>
      <c r="I146" t="str">
        <f>IF(FT!B146&lt;&gt;"",FT!E146,"")</f>
        <v>2 [58.522753]</v>
      </c>
      <c r="J146">
        <f>IF(FT!B146&lt;&gt;"",FT!C146,"")</f>
        <v>58.522799999999997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185876</v>
      </c>
      <c r="D147" s="61">
        <f>FH!B147*1</f>
        <v>185876</v>
      </c>
      <c r="E147">
        <f t="shared" si="15"/>
        <v>145</v>
      </c>
      <c r="F147" s="61">
        <f>IF(FT!A147&lt;&gt;"",FT!A147*10,"")</f>
        <v>4.7482199999999999</v>
      </c>
      <c r="G147" s="61">
        <f>IF(FT!B147&lt;&gt;"",FT!B147*100,"")</f>
        <v>34.667099999999998</v>
      </c>
      <c r="H147" s="61">
        <f t="shared" si="13"/>
        <v>1</v>
      </c>
      <c r="I147" t="str">
        <f>IF(FT!B147&lt;&gt;"",FT!E147,"")</f>
        <v>2 [58.932002]</v>
      </c>
      <c r="J147">
        <f>IF(FT!B147&lt;&gt;"",FT!C147,"")</f>
        <v>58.932000000000002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4.7371099999999995</v>
      </c>
      <c r="G148" s="61">
        <f>IF(FT!B148&lt;&gt;"",FT!B148*100,"")</f>
        <v>35.157699999999998</v>
      </c>
      <c r="H148" s="61">
        <f t="shared" si="13"/>
        <v>1</v>
      </c>
      <c r="I148" t="str">
        <f>IF(FT!B148&lt;&gt;"",FT!E148,"")</f>
        <v>2 [59.339641]</v>
      </c>
      <c r="J148">
        <f>IF(FT!B148&lt;&gt;"",FT!C148,"")</f>
        <v>59.339599999999997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193189</v>
      </c>
      <c r="D149" s="61">
        <f>FH!B149*1</f>
        <v>193189</v>
      </c>
      <c r="E149">
        <f t="shared" si="15"/>
        <v>147</v>
      </c>
      <c r="F149" s="61">
        <f>IF(FT!A149&lt;&gt;"",FT!A149*10,"")</f>
        <v>4.7360600000000002</v>
      </c>
      <c r="G149" s="61">
        <f>IF(FT!B149&lt;&gt;"",FT!B149*100,"")</f>
        <v>35.576099999999997</v>
      </c>
      <c r="H149" s="61">
        <f t="shared" si="13"/>
        <v>1</v>
      </c>
      <c r="I149" t="str">
        <f>IF(FT!B149&lt;&gt;"",FT!E149,"")</f>
        <v>2 [59.742517]</v>
      </c>
      <c r="J149">
        <f>IF(FT!B149&lt;&gt;"",FT!C149,"")</f>
        <v>59.7425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>
        <f>IF(FT!A150&lt;&gt;"",FT!A150*10,"")</f>
        <v>4.7350300000000001</v>
      </c>
      <c r="G150" s="61">
        <f>IF(FT!B150&lt;&gt;"",FT!B150*100,"")</f>
        <v>36.082599999999999</v>
      </c>
      <c r="H150" s="61">
        <f t="shared" si="13"/>
        <v>1</v>
      </c>
      <c r="I150" t="str">
        <f>IF(FT!B150&lt;&gt;"",FT!E150,"")</f>
        <v>2 [60.150678]</v>
      </c>
      <c r="J150">
        <f>IF(FT!B150&lt;&gt;"",FT!C150,"")</f>
        <v>60.150700000000001</v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189432</v>
      </c>
      <c r="D152" s="61">
        <f>FH!B152*1</f>
        <v>189432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183631</v>
      </c>
      <c r="D154" s="61">
        <f>FH!B154*1</f>
        <v>183631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181230</v>
      </c>
      <c r="D157" s="61">
        <f>FH!B157*1</f>
        <v>181230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179792</v>
      </c>
      <c r="D160" s="61">
        <f>FH!B160*1</f>
        <v>179792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163331</v>
      </c>
      <c r="D162" s="61">
        <f>FH!B162*1</f>
        <v>163331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147694</v>
      </c>
      <c r="D165" s="61">
        <f>FH!B165*1</f>
        <v>147694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134020</v>
      </c>
      <c r="D167" s="61">
        <f>FH!B167*1</f>
        <v>134020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124591</v>
      </c>
      <c r="D170" s="61">
        <f>FH!B170*1</f>
        <v>124591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111491</v>
      </c>
      <c r="D173" s="61">
        <f>FH!B173*1</f>
        <v>111491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98971</v>
      </c>
      <c r="D175" s="61">
        <f>FH!B175*1</f>
        <v>98971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87557</v>
      </c>
      <c r="D178" s="61">
        <f>FH!B178*1</f>
        <v>87557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75551</v>
      </c>
      <c r="D180" s="61">
        <f>FH!B180*1</f>
        <v>75551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60271</v>
      </c>
      <c r="D183" s="61">
        <f>FH!B183*1</f>
        <v>60271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52914</v>
      </c>
      <c r="D185" s="61">
        <f>FH!B185*1</f>
        <v>52914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41499</v>
      </c>
      <c r="D188" s="61">
        <f>FH!B188*1</f>
        <v>41499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34662</v>
      </c>
      <c r="D191" s="61">
        <f>FH!B191*1</f>
        <v>34662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27216</v>
      </c>
      <c r="D193" s="61">
        <f>FH!B193*1</f>
        <v>27216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17230</v>
      </c>
      <c r="D196" s="61">
        <f>FH!B196*1</f>
        <v>17230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15224</v>
      </c>
      <c r="D198" s="61">
        <f>FH!B198*1</f>
        <v>15224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12333</v>
      </c>
      <c r="D201" s="61">
        <f>FH!B201*1</f>
        <v>12333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11596</v>
      </c>
      <c r="D203" s="61">
        <f>FH!B203*1</f>
        <v>11596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11218</v>
      </c>
      <c r="D206" s="61">
        <f>FH!B206*1</f>
        <v>11218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9635</v>
      </c>
      <c r="D209" s="61">
        <f>FH!B209*1</f>
        <v>9635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6051</v>
      </c>
      <c r="D211" s="61">
        <f>FH!B211*1</f>
        <v>6051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3663</v>
      </c>
      <c r="D214" s="61">
        <f>FH!B214*1</f>
        <v>3663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3719</v>
      </c>
      <c r="D216" s="61">
        <f>FH!B216*1</f>
        <v>3719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2454</v>
      </c>
      <c r="D219" s="61">
        <f>FH!B219*1</f>
        <v>2454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374</v>
      </c>
      <c r="D221" s="61">
        <f>FH!B221*1</f>
        <v>374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52.116799999999998</v>
      </c>
      <c r="C5" s="66">
        <v>12.3911</v>
      </c>
      <c r="D5" s="66">
        <v>23.775700000000001</v>
      </c>
      <c r="E5" s="66">
        <v>20</v>
      </c>
      <c r="F5" s="66">
        <v>13.9192</v>
      </c>
      <c r="G5" s="66">
        <v>50</v>
      </c>
      <c r="H5" s="66">
        <v>62.532899999999998</v>
      </c>
    </row>
    <row r="6" spans="1:8">
      <c r="A6" s="58" t="s">
        <v>303</v>
      </c>
      <c r="B6" s="66">
        <v>28.2727</v>
      </c>
      <c r="C6" s="66">
        <v>5.8667800000000003</v>
      </c>
      <c r="D6" s="66">
        <v>20.750699999999998</v>
      </c>
      <c r="E6" s="66">
        <v>20</v>
      </c>
      <c r="F6" s="66">
        <v>15.3325</v>
      </c>
      <c r="G6" s="66">
        <v>40</v>
      </c>
      <c r="H6" s="66">
        <v>36.206099999999999</v>
      </c>
    </row>
    <row r="7" spans="1:8">
      <c r="A7" s="58" t="s">
        <v>304</v>
      </c>
      <c r="B7" s="66">
        <v>15.352600000000001</v>
      </c>
      <c r="C7" s="66">
        <v>5.0095200000000002</v>
      </c>
      <c r="D7" s="66">
        <v>32.629800000000003</v>
      </c>
      <c r="E7" s="66">
        <v>15</v>
      </c>
      <c r="F7" s="66">
        <v>4.1661299999999999</v>
      </c>
      <c r="G7" s="66">
        <v>40</v>
      </c>
      <c r="H7" s="66">
        <v>33.880200000000002</v>
      </c>
    </row>
    <row r="8" spans="1:8">
      <c r="A8" s="58" t="s">
        <v>305</v>
      </c>
      <c r="B8" s="66">
        <v>31.251799999999999</v>
      </c>
      <c r="C8" s="66">
        <v>6.3563599999999996</v>
      </c>
      <c r="D8" s="66">
        <v>20.339200000000002</v>
      </c>
      <c r="E8" s="66">
        <v>20</v>
      </c>
      <c r="F8" s="66">
        <v>13.6028</v>
      </c>
      <c r="G8" s="66">
        <v>50</v>
      </c>
      <c r="H8" s="66">
        <v>38.517899999999997</v>
      </c>
    </row>
    <row r="9" spans="1:8">
      <c r="A9" s="58" t="s">
        <v>306</v>
      </c>
      <c r="B9" s="66">
        <v>65.246600000000001</v>
      </c>
      <c r="C9" s="66">
        <v>8.5063999999999993</v>
      </c>
      <c r="D9" s="66">
        <v>13.0373</v>
      </c>
      <c r="E9" s="66">
        <v>50</v>
      </c>
      <c r="F9" s="66">
        <v>45.617899999999999</v>
      </c>
      <c r="G9" s="66">
        <v>100</v>
      </c>
      <c r="H9" s="66">
        <v>79.9709</v>
      </c>
    </row>
    <row r="10" spans="1:8">
      <c r="A10" s="58" t="s">
        <v>307</v>
      </c>
      <c r="B10" s="66">
        <v>78.386899999999997</v>
      </c>
      <c r="C10" s="66">
        <v>3.7630300000000001</v>
      </c>
      <c r="D10" s="66">
        <v>4.8005800000000001</v>
      </c>
      <c r="E10" s="66">
        <v>40</v>
      </c>
      <c r="F10" s="66">
        <v>73.358400000000003</v>
      </c>
      <c r="G10" s="66">
        <v>100</v>
      </c>
      <c r="H10" s="66">
        <v>87.951099999999997</v>
      </c>
    </row>
    <row r="11" spans="1:8">
      <c r="A11" s="58" t="s">
        <v>308</v>
      </c>
      <c r="B11" s="66">
        <v>33.734900000000003</v>
      </c>
      <c r="C11" s="66">
        <v>6.9781199999999997</v>
      </c>
      <c r="D11" s="66">
        <v>20.685199999999998</v>
      </c>
      <c r="E11" s="66">
        <v>10</v>
      </c>
      <c r="F11" s="66">
        <v>9.5861900000000002</v>
      </c>
      <c r="G11" s="66">
        <v>50</v>
      </c>
      <c r="H11" s="66">
        <v>39.529200000000003</v>
      </c>
    </row>
    <row r="12" spans="1:8">
      <c r="A12" s="58" t="s">
        <v>309</v>
      </c>
      <c r="B12" s="66">
        <v>71.831100000000006</v>
      </c>
      <c r="C12" s="66">
        <v>5.93058</v>
      </c>
      <c r="D12" s="66">
        <v>8.2562800000000003</v>
      </c>
      <c r="E12" s="66">
        <v>50</v>
      </c>
      <c r="F12" s="66">
        <v>60.591200000000001</v>
      </c>
      <c r="G12" s="66">
        <v>100</v>
      </c>
      <c r="H12" s="66">
        <v>83.410799999999995</v>
      </c>
    </row>
    <row r="13" spans="1:8">
      <c r="A13" s="58" t="s">
        <v>310</v>
      </c>
      <c r="B13" s="66">
        <v>24.556699999999999</v>
      </c>
      <c r="C13" s="66">
        <v>3.7660100000000001</v>
      </c>
      <c r="D13" s="66">
        <v>15.336</v>
      </c>
      <c r="E13" s="66">
        <v>10</v>
      </c>
      <c r="F13" s="66">
        <v>18.1127</v>
      </c>
      <c r="G13" s="66">
        <v>25</v>
      </c>
      <c r="H13" s="66">
        <v>36.052900000000001</v>
      </c>
    </row>
    <row r="14" spans="1:8">
      <c r="A14" s="58" t="s">
        <v>311</v>
      </c>
      <c r="B14" s="66">
        <v>37.6601</v>
      </c>
      <c r="C14" s="66">
        <v>12.7286</v>
      </c>
      <c r="D14" s="66">
        <v>33.798699999999997</v>
      </c>
      <c r="E14" s="66">
        <v>10</v>
      </c>
      <c r="F14" s="66">
        <v>2.8296399999999999</v>
      </c>
      <c r="G14" s="66">
        <v>50</v>
      </c>
      <c r="H14" s="66">
        <v>42.771999999999998</v>
      </c>
    </row>
    <row r="15" spans="1:8">
      <c r="A15" s="58" t="s">
        <v>312</v>
      </c>
      <c r="B15" s="66">
        <v>8.6376599999999998E-2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0.129243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19.341000000000001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0.359398</v>
      </c>
      <c r="C18" s="66">
        <v>0.102059</v>
      </c>
      <c r="D18" s="66">
        <v>0.283972</v>
      </c>
      <c r="E18" s="66">
        <v>0</v>
      </c>
      <c r="F18" s="66">
        <v>0.25733899999999998</v>
      </c>
      <c r="G18" s="66">
        <v>0</v>
      </c>
      <c r="H18" s="66">
        <v>0.46145799999999998</v>
      </c>
    </row>
    <row r="19" spans="1:8">
      <c r="A19" s="58" t="s">
        <v>316</v>
      </c>
      <c r="B19" s="66">
        <v>0.45596399999999998</v>
      </c>
      <c r="C19" s="66">
        <v>3.42323E-2</v>
      </c>
      <c r="D19" s="66">
        <v>7.5076699999999996E-2</v>
      </c>
      <c r="E19" s="66">
        <v>0</v>
      </c>
      <c r="F19" s="66">
        <v>0.421732</v>
      </c>
      <c r="G19" s="66">
        <v>0</v>
      </c>
      <c r="H19" s="66">
        <v>0.49019600000000002</v>
      </c>
    </row>
    <row r="20" spans="1:8">
      <c r="A20" s="58" t="s">
        <v>317</v>
      </c>
      <c r="B20" s="66">
        <v>1.1773499999999999E-2</v>
      </c>
      <c r="C20" s="66">
        <v>0.26949499999999998</v>
      </c>
      <c r="D20" s="66">
        <v>22.89</v>
      </c>
      <c r="E20" s="66">
        <v>0</v>
      </c>
      <c r="F20" s="196">
        <v>5.2521000000000001E-6</v>
      </c>
      <c r="G20" s="66">
        <v>0</v>
      </c>
      <c r="H20" s="66">
        <v>3.8405200000000002</v>
      </c>
    </row>
    <row r="21" spans="1:8">
      <c r="A21" s="58" t="s">
        <v>318</v>
      </c>
      <c r="B21" s="66">
        <v>0.33099000000000001</v>
      </c>
      <c r="C21" s="66">
        <v>1.6473</v>
      </c>
      <c r="D21" s="66">
        <v>4.97689</v>
      </c>
      <c r="E21" s="66">
        <v>0</v>
      </c>
      <c r="F21" s="66">
        <v>3.6741E-3</v>
      </c>
      <c r="G21" s="66">
        <v>0</v>
      </c>
      <c r="H21" s="66">
        <v>17.495100000000001</v>
      </c>
    </row>
    <row r="22" spans="1:8">
      <c r="A22" s="58" t="s">
        <v>319</v>
      </c>
      <c r="B22" s="66">
        <v>58.657600000000002</v>
      </c>
      <c r="C22" s="66">
        <v>38.450099999999999</v>
      </c>
      <c r="D22" s="66">
        <v>0.655501</v>
      </c>
      <c r="E22" s="66">
        <v>0</v>
      </c>
      <c r="F22" s="66">
        <v>27.592400000000001</v>
      </c>
      <c r="G22" s="66">
        <v>0</v>
      </c>
      <c r="H22" s="66">
        <v>294.45499999999998</v>
      </c>
    </row>
    <row r="23" spans="1:8">
      <c r="A23" s="58" t="s">
        <v>320</v>
      </c>
      <c r="B23" s="66">
        <v>33.414400000000001</v>
      </c>
      <c r="C23" s="66">
        <v>7.8316999999999997</v>
      </c>
      <c r="D23" s="66">
        <v>0.23438100000000001</v>
      </c>
      <c r="E23" s="66">
        <v>0</v>
      </c>
      <c r="F23" s="66">
        <v>11.206300000000001</v>
      </c>
      <c r="G23" s="66">
        <v>0</v>
      </c>
      <c r="H23" s="66">
        <v>49.085000000000001</v>
      </c>
    </row>
    <row r="24" spans="1:8">
      <c r="A24" s="58" t="s">
        <v>321</v>
      </c>
      <c r="B24" s="66">
        <v>1.64517E-2</v>
      </c>
      <c r="C24" s="66">
        <v>0.24179500000000001</v>
      </c>
      <c r="D24" s="66">
        <v>14.6973</v>
      </c>
      <c r="E24" s="66">
        <v>0</v>
      </c>
      <c r="F24" s="66">
        <v>1.02565E-4</v>
      </c>
      <c r="G24" s="66">
        <v>0</v>
      </c>
      <c r="H24" s="66">
        <v>2.9630399999999999</v>
      </c>
    </row>
    <row r="25" spans="1:8">
      <c r="A25" s="58" t="s">
        <v>322</v>
      </c>
      <c r="B25" s="66">
        <v>0.38377299999999998</v>
      </c>
      <c r="C25" s="66">
        <v>1.15445</v>
      </c>
      <c r="D25" s="66">
        <v>3.0081600000000002</v>
      </c>
      <c r="E25" s="66">
        <v>0</v>
      </c>
      <c r="F25" s="66">
        <v>3.1323700000000003E-2</v>
      </c>
      <c r="G25" s="66">
        <v>0</v>
      </c>
      <c r="H25" s="66">
        <v>7.2103599999999997</v>
      </c>
    </row>
    <row r="26" spans="1:8">
      <c r="A26" s="58" t="s">
        <v>323</v>
      </c>
      <c r="B26" s="66">
        <v>2.5965099999999998E-3</v>
      </c>
      <c r="C26" s="66">
        <v>1.6542899999999999E-2</v>
      </c>
      <c r="D26" s="66">
        <v>6.3712299999999997</v>
      </c>
      <c r="E26" s="66">
        <v>0</v>
      </c>
      <c r="F26" s="196">
        <v>3.2825599999999999E-6</v>
      </c>
      <c r="G26" s="66">
        <v>0</v>
      </c>
      <c r="H26" s="66">
        <v>0.183833</v>
      </c>
    </row>
    <row r="27" spans="1:8">
      <c r="A27" s="58" t="s">
        <v>324</v>
      </c>
      <c r="B27" s="196">
        <v>-1.9695400000000001E-5</v>
      </c>
      <c r="C27" s="66">
        <v>3.6151899999999999E-3</v>
      </c>
      <c r="D27" s="66">
        <v>-183.55500000000001</v>
      </c>
      <c r="E27" s="66">
        <v>0</v>
      </c>
      <c r="F27" s="66">
        <v>-2.64607E-2</v>
      </c>
      <c r="G27" s="66">
        <v>0</v>
      </c>
      <c r="H27" s="66">
        <v>2.6270399999999999E-2</v>
      </c>
    </row>
    <row r="28" spans="1:8">
      <c r="A28" s="58" t="s">
        <v>325</v>
      </c>
      <c r="B28" s="66">
        <v>3.5198599999999997E-2</v>
      </c>
      <c r="C28" s="66">
        <v>5.2653999999999999E-2</v>
      </c>
      <c r="D28" s="66">
        <v>1.4959100000000001</v>
      </c>
      <c r="E28" s="66">
        <v>0</v>
      </c>
      <c r="F28" s="66">
        <v>1.1849E-3</v>
      </c>
      <c r="G28" s="66">
        <v>0</v>
      </c>
      <c r="H28" s="66">
        <v>0.37445000000000001</v>
      </c>
    </row>
    <row r="29" spans="1:8">
      <c r="A29" s="58" t="s">
        <v>326</v>
      </c>
      <c r="B29" s="66">
        <v>84.849699999999999</v>
      </c>
      <c r="C29" s="66">
        <v>12.3909</v>
      </c>
      <c r="D29" s="66">
        <v>0.146033</v>
      </c>
      <c r="E29" s="66">
        <v>0</v>
      </c>
      <c r="F29" s="66">
        <v>58.8444</v>
      </c>
      <c r="G29" s="66">
        <v>0</v>
      </c>
      <c r="H29" s="66">
        <v>140.31</v>
      </c>
    </row>
    <row r="30" spans="1:8">
      <c r="A30" s="58" t="s">
        <v>327</v>
      </c>
      <c r="B30" s="66">
        <v>31.782</v>
      </c>
      <c r="C30" s="66">
        <v>7.0452000000000004</v>
      </c>
      <c r="D30" s="66">
        <v>0.22167300000000001</v>
      </c>
      <c r="E30" s="66">
        <v>0</v>
      </c>
      <c r="F30" s="66">
        <v>12.0664</v>
      </c>
      <c r="G30" s="66">
        <v>0</v>
      </c>
      <c r="H30" s="66">
        <v>43.326000000000001</v>
      </c>
    </row>
    <row r="31" spans="1:8">
      <c r="A31" s="58" t="s">
        <v>328</v>
      </c>
      <c r="B31" s="66">
        <v>309.81200000000001</v>
      </c>
      <c r="C31" s="66">
        <v>56.127299999999998</v>
      </c>
      <c r="D31" s="66">
        <v>0.18116599999999999</v>
      </c>
      <c r="E31" s="66">
        <v>0</v>
      </c>
      <c r="F31" s="66">
        <v>123.163</v>
      </c>
      <c r="G31" s="66">
        <v>0</v>
      </c>
      <c r="H31" s="66">
        <v>394.267</v>
      </c>
    </row>
    <row r="32" spans="1:8">
      <c r="A32" s="58" t="s">
        <v>329</v>
      </c>
      <c r="B32" s="66">
        <v>0.153526</v>
      </c>
      <c r="C32" s="66">
        <v>5.0095199999999999E-2</v>
      </c>
      <c r="D32" s="66">
        <v>0.32629799999999998</v>
      </c>
      <c r="E32" s="66">
        <v>0.15</v>
      </c>
      <c r="F32" s="66">
        <v>4.1661299999999998E-2</v>
      </c>
      <c r="G32" s="66">
        <v>0.4</v>
      </c>
      <c r="H32" s="66">
        <v>0.33880199999999999</v>
      </c>
    </row>
    <row r="33" spans="1:8">
      <c r="A33" s="58" t="s">
        <v>330</v>
      </c>
      <c r="B33" s="66">
        <v>0.326984</v>
      </c>
      <c r="C33" s="66">
        <v>5.5943100000000003E-2</v>
      </c>
      <c r="D33" s="66">
        <v>0.17108899999999999</v>
      </c>
      <c r="E33" s="66">
        <v>0</v>
      </c>
      <c r="F33" s="66">
        <v>0.175596</v>
      </c>
      <c r="G33" s="66">
        <v>0</v>
      </c>
      <c r="H33" s="66">
        <v>0.41763600000000001</v>
      </c>
    </row>
    <row r="34" spans="1:8">
      <c r="A34" s="58" t="s">
        <v>331</v>
      </c>
      <c r="B34" s="66">
        <v>0.24556700000000001</v>
      </c>
      <c r="C34" s="66">
        <v>3.7660100000000002E-2</v>
      </c>
      <c r="D34" s="66">
        <v>0.15336</v>
      </c>
      <c r="E34" s="66">
        <v>0.1</v>
      </c>
      <c r="F34" s="66">
        <v>0.18112700000000001</v>
      </c>
      <c r="G34" s="66">
        <v>0.25</v>
      </c>
      <c r="H34" s="66">
        <v>0.36052899999999999</v>
      </c>
    </row>
    <row r="35" spans="1:8">
      <c r="A35" s="58" t="s">
        <v>332</v>
      </c>
      <c r="B35" s="66">
        <v>8.8364899999999996E-2</v>
      </c>
      <c r="C35" s="66">
        <v>2.8272200000000001E-2</v>
      </c>
      <c r="D35" s="66">
        <v>0.31994800000000001</v>
      </c>
      <c r="E35" s="66">
        <v>0</v>
      </c>
      <c r="F35" s="66">
        <v>2.8266400000000001E-2</v>
      </c>
      <c r="G35" s="66">
        <v>0</v>
      </c>
      <c r="H35" s="66">
        <v>0.17769399999999999</v>
      </c>
    </row>
    <row r="36" spans="1:8">
      <c r="A36" s="58" t="s">
        <v>333</v>
      </c>
      <c r="B36" s="66">
        <v>0.23021800000000001</v>
      </c>
      <c r="C36" s="66">
        <v>0.105882</v>
      </c>
      <c r="D36" s="66">
        <v>0.45992</v>
      </c>
      <c r="E36" s="66">
        <v>0</v>
      </c>
      <c r="F36" s="66">
        <v>4.1445599999999999E-2</v>
      </c>
      <c r="G36" s="66">
        <v>0</v>
      </c>
      <c r="H36" s="66">
        <v>0.58224399999999998</v>
      </c>
    </row>
    <row r="37" spans="1:8">
      <c r="A37" s="58" t="s">
        <v>334</v>
      </c>
      <c r="B37" s="66">
        <v>0.37660100000000002</v>
      </c>
      <c r="C37" s="66">
        <v>0.12728600000000001</v>
      </c>
      <c r="D37" s="66">
        <v>0.33798699999999998</v>
      </c>
      <c r="E37" s="66">
        <v>0.1</v>
      </c>
      <c r="F37" s="66">
        <v>2.8296399999999999E-2</v>
      </c>
      <c r="G37" s="66">
        <v>0.5</v>
      </c>
      <c r="H37" s="66">
        <v>0.42771999999999999</v>
      </c>
    </row>
    <row r="38" spans="1:8">
      <c r="A38" s="58" t="s">
        <v>335</v>
      </c>
      <c r="B38" s="66">
        <v>-14.8337</v>
      </c>
      <c r="C38" s="66">
        <v>43.854100000000003</v>
      </c>
      <c r="D38" s="66">
        <v>-2.9563899999999999</v>
      </c>
      <c r="E38" s="66">
        <v>0</v>
      </c>
      <c r="F38" s="66">
        <v>-143.96199999999999</v>
      </c>
      <c r="G38" s="66">
        <v>0</v>
      </c>
      <c r="H38" s="66">
        <v>170.505</v>
      </c>
    </row>
    <row r="39" spans="1:8">
      <c r="A39" s="58" t="s">
        <v>336</v>
      </c>
      <c r="B39" s="66">
        <v>-8.7336600000000004</v>
      </c>
      <c r="C39" s="66">
        <v>7.0464799999999999</v>
      </c>
      <c r="D39" s="66">
        <v>-0.80681899999999995</v>
      </c>
      <c r="E39" s="66">
        <v>0</v>
      </c>
      <c r="F39" s="66">
        <v>-36.337800000000001</v>
      </c>
      <c r="G39" s="66">
        <v>0</v>
      </c>
      <c r="H39" s="66">
        <v>4.44313</v>
      </c>
    </row>
    <row r="40" spans="1:8">
      <c r="A40" s="58" t="s">
        <v>337</v>
      </c>
      <c r="B40" s="66">
        <v>-3.0493800000000002</v>
      </c>
      <c r="C40" s="66">
        <v>2.2767900000000001</v>
      </c>
      <c r="D40" s="66">
        <v>-0.74663999999999997</v>
      </c>
      <c r="E40" s="66">
        <v>0</v>
      </c>
      <c r="F40" s="66">
        <v>-8.0187600000000003</v>
      </c>
      <c r="G40" s="66">
        <v>0</v>
      </c>
      <c r="H40" s="66">
        <v>1.8933800000000001</v>
      </c>
    </row>
    <row r="41" spans="1:8">
      <c r="A41" s="58" t="s">
        <v>338</v>
      </c>
      <c r="B41" s="66">
        <v>-0.11840199999999999</v>
      </c>
      <c r="C41" s="66">
        <v>0.22167899999999999</v>
      </c>
      <c r="D41" s="66">
        <v>-1.8722700000000001</v>
      </c>
      <c r="E41" s="66">
        <v>0</v>
      </c>
      <c r="F41" s="66">
        <v>-0.81060600000000005</v>
      </c>
      <c r="G41" s="66">
        <v>0</v>
      </c>
      <c r="H41" s="66">
        <v>0.79781400000000002</v>
      </c>
    </row>
    <row r="42" spans="1:8">
      <c r="A42" s="58" t="s">
        <v>339</v>
      </c>
      <c r="B42" s="66">
        <v>-0.12726699999999999</v>
      </c>
      <c r="C42" s="66">
        <v>7.7525499999999997E-2</v>
      </c>
      <c r="D42" s="66">
        <v>-0.609155</v>
      </c>
      <c r="E42" s="66">
        <v>0</v>
      </c>
      <c r="F42" s="66">
        <v>-0.28467999999999999</v>
      </c>
      <c r="G42" s="66">
        <v>0</v>
      </c>
      <c r="H42" s="66">
        <v>0.113647</v>
      </c>
    </row>
    <row r="43" spans="1:8">
      <c r="A43" s="58" t="s">
        <v>340</v>
      </c>
      <c r="B43" s="66">
        <v>-1.11375E-2</v>
      </c>
      <c r="C43" s="66">
        <v>6.38542E-2</v>
      </c>
      <c r="D43" s="66">
        <v>-5.7332599999999996</v>
      </c>
      <c r="E43" s="66">
        <v>0</v>
      </c>
      <c r="F43" s="66">
        <v>-0.147368</v>
      </c>
      <c r="G43" s="66">
        <v>0</v>
      </c>
      <c r="H43" s="66">
        <v>0.102575</v>
      </c>
    </row>
    <row r="44" spans="1:8">
      <c r="A44" s="58" t="s">
        <v>341</v>
      </c>
      <c r="B44" s="66">
        <v>-21.055900000000001</v>
      </c>
      <c r="C44" s="66">
        <v>20.106100000000001</v>
      </c>
      <c r="D44" s="66">
        <v>-0.95489199999999996</v>
      </c>
      <c r="E44" s="66">
        <v>0</v>
      </c>
      <c r="F44" s="66">
        <v>-60.372900000000001</v>
      </c>
      <c r="G44" s="66">
        <v>0</v>
      </c>
      <c r="H44" s="66">
        <v>16.614899999999999</v>
      </c>
    </row>
    <row r="45" spans="1:8">
      <c r="A45" s="58" t="s">
        <v>342</v>
      </c>
      <c r="B45" s="66">
        <v>46.140599999999999</v>
      </c>
      <c r="C45" s="66">
        <v>9.8625500000000006</v>
      </c>
      <c r="D45" s="66">
        <v>0.21375</v>
      </c>
      <c r="E45" s="66">
        <v>0</v>
      </c>
      <c r="F45" s="66">
        <v>26.385999999999999</v>
      </c>
      <c r="G45" s="66">
        <v>0</v>
      </c>
      <c r="H45" s="66">
        <v>79.513999999999996</v>
      </c>
    </row>
    <row r="46" spans="1:8">
      <c r="A46" s="58" t="s">
        <v>343</v>
      </c>
      <c r="B46" s="66">
        <v>35.782499999999999</v>
      </c>
      <c r="C46" s="66">
        <v>8.2543799999999994</v>
      </c>
      <c r="D46" s="66">
        <v>0.230682</v>
      </c>
      <c r="E46" s="66">
        <v>0</v>
      </c>
      <c r="F46" s="66">
        <v>9.3799899999999994</v>
      </c>
      <c r="G46" s="66">
        <v>0</v>
      </c>
      <c r="H46" s="66">
        <v>40.599400000000003</v>
      </c>
    </row>
    <row r="47" spans="1:8">
      <c r="A47" s="58" t="s">
        <v>344</v>
      </c>
      <c r="B47" s="66">
        <v>2.2753199999999998</v>
      </c>
      <c r="C47" s="66">
        <v>1.5696000000000001</v>
      </c>
      <c r="D47" s="66">
        <v>0.689836</v>
      </c>
      <c r="E47" s="66">
        <v>0</v>
      </c>
      <c r="F47" s="66">
        <v>0.31339899999999998</v>
      </c>
      <c r="G47" s="66">
        <v>0</v>
      </c>
      <c r="H47" s="66">
        <v>11.551500000000001</v>
      </c>
    </row>
    <row r="48" spans="1:8">
      <c r="A48" s="58" t="s">
        <v>345</v>
      </c>
      <c r="B48" s="66">
        <v>1.1553199999999999</v>
      </c>
      <c r="C48" s="66">
        <v>0.14165900000000001</v>
      </c>
      <c r="D48" s="66">
        <v>0.122615</v>
      </c>
      <c r="E48" s="66">
        <v>0</v>
      </c>
      <c r="F48" s="66">
        <v>0.85566299999999995</v>
      </c>
      <c r="G48" s="66">
        <v>0</v>
      </c>
      <c r="H48" s="66">
        <v>1.5303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10.224999999999994</v>
      </c>
      <c r="C5" s="66">
        <f>'M2'!C5-'M1'!C5</f>
        <v>-10.12552</v>
      </c>
      <c r="D5" s="66">
        <f>'M2'!D5-'M1'!D5</f>
        <v>-23.762589999999999</v>
      </c>
      <c r="E5" s="66">
        <f>'M2'!E5-'M1'!E5</f>
        <v>0</v>
      </c>
      <c r="F5" s="66">
        <f>'M2'!F5-'M1'!F5</f>
        <v>32.763900000000007</v>
      </c>
      <c r="G5" s="66">
        <f>'M2'!G5-'M1'!G5</f>
        <v>0</v>
      </c>
      <c r="H5" s="66">
        <f>'M2'!H5-'M1'!H5</f>
        <v>-0.51820000000000022</v>
      </c>
    </row>
    <row r="6" spans="1:8">
      <c r="A6" s="66" t="s">
        <v>244</v>
      </c>
      <c r="B6" s="66">
        <f>'M2'!B6-'M1'!B6</f>
        <v>10.8508</v>
      </c>
      <c r="C6" s="66">
        <f>'M2'!C6-'M1'!C6</f>
        <v>-1.1809600000000002</v>
      </c>
      <c r="D6" s="66">
        <f>'M2'!D6-'M1'!D6</f>
        <v>-11.633699999999999</v>
      </c>
      <c r="E6" s="66">
        <f>'M2'!E6-'M1'!E6</f>
        <v>0</v>
      </c>
      <c r="F6" s="66">
        <f>'M2'!F6-'M1'!F6</f>
        <v>8.0013000000000005</v>
      </c>
      <c r="G6" s="66">
        <f>'M2'!G6-'M1'!G6</f>
        <v>0</v>
      </c>
      <c r="H6" s="66">
        <f>'M2'!H6-'M1'!H6</f>
        <v>6.8697999999999979</v>
      </c>
    </row>
    <row r="7" spans="1:8">
      <c r="A7" s="66" t="s">
        <v>245</v>
      </c>
      <c r="B7" s="66">
        <f>'M2'!B7-'M1'!B7</f>
        <v>2.2461000000000002</v>
      </c>
      <c r="C7" s="66">
        <f>'M2'!C7-'M1'!C7</f>
        <v>-0.37353000000000058</v>
      </c>
      <c r="D7" s="66">
        <f>'M2'!D7-'M1'!D7</f>
        <v>-7.0067000000000021</v>
      </c>
      <c r="E7" s="66">
        <f>'M2'!E7-'M1'!E7</f>
        <v>0</v>
      </c>
      <c r="F7" s="66">
        <f>'M2'!F7-'M1'!F7</f>
        <v>0.51926999999999968</v>
      </c>
      <c r="G7" s="66">
        <f>'M2'!G7-'M1'!G7</f>
        <v>0</v>
      </c>
      <c r="H7" s="66">
        <f>'M2'!H7-'M1'!H7</f>
        <v>-3.1605000000000025</v>
      </c>
    </row>
    <row r="8" spans="1:8">
      <c r="A8" s="66" t="s">
        <v>246</v>
      </c>
      <c r="B8" s="66">
        <f>'M2'!B8-'M1'!B8</f>
        <v>8.3815999999999988</v>
      </c>
      <c r="C8" s="66">
        <f>'M2'!C8-'M1'!C8</f>
        <v>-3.3725299999999998</v>
      </c>
      <c r="D8" s="66">
        <f>'M2'!D8-'M1'!D8</f>
        <v>-15.344190000000001</v>
      </c>
      <c r="E8" s="66">
        <f>'M2'!E8-'M1'!E8</f>
        <v>0</v>
      </c>
      <c r="F8" s="66">
        <f>'M2'!F8-'M1'!F8</f>
        <v>13.9931</v>
      </c>
      <c r="G8" s="66">
        <f>'M2'!G8-'M1'!G8</f>
        <v>0</v>
      </c>
      <c r="H8" s="66">
        <f>'M2'!H8-'M1'!H8</f>
        <v>2.1272999999999982</v>
      </c>
    </row>
    <row r="9" spans="1:8">
      <c r="A9" s="66" t="s">
        <v>247</v>
      </c>
      <c r="B9" s="66">
        <f>'M2'!B9-'M1'!B9</f>
        <v>-10.714599999999997</v>
      </c>
      <c r="C9" s="66">
        <f>'M2'!C9-'M1'!C9</f>
        <v>-2.1073900000000005</v>
      </c>
      <c r="D9" s="66">
        <f>'M2'!D9-'M1'!D9</f>
        <v>-1.3638999999999992</v>
      </c>
      <c r="E9" s="66">
        <f>'M2'!E9-'M1'!E9</f>
        <v>0</v>
      </c>
      <c r="F9" s="66">
        <f>'M2'!F9-'M1'!F9</f>
        <v>3.5688999999999993</v>
      </c>
      <c r="G9" s="66">
        <f>'M2'!G9-'M1'!G9</f>
        <v>0</v>
      </c>
      <c r="H9" s="66">
        <f>'M2'!H9-'M1'!H9</f>
        <v>-6.748500000000007</v>
      </c>
    </row>
    <row r="10" spans="1:8">
      <c r="A10" s="66" t="s">
        <v>248</v>
      </c>
      <c r="B10" s="66">
        <f>'M2'!B10-'M1'!B10</f>
        <v>-6.4980999999999938</v>
      </c>
      <c r="C10" s="66">
        <f>'M2'!C10-'M1'!C10</f>
        <v>-1.2537199999999999</v>
      </c>
      <c r="D10" s="66">
        <f>'M2'!D10-'M1'!D10</f>
        <v>-1.2984599999999999</v>
      </c>
      <c r="E10" s="66">
        <f>'M2'!E10-'M1'!E10</f>
        <v>0</v>
      </c>
      <c r="F10" s="66">
        <f>'M2'!F10-'M1'!F10</f>
        <v>-2.0610999999999962</v>
      </c>
      <c r="G10" s="66">
        <f>'M2'!G10-'M1'!G10</f>
        <v>0</v>
      </c>
      <c r="H10" s="66">
        <f>'M2'!H10-'M1'!H10</f>
        <v>-6.1251999999999924</v>
      </c>
    </row>
    <row r="11" spans="1:8">
      <c r="A11" s="66" t="s">
        <v>249</v>
      </c>
      <c r="B11" s="66">
        <f>'M2'!B11-'M1'!B11</f>
        <v>-0.49080000000000013</v>
      </c>
      <c r="C11" s="66">
        <f>'M2'!C11-'M1'!C11</f>
        <v>-6.3798000000000004</v>
      </c>
      <c r="D11" s="66">
        <f>'M2'!D11-'M1'!D11</f>
        <v>-18.549199999999999</v>
      </c>
      <c r="E11" s="66">
        <f>'M2'!E11-'M1'!E11</f>
        <v>0</v>
      </c>
      <c r="F11" s="66">
        <f>'M2'!F11-'M1'!F11</f>
        <v>19.850110000000001</v>
      </c>
      <c r="G11" s="66">
        <f>'M2'!G11-'M1'!G11</f>
        <v>0</v>
      </c>
      <c r="H11" s="66">
        <f>'M2'!H11-'M1'!H11</f>
        <v>-0.35120000000000573</v>
      </c>
    </row>
    <row r="12" spans="1:8">
      <c r="A12" s="66" t="s">
        <v>250</v>
      </c>
      <c r="B12" s="66">
        <f>'M2'!B12-'M1'!B12</f>
        <v>-8.4591000000000065</v>
      </c>
      <c r="C12" s="66">
        <f>'M2'!C12-'M1'!C12</f>
        <v>-1.8937399999999998</v>
      </c>
      <c r="D12" s="66">
        <f>'M2'!D12-'M1'!D12</f>
        <v>-1.8235900000000003</v>
      </c>
      <c r="E12" s="66">
        <f>'M2'!E12-'M1'!E12</f>
        <v>0</v>
      </c>
      <c r="F12" s="66">
        <f>'M2'!F12-'M1'!F12</f>
        <v>1.7081999999999979</v>
      </c>
      <c r="G12" s="66">
        <f>'M2'!G12-'M1'!G12</f>
        <v>0</v>
      </c>
      <c r="H12" s="66">
        <f>'M2'!H12-'M1'!H12</f>
        <v>-7.2674999999999983</v>
      </c>
    </row>
    <row r="13" spans="1:8">
      <c r="A13" s="66" t="s">
        <v>251</v>
      </c>
      <c r="B13" s="66">
        <f>'M2'!B13-'M1'!B13</f>
        <v>0.29210000000000136</v>
      </c>
      <c r="C13" s="66">
        <f>'M2'!C13-'M1'!C13</f>
        <v>0.20779999999999976</v>
      </c>
      <c r="D13" s="66">
        <f>'M2'!D13-'M1'!D13</f>
        <v>0.66329999999999956</v>
      </c>
      <c r="E13" s="66">
        <f>'M2'!E13-'M1'!E13</f>
        <v>0</v>
      </c>
      <c r="F13" s="66">
        <f>'M2'!F13-'M1'!F13</f>
        <v>-1.1557999999999993</v>
      </c>
      <c r="G13" s="66">
        <f>'M2'!G13-'M1'!G13</f>
        <v>0</v>
      </c>
      <c r="H13" s="66">
        <f>'M2'!H13-'M1'!H13</f>
        <v>-1.0343000000000018</v>
      </c>
    </row>
    <row r="14" spans="1:8">
      <c r="A14" s="66" t="s">
        <v>252</v>
      </c>
      <c r="B14" s="66">
        <f>'M2'!B14-'M1'!B14</f>
        <v>2.078000000000003</v>
      </c>
      <c r="C14" s="66">
        <f>'M2'!C14-'M1'!C14</f>
        <v>-0.5340000000000007</v>
      </c>
      <c r="D14" s="66">
        <f>'M2'!D14-'M1'!D14</f>
        <v>-3.2864000000000004</v>
      </c>
      <c r="E14" s="66">
        <f>'M2'!E14-'M1'!E14</f>
        <v>0</v>
      </c>
      <c r="F14" s="66">
        <f>'M2'!F14-'M1'!F14</f>
        <v>1.17794</v>
      </c>
      <c r="G14" s="66">
        <f>'M2'!G14-'M1'!G14</f>
        <v>0</v>
      </c>
      <c r="H14" s="66">
        <f>'M2'!H14-'M1'!H14</f>
        <v>-5.1118999999999986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-2.2948000000000024E-2</v>
      </c>
      <c r="C18" s="66">
        <f>'M2'!C18-'M1'!C18</f>
        <v>0.102059</v>
      </c>
      <c r="D18" s="66">
        <f>'M2'!D18-'M1'!D18</f>
        <v>0.283972</v>
      </c>
      <c r="E18" s="66">
        <f>'M2'!E18-'M1'!E18</f>
        <v>0</v>
      </c>
      <c r="F18" s="66">
        <f>'M2'!F18-'M1'!F18</f>
        <v>0.25733899999999998</v>
      </c>
      <c r="G18" s="66">
        <f>'M2'!G18-'M1'!G18</f>
        <v>0</v>
      </c>
      <c r="H18" s="66">
        <f>'M2'!H18-'M1'!H18</f>
        <v>0.46145799999999998</v>
      </c>
    </row>
    <row r="19" spans="1:8">
      <c r="A19" s="66" t="s">
        <v>256</v>
      </c>
      <c r="B19" s="66">
        <f>'M2'!B19-'M1'!B19</f>
        <v>4.8201999999999967E-2</v>
      </c>
      <c r="C19" s="66">
        <f>'M2'!C19-'M1'!C19</f>
        <v>3.42323E-2</v>
      </c>
      <c r="D19" s="66">
        <f>'M2'!D19-'M1'!D19</f>
        <v>7.5076699999999996E-2</v>
      </c>
      <c r="E19" s="66">
        <f>'M2'!E19-'M1'!E19</f>
        <v>0</v>
      </c>
      <c r="F19" s="66">
        <f>'M2'!F19-'M1'!F19</f>
        <v>0.421732</v>
      </c>
      <c r="G19" s="66">
        <f>'M2'!G19-'M1'!G19</f>
        <v>0</v>
      </c>
      <c r="H19" s="66">
        <f>'M2'!H19-'M1'!H19</f>
        <v>0.49019600000000002</v>
      </c>
    </row>
    <row r="20" spans="1:8">
      <c r="A20" s="66" t="s">
        <v>63</v>
      </c>
      <c r="B20" s="66">
        <f>'M2'!B20-'M1'!B20</f>
        <v>-3.8343700000000001E-3</v>
      </c>
      <c r="C20" s="66">
        <f>'M2'!C20-'M1'!C20</f>
        <v>-0.25354700000000002</v>
      </c>
      <c r="D20" s="66">
        <f>'M2'!D20-'M1'!D20</f>
        <v>-15.501899999999999</v>
      </c>
      <c r="E20" s="66">
        <f>'M2'!E20-'M1'!E20</f>
        <v>0</v>
      </c>
      <c r="F20" s="66">
        <f>'M2'!F20-'M1'!F20</f>
        <v>-1.0710200000000001E-5</v>
      </c>
      <c r="G20" s="66">
        <f>'M2'!G20-'M1'!G20</f>
        <v>0</v>
      </c>
      <c r="H20" s="66">
        <f>'M2'!H20-'M1'!H20</f>
        <v>-2.8432880000000003</v>
      </c>
    </row>
    <row r="21" spans="1:8">
      <c r="A21" s="66" t="s">
        <v>64</v>
      </c>
      <c r="B21" s="66">
        <f>'M2'!B21-'M1'!B21</f>
        <v>-9.1426999999999981E-2</v>
      </c>
      <c r="C21" s="66">
        <f>'M2'!C21-'M1'!C21</f>
        <v>-1.2990169999999999</v>
      </c>
      <c r="D21" s="66">
        <f>'M2'!D21-'M1'!D21</f>
        <v>-2.7630300000000001</v>
      </c>
      <c r="E21" s="66">
        <f>'M2'!E21-'M1'!E21</f>
        <v>0</v>
      </c>
      <c r="F21" s="66">
        <f>'M2'!F21-'M1'!F21</f>
        <v>-1.4194499999999999E-2</v>
      </c>
      <c r="G21" s="66">
        <f>'M2'!G21-'M1'!G21</f>
        <v>0</v>
      </c>
      <c r="H21" s="66">
        <f>'M2'!H21-'M1'!H21</f>
        <v>-13.38808</v>
      </c>
    </row>
    <row r="22" spans="1:8">
      <c r="A22" s="66" t="s">
        <v>65</v>
      </c>
      <c r="B22" s="66">
        <f>'M2'!B22-'M1'!B22</f>
        <v>-3.2186000000000021</v>
      </c>
      <c r="C22" s="66">
        <f>'M2'!C22-'M1'!C22</f>
        <v>-27.078899999999997</v>
      </c>
      <c r="D22" s="66">
        <f>'M2'!D22-'M1'!D22</f>
        <v>-0.43316699999999997</v>
      </c>
      <c r="E22" s="66">
        <f>'M2'!E22-'M1'!E22</f>
        <v>0</v>
      </c>
      <c r="F22" s="66">
        <f>'M2'!F22-'M1'!F22</f>
        <v>-6.3381000000000007</v>
      </c>
      <c r="G22" s="66">
        <f>'M2'!G22-'M1'!G22</f>
        <v>0</v>
      </c>
      <c r="H22" s="66">
        <f>'M2'!H22-'M1'!H22</f>
        <v>-161.39599999999999</v>
      </c>
    </row>
    <row r="23" spans="1:8">
      <c r="A23" s="66" t="s">
        <v>66</v>
      </c>
      <c r="B23" s="66">
        <f>'M2'!B23-'M1'!B23</f>
        <v>-10.2346</v>
      </c>
      <c r="C23" s="66">
        <f>'M2'!C23-'M1'!C23</f>
        <v>-1.9156000000000004</v>
      </c>
      <c r="D23" s="66">
        <f>'M2'!D23-'M1'!D23</f>
        <v>4.7549999999999815E-3</v>
      </c>
      <c r="E23" s="66">
        <f>'M2'!E23-'M1'!E23</f>
        <v>0</v>
      </c>
      <c r="F23" s="66">
        <f>'M2'!F23-'M1'!F23</f>
        <v>9.7198000000000011</v>
      </c>
      <c r="G23" s="66">
        <f>'M2'!G23-'M1'!G23</f>
        <v>0</v>
      </c>
      <c r="H23" s="66">
        <f>'M2'!H23-'M1'!H23</f>
        <v>-13.025100000000002</v>
      </c>
    </row>
    <row r="24" spans="1:8">
      <c r="A24" s="66" t="s">
        <v>67</v>
      </c>
      <c r="B24" s="66">
        <f>'M2'!B24-'M1'!B24</f>
        <v>-2.0969000000000005E-3</v>
      </c>
      <c r="C24" s="66">
        <f>'M2'!C24-'M1'!C24</f>
        <v>-0.23986930000000001</v>
      </c>
      <c r="D24" s="66">
        <f>'M2'!D24-'M1'!D24</f>
        <v>-12.891609999999998</v>
      </c>
      <c r="E24" s="66">
        <f>'M2'!E24-'M1'!E24</f>
        <v>0</v>
      </c>
      <c r="F24" s="66">
        <f>'M2'!F24-'M1'!F24</f>
        <v>-9.4655000000000008E-5</v>
      </c>
      <c r="G24" s="66">
        <f>'M2'!G24-'M1'!G24</f>
        <v>0</v>
      </c>
      <c r="H24" s="66">
        <f>'M2'!H24-'M1'!H24</f>
        <v>-2.3293710000000001</v>
      </c>
    </row>
    <row r="25" spans="1:8">
      <c r="A25" s="66" t="s">
        <v>68</v>
      </c>
      <c r="B25" s="66">
        <f>'M2'!B25-'M1'!B25</f>
        <v>-0.180087</v>
      </c>
      <c r="C25" s="66">
        <f>'M2'!C25-'M1'!C25</f>
        <v>-0.87829399999999991</v>
      </c>
      <c r="D25" s="66">
        <f>'M2'!D25-'M1'!D25</f>
        <v>-1.05646</v>
      </c>
      <c r="E25" s="66">
        <f>'M2'!E25-'M1'!E25</f>
        <v>0</v>
      </c>
      <c r="F25" s="66">
        <f>'M2'!F25-'M1'!F25</f>
        <v>-0.10523729999999998</v>
      </c>
      <c r="G25" s="66">
        <f>'M2'!G25-'M1'!G25</f>
        <v>0</v>
      </c>
      <c r="H25" s="66">
        <f>'M2'!H25-'M1'!H25</f>
        <v>-4.9455599999999995</v>
      </c>
    </row>
    <row r="26" spans="1:8">
      <c r="A26" s="66" t="s">
        <v>69</v>
      </c>
      <c r="B26" s="66">
        <f>'M2'!B26-'M1'!B26</f>
        <v>-1.0225199999999999E-3</v>
      </c>
      <c r="C26" s="66">
        <f>'M2'!C26-'M1'!C26</f>
        <v>-1.1388870000000001E-2</v>
      </c>
      <c r="D26" s="66">
        <f>'M2'!D26-'M1'!D26</f>
        <v>-2.1207700000000003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-0.11851979999999999</v>
      </c>
    </row>
    <row r="27" spans="1:8">
      <c r="A27" s="66" t="s">
        <v>70</v>
      </c>
      <c r="B27" s="66">
        <f>'M2'!B27-'M1'!B27</f>
        <v>-3.2826000000000014E-6</v>
      </c>
      <c r="C27" s="66">
        <f>'M2'!C27-'M1'!C27</f>
        <v>-9.5735000000000047E-4</v>
      </c>
      <c r="D27" s="66">
        <f>'M2'!D27-'M1'!D27</f>
        <v>89.731999999999999</v>
      </c>
      <c r="E27" s="66">
        <f>'M2'!E27-'M1'!E27</f>
        <v>0</v>
      </c>
      <c r="F27" s="66">
        <f>'M2'!F27-'M1'!F27</f>
        <v>3.9554000000000013E-3</v>
      </c>
      <c r="G27" s="66">
        <f>'M2'!G27-'M1'!G27</f>
        <v>0</v>
      </c>
      <c r="H27" s="66">
        <f>'M2'!H27-'M1'!H27</f>
        <v>-4.4019999999999997E-3</v>
      </c>
    </row>
    <row r="28" spans="1:8">
      <c r="A28" s="66" t="s">
        <v>71</v>
      </c>
      <c r="B28" s="66">
        <f>'M2'!B28-'M1'!B28</f>
        <v>-7.4560000000000008E-3</v>
      </c>
      <c r="C28" s="66">
        <f>'M2'!C28-'M1'!C28</f>
        <v>-1.7425700000000002E-2</v>
      </c>
      <c r="D28" s="66">
        <f>'M2'!D28-'M1'!D28</f>
        <v>-0.18373000000000017</v>
      </c>
      <c r="E28" s="66">
        <f>'M2'!E28-'M1'!E28</f>
        <v>0</v>
      </c>
      <c r="F28" s="66">
        <f>'M2'!F28-'M1'!F28</f>
        <v>-2.4641899999999998E-3</v>
      </c>
      <c r="G28" s="66">
        <f>'M2'!G28-'M1'!G28</f>
        <v>0</v>
      </c>
      <c r="H28" s="66">
        <f>'M2'!H28-'M1'!H28</f>
        <v>-0.18366199999999999</v>
      </c>
    </row>
    <row r="29" spans="1:8">
      <c r="A29" s="66" t="s">
        <v>72</v>
      </c>
      <c r="B29" s="66">
        <f>'M2'!B29-'M1'!B29</f>
        <v>-2.4097000000000008</v>
      </c>
      <c r="C29" s="66">
        <f>'M2'!C29-'M1'!C29</f>
        <v>-2.024799999999999</v>
      </c>
      <c r="D29" s="66">
        <f>'M2'!D29-'M1'!D29</f>
        <v>-1.9661000000000012E-2</v>
      </c>
      <c r="E29" s="66">
        <f>'M2'!E29-'M1'!E29</f>
        <v>0</v>
      </c>
      <c r="F29" s="66">
        <f>'M2'!F29-'M1'!F29</f>
        <v>1.4423999999999992</v>
      </c>
      <c r="G29" s="66">
        <f>'M2'!G29-'M1'!G29</f>
        <v>0</v>
      </c>
      <c r="H29" s="66">
        <f>'M2'!H29-'M1'!H29</f>
        <v>-27.353000000000009</v>
      </c>
    </row>
    <row r="30" spans="1:8">
      <c r="A30" s="66" t="s">
        <v>73</v>
      </c>
      <c r="B30" s="66">
        <f>'M2'!B30-'M1'!B30</f>
        <v>-4.247600000000002</v>
      </c>
      <c r="C30" s="66">
        <f>'M2'!C30-'M1'!C30</f>
        <v>-3.1520899999999994</v>
      </c>
      <c r="D30" s="66">
        <f>'M2'!D30-'M1'!D30</f>
        <v>-6.9482999999999989E-2</v>
      </c>
      <c r="E30" s="66">
        <f>'M2'!E30-'M1'!E30</f>
        <v>0</v>
      </c>
      <c r="F30" s="66">
        <f>'M2'!F30-'M1'!F30</f>
        <v>13.388399999999999</v>
      </c>
      <c r="G30" s="66">
        <f>'M2'!G30-'M1'!G30</f>
        <v>0</v>
      </c>
      <c r="H30" s="66">
        <f>'M2'!H30-'M1'!H30</f>
        <v>-1.1486999999999981</v>
      </c>
    </row>
    <row r="31" spans="1:8">
      <c r="A31" s="66" t="s">
        <v>74</v>
      </c>
      <c r="B31" s="66">
        <f>'M2'!B31-'M1'!B31</f>
        <v>-26.809000000000026</v>
      </c>
      <c r="C31" s="66">
        <f>'M2'!C31-'M1'!C31</f>
        <v>-45.443899999999999</v>
      </c>
      <c r="D31" s="66">
        <f>'M2'!D31-'M1'!D31</f>
        <v>-0.1292005</v>
      </c>
      <c r="E31" s="66">
        <f>'M2'!E31-'M1'!E31</f>
        <v>0</v>
      </c>
      <c r="F31" s="66">
        <f>'M2'!F31-'M1'!F31</f>
        <v>126.43400000000001</v>
      </c>
      <c r="G31" s="66">
        <f>'M2'!G31-'M1'!G31</f>
        <v>0</v>
      </c>
      <c r="H31" s="66">
        <f>'M2'!H31-'M1'!H31</f>
        <v>-36.000999999999976</v>
      </c>
    </row>
    <row r="32" spans="1:8">
      <c r="A32" s="66" t="s">
        <v>75</v>
      </c>
      <c r="B32" s="66">
        <f>'M2'!B32-'M1'!B32</f>
        <v>2.2461000000000009E-2</v>
      </c>
      <c r="C32" s="66">
        <f>'M2'!C32-'M1'!C32</f>
        <v>-3.735299999999997E-3</v>
      </c>
      <c r="D32" s="66">
        <f>'M2'!D32-'M1'!D32</f>
        <v>-7.006699999999999E-2</v>
      </c>
      <c r="E32" s="66">
        <f>'M2'!E32-'M1'!E32</f>
        <v>0</v>
      </c>
      <c r="F32" s="66">
        <f>'M2'!F32-'M1'!F32</f>
        <v>5.1927000000000015E-3</v>
      </c>
      <c r="G32" s="66">
        <f>'M2'!G32-'M1'!G32</f>
        <v>0</v>
      </c>
      <c r="H32" s="66">
        <f>'M2'!H32-'M1'!H32</f>
        <v>-3.1604999999999994E-2</v>
      </c>
    </row>
    <row r="33" spans="1:8">
      <c r="A33" s="66" t="s">
        <v>76</v>
      </c>
      <c r="B33" s="66">
        <f>'M2'!B33-'M1'!B33</f>
        <v>0.10335799999999998</v>
      </c>
      <c r="C33" s="66">
        <f>'M2'!C33-'M1'!C33</f>
        <v>-1.3308499999999997E-2</v>
      </c>
      <c r="D33" s="66">
        <f>'M2'!D33-'M1'!D33</f>
        <v>-7.8183100000000005E-2</v>
      </c>
      <c r="E33" s="66">
        <f>'M2'!E33-'M1'!E33</f>
        <v>0</v>
      </c>
      <c r="F33" s="66">
        <f>'M2'!F33-'M1'!F33</f>
        <v>0.14735400000000001</v>
      </c>
      <c r="G33" s="66">
        <f>'M2'!G33-'M1'!G33</f>
        <v>0</v>
      </c>
      <c r="H33" s="66">
        <f>'M2'!H33-'M1'!H33</f>
        <v>4.4690000000000007E-3</v>
      </c>
    </row>
    <row r="34" spans="1:8">
      <c r="A34" s="66" t="s">
        <v>77</v>
      </c>
      <c r="B34" s="66">
        <f>'M2'!B34-'M1'!B34</f>
        <v>2.9210000000000069E-3</v>
      </c>
      <c r="C34" s="66">
        <f>'M2'!C34-'M1'!C34</f>
        <v>2.0779999999999965E-3</v>
      </c>
      <c r="D34" s="66">
        <f>'M2'!D34-'M1'!D34</f>
        <v>6.633E-3</v>
      </c>
      <c r="E34" s="66">
        <f>'M2'!E34-'M1'!E34</f>
        <v>0</v>
      </c>
      <c r="F34" s="66">
        <f>'M2'!F34-'M1'!F34</f>
        <v>-1.1557999999999985E-2</v>
      </c>
      <c r="G34" s="66">
        <f>'M2'!G34-'M1'!G34</f>
        <v>0</v>
      </c>
      <c r="H34" s="66">
        <f>'M2'!H34-'M1'!H34</f>
        <v>-1.0342999999999991E-2</v>
      </c>
    </row>
    <row r="35" spans="1:8">
      <c r="A35" s="66" t="s">
        <v>78</v>
      </c>
      <c r="B35" s="66">
        <f>'M2'!B35-'M1'!B35</f>
        <v>-9.7724000000000005E-3</v>
      </c>
      <c r="C35" s="66">
        <f>'M2'!C35-'M1'!C35</f>
        <v>-7.9939999999999872E-4</v>
      </c>
      <c r="D35" s="66">
        <f>'M2'!D35-'M1'!D35</f>
        <v>2.6222999999999996E-2</v>
      </c>
      <c r="E35" s="66">
        <f>'M2'!E35-'M1'!E35</f>
        <v>0</v>
      </c>
      <c r="F35" s="66">
        <f>'M2'!F35-'M1'!F35</f>
        <v>-5.392499999999998E-3</v>
      </c>
      <c r="G35" s="66">
        <f>'M2'!G35-'M1'!G35</f>
        <v>0</v>
      </c>
      <c r="H35" s="66">
        <f>'M2'!H35-'M1'!H35</f>
        <v>-3.1380000000000019E-3</v>
      </c>
    </row>
    <row r="36" spans="1:8">
      <c r="A36" s="66" t="s">
        <v>79</v>
      </c>
      <c r="B36" s="66">
        <f>'M2'!B36-'M1'!B36</f>
        <v>2.8301999999999994E-2</v>
      </c>
      <c r="C36" s="66">
        <f>'M2'!C36-'M1'!C36</f>
        <v>-4.4659999999999977E-3</v>
      </c>
      <c r="D36" s="66">
        <f>'M2'!D36-'M1'!D36</f>
        <v>-7.5348999999999999E-2</v>
      </c>
      <c r="E36" s="66">
        <f>'M2'!E36-'M1'!E36</f>
        <v>0</v>
      </c>
      <c r="F36" s="66">
        <f>'M2'!F36-'M1'!F36</f>
        <v>7.3375000000000037E-3</v>
      </c>
      <c r="G36" s="66">
        <f>'M2'!G36-'M1'!G36</f>
        <v>0</v>
      </c>
      <c r="H36" s="66">
        <f>'M2'!H36-'M1'!H36</f>
        <v>1.1759999999999993E-2</v>
      </c>
    </row>
    <row r="37" spans="1:8">
      <c r="A37" s="66" t="s">
        <v>80</v>
      </c>
      <c r="B37" s="66">
        <f>'M2'!B37-'M1'!B37</f>
        <v>2.0779999999999965E-2</v>
      </c>
      <c r="C37" s="66">
        <f>'M2'!C37-'M1'!C37</f>
        <v>-5.3399999999999975E-3</v>
      </c>
      <c r="D37" s="66">
        <f>'M2'!D37-'M1'!D37</f>
        <v>-3.2864000000000004E-2</v>
      </c>
      <c r="E37" s="66">
        <f>'M2'!E37-'M1'!E37</f>
        <v>0</v>
      </c>
      <c r="F37" s="66">
        <f>'M2'!F37-'M1'!F37</f>
        <v>1.1779400000000002E-2</v>
      </c>
      <c r="G37" s="66">
        <f>'M2'!G37-'M1'!G37</f>
        <v>0</v>
      </c>
      <c r="H37" s="66">
        <f>'M2'!H37-'M1'!H37</f>
        <v>-5.111899999999997E-2</v>
      </c>
    </row>
    <row r="38" spans="1:8">
      <c r="A38" s="66" t="s">
        <v>81</v>
      </c>
      <c r="B38" s="66">
        <f>'M2'!B38-'M1'!B38</f>
        <v>13.358979999999999</v>
      </c>
      <c r="C38" s="66">
        <f>'M2'!C38-'M1'!C38</f>
        <v>-3.0045000000000002</v>
      </c>
      <c r="D38" s="66">
        <f>'M2'!D38-'M1'!D38</f>
        <v>-2.3436300000000001</v>
      </c>
      <c r="E38" s="66">
        <f>'M2'!E38-'M1'!E38</f>
        <v>0</v>
      </c>
      <c r="F38" s="66">
        <f>'M2'!F38-'M1'!F38</f>
        <v>18.175999999999988</v>
      </c>
      <c r="G38" s="66">
        <f>'M2'!G38-'M1'!G38</f>
        <v>0</v>
      </c>
      <c r="H38" s="66">
        <f>'M2'!H38-'M1'!H38</f>
        <v>20.554000000000002</v>
      </c>
    </row>
    <row r="39" spans="1:8">
      <c r="A39" s="66" t="s">
        <v>82</v>
      </c>
      <c r="B39" s="66">
        <f>'M2'!B39-'M1'!B39</f>
        <v>2.0137999999999989</v>
      </c>
      <c r="C39" s="66">
        <f>'M2'!C39-'M1'!C39</f>
        <v>1.8129099999999996</v>
      </c>
      <c r="D39" s="66">
        <f>'M2'!D39-'M1'!D39</f>
        <v>-0.39250299999999994</v>
      </c>
      <c r="E39" s="66">
        <f>'M2'!E39-'M1'!E39</f>
        <v>0</v>
      </c>
      <c r="F39" s="66">
        <f>'M2'!F39-'M1'!F39</f>
        <v>-4.8074000000000012</v>
      </c>
      <c r="G39" s="66">
        <f>'M2'!G39-'M1'!G39</f>
        <v>0</v>
      </c>
      <c r="H39" s="66">
        <f>'M2'!H39-'M1'!H39</f>
        <v>-0.93462000000000023</v>
      </c>
    </row>
    <row r="40" spans="1:8">
      <c r="A40" s="66" t="s">
        <v>83</v>
      </c>
      <c r="B40" s="66">
        <f>'M2'!B40-'M1'!B40</f>
        <v>-2.2538200000000002</v>
      </c>
      <c r="C40" s="66">
        <f>'M2'!C40-'M1'!C40</f>
        <v>-0.43938999999999995</v>
      </c>
      <c r="D40" s="66">
        <f>'M2'!D40-'M1'!D40</f>
        <v>1.029946</v>
      </c>
      <c r="E40" s="66">
        <f>'M2'!E40-'M1'!E40</f>
        <v>0</v>
      </c>
      <c r="F40" s="66">
        <f>'M2'!F40-'M1'!F40</f>
        <v>-1.6928300000000007</v>
      </c>
      <c r="G40" s="66">
        <f>'M2'!G40-'M1'!G40</f>
        <v>0</v>
      </c>
      <c r="H40" s="66">
        <f>'M2'!H40-'M1'!H40</f>
        <v>-2.1169579999999999</v>
      </c>
    </row>
    <row r="41" spans="1:8">
      <c r="A41" s="66" t="s">
        <v>84</v>
      </c>
      <c r="B41" s="66">
        <f>'M2'!B41-'M1'!B41</f>
        <v>1.8866000000000008E-2</v>
      </c>
      <c r="C41" s="66">
        <f>'M2'!C41-'M1'!C41</f>
        <v>2.5622999999999979E-2</v>
      </c>
      <c r="D41" s="66">
        <f>'M2'!D41-'M1'!D41</f>
        <v>-0.5330499999999998</v>
      </c>
      <c r="E41" s="66">
        <f>'M2'!E41-'M1'!E41</f>
        <v>0</v>
      </c>
      <c r="F41" s="66">
        <f>'M2'!F41-'M1'!F41</f>
        <v>8.4080000000000821E-3</v>
      </c>
      <c r="G41" s="66">
        <f>'M2'!G41-'M1'!G41</f>
        <v>0</v>
      </c>
      <c r="H41" s="66">
        <f>'M2'!H41-'M1'!H41</f>
        <v>0.20898700000000003</v>
      </c>
    </row>
    <row r="42" spans="1:8">
      <c r="A42" s="66" t="s">
        <v>85</v>
      </c>
      <c r="B42" s="66">
        <f>'M2'!B42-'M1'!B42</f>
        <v>-6.5960000000000046E-3</v>
      </c>
      <c r="C42" s="66">
        <f>'M2'!C42-'M1'!C42</f>
        <v>-1.2085200000000004E-2</v>
      </c>
      <c r="D42" s="66">
        <f>'M2'!D42-'M1'!D42</f>
        <v>0.12774600000000003</v>
      </c>
      <c r="E42" s="66">
        <f>'M2'!E42-'M1'!E42</f>
        <v>0</v>
      </c>
      <c r="F42" s="66">
        <f>'M2'!F42-'M1'!F42</f>
        <v>2.8798999999999964E-2</v>
      </c>
      <c r="G42" s="66">
        <f>'M2'!G42-'M1'!G42</f>
        <v>0</v>
      </c>
      <c r="H42" s="66">
        <f>'M2'!H42-'M1'!H42</f>
        <v>-3.3958599999999992E-2</v>
      </c>
    </row>
    <row r="43" spans="1:8">
      <c r="A43" s="66" t="s">
        <v>86</v>
      </c>
      <c r="B43" s="66">
        <f>'M2'!B43-'M1'!B43</f>
        <v>-0.1096615</v>
      </c>
      <c r="C43" s="66">
        <f>'M2'!C43-'M1'!C43</f>
        <v>1.2576899999999995E-2</v>
      </c>
      <c r="D43" s="66">
        <f>'M2'!D43-'M1'!D43</f>
        <v>-1.8797380000000001</v>
      </c>
      <c r="E43" s="66">
        <f>'M2'!E43-'M1'!E43</f>
        <v>0</v>
      </c>
      <c r="F43" s="66">
        <f>'M2'!F43-'M1'!F43</f>
        <v>7.6799999999999091E-4</v>
      </c>
      <c r="G43" s="66">
        <f>'M2'!G43-'M1'!G43</f>
        <v>0</v>
      </c>
      <c r="H43" s="66">
        <f>'M2'!H43-'M1'!H43</f>
        <v>-2.45755E-2</v>
      </c>
    </row>
    <row r="44" spans="1:8">
      <c r="A44" s="66" t="s">
        <v>87</v>
      </c>
      <c r="B44" s="66">
        <f>'M2'!B44-'M1'!B44</f>
        <v>24.672870000000003</v>
      </c>
      <c r="C44" s="66">
        <f>'M2'!C44-'M1'!C44</f>
        <v>0.56800000000000139</v>
      </c>
      <c r="D44" s="66">
        <f>'M2'!D44-'M1'!D44</f>
        <v>-3.1788400000000001</v>
      </c>
      <c r="E44" s="66">
        <f>'M2'!E44-'M1'!E44</f>
        <v>0</v>
      </c>
      <c r="F44" s="66">
        <f>'M2'!F44-'M1'!F44</f>
        <v>17.136900000000004</v>
      </c>
      <c r="G44" s="66">
        <f>'M2'!G44-'M1'!G44</f>
        <v>0</v>
      </c>
      <c r="H44" s="66">
        <f>'M2'!H44-'M1'!H44</f>
        <v>14.355439999999998</v>
      </c>
    </row>
    <row r="45" spans="1:8">
      <c r="A45" s="66" t="s">
        <v>88</v>
      </c>
      <c r="B45" s="66">
        <f>'M2'!B45-'M1'!B45</f>
        <v>4.346500000000006</v>
      </c>
      <c r="C45" s="66">
        <f>'M2'!C45-'M1'!C45</f>
        <v>2.2736400000000003</v>
      </c>
      <c r="D45" s="66">
        <f>'M2'!D45-'M1'!D45</f>
        <v>2.9295000000000015E-2</v>
      </c>
      <c r="E45" s="66">
        <f>'M2'!E45-'M1'!E45</f>
        <v>0</v>
      </c>
      <c r="F45" s="66">
        <f>'M2'!F45-'M1'!F45</f>
        <v>2.3188999999999993</v>
      </c>
      <c r="G45" s="66">
        <f>'M2'!G45-'M1'!G45</f>
        <v>0</v>
      </c>
      <c r="H45" s="66">
        <f>'M2'!H45-'M1'!H45</f>
        <v>15.3339</v>
      </c>
    </row>
    <row r="46" spans="1:8">
      <c r="A46" s="66" t="s">
        <v>89</v>
      </c>
      <c r="B46" s="66">
        <f>'M2'!B46-'M1'!B46</f>
        <v>7.9950999999999972</v>
      </c>
      <c r="C46" s="66">
        <f>'M2'!C46-'M1'!C46</f>
        <v>-7.2652099999999997</v>
      </c>
      <c r="D46" s="66">
        <f>'M2'!D46-'M1'!D46</f>
        <v>-0.259961</v>
      </c>
      <c r="E46" s="66">
        <f>'M2'!E46-'M1'!E46</f>
        <v>0</v>
      </c>
      <c r="F46" s="66">
        <f>'M2'!F46-'M1'!F46</f>
        <v>23.194409999999998</v>
      </c>
      <c r="G46" s="66">
        <f>'M2'!G46-'M1'!G46</f>
        <v>0</v>
      </c>
      <c r="H46" s="66">
        <f>'M2'!H46-'M1'!H46</f>
        <v>0.99430000000000263</v>
      </c>
    </row>
    <row r="47" spans="1:8">
      <c r="A47" s="66" t="s">
        <v>90</v>
      </c>
      <c r="B47" s="66">
        <f>'M2'!B47-'M1'!B47</f>
        <v>-0.63670000000000004</v>
      </c>
      <c r="C47" s="66">
        <f>'M2'!C47-'M1'!C47</f>
        <v>-0.89107000000000003</v>
      </c>
      <c r="D47" s="66">
        <f>'M2'!D47-'M1'!D47</f>
        <v>-0.22258999999999995</v>
      </c>
      <c r="E47" s="66">
        <f>'M2'!E47-'M1'!E47</f>
        <v>0</v>
      </c>
      <c r="F47" s="66">
        <f>'M2'!F47-'M1'!F47</f>
        <v>-0.65116799999999997</v>
      </c>
      <c r="G47" s="66">
        <f>'M2'!G47-'M1'!G47</f>
        <v>0</v>
      </c>
      <c r="H47" s="66">
        <f>'M2'!H47-'M1'!H47</f>
        <v>-6.9635900000000008</v>
      </c>
    </row>
    <row r="48" spans="1:8">
      <c r="A48" s="66" t="s">
        <v>91</v>
      </c>
      <c r="B48" s="66">
        <f>'M2'!B48-'M1'!B48</f>
        <v>-3.1430000000000069E-2</v>
      </c>
      <c r="C48" s="66">
        <f>'M2'!C48-'M1'!C48</f>
        <v>-6.0955999999999996E-2</v>
      </c>
      <c r="D48" s="66">
        <f>'M2'!D48-'M1'!D48</f>
        <v>-4.9529799999999999E-2</v>
      </c>
      <c r="E48" s="66">
        <f>'M2'!E48-'M1'!E48</f>
        <v>0</v>
      </c>
      <c r="F48" s="66">
        <f>'M2'!F48-'M1'!F48</f>
        <v>7.3636000000000035E-2</v>
      </c>
      <c r="G48" s="66">
        <f>'M2'!G48-'M1'!G48</f>
        <v>0</v>
      </c>
      <c r="H48" s="66">
        <f>'M2'!H48-'M1'!H48</f>
        <v>-9.6260000000000012E-2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346</v>
      </c>
      <c r="C1" s="66" t="s">
        <v>294</v>
      </c>
      <c r="D1" s="66" t="s">
        <v>295</v>
      </c>
      <c r="E1" s="66" t="s">
        <v>347</v>
      </c>
      <c r="F1" s="66" t="s">
        <v>297</v>
      </c>
      <c r="G1" s="66" t="s">
        <v>298</v>
      </c>
      <c r="H1" s="66" t="s">
        <v>348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45.936500000000002</v>
      </c>
      <c r="C5" s="66">
        <v>14.4658</v>
      </c>
      <c r="D5" s="66">
        <v>31.4908</v>
      </c>
      <c r="E5" s="66">
        <v>20</v>
      </c>
      <c r="F5" s="66">
        <v>13.9192</v>
      </c>
      <c r="G5" s="66">
        <v>50</v>
      </c>
      <c r="H5" s="66">
        <v>62.532899999999998</v>
      </c>
    </row>
    <row r="6" spans="1:8">
      <c r="A6" s="66" t="s">
        <v>303</v>
      </c>
      <c r="B6" s="66">
        <v>19.811399999999999</v>
      </c>
      <c r="C6" s="66">
        <v>4.3566700000000003</v>
      </c>
      <c r="D6" s="66">
        <v>21.9908</v>
      </c>
      <c r="E6" s="66">
        <v>20</v>
      </c>
      <c r="F6" s="66">
        <v>15.3325</v>
      </c>
      <c r="G6" s="66">
        <v>40</v>
      </c>
      <c r="H6" s="66">
        <v>29.336300000000001</v>
      </c>
    </row>
    <row r="7" spans="1:8">
      <c r="A7" s="66" t="s">
        <v>304</v>
      </c>
      <c r="B7" s="66">
        <v>14.4396</v>
      </c>
      <c r="C7" s="66">
        <v>5.1146500000000001</v>
      </c>
      <c r="D7" s="66">
        <v>35.420900000000003</v>
      </c>
      <c r="E7" s="66">
        <v>15</v>
      </c>
      <c r="F7" s="66">
        <v>4.1661299999999999</v>
      </c>
      <c r="G7" s="66">
        <v>40</v>
      </c>
      <c r="H7" s="66">
        <v>33.880200000000002</v>
      </c>
    </row>
    <row r="8" spans="1:8">
      <c r="A8" s="66" t="s">
        <v>305</v>
      </c>
      <c r="B8" s="66">
        <v>26.254300000000001</v>
      </c>
      <c r="C8" s="66">
        <v>6.08331</v>
      </c>
      <c r="D8" s="66">
        <v>23.1707</v>
      </c>
      <c r="E8" s="66">
        <v>20</v>
      </c>
      <c r="F8" s="66">
        <v>13.6028</v>
      </c>
      <c r="G8" s="66">
        <v>50</v>
      </c>
      <c r="H8" s="66">
        <v>36.390599999999999</v>
      </c>
    </row>
    <row r="9" spans="1:8">
      <c r="A9" s="66" t="s">
        <v>306</v>
      </c>
      <c r="B9" s="66">
        <v>71.448999999999998</v>
      </c>
      <c r="C9" s="66">
        <v>8.5294100000000004</v>
      </c>
      <c r="D9" s="66">
        <v>11.937799999999999</v>
      </c>
      <c r="E9" s="66">
        <v>50</v>
      </c>
      <c r="F9" s="66">
        <v>45.617899999999999</v>
      </c>
      <c r="G9" s="66">
        <v>100</v>
      </c>
      <c r="H9" s="66">
        <v>79.9709</v>
      </c>
    </row>
    <row r="10" spans="1:8">
      <c r="A10" s="66" t="s">
        <v>307</v>
      </c>
      <c r="B10" s="66">
        <v>82.588099999999997</v>
      </c>
      <c r="C10" s="66">
        <v>3.3771900000000001</v>
      </c>
      <c r="D10" s="66">
        <v>4.0891999999999999</v>
      </c>
      <c r="E10" s="66">
        <v>40</v>
      </c>
      <c r="F10" s="66">
        <v>75.419499999999999</v>
      </c>
      <c r="G10" s="66">
        <v>100</v>
      </c>
      <c r="H10" s="66">
        <v>87.951099999999997</v>
      </c>
    </row>
    <row r="11" spans="1:8">
      <c r="A11" s="66" t="s">
        <v>308</v>
      </c>
      <c r="B11" s="66">
        <v>34.1768</v>
      </c>
      <c r="C11" s="66">
        <v>9.1448900000000002</v>
      </c>
      <c r="D11" s="66">
        <v>26.7576</v>
      </c>
      <c r="E11" s="66">
        <v>10</v>
      </c>
      <c r="F11" s="66">
        <v>9.5861900000000002</v>
      </c>
      <c r="G11" s="66">
        <v>50</v>
      </c>
      <c r="H11" s="66">
        <v>39.529200000000003</v>
      </c>
    </row>
    <row r="12" spans="1:8">
      <c r="A12" s="66" t="s">
        <v>309</v>
      </c>
      <c r="B12" s="66">
        <v>77.087400000000002</v>
      </c>
      <c r="C12" s="66">
        <v>5.8525999999999998</v>
      </c>
      <c r="D12" s="66">
        <v>7.5921500000000002</v>
      </c>
      <c r="E12" s="66">
        <v>50</v>
      </c>
      <c r="F12" s="66">
        <v>60.591200000000001</v>
      </c>
      <c r="G12" s="66">
        <v>100</v>
      </c>
      <c r="H12" s="66">
        <v>83.410799999999995</v>
      </c>
    </row>
    <row r="13" spans="1:8">
      <c r="A13" s="66" t="s">
        <v>310</v>
      </c>
      <c r="B13" s="66">
        <v>24.439399999999999</v>
      </c>
      <c r="C13" s="66">
        <v>3.66005</v>
      </c>
      <c r="D13" s="66">
        <v>14.976100000000001</v>
      </c>
      <c r="E13" s="66">
        <v>10</v>
      </c>
      <c r="F13" s="66">
        <v>19.2685</v>
      </c>
      <c r="G13" s="66">
        <v>25</v>
      </c>
      <c r="H13" s="66">
        <v>36.052900000000001</v>
      </c>
    </row>
    <row r="14" spans="1:8">
      <c r="A14" s="66" t="s">
        <v>311</v>
      </c>
      <c r="B14" s="66">
        <v>36.600499999999997</v>
      </c>
      <c r="C14" s="66">
        <v>12.9824</v>
      </c>
      <c r="D14" s="66">
        <v>35.470599999999997</v>
      </c>
      <c r="E14" s="66">
        <v>10</v>
      </c>
      <c r="F14" s="66">
        <v>2.8296399999999999</v>
      </c>
      <c r="G14" s="66">
        <v>50</v>
      </c>
      <c r="H14" s="66">
        <v>42.771999999999998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0.38234600000000002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0.40776200000000001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1.35695E-2</v>
      </c>
      <c r="C20" s="66">
        <v>0.36321300000000001</v>
      </c>
      <c r="D20" s="66">
        <v>26.7669</v>
      </c>
      <c r="E20" s="66">
        <v>0</v>
      </c>
      <c r="F20" s="196">
        <v>1.5962300000000001E-5</v>
      </c>
      <c r="G20" s="66">
        <v>0</v>
      </c>
      <c r="H20" s="66">
        <v>3.8405200000000002</v>
      </c>
    </row>
    <row r="21" spans="1:8">
      <c r="A21" s="66" t="s">
        <v>318</v>
      </c>
      <c r="B21" s="66">
        <v>0.36829099999999998</v>
      </c>
      <c r="C21" s="66">
        <v>2.1512099999999998</v>
      </c>
      <c r="D21" s="66">
        <v>5.8410500000000001</v>
      </c>
      <c r="E21" s="66">
        <v>0</v>
      </c>
      <c r="F21" s="66">
        <v>1.7868599999999998E-2</v>
      </c>
      <c r="G21" s="66">
        <v>0</v>
      </c>
      <c r="H21" s="66">
        <v>17.495100000000001</v>
      </c>
    </row>
    <row r="22" spans="1:8">
      <c r="A22" s="66" t="s">
        <v>319</v>
      </c>
      <c r="B22" s="66">
        <v>59.614600000000003</v>
      </c>
      <c r="C22" s="66">
        <v>49.083799999999997</v>
      </c>
      <c r="D22" s="66">
        <v>0.82335199999999997</v>
      </c>
      <c r="E22" s="66">
        <v>0</v>
      </c>
      <c r="F22" s="66">
        <v>33.930500000000002</v>
      </c>
      <c r="G22" s="66">
        <v>0</v>
      </c>
      <c r="H22" s="66">
        <v>294.45499999999998</v>
      </c>
    </row>
    <row r="23" spans="1:8">
      <c r="A23" s="66" t="s">
        <v>320</v>
      </c>
      <c r="B23" s="66">
        <v>35.875900000000001</v>
      </c>
      <c r="C23" s="66">
        <v>7.1423100000000002</v>
      </c>
      <c r="D23" s="66">
        <v>0.19908400000000001</v>
      </c>
      <c r="E23" s="66">
        <v>0</v>
      </c>
      <c r="F23" s="66">
        <v>11.206300000000001</v>
      </c>
      <c r="G23" s="66">
        <v>0</v>
      </c>
      <c r="H23" s="66">
        <v>49.085000000000001</v>
      </c>
    </row>
    <row r="24" spans="1:8">
      <c r="A24" s="66" t="s">
        <v>321</v>
      </c>
      <c r="B24" s="66">
        <v>1.7683600000000001E-2</v>
      </c>
      <c r="C24" s="66">
        <v>0.32831900000000003</v>
      </c>
      <c r="D24" s="66">
        <v>18.566299999999998</v>
      </c>
      <c r="E24" s="66">
        <v>0</v>
      </c>
      <c r="F24" s="66">
        <v>1.9722000000000001E-4</v>
      </c>
      <c r="G24" s="66">
        <v>0</v>
      </c>
      <c r="H24" s="66">
        <v>2.9630399999999999</v>
      </c>
    </row>
    <row r="25" spans="1:8">
      <c r="A25" s="66" t="s">
        <v>322</v>
      </c>
      <c r="B25" s="66">
        <v>0.454677</v>
      </c>
      <c r="C25" s="66">
        <v>1.4850699999999999</v>
      </c>
      <c r="D25" s="66">
        <v>3.2662100000000001</v>
      </c>
      <c r="E25" s="66">
        <v>0</v>
      </c>
      <c r="F25" s="66">
        <v>0.13656099999999999</v>
      </c>
      <c r="G25" s="66">
        <v>0</v>
      </c>
      <c r="H25" s="66">
        <v>7.2103599999999997</v>
      </c>
    </row>
    <row r="26" spans="1:8">
      <c r="A26" s="66" t="s">
        <v>323</v>
      </c>
      <c r="B26" s="66">
        <v>3.0166799999999999E-3</v>
      </c>
      <c r="C26" s="66">
        <v>2.11229E-2</v>
      </c>
      <c r="D26" s="66">
        <v>7.00204</v>
      </c>
      <c r="E26" s="66">
        <v>0</v>
      </c>
      <c r="F26" s="196">
        <v>3.2825599999999999E-6</v>
      </c>
      <c r="G26" s="66">
        <v>0</v>
      </c>
      <c r="H26" s="66">
        <v>0.183833</v>
      </c>
    </row>
    <row r="27" spans="1:8">
      <c r="A27" s="66" t="s">
        <v>324</v>
      </c>
      <c r="B27" s="196">
        <v>-1.64128E-5</v>
      </c>
      <c r="C27" s="66">
        <v>4.0497500000000004E-3</v>
      </c>
      <c r="D27" s="66">
        <v>-246.74299999999999</v>
      </c>
      <c r="E27" s="66">
        <v>0</v>
      </c>
      <c r="F27" s="66">
        <v>-2.64607E-2</v>
      </c>
      <c r="G27" s="66">
        <v>0</v>
      </c>
      <c r="H27" s="66">
        <v>2.6270399999999999E-2</v>
      </c>
    </row>
    <row r="28" spans="1:8">
      <c r="A28" s="66" t="s">
        <v>325</v>
      </c>
      <c r="B28" s="66">
        <v>3.7701800000000001E-2</v>
      </c>
      <c r="C28" s="66">
        <v>6.0013900000000002E-2</v>
      </c>
      <c r="D28" s="66">
        <v>1.5918000000000001</v>
      </c>
      <c r="E28" s="66">
        <v>0</v>
      </c>
      <c r="F28" s="66">
        <v>3.6490899999999998E-3</v>
      </c>
      <c r="G28" s="66">
        <v>0</v>
      </c>
      <c r="H28" s="66">
        <v>0.37445000000000001</v>
      </c>
    </row>
    <row r="29" spans="1:8">
      <c r="A29" s="66" t="s">
        <v>326</v>
      </c>
      <c r="B29" s="66">
        <v>86.575400000000002</v>
      </c>
      <c r="C29" s="66">
        <v>13.2943</v>
      </c>
      <c r="D29" s="66">
        <v>0.153557</v>
      </c>
      <c r="E29" s="66">
        <v>0</v>
      </c>
      <c r="F29" s="66">
        <v>58.8444</v>
      </c>
      <c r="G29" s="66">
        <v>0</v>
      </c>
      <c r="H29" s="66">
        <v>140.31</v>
      </c>
    </row>
    <row r="30" spans="1:8">
      <c r="A30" s="66" t="s">
        <v>327</v>
      </c>
      <c r="B30" s="66">
        <v>34.777900000000002</v>
      </c>
      <c r="C30" s="66">
        <v>8.4394899999999993</v>
      </c>
      <c r="D30" s="66">
        <v>0.242669</v>
      </c>
      <c r="E30" s="66">
        <v>0</v>
      </c>
      <c r="F30" s="66">
        <v>12.0664</v>
      </c>
      <c r="G30" s="66">
        <v>0</v>
      </c>
      <c r="H30" s="66">
        <v>43.326000000000001</v>
      </c>
    </row>
    <row r="31" spans="1:8">
      <c r="A31" s="66" t="s">
        <v>328</v>
      </c>
      <c r="B31" s="66">
        <v>332.23500000000001</v>
      </c>
      <c r="C31" s="66">
        <v>74.143100000000004</v>
      </c>
      <c r="D31" s="66">
        <v>0.223165</v>
      </c>
      <c r="E31" s="66">
        <v>0</v>
      </c>
      <c r="F31" s="66">
        <v>123.163</v>
      </c>
      <c r="G31" s="66">
        <v>0</v>
      </c>
      <c r="H31" s="66">
        <v>394.267</v>
      </c>
    </row>
    <row r="32" spans="1:8">
      <c r="A32" s="66" t="s">
        <v>329</v>
      </c>
      <c r="B32" s="66">
        <v>0.144396</v>
      </c>
      <c r="C32" s="66">
        <v>5.1146499999999998E-2</v>
      </c>
      <c r="D32" s="66">
        <v>0.354209</v>
      </c>
      <c r="E32" s="66">
        <v>0.15</v>
      </c>
      <c r="F32" s="66">
        <v>4.1661299999999998E-2</v>
      </c>
      <c r="G32" s="66">
        <v>0.4</v>
      </c>
      <c r="H32" s="66">
        <v>0.33880199999999999</v>
      </c>
    </row>
    <row r="33" spans="1:8">
      <c r="A33" s="66" t="s">
        <v>330</v>
      </c>
      <c r="B33" s="66">
        <v>0.24882000000000001</v>
      </c>
      <c r="C33" s="66">
        <v>3.4247199999999998E-2</v>
      </c>
      <c r="D33" s="66">
        <v>0.13763800000000001</v>
      </c>
      <c r="E33" s="66">
        <v>0</v>
      </c>
      <c r="F33" s="66">
        <v>0.175596</v>
      </c>
      <c r="G33" s="66">
        <v>0</v>
      </c>
      <c r="H33" s="66">
        <v>0.41316700000000001</v>
      </c>
    </row>
    <row r="34" spans="1:8">
      <c r="A34" s="66" t="s">
        <v>331</v>
      </c>
      <c r="B34" s="66">
        <v>0.244394</v>
      </c>
      <c r="C34" s="66">
        <v>3.6600500000000001E-2</v>
      </c>
      <c r="D34" s="66">
        <v>0.14976100000000001</v>
      </c>
      <c r="E34" s="66">
        <v>0.1</v>
      </c>
      <c r="F34" s="66">
        <v>0.192685</v>
      </c>
      <c r="G34" s="66">
        <v>0.25</v>
      </c>
      <c r="H34" s="66">
        <v>0.36052899999999999</v>
      </c>
    </row>
    <row r="35" spans="1:8">
      <c r="A35" s="66" t="s">
        <v>332</v>
      </c>
      <c r="B35" s="66">
        <v>9.3309900000000001E-2</v>
      </c>
      <c r="C35" s="66">
        <v>2.8550099999999998E-2</v>
      </c>
      <c r="D35" s="66">
        <v>0.30597099999999999</v>
      </c>
      <c r="E35" s="66">
        <v>0</v>
      </c>
      <c r="F35" s="66">
        <v>3.3658899999999999E-2</v>
      </c>
      <c r="G35" s="66">
        <v>0</v>
      </c>
      <c r="H35" s="66">
        <v>0.17769399999999999</v>
      </c>
    </row>
    <row r="36" spans="1:8">
      <c r="A36" s="66" t="s">
        <v>333</v>
      </c>
      <c r="B36" s="66">
        <v>0.21737300000000001</v>
      </c>
      <c r="C36" s="66">
        <v>0.107878</v>
      </c>
      <c r="D36" s="66">
        <v>0.49628</v>
      </c>
      <c r="E36" s="66">
        <v>0</v>
      </c>
      <c r="F36" s="66">
        <v>4.1445599999999999E-2</v>
      </c>
      <c r="G36" s="66">
        <v>0</v>
      </c>
      <c r="H36" s="66">
        <v>0.57048399999999999</v>
      </c>
    </row>
    <row r="37" spans="1:8">
      <c r="A37" s="66" t="s">
        <v>334</v>
      </c>
      <c r="B37" s="66">
        <v>0.36600500000000002</v>
      </c>
      <c r="C37" s="66">
        <v>0.12982399999999999</v>
      </c>
      <c r="D37" s="66">
        <v>0.35470600000000002</v>
      </c>
      <c r="E37" s="66">
        <v>0.1</v>
      </c>
      <c r="F37" s="66">
        <v>2.8296399999999999E-2</v>
      </c>
      <c r="G37" s="66">
        <v>0.5</v>
      </c>
      <c r="H37" s="66">
        <v>0.42771999999999999</v>
      </c>
    </row>
    <row r="38" spans="1:8">
      <c r="A38" s="66" t="s">
        <v>335</v>
      </c>
      <c r="B38" s="66">
        <v>-23.166699999999999</v>
      </c>
      <c r="C38" s="66">
        <v>45.071300000000001</v>
      </c>
      <c r="D38" s="66">
        <v>-1.9455199999999999</v>
      </c>
      <c r="E38" s="66">
        <v>0</v>
      </c>
      <c r="F38" s="66">
        <v>-143.96199999999999</v>
      </c>
      <c r="G38" s="66">
        <v>0</v>
      </c>
      <c r="H38" s="66">
        <v>149.95099999999999</v>
      </c>
    </row>
    <row r="39" spans="1:8">
      <c r="A39" s="66" t="s">
        <v>336</v>
      </c>
      <c r="B39" s="66">
        <v>-9.8045399999999994</v>
      </c>
      <c r="C39" s="66">
        <v>6.06142</v>
      </c>
      <c r="D39" s="66">
        <v>-0.61822699999999997</v>
      </c>
      <c r="E39" s="66">
        <v>0</v>
      </c>
      <c r="F39" s="66">
        <v>-31.5304</v>
      </c>
      <c r="G39" s="66">
        <v>0</v>
      </c>
      <c r="H39" s="66">
        <v>4.44313</v>
      </c>
    </row>
    <row r="40" spans="1:8">
      <c r="A40" s="66" t="s">
        <v>337</v>
      </c>
      <c r="B40" s="66">
        <v>-1.49499</v>
      </c>
      <c r="C40" s="66">
        <v>2.2696499999999999</v>
      </c>
      <c r="D40" s="66">
        <v>-1.51817</v>
      </c>
      <c r="E40" s="66">
        <v>0</v>
      </c>
      <c r="F40" s="66">
        <v>-6.3259299999999996</v>
      </c>
      <c r="G40" s="66">
        <v>0</v>
      </c>
      <c r="H40" s="66">
        <v>1.8933800000000001</v>
      </c>
    </row>
    <row r="41" spans="1:8">
      <c r="A41" s="66" t="s">
        <v>338</v>
      </c>
      <c r="B41" s="66">
        <v>-0.12570400000000001</v>
      </c>
      <c r="C41" s="66">
        <v>0.20874300000000001</v>
      </c>
      <c r="D41" s="66">
        <v>-1.6606000000000001</v>
      </c>
      <c r="E41" s="66">
        <v>0</v>
      </c>
      <c r="F41" s="66">
        <v>-0.81060600000000005</v>
      </c>
      <c r="G41" s="66">
        <v>0</v>
      </c>
      <c r="H41" s="66">
        <v>0.58882699999999999</v>
      </c>
    </row>
    <row r="42" spans="1:8">
      <c r="A42" s="66" t="s">
        <v>339</v>
      </c>
      <c r="B42" s="66">
        <v>-0.122904</v>
      </c>
      <c r="C42" s="66">
        <v>8.3076300000000006E-2</v>
      </c>
      <c r="D42" s="66">
        <v>-0.67594200000000004</v>
      </c>
      <c r="E42" s="66">
        <v>0</v>
      </c>
      <c r="F42" s="66">
        <v>-0.28467999999999999</v>
      </c>
      <c r="G42" s="66">
        <v>0</v>
      </c>
      <c r="H42" s="66">
        <v>0.113647</v>
      </c>
    </row>
    <row r="43" spans="1:8">
      <c r="A43" s="66" t="s">
        <v>340</v>
      </c>
      <c r="B43" s="66">
        <v>3.4645500000000003E-2</v>
      </c>
      <c r="C43" s="66">
        <v>4.0576300000000003E-2</v>
      </c>
      <c r="D43" s="66">
        <v>1.1711800000000001</v>
      </c>
      <c r="E43" s="66">
        <v>0</v>
      </c>
      <c r="F43" s="66">
        <v>-0.147368</v>
      </c>
      <c r="G43" s="66">
        <v>0</v>
      </c>
      <c r="H43" s="66">
        <v>0.102575</v>
      </c>
    </row>
    <row r="44" spans="1:8">
      <c r="A44" s="66" t="s">
        <v>341</v>
      </c>
      <c r="B44" s="66">
        <v>-29.119800000000001</v>
      </c>
      <c r="C44" s="66">
        <v>16.0136</v>
      </c>
      <c r="D44" s="66">
        <v>-0.54991999999999996</v>
      </c>
      <c r="E44" s="66">
        <v>0</v>
      </c>
      <c r="F44" s="66">
        <v>-60.372900000000001</v>
      </c>
      <c r="G44" s="66">
        <v>0</v>
      </c>
      <c r="H44" s="66">
        <v>2.2594599999999998</v>
      </c>
    </row>
    <row r="45" spans="1:8">
      <c r="A45" s="66" t="s">
        <v>342</v>
      </c>
      <c r="B45" s="66">
        <v>45.472099999999998</v>
      </c>
      <c r="C45" s="66">
        <v>8.5179600000000004</v>
      </c>
      <c r="D45" s="66">
        <v>0.18732299999999999</v>
      </c>
      <c r="E45" s="66">
        <v>0</v>
      </c>
      <c r="F45" s="66">
        <v>26.385999999999999</v>
      </c>
      <c r="G45" s="66">
        <v>0</v>
      </c>
      <c r="H45" s="66">
        <v>64.180099999999996</v>
      </c>
    </row>
    <row r="46" spans="1:8">
      <c r="A46" s="66" t="s">
        <v>343</v>
      </c>
      <c r="B46" s="66">
        <v>29.331700000000001</v>
      </c>
      <c r="C46" s="66">
        <v>8.9453999999999994</v>
      </c>
      <c r="D46" s="66">
        <v>0.30497400000000002</v>
      </c>
      <c r="E46" s="66">
        <v>0</v>
      </c>
      <c r="F46" s="66">
        <v>9.3799899999999994</v>
      </c>
      <c r="G46" s="66">
        <v>0</v>
      </c>
      <c r="H46" s="66">
        <v>39.6051</v>
      </c>
    </row>
    <row r="47" spans="1:8">
      <c r="A47" s="66" t="s">
        <v>344</v>
      </c>
      <c r="B47" s="66">
        <v>2.52006</v>
      </c>
      <c r="C47" s="66">
        <v>1.86758</v>
      </c>
      <c r="D47" s="66">
        <v>0.74108399999999996</v>
      </c>
      <c r="E47" s="66">
        <v>0</v>
      </c>
      <c r="F47" s="66">
        <v>0.96456699999999995</v>
      </c>
      <c r="G47" s="66">
        <v>0</v>
      </c>
      <c r="H47" s="66">
        <v>11.551500000000001</v>
      </c>
    </row>
    <row r="48" spans="1:8">
      <c r="A48" s="66" t="s">
        <v>345</v>
      </c>
      <c r="B48" s="66">
        <v>1.17099</v>
      </c>
      <c r="C48" s="66">
        <v>0.168213</v>
      </c>
      <c r="D48" s="66">
        <v>0.143651</v>
      </c>
      <c r="E48" s="66">
        <v>0</v>
      </c>
      <c r="F48" s="66">
        <v>0.85566299999999995</v>
      </c>
      <c r="G48" s="66">
        <v>0</v>
      </c>
      <c r="H48" s="66">
        <v>1.5303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346</v>
      </c>
      <c r="C1" s="66" t="s">
        <v>294</v>
      </c>
      <c r="D1" s="66" t="s">
        <v>295</v>
      </c>
      <c r="E1" s="66" t="s">
        <v>347</v>
      </c>
      <c r="F1" s="66" t="s">
        <v>297</v>
      </c>
      <c r="G1" s="66" t="s">
        <v>298</v>
      </c>
      <c r="H1" s="66" t="s">
        <v>348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56.161499999999997</v>
      </c>
      <c r="C5" s="66">
        <v>4.3402799999999999</v>
      </c>
      <c r="D5" s="66">
        <v>7.7282099999999998</v>
      </c>
      <c r="E5" s="66">
        <v>20</v>
      </c>
      <c r="F5" s="66">
        <v>46.683100000000003</v>
      </c>
      <c r="G5" s="66">
        <v>50</v>
      </c>
      <c r="H5" s="66">
        <v>62.014699999999998</v>
      </c>
    </row>
    <row r="6" spans="1:8">
      <c r="A6" s="66" t="s">
        <v>303</v>
      </c>
      <c r="B6" s="66">
        <v>30.662199999999999</v>
      </c>
      <c r="C6" s="66">
        <v>3.17571</v>
      </c>
      <c r="D6" s="66">
        <v>10.357100000000001</v>
      </c>
      <c r="E6" s="66">
        <v>20</v>
      </c>
      <c r="F6" s="66">
        <v>23.3338</v>
      </c>
      <c r="G6" s="66">
        <v>40</v>
      </c>
      <c r="H6" s="66">
        <v>36.206099999999999</v>
      </c>
    </row>
    <row r="7" spans="1:8">
      <c r="A7" s="66" t="s">
        <v>304</v>
      </c>
      <c r="B7" s="66">
        <v>16.685700000000001</v>
      </c>
      <c r="C7" s="66">
        <v>4.7411199999999996</v>
      </c>
      <c r="D7" s="66">
        <v>28.414200000000001</v>
      </c>
      <c r="E7" s="66">
        <v>15</v>
      </c>
      <c r="F7" s="66">
        <v>4.6853999999999996</v>
      </c>
      <c r="G7" s="66">
        <v>40</v>
      </c>
      <c r="H7" s="66">
        <v>30.7197</v>
      </c>
    </row>
    <row r="8" spans="1:8">
      <c r="A8" s="66" t="s">
        <v>305</v>
      </c>
      <c r="B8" s="66">
        <v>34.635899999999999</v>
      </c>
      <c r="C8" s="66">
        <v>2.7107800000000002</v>
      </c>
      <c r="D8" s="66">
        <v>7.8265099999999999</v>
      </c>
      <c r="E8" s="66">
        <v>20</v>
      </c>
      <c r="F8" s="66">
        <v>27.5959</v>
      </c>
      <c r="G8" s="66">
        <v>50</v>
      </c>
      <c r="H8" s="66">
        <v>38.517899999999997</v>
      </c>
    </row>
    <row r="9" spans="1:8">
      <c r="A9" s="66" t="s">
        <v>306</v>
      </c>
      <c r="B9" s="66">
        <v>60.734400000000001</v>
      </c>
      <c r="C9" s="66">
        <v>6.4220199999999998</v>
      </c>
      <c r="D9" s="66">
        <v>10.5739</v>
      </c>
      <c r="E9" s="66">
        <v>50</v>
      </c>
      <c r="F9" s="66">
        <v>49.186799999999998</v>
      </c>
      <c r="G9" s="66">
        <v>100</v>
      </c>
      <c r="H9" s="66">
        <v>73.222399999999993</v>
      </c>
    </row>
    <row r="10" spans="1:8">
      <c r="A10" s="66" t="s">
        <v>307</v>
      </c>
      <c r="B10" s="66">
        <v>76.09</v>
      </c>
      <c r="C10" s="66">
        <v>2.1234700000000002</v>
      </c>
      <c r="D10" s="66">
        <v>2.79074</v>
      </c>
      <c r="E10" s="66">
        <v>40</v>
      </c>
      <c r="F10" s="66">
        <v>73.358400000000003</v>
      </c>
      <c r="G10" s="66">
        <v>100</v>
      </c>
      <c r="H10" s="66">
        <v>81.825900000000004</v>
      </c>
    </row>
    <row r="11" spans="1:8">
      <c r="A11" s="66" t="s">
        <v>308</v>
      </c>
      <c r="B11" s="66">
        <v>33.686</v>
      </c>
      <c r="C11" s="66">
        <v>2.7650899999999998</v>
      </c>
      <c r="D11" s="66">
        <v>8.2083999999999993</v>
      </c>
      <c r="E11" s="66">
        <v>10</v>
      </c>
      <c r="F11" s="66">
        <v>29.436299999999999</v>
      </c>
      <c r="G11" s="66">
        <v>50</v>
      </c>
      <c r="H11" s="66">
        <v>39.177999999999997</v>
      </c>
    </row>
    <row r="12" spans="1:8">
      <c r="A12" s="66" t="s">
        <v>309</v>
      </c>
      <c r="B12" s="66">
        <v>68.628299999999996</v>
      </c>
      <c r="C12" s="66">
        <v>3.95886</v>
      </c>
      <c r="D12" s="66">
        <v>5.7685599999999999</v>
      </c>
      <c r="E12" s="66">
        <v>50</v>
      </c>
      <c r="F12" s="66">
        <v>62.299399999999999</v>
      </c>
      <c r="G12" s="66">
        <v>100</v>
      </c>
      <c r="H12" s="66">
        <v>76.143299999999996</v>
      </c>
    </row>
    <row r="13" spans="1:8">
      <c r="A13" s="66" t="s">
        <v>310</v>
      </c>
      <c r="B13" s="66">
        <v>24.7315</v>
      </c>
      <c r="C13" s="66">
        <v>3.8678499999999998</v>
      </c>
      <c r="D13" s="66">
        <v>15.6394</v>
      </c>
      <c r="E13" s="66">
        <v>10</v>
      </c>
      <c r="F13" s="66">
        <v>18.1127</v>
      </c>
      <c r="G13" s="66">
        <v>25</v>
      </c>
      <c r="H13" s="66">
        <v>35.018599999999999</v>
      </c>
    </row>
    <row r="14" spans="1:8">
      <c r="A14" s="66" t="s">
        <v>311</v>
      </c>
      <c r="B14" s="66">
        <v>38.6785</v>
      </c>
      <c r="C14" s="66">
        <v>12.448399999999999</v>
      </c>
      <c r="D14" s="66">
        <v>32.184199999999997</v>
      </c>
      <c r="E14" s="66">
        <v>10</v>
      </c>
      <c r="F14" s="66">
        <v>4.0075799999999999</v>
      </c>
      <c r="G14" s="66">
        <v>50</v>
      </c>
      <c r="H14" s="66">
        <v>37.6601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0.359398</v>
      </c>
      <c r="C18" s="66">
        <v>0.102059</v>
      </c>
      <c r="D18" s="66">
        <v>0.283972</v>
      </c>
      <c r="E18" s="66">
        <v>0</v>
      </c>
      <c r="F18" s="66">
        <v>0.25733899999999998</v>
      </c>
      <c r="G18" s="66">
        <v>0</v>
      </c>
      <c r="H18" s="66">
        <v>0.46145799999999998</v>
      </c>
    </row>
    <row r="19" spans="1:8">
      <c r="A19" s="66" t="s">
        <v>316</v>
      </c>
      <c r="B19" s="66">
        <v>0.45596399999999998</v>
      </c>
      <c r="C19" s="66">
        <v>3.42323E-2</v>
      </c>
      <c r="D19" s="66">
        <v>7.5076699999999996E-2</v>
      </c>
      <c r="E19" s="66">
        <v>0</v>
      </c>
      <c r="F19" s="66">
        <v>0.421732</v>
      </c>
      <c r="G19" s="66">
        <v>0</v>
      </c>
      <c r="H19" s="66">
        <v>0.49019600000000002</v>
      </c>
    </row>
    <row r="20" spans="1:8">
      <c r="A20" s="66" t="s">
        <v>317</v>
      </c>
      <c r="B20" s="66">
        <v>9.7351299999999998E-3</v>
      </c>
      <c r="C20" s="66">
        <v>0.109666</v>
      </c>
      <c r="D20" s="66">
        <v>11.265000000000001</v>
      </c>
      <c r="E20" s="66">
        <v>0</v>
      </c>
      <c r="F20" s="196">
        <v>5.2521000000000001E-6</v>
      </c>
      <c r="G20" s="66">
        <v>0</v>
      </c>
      <c r="H20" s="66">
        <v>0.99723200000000001</v>
      </c>
    </row>
    <row r="21" spans="1:8">
      <c r="A21" s="66" t="s">
        <v>318</v>
      </c>
      <c r="B21" s="66">
        <v>0.276864</v>
      </c>
      <c r="C21" s="66">
        <v>0.85219299999999998</v>
      </c>
      <c r="D21" s="66">
        <v>3.07802</v>
      </c>
      <c r="E21" s="66">
        <v>0</v>
      </c>
      <c r="F21" s="66">
        <v>3.6741E-3</v>
      </c>
      <c r="G21" s="66">
        <v>0</v>
      </c>
      <c r="H21" s="66">
        <v>4.1070200000000003</v>
      </c>
    </row>
    <row r="22" spans="1:8">
      <c r="A22" s="66" t="s">
        <v>319</v>
      </c>
      <c r="B22" s="66">
        <v>56.396000000000001</v>
      </c>
      <c r="C22" s="66">
        <v>22.004899999999999</v>
      </c>
      <c r="D22" s="66">
        <v>0.390185</v>
      </c>
      <c r="E22" s="66">
        <v>0</v>
      </c>
      <c r="F22" s="66">
        <v>27.592400000000001</v>
      </c>
      <c r="G22" s="66">
        <v>0</v>
      </c>
      <c r="H22" s="66">
        <v>133.059</v>
      </c>
    </row>
    <row r="23" spans="1:8">
      <c r="A23" s="66" t="s">
        <v>320</v>
      </c>
      <c r="B23" s="66">
        <v>25.641300000000001</v>
      </c>
      <c r="C23" s="66">
        <v>5.2267099999999997</v>
      </c>
      <c r="D23" s="66">
        <v>0.20383899999999999</v>
      </c>
      <c r="E23" s="66">
        <v>0</v>
      </c>
      <c r="F23" s="66">
        <v>20.926100000000002</v>
      </c>
      <c r="G23" s="66">
        <v>0</v>
      </c>
      <c r="H23" s="66">
        <v>36.059899999999999</v>
      </c>
    </row>
    <row r="24" spans="1:8">
      <c r="A24" s="66" t="s">
        <v>349</v>
      </c>
      <c r="B24" s="66">
        <v>1.55867E-2</v>
      </c>
      <c r="C24" s="66">
        <v>8.8449700000000006E-2</v>
      </c>
      <c r="D24" s="66">
        <v>5.67469</v>
      </c>
      <c r="E24" s="66">
        <v>0</v>
      </c>
      <c r="F24" s="66">
        <v>1.02565E-4</v>
      </c>
      <c r="G24" s="66">
        <v>0</v>
      </c>
      <c r="H24" s="66">
        <v>0.63366900000000004</v>
      </c>
    </row>
    <row r="25" spans="1:8">
      <c r="A25" s="66" t="s">
        <v>322</v>
      </c>
      <c r="B25" s="66">
        <v>0.27459</v>
      </c>
      <c r="C25" s="66">
        <v>0.60677599999999998</v>
      </c>
      <c r="D25" s="66">
        <v>2.2097500000000001</v>
      </c>
      <c r="E25" s="66">
        <v>0</v>
      </c>
      <c r="F25" s="66">
        <v>3.1323700000000003E-2</v>
      </c>
      <c r="G25" s="66">
        <v>0</v>
      </c>
      <c r="H25" s="66">
        <v>2.2648000000000001</v>
      </c>
    </row>
    <row r="26" spans="1:8">
      <c r="A26" s="66" t="s">
        <v>323</v>
      </c>
      <c r="B26" s="66">
        <v>1.99416E-3</v>
      </c>
      <c r="C26" s="66">
        <v>9.7340299999999994E-3</v>
      </c>
      <c r="D26" s="66">
        <v>4.8812699999999998</v>
      </c>
      <c r="E26" s="66">
        <v>0</v>
      </c>
      <c r="F26" s="196">
        <v>3.2825599999999999E-6</v>
      </c>
      <c r="G26" s="66">
        <v>0</v>
      </c>
      <c r="H26" s="66">
        <v>6.5313200000000002E-2</v>
      </c>
    </row>
    <row r="27" spans="1:8">
      <c r="A27" s="66" t="s">
        <v>324</v>
      </c>
      <c r="B27" s="196">
        <v>-1.9695400000000001E-5</v>
      </c>
      <c r="C27" s="66">
        <v>3.0923999999999999E-3</v>
      </c>
      <c r="D27" s="66">
        <v>-157.011</v>
      </c>
      <c r="E27" s="66">
        <v>0</v>
      </c>
      <c r="F27" s="66">
        <v>-2.2505299999999999E-2</v>
      </c>
      <c r="G27" s="66">
        <v>0</v>
      </c>
      <c r="H27" s="66">
        <v>2.18684E-2</v>
      </c>
    </row>
    <row r="28" spans="1:8">
      <c r="A28" s="66" t="s">
        <v>325</v>
      </c>
      <c r="B28" s="66">
        <v>3.02458E-2</v>
      </c>
      <c r="C28" s="66">
        <v>4.25882E-2</v>
      </c>
      <c r="D28" s="66">
        <v>1.4080699999999999</v>
      </c>
      <c r="E28" s="66">
        <v>0</v>
      </c>
      <c r="F28" s="66">
        <v>1.1849E-3</v>
      </c>
      <c r="G28" s="66">
        <v>0</v>
      </c>
      <c r="H28" s="66">
        <v>0.19078800000000001</v>
      </c>
    </row>
    <row r="29" spans="1:8">
      <c r="A29" s="66" t="s">
        <v>326</v>
      </c>
      <c r="B29" s="66">
        <v>84.165700000000001</v>
      </c>
      <c r="C29" s="66">
        <v>11.269500000000001</v>
      </c>
      <c r="D29" s="66">
        <v>0.13389599999999999</v>
      </c>
      <c r="E29" s="66">
        <v>0</v>
      </c>
      <c r="F29" s="66">
        <v>60.286799999999999</v>
      </c>
      <c r="G29" s="66">
        <v>0</v>
      </c>
      <c r="H29" s="66">
        <v>112.95699999999999</v>
      </c>
    </row>
    <row r="30" spans="1:8">
      <c r="A30" s="66" t="s">
        <v>327</v>
      </c>
      <c r="B30" s="66">
        <v>30.5303</v>
      </c>
      <c r="C30" s="66">
        <v>5.2873999999999999</v>
      </c>
      <c r="D30" s="66">
        <v>0.17318600000000001</v>
      </c>
      <c r="E30" s="66">
        <v>0</v>
      </c>
      <c r="F30" s="66">
        <v>25.454799999999999</v>
      </c>
      <c r="G30" s="66">
        <v>0</v>
      </c>
      <c r="H30" s="66">
        <v>42.177300000000002</v>
      </c>
    </row>
    <row r="31" spans="1:8">
      <c r="A31" s="66" t="s">
        <v>328</v>
      </c>
      <c r="B31" s="66">
        <v>305.42599999999999</v>
      </c>
      <c r="C31" s="66">
        <v>28.699200000000001</v>
      </c>
      <c r="D31" s="66">
        <v>9.3964500000000006E-2</v>
      </c>
      <c r="E31" s="66">
        <v>0</v>
      </c>
      <c r="F31" s="66">
        <v>249.59700000000001</v>
      </c>
      <c r="G31" s="66">
        <v>0</v>
      </c>
      <c r="H31" s="66">
        <v>358.26600000000002</v>
      </c>
    </row>
    <row r="32" spans="1:8">
      <c r="A32" s="66" t="s">
        <v>329</v>
      </c>
      <c r="B32" s="66">
        <v>0.16685700000000001</v>
      </c>
      <c r="C32" s="66">
        <v>4.7411200000000001E-2</v>
      </c>
      <c r="D32" s="66">
        <v>0.28414200000000001</v>
      </c>
      <c r="E32" s="66">
        <v>0.15</v>
      </c>
      <c r="F32" s="66">
        <v>4.6854E-2</v>
      </c>
      <c r="G32" s="66">
        <v>0.4</v>
      </c>
      <c r="H32" s="66">
        <v>0.307197</v>
      </c>
    </row>
    <row r="33" spans="1:8">
      <c r="A33" s="66" t="s">
        <v>330</v>
      </c>
      <c r="B33" s="66">
        <v>0.35217799999999999</v>
      </c>
      <c r="C33" s="66">
        <v>2.0938700000000001E-2</v>
      </c>
      <c r="D33" s="66">
        <v>5.9454899999999998E-2</v>
      </c>
      <c r="E33" s="66">
        <v>0</v>
      </c>
      <c r="F33" s="66">
        <v>0.32295000000000001</v>
      </c>
      <c r="G33" s="66">
        <v>0</v>
      </c>
      <c r="H33" s="66">
        <v>0.41763600000000001</v>
      </c>
    </row>
    <row r="34" spans="1:8">
      <c r="A34" s="66" t="s">
        <v>331</v>
      </c>
      <c r="B34" s="66">
        <v>0.24731500000000001</v>
      </c>
      <c r="C34" s="66">
        <v>3.8678499999999998E-2</v>
      </c>
      <c r="D34" s="66">
        <v>0.15639400000000001</v>
      </c>
      <c r="E34" s="66">
        <v>0.1</v>
      </c>
      <c r="F34" s="66">
        <v>0.18112700000000001</v>
      </c>
      <c r="G34" s="66">
        <v>0.25</v>
      </c>
      <c r="H34" s="66">
        <v>0.350186</v>
      </c>
    </row>
    <row r="35" spans="1:8">
      <c r="A35" s="66" t="s">
        <v>332</v>
      </c>
      <c r="B35" s="66">
        <v>8.3537500000000001E-2</v>
      </c>
      <c r="C35" s="66">
        <v>2.77507E-2</v>
      </c>
      <c r="D35" s="66">
        <v>0.33219399999999999</v>
      </c>
      <c r="E35" s="66">
        <v>0</v>
      </c>
      <c r="F35" s="66">
        <v>2.8266400000000001E-2</v>
      </c>
      <c r="G35" s="66">
        <v>0</v>
      </c>
      <c r="H35" s="66">
        <v>0.17455599999999999</v>
      </c>
    </row>
    <row r="36" spans="1:8">
      <c r="A36" s="66" t="s">
        <v>333</v>
      </c>
      <c r="B36" s="66">
        <v>0.245675</v>
      </c>
      <c r="C36" s="66">
        <v>0.103412</v>
      </c>
      <c r="D36" s="66">
        <v>0.420931</v>
      </c>
      <c r="E36" s="66">
        <v>0</v>
      </c>
      <c r="F36" s="66">
        <v>4.8783100000000003E-2</v>
      </c>
      <c r="G36" s="66">
        <v>0</v>
      </c>
      <c r="H36" s="66">
        <v>0.58224399999999998</v>
      </c>
    </row>
    <row r="37" spans="1:8">
      <c r="A37" s="66" t="s">
        <v>334</v>
      </c>
      <c r="B37" s="66">
        <v>0.38678499999999999</v>
      </c>
      <c r="C37" s="66">
        <v>0.124484</v>
      </c>
      <c r="D37" s="66">
        <v>0.32184200000000002</v>
      </c>
      <c r="E37" s="66">
        <v>0.1</v>
      </c>
      <c r="F37" s="66">
        <v>4.0075800000000002E-2</v>
      </c>
      <c r="G37" s="66">
        <v>0.5</v>
      </c>
      <c r="H37" s="66">
        <v>0.37660100000000002</v>
      </c>
    </row>
    <row r="38" spans="1:8">
      <c r="A38" s="66" t="s">
        <v>335</v>
      </c>
      <c r="B38" s="66">
        <v>-9.8077199999999998</v>
      </c>
      <c r="C38" s="66">
        <v>42.066800000000001</v>
      </c>
      <c r="D38" s="66">
        <v>-4.2891500000000002</v>
      </c>
      <c r="E38" s="66">
        <v>0</v>
      </c>
      <c r="F38" s="66">
        <v>-125.786</v>
      </c>
      <c r="G38" s="66">
        <v>0</v>
      </c>
      <c r="H38" s="66">
        <v>170.505</v>
      </c>
    </row>
    <row r="39" spans="1:8">
      <c r="A39" s="66" t="s">
        <v>336</v>
      </c>
      <c r="B39" s="66">
        <v>-7.7907400000000004</v>
      </c>
      <c r="C39" s="66">
        <v>7.8743299999999996</v>
      </c>
      <c r="D39" s="66">
        <v>-1.0107299999999999</v>
      </c>
      <c r="E39" s="66">
        <v>0</v>
      </c>
      <c r="F39" s="66">
        <v>-36.337800000000001</v>
      </c>
      <c r="G39" s="66">
        <v>0</v>
      </c>
      <c r="H39" s="66">
        <v>3.5085099999999998</v>
      </c>
    </row>
    <row r="40" spans="1:8">
      <c r="A40" s="66" t="s">
        <v>337</v>
      </c>
      <c r="B40" s="66">
        <v>-3.7488100000000002</v>
      </c>
      <c r="C40" s="66">
        <v>1.83026</v>
      </c>
      <c r="D40" s="66">
        <v>-0.48822399999999999</v>
      </c>
      <c r="E40" s="66">
        <v>0</v>
      </c>
      <c r="F40" s="66">
        <v>-8.0187600000000003</v>
      </c>
      <c r="G40" s="66">
        <v>0</v>
      </c>
      <c r="H40" s="66">
        <v>-0.223578</v>
      </c>
    </row>
    <row r="41" spans="1:8">
      <c r="A41" s="66" t="s">
        <v>338</v>
      </c>
      <c r="B41" s="66">
        <v>-0.106838</v>
      </c>
      <c r="C41" s="66">
        <v>0.23436599999999999</v>
      </c>
      <c r="D41" s="66">
        <v>-2.1936499999999999</v>
      </c>
      <c r="E41" s="66">
        <v>0</v>
      </c>
      <c r="F41" s="66">
        <v>-0.80219799999999997</v>
      </c>
      <c r="G41" s="66">
        <v>0</v>
      </c>
      <c r="H41" s="66">
        <v>0.79781400000000002</v>
      </c>
    </row>
    <row r="42" spans="1:8">
      <c r="A42" s="66" t="s">
        <v>339</v>
      </c>
      <c r="B42" s="66">
        <v>-0.1295</v>
      </c>
      <c r="C42" s="66">
        <v>7.0991100000000001E-2</v>
      </c>
      <c r="D42" s="66">
        <v>-0.54819600000000002</v>
      </c>
      <c r="E42" s="66">
        <v>0</v>
      </c>
      <c r="F42" s="66">
        <v>-0.25588100000000003</v>
      </c>
      <c r="G42" s="66">
        <v>0</v>
      </c>
      <c r="H42" s="66">
        <v>7.9688400000000006E-2</v>
      </c>
    </row>
    <row r="43" spans="1:8">
      <c r="A43" s="66" t="s">
        <v>340</v>
      </c>
      <c r="B43" s="66">
        <v>-7.5015999999999999E-2</v>
      </c>
      <c r="C43" s="66">
        <v>5.3153199999999998E-2</v>
      </c>
      <c r="D43" s="66">
        <v>-0.70855800000000002</v>
      </c>
      <c r="E43" s="66">
        <v>0</v>
      </c>
      <c r="F43" s="66">
        <v>-0.14660000000000001</v>
      </c>
      <c r="G43" s="66">
        <v>0</v>
      </c>
      <c r="H43" s="66">
        <v>7.7999499999999999E-2</v>
      </c>
    </row>
    <row r="44" spans="1:8">
      <c r="A44" s="66" t="s">
        <v>341</v>
      </c>
      <c r="B44" s="66">
        <v>-4.44693</v>
      </c>
      <c r="C44" s="66">
        <v>16.581600000000002</v>
      </c>
      <c r="D44" s="66">
        <v>-3.7287599999999999</v>
      </c>
      <c r="E44" s="66">
        <v>0</v>
      </c>
      <c r="F44" s="66">
        <v>-43.235999999999997</v>
      </c>
      <c r="G44" s="66">
        <v>0</v>
      </c>
      <c r="H44" s="66">
        <v>16.614899999999999</v>
      </c>
    </row>
    <row r="45" spans="1:8">
      <c r="A45" s="66" t="s">
        <v>342</v>
      </c>
      <c r="B45" s="66">
        <v>49.818600000000004</v>
      </c>
      <c r="C45" s="66">
        <v>10.791600000000001</v>
      </c>
      <c r="D45" s="66">
        <v>0.216618</v>
      </c>
      <c r="E45" s="66">
        <v>0</v>
      </c>
      <c r="F45" s="66">
        <v>28.704899999999999</v>
      </c>
      <c r="G45" s="66">
        <v>0</v>
      </c>
      <c r="H45" s="66">
        <v>79.513999999999996</v>
      </c>
    </row>
    <row r="46" spans="1:8">
      <c r="A46" s="66" t="s">
        <v>343</v>
      </c>
      <c r="B46" s="66">
        <v>37.326799999999999</v>
      </c>
      <c r="C46" s="66">
        <v>1.6801900000000001</v>
      </c>
      <c r="D46" s="66">
        <v>4.5012999999999997E-2</v>
      </c>
      <c r="E46" s="66">
        <v>0</v>
      </c>
      <c r="F46" s="66">
        <v>32.574399999999997</v>
      </c>
      <c r="G46" s="66">
        <v>0</v>
      </c>
      <c r="H46" s="66">
        <v>40.599400000000003</v>
      </c>
    </row>
    <row r="47" spans="1:8">
      <c r="A47" s="66" t="s">
        <v>344</v>
      </c>
      <c r="B47" s="66">
        <v>1.8833599999999999</v>
      </c>
      <c r="C47" s="66">
        <v>0.97650999999999999</v>
      </c>
      <c r="D47" s="66">
        <v>0.51849400000000001</v>
      </c>
      <c r="E47" s="66">
        <v>0</v>
      </c>
      <c r="F47" s="66">
        <v>0.31339899999999998</v>
      </c>
      <c r="G47" s="66">
        <v>0</v>
      </c>
      <c r="H47" s="66">
        <v>4.5879099999999999</v>
      </c>
    </row>
    <row r="48" spans="1:8">
      <c r="A48" s="66" t="s">
        <v>345</v>
      </c>
      <c r="B48" s="66">
        <v>1.1395599999999999</v>
      </c>
      <c r="C48" s="66">
        <v>0.10725700000000001</v>
      </c>
      <c r="D48" s="66">
        <v>9.4121200000000002E-2</v>
      </c>
      <c r="E48" s="66">
        <v>0</v>
      </c>
      <c r="F48" s="66">
        <v>0.92929899999999999</v>
      </c>
      <c r="G48" s="66">
        <v>0</v>
      </c>
      <c r="H48" s="66">
        <v>1.43404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350</v>
      </c>
      <c r="B1" s="60" t="s">
        <v>351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117.86414078100549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2.2756607425984714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0.754356035093385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311</v>
      </c>
      <c r="B8" s="66">
        <v>311</v>
      </c>
      <c r="D8">
        <f t="shared" si="0"/>
        <v>1.6098225054221513E-3</v>
      </c>
      <c r="E8">
        <f t="shared" si="0"/>
        <v>1.6098225054221513E-3</v>
      </c>
      <c r="G8">
        <f t="shared" ca="1" si="1"/>
        <v>6</v>
      </c>
      <c r="H8">
        <f t="shared" ca="1" si="2"/>
        <v>9.6589350325329074E-3</v>
      </c>
      <c r="I8">
        <f t="shared" ca="1" si="3"/>
        <v>20.144652354539769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767</v>
      </c>
      <c r="B10" s="66">
        <v>767</v>
      </c>
      <c r="D10">
        <f t="shared" si="0"/>
        <v>3.9702053429543091E-3</v>
      </c>
      <c r="E10">
        <f t="shared" si="0"/>
        <v>3.9702053429543091E-3</v>
      </c>
      <c r="G10">
        <f t="shared" ca="1" si="1"/>
        <v>8</v>
      </c>
      <c r="H10">
        <f t="shared" ca="1" si="2"/>
        <v>3.1761642743634473E-2</v>
      </c>
      <c r="I10">
        <f t="shared" ca="1" si="3"/>
        <v>47.920892351343873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1053</v>
      </c>
      <c r="B13" s="66">
        <v>1053</v>
      </c>
      <c r="D13">
        <f t="shared" si="0"/>
        <v>5.4506208945643902E-3</v>
      </c>
      <c r="E13">
        <f t="shared" si="0"/>
        <v>5.4506208945643902E-3</v>
      </c>
      <c r="G13">
        <f t="shared" ca="1" si="1"/>
        <v>11</v>
      </c>
      <c r="H13">
        <f t="shared" ca="1" si="2"/>
        <v>5.9956829840208295E-2</v>
      </c>
      <c r="I13">
        <f t="shared" ca="1" si="3"/>
        <v>62.245788569019332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657</v>
      </c>
      <c r="B15" s="66">
        <v>657</v>
      </c>
      <c r="D15">
        <f t="shared" si="0"/>
        <v>3.4008147461812009E-3</v>
      </c>
      <c r="E15">
        <f t="shared" si="0"/>
        <v>3.4008147461812009E-3</v>
      </c>
      <c r="G15">
        <f t="shared" ca="1" si="1"/>
        <v>13</v>
      </c>
      <c r="H15">
        <f t="shared" ca="1" si="2"/>
        <v>4.4210591700355614E-2</v>
      </c>
      <c r="I15">
        <f t="shared" ca="1" si="3"/>
        <v>37.397018620533359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1718</v>
      </c>
      <c r="B18" s="66">
        <v>1718</v>
      </c>
      <c r="D18">
        <f t="shared" si="0"/>
        <v>8.8928458659654538E-3</v>
      </c>
      <c r="E18">
        <f t="shared" si="0"/>
        <v>8.8928458659654538E-3</v>
      </c>
      <c r="G18">
        <f t="shared" ca="1" si="1"/>
        <v>16</v>
      </c>
      <c r="H18">
        <f t="shared" ca="1" si="2"/>
        <v>0.14228553385544726</v>
      </c>
      <c r="I18">
        <f t="shared" ca="1" si="3"/>
        <v>92.274864812055569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3710</v>
      </c>
      <c r="B21" s="66">
        <v>3710</v>
      </c>
      <c r="D21">
        <f t="shared" si="0"/>
        <v>1.9203991945711194E-2</v>
      </c>
      <c r="E21">
        <f t="shared" si="0"/>
        <v>1.9203991945711194E-2</v>
      </c>
      <c r="G21">
        <f t="shared" ca="1" si="1"/>
        <v>19</v>
      </c>
      <c r="H21">
        <f t="shared" ca="1" si="2"/>
        <v>0.36487584696851266</v>
      </c>
      <c r="I21">
        <f t="shared" ca="1" si="3"/>
        <v>187.70208973119384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4680</v>
      </c>
      <c r="B23" s="66">
        <v>4680</v>
      </c>
      <c r="D23">
        <f t="shared" si="0"/>
        <v>2.4224981753619514E-2</v>
      </c>
      <c r="E23">
        <f t="shared" si="0"/>
        <v>2.4224981753619514E-2</v>
      </c>
      <c r="G23">
        <f t="shared" ca="1" si="1"/>
        <v>21</v>
      </c>
      <c r="H23">
        <f t="shared" ca="1" si="2"/>
        <v>0.50872461682600978</v>
      </c>
      <c r="I23">
        <f t="shared" ca="1" si="3"/>
        <v>227.29481016028174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8132</v>
      </c>
      <c r="B26" s="66">
        <v>8132</v>
      </c>
      <c r="D26">
        <f t="shared" si="0"/>
        <v>4.2093493935990142E-2</v>
      </c>
      <c r="E26">
        <f t="shared" si="0"/>
        <v>4.2093493935990142E-2</v>
      </c>
      <c r="G26">
        <f t="shared" ca="1" si="1"/>
        <v>24</v>
      </c>
      <c r="H26">
        <f t="shared" ca="1" si="2"/>
        <v>1.0102438544637633</v>
      </c>
      <c r="I26">
        <f t="shared" ca="1" si="3"/>
        <v>370.8637569969967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12956</v>
      </c>
      <c r="B28" s="66">
        <v>12956</v>
      </c>
      <c r="D28">
        <f t="shared" si="0"/>
        <v>6.7063859743567183E-2</v>
      </c>
      <c r="E28">
        <f t="shared" si="0"/>
        <v>6.7063859743567183E-2</v>
      </c>
      <c r="G28">
        <f t="shared" ca="1" si="1"/>
        <v>26</v>
      </c>
      <c r="H28">
        <f t="shared" ca="1" si="2"/>
        <v>1.7436603533327468</v>
      </c>
      <c r="I28">
        <f t="shared" ca="1" si="3"/>
        <v>565.95327789220983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17603</v>
      </c>
      <c r="B31" s="66">
        <v>17603</v>
      </c>
      <c r="D31">
        <f t="shared" si="0"/>
        <v>9.1118024318154758E-2</v>
      </c>
      <c r="E31">
        <f t="shared" si="0"/>
        <v>9.1118024318154758E-2</v>
      </c>
      <c r="G31">
        <f t="shared" ca="1" si="1"/>
        <v>29</v>
      </c>
      <c r="H31">
        <f t="shared" ca="1" si="2"/>
        <v>2.6424227052264881</v>
      </c>
      <c r="I31">
        <f t="shared" ca="1" si="3"/>
        <v>719.54405065136325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17495</v>
      </c>
      <c r="B33" s="66">
        <v>17495</v>
      </c>
      <c r="D33">
        <f t="shared" si="0"/>
        <v>9.0558986277686618E-2</v>
      </c>
      <c r="E33">
        <f t="shared" si="0"/>
        <v>9.0558986277686618E-2</v>
      </c>
      <c r="G33">
        <f t="shared" ca="1" si="1"/>
        <v>31</v>
      </c>
      <c r="H33">
        <f t="shared" ca="1" si="2"/>
        <v>2.807328574608285</v>
      </c>
      <c r="I33">
        <f t="shared" ca="1" si="3"/>
        <v>683.30186912103102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26017</v>
      </c>
      <c r="B36" s="66">
        <v>26017</v>
      </c>
      <c r="D36">
        <f t="shared" si="0"/>
        <v>0.13467122869314505</v>
      </c>
      <c r="E36">
        <f t="shared" si="0"/>
        <v>0.13467122869314505</v>
      </c>
      <c r="G36">
        <f t="shared" ca="1" si="1"/>
        <v>34</v>
      </c>
      <c r="H36">
        <f t="shared" ca="1" si="2"/>
        <v>4.5788217755669312</v>
      </c>
      <c r="I36">
        <f t="shared" ca="1" si="3"/>
        <v>947.16889228784203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29907</v>
      </c>
      <c r="B39" s="66">
        <v>29907</v>
      </c>
      <c r="D39">
        <f t="shared" si="0"/>
        <v>0.15480695070630315</v>
      </c>
      <c r="E39">
        <f t="shared" si="0"/>
        <v>0.15480695070630315</v>
      </c>
      <c r="G39">
        <f t="shared" ca="1" si="1"/>
        <v>37</v>
      </c>
      <c r="H39">
        <f t="shared" ca="1" si="2"/>
        <v>5.7278571761332167</v>
      </c>
      <c r="I39">
        <f t="shared" ca="1" si="3"/>
        <v>1012.284084838852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34117</v>
      </c>
      <c r="B41" s="66">
        <v>34117</v>
      </c>
      <c r="D41">
        <f t="shared" si="0"/>
        <v>0.17659908172825575</v>
      </c>
      <c r="E41">
        <f t="shared" si="0"/>
        <v>0.17659908172825575</v>
      </c>
      <c r="G41">
        <f t="shared" ca="1" si="1"/>
        <v>39</v>
      </c>
      <c r="H41">
        <f t="shared" ca="1" si="2"/>
        <v>6.8873641874019746</v>
      </c>
      <c r="I41">
        <f t="shared" ca="1" si="3"/>
        <v>1098.367295779389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46970</v>
      </c>
      <c r="B44" s="66">
        <v>46970</v>
      </c>
      <c r="D44">
        <f t="shared" si="0"/>
        <v>0.2431297848221172</v>
      </c>
      <c r="E44">
        <f t="shared" si="0"/>
        <v>0.2431297848221172</v>
      </c>
      <c r="G44">
        <f t="shared" ca="1" si="1"/>
        <v>42</v>
      </c>
      <c r="H44">
        <f t="shared" ca="1" si="2"/>
        <v>10.211450962528922</v>
      </c>
      <c r="I44">
        <f t="shared" ca="1" si="3"/>
        <v>1399.3013485084405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45024</v>
      </c>
      <c r="B46" s="66">
        <v>45024</v>
      </c>
      <c r="D46">
        <f t="shared" si="0"/>
        <v>0.23305674753738567</v>
      </c>
      <c r="E46">
        <f t="shared" si="0"/>
        <v>0.23305674753738567</v>
      </c>
      <c r="G46">
        <f t="shared" ca="1" si="1"/>
        <v>44</v>
      </c>
      <c r="H46">
        <f t="shared" ca="1" si="2"/>
        <v>10.254496891644969</v>
      </c>
      <c r="I46">
        <f t="shared" ca="1" si="3"/>
        <v>1271.5369408727645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50745</v>
      </c>
      <c r="B49" s="66">
        <v>50745</v>
      </c>
      <c r="D49">
        <f t="shared" si="0"/>
        <v>0.26267023484773977</v>
      </c>
      <c r="E49">
        <f t="shared" si="0"/>
        <v>0.26267023484773977</v>
      </c>
      <c r="G49">
        <f t="shared" ca="1" si="1"/>
        <v>47</v>
      </c>
      <c r="H49">
        <f t="shared" ca="1" si="2"/>
        <v>12.34550103784377</v>
      </c>
      <c r="I49">
        <f t="shared" ca="1" si="3"/>
        <v>1319.0580656027919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54359</v>
      </c>
      <c r="B51" s="66">
        <v>54359</v>
      </c>
      <c r="D51">
        <f t="shared" si="0"/>
        <v>0.28137730409081263</v>
      </c>
      <c r="E51">
        <f t="shared" si="0"/>
        <v>0.28137730409081263</v>
      </c>
      <c r="G51">
        <f t="shared" ca="1" si="1"/>
        <v>49</v>
      </c>
      <c r="H51">
        <f t="shared" ca="1" si="2"/>
        <v>13.787487900449818</v>
      </c>
      <c r="I51">
        <f t="shared" ca="1" si="3"/>
        <v>1334.3671156547653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66323</v>
      </c>
      <c r="B54" s="66">
        <v>66323</v>
      </c>
      <c r="D54">
        <f t="shared" si="0"/>
        <v>0.34330629590711687</v>
      </c>
      <c r="E54">
        <f t="shared" si="0"/>
        <v>0.34330629590711687</v>
      </c>
      <c r="G54">
        <f t="shared" ca="1" si="1"/>
        <v>52</v>
      </c>
      <c r="H54">
        <f t="shared" ca="1" si="2"/>
        <v>17.851927387170075</v>
      </c>
      <c r="I54">
        <f t="shared" ca="1" si="3"/>
        <v>1489.291906694026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67827</v>
      </c>
      <c r="B57" s="66">
        <v>67827</v>
      </c>
      <c r="D57">
        <f t="shared" si="0"/>
        <v>0.35109141824845103</v>
      </c>
      <c r="E57">
        <f t="shared" si="0"/>
        <v>0.35109141824845103</v>
      </c>
      <c r="G57">
        <f t="shared" ca="1" si="1"/>
        <v>55</v>
      </c>
      <c r="H57">
        <f t="shared" ca="1" si="2"/>
        <v>19.310028003664808</v>
      </c>
      <c r="I57">
        <f t="shared" ca="1" si="3"/>
        <v>1387.478244637045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72948</v>
      </c>
      <c r="B59" s="66">
        <v>72948</v>
      </c>
      <c r="D59">
        <f t="shared" si="0"/>
        <v>0.37759913866731543</v>
      </c>
      <c r="E59">
        <f t="shared" si="0"/>
        <v>0.37759913866731543</v>
      </c>
      <c r="G59">
        <f t="shared" ca="1" si="1"/>
        <v>57</v>
      </c>
      <c r="H59">
        <f t="shared" ca="1" si="2"/>
        <v>21.523150904036978</v>
      </c>
      <c r="I59">
        <f t="shared" ca="1" si="3"/>
        <v>1398.7947250662176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81092</v>
      </c>
      <c r="B62" s="66">
        <v>81092</v>
      </c>
      <c r="D62">
        <f t="shared" si="0"/>
        <v>0.41975474794113538</v>
      </c>
      <c r="E62">
        <f t="shared" si="0"/>
        <v>0.41975474794113538</v>
      </c>
      <c r="G62">
        <f t="shared" ca="1" si="1"/>
        <v>60</v>
      </c>
      <c r="H62">
        <f t="shared" ca="1" si="2"/>
        <v>25.185284876468124</v>
      </c>
      <c r="I62">
        <f t="shared" ca="1" si="3"/>
        <v>1405.4475237346414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88441</v>
      </c>
      <c r="B64" s="66">
        <v>88441</v>
      </c>
      <c r="D64">
        <f t="shared" si="0"/>
        <v>0.45779521608373147</v>
      </c>
      <c r="E64">
        <f t="shared" si="0"/>
        <v>0.45779521608373147</v>
      </c>
      <c r="G64">
        <f t="shared" ca="1" si="1"/>
        <v>62</v>
      </c>
      <c r="H64">
        <f t="shared" ca="1" si="2"/>
        <v>28.383303397191352</v>
      </c>
      <c r="I64">
        <f t="shared" ca="1" si="3"/>
        <v>1428.6883290400242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98990</v>
      </c>
      <c r="B67" s="66">
        <v>98990</v>
      </c>
      <c r="D67">
        <f t="shared" ref="D67:E130" si="4">IFERROR( A67/MAX(A$2:A$257), 0 )</f>
        <v>0.51239977431427253</v>
      </c>
      <c r="E67">
        <f t="shared" si="4"/>
        <v>0.51239977431427253</v>
      </c>
      <c r="G67">
        <f t="shared" ref="G67:G130" ca="1" si="5">CELL("row",D67)-2</f>
        <v>65</v>
      </c>
      <c r="H67">
        <f t="shared" ref="H67:H130" ca="1" si="6">D67*G67</f>
        <v>33.305985330427717</v>
      </c>
      <c r="I67">
        <f t="shared" ref="I67:I130" ca="1" si="7">D67*((G67-$L$1)^2)</f>
        <v>1431.9613150701005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104434</v>
      </c>
      <c r="B69" s="66">
        <v>104434</v>
      </c>
      <c r="D69">
        <f t="shared" si="4"/>
        <v>0.54057943257638896</v>
      </c>
      <c r="E69">
        <f t="shared" si="4"/>
        <v>0.54057943257638896</v>
      </c>
      <c r="G69">
        <f t="shared" ca="1" si="5"/>
        <v>67</v>
      </c>
      <c r="H69">
        <f t="shared" ca="1" si="6"/>
        <v>36.21882198261806</v>
      </c>
      <c r="I69">
        <f t="shared" ca="1" si="7"/>
        <v>1398.5659266485236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117521</v>
      </c>
      <c r="B72" s="66">
        <v>117521</v>
      </c>
      <c r="D72">
        <f t="shared" si="4"/>
        <v>0.6083213847579314</v>
      </c>
      <c r="E72">
        <f t="shared" si="4"/>
        <v>0.6083213847579314</v>
      </c>
      <c r="G72">
        <f t="shared" ca="1" si="5"/>
        <v>70</v>
      </c>
      <c r="H72">
        <f t="shared" ca="1" si="6"/>
        <v>42.582496933055197</v>
      </c>
      <c r="I72">
        <f t="shared" ca="1" si="7"/>
        <v>1393.649676162393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126747</v>
      </c>
      <c r="B75" s="66">
        <v>126747</v>
      </c>
      <c r="D75">
        <f t="shared" si="4"/>
        <v>0.6560777269927377</v>
      </c>
      <c r="E75">
        <f t="shared" si="4"/>
        <v>0.6560777269927377</v>
      </c>
      <c r="G75">
        <f t="shared" ca="1" si="5"/>
        <v>73</v>
      </c>
      <c r="H75">
        <f t="shared" ca="1" si="6"/>
        <v>47.893674070469849</v>
      </c>
      <c r="I75">
        <f t="shared" ca="1" si="7"/>
        <v>1320.5474281811191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130854</v>
      </c>
      <c r="B77" s="66">
        <v>130854</v>
      </c>
      <c r="D77">
        <f t="shared" si="4"/>
        <v>0.67733670136498458</v>
      </c>
      <c r="E77">
        <f t="shared" si="4"/>
        <v>0.67733670136498458</v>
      </c>
      <c r="G77">
        <f t="shared" ca="1" si="5"/>
        <v>75</v>
      </c>
      <c r="H77">
        <f t="shared" ca="1" si="6"/>
        <v>50.800252602373845</v>
      </c>
      <c r="I77">
        <f t="shared" ca="1" si="7"/>
        <v>1244.4941334890748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138973</v>
      </c>
      <c r="B80" s="66">
        <v>138973</v>
      </c>
      <c r="D80">
        <f t="shared" si="4"/>
        <v>0.71936290368499245</v>
      </c>
      <c r="E80">
        <f t="shared" si="4"/>
        <v>0.71936290368499245</v>
      </c>
      <c r="G80">
        <f t="shared" ca="1" si="5"/>
        <v>78</v>
      </c>
      <c r="H80">
        <f t="shared" ca="1" si="6"/>
        <v>56.110306487429412</v>
      </c>
      <c r="I80">
        <f t="shared" ca="1" si="7"/>
        <v>1143.1753571188942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146494</v>
      </c>
      <c r="B82" s="66">
        <v>146494</v>
      </c>
      <c r="D82">
        <f t="shared" si="4"/>
        <v>0.75829369166981553</v>
      </c>
      <c r="E82">
        <f t="shared" si="4"/>
        <v>0.75829369166981553</v>
      </c>
      <c r="G82">
        <f t="shared" ca="1" si="5"/>
        <v>80</v>
      </c>
      <c r="H82">
        <f t="shared" ca="1" si="6"/>
        <v>60.663495333585246</v>
      </c>
      <c r="I82">
        <f t="shared" ca="1" si="7"/>
        <v>1087.1604768068298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152478</v>
      </c>
      <c r="B85" s="66">
        <v>152478</v>
      </c>
      <c r="D85">
        <f t="shared" si="4"/>
        <v>0.78926854013427261</v>
      </c>
      <c r="E85">
        <f t="shared" si="4"/>
        <v>0.78926854013427261</v>
      </c>
      <c r="G85">
        <f t="shared" ca="1" si="5"/>
        <v>83</v>
      </c>
      <c r="H85">
        <f t="shared" ca="1" si="6"/>
        <v>65.50928883114463</v>
      </c>
      <c r="I85">
        <f t="shared" ca="1" si="7"/>
        <v>959.36247124726128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143457</v>
      </c>
      <c r="B88" s="66">
        <v>143457</v>
      </c>
      <c r="D88">
        <f t="shared" si="4"/>
        <v>0.7425733349207253</v>
      </c>
      <c r="E88">
        <f t="shared" si="4"/>
        <v>0.7425733349207253</v>
      </c>
      <c r="G88">
        <f t="shared" ca="1" si="5"/>
        <v>86</v>
      </c>
      <c r="H88">
        <f t="shared" ca="1" si="6"/>
        <v>63.861306803182373</v>
      </c>
      <c r="I88">
        <f t="shared" ca="1" si="7"/>
        <v>753.95213344197998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140537</v>
      </c>
      <c r="B90" s="66">
        <v>140537</v>
      </c>
      <c r="D90">
        <f t="shared" si="4"/>
        <v>0.72745860271547547</v>
      </c>
      <c r="E90">
        <f t="shared" si="4"/>
        <v>0.72745860271547547</v>
      </c>
      <c r="G90">
        <f t="shared" ca="1" si="5"/>
        <v>88</v>
      </c>
      <c r="H90">
        <f t="shared" ca="1" si="6"/>
        <v>64.016357038961843</v>
      </c>
      <c r="I90">
        <f t="shared" ca="1" si="7"/>
        <v>648.79625221955553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143986</v>
      </c>
      <c r="B93" s="66">
        <v>143986</v>
      </c>
      <c r="D93">
        <f t="shared" si="4"/>
        <v>0.74531158606338865</v>
      </c>
      <c r="E93">
        <f t="shared" si="4"/>
        <v>0.74531158606338865</v>
      </c>
      <c r="G93">
        <f t="shared" ca="1" si="5"/>
        <v>91</v>
      </c>
      <c r="H93">
        <f t="shared" ca="1" si="6"/>
        <v>67.823354331768371</v>
      </c>
      <c r="I93">
        <f t="shared" ca="1" si="7"/>
        <v>537.87800069881621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146808</v>
      </c>
      <c r="B95" s="66">
        <v>146808</v>
      </c>
      <c r="D95">
        <f t="shared" si="4"/>
        <v>0.75991904300969515</v>
      </c>
      <c r="E95">
        <f t="shared" si="4"/>
        <v>0.75991904300969515</v>
      </c>
      <c r="G95">
        <f t="shared" ca="1" si="5"/>
        <v>93</v>
      </c>
      <c r="H95">
        <f t="shared" ca="1" si="6"/>
        <v>70.672470999901648</v>
      </c>
      <c r="I95">
        <f t="shared" ca="1" si="7"/>
        <v>469.80132787547296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157159</v>
      </c>
      <c r="B98" s="66">
        <v>157159</v>
      </c>
      <c r="D98">
        <f t="shared" si="4"/>
        <v>0.8134986981660447</v>
      </c>
      <c r="E98">
        <f t="shared" si="4"/>
        <v>0.8134986981660447</v>
      </c>
      <c r="G98">
        <f t="shared" ca="1" si="5"/>
        <v>96</v>
      </c>
      <c r="H98">
        <f t="shared" ca="1" si="6"/>
        <v>78.095875023940295</v>
      </c>
      <c r="I98">
        <f t="shared" ca="1" si="7"/>
        <v>388.88544814698588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150884</v>
      </c>
      <c r="B100" s="66">
        <v>150884</v>
      </c>
      <c r="D100">
        <f t="shared" si="4"/>
        <v>0.78101755275921503</v>
      </c>
      <c r="E100">
        <f t="shared" si="4"/>
        <v>0.78101755275921503</v>
      </c>
      <c r="G100">
        <f t="shared" ca="1" si="5"/>
        <v>98</v>
      </c>
      <c r="H100">
        <f t="shared" ca="1" si="6"/>
        <v>76.539720170403072</v>
      </c>
      <c r="I100">
        <f t="shared" ca="1" si="7"/>
        <v>308.17709952320348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167719</v>
      </c>
      <c r="B103" s="66">
        <v>167719</v>
      </c>
      <c r="D103">
        <f t="shared" si="4"/>
        <v>0.868160195456263</v>
      </c>
      <c r="E103">
        <f t="shared" si="4"/>
        <v>0.868160195456263</v>
      </c>
      <c r="G103">
        <f t="shared" ca="1" si="5"/>
        <v>101</v>
      </c>
      <c r="H103">
        <f t="shared" ca="1" si="6"/>
        <v>87.684179741082559</v>
      </c>
      <c r="I103">
        <f t="shared" ca="1" si="7"/>
        <v>246.90410350310339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166810</v>
      </c>
      <c r="B106" s="66">
        <v>166810</v>
      </c>
      <c r="D106">
        <f t="shared" si="4"/>
        <v>0.86345495861565613</v>
      </c>
      <c r="E106">
        <f t="shared" si="4"/>
        <v>0.86345495861565613</v>
      </c>
      <c r="G106">
        <f t="shared" ca="1" si="5"/>
        <v>104</v>
      </c>
      <c r="H106">
        <f t="shared" ca="1" si="6"/>
        <v>89.799315696028231</v>
      </c>
      <c r="I106">
        <f t="shared" ca="1" si="7"/>
        <v>165.96847644809972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159788</v>
      </c>
      <c r="B108" s="66">
        <v>159788</v>
      </c>
      <c r="D108">
        <f t="shared" si="4"/>
        <v>0.82710713342892195</v>
      </c>
      <c r="E108">
        <f t="shared" si="4"/>
        <v>0.82710713342892195</v>
      </c>
      <c r="G108">
        <f t="shared" ca="1" si="5"/>
        <v>106</v>
      </c>
      <c r="H108">
        <f t="shared" ca="1" si="6"/>
        <v>87.673356143465725</v>
      </c>
      <c r="I108">
        <f t="shared" ca="1" si="7"/>
        <v>116.42181063161382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156460</v>
      </c>
      <c r="B111" s="66">
        <v>156460</v>
      </c>
      <c r="D111">
        <f t="shared" si="4"/>
        <v>0.80988047973745914</v>
      </c>
      <c r="E111">
        <f t="shared" si="4"/>
        <v>0.80988047973745914</v>
      </c>
      <c r="G111">
        <f t="shared" ca="1" si="5"/>
        <v>109</v>
      </c>
      <c r="H111">
        <f t="shared" ca="1" si="6"/>
        <v>88.276972291383046</v>
      </c>
      <c r="I111">
        <f t="shared" ca="1" si="7"/>
        <v>63.634732281635692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154216</v>
      </c>
      <c r="B113" s="66">
        <v>154216</v>
      </c>
      <c r="D113">
        <f t="shared" si="4"/>
        <v>0.79826491156328772</v>
      </c>
      <c r="E113">
        <f t="shared" si="4"/>
        <v>0.79826491156328772</v>
      </c>
      <c r="G113">
        <f t="shared" ca="1" si="5"/>
        <v>111</v>
      </c>
      <c r="H113">
        <f t="shared" ca="1" si="6"/>
        <v>88.607405183524932</v>
      </c>
      <c r="I113">
        <f t="shared" ca="1" si="7"/>
        <v>37.611391758620428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159655</v>
      </c>
      <c r="B116" s="66">
        <v>159655</v>
      </c>
      <c r="D116">
        <f t="shared" si="4"/>
        <v>0.82641868843464172</v>
      </c>
      <c r="E116">
        <f t="shared" si="4"/>
        <v>0.82641868843464172</v>
      </c>
      <c r="G116">
        <f t="shared" ca="1" si="5"/>
        <v>114</v>
      </c>
      <c r="H116">
        <f t="shared" ca="1" si="6"/>
        <v>94.211730481549154</v>
      </c>
      <c r="I116">
        <f t="shared" ca="1" si="7"/>
        <v>12.339740045226334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161829</v>
      </c>
      <c r="B118" s="66">
        <v>161829</v>
      </c>
      <c r="D118">
        <f t="shared" si="4"/>
        <v>0.83767191713813938</v>
      </c>
      <c r="E118">
        <f t="shared" si="4"/>
        <v>0.83767191713813938</v>
      </c>
      <c r="G118">
        <f t="shared" ca="1" si="5"/>
        <v>116</v>
      </c>
      <c r="H118">
        <f t="shared" ca="1" si="6"/>
        <v>97.169942388024168</v>
      </c>
      <c r="I118">
        <f t="shared" ca="1" si="7"/>
        <v>2.9109273786937417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163980</v>
      </c>
      <c r="B121" s="66">
        <v>163980</v>
      </c>
      <c r="D121">
        <f t="shared" si="4"/>
        <v>0.84880609144412988</v>
      </c>
      <c r="E121">
        <f t="shared" si="4"/>
        <v>0.84880609144412988</v>
      </c>
      <c r="G121">
        <f t="shared" ca="1" si="5"/>
        <v>119</v>
      </c>
      <c r="H121">
        <f t="shared" ca="1" si="6"/>
        <v>101.00792488185145</v>
      </c>
      <c r="I121">
        <f t="shared" ca="1" si="7"/>
        <v>1.0951093882061775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168571</v>
      </c>
      <c r="B124" s="66">
        <v>168571</v>
      </c>
      <c r="D124">
        <f t="shared" si="4"/>
        <v>0.87257038444217838</v>
      </c>
      <c r="E124">
        <f t="shared" si="4"/>
        <v>0.87257038444217838</v>
      </c>
      <c r="G124">
        <f t="shared" ca="1" si="5"/>
        <v>122</v>
      </c>
      <c r="H124">
        <f t="shared" ca="1" si="6"/>
        <v>106.45358690194577</v>
      </c>
      <c r="I124">
        <f t="shared" ca="1" si="7"/>
        <v>14.925605664940248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161694</v>
      </c>
      <c r="B126" s="66">
        <v>161694</v>
      </c>
      <c r="D126">
        <f t="shared" si="4"/>
        <v>0.83697311958755416</v>
      </c>
      <c r="E126">
        <f t="shared" si="4"/>
        <v>0.83697311958755416</v>
      </c>
      <c r="G126">
        <f t="shared" ca="1" si="5"/>
        <v>124</v>
      </c>
      <c r="H126">
        <f t="shared" ca="1" si="6"/>
        <v>103.78466682885671</v>
      </c>
      <c r="I126">
        <f t="shared" ca="1" si="7"/>
        <v>31.51100709898132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164803</v>
      </c>
      <c r="B129" s="66">
        <v>164803</v>
      </c>
      <c r="D129">
        <f t="shared" si="4"/>
        <v>0.85306616836362315</v>
      </c>
      <c r="E129">
        <f t="shared" si="4"/>
        <v>0.85306616836362315</v>
      </c>
      <c r="G129">
        <f t="shared" ca="1" si="5"/>
        <v>127</v>
      </c>
      <c r="H129">
        <f t="shared" ca="1" si="6"/>
        <v>108.33940338218014</v>
      </c>
      <c r="I129">
        <f t="shared" ca="1" si="7"/>
        <v>71.200249561152575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161565</v>
      </c>
      <c r="B131" s="66">
        <v>161565</v>
      </c>
      <c r="D131">
        <f t="shared" ref="D131:E194" si="8">IFERROR( A131/MAX(A$2:A$257), 0 )</f>
        <v>0.83630537970588392</v>
      </c>
      <c r="E131">
        <f t="shared" si="8"/>
        <v>0.83630537970588392</v>
      </c>
      <c r="G131">
        <f t="shared" ref="G131:G194" ca="1" si="9">CELL("row",D131)-2</f>
        <v>129</v>
      </c>
      <c r="H131">
        <f t="shared" ref="H131:H194" ca="1" si="10">D131*G131</f>
        <v>107.88339398205903</v>
      </c>
      <c r="I131">
        <f t="shared" ref="I131:I194" ca="1" si="11">D131*((G131-$L$1)^2)</f>
        <v>103.70802274713233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159745</v>
      </c>
      <c r="B134" s="66">
        <v>159745</v>
      </c>
      <c r="D134">
        <f t="shared" si="8"/>
        <v>0.8268845534683652</v>
      </c>
      <c r="E134">
        <f t="shared" si="8"/>
        <v>0.8268845534683652</v>
      </c>
      <c r="G134">
        <f t="shared" ca="1" si="9"/>
        <v>132</v>
      </c>
      <c r="H134">
        <f t="shared" ca="1" si="10"/>
        <v>109.1487610578242</v>
      </c>
      <c r="I134">
        <f t="shared" ca="1" si="11"/>
        <v>165.23015179918647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158894</v>
      </c>
      <c r="B136" s="66">
        <v>158894</v>
      </c>
      <c r="D136">
        <f t="shared" si="8"/>
        <v>0.82247954076060226</v>
      </c>
      <c r="E136">
        <f t="shared" si="8"/>
        <v>0.82247954076060226</v>
      </c>
      <c r="G136">
        <f t="shared" ca="1" si="9"/>
        <v>134</v>
      </c>
      <c r="H136">
        <f t="shared" ca="1" si="10"/>
        <v>110.2122584619207</v>
      </c>
      <c r="I136">
        <f t="shared" ca="1" si="11"/>
        <v>214.14566923535233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163688</v>
      </c>
      <c r="B139" s="66">
        <v>163688</v>
      </c>
      <c r="D139">
        <f t="shared" si="8"/>
        <v>0.84729461822360486</v>
      </c>
      <c r="E139">
        <f t="shared" si="8"/>
        <v>0.84729461822360486</v>
      </c>
      <c r="G139">
        <f t="shared" ca="1" si="9"/>
        <v>137</v>
      </c>
      <c r="H139">
        <f t="shared" ca="1" si="10"/>
        <v>116.07936269663386</v>
      </c>
      <c r="I139">
        <f t="shared" ca="1" si="11"/>
        <v>310.2632821452242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166850</v>
      </c>
      <c r="B142" s="66">
        <v>166850</v>
      </c>
      <c r="D142">
        <f t="shared" si="8"/>
        <v>0.86366200974175544</v>
      </c>
      <c r="E142">
        <f t="shared" si="8"/>
        <v>0.86366200974175544</v>
      </c>
      <c r="G142">
        <f t="shared" ca="1" si="9"/>
        <v>140</v>
      </c>
      <c r="H142">
        <f t="shared" ca="1" si="10"/>
        <v>120.91268136384576</v>
      </c>
      <c r="I142">
        <f t="shared" ca="1" si="11"/>
        <v>423.19115758216367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176306</v>
      </c>
      <c r="B144" s="66">
        <v>176306</v>
      </c>
      <c r="D144">
        <f t="shared" si="8"/>
        <v>0.91260889595163286</v>
      </c>
      <c r="E144">
        <f t="shared" si="8"/>
        <v>0.91260889595163286</v>
      </c>
      <c r="G144">
        <f t="shared" ca="1" si="9"/>
        <v>142</v>
      </c>
      <c r="H144">
        <f t="shared" ca="1" si="10"/>
        <v>129.59046322513186</v>
      </c>
      <c r="I144">
        <f t="shared" ca="1" si="11"/>
        <v>531.63091268322057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185876</v>
      </c>
      <c r="B147" s="66">
        <v>185876</v>
      </c>
      <c r="D147">
        <f t="shared" si="8"/>
        <v>0.96214587787089323</v>
      </c>
      <c r="E147">
        <f t="shared" si="8"/>
        <v>0.96214587787089323</v>
      </c>
      <c r="G147">
        <f t="shared" ca="1" si="9"/>
        <v>145</v>
      </c>
      <c r="H147">
        <f t="shared" ca="1" si="10"/>
        <v>139.51115229127953</v>
      </c>
      <c r="I147">
        <f t="shared" ca="1" si="11"/>
        <v>708.48078892062199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193189</v>
      </c>
      <c r="B149" s="66">
        <v>193189</v>
      </c>
      <c r="D149">
        <f t="shared" si="8"/>
        <v>1</v>
      </c>
      <c r="E149">
        <f t="shared" si="8"/>
        <v>1</v>
      </c>
      <c r="G149">
        <f t="shared" ca="1" si="9"/>
        <v>147</v>
      </c>
      <c r="H149">
        <f t="shared" ca="1" si="10"/>
        <v>147</v>
      </c>
      <c r="I149">
        <f t="shared" ca="1" si="11"/>
        <v>848.89829242906751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189432</v>
      </c>
      <c r="B152" s="66">
        <v>189432</v>
      </c>
      <c r="D152">
        <f t="shared" si="8"/>
        <v>0.98055272298112206</v>
      </c>
      <c r="E152">
        <f t="shared" si="8"/>
        <v>0.98055272298112206</v>
      </c>
      <c r="G152">
        <f t="shared" ca="1" si="9"/>
        <v>150</v>
      </c>
      <c r="H152">
        <f t="shared" ca="1" si="10"/>
        <v>147.08290844716831</v>
      </c>
      <c r="I152">
        <f t="shared" ca="1" si="11"/>
        <v>1012.6299832436551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183631</v>
      </c>
      <c r="B154" s="66">
        <v>183631</v>
      </c>
      <c r="D154">
        <f t="shared" si="8"/>
        <v>0.95052513341856937</v>
      </c>
      <c r="E154">
        <f t="shared" si="8"/>
        <v>0.95052513341856937</v>
      </c>
      <c r="G154">
        <f t="shared" ca="1" si="9"/>
        <v>152</v>
      </c>
      <c r="H154">
        <f t="shared" ca="1" si="10"/>
        <v>144.47982027962254</v>
      </c>
      <c r="I154">
        <f t="shared" ca="1" si="11"/>
        <v>1107.6059557193935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181230</v>
      </c>
      <c r="B157" s="66">
        <v>181230</v>
      </c>
      <c r="D157">
        <f t="shared" si="8"/>
        <v>0.93809688957445814</v>
      </c>
      <c r="E157">
        <f t="shared" si="8"/>
        <v>0.93809688957445814</v>
      </c>
      <c r="G157">
        <f t="shared" ca="1" si="9"/>
        <v>155</v>
      </c>
      <c r="H157">
        <f t="shared" ca="1" si="10"/>
        <v>145.405017884041</v>
      </c>
      <c r="I157">
        <f t="shared" ca="1" si="11"/>
        <v>1293.703191160231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179792</v>
      </c>
      <c r="B160" s="66">
        <v>179792</v>
      </c>
      <c r="D160">
        <f t="shared" si="8"/>
        <v>0.93065340159118792</v>
      </c>
      <c r="E160">
        <f t="shared" si="8"/>
        <v>0.93065340159118792</v>
      </c>
      <c r="G160">
        <f t="shared" ca="1" si="9"/>
        <v>158</v>
      </c>
      <c r="H160">
        <f t="shared" ca="1" si="10"/>
        <v>147.04323745140769</v>
      </c>
      <c r="I160">
        <f t="shared" ca="1" si="11"/>
        <v>1499.177647836259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163331</v>
      </c>
      <c r="B162" s="66">
        <v>163331</v>
      </c>
      <c r="D162">
        <f t="shared" si="8"/>
        <v>0.84544668692316849</v>
      </c>
      <c r="E162">
        <f t="shared" si="8"/>
        <v>0.84544668692316849</v>
      </c>
      <c r="G162">
        <f t="shared" ca="1" si="9"/>
        <v>160</v>
      </c>
      <c r="H162">
        <f t="shared" ca="1" si="10"/>
        <v>135.27146990770694</v>
      </c>
      <c r="I162">
        <f t="shared" ca="1" si="11"/>
        <v>1501.0319457902335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147694</v>
      </c>
      <c r="B165" s="66">
        <v>147694</v>
      </c>
      <c r="D165">
        <f t="shared" si="8"/>
        <v>0.76450522545279498</v>
      </c>
      <c r="E165">
        <f t="shared" si="8"/>
        <v>0.76450522545279498</v>
      </c>
      <c r="G165">
        <f t="shared" ca="1" si="9"/>
        <v>163</v>
      </c>
      <c r="H165">
        <f t="shared" ca="1" si="10"/>
        <v>124.61435174880557</v>
      </c>
      <c r="I165">
        <f t="shared" ca="1" si="11"/>
        <v>1557.4850500271978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134020</v>
      </c>
      <c r="B167" s="66">
        <v>134020</v>
      </c>
      <c r="D167">
        <f t="shared" si="8"/>
        <v>0.69372479799574505</v>
      </c>
      <c r="E167">
        <f t="shared" si="8"/>
        <v>0.69372479799574505</v>
      </c>
      <c r="G167">
        <f t="shared" ca="1" si="9"/>
        <v>165</v>
      </c>
      <c r="H167">
        <f t="shared" ca="1" si="10"/>
        <v>114.46459166929793</v>
      </c>
      <c r="I167">
        <f t="shared" ca="1" si="11"/>
        <v>1541.3102808255687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124591</v>
      </c>
      <c r="B170" s="66">
        <v>124591</v>
      </c>
      <c r="D170">
        <f t="shared" si="8"/>
        <v>0.64491767129598476</v>
      </c>
      <c r="E170">
        <f t="shared" si="8"/>
        <v>0.64491767129598476</v>
      </c>
      <c r="G170">
        <f t="shared" ca="1" si="9"/>
        <v>168</v>
      </c>
      <c r="H170">
        <f t="shared" ca="1" si="10"/>
        <v>108.34616877772544</v>
      </c>
      <c r="I170">
        <f t="shared" ca="1" si="11"/>
        <v>1621.067883068328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111491</v>
      </c>
      <c r="B173" s="66">
        <v>111491</v>
      </c>
      <c r="D173">
        <f t="shared" si="8"/>
        <v>0.57710842749846003</v>
      </c>
      <c r="E173">
        <f t="shared" si="8"/>
        <v>0.57710842749846003</v>
      </c>
      <c r="G173">
        <f t="shared" ca="1" si="9"/>
        <v>171</v>
      </c>
      <c r="H173">
        <f t="shared" ca="1" si="10"/>
        <v>98.68554110223667</v>
      </c>
      <c r="I173">
        <f t="shared" ca="1" si="11"/>
        <v>1629.4192079781208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98971</v>
      </c>
      <c r="B175" s="66">
        <v>98971</v>
      </c>
      <c r="D175">
        <f t="shared" si="8"/>
        <v>0.51230142502937537</v>
      </c>
      <c r="E175">
        <f t="shared" si="8"/>
        <v>0.51230142502937537</v>
      </c>
      <c r="G175">
        <f t="shared" ca="1" si="9"/>
        <v>173</v>
      </c>
      <c r="H175">
        <f t="shared" ca="1" si="10"/>
        <v>88.628146530081935</v>
      </c>
      <c r="I175">
        <f t="shared" ca="1" si="11"/>
        <v>1557.3773624982723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87557</v>
      </c>
      <c r="B178" s="66">
        <v>87557</v>
      </c>
      <c r="D178">
        <f t="shared" si="8"/>
        <v>0.45321938619693669</v>
      </c>
      <c r="E178">
        <f t="shared" si="8"/>
        <v>0.45321938619693669</v>
      </c>
      <c r="G178">
        <f t="shared" ca="1" si="9"/>
        <v>176</v>
      </c>
      <c r="H178">
        <f t="shared" ca="1" si="10"/>
        <v>79.766611970660861</v>
      </c>
      <c r="I178">
        <f t="shared" ca="1" si="11"/>
        <v>1531.7809682600302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75551</v>
      </c>
      <c r="B180" s="66">
        <v>75551</v>
      </c>
      <c r="D180">
        <f t="shared" si="8"/>
        <v>0.39107299069822815</v>
      </c>
      <c r="E180">
        <f t="shared" si="8"/>
        <v>0.39107299069822815</v>
      </c>
      <c r="G180">
        <f t="shared" ca="1" si="9"/>
        <v>178</v>
      </c>
      <c r="H180">
        <f t="shared" ca="1" si="10"/>
        <v>69.610992344284611</v>
      </c>
      <c r="I180">
        <f t="shared" ca="1" si="11"/>
        <v>1414.2456893626047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60271</v>
      </c>
      <c r="B183" s="66">
        <v>60271</v>
      </c>
      <c r="D183">
        <f t="shared" si="8"/>
        <v>0.31197946052829095</v>
      </c>
      <c r="E183">
        <f t="shared" si="8"/>
        <v>0.31197946052829095</v>
      </c>
      <c r="G183">
        <f t="shared" ca="1" si="9"/>
        <v>181</v>
      </c>
      <c r="H183">
        <f t="shared" ca="1" si="10"/>
        <v>56.468282355620666</v>
      </c>
      <c r="I183">
        <f t="shared" ca="1" si="11"/>
        <v>1243.5927832856817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52914</v>
      </c>
      <c r="B185" s="66">
        <v>52914</v>
      </c>
      <c r="D185">
        <f t="shared" si="8"/>
        <v>0.27389758216047499</v>
      </c>
      <c r="E185">
        <f t="shared" si="8"/>
        <v>0.27389758216047499</v>
      </c>
      <c r="G185">
        <f t="shared" ca="1" si="9"/>
        <v>183</v>
      </c>
      <c r="H185">
        <f t="shared" ca="1" si="10"/>
        <v>50.123257535366925</v>
      </c>
      <c r="I185">
        <f t="shared" ca="1" si="11"/>
        <v>1162.0598366624949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41499</v>
      </c>
      <c r="B188" s="66">
        <v>41499</v>
      </c>
      <c r="D188">
        <f t="shared" si="8"/>
        <v>0.21481036704988379</v>
      </c>
      <c r="E188">
        <f t="shared" si="8"/>
        <v>0.21481036704988379</v>
      </c>
      <c r="G188">
        <f t="shared" ca="1" si="9"/>
        <v>186</v>
      </c>
      <c r="H188">
        <f t="shared" ca="1" si="10"/>
        <v>39.954728271278384</v>
      </c>
      <c r="I188">
        <f t="shared" ca="1" si="11"/>
        <v>997.25612189296498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34662</v>
      </c>
      <c r="B191" s="66">
        <v>34662</v>
      </c>
      <c r="D191">
        <f t="shared" si="8"/>
        <v>0.17942015332135888</v>
      </c>
      <c r="E191">
        <f t="shared" si="8"/>
        <v>0.17942015332135888</v>
      </c>
      <c r="G191">
        <f t="shared" ca="1" si="9"/>
        <v>189</v>
      </c>
      <c r="H191">
        <f t="shared" ca="1" si="10"/>
        <v>33.910408977736829</v>
      </c>
      <c r="I191">
        <f t="shared" ca="1" si="11"/>
        <v>907.92167981134799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27216</v>
      </c>
      <c r="B193" s="66">
        <v>27216</v>
      </c>
      <c r="D193">
        <f t="shared" si="8"/>
        <v>0.14087758619797194</v>
      </c>
      <c r="E193">
        <f t="shared" si="8"/>
        <v>0.14087758619797194</v>
      </c>
      <c r="G193">
        <f t="shared" ca="1" si="9"/>
        <v>191</v>
      </c>
      <c r="H193">
        <f t="shared" ca="1" si="10"/>
        <v>26.907618963812642</v>
      </c>
      <c r="I193">
        <f t="shared" ca="1" si="11"/>
        <v>753.53362687893787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17230</v>
      </c>
      <c r="B196" s="66">
        <v>17230</v>
      </c>
      <c r="D196">
        <f t="shared" si="12"/>
        <v>8.918727256727868E-2</v>
      </c>
      <c r="E196">
        <f t="shared" si="12"/>
        <v>8.918727256727868E-2</v>
      </c>
      <c r="G196">
        <f t="shared" ca="1" si="13"/>
        <v>194</v>
      </c>
      <c r="H196">
        <f t="shared" ca="1" si="14"/>
        <v>17.302330878052064</v>
      </c>
      <c r="I196">
        <f t="shared" ca="1" si="15"/>
        <v>516.98910334864161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15224</v>
      </c>
      <c r="B198" s="66">
        <v>15224</v>
      </c>
      <c r="D198">
        <f t="shared" si="12"/>
        <v>7.8803658593398176E-2</v>
      </c>
      <c r="E198">
        <f t="shared" si="12"/>
        <v>7.8803658593398176E-2</v>
      </c>
      <c r="G198">
        <f t="shared" ca="1" si="13"/>
        <v>196</v>
      </c>
      <c r="H198">
        <f t="shared" ca="1" si="14"/>
        <v>15.445517084306042</v>
      </c>
      <c r="I198">
        <f t="shared" ca="1" si="15"/>
        <v>481.11308116630568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12333</v>
      </c>
      <c r="B201" s="66">
        <v>12333</v>
      </c>
      <c r="D201">
        <f t="shared" si="12"/>
        <v>6.3839038454570396E-2</v>
      </c>
      <c r="E201">
        <f t="shared" si="12"/>
        <v>6.3839038454570396E-2</v>
      </c>
      <c r="G201">
        <f t="shared" ca="1" si="13"/>
        <v>199</v>
      </c>
      <c r="H201">
        <f t="shared" ca="1" si="14"/>
        <v>12.703968652459508</v>
      </c>
      <c r="I201">
        <f t="shared" ca="1" si="15"/>
        <v>420.25415537274409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11596</v>
      </c>
      <c r="B203" s="66">
        <v>11596</v>
      </c>
      <c r="D203">
        <f t="shared" si="12"/>
        <v>6.0024121456190571E-2</v>
      </c>
      <c r="E203">
        <f t="shared" si="12"/>
        <v>6.0024121456190571E-2</v>
      </c>
      <c r="G203">
        <f t="shared" ca="1" si="13"/>
        <v>201</v>
      </c>
      <c r="H203">
        <f t="shared" ca="1" si="14"/>
        <v>12.064848412694305</v>
      </c>
      <c r="I203">
        <f t="shared" ca="1" si="15"/>
        <v>414.86098244403763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11218</v>
      </c>
      <c r="B206" s="66">
        <v>11218</v>
      </c>
      <c r="D206">
        <f t="shared" si="12"/>
        <v>5.8067488314552072E-2</v>
      </c>
      <c r="E206">
        <f t="shared" si="12"/>
        <v>5.8067488314552072E-2</v>
      </c>
      <c r="G206">
        <f t="shared" ca="1" si="13"/>
        <v>204</v>
      </c>
      <c r="H206">
        <f t="shared" ca="1" si="14"/>
        <v>11.845767616168622</v>
      </c>
      <c r="I206">
        <f t="shared" ca="1" si="15"/>
        <v>430.82512398945511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9635</v>
      </c>
      <c r="B209" s="66">
        <v>9635</v>
      </c>
      <c r="D209">
        <f t="shared" si="12"/>
        <v>4.9873439999171792E-2</v>
      </c>
      <c r="E209">
        <f t="shared" si="12"/>
        <v>4.9873439999171792E-2</v>
      </c>
      <c r="G209">
        <f t="shared" ca="1" si="13"/>
        <v>207</v>
      </c>
      <c r="H209">
        <f t="shared" ca="1" si="14"/>
        <v>10.32380207982856</v>
      </c>
      <c r="I209">
        <f t="shared" ca="1" si="15"/>
        <v>396.25452523981966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6051</v>
      </c>
      <c r="B211" s="66">
        <v>6051</v>
      </c>
      <c r="D211">
        <f t="shared" si="12"/>
        <v>3.1321659100673437E-2</v>
      </c>
      <c r="E211">
        <f t="shared" si="12"/>
        <v>3.1321659100673437E-2</v>
      </c>
      <c r="G211">
        <f t="shared" ca="1" si="13"/>
        <v>209</v>
      </c>
      <c r="H211">
        <f t="shared" ca="1" si="14"/>
        <v>6.5462267520407487</v>
      </c>
      <c r="I211">
        <f t="shared" ca="1" si="15"/>
        <v>260.14970831735309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3663</v>
      </c>
      <c r="B214" s="66">
        <v>3663</v>
      </c>
      <c r="D214">
        <f t="shared" si="12"/>
        <v>1.8960706872544503E-2</v>
      </c>
      <c r="E214">
        <f t="shared" si="12"/>
        <v>1.8960706872544503E-2</v>
      </c>
      <c r="G214">
        <f t="shared" ca="1" si="13"/>
        <v>212</v>
      </c>
      <c r="H214">
        <f t="shared" ca="1" si="14"/>
        <v>4.0196698569794345</v>
      </c>
      <c r="I214">
        <f t="shared" ca="1" si="15"/>
        <v>168.02144142089182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3719</v>
      </c>
      <c r="B216" s="66">
        <v>3719</v>
      </c>
      <c r="D216">
        <f t="shared" si="12"/>
        <v>1.9250578449083539E-2</v>
      </c>
      <c r="E216">
        <f t="shared" si="12"/>
        <v>1.9250578449083539E-2</v>
      </c>
      <c r="G216">
        <f t="shared" ca="1" si="13"/>
        <v>214</v>
      </c>
      <c r="H216">
        <f t="shared" ca="1" si="14"/>
        <v>4.1196237881038771</v>
      </c>
      <c r="I216">
        <f t="shared" ca="1" si="15"/>
        <v>177.91583707091368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2454</v>
      </c>
      <c r="B219" s="66">
        <v>2454</v>
      </c>
      <c r="D219">
        <f t="shared" si="12"/>
        <v>1.2702586586192796E-2</v>
      </c>
      <c r="E219">
        <f t="shared" si="12"/>
        <v>1.2702586586192796E-2</v>
      </c>
      <c r="G219">
        <f t="shared" ca="1" si="13"/>
        <v>217</v>
      </c>
      <c r="H219">
        <f t="shared" ca="1" si="14"/>
        <v>2.7564612892038367</v>
      </c>
      <c r="I219">
        <f t="shared" ca="1" si="15"/>
        <v>124.83998676373234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374</v>
      </c>
      <c r="B221" s="66">
        <v>374</v>
      </c>
      <c r="D221">
        <f t="shared" si="12"/>
        <v>1.9359280290285679E-3</v>
      </c>
      <c r="E221">
        <f t="shared" si="12"/>
        <v>1.9359280290285679E-3</v>
      </c>
      <c r="G221">
        <f t="shared" ca="1" si="13"/>
        <v>219</v>
      </c>
      <c r="H221">
        <f t="shared" ca="1" si="14"/>
        <v>0.42396823835725639</v>
      </c>
      <c r="I221">
        <f t="shared" ca="1" si="15"/>
        <v>19.80156631830301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350</v>
      </c>
      <c r="B1" s="66" t="s">
        <v>351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112.22535074911889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2.1667898593400761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0.78195494788069475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250</v>
      </c>
      <c r="B8" s="66">
        <v>250</v>
      </c>
      <c r="D8">
        <f t="shared" si="0"/>
        <v>0.26886056890896382</v>
      </c>
      <c r="E8">
        <f t="shared" si="1"/>
        <v>0.26886056890896382</v>
      </c>
      <c r="G8">
        <f t="shared" ca="1" si="2"/>
        <v>6</v>
      </c>
      <c r="H8">
        <f t="shared" ca="1" si="3"/>
        <v>1.6131634134537829</v>
      </c>
      <c r="I8">
        <f t="shared" ca="1" si="4"/>
        <v>3033.7756470864479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666</v>
      </c>
      <c r="B10" s="66">
        <v>666</v>
      </c>
      <c r="D10">
        <f t="shared" si="0"/>
        <v>0.71624455557347955</v>
      </c>
      <c r="E10">
        <f t="shared" si="1"/>
        <v>0.71624455557347955</v>
      </c>
      <c r="G10">
        <f t="shared" ca="1" si="2"/>
        <v>8</v>
      </c>
      <c r="H10">
        <f t="shared" ca="1" si="3"/>
        <v>5.7299564445878364</v>
      </c>
      <c r="I10">
        <f t="shared" ca="1" si="4"/>
        <v>7780.5099855088311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768</v>
      </c>
      <c r="B13" s="66">
        <v>768</v>
      </c>
      <c r="D13">
        <f t="shared" si="0"/>
        <v>0.82593966768833682</v>
      </c>
      <c r="E13">
        <f t="shared" si="1"/>
        <v>0.82593966768833682</v>
      </c>
      <c r="G13">
        <f t="shared" ca="1" si="2"/>
        <v>11</v>
      </c>
      <c r="H13">
        <f t="shared" ca="1" si="3"/>
        <v>9.0853363445717044</v>
      </c>
      <c r="I13">
        <f t="shared" ca="1" si="4"/>
        <v>8463.0499705637321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173</v>
      </c>
      <c r="B15" s="66">
        <v>173</v>
      </c>
      <c r="D15">
        <f t="shared" si="0"/>
        <v>0.18605151368500294</v>
      </c>
      <c r="E15">
        <f t="shared" si="1"/>
        <v>0.18605151368500294</v>
      </c>
      <c r="G15">
        <f t="shared" ca="1" si="2"/>
        <v>13</v>
      </c>
      <c r="H15">
        <f t="shared" ca="1" si="3"/>
        <v>2.4186696779050383</v>
      </c>
      <c r="I15">
        <f t="shared" ca="1" si="4"/>
        <v>1831.8018497740718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1001</v>
      </c>
      <c r="B18" s="66">
        <v>1001</v>
      </c>
      <c r="D18">
        <f t="shared" si="0"/>
        <v>1.0765177179114911</v>
      </c>
      <c r="E18">
        <f t="shared" si="1"/>
        <v>1.0765177179114911</v>
      </c>
      <c r="G18">
        <f t="shared" ca="1" si="2"/>
        <v>16</v>
      </c>
      <c r="H18">
        <f t="shared" ca="1" si="3"/>
        <v>17.224283486583857</v>
      </c>
      <c r="I18">
        <f t="shared" ca="1" si="4"/>
        <v>9967.8200192695022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2461</v>
      </c>
      <c r="B21" s="66">
        <v>2461</v>
      </c>
      <c r="D21">
        <f t="shared" si="0"/>
        <v>2.6466634403398399</v>
      </c>
      <c r="E21">
        <f t="shared" si="1"/>
        <v>2.6466634403398399</v>
      </c>
      <c r="G21">
        <f t="shared" ca="1" si="2"/>
        <v>19</v>
      </c>
      <c r="H21">
        <f t="shared" ca="1" si="3"/>
        <v>50.286605366456961</v>
      </c>
      <c r="I21">
        <f t="shared" ca="1" si="4"/>
        <v>23002.062032447222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2079</v>
      </c>
      <c r="B23" s="66">
        <v>2079</v>
      </c>
      <c r="D23">
        <f t="shared" si="0"/>
        <v>2.2358444910469433</v>
      </c>
      <c r="E23">
        <f t="shared" si="1"/>
        <v>2.2358444910469433</v>
      </c>
      <c r="G23">
        <f t="shared" ca="1" si="2"/>
        <v>21</v>
      </c>
      <c r="H23">
        <f t="shared" ca="1" si="3"/>
        <v>46.952734311985807</v>
      </c>
      <c r="I23">
        <f t="shared" ca="1" si="4"/>
        <v>18606.842333198059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3919</v>
      </c>
      <c r="B26" s="66">
        <v>3919</v>
      </c>
      <c r="D26">
        <f t="shared" si="0"/>
        <v>4.2146582782169171</v>
      </c>
      <c r="E26">
        <f t="shared" si="1"/>
        <v>4.2146582782169171</v>
      </c>
      <c r="G26">
        <f t="shared" ca="1" si="2"/>
        <v>24</v>
      </c>
      <c r="H26">
        <f t="shared" ca="1" si="3"/>
        <v>101.15179867720602</v>
      </c>
      <c r="I26">
        <f t="shared" ca="1" si="4"/>
        <v>32805.688385783731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6868</v>
      </c>
      <c r="B28" s="66">
        <v>6868</v>
      </c>
      <c r="D28">
        <f t="shared" si="0"/>
        <v>7.3861375490670538</v>
      </c>
      <c r="E28">
        <f t="shared" si="1"/>
        <v>7.3861375490670538</v>
      </c>
      <c r="G28">
        <f t="shared" ca="1" si="2"/>
        <v>26</v>
      </c>
      <c r="H28">
        <f t="shared" ca="1" si="3"/>
        <v>192.0395762757434</v>
      </c>
      <c r="I28">
        <f t="shared" ca="1" si="4"/>
        <v>54914.537523150299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11686</v>
      </c>
      <c r="B31" s="66">
        <v>11686</v>
      </c>
      <c r="D31">
        <f t="shared" si="0"/>
        <v>12.567618433080604</v>
      </c>
      <c r="E31">
        <f t="shared" si="1"/>
        <v>12.567618433080604</v>
      </c>
      <c r="G31">
        <f t="shared" ca="1" si="2"/>
        <v>29</v>
      </c>
      <c r="H31">
        <f t="shared" ca="1" si="3"/>
        <v>364.46093455933749</v>
      </c>
      <c r="I31">
        <f t="shared" ca="1" si="4"/>
        <v>87049.0938962949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12810</v>
      </c>
      <c r="B33" s="66">
        <v>12810</v>
      </c>
      <c r="D33">
        <f t="shared" si="0"/>
        <v>13.776415550895306</v>
      </c>
      <c r="E33">
        <f t="shared" si="1"/>
        <v>13.776415550895306</v>
      </c>
      <c r="G33">
        <f t="shared" ca="1" si="2"/>
        <v>31</v>
      </c>
      <c r="H33">
        <f t="shared" ca="1" si="3"/>
        <v>427.06888207775449</v>
      </c>
      <c r="I33">
        <f t="shared" ca="1" si="4"/>
        <v>90890.695178045658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18536</v>
      </c>
      <c r="B36" s="66">
        <v>18536</v>
      </c>
      <c r="D36">
        <f t="shared" si="0"/>
        <v>19.934398021186212</v>
      </c>
      <c r="E36">
        <f t="shared" si="1"/>
        <v>19.934398021186212</v>
      </c>
      <c r="G36">
        <f t="shared" ca="1" si="2"/>
        <v>34</v>
      </c>
      <c r="H36">
        <f t="shared" ca="1" si="3"/>
        <v>677.7695327203312</v>
      </c>
      <c r="I36">
        <f t="shared" ca="1" si="4"/>
        <v>121982.67800689691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22462</v>
      </c>
      <c r="B39" s="66">
        <v>22462</v>
      </c>
      <c r="D39">
        <f t="shared" si="0"/>
        <v>24.15658439533258</v>
      </c>
      <c r="E39">
        <f t="shared" si="1"/>
        <v>24.15658439533258</v>
      </c>
      <c r="G39">
        <f t="shared" ca="1" si="2"/>
        <v>37</v>
      </c>
      <c r="H39">
        <f t="shared" ca="1" si="3"/>
        <v>893.79362262730547</v>
      </c>
      <c r="I39">
        <f t="shared" ca="1" si="4"/>
        <v>136698.56962505422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24236</v>
      </c>
      <c r="B41" s="66">
        <v>24236</v>
      </c>
      <c r="D41">
        <f t="shared" si="0"/>
        <v>26.064418992310589</v>
      </c>
      <c r="E41">
        <f t="shared" si="1"/>
        <v>26.064418992310589</v>
      </c>
      <c r="G41">
        <f t="shared" ca="1" si="2"/>
        <v>39</v>
      </c>
      <c r="H41">
        <f t="shared" ca="1" si="3"/>
        <v>1016.512340700113</v>
      </c>
      <c r="I41">
        <f t="shared" ca="1" si="4"/>
        <v>139756.1633447824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33261</v>
      </c>
      <c r="B44" s="66">
        <v>33261</v>
      </c>
      <c r="D44">
        <f t="shared" si="0"/>
        <v>35.77028552992418</v>
      </c>
      <c r="E44">
        <f t="shared" si="1"/>
        <v>35.77028552992418</v>
      </c>
      <c r="G44">
        <f t="shared" ca="1" si="2"/>
        <v>42</v>
      </c>
      <c r="H44">
        <f t="shared" ca="1" si="3"/>
        <v>1502.3519922568155</v>
      </c>
      <c r="I44">
        <f t="shared" ca="1" si="4"/>
        <v>176404.73610726342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34826</v>
      </c>
      <c r="B46" s="66">
        <v>34826</v>
      </c>
      <c r="D46">
        <f t="shared" si="0"/>
        <v>37.453352691294292</v>
      </c>
      <c r="E46">
        <f t="shared" si="1"/>
        <v>37.453352691294292</v>
      </c>
      <c r="G46">
        <f t="shared" ca="1" si="2"/>
        <v>44</v>
      </c>
      <c r="H46">
        <f t="shared" ca="1" si="3"/>
        <v>1647.9475184169489</v>
      </c>
      <c r="I46">
        <f t="shared" ca="1" si="4"/>
        <v>174334.06402435681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40236</v>
      </c>
      <c r="B49" s="66">
        <v>40236</v>
      </c>
      <c r="D49">
        <f t="shared" si="0"/>
        <v>43.27149540248427</v>
      </c>
      <c r="E49">
        <f t="shared" si="1"/>
        <v>43.27149540248427</v>
      </c>
      <c r="G49">
        <f t="shared" ca="1" si="2"/>
        <v>47</v>
      </c>
      <c r="H49">
        <f t="shared" ca="1" si="3"/>
        <v>2033.7602839167607</v>
      </c>
      <c r="I49">
        <f t="shared" ca="1" si="4"/>
        <v>184091.92983769954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41757</v>
      </c>
      <c r="B51" s="66">
        <v>41757</v>
      </c>
      <c r="D51">
        <f t="shared" si="0"/>
        <v>44.907243103726408</v>
      </c>
      <c r="E51">
        <f t="shared" si="1"/>
        <v>44.907243103726408</v>
      </c>
      <c r="G51">
        <f t="shared" ca="1" si="2"/>
        <v>49</v>
      </c>
      <c r="H51">
        <f t="shared" ca="1" si="3"/>
        <v>2200.4549120825941</v>
      </c>
      <c r="I51">
        <f t="shared" ca="1" si="4"/>
        <v>179514.23339158652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49232</v>
      </c>
      <c r="B54" s="66">
        <v>49232</v>
      </c>
      <c r="D54">
        <f t="shared" si="0"/>
        <v>52.946174114104423</v>
      </c>
      <c r="E54">
        <f t="shared" si="1"/>
        <v>52.946174114104423</v>
      </c>
      <c r="G54">
        <f t="shared" ca="1" si="2"/>
        <v>52</v>
      </c>
      <c r="H54">
        <f t="shared" ca="1" si="3"/>
        <v>2753.2010539334301</v>
      </c>
      <c r="I54">
        <f t="shared" ca="1" si="4"/>
        <v>192040.69077417601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48429</v>
      </c>
      <c r="B57" s="66">
        <v>48429</v>
      </c>
      <c r="D57">
        <f t="shared" si="0"/>
        <v>52.082593966768833</v>
      </c>
      <c r="E57">
        <f t="shared" si="1"/>
        <v>52.082593966768833</v>
      </c>
      <c r="G57">
        <f t="shared" ca="1" si="2"/>
        <v>55</v>
      </c>
      <c r="H57">
        <f t="shared" ca="1" si="3"/>
        <v>2864.5426681722856</v>
      </c>
      <c r="I57">
        <f t="shared" ca="1" si="4"/>
        <v>170556.99378490189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48611</v>
      </c>
      <c r="B59" s="66">
        <v>48611</v>
      </c>
      <c r="D59">
        <f t="shared" si="0"/>
        <v>52.278324460934556</v>
      </c>
      <c r="E59">
        <f t="shared" si="1"/>
        <v>52.278324460934556</v>
      </c>
      <c r="G59">
        <f t="shared" ca="1" si="2"/>
        <v>57</v>
      </c>
      <c r="H59">
        <f t="shared" ca="1" si="3"/>
        <v>2979.8644942732699</v>
      </c>
      <c r="I59">
        <f t="shared" ca="1" si="4"/>
        <v>159440.49189618841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51821</v>
      </c>
      <c r="B62" s="66">
        <v>51821</v>
      </c>
      <c r="D62">
        <f t="shared" si="0"/>
        <v>55.730494165725652</v>
      </c>
      <c r="E62">
        <f t="shared" si="1"/>
        <v>55.730494165725652</v>
      </c>
      <c r="G62">
        <f t="shared" ca="1" si="2"/>
        <v>60</v>
      </c>
      <c r="H62">
        <f t="shared" ca="1" si="3"/>
        <v>3343.8296499435392</v>
      </c>
      <c r="I62">
        <f t="shared" ca="1" si="4"/>
        <v>152004.21287892258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52642</v>
      </c>
      <c r="B64" s="66">
        <v>52642</v>
      </c>
      <c r="D64">
        <f t="shared" si="0"/>
        <v>56.613432274022692</v>
      </c>
      <c r="E64">
        <f t="shared" si="1"/>
        <v>56.613432274022692</v>
      </c>
      <c r="G64">
        <f t="shared" ca="1" si="2"/>
        <v>62</v>
      </c>
      <c r="H64">
        <f t="shared" ca="1" si="3"/>
        <v>3510.032800989407</v>
      </c>
      <c r="I64">
        <f t="shared" ca="1" si="4"/>
        <v>142812.24362004487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57706</v>
      </c>
      <c r="B67" s="66">
        <v>57706</v>
      </c>
      <c r="D67">
        <f t="shared" ref="D67:D130" si="5">IFERROR( 100*A67/MAX(A$2:A$257), 0 )</f>
        <v>62.059471957842661</v>
      </c>
      <c r="E67">
        <f t="shared" ref="E67:E130" si="6">IFERROR( 100*B67/MAX(B$2:B$257), 0 )</f>
        <v>62.059471957842661</v>
      </c>
      <c r="G67">
        <f t="shared" ref="G67:G130" ca="1" si="7">CELL("row",D67)-2</f>
        <v>65</v>
      </c>
      <c r="H67">
        <f t="shared" ref="H67:H130" ca="1" si="8">D67*G67</f>
        <v>4033.8656772597728</v>
      </c>
      <c r="I67">
        <f t="shared" ref="I67:I130" ca="1" si="9">D67*((G67-$L$1)^2)</f>
        <v>138407.12907715296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59601</v>
      </c>
      <c r="B69" s="66">
        <v>59601</v>
      </c>
      <c r="D69">
        <f t="shared" si="5"/>
        <v>64.097435070172608</v>
      </c>
      <c r="E69">
        <f t="shared" si="6"/>
        <v>64.097435070172608</v>
      </c>
      <c r="G69">
        <f t="shared" ca="1" si="7"/>
        <v>67</v>
      </c>
      <c r="H69">
        <f t="shared" ca="1" si="8"/>
        <v>4294.5281497015649</v>
      </c>
      <c r="I69">
        <f t="shared" ca="1" si="9"/>
        <v>131100.55752545866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66076</v>
      </c>
      <c r="B72" s="66">
        <v>66076</v>
      </c>
      <c r="D72">
        <f t="shared" si="5"/>
        <v>71.060923804914765</v>
      </c>
      <c r="E72">
        <f t="shared" si="6"/>
        <v>71.060923804914765</v>
      </c>
      <c r="G72">
        <f t="shared" ca="1" si="7"/>
        <v>70</v>
      </c>
      <c r="H72">
        <f t="shared" ca="1" si="8"/>
        <v>4974.2646663440337</v>
      </c>
      <c r="I72">
        <f t="shared" ca="1" si="9"/>
        <v>126700.22339858141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72756</v>
      </c>
      <c r="B75" s="66">
        <v>72756</v>
      </c>
      <c r="D75">
        <f t="shared" si="5"/>
        <v>78.244878206162284</v>
      </c>
      <c r="E75">
        <f t="shared" si="6"/>
        <v>78.244878206162284</v>
      </c>
      <c r="G75">
        <f t="shared" ca="1" si="7"/>
        <v>73</v>
      </c>
      <c r="H75">
        <f t="shared" ca="1" si="8"/>
        <v>5711.8761090498465</v>
      </c>
      <c r="I75">
        <f t="shared" ca="1" si="9"/>
        <v>120389.77152774406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80459</v>
      </c>
      <c r="B77" s="66">
        <v>80459</v>
      </c>
      <c r="D77">
        <f t="shared" si="5"/>
        <v>86.529010055385271</v>
      </c>
      <c r="E77">
        <f t="shared" si="6"/>
        <v>86.529010055385271</v>
      </c>
      <c r="G77">
        <f t="shared" ca="1" si="7"/>
        <v>75</v>
      </c>
      <c r="H77">
        <f t="shared" ca="1" si="8"/>
        <v>6489.6757541538955</v>
      </c>
      <c r="I77">
        <f t="shared" ca="1" si="9"/>
        <v>119905.56288059079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84727</v>
      </c>
      <c r="B80" s="66">
        <v>84727</v>
      </c>
      <c r="D80">
        <f t="shared" si="5"/>
        <v>91.118997687799109</v>
      </c>
      <c r="E80">
        <f t="shared" si="6"/>
        <v>91.118997687799109</v>
      </c>
      <c r="G80">
        <f t="shared" ca="1" si="7"/>
        <v>78</v>
      </c>
      <c r="H80">
        <f t="shared" ca="1" si="8"/>
        <v>7107.2818196483304</v>
      </c>
      <c r="I80">
        <f t="shared" ca="1" si="9"/>
        <v>106734.48255790002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88114</v>
      </c>
      <c r="B82" s="66">
        <v>88114</v>
      </c>
      <c r="D82">
        <f t="shared" si="5"/>
        <v>94.761520675377753</v>
      </c>
      <c r="E82">
        <f t="shared" si="6"/>
        <v>94.761520675377753</v>
      </c>
      <c r="G82">
        <f t="shared" ca="1" si="7"/>
        <v>80</v>
      </c>
      <c r="H82">
        <f t="shared" ca="1" si="8"/>
        <v>7580.9216540302205</v>
      </c>
      <c r="I82">
        <f t="shared" ca="1" si="9"/>
        <v>98407.302541110825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89251</v>
      </c>
      <c r="B85" s="66">
        <v>89251</v>
      </c>
      <c r="D85">
        <f t="shared" si="5"/>
        <v>95.984298542775718</v>
      </c>
      <c r="E85">
        <f t="shared" si="6"/>
        <v>95.984298542775718</v>
      </c>
      <c r="G85">
        <f t="shared" ca="1" si="7"/>
        <v>83</v>
      </c>
      <c r="H85">
        <f t="shared" ca="1" si="8"/>
        <v>7966.696779050385</v>
      </c>
      <c r="I85">
        <f t="shared" ca="1" si="9"/>
        <v>81982.21718893564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83748</v>
      </c>
      <c r="B88" s="66">
        <v>83748</v>
      </c>
      <c r="D88">
        <f t="shared" si="5"/>
        <v>90.066139699951606</v>
      </c>
      <c r="E88">
        <f t="shared" si="6"/>
        <v>90.066139699951606</v>
      </c>
      <c r="G88">
        <f t="shared" ca="1" si="7"/>
        <v>86</v>
      </c>
      <c r="H88">
        <f t="shared" ca="1" si="8"/>
        <v>7745.6880141958382</v>
      </c>
      <c r="I88">
        <f t="shared" ca="1" si="9"/>
        <v>61944.700809033384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83382</v>
      </c>
      <c r="B90" s="66">
        <v>83382</v>
      </c>
      <c r="D90">
        <f t="shared" si="5"/>
        <v>89.672527827068876</v>
      </c>
      <c r="E90">
        <f t="shared" si="6"/>
        <v>89.672527827068876</v>
      </c>
      <c r="G90">
        <f t="shared" ca="1" si="7"/>
        <v>88</v>
      </c>
      <c r="H90">
        <f t="shared" ca="1" si="8"/>
        <v>7891.1824487820613</v>
      </c>
      <c r="I90">
        <f t="shared" ca="1" si="9"/>
        <v>52625.90288821522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82551</v>
      </c>
      <c r="B93" s="66">
        <v>82551</v>
      </c>
      <c r="D93">
        <f t="shared" si="5"/>
        <v>88.778835296015487</v>
      </c>
      <c r="E93">
        <f t="shared" si="6"/>
        <v>88.778835296015487</v>
      </c>
      <c r="G93">
        <f t="shared" ca="1" si="7"/>
        <v>91</v>
      </c>
      <c r="H93">
        <f t="shared" ca="1" si="8"/>
        <v>8078.8740119374097</v>
      </c>
      <c r="I93">
        <f t="shared" ca="1" si="9"/>
        <v>39996.242653270019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81443</v>
      </c>
      <c r="B95" s="66">
        <v>81443</v>
      </c>
      <c r="D95">
        <f t="shared" si="5"/>
        <v>87.587245254610963</v>
      </c>
      <c r="E95">
        <f t="shared" si="6"/>
        <v>87.587245254610963</v>
      </c>
      <c r="G95">
        <f t="shared" ca="1" si="7"/>
        <v>93</v>
      </c>
      <c r="H95">
        <f t="shared" ca="1" si="8"/>
        <v>8145.6138086788196</v>
      </c>
      <c r="I95">
        <f t="shared" ca="1" si="9"/>
        <v>32373.481827090767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88308</v>
      </c>
      <c r="B98" s="66">
        <v>88308</v>
      </c>
      <c r="D98">
        <f t="shared" si="5"/>
        <v>94.970156476851102</v>
      </c>
      <c r="E98">
        <f t="shared" si="6"/>
        <v>94.970156476851102</v>
      </c>
      <c r="G98">
        <f t="shared" ca="1" si="7"/>
        <v>96</v>
      </c>
      <c r="H98">
        <f t="shared" ca="1" si="8"/>
        <v>9117.1350217777053</v>
      </c>
      <c r="I98">
        <f t="shared" ca="1" si="9"/>
        <v>25002.033992735527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86279</v>
      </c>
      <c r="B100" s="66">
        <v>86279</v>
      </c>
      <c r="D100">
        <f t="shared" si="5"/>
        <v>92.788084099585959</v>
      </c>
      <c r="E100">
        <f t="shared" si="6"/>
        <v>92.788084099585959</v>
      </c>
      <c r="G100">
        <f t="shared" ca="1" si="7"/>
        <v>98</v>
      </c>
      <c r="H100">
        <f t="shared" ca="1" si="8"/>
        <v>9093.2322417594241</v>
      </c>
      <c r="I100">
        <f t="shared" ca="1" si="9"/>
        <v>18776.65273640622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92110</v>
      </c>
      <c r="B103" s="66">
        <v>92110</v>
      </c>
      <c r="D103">
        <f t="shared" si="5"/>
        <v>99.058988008818631</v>
      </c>
      <c r="E103">
        <f t="shared" si="6"/>
        <v>99.058988008818631</v>
      </c>
      <c r="G103">
        <f t="shared" ca="1" si="7"/>
        <v>101</v>
      </c>
      <c r="H103">
        <f t="shared" ca="1" si="8"/>
        <v>10004.957788890682</v>
      </c>
      <c r="I103">
        <f t="shared" ca="1" si="9"/>
        <v>12482.274435109888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92985</v>
      </c>
      <c r="B106" s="66">
        <v>92985</v>
      </c>
      <c r="D106">
        <f t="shared" si="5"/>
        <v>100</v>
      </c>
      <c r="E106">
        <f t="shared" si="6"/>
        <v>100</v>
      </c>
      <c r="G106">
        <f t="shared" ca="1" si="7"/>
        <v>104</v>
      </c>
      <c r="H106">
        <f t="shared" ca="1" si="8"/>
        <v>10400</v>
      </c>
      <c r="I106">
        <f t="shared" ca="1" si="9"/>
        <v>6765.6394946030659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85305</v>
      </c>
      <c r="B108" s="66">
        <v>85305</v>
      </c>
      <c r="D108">
        <f t="shared" si="5"/>
        <v>91.74060332311663</v>
      </c>
      <c r="E108">
        <f t="shared" si="6"/>
        <v>91.74060332311663</v>
      </c>
      <c r="G108">
        <f t="shared" ca="1" si="7"/>
        <v>106</v>
      </c>
      <c r="H108">
        <f t="shared" ca="1" si="8"/>
        <v>9724.503952250363</v>
      </c>
      <c r="I108">
        <f t="shared" ca="1" si="9"/>
        <v>3555.4063432347134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74743</v>
      </c>
      <c r="B111" s="66">
        <v>74743</v>
      </c>
      <c r="D111">
        <f t="shared" si="5"/>
        <v>80.381782007850731</v>
      </c>
      <c r="E111">
        <f t="shared" si="6"/>
        <v>80.381782007850731</v>
      </c>
      <c r="G111">
        <f t="shared" ca="1" si="7"/>
        <v>109</v>
      </c>
      <c r="H111">
        <f t="shared" ca="1" si="8"/>
        <v>8761.6142388557291</v>
      </c>
      <c r="I111">
        <f t="shared" ca="1" si="9"/>
        <v>836.2026316472967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72680</v>
      </c>
      <c r="B113" s="66">
        <v>72680</v>
      </c>
      <c r="D113">
        <f t="shared" si="5"/>
        <v>78.163144593213957</v>
      </c>
      <c r="E113">
        <f t="shared" si="6"/>
        <v>78.163144593213957</v>
      </c>
      <c r="G113">
        <f t="shared" ca="1" si="7"/>
        <v>111</v>
      </c>
      <c r="H113">
        <f t="shared" ca="1" si="8"/>
        <v>8676.1090498467493</v>
      </c>
      <c r="I113">
        <f t="shared" ca="1" si="9"/>
        <v>117.36074682374247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65799</v>
      </c>
      <c r="B116" s="66">
        <v>65799</v>
      </c>
      <c r="D116">
        <f t="shared" si="5"/>
        <v>70.763026294563645</v>
      </c>
      <c r="E116">
        <f t="shared" si="6"/>
        <v>70.763026294563645</v>
      </c>
      <c r="G116">
        <f t="shared" ca="1" si="7"/>
        <v>114</v>
      </c>
      <c r="H116">
        <f t="shared" ca="1" si="8"/>
        <v>8066.9849975802554</v>
      </c>
      <c r="I116">
        <f t="shared" ca="1" si="9"/>
        <v>222.85965717954139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67867</v>
      </c>
      <c r="B118" s="66">
        <v>67867</v>
      </c>
      <c r="D118">
        <f t="shared" si="5"/>
        <v>72.987040920578593</v>
      </c>
      <c r="E118">
        <f t="shared" si="6"/>
        <v>72.987040920578593</v>
      </c>
      <c r="G118">
        <f t="shared" ca="1" si="7"/>
        <v>116</v>
      </c>
      <c r="H118">
        <f t="shared" ca="1" si="8"/>
        <v>8466.4967467871174</v>
      </c>
      <c r="I118">
        <f t="shared" ca="1" si="9"/>
        <v>1039.9176779388335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67114</v>
      </c>
      <c r="B121" s="66">
        <v>67114</v>
      </c>
      <c r="D121">
        <f t="shared" si="5"/>
        <v>72.177232887024786</v>
      </c>
      <c r="E121">
        <f t="shared" si="6"/>
        <v>72.177232887024786</v>
      </c>
      <c r="G121">
        <f t="shared" ca="1" si="7"/>
        <v>119</v>
      </c>
      <c r="H121">
        <f t="shared" ca="1" si="8"/>
        <v>8589.0907135559501</v>
      </c>
      <c r="I121">
        <f t="shared" ca="1" si="9"/>
        <v>3312.6370759982246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68659</v>
      </c>
      <c r="B124" s="66">
        <v>68659</v>
      </c>
      <c r="D124">
        <f t="shared" si="5"/>
        <v>73.838791202882192</v>
      </c>
      <c r="E124">
        <f t="shared" si="6"/>
        <v>73.838791202882192</v>
      </c>
      <c r="G124">
        <f t="shared" ca="1" si="7"/>
        <v>122</v>
      </c>
      <c r="H124">
        <f t="shared" ca="1" si="8"/>
        <v>9008.3325267516266</v>
      </c>
      <c r="I124">
        <f t="shared" ca="1" si="9"/>
        <v>7054.8363344457539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67234</v>
      </c>
      <c r="B126" s="66">
        <v>67234</v>
      </c>
      <c r="D126">
        <f t="shared" si="5"/>
        <v>72.306285960101093</v>
      </c>
      <c r="E126">
        <f t="shared" si="6"/>
        <v>72.306285960101093</v>
      </c>
      <c r="G126">
        <f t="shared" ca="1" si="7"/>
        <v>124</v>
      </c>
      <c r="H126">
        <f t="shared" ca="1" si="8"/>
        <v>8965.9794590525362</v>
      </c>
      <c r="I126">
        <f t="shared" ca="1" si="9"/>
        <v>10024.714488520785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73106</v>
      </c>
      <c r="B129" s="66">
        <v>73106</v>
      </c>
      <c r="D129">
        <f t="shared" si="5"/>
        <v>78.62128300263484</v>
      </c>
      <c r="E129">
        <f t="shared" si="6"/>
        <v>78.62128300263484</v>
      </c>
      <c r="G129">
        <f t="shared" ca="1" si="7"/>
        <v>127</v>
      </c>
      <c r="H129">
        <f t="shared" ca="1" si="8"/>
        <v>9984.9029413346252</v>
      </c>
      <c r="I129">
        <f t="shared" ca="1" si="9"/>
        <v>17162.260346432853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75240</v>
      </c>
      <c r="B131" s="66">
        <v>75240</v>
      </c>
      <c r="D131">
        <f t="shared" ref="D131:D194" si="10">IFERROR( 100*A131/MAX(A$2:A$257), 0 )</f>
        <v>80.916276818841752</v>
      </c>
      <c r="E131">
        <f t="shared" ref="E131:E194" si="11">IFERROR( 100*B131/MAX(B$2:B$257), 0 )</f>
        <v>80.916276818841752</v>
      </c>
      <c r="G131">
        <f t="shared" ref="G131:G194" ca="1" si="12">CELL("row",D131)-2</f>
        <v>129</v>
      </c>
      <c r="H131">
        <f t="shared" ref="H131:H194" ca="1" si="13">D131*G131</f>
        <v>10438.199709630586</v>
      </c>
      <c r="I131">
        <f t="shared" ref="I131:I194" ca="1" si="14">D131*((G131-$L$1)^2)</f>
        <v>22768.938686405432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76561</v>
      </c>
      <c r="B134" s="66">
        <v>76561</v>
      </c>
      <c r="D134">
        <f t="shared" si="10"/>
        <v>82.336936064956717</v>
      </c>
      <c r="E134">
        <f t="shared" si="11"/>
        <v>82.336936064956717</v>
      </c>
      <c r="G134">
        <f t="shared" ca="1" si="12"/>
        <v>132</v>
      </c>
      <c r="H134">
        <f t="shared" ca="1" si="13"/>
        <v>10868.475560574287</v>
      </c>
      <c r="I134">
        <f t="shared" ca="1" si="14"/>
        <v>32196.768130428292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73420</v>
      </c>
      <c r="B136" s="66">
        <v>73420</v>
      </c>
      <c r="D136">
        <f t="shared" si="10"/>
        <v>78.958971877184496</v>
      </c>
      <c r="E136">
        <f t="shared" si="11"/>
        <v>78.958971877184496</v>
      </c>
      <c r="G136">
        <f t="shared" ca="1" si="12"/>
        <v>134</v>
      </c>
      <c r="H136">
        <f t="shared" ca="1" si="13"/>
        <v>10580.502231542723</v>
      </c>
      <c r="I136">
        <f t="shared" ca="1" si="14"/>
        <v>37437.239766541963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77459</v>
      </c>
      <c r="B139" s="66">
        <v>77459</v>
      </c>
      <c r="D139">
        <f t="shared" si="10"/>
        <v>83.302683228477719</v>
      </c>
      <c r="E139">
        <f t="shared" si="11"/>
        <v>83.302683228477719</v>
      </c>
      <c r="G139">
        <f t="shared" ca="1" si="12"/>
        <v>137</v>
      </c>
      <c r="H139">
        <f t="shared" ca="1" si="13"/>
        <v>11412.467602301447</v>
      </c>
      <c r="I139">
        <f t="shared" ca="1" si="14"/>
        <v>51129.791271182017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77064</v>
      </c>
      <c r="B142" s="66">
        <v>77064</v>
      </c>
      <c r="D142">
        <f t="shared" si="10"/>
        <v>82.877883529601547</v>
      </c>
      <c r="E142">
        <f t="shared" si="11"/>
        <v>82.877883529601547</v>
      </c>
      <c r="G142">
        <f t="shared" ca="1" si="12"/>
        <v>140</v>
      </c>
      <c r="H142">
        <f t="shared" ca="1" si="13"/>
        <v>11602.903694144217</v>
      </c>
      <c r="I142">
        <f t="shared" ca="1" si="14"/>
        <v>63934.58025569054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78570</v>
      </c>
      <c r="B144" s="66">
        <v>78570</v>
      </c>
      <c r="D144">
        <f t="shared" si="10"/>
        <v>84.497499596709147</v>
      </c>
      <c r="E144">
        <f t="shared" si="11"/>
        <v>84.497499596709147</v>
      </c>
      <c r="G144">
        <f t="shared" ca="1" si="12"/>
        <v>142</v>
      </c>
      <c r="H144">
        <f t="shared" ca="1" si="13"/>
        <v>11998.644942732699</v>
      </c>
      <c r="I144">
        <f t="shared" ca="1" si="14"/>
        <v>74909.546180223726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81542</v>
      </c>
      <c r="B147" s="66">
        <v>81542</v>
      </c>
      <c r="D147">
        <f t="shared" si="10"/>
        <v>87.693714039898907</v>
      </c>
      <c r="E147">
        <f t="shared" si="11"/>
        <v>87.693714039898907</v>
      </c>
      <c r="G147">
        <f t="shared" ca="1" si="12"/>
        <v>145</v>
      </c>
      <c r="H147">
        <f t="shared" ca="1" si="13"/>
        <v>12715.588535785342</v>
      </c>
      <c r="I147">
        <f t="shared" ca="1" si="14"/>
        <v>94198.626221807528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81205</v>
      </c>
      <c r="B149" s="66">
        <v>81205</v>
      </c>
      <c r="D149">
        <f t="shared" si="10"/>
        <v>87.331289993009619</v>
      </c>
      <c r="E149">
        <f t="shared" si="11"/>
        <v>87.331289993009619</v>
      </c>
      <c r="G149">
        <f t="shared" ca="1" si="12"/>
        <v>147</v>
      </c>
      <c r="H149">
        <f t="shared" ca="1" si="13"/>
        <v>12837.699628972414</v>
      </c>
      <c r="I149">
        <f t="shared" ca="1" si="14"/>
        <v>105607.65316935341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81369</v>
      </c>
      <c r="B152" s="66">
        <v>81369</v>
      </c>
      <c r="D152">
        <f t="shared" si="10"/>
        <v>87.507662526213906</v>
      </c>
      <c r="E152">
        <f t="shared" si="11"/>
        <v>87.507662526213906</v>
      </c>
      <c r="G152">
        <f t="shared" ca="1" si="12"/>
        <v>150</v>
      </c>
      <c r="H152">
        <f t="shared" ca="1" si="13"/>
        <v>13126.149378932087</v>
      </c>
      <c r="I152">
        <f t="shared" ca="1" si="14"/>
        <v>124866.79487089156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83800</v>
      </c>
      <c r="B154" s="66">
        <v>83800</v>
      </c>
      <c r="D154">
        <f t="shared" si="10"/>
        <v>90.122062698284665</v>
      </c>
      <c r="E154">
        <f t="shared" si="11"/>
        <v>90.122062698284665</v>
      </c>
      <c r="G154">
        <f t="shared" ca="1" si="12"/>
        <v>152</v>
      </c>
      <c r="H154">
        <f t="shared" ca="1" si="13"/>
        <v>13698.553530139268</v>
      </c>
      <c r="I154">
        <f t="shared" ca="1" si="14"/>
        <v>142575.15103507633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83455</v>
      </c>
      <c r="B157" s="66">
        <v>83455</v>
      </c>
      <c r="D157">
        <f t="shared" si="10"/>
        <v>89.751035113190298</v>
      </c>
      <c r="E157">
        <f t="shared" si="11"/>
        <v>89.751035113190298</v>
      </c>
      <c r="G157">
        <f t="shared" ca="1" si="12"/>
        <v>155</v>
      </c>
      <c r="H157">
        <f t="shared" ca="1" si="13"/>
        <v>13911.410442544497</v>
      </c>
      <c r="I157">
        <f t="shared" ca="1" si="14"/>
        <v>164214.83192978852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82949</v>
      </c>
      <c r="B160" s="66">
        <v>82949</v>
      </c>
      <c r="D160">
        <f t="shared" si="10"/>
        <v>89.206861321718563</v>
      </c>
      <c r="E160">
        <f t="shared" si="11"/>
        <v>89.206861321718563</v>
      </c>
      <c r="G160">
        <f t="shared" ca="1" si="12"/>
        <v>158</v>
      </c>
      <c r="H160">
        <f t="shared" ca="1" si="13"/>
        <v>14094.684088831533</v>
      </c>
      <c r="I160">
        <f t="shared" ca="1" si="14"/>
        <v>186916.78810690189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73651</v>
      </c>
      <c r="B162" s="66">
        <v>73651</v>
      </c>
      <c r="D162">
        <f t="shared" si="10"/>
        <v>79.20739904285638</v>
      </c>
      <c r="E162">
        <f t="shared" si="11"/>
        <v>79.20739904285638</v>
      </c>
      <c r="G162">
        <f t="shared" ca="1" si="12"/>
        <v>160</v>
      </c>
      <c r="H162">
        <f t="shared" ca="1" si="13"/>
        <v>12673.18384685702</v>
      </c>
      <c r="I162">
        <f t="shared" ca="1" si="14"/>
        <v>180784.3228967622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69523</v>
      </c>
      <c r="B165" s="66">
        <v>69523</v>
      </c>
      <c r="D165">
        <f t="shared" si="10"/>
        <v>74.767973329031562</v>
      </c>
      <c r="E165">
        <f t="shared" si="11"/>
        <v>74.767973329031562</v>
      </c>
      <c r="G165">
        <f t="shared" ca="1" si="12"/>
        <v>163</v>
      </c>
      <c r="H165">
        <f t="shared" ca="1" si="13"/>
        <v>12187.179652632145</v>
      </c>
      <c r="I165">
        <f t="shared" ca="1" si="14"/>
        <v>192756.69565024012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59791</v>
      </c>
      <c r="B167" s="66">
        <v>59791</v>
      </c>
      <c r="D167">
        <f t="shared" si="10"/>
        <v>64.301769102543417</v>
      </c>
      <c r="E167">
        <f t="shared" si="11"/>
        <v>64.301769102543417</v>
      </c>
      <c r="G167">
        <f t="shared" ca="1" si="12"/>
        <v>165</v>
      </c>
      <c r="H167">
        <f t="shared" ca="1" si="13"/>
        <v>10609.791901919663</v>
      </c>
      <c r="I167">
        <f t="shared" ca="1" si="14"/>
        <v>179090.94694850661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53910</v>
      </c>
      <c r="B170" s="66">
        <v>53910</v>
      </c>
      <c r="D170">
        <f t="shared" si="10"/>
        <v>57.977093079528956</v>
      </c>
      <c r="E170">
        <f t="shared" si="11"/>
        <v>57.977093079528956</v>
      </c>
      <c r="G170">
        <f t="shared" ca="1" si="12"/>
        <v>168</v>
      </c>
      <c r="H170">
        <f t="shared" ca="1" si="13"/>
        <v>9740.1516373608647</v>
      </c>
      <c r="I170">
        <f t="shared" ca="1" si="14"/>
        <v>180355.80783380181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45522</v>
      </c>
      <c r="B173" s="66">
        <v>45522</v>
      </c>
      <c r="D173">
        <f t="shared" si="10"/>
        <v>48.956283271495401</v>
      </c>
      <c r="E173">
        <f t="shared" si="11"/>
        <v>48.956283271495401</v>
      </c>
      <c r="G173">
        <f t="shared" ca="1" si="12"/>
        <v>171</v>
      </c>
      <c r="H173">
        <f t="shared" ca="1" si="13"/>
        <v>8371.5244394257134</v>
      </c>
      <c r="I173">
        <f t="shared" ca="1" si="14"/>
        <v>169117.49267015856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39028</v>
      </c>
      <c r="B175" s="66">
        <v>39028</v>
      </c>
      <c r="D175">
        <f t="shared" si="10"/>
        <v>41.972361133516159</v>
      </c>
      <c r="E175">
        <f t="shared" si="11"/>
        <v>41.972361133516159</v>
      </c>
      <c r="G175">
        <f t="shared" ca="1" si="12"/>
        <v>173</v>
      </c>
      <c r="H175">
        <f t="shared" ca="1" si="13"/>
        <v>7261.2184760982955</v>
      </c>
      <c r="I175">
        <f t="shared" ca="1" si="14"/>
        <v>155027.34988966095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33700</v>
      </c>
      <c r="B178" s="66">
        <v>33700</v>
      </c>
      <c r="D178">
        <f t="shared" si="10"/>
        <v>36.242404688928325</v>
      </c>
      <c r="E178">
        <f t="shared" si="11"/>
        <v>36.242404688928325</v>
      </c>
      <c r="G178">
        <f t="shared" ca="1" si="12"/>
        <v>176</v>
      </c>
      <c r="H178">
        <f t="shared" ca="1" si="13"/>
        <v>6378.6632252513855</v>
      </c>
      <c r="I178">
        <f t="shared" ca="1" si="14"/>
        <v>147405.32171248813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29062</v>
      </c>
      <c r="B180" s="66">
        <v>29062</v>
      </c>
      <c r="D180">
        <f t="shared" si="10"/>
        <v>31.254503414529225</v>
      </c>
      <c r="E180">
        <f t="shared" si="11"/>
        <v>31.254503414529225</v>
      </c>
      <c r="G180">
        <f t="shared" ca="1" si="12"/>
        <v>178</v>
      </c>
      <c r="H180">
        <f t="shared" ca="1" si="13"/>
        <v>5563.3016077862021</v>
      </c>
      <c r="I180">
        <f t="shared" ca="1" si="14"/>
        <v>135216.49826986005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24019</v>
      </c>
      <c r="B183" s="66">
        <v>24019</v>
      </c>
      <c r="D183">
        <f t="shared" si="10"/>
        <v>25.831048018497608</v>
      </c>
      <c r="E183">
        <f t="shared" si="11"/>
        <v>25.831048018497608</v>
      </c>
      <c r="G183">
        <f t="shared" ca="1" si="12"/>
        <v>181</v>
      </c>
      <c r="H183">
        <f t="shared" ca="1" si="13"/>
        <v>4675.4196913480673</v>
      </c>
      <c r="I183">
        <f t="shared" ca="1" si="14"/>
        <v>122179.62704218249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21499</v>
      </c>
      <c r="B185" s="66">
        <v>21499</v>
      </c>
      <c r="D185">
        <f t="shared" si="10"/>
        <v>23.120933483895254</v>
      </c>
      <c r="E185">
        <f t="shared" si="11"/>
        <v>23.120933483895254</v>
      </c>
      <c r="G185">
        <f t="shared" ca="1" si="12"/>
        <v>183</v>
      </c>
      <c r="H185">
        <f t="shared" ca="1" si="13"/>
        <v>4231.1308275528318</v>
      </c>
      <c r="I185">
        <f t="shared" ca="1" si="14"/>
        <v>115813.93444706805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16055</v>
      </c>
      <c r="B188" s="66">
        <v>16055</v>
      </c>
      <c r="D188">
        <f t="shared" si="10"/>
        <v>17.266225735333656</v>
      </c>
      <c r="E188">
        <f t="shared" si="11"/>
        <v>17.266225735333656</v>
      </c>
      <c r="G188">
        <f t="shared" ca="1" si="12"/>
        <v>186</v>
      </c>
      <c r="H188">
        <f t="shared" ca="1" si="13"/>
        <v>3211.5179867720599</v>
      </c>
      <c r="I188">
        <f t="shared" ca="1" si="14"/>
        <v>93974.867334961018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14502</v>
      </c>
      <c r="B191" s="66">
        <v>14502</v>
      </c>
      <c r="D191">
        <f t="shared" si="10"/>
        <v>15.596063881271172</v>
      </c>
      <c r="E191">
        <f t="shared" si="11"/>
        <v>15.596063881271172</v>
      </c>
      <c r="G191">
        <f t="shared" ca="1" si="12"/>
        <v>189</v>
      </c>
      <c r="H191">
        <f t="shared" ca="1" si="13"/>
        <v>2947.6560735602516</v>
      </c>
      <c r="I191">
        <f t="shared" ca="1" si="14"/>
        <v>91928.608725788654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14221</v>
      </c>
      <c r="B193" s="66">
        <v>14221</v>
      </c>
      <c r="D193">
        <f t="shared" si="10"/>
        <v>15.293864601817498</v>
      </c>
      <c r="E193">
        <f t="shared" si="11"/>
        <v>15.293864601817498</v>
      </c>
      <c r="G193">
        <f t="shared" ca="1" si="12"/>
        <v>191</v>
      </c>
      <c r="H193">
        <f t="shared" ca="1" si="13"/>
        <v>2921.1281389471424</v>
      </c>
      <c r="I193">
        <f t="shared" ca="1" si="14"/>
        <v>94905.241200158387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9329</v>
      </c>
      <c r="B196" s="66">
        <v>9329</v>
      </c>
      <c r="D196">
        <f t="shared" si="15"/>
        <v>10.032800989406894</v>
      </c>
      <c r="E196">
        <f t="shared" si="16"/>
        <v>10.032800989406894</v>
      </c>
      <c r="G196">
        <f t="shared" ca="1" si="17"/>
        <v>194</v>
      </c>
      <c r="H196">
        <f t="shared" ca="1" si="18"/>
        <v>1946.3633919449376</v>
      </c>
      <c r="I196">
        <f t="shared" ca="1" si="19"/>
        <v>67090.275876233907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8141</v>
      </c>
      <c r="B198" s="66">
        <v>8141</v>
      </c>
      <c r="D198">
        <f t="shared" si="15"/>
        <v>8.7551755659514967</v>
      </c>
      <c r="E198">
        <f t="shared" si="16"/>
        <v>8.7551755659514967</v>
      </c>
      <c r="G198">
        <f t="shared" ca="1" si="17"/>
        <v>196</v>
      </c>
      <c r="H198">
        <f t="shared" ca="1" si="18"/>
        <v>1716.0144109264934</v>
      </c>
      <c r="I198">
        <f t="shared" ca="1" si="19"/>
        <v>61445.501864513077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6687</v>
      </c>
      <c r="B201" s="66">
        <v>6687</v>
      </c>
      <c r="D201">
        <f t="shared" si="15"/>
        <v>7.1914824971769642</v>
      </c>
      <c r="E201">
        <f t="shared" si="16"/>
        <v>7.1914824971769642</v>
      </c>
      <c r="G201">
        <f t="shared" ca="1" si="17"/>
        <v>199</v>
      </c>
      <c r="H201">
        <f t="shared" ca="1" si="18"/>
        <v>1431.1050169382158</v>
      </c>
      <c r="I201">
        <f t="shared" ca="1" si="19"/>
        <v>54150.710787466895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5247</v>
      </c>
      <c r="B203" s="66">
        <v>5247</v>
      </c>
      <c r="D203">
        <f t="shared" si="15"/>
        <v>5.6428456202613324</v>
      </c>
      <c r="E203">
        <f t="shared" si="16"/>
        <v>5.6428456202613324</v>
      </c>
      <c r="G203">
        <f t="shared" ca="1" si="17"/>
        <v>201</v>
      </c>
      <c r="H203">
        <f t="shared" ca="1" si="18"/>
        <v>1134.2119696725279</v>
      </c>
      <c r="I203">
        <f t="shared" ca="1" si="19"/>
        <v>44470.918449685676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6461</v>
      </c>
      <c r="B206" s="66">
        <v>6461</v>
      </c>
      <c r="D206">
        <f t="shared" si="15"/>
        <v>6.9484325428832605</v>
      </c>
      <c r="E206">
        <f t="shared" si="16"/>
        <v>6.9484325428832605</v>
      </c>
      <c r="G206">
        <f t="shared" ca="1" si="17"/>
        <v>204</v>
      </c>
      <c r="H206">
        <f t="shared" ca="1" si="18"/>
        <v>1417.4802387481852</v>
      </c>
      <c r="I206">
        <f t="shared" ca="1" si="19"/>
        <v>58523.772360848387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6965</v>
      </c>
      <c r="B209" s="66">
        <v>6965</v>
      </c>
      <c r="D209">
        <f t="shared" si="15"/>
        <v>7.4904554498037319</v>
      </c>
      <c r="E209">
        <f t="shared" si="16"/>
        <v>7.4904554498037319</v>
      </c>
      <c r="G209">
        <f t="shared" ca="1" si="17"/>
        <v>207</v>
      </c>
      <c r="H209">
        <f t="shared" ca="1" si="18"/>
        <v>1550.5242781093725</v>
      </c>
      <c r="I209">
        <f t="shared" ca="1" si="19"/>
        <v>67281.024670076687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5161</v>
      </c>
      <c r="B211" s="66">
        <v>5161</v>
      </c>
      <c r="D211">
        <f t="shared" si="15"/>
        <v>5.5503575845566493</v>
      </c>
      <c r="E211">
        <f t="shared" si="16"/>
        <v>5.5503575845566493</v>
      </c>
      <c r="G211">
        <f t="shared" ca="1" si="17"/>
        <v>209</v>
      </c>
      <c r="H211">
        <f t="shared" ca="1" si="18"/>
        <v>1160.0247351723397</v>
      </c>
      <c r="I211">
        <f t="shared" ca="1" si="19"/>
        <v>51980.945592207267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3381</v>
      </c>
      <c r="B214" s="66">
        <v>3381</v>
      </c>
      <c r="D214">
        <f t="shared" si="15"/>
        <v>3.6360703339248266</v>
      </c>
      <c r="E214">
        <f t="shared" si="16"/>
        <v>3.6360703339248266</v>
      </c>
      <c r="G214">
        <f t="shared" ca="1" si="17"/>
        <v>212</v>
      </c>
      <c r="H214">
        <f t="shared" ca="1" si="18"/>
        <v>770.84691079206323</v>
      </c>
      <c r="I214">
        <f t="shared" ca="1" si="19"/>
        <v>36197.009754943276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3719</v>
      </c>
      <c r="B216" s="66">
        <v>3719</v>
      </c>
      <c r="D216">
        <f t="shared" si="15"/>
        <v>3.9995698230897458</v>
      </c>
      <c r="E216">
        <f t="shared" si="16"/>
        <v>3.9995698230897458</v>
      </c>
      <c r="G216">
        <f t="shared" ca="1" si="17"/>
        <v>214</v>
      </c>
      <c r="H216">
        <f t="shared" ca="1" si="18"/>
        <v>855.90794214120558</v>
      </c>
      <c r="I216">
        <f t="shared" ca="1" si="19"/>
        <v>41427.861114040112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2454</v>
      </c>
      <c r="B219" s="66">
        <v>2454</v>
      </c>
      <c r="D219">
        <f t="shared" si="15"/>
        <v>2.6391353444103887</v>
      </c>
      <c r="E219">
        <f t="shared" si="16"/>
        <v>2.6391353444103887</v>
      </c>
      <c r="G219">
        <f t="shared" ca="1" si="17"/>
        <v>217</v>
      </c>
      <c r="H219">
        <f t="shared" ca="1" si="18"/>
        <v>572.69236973705438</v>
      </c>
      <c r="I219">
        <f t="shared" ca="1" si="19"/>
        <v>28971.707658582811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374</v>
      </c>
      <c r="B221" s="66">
        <v>374</v>
      </c>
      <c r="D221">
        <f t="shared" si="15"/>
        <v>0.40221541108780984</v>
      </c>
      <c r="E221">
        <f t="shared" si="16"/>
        <v>0.40221541108780984</v>
      </c>
      <c r="G221">
        <f t="shared" ca="1" si="17"/>
        <v>219</v>
      </c>
      <c r="H221">
        <f t="shared" ca="1" si="18"/>
        <v>88.085175028230353</v>
      </c>
      <c r="I221">
        <f t="shared" ca="1" si="19"/>
        <v>4585.5878047756178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352</v>
      </c>
      <c r="B1" s="66" t="s">
        <v>351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123.77312951032543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2.3897484845585542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0.70779840403836658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61</v>
      </c>
      <c r="B8" s="66">
        <v>61</v>
      </c>
      <c r="D8">
        <f t="shared" si="0"/>
        <v>5.4131762033224479E-2</v>
      </c>
      <c r="E8">
        <f t="shared" si="1"/>
        <v>5.4131762033224479E-2</v>
      </c>
      <c r="G8">
        <f t="shared" ca="1" si="2"/>
        <v>6</v>
      </c>
      <c r="H8">
        <f t="shared" ca="1" si="3"/>
        <v>0.32479057219934687</v>
      </c>
      <c r="I8">
        <f t="shared" ca="1" si="4"/>
        <v>750.83514847544461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101</v>
      </c>
      <c r="B10" s="66">
        <v>101</v>
      </c>
      <c r="D10">
        <f t="shared" si="0"/>
        <v>8.9627999432060207E-2</v>
      </c>
      <c r="E10">
        <f t="shared" si="1"/>
        <v>8.9627999432060207E-2</v>
      </c>
      <c r="G10">
        <f t="shared" ca="1" si="2"/>
        <v>8</v>
      </c>
      <c r="H10">
        <f t="shared" ca="1" si="3"/>
        <v>0.71702399545648166</v>
      </c>
      <c r="I10">
        <f t="shared" ca="1" si="4"/>
        <v>1201.3214975667979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293</v>
      </c>
      <c r="B13" s="66">
        <v>293</v>
      </c>
      <c r="D13">
        <f t="shared" si="0"/>
        <v>0.26000993894647167</v>
      </c>
      <c r="E13">
        <f t="shared" si="1"/>
        <v>0.26000993894647167</v>
      </c>
      <c r="G13">
        <f t="shared" ca="1" si="2"/>
        <v>11</v>
      </c>
      <c r="H13">
        <f t="shared" ca="1" si="3"/>
        <v>2.8601093284111885</v>
      </c>
      <c r="I13">
        <f t="shared" ca="1" si="4"/>
        <v>3306.7488736058153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484</v>
      </c>
      <c r="B15" s="66">
        <v>484</v>
      </c>
      <c r="D15">
        <f t="shared" si="0"/>
        <v>0.42950447252591223</v>
      </c>
      <c r="E15">
        <f t="shared" si="1"/>
        <v>0.42950447252591223</v>
      </c>
      <c r="G15">
        <f t="shared" ca="1" si="2"/>
        <v>13</v>
      </c>
      <c r="H15">
        <f t="shared" ca="1" si="3"/>
        <v>5.5835581428368588</v>
      </c>
      <c r="I15">
        <f t="shared" ca="1" si="4"/>
        <v>5270.3146131012027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717</v>
      </c>
      <c r="B18" s="66">
        <v>717</v>
      </c>
      <c r="D18">
        <f t="shared" si="0"/>
        <v>0.63627005537413039</v>
      </c>
      <c r="E18">
        <f t="shared" si="1"/>
        <v>0.63627005537413039</v>
      </c>
      <c r="G18">
        <f t="shared" ca="1" si="2"/>
        <v>16</v>
      </c>
      <c r="H18">
        <f t="shared" ca="1" si="3"/>
        <v>10.180320885986086</v>
      </c>
      <c r="I18">
        <f t="shared" ca="1" si="4"/>
        <v>7390.3068806529582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1260</v>
      </c>
      <c r="B21" s="66">
        <v>1260</v>
      </c>
      <c r="D21">
        <f t="shared" si="0"/>
        <v>1.1181314780633254</v>
      </c>
      <c r="E21">
        <f t="shared" si="1"/>
        <v>1.1181314780633254</v>
      </c>
      <c r="G21">
        <f t="shared" ca="1" si="2"/>
        <v>19</v>
      </c>
      <c r="H21">
        <f t="shared" ca="1" si="3"/>
        <v>21.244498083203183</v>
      </c>
      <c r="I21">
        <f t="shared" ca="1" si="4"/>
        <v>12274.186178571061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2601</v>
      </c>
      <c r="B23" s="66">
        <v>2601</v>
      </c>
      <c r="D23">
        <f t="shared" si="0"/>
        <v>2.3081428368592931</v>
      </c>
      <c r="E23">
        <f t="shared" si="1"/>
        <v>2.3081428368592931</v>
      </c>
      <c r="G23">
        <f t="shared" ca="1" si="2"/>
        <v>21</v>
      </c>
      <c r="H23">
        <f t="shared" ca="1" si="3"/>
        <v>48.470999574045152</v>
      </c>
      <c r="I23">
        <f t="shared" ca="1" si="4"/>
        <v>24379.334360756489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4230</v>
      </c>
      <c r="B26" s="66">
        <v>4230</v>
      </c>
      <c r="D26">
        <f t="shared" si="0"/>
        <v>3.7537271049268779</v>
      </c>
      <c r="E26">
        <f t="shared" si="1"/>
        <v>3.7537271049268779</v>
      </c>
      <c r="G26">
        <f t="shared" ca="1" si="2"/>
        <v>24</v>
      </c>
      <c r="H26">
        <f t="shared" ca="1" si="3"/>
        <v>90.089450518245073</v>
      </c>
      <c r="I26">
        <f t="shared" ca="1" si="4"/>
        <v>37367.142273145364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6106</v>
      </c>
      <c r="B28" s="66">
        <v>6106</v>
      </c>
      <c r="D28">
        <f t="shared" si="0"/>
        <v>5.4185006389322732</v>
      </c>
      <c r="E28">
        <f t="shared" si="1"/>
        <v>5.4185006389322732</v>
      </c>
      <c r="G28">
        <f t="shared" ca="1" si="2"/>
        <v>26</v>
      </c>
      <c r="H28">
        <f t="shared" ca="1" si="3"/>
        <v>140.88101661223911</v>
      </c>
      <c r="I28">
        <f t="shared" ca="1" si="4"/>
        <v>51798.616640642271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5936</v>
      </c>
      <c r="B31" s="66">
        <v>5936</v>
      </c>
      <c r="D31">
        <f t="shared" si="0"/>
        <v>5.2676416299872217</v>
      </c>
      <c r="E31">
        <f t="shared" si="1"/>
        <v>5.2676416299872217</v>
      </c>
      <c r="G31">
        <f t="shared" ca="1" si="2"/>
        <v>29</v>
      </c>
      <c r="H31">
        <f t="shared" ca="1" si="3"/>
        <v>152.76160726962942</v>
      </c>
      <c r="I31">
        <f t="shared" ca="1" si="4"/>
        <v>47313.673074458617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4685</v>
      </c>
      <c r="B33" s="66">
        <v>4685</v>
      </c>
      <c r="D33">
        <f t="shared" si="0"/>
        <v>4.1574968053386341</v>
      </c>
      <c r="E33">
        <f t="shared" si="1"/>
        <v>4.1574968053386341</v>
      </c>
      <c r="G33">
        <f t="shared" ca="1" si="2"/>
        <v>31</v>
      </c>
      <c r="H33">
        <f t="shared" ca="1" si="3"/>
        <v>128.88240096549765</v>
      </c>
      <c r="I33">
        <f t="shared" ca="1" si="4"/>
        <v>35782.966176140406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7528</v>
      </c>
      <c r="B36" s="66">
        <v>7528</v>
      </c>
      <c r="D36">
        <f t="shared" si="0"/>
        <v>6.6803918784608829</v>
      </c>
      <c r="E36">
        <f t="shared" si="1"/>
        <v>6.6803918784608829</v>
      </c>
      <c r="G36">
        <f t="shared" ca="1" si="2"/>
        <v>34</v>
      </c>
      <c r="H36">
        <f t="shared" ca="1" si="3"/>
        <v>227.13332386767001</v>
      </c>
      <c r="I36">
        <f t="shared" ca="1" si="4"/>
        <v>53838.712976963514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7470</v>
      </c>
      <c r="B39" s="66">
        <v>7470</v>
      </c>
      <c r="D39">
        <f t="shared" si="0"/>
        <v>6.6289223342325716</v>
      </c>
      <c r="E39">
        <f t="shared" si="1"/>
        <v>6.6289223342325716</v>
      </c>
      <c r="G39">
        <f t="shared" ca="1" si="2"/>
        <v>37</v>
      </c>
      <c r="H39">
        <f t="shared" ca="1" si="3"/>
        <v>245.27012636660515</v>
      </c>
      <c r="I39">
        <f t="shared" ca="1" si="4"/>
        <v>49912.974546950303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9953</v>
      </c>
      <c r="B41" s="66">
        <v>9953</v>
      </c>
      <c r="D41">
        <f t="shared" si="0"/>
        <v>8.8323512707652991</v>
      </c>
      <c r="E41">
        <f t="shared" si="1"/>
        <v>8.8323512707652991</v>
      </c>
      <c r="G41">
        <f t="shared" ca="1" si="2"/>
        <v>39</v>
      </c>
      <c r="H41">
        <f t="shared" ca="1" si="3"/>
        <v>344.46169955984669</v>
      </c>
      <c r="I41">
        <f t="shared" ca="1" si="4"/>
        <v>63473.546558512258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13826</v>
      </c>
      <c r="B44" s="66">
        <v>13826</v>
      </c>
      <c r="D44">
        <f t="shared" si="0"/>
        <v>12.269274456907567</v>
      </c>
      <c r="E44">
        <f t="shared" si="1"/>
        <v>12.269274456907567</v>
      </c>
      <c r="G44">
        <f t="shared" ca="1" si="2"/>
        <v>42</v>
      </c>
      <c r="H44">
        <f t="shared" ca="1" si="3"/>
        <v>515.30952719011782</v>
      </c>
      <c r="I44">
        <f t="shared" ca="1" si="4"/>
        <v>82042.73299663639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10198</v>
      </c>
      <c r="B46" s="66">
        <v>10198</v>
      </c>
      <c r="D46">
        <f t="shared" si="0"/>
        <v>9.0497657248331684</v>
      </c>
      <c r="E46">
        <f t="shared" si="1"/>
        <v>9.0497657248331684</v>
      </c>
      <c r="G46">
        <f t="shared" ca="1" si="2"/>
        <v>44</v>
      </c>
      <c r="H46">
        <f t="shared" ca="1" si="3"/>
        <v>398.18969189265943</v>
      </c>
      <c r="I46">
        <f t="shared" ca="1" si="4"/>
        <v>57590.466467327526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10573</v>
      </c>
      <c r="B49" s="66">
        <v>10573</v>
      </c>
      <c r="D49">
        <f t="shared" si="0"/>
        <v>9.3825429504472524</v>
      </c>
      <c r="E49">
        <f t="shared" si="1"/>
        <v>9.3825429504472524</v>
      </c>
      <c r="G49">
        <f t="shared" ca="1" si="2"/>
        <v>47</v>
      </c>
      <c r="H49">
        <f t="shared" ca="1" si="3"/>
        <v>440.97951867102086</v>
      </c>
      <c r="I49">
        <f t="shared" ca="1" si="4"/>
        <v>55301.772269254652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12634</v>
      </c>
      <c r="B51" s="66">
        <v>12634</v>
      </c>
      <c r="D51">
        <f t="shared" si="0"/>
        <v>11.211486582422264</v>
      </c>
      <c r="E51">
        <f t="shared" si="1"/>
        <v>11.211486582422264</v>
      </c>
      <c r="G51">
        <f t="shared" ca="1" si="2"/>
        <v>49</v>
      </c>
      <c r="H51">
        <f t="shared" ca="1" si="3"/>
        <v>549.36284253869098</v>
      </c>
      <c r="I51">
        <f t="shared" ca="1" si="4"/>
        <v>62683.655766155804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17124</v>
      </c>
      <c r="B54" s="66">
        <v>17124</v>
      </c>
      <c r="D54">
        <f t="shared" si="0"/>
        <v>15.195939230441573</v>
      </c>
      <c r="E54">
        <f t="shared" si="1"/>
        <v>15.195939230441573</v>
      </c>
      <c r="G54">
        <f t="shared" ca="1" si="2"/>
        <v>52</v>
      </c>
      <c r="H54">
        <f t="shared" ca="1" si="3"/>
        <v>790.18883998296178</v>
      </c>
      <c r="I54">
        <f t="shared" ca="1" si="4"/>
        <v>78280.089643834872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19550</v>
      </c>
      <c r="B57" s="66">
        <v>19550</v>
      </c>
      <c r="D57">
        <f t="shared" si="0"/>
        <v>17.348786028680959</v>
      </c>
      <c r="E57">
        <f t="shared" si="1"/>
        <v>17.348786028680959</v>
      </c>
      <c r="G57">
        <f t="shared" ca="1" si="2"/>
        <v>55</v>
      </c>
      <c r="H57">
        <f t="shared" ca="1" si="3"/>
        <v>954.18323157745272</v>
      </c>
      <c r="I57">
        <f t="shared" ca="1" si="4"/>
        <v>82055.305222108916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24519</v>
      </c>
      <c r="B59" s="66">
        <v>24519</v>
      </c>
      <c r="D59">
        <f t="shared" si="0"/>
        <v>21.758306119551328</v>
      </c>
      <c r="E59">
        <f t="shared" si="1"/>
        <v>21.758306119551328</v>
      </c>
      <c r="G59">
        <f t="shared" ca="1" si="2"/>
        <v>57</v>
      </c>
      <c r="H59">
        <f t="shared" ca="1" si="3"/>
        <v>1240.2234488144256</v>
      </c>
      <c r="I59">
        <f t="shared" ca="1" si="4"/>
        <v>97012.689521895358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29494</v>
      </c>
      <c r="B62" s="66">
        <v>29494</v>
      </c>
      <c r="D62">
        <f t="shared" si="0"/>
        <v>26.17315064603152</v>
      </c>
      <c r="E62">
        <f t="shared" si="1"/>
        <v>26.17315064603152</v>
      </c>
      <c r="G62">
        <f t="shared" ca="1" si="2"/>
        <v>60</v>
      </c>
      <c r="H62">
        <f t="shared" ca="1" si="3"/>
        <v>1570.3890387618912</v>
      </c>
      <c r="I62">
        <f t="shared" ca="1" si="4"/>
        <v>106446.51899950892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35974</v>
      </c>
      <c r="B64" s="66">
        <v>35974</v>
      </c>
      <c r="D64">
        <f t="shared" si="0"/>
        <v>31.923541104642908</v>
      </c>
      <c r="E64">
        <f t="shared" si="1"/>
        <v>31.923541104642908</v>
      </c>
      <c r="G64">
        <f t="shared" ca="1" si="2"/>
        <v>62</v>
      </c>
      <c r="H64">
        <f t="shared" ca="1" si="3"/>
        <v>1979.2595484878602</v>
      </c>
      <c r="I64">
        <f t="shared" ca="1" si="4"/>
        <v>121817.66395198496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41397</v>
      </c>
      <c r="B67" s="66">
        <v>41397</v>
      </c>
      <c r="D67">
        <f t="shared" ref="D67:D130" si="5">IFERROR(100*A67/MAX(A$2:A$257), 0 )</f>
        <v>36.735943489990063</v>
      </c>
      <c r="E67">
        <f t="shared" ref="E67:E130" si="6">IFERROR(100*B67/MAX(B$2:B$257), 0 )</f>
        <v>36.735943489990063</v>
      </c>
      <c r="G67">
        <f t="shared" ref="G67:G130" ca="1" si="7">CELL("row",D67)-2</f>
        <v>65</v>
      </c>
      <c r="H67">
        <f t="shared" ref="H67:H130" ca="1" si="8">D67*G67</f>
        <v>2387.836326849354</v>
      </c>
      <c r="I67">
        <f t="shared" ref="I67:I130" ca="1" si="9">D67*((G67-$L$1)^2)</f>
        <v>126896.26252010385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45081</v>
      </c>
      <c r="B69" s="66">
        <v>45081</v>
      </c>
      <c r="D69">
        <f t="shared" si="5"/>
        <v>40.005146954422834</v>
      </c>
      <c r="E69">
        <f t="shared" si="6"/>
        <v>40.005146954422834</v>
      </c>
      <c r="G69">
        <f t="shared" ca="1" si="7"/>
        <v>67</v>
      </c>
      <c r="H69">
        <f t="shared" ca="1" si="8"/>
        <v>2680.3448459463298</v>
      </c>
      <c r="I69">
        <f t="shared" ca="1" si="9"/>
        <v>128944.11897878602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51818</v>
      </c>
      <c r="B72" s="66">
        <v>51818</v>
      </c>
      <c r="D72">
        <f t="shared" si="5"/>
        <v>45.983600738321741</v>
      </c>
      <c r="E72">
        <f t="shared" si="6"/>
        <v>45.983600738321741</v>
      </c>
      <c r="G72">
        <f t="shared" ca="1" si="7"/>
        <v>70</v>
      </c>
      <c r="H72">
        <f t="shared" ca="1" si="8"/>
        <v>3218.852051682522</v>
      </c>
      <c r="I72">
        <f t="shared" ca="1" si="9"/>
        <v>132963.85576116823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54420</v>
      </c>
      <c r="B75" s="66">
        <v>54420</v>
      </c>
      <c r="D75">
        <f t="shared" si="5"/>
        <v>48.292630981115998</v>
      </c>
      <c r="E75">
        <f t="shared" si="6"/>
        <v>48.292630981115998</v>
      </c>
      <c r="G75">
        <f t="shared" ca="1" si="7"/>
        <v>73</v>
      </c>
      <c r="H75">
        <f t="shared" ca="1" si="8"/>
        <v>3525.362061621468</v>
      </c>
      <c r="I75">
        <f t="shared" ca="1" si="9"/>
        <v>124494.0891846669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50907</v>
      </c>
      <c r="B77" s="66">
        <v>50907</v>
      </c>
      <c r="D77">
        <f t="shared" si="5"/>
        <v>45.175173931563258</v>
      </c>
      <c r="E77">
        <f t="shared" si="6"/>
        <v>45.175173931563258</v>
      </c>
      <c r="G77">
        <f t="shared" ca="1" si="7"/>
        <v>75</v>
      </c>
      <c r="H77">
        <f t="shared" ca="1" si="8"/>
        <v>3388.1380448672444</v>
      </c>
      <c r="I77">
        <f t="shared" ca="1" si="9"/>
        <v>107463.52423034607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54670</v>
      </c>
      <c r="B80" s="66">
        <v>54670</v>
      </c>
      <c r="D80">
        <f t="shared" si="5"/>
        <v>48.514482464858723</v>
      </c>
      <c r="E80">
        <f t="shared" si="6"/>
        <v>48.514482464858723</v>
      </c>
      <c r="G80">
        <f t="shared" ca="1" si="7"/>
        <v>78</v>
      </c>
      <c r="H80">
        <f t="shared" ca="1" si="8"/>
        <v>3784.1296322589806</v>
      </c>
      <c r="I80">
        <f t="shared" ca="1" si="9"/>
        <v>101646.54354251614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58848</v>
      </c>
      <c r="B82" s="66">
        <v>58848</v>
      </c>
      <c r="D82">
        <f t="shared" si="5"/>
        <v>52.222064461167115</v>
      </c>
      <c r="E82">
        <f t="shared" si="6"/>
        <v>52.222064461167115</v>
      </c>
      <c r="G82">
        <f t="shared" ca="1" si="7"/>
        <v>80</v>
      </c>
      <c r="H82">
        <f t="shared" ca="1" si="8"/>
        <v>4177.7651568933688</v>
      </c>
      <c r="I82">
        <f t="shared" ca="1" si="9"/>
        <v>100062.01188833971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63558</v>
      </c>
      <c r="B85" s="66">
        <v>63558</v>
      </c>
      <c r="D85">
        <f t="shared" si="5"/>
        <v>56.401746414880023</v>
      </c>
      <c r="E85">
        <f t="shared" si="6"/>
        <v>56.401746414880023</v>
      </c>
      <c r="G85">
        <f t="shared" ca="1" si="7"/>
        <v>83</v>
      </c>
      <c r="H85">
        <f t="shared" ca="1" si="8"/>
        <v>4681.3449524350417</v>
      </c>
      <c r="I85">
        <f t="shared" ca="1" si="9"/>
        <v>93764.975603791216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60064</v>
      </c>
      <c r="B88" s="66">
        <v>60064</v>
      </c>
      <c r="D88">
        <f t="shared" si="5"/>
        <v>53.301150078091723</v>
      </c>
      <c r="E88">
        <f t="shared" si="6"/>
        <v>53.301150078091723</v>
      </c>
      <c r="G88">
        <f t="shared" ca="1" si="7"/>
        <v>86</v>
      </c>
      <c r="H88">
        <f t="shared" ca="1" si="8"/>
        <v>4583.8989067158882</v>
      </c>
      <c r="I88">
        <f t="shared" ca="1" si="9"/>
        <v>76050.577325235456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57499</v>
      </c>
      <c r="B90" s="66">
        <v>57499</v>
      </c>
      <c r="D90">
        <f t="shared" si="5"/>
        <v>51.024953854891379</v>
      </c>
      <c r="E90">
        <f t="shared" si="6"/>
        <v>51.024953854891379</v>
      </c>
      <c r="G90">
        <f t="shared" ca="1" si="7"/>
        <v>88</v>
      </c>
      <c r="H90">
        <f t="shared" ca="1" si="8"/>
        <v>4490.1959392304416</v>
      </c>
      <c r="I90">
        <f t="shared" ca="1" si="9"/>
        <v>65297.490410291888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61839</v>
      </c>
      <c r="B93" s="66">
        <v>61839</v>
      </c>
      <c r="D93">
        <f t="shared" si="5"/>
        <v>54.876295612665061</v>
      </c>
      <c r="E93">
        <f t="shared" si="6"/>
        <v>54.876295612665061</v>
      </c>
      <c r="G93">
        <f t="shared" ca="1" si="7"/>
        <v>91</v>
      </c>
      <c r="H93">
        <f t="shared" ca="1" si="8"/>
        <v>4993.7429007525207</v>
      </c>
      <c r="I93">
        <f t="shared" ca="1" si="9"/>
        <v>58941.422821376691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66117</v>
      </c>
      <c r="B95" s="66">
        <v>66117</v>
      </c>
      <c r="D95">
        <f t="shared" si="5"/>
        <v>58.672618202470538</v>
      </c>
      <c r="E95">
        <f t="shared" si="6"/>
        <v>58.672618202470538</v>
      </c>
      <c r="G95">
        <f t="shared" ca="1" si="7"/>
        <v>93</v>
      </c>
      <c r="H95">
        <f t="shared" ca="1" si="8"/>
        <v>5456.5534928297602</v>
      </c>
      <c r="I95">
        <f t="shared" ca="1" si="9"/>
        <v>55562.118676518192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69276</v>
      </c>
      <c r="B98" s="66">
        <v>69276</v>
      </c>
      <c r="D98">
        <f t="shared" si="5"/>
        <v>61.475933551043589</v>
      </c>
      <c r="E98">
        <f t="shared" si="6"/>
        <v>61.475933551043589</v>
      </c>
      <c r="G98">
        <f t="shared" ca="1" si="7"/>
        <v>96</v>
      </c>
      <c r="H98">
        <f t="shared" ca="1" si="8"/>
        <v>5901.6896209001843</v>
      </c>
      <c r="I98">
        <f t="shared" ca="1" si="9"/>
        <v>47419.259875502634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65176</v>
      </c>
      <c r="B100" s="66">
        <v>65176</v>
      </c>
      <c r="D100">
        <f t="shared" si="5"/>
        <v>57.837569217662924</v>
      </c>
      <c r="E100">
        <f t="shared" si="6"/>
        <v>57.837569217662924</v>
      </c>
      <c r="G100">
        <f t="shared" ca="1" si="7"/>
        <v>98</v>
      </c>
      <c r="H100">
        <f t="shared" ca="1" si="8"/>
        <v>5668.0817833309666</v>
      </c>
      <c r="I100">
        <f t="shared" ca="1" si="9"/>
        <v>38418.848545699235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76019</v>
      </c>
      <c r="B103" s="66">
        <v>76019</v>
      </c>
      <c r="D103">
        <f t="shared" si="5"/>
        <v>67.459711770552317</v>
      </c>
      <c r="E103">
        <f t="shared" si="6"/>
        <v>67.459711770552317</v>
      </c>
      <c r="G103">
        <f t="shared" ca="1" si="7"/>
        <v>101</v>
      </c>
      <c r="H103">
        <f t="shared" ca="1" si="8"/>
        <v>6813.4308888257838</v>
      </c>
      <c r="I103">
        <f t="shared" ca="1" si="9"/>
        <v>34985.647272002665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74404</v>
      </c>
      <c r="B106" s="66">
        <v>74404</v>
      </c>
      <c r="D106">
        <f t="shared" si="5"/>
        <v>66.026551185574334</v>
      </c>
      <c r="E106">
        <f t="shared" si="6"/>
        <v>66.026551185574334</v>
      </c>
      <c r="G106">
        <f t="shared" ca="1" si="7"/>
        <v>104</v>
      </c>
      <c r="H106">
        <f t="shared" ca="1" si="8"/>
        <v>6866.761323299731</v>
      </c>
      <c r="I106">
        <f t="shared" ca="1" si="9"/>
        <v>25814.839835324929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74789</v>
      </c>
      <c r="B108" s="66">
        <v>74789</v>
      </c>
      <c r="D108">
        <f t="shared" si="5"/>
        <v>66.368202470538122</v>
      </c>
      <c r="E108">
        <f t="shared" si="6"/>
        <v>66.368202470538122</v>
      </c>
      <c r="G108">
        <f t="shared" ca="1" si="7"/>
        <v>106</v>
      </c>
      <c r="H108">
        <f t="shared" ca="1" si="8"/>
        <v>7035.0294618770413</v>
      </c>
      <c r="I108">
        <f t="shared" ca="1" si="9"/>
        <v>20964.662069016573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82095</v>
      </c>
      <c r="B111" s="66">
        <v>82095</v>
      </c>
      <c r="D111">
        <f t="shared" si="5"/>
        <v>72.851590231435466</v>
      </c>
      <c r="E111">
        <f t="shared" si="6"/>
        <v>72.851590231435466</v>
      </c>
      <c r="G111">
        <f t="shared" ca="1" si="7"/>
        <v>109</v>
      </c>
      <c r="H111">
        <f t="shared" ca="1" si="8"/>
        <v>7940.823335226466</v>
      </c>
      <c r="I111">
        <f t="shared" ca="1" si="9"/>
        <v>15899.521210901596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81829</v>
      </c>
      <c r="B113" s="66">
        <v>81829</v>
      </c>
      <c r="D113">
        <f t="shared" si="5"/>
        <v>72.615540252733211</v>
      </c>
      <c r="E113">
        <f t="shared" si="6"/>
        <v>72.615540252733211</v>
      </c>
      <c r="G113">
        <f t="shared" ca="1" si="7"/>
        <v>111</v>
      </c>
      <c r="H113">
        <f t="shared" ca="1" si="8"/>
        <v>8060.3249680533863</v>
      </c>
      <c r="I113">
        <f t="shared" ca="1" si="9"/>
        <v>11847.431437924568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94457</v>
      </c>
      <c r="B116" s="66">
        <v>94457</v>
      </c>
      <c r="D116">
        <f t="shared" si="5"/>
        <v>83.821702399545643</v>
      </c>
      <c r="E116">
        <f t="shared" si="6"/>
        <v>83.821702399545643</v>
      </c>
      <c r="G116">
        <f t="shared" ca="1" si="7"/>
        <v>114</v>
      </c>
      <c r="H116">
        <f t="shared" ca="1" si="8"/>
        <v>9555.6740735482035</v>
      </c>
      <c r="I116">
        <f t="shared" ca="1" si="9"/>
        <v>8006.1511479663459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94186</v>
      </c>
      <c r="B118" s="66">
        <v>94186</v>
      </c>
      <c r="D118">
        <f t="shared" si="5"/>
        <v>83.581215391168541</v>
      </c>
      <c r="E118">
        <f t="shared" si="6"/>
        <v>83.581215391168541</v>
      </c>
      <c r="G118">
        <f t="shared" ca="1" si="7"/>
        <v>116</v>
      </c>
      <c r="H118">
        <f t="shared" ca="1" si="8"/>
        <v>9695.420985375551</v>
      </c>
      <c r="I118">
        <f t="shared" ca="1" si="9"/>
        <v>5050.1059482881365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97390</v>
      </c>
      <c r="B121" s="66">
        <v>97390</v>
      </c>
      <c r="D121">
        <f t="shared" si="5"/>
        <v>86.424464006815271</v>
      </c>
      <c r="E121">
        <f t="shared" si="6"/>
        <v>86.424464006815271</v>
      </c>
      <c r="G121">
        <f t="shared" ca="1" si="7"/>
        <v>119</v>
      </c>
      <c r="H121">
        <f t="shared" ca="1" si="8"/>
        <v>10284.511216811017</v>
      </c>
      <c r="I121">
        <f t="shared" ca="1" si="9"/>
        <v>1968.9882815762496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100648</v>
      </c>
      <c r="B124" s="66">
        <v>100648</v>
      </c>
      <c r="D124">
        <f t="shared" si="5"/>
        <v>89.315632542950453</v>
      </c>
      <c r="E124">
        <f t="shared" si="6"/>
        <v>89.315632542950453</v>
      </c>
      <c r="G124">
        <f t="shared" ca="1" si="7"/>
        <v>122</v>
      </c>
      <c r="H124">
        <f t="shared" ca="1" si="8"/>
        <v>10896.507170239955</v>
      </c>
      <c r="I124">
        <f t="shared" ca="1" si="9"/>
        <v>280.80730018406712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94984</v>
      </c>
      <c r="B126" s="66">
        <v>94984</v>
      </c>
      <c r="D126">
        <f t="shared" si="5"/>
        <v>84.289365327275306</v>
      </c>
      <c r="E126">
        <f t="shared" si="6"/>
        <v>84.289365327275306</v>
      </c>
      <c r="G126">
        <f t="shared" ca="1" si="7"/>
        <v>124</v>
      </c>
      <c r="H126">
        <f t="shared" ca="1" si="8"/>
        <v>10451.881300582138</v>
      </c>
      <c r="I126">
        <f t="shared" ca="1" si="9"/>
        <v>4.3383920999454677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92465</v>
      </c>
      <c r="B129" s="66">
        <v>92465</v>
      </c>
      <c r="D129">
        <f t="shared" si="5"/>
        <v>82.053989777083629</v>
      </c>
      <c r="E129">
        <f t="shared" si="6"/>
        <v>82.053989777083629</v>
      </c>
      <c r="G129">
        <f t="shared" ca="1" si="7"/>
        <v>127</v>
      </c>
      <c r="H129">
        <f t="shared" ca="1" si="8"/>
        <v>10420.856701689621</v>
      </c>
      <c r="I129">
        <f t="shared" ca="1" si="9"/>
        <v>854.4030178672657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86684</v>
      </c>
      <c r="B131" s="66">
        <v>86684</v>
      </c>
      <c r="D131">
        <f t="shared" ref="D131:D194" si="10">IFERROR(100*A131/MAX(A$2:A$257), 0 )</f>
        <v>76.923896067016898</v>
      </c>
      <c r="E131">
        <f t="shared" ref="E131:E194" si="11">IFERROR(100*B131/MAX(B$2:B$257), 0 )</f>
        <v>76.923896067016898</v>
      </c>
      <c r="G131">
        <f t="shared" ref="G131:G194" ca="1" si="12">CELL("row",D131)-2</f>
        <v>129</v>
      </c>
      <c r="H131">
        <f t="shared" ref="H131:H194" ca="1" si="13">D131*G131</f>
        <v>9923.1825926451802</v>
      </c>
      <c r="I131">
        <f t="shared" ref="I131:I194" ca="1" si="14">D131*((G131-$L$1)^2)</f>
        <v>2101.5743111428737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83872</v>
      </c>
      <c r="B134" s="66">
        <v>83872</v>
      </c>
      <c r="D134">
        <f t="shared" si="10"/>
        <v>74.42851057787874</v>
      </c>
      <c r="E134">
        <f t="shared" si="11"/>
        <v>74.42851057787874</v>
      </c>
      <c r="G134">
        <f t="shared" ca="1" si="12"/>
        <v>132</v>
      </c>
      <c r="H134">
        <f t="shared" ca="1" si="13"/>
        <v>9824.563396279993</v>
      </c>
      <c r="I134">
        <f t="shared" ca="1" si="14"/>
        <v>5037.4256509786992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86098</v>
      </c>
      <c r="B136" s="66">
        <v>86098</v>
      </c>
      <c r="D136">
        <f t="shared" si="10"/>
        <v>76.403876189123949</v>
      </c>
      <c r="E136">
        <f t="shared" si="11"/>
        <v>76.403876189123949</v>
      </c>
      <c r="G136">
        <f t="shared" ca="1" si="12"/>
        <v>134</v>
      </c>
      <c r="H136">
        <f t="shared" ca="1" si="13"/>
        <v>10238.119409342609</v>
      </c>
      <c r="I136">
        <f t="shared" ca="1" si="14"/>
        <v>7990.9958392400376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86748</v>
      </c>
      <c r="B139" s="66">
        <v>86748</v>
      </c>
      <c r="D139">
        <f t="shared" si="10"/>
        <v>76.980690046855031</v>
      </c>
      <c r="E139">
        <f t="shared" si="11"/>
        <v>76.980690046855031</v>
      </c>
      <c r="G139">
        <f t="shared" ca="1" si="12"/>
        <v>137</v>
      </c>
      <c r="H139">
        <f t="shared" ca="1" si="13"/>
        <v>10546.35453641914</v>
      </c>
      <c r="I139">
        <f t="shared" ca="1" si="14"/>
        <v>13467.779648907359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90326</v>
      </c>
      <c r="B142" s="66">
        <v>90326</v>
      </c>
      <c r="D142">
        <f t="shared" si="10"/>
        <v>80.155828482180894</v>
      </c>
      <c r="E142">
        <f t="shared" si="11"/>
        <v>80.155828482180894</v>
      </c>
      <c r="G142">
        <f t="shared" ca="1" si="12"/>
        <v>140</v>
      </c>
      <c r="H142">
        <f t="shared" ca="1" si="13"/>
        <v>11221.815987505324</v>
      </c>
      <c r="I142">
        <f t="shared" ca="1" si="14"/>
        <v>21105.937475347975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98485</v>
      </c>
      <c r="B144" s="66">
        <v>98485</v>
      </c>
      <c r="D144">
        <f t="shared" si="10"/>
        <v>87.396173505608402</v>
      </c>
      <c r="E144">
        <f t="shared" si="11"/>
        <v>87.396173505608402</v>
      </c>
      <c r="G144">
        <f t="shared" ca="1" si="12"/>
        <v>142</v>
      </c>
      <c r="H144">
        <f t="shared" ca="1" si="13"/>
        <v>12410.256637796394</v>
      </c>
      <c r="I144">
        <f t="shared" ca="1" si="14"/>
        <v>29034.652572455092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105046</v>
      </c>
      <c r="B147" s="66">
        <v>105046</v>
      </c>
      <c r="D147">
        <f t="shared" si="10"/>
        <v>93.218443844952432</v>
      </c>
      <c r="E147">
        <f t="shared" si="11"/>
        <v>93.218443844952432</v>
      </c>
      <c r="G147">
        <f t="shared" ca="1" si="12"/>
        <v>145</v>
      </c>
      <c r="H147">
        <f t="shared" ca="1" si="13"/>
        <v>13516.674357518103</v>
      </c>
      <c r="I147">
        <f t="shared" ca="1" si="14"/>
        <v>42002.369297427336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112688</v>
      </c>
      <c r="B149" s="66">
        <v>112688</v>
      </c>
      <c r="D149">
        <f t="shared" si="10"/>
        <v>100</v>
      </c>
      <c r="E149">
        <f t="shared" si="11"/>
        <v>100</v>
      </c>
      <c r="G149">
        <f t="shared" ca="1" si="12"/>
        <v>147</v>
      </c>
      <c r="H149">
        <f t="shared" ca="1" si="13"/>
        <v>14700</v>
      </c>
      <c r="I149">
        <f t="shared" ca="1" si="14"/>
        <v>53948.75127441153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108968</v>
      </c>
      <c r="B152" s="66">
        <v>108968</v>
      </c>
      <c r="D152">
        <f t="shared" si="10"/>
        <v>96.698849921908277</v>
      </c>
      <c r="E152">
        <f t="shared" si="11"/>
        <v>96.698849921908277</v>
      </c>
      <c r="G152">
        <f t="shared" ca="1" si="12"/>
        <v>150</v>
      </c>
      <c r="H152">
        <f t="shared" ca="1" si="13"/>
        <v>14504.827488286242</v>
      </c>
      <c r="I152">
        <f t="shared" ca="1" si="14"/>
        <v>66514.181660703805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101238</v>
      </c>
      <c r="B154" s="66">
        <v>101238</v>
      </c>
      <c r="D154">
        <f t="shared" si="10"/>
        <v>89.839202044583274</v>
      </c>
      <c r="E154">
        <f t="shared" si="11"/>
        <v>89.839202044583274</v>
      </c>
      <c r="G154">
        <f t="shared" ca="1" si="12"/>
        <v>152</v>
      </c>
      <c r="H154">
        <f t="shared" ca="1" si="13"/>
        <v>13655.558710776657</v>
      </c>
      <c r="I154">
        <f t="shared" ca="1" si="14"/>
        <v>71579.942816915282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98768</v>
      </c>
      <c r="B157" s="66">
        <v>98768</v>
      </c>
      <c r="D157">
        <f t="shared" si="10"/>
        <v>87.647309385205162</v>
      </c>
      <c r="E157">
        <f t="shared" si="11"/>
        <v>87.647309385205162</v>
      </c>
      <c r="G157">
        <f t="shared" ca="1" si="12"/>
        <v>155</v>
      </c>
      <c r="H157">
        <f t="shared" ca="1" si="13"/>
        <v>13585.332954706801</v>
      </c>
      <c r="I157">
        <f t="shared" ca="1" si="14"/>
        <v>85466.420001328996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97796</v>
      </c>
      <c r="B160" s="66">
        <v>97796</v>
      </c>
      <c r="D160">
        <f t="shared" si="10"/>
        <v>86.784750816413464</v>
      </c>
      <c r="E160">
        <f t="shared" si="11"/>
        <v>86.784750816413464</v>
      </c>
      <c r="G160">
        <f t="shared" ca="1" si="12"/>
        <v>158</v>
      </c>
      <c r="H160">
        <f t="shared" ca="1" si="13"/>
        <v>13711.990628993328</v>
      </c>
      <c r="I160">
        <f t="shared" ca="1" si="14"/>
        <v>101666.48390006408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90784</v>
      </c>
      <c r="B162" s="66">
        <v>90784</v>
      </c>
      <c r="D162">
        <f t="shared" si="10"/>
        <v>80.562260400397562</v>
      </c>
      <c r="E162">
        <f t="shared" si="11"/>
        <v>80.562260400397562</v>
      </c>
      <c r="G162">
        <f t="shared" ca="1" si="12"/>
        <v>160</v>
      </c>
      <c r="H162">
        <f t="shared" ca="1" si="13"/>
        <v>12889.96166406361</v>
      </c>
      <c r="I162">
        <f t="shared" ca="1" si="14"/>
        <v>105728.79439768368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79345</v>
      </c>
      <c r="B165" s="66">
        <v>79345</v>
      </c>
      <c r="D165">
        <f t="shared" si="10"/>
        <v>70.411223910265505</v>
      </c>
      <c r="E165">
        <f t="shared" si="11"/>
        <v>70.411223910265505</v>
      </c>
      <c r="G165">
        <f t="shared" ca="1" si="12"/>
        <v>163</v>
      </c>
      <c r="H165">
        <f t="shared" ca="1" si="13"/>
        <v>11477.029497373278</v>
      </c>
      <c r="I165">
        <f t="shared" ca="1" si="14"/>
        <v>108345.08549870894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75231</v>
      </c>
      <c r="B167" s="66">
        <v>75231</v>
      </c>
      <c r="D167">
        <f t="shared" si="10"/>
        <v>66.760435893795261</v>
      </c>
      <c r="E167">
        <f t="shared" si="11"/>
        <v>66.760435893795261</v>
      </c>
      <c r="G167">
        <f t="shared" ca="1" si="12"/>
        <v>165</v>
      </c>
      <c r="H167">
        <f t="shared" ca="1" si="13"/>
        <v>11015.471922476218</v>
      </c>
      <c r="I167">
        <f t="shared" ca="1" si="14"/>
        <v>113469.69867986477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72113</v>
      </c>
      <c r="B170" s="66">
        <v>72113</v>
      </c>
      <c r="D170">
        <f t="shared" si="10"/>
        <v>63.99350418855601</v>
      </c>
      <c r="E170">
        <f t="shared" si="11"/>
        <v>63.99350418855601</v>
      </c>
      <c r="G170">
        <f t="shared" ca="1" si="12"/>
        <v>168</v>
      </c>
      <c r="H170">
        <f t="shared" ca="1" si="13"/>
        <v>10750.908703677409</v>
      </c>
      <c r="I170">
        <f t="shared" ca="1" si="14"/>
        <v>125172.32278027498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67381</v>
      </c>
      <c r="B173" s="66">
        <v>67381</v>
      </c>
      <c r="D173">
        <f t="shared" si="10"/>
        <v>59.79429930427375</v>
      </c>
      <c r="E173">
        <f t="shared" si="11"/>
        <v>59.79429930427375</v>
      </c>
      <c r="G173">
        <f t="shared" ca="1" si="12"/>
        <v>171</v>
      </c>
      <c r="H173">
        <f t="shared" ca="1" si="13"/>
        <v>10224.825181030812</v>
      </c>
      <c r="I173">
        <f t="shared" ca="1" si="14"/>
        <v>133363.84761333931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60821</v>
      </c>
      <c r="B175" s="66">
        <v>60821</v>
      </c>
      <c r="D175">
        <f t="shared" si="10"/>
        <v>53.972916370864688</v>
      </c>
      <c r="E175">
        <f t="shared" si="11"/>
        <v>53.972916370864688</v>
      </c>
      <c r="G175">
        <f t="shared" ca="1" si="12"/>
        <v>173</v>
      </c>
      <c r="H175">
        <f t="shared" ca="1" si="13"/>
        <v>9337.3145321595912</v>
      </c>
      <c r="I175">
        <f t="shared" ca="1" si="14"/>
        <v>130791.7466769662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54630</v>
      </c>
      <c r="B178" s="66">
        <v>54630</v>
      </c>
      <c r="D178">
        <f t="shared" si="10"/>
        <v>48.478986227459892</v>
      </c>
      <c r="E178">
        <f t="shared" si="11"/>
        <v>48.478986227459892</v>
      </c>
      <c r="G178">
        <f t="shared" ca="1" si="12"/>
        <v>176</v>
      </c>
      <c r="H178">
        <f t="shared" ca="1" si="13"/>
        <v>8532.3015760329417</v>
      </c>
      <c r="I178">
        <f t="shared" ca="1" si="14"/>
        <v>132233.51292290614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47319</v>
      </c>
      <c r="B180" s="66">
        <v>47319</v>
      </c>
      <c r="D180">
        <f t="shared" si="10"/>
        <v>41.991161436887687</v>
      </c>
      <c r="E180">
        <f t="shared" si="11"/>
        <v>41.991161436887687</v>
      </c>
      <c r="G180">
        <f t="shared" ca="1" si="12"/>
        <v>178</v>
      </c>
      <c r="H180">
        <f t="shared" ca="1" si="13"/>
        <v>7474.4267357660083</v>
      </c>
      <c r="I180">
        <f t="shared" ca="1" si="14"/>
        <v>123477.25602281987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36757</v>
      </c>
      <c r="B183" s="66">
        <v>36757</v>
      </c>
      <c r="D183">
        <f t="shared" si="10"/>
        <v>32.618379951725117</v>
      </c>
      <c r="E183">
        <f t="shared" si="11"/>
        <v>32.618379951725117</v>
      </c>
      <c r="G183">
        <f t="shared" ca="1" si="12"/>
        <v>181</v>
      </c>
      <c r="H183">
        <f t="shared" ca="1" si="13"/>
        <v>5903.9267712622459</v>
      </c>
      <c r="I183">
        <f t="shared" ca="1" si="14"/>
        <v>106822.41219116967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31717</v>
      </c>
      <c r="B185" s="66">
        <v>31717</v>
      </c>
      <c r="D185">
        <f t="shared" si="10"/>
        <v>28.145854039471818</v>
      </c>
      <c r="E185">
        <f t="shared" si="11"/>
        <v>28.145854039471818</v>
      </c>
      <c r="G185">
        <f t="shared" ca="1" si="12"/>
        <v>183</v>
      </c>
      <c r="H185">
        <f t="shared" ca="1" si="13"/>
        <v>5150.6912892233422</v>
      </c>
      <c r="I185">
        <f t="shared" ca="1" si="14"/>
        <v>98730.651299887919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25731</v>
      </c>
      <c r="B188" s="66">
        <v>25731</v>
      </c>
      <c r="D188">
        <f t="shared" si="10"/>
        <v>22.83384211273605</v>
      </c>
      <c r="E188">
        <f t="shared" si="11"/>
        <v>22.83384211273605</v>
      </c>
      <c r="G188">
        <f t="shared" ca="1" si="12"/>
        <v>186</v>
      </c>
      <c r="H188">
        <f t="shared" ca="1" si="13"/>
        <v>4247.094632968905</v>
      </c>
      <c r="I188">
        <f t="shared" ca="1" si="14"/>
        <v>88416.824636930731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20221</v>
      </c>
      <c r="B191" s="66">
        <v>20221</v>
      </c>
      <c r="D191">
        <f t="shared" si="10"/>
        <v>17.944235411046428</v>
      </c>
      <c r="E191">
        <f t="shared" si="11"/>
        <v>17.944235411046428</v>
      </c>
      <c r="G191">
        <f t="shared" ca="1" si="12"/>
        <v>189</v>
      </c>
      <c r="H191">
        <f t="shared" ca="1" si="13"/>
        <v>3391.4604926877751</v>
      </c>
      <c r="I191">
        <f t="shared" ca="1" si="14"/>
        <v>76344.550477089258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13203</v>
      </c>
      <c r="B193" s="66">
        <v>13203</v>
      </c>
      <c r="D193">
        <f t="shared" si="10"/>
        <v>11.716420559420701</v>
      </c>
      <c r="E193">
        <f t="shared" si="11"/>
        <v>11.716420559420701</v>
      </c>
      <c r="G193">
        <f t="shared" ca="1" si="12"/>
        <v>191</v>
      </c>
      <c r="H193">
        <f t="shared" ca="1" si="13"/>
        <v>2237.836326849354</v>
      </c>
      <c r="I193">
        <f t="shared" ca="1" si="14"/>
        <v>52951.801687292173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8058</v>
      </c>
      <c r="B196" s="66">
        <v>8058</v>
      </c>
      <c r="D196">
        <f t="shared" si="15"/>
        <v>7.1507170239954565</v>
      </c>
      <c r="E196">
        <f t="shared" si="16"/>
        <v>7.1507170239954565</v>
      </c>
      <c r="G196">
        <f t="shared" ca="1" si="17"/>
        <v>194</v>
      </c>
      <c r="H196">
        <f t="shared" ca="1" si="18"/>
        <v>1387.2391026551186</v>
      </c>
      <c r="I196">
        <f t="shared" ca="1" si="19"/>
        <v>35266.001600735712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7244</v>
      </c>
      <c r="B198" s="66">
        <v>7244</v>
      </c>
      <c r="D198">
        <f t="shared" si="15"/>
        <v>6.4283685929291492</v>
      </c>
      <c r="E198">
        <f t="shared" si="16"/>
        <v>6.4283685929291492</v>
      </c>
      <c r="G198">
        <f t="shared" ca="1" si="17"/>
        <v>196</v>
      </c>
      <c r="H198">
        <f t="shared" ca="1" si="18"/>
        <v>1259.9602442141133</v>
      </c>
      <c r="I198">
        <f t="shared" ca="1" si="19"/>
        <v>33535.004282074595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5646</v>
      </c>
      <c r="B201" s="66">
        <v>5646</v>
      </c>
      <c r="D201">
        <f t="shared" si="15"/>
        <v>5.0102939088456626</v>
      </c>
      <c r="E201">
        <f t="shared" si="16"/>
        <v>5.0102939088456626</v>
      </c>
      <c r="G201">
        <f t="shared" ca="1" si="17"/>
        <v>199</v>
      </c>
      <c r="H201">
        <f t="shared" ca="1" si="18"/>
        <v>997.04848786028685</v>
      </c>
      <c r="I201">
        <f t="shared" ca="1" si="19"/>
        <v>28353.664293059021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6349</v>
      </c>
      <c r="B203" s="66">
        <v>6349</v>
      </c>
      <c r="D203">
        <f t="shared" si="15"/>
        <v>5.6341402811302004</v>
      </c>
      <c r="E203">
        <f t="shared" si="16"/>
        <v>5.6341402811302004</v>
      </c>
      <c r="G203">
        <f t="shared" ca="1" si="17"/>
        <v>201</v>
      </c>
      <c r="H203">
        <f t="shared" ca="1" si="18"/>
        <v>1132.4621965071703</v>
      </c>
      <c r="I203">
        <f t="shared" ca="1" si="19"/>
        <v>33601.953622584762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5037</v>
      </c>
      <c r="B206" s="66">
        <v>5037</v>
      </c>
      <c r="D206">
        <f t="shared" si="15"/>
        <v>4.4698636944483887</v>
      </c>
      <c r="E206">
        <f t="shared" si="16"/>
        <v>4.4698636944483887</v>
      </c>
      <c r="G206">
        <f t="shared" ca="1" si="17"/>
        <v>204</v>
      </c>
      <c r="H206">
        <f t="shared" ca="1" si="18"/>
        <v>911.85219366747128</v>
      </c>
      <c r="I206">
        <f t="shared" ca="1" si="19"/>
        <v>28769.610535755415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2670</v>
      </c>
      <c r="B209" s="66">
        <v>2670</v>
      </c>
      <c r="D209">
        <f t="shared" si="15"/>
        <v>2.3693738463722847</v>
      </c>
      <c r="E209">
        <f t="shared" si="16"/>
        <v>2.3693738463722847</v>
      </c>
      <c r="G209">
        <f t="shared" ca="1" si="17"/>
        <v>207</v>
      </c>
      <c r="H209">
        <f t="shared" ca="1" si="18"/>
        <v>490.4603861990629</v>
      </c>
      <c r="I209">
        <f t="shared" ca="1" si="19"/>
        <v>16411.970186637904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890</v>
      </c>
      <c r="B211" s="66">
        <v>890</v>
      </c>
      <c r="D211">
        <f t="shared" si="15"/>
        <v>0.78979128212409488</v>
      </c>
      <c r="E211">
        <f t="shared" si="16"/>
        <v>0.78979128212409488</v>
      </c>
      <c r="G211">
        <f t="shared" ca="1" si="17"/>
        <v>209</v>
      </c>
      <c r="H211">
        <f t="shared" ca="1" si="18"/>
        <v>165.06637796393582</v>
      </c>
      <c r="I211">
        <f t="shared" ca="1" si="19"/>
        <v>5736.7433210126619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282</v>
      </c>
      <c r="B214" s="66">
        <v>282</v>
      </c>
      <c r="D214">
        <f t="shared" si="15"/>
        <v>0.25024847366179187</v>
      </c>
      <c r="E214">
        <f t="shared" si="16"/>
        <v>0.25024847366179187</v>
      </c>
      <c r="G214">
        <f t="shared" ca="1" si="17"/>
        <v>212</v>
      </c>
      <c r="H214">
        <f t="shared" ca="1" si="18"/>
        <v>53.052676416299875</v>
      </c>
      <c r="I214">
        <f t="shared" ca="1" si="19"/>
        <v>1947.9292832824351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353</v>
      </c>
      <c r="B1" s="68" t="s">
        <v>354</v>
      </c>
      <c r="C1" s="32" t="s">
        <v>355</v>
      </c>
      <c r="D1" s="32" t="s">
        <v>356</v>
      </c>
      <c r="E1" s="32" t="s">
        <v>357</v>
      </c>
    </row>
    <row r="2" spans="1:5">
      <c r="A2" s="68">
        <v>0.26108100000000001</v>
      </c>
      <c r="B2" s="68">
        <v>0.58475999999999995</v>
      </c>
      <c r="C2" s="68">
        <v>0</v>
      </c>
      <c r="D2" s="68">
        <v>1</v>
      </c>
      <c r="E2" s="68" t="s">
        <v>358</v>
      </c>
    </row>
    <row r="3" spans="1:5">
      <c r="A3" s="68">
        <v>0.26824700000000001</v>
      </c>
      <c r="B3" s="68">
        <v>0.57901599999999998</v>
      </c>
      <c r="C3" s="68">
        <v>0.38425799999999999</v>
      </c>
      <c r="D3" s="89">
        <v>1</v>
      </c>
      <c r="E3" s="68" t="s">
        <v>359</v>
      </c>
    </row>
    <row r="4" spans="1:5">
      <c r="A4" s="68">
        <v>0.27545700000000001</v>
      </c>
      <c r="B4" s="68">
        <v>0.571515</v>
      </c>
      <c r="C4" s="68">
        <v>0.79216799999999998</v>
      </c>
      <c r="D4" s="89">
        <v>1</v>
      </c>
      <c r="E4" s="68" t="s">
        <v>360</v>
      </c>
    </row>
    <row r="5" spans="1:5">
      <c r="A5" s="89">
        <v>0.28247100000000003</v>
      </c>
      <c r="B5" s="89">
        <v>0.561419</v>
      </c>
      <c r="C5" s="89">
        <v>1.1972100000000001</v>
      </c>
      <c r="D5" s="89">
        <v>1</v>
      </c>
      <c r="E5" s="68" t="s">
        <v>361</v>
      </c>
    </row>
    <row r="6" spans="1:5">
      <c r="A6" s="68">
        <v>0.28954999999999997</v>
      </c>
      <c r="B6" s="68">
        <v>0.55076199999999997</v>
      </c>
      <c r="C6" s="68">
        <v>1.6009599999999999</v>
      </c>
      <c r="D6" s="68">
        <v>1</v>
      </c>
      <c r="E6" s="68" t="s">
        <v>362</v>
      </c>
    </row>
    <row r="7" spans="1:5">
      <c r="A7" s="68">
        <v>0.29703000000000002</v>
      </c>
      <c r="B7" s="68">
        <v>0.54004200000000002</v>
      </c>
      <c r="C7" s="68">
        <v>2.0089399999999999</v>
      </c>
      <c r="D7" s="68">
        <v>1</v>
      </c>
      <c r="E7" s="68" t="s">
        <v>363</v>
      </c>
    </row>
    <row r="8" spans="1:5">
      <c r="A8" s="68">
        <v>0.30477599999999999</v>
      </c>
      <c r="B8" s="68">
        <v>0.52924800000000005</v>
      </c>
      <c r="C8" s="68">
        <v>2.4127700000000001</v>
      </c>
      <c r="D8" s="68">
        <v>1</v>
      </c>
      <c r="E8" s="68" t="s">
        <v>364</v>
      </c>
    </row>
    <row r="9" spans="1:5">
      <c r="A9" s="68">
        <v>0.31256800000000001</v>
      </c>
      <c r="B9" s="68">
        <v>0.51767200000000002</v>
      </c>
      <c r="C9" s="68">
        <v>2.8197199999999998</v>
      </c>
      <c r="D9" s="68">
        <v>1</v>
      </c>
      <c r="E9" s="68" t="s">
        <v>365</v>
      </c>
    </row>
    <row r="10" spans="1:5">
      <c r="A10" s="68">
        <v>0.32074900000000001</v>
      </c>
      <c r="B10" s="68">
        <v>0.50381699999999996</v>
      </c>
      <c r="C10" s="68">
        <v>3.2276799999999999</v>
      </c>
      <c r="D10" s="68">
        <v>1</v>
      </c>
      <c r="E10" s="68" t="s">
        <v>366</v>
      </c>
    </row>
    <row r="11" spans="1:5">
      <c r="A11" s="68">
        <v>0.32926</v>
      </c>
      <c r="B11" s="68">
        <v>0.488597</v>
      </c>
      <c r="C11" s="68">
        <v>3.6366299999999998</v>
      </c>
      <c r="D11" s="68">
        <v>1</v>
      </c>
      <c r="E11" s="68" t="s">
        <v>367</v>
      </c>
    </row>
    <row r="12" spans="1:5">
      <c r="A12" s="68">
        <v>0.337696</v>
      </c>
      <c r="B12" s="68">
        <v>0.474379</v>
      </c>
      <c r="C12" s="68">
        <v>4.0414399999999997</v>
      </c>
      <c r="D12" s="68">
        <v>1</v>
      </c>
      <c r="E12" s="68" t="s">
        <v>368</v>
      </c>
    </row>
    <row r="13" spans="1:5">
      <c r="A13" s="68">
        <v>0.34616599999999997</v>
      </c>
      <c r="B13" s="68">
        <v>0.46161400000000002</v>
      </c>
      <c r="C13" s="68">
        <v>4.4465500000000002</v>
      </c>
      <c r="D13" s="68">
        <v>1</v>
      </c>
      <c r="E13" s="68" t="s">
        <v>369</v>
      </c>
    </row>
    <row r="14" spans="1:5">
      <c r="A14" s="68">
        <v>0.354545</v>
      </c>
      <c r="B14" s="68">
        <v>0.44959300000000002</v>
      </c>
      <c r="C14" s="68">
        <v>4.8513000000000002</v>
      </c>
      <c r="D14" s="68">
        <v>1</v>
      </c>
      <c r="E14" s="68" t="s">
        <v>370</v>
      </c>
    </row>
    <row r="15" spans="1:5">
      <c r="A15" s="68">
        <v>0.36296099999999998</v>
      </c>
      <c r="B15" s="68">
        <v>0.437967</v>
      </c>
      <c r="C15" s="68">
        <v>5.2612300000000003</v>
      </c>
      <c r="D15" s="68">
        <v>1</v>
      </c>
      <c r="E15" s="68" t="s">
        <v>371</v>
      </c>
    </row>
    <row r="16" spans="1:5">
      <c r="A16" s="68">
        <v>0.37143900000000002</v>
      </c>
      <c r="B16" s="68">
        <v>0.42595100000000002</v>
      </c>
      <c r="C16" s="68">
        <v>5.6691099999999999</v>
      </c>
      <c r="D16" s="68">
        <v>1</v>
      </c>
      <c r="E16" s="68" t="s">
        <v>372</v>
      </c>
    </row>
    <row r="17" spans="1:5">
      <c r="A17" s="68">
        <v>0.38010699999999997</v>
      </c>
      <c r="B17" s="68">
        <v>0.415182</v>
      </c>
      <c r="C17" s="68">
        <v>6.0730300000000002</v>
      </c>
      <c r="D17" s="68">
        <v>1</v>
      </c>
      <c r="E17" s="68" t="s">
        <v>373</v>
      </c>
    </row>
    <row r="18" spans="1:5">
      <c r="A18" s="68">
        <v>0.38895000000000002</v>
      </c>
      <c r="B18" s="68">
        <v>0.40594000000000002</v>
      </c>
      <c r="C18" s="68">
        <v>6.4779600000000004</v>
      </c>
      <c r="D18" s="68">
        <v>1</v>
      </c>
      <c r="E18" s="68" t="s">
        <v>374</v>
      </c>
    </row>
    <row r="19" spans="1:5">
      <c r="A19" s="68">
        <v>0.39793699999999999</v>
      </c>
      <c r="B19" s="68">
        <v>0.397484</v>
      </c>
      <c r="C19" s="68">
        <v>6.8822099999999997</v>
      </c>
      <c r="D19" s="68">
        <v>1</v>
      </c>
      <c r="E19" s="68" t="s">
        <v>375</v>
      </c>
    </row>
    <row r="20" spans="1:5">
      <c r="A20" s="68">
        <v>0.407053</v>
      </c>
      <c r="B20" s="68">
        <v>0.38905000000000001</v>
      </c>
      <c r="C20" s="68">
        <v>7.28796</v>
      </c>
      <c r="D20" s="68">
        <v>1</v>
      </c>
      <c r="E20" s="68" t="s">
        <v>376</v>
      </c>
    </row>
    <row r="21" spans="1:5">
      <c r="A21" s="68">
        <v>0.41587400000000002</v>
      </c>
      <c r="B21" s="68">
        <v>0.381521</v>
      </c>
      <c r="C21" s="68">
        <v>7.6976899999999997</v>
      </c>
      <c r="D21" s="68">
        <v>1</v>
      </c>
      <c r="E21" s="68" t="s">
        <v>377</v>
      </c>
    </row>
    <row r="22" spans="1:5">
      <c r="A22" s="68">
        <v>0.42434699999999997</v>
      </c>
      <c r="B22" s="68">
        <v>0.37613799999999997</v>
      </c>
      <c r="C22" s="68">
        <v>8.1006699999999991</v>
      </c>
      <c r="D22" s="68">
        <v>1</v>
      </c>
      <c r="E22" s="68" t="s">
        <v>378</v>
      </c>
    </row>
    <row r="23" spans="1:5">
      <c r="A23" s="68">
        <v>0.43230600000000002</v>
      </c>
      <c r="B23" s="68">
        <v>0.37378499999999998</v>
      </c>
      <c r="C23" s="68">
        <v>8.5094999999999992</v>
      </c>
      <c r="D23" s="68">
        <v>1</v>
      </c>
      <c r="E23" s="68" t="s">
        <v>379</v>
      </c>
    </row>
    <row r="24" spans="1:5">
      <c r="A24" s="68">
        <v>0.43994899999999998</v>
      </c>
      <c r="B24" s="68">
        <v>0.37297999999999998</v>
      </c>
      <c r="C24" s="68">
        <v>8.9144400000000008</v>
      </c>
      <c r="D24" s="68">
        <v>1</v>
      </c>
      <c r="E24" s="68" t="s">
        <v>380</v>
      </c>
    </row>
    <row r="25" spans="1:5">
      <c r="A25" s="68">
        <v>0.447326</v>
      </c>
      <c r="B25" s="68">
        <v>0.37331199999999998</v>
      </c>
      <c r="C25" s="68">
        <v>9.3223500000000001</v>
      </c>
      <c r="D25" s="68">
        <v>1</v>
      </c>
      <c r="E25" s="68" t="s">
        <v>381</v>
      </c>
    </row>
    <row r="26" spans="1:5">
      <c r="A26" s="68">
        <v>0.454183</v>
      </c>
      <c r="B26" s="68">
        <v>0.37403900000000001</v>
      </c>
      <c r="C26" s="68">
        <v>9.7257800000000003</v>
      </c>
      <c r="D26" s="68">
        <v>1</v>
      </c>
      <c r="E26" s="68" t="s">
        <v>382</v>
      </c>
    </row>
    <row r="27" spans="1:5">
      <c r="A27" s="68">
        <v>0.46046100000000001</v>
      </c>
      <c r="B27" s="68">
        <v>0.37492999999999999</v>
      </c>
      <c r="C27" s="68">
        <v>10.1328</v>
      </c>
      <c r="D27" s="68">
        <v>1</v>
      </c>
      <c r="E27" s="68" t="s">
        <v>383</v>
      </c>
    </row>
    <row r="28" spans="1:5">
      <c r="A28" s="68">
        <v>0.466339</v>
      </c>
      <c r="B28" s="68">
        <v>0.37650699999999998</v>
      </c>
      <c r="C28" s="68">
        <v>10.542999999999999</v>
      </c>
      <c r="D28" s="68">
        <v>1</v>
      </c>
      <c r="E28" s="68" t="s">
        <v>384</v>
      </c>
    </row>
    <row r="29" spans="1:5">
      <c r="A29" s="68">
        <v>0.47153600000000001</v>
      </c>
      <c r="B29" s="68">
        <v>0.378164</v>
      </c>
      <c r="C29" s="68">
        <v>10.945</v>
      </c>
      <c r="D29" s="68">
        <v>1</v>
      </c>
      <c r="E29" s="68" t="s">
        <v>385</v>
      </c>
    </row>
    <row r="30" spans="1:5">
      <c r="A30" s="68">
        <v>0.47638900000000001</v>
      </c>
      <c r="B30" s="68">
        <v>0.379608</v>
      </c>
      <c r="C30" s="68">
        <v>11.354900000000001</v>
      </c>
      <c r="D30" s="68">
        <v>1</v>
      </c>
      <c r="E30" s="68" t="s">
        <v>386</v>
      </c>
    </row>
    <row r="31" spans="1:5">
      <c r="A31" s="68">
        <v>0.48105399999999998</v>
      </c>
      <c r="B31" s="68">
        <v>0.38091199999999997</v>
      </c>
      <c r="C31" s="68">
        <v>11.7578</v>
      </c>
      <c r="D31" s="68">
        <v>1</v>
      </c>
      <c r="E31" s="68" t="s">
        <v>387</v>
      </c>
    </row>
    <row r="32" spans="1:5">
      <c r="A32" s="68">
        <v>0.48541400000000001</v>
      </c>
      <c r="B32" s="68">
        <v>0.381886</v>
      </c>
      <c r="C32" s="68">
        <v>12.164899999999999</v>
      </c>
      <c r="D32" s="68">
        <v>1</v>
      </c>
      <c r="E32" s="68" t="s">
        <v>388</v>
      </c>
    </row>
    <row r="33" spans="1:5">
      <c r="A33" s="68">
        <v>0.48941899999999999</v>
      </c>
      <c r="B33" s="68">
        <v>0.38214799999999999</v>
      </c>
      <c r="C33" s="68">
        <v>12.573600000000001</v>
      </c>
      <c r="D33" s="68">
        <v>1</v>
      </c>
      <c r="E33" s="68" t="s">
        <v>389</v>
      </c>
    </row>
    <row r="34" spans="1:5">
      <c r="A34" s="68">
        <v>0.492921</v>
      </c>
      <c r="B34" s="68">
        <v>0.38159700000000002</v>
      </c>
      <c r="C34" s="68">
        <v>12.9755</v>
      </c>
      <c r="D34" s="68">
        <v>1</v>
      </c>
      <c r="E34" s="68" t="s">
        <v>390</v>
      </c>
    </row>
    <row r="35" spans="1:5">
      <c r="A35" s="68">
        <v>0.49589100000000003</v>
      </c>
      <c r="B35" s="68">
        <v>0.38010100000000002</v>
      </c>
      <c r="C35" s="68">
        <v>13.383900000000001</v>
      </c>
      <c r="D35" s="68">
        <v>1</v>
      </c>
      <c r="E35" s="68" t="s">
        <v>391</v>
      </c>
    </row>
    <row r="36" spans="1:5">
      <c r="A36" s="68">
        <v>0.49845600000000001</v>
      </c>
      <c r="B36" s="68">
        <v>0.37759100000000001</v>
      </c>
      <c r="C36" s="68">
        <v>13.788399999999999</v>
      </c>
      <c r="D36" s="68">
        <v>1</v>
      </c>
      <c r="E36" s="68" t="s">
        <v>392</v>
      </c>
    </row>
    <row r="37" spans="1:5">
      <c r="A37" s="68">
        <v>0.50103399999999998</v>
      </c>
      <c r="B37" s="68">
        <v>0.37447999999999998</v>
      </c>
      <c r="C37" s="68">
        <v>14.198499999999999</v>
      </c>
      <c r="D37" s="68">
        <v>1</v>
      </c>
      <c r="E37" s="68" t="s">
        <v>393</v>
      </c>
    </row>
    <row r="38" spans="1:5">
      <c r="A38" s="68">
        <v>0.50368999999999997</v>
      </c>
      <c r="B38" s="68">
        <v>0.37092900000000001</v>
      </c>
      <c r="C38" s="68">
        <v>14.600199999999999</v>
      </c>
      <c r="D38" s="68">
        <v>1</v>
      </c>
      <c r="E38" s="68" t="s">
        <v>394</v>
      </c>
    </row>
    <row r="39" spans="1:5">
      <c r="A39" s="68">
        <v>0.50627800000000001</v>
      </c>
      <c r="B39" s="68">
        <v>0.367593</v>
      </c>
      <c r="C39" s="68">
        <v>15.0091</v>
      </c>
      <c r="D39" s="68">
        <v>1</v>
      </c>
      <c r="E39" s="68" t="s">
        <v>395</v>
      </c>
    </row>
    <row r="40" spans="1:5">
      <c r="A40" s="68">
        <v>0.50855099999999998</v>
      </c>
      <c r="B40" s="68">
        <v>0.36457899999999999</v>
      </c>
      <c r="C40" s="68">
        <v>15.414199999999999</v>
      </c>
      <c r="D40" s="68">
        <v>1</v>
      </c>
      <c r="E40" s="68" t="s">
        <v>396</v>
      </c>
    </row>
    <row r="41" spans="1:5">
      <c r="A41" s="68">
        <v>0.51055799999999996</v>
      </c>
      <c r="B41" s="68">
        <v>0.36160900000000001</v>
      </c>
      <c r="C41" s="68">
        <v>15.8209</v>
      </c>
      <c r="D41" s="68">
        <v>1</v>
      </c>
      <c r="E41" s="68" t="s">
        <v>397</v>
      </c>
    </row>
    <row r="42" spans="1:5">
      <c r="A42" s="68">
        <v>0.51232999999999995</v>
      </c>
      <c r="B42" s="68">
        <v>0.35786899999999999</v>
      </c>
      <c r="C42" s="68">
        <v>16.229900000000001</v>
      </c>
      <c r="D42" s="68">
        <v>1</v>
      </c>
      <c r="E42" s="68" t="s">
        <v>398</v>
      </c>
    </row>
    <row r="43" spans="1:5">
      <c r="A43" s="68">
        <v>0.51403200000000004</v>
      </c>
      <c r="B43" s="68">
        <v>0.35322900000000002</v>
      </c>
      <c r="C43" s="68">
        <v>16.634799999999998</v>
      </c>
      <c r="D43" s="68">
        <v>1</v>
      </c>
      <c r="E43" s="68" t="s">
        <v>399</v>
      </c>
    </row>
    <row r="44" spans="1:5">
      <c r="A44" s="68">
        <v>0.51542600000000005</v>
      </c>
      <c r="B44" s="68">
        <v>0.34811700000000001</v>
      </c>
      <c r="C44" s="68">
        <v>17.040700000000001</v>
      </c>
      <c r="D44" s="68">
        <v>1</v>
      </c>
      <c r="E44" s="68" t="s">
        <v>400</v>
      </c>
    </row>
    <row r="45" spans="1:5">
      <c r="A45" s="68">
        <v>0.51655399999999996</v>
      </c>
      <c r="B45" s="68">
        <v>0.34293200000000001</v>
      </c>
      <c r="C45" s="68">
        <v>17.447700000000001</v>
      </c>
      <c r="D45" s="68">
        <v>1</v>
      </c>
      <c r="E45" s="68" t="s">
        <v>401</v>
      </c>
    </row>
    <row r="46" spans="1:5">
      <c r="A46" s="68">
        <v>0.51751400000000003</v>
      </c>
      <c r="B46" s="68">
        <v>0.33795999999999998</v>
      </c>
      <c r="C46" s="68">
        <v>17.8566</v>
      </c>
      <c r="D46" s="68">
        <v>1</v>
      </c>
      <c r="E46" s="68" t="s">
        <v>402</v>
      </c>
    </row>
    <row r="47" spans="1:5">
      <c r="A47" s="68">
        <v>0.51842500000000002</v>
      </c>
      <c r="B47" s="68">
        <v>0.33330199999999999</v>
      </c>
      <c r="C47" s="68">
        <v>18.261399999999998</v>
      </c>
      <c r="D47" s="68">
        <v>1</v>
      </c>
      <c r="E47" s="68" t="s">
        <v>403</v>
      </c>
    </row>
    <row r="48" spans="1:5">
      <c r="A48" s="68">
        <v>0.51964100000000002</v>
      </c>
      <c r="B48" s="68">
        <v>0.32833200000000001</v>
      </c>
      <c r="C48" s="68">
        <v>18.6694</v>
      </c>
      <c r="D48" s="68">
        <v>1</v>
      </c>
      <c r="E48" s="68" t="s">
        <v>404</v>
      </c>
    </row>
    <row r="49" spans="1:5">
      <c r="A49" s="68">
        <v>0.52065499999999998</v>
      </c>
      <c r="B49" s="68">
        <v>0.32345499999999999</v>
      </c>
      <c r="C49" s="68">
        <v>19.067599999999999</v>
      </c>
      <c r="D49" s="68">
        <v>1</v>
      </c>
      <c r="E49" s="68" t="s">
        <v>405</v>
      </c>
    </row>
    <row r="50" spans="1:5">
      <c r="A50" s="68">
        <v>0.52149299999999998</v>
      </c>
      <c r="B50" s="68">
        <v>0.31837399999999999</v>
      </c>
      <c r="C50" s="68">
        <v>19.477399999999999</v>
      </c>
      <c r="D50" s="68">
        <v>1</v>
      </c>
      <c r="E50" s="68" t="s">
        <v>406</v>
      </c>
    </row>
    <row r="51" spans="1:5">
      <c r="A51" s="68">
        <v>0.52230399999999999</v>
      </c>
      <c r="B51" s="68">
        <v>0.31350699999999998</v>
      </c>
      <c r="C51" s="68">
        <v>19.885000000000002</v>
      </c>
      <c r="D51" s="68">
        <v>1</v>
      </c>
      <c r="E51" s="68" t="s">
        <v>407</v>
      </c>
    </row>
    <row r="52" spans="1:5">
      <c r="A52" s="68">
        <v>0.52294200000000002</v>
      </c>
      <c r="B52" s="68">
        <v>0.30998799999999999</v>
      </c>
      <c r="C52" s="68">
        <v>20.290900000000001</v>
      </c>
      <c r="D52" s="68">
        <v>1</v>
      </c>
      <c r="E52" s="68" t="s">
        <v>408</v>
      </c>
    </row>
    <row r="53" spans="1:5">
      <c r="A53" s="68">
        <v>0.52396699999999996</v>
      </c>
      <c r="B53" s="68">
        <v>0.30646600000000002</v>
      </c>
      <c r="C53" s="68">
        <v>20.697900000000001</v>
      </c>
      <c r="D53" s="68">
        <v>1</v>
      </c>
      <c r="E53" s="68" t="s">
        <v>409</v>
      </c>
    </row>
    <row r="54" spans="1:5">
      <c r="A54" s="68">
        <v>0.52513699999999996</v>
      </c>
      <c r="B54" s="68">
        <v>0.30384800000000001</v>
      </c>
      <c r="C54" s="68">
        <v>21.104399999999998</v>
      </c>
      <c r="D54" s="68">
        <v>1</v>
      </c>
      <c r="E54" s="68" t="s">
        <v>410</v>
      </c>
    </row>
    <row r="55" spans="1:5">
      <c r="A55" s="68">
        <v>0.52613399999999999</v>
      </c>
      <c r="B55" s="68">
        <v>0.30127799999999999</v>
      </c>
      <c r="C55" s="68">
        <v>21.5077</v>
      </c>
      <c r="D55" s="68">
        <v>1</v>
      </c>
      <c r="E55" s="68" t="s">
        <v>411</v>
      </c>
    </row>
    <row r="56" spans="1:5">
      <c r="A56" s="68">
        <v>0.52702400000000005</v>
      </c>
      <c r="B56" s="68">
        <v>0.298458</v>
      </c>
      <c r="C56" s="68">
        <v>21.9146</v>
      </c>
      <c r="D56" s="68">
        <v>1</v>
      </c>
      <c r="E56" s="68" t="s">
        <v>412</v>
      </c>
    </row>
    <row r="57" spans="1:5">
      <c r="A57" s="68">
        <v>0.52795499999999995</v>
      </c>
      <c r="B57" s="68">
        <v>0.29498999999999997</v>
      </c>
      <c r="C57" s="68">
        <v>22.323499999999999</v>
      </c>
      <c r="D57" s="68">
        <v>1</v>
      </c>
      <c r="E57" s="68" t="s">
        <v>413</v>
      </c>
    </row>
    <row r="58" spans="1:5">
      <c r="A58" s="68">
        <v>0.52905899999999995</v>
      </c>
      <c r="B58" s="68">
        <v>0.29141299999999998</v>
      </c>
      <c r="C58" s="68">
        <v>22.7285</v>
      </c>
      <c r="D58" s="68">
        <v>1</v>
      </c>
      <c r="E58" s="68" t="s">
        <v>414</v>
      </c>
    </row>
    <row r="59" spans="1:5">
      <c r="A59" s="68">
        <v>0.53018699999999996</v>
      </c>
      <c r="B59" s="68">
        <v>0.28833700000000001</v>
      </c>
      <c r="C59" s="68">
        <v>23.1325</v>
      </c>
      <c r="D59" s="68">
        <v>1</v>
      </c>
      <c r="E59" s="68" t="s">
        <v>415</v>
      </c>
    </row>
    <row r="60" spans="1:5">
      <c r="A60" s="68">
        <v>0.53105100000000005</v>
      </c>
      <c r="B60" s="68">
        <v>0.28565200000000002</v>
      </c>
      <c r="C60" s="68">
        <v>23.539400000000001</v>
      </c>
      <c r="D60" s="68">
        <v>1</v>
      </c>
      <c r="E60" s="68" t="s">
        <v>416</v>
      </c>
    </row>
    <row r="61" spans="1:5">
      <c r="A61" s="68">
        <v>0.53157399999999999</v>
      </c>
      <c r="B61" s="68">
        <v>0.283667</v>
      </c>
      <c r="C61" s="68">
        <v>23.9452</v>
      </c>
      <c r="D61" s="68">
        <v>1</v>
      </c>
      <c r="E61" s="68" t="s">
        <v>417</v>
      </c>
    </row>
    <row r="62" spans="1:5">
      <c r="A62" s="68">
        <v>0.53185700000000002</v>
      </c>
      <c r="B62" s="68">
        <v>0.28242299999999998</v>
      </c>
      <c r="C62" s="68">
        <v>24.3552</v>
      </c>
      <c r="D62" s="68">
        <v>1</v>
      </c>
      <c r="E62" s="68" t="s">
        <v>418</v>
      </c>
    </row>
    <row r="63" spans="1:5">
      <c r="A63" s="68">
        <v>0.53180499999999997</v>
      </c>
      <c r="B63" s="68">
        <v>0.281503</v>
      </c>
      <c r="C63" s="68">
        <v>24.757100000000001</v>
      </c>
      <c r="D63" s="68">
        <v>1</v>
      </c>
      <c r="E63" s="68" t="s">
        <v>419</v>
      </c>
    </row>
    <row r="64" spans="1:5">
      <c r="A64" s="68">
        <v>0.53156999999999999</v>
      </c>
      <c r="B64" s="68">
        <v>0.28068799999999999</v>
      </c>
      <c r="C64" s="68">
        <v>25.165299999999998</v>
      </c>
      <c r="D64" s="68">
        <v>1</v>
      </c>
      <c r="E64" s="68" t="s">
        <v>420</v>
      </c>
    </row>
    <row r="65" spans="1:5">
      <c r="A65" s="68">
        <v>0.53136799999999995</v>
      </c>
      <c r="B65" s="68">
        <v>0.279833</v>
      </c>
      <c r="C65" s="68">
        <v>25.570900000000002</v>
      </c>
      <c r="D65" s="68">
        <v>1</v>
      </c>
      <c r="E65" s="68" t="s">
        <v>421</v>
      </c>
    </row>
    <row r="66" spans="1:5">
      <c r="A66" s="68">
        <v>0.53127899999999995</v>
      </c>
      <c r="B66" s="68">
        <v>0.27857199999999999</v>
      </c>
      <c r="C66" s="68">
        <v>25.976099999999999</v>
      </c>
      <c r="D66" s="68">
        <v>1</v>
      </c>
      <c r="E66" s="68" t="s">
        <v>422</v>
      </c>
    </row>
    <row r="67" spans="1:5">
      <c r="A67" s="68">
        <v>0.53088500000000005</v>
      </c>
      <c r="B67" s="68">
        <v>0.277341</v>
      </c>
      <c r="C67" s="68">
        <v>26.386800000000001</v>
      </c>
      <c r="D67" s="68">
        <v>1</v>
      </c>
      <c r="E67" s="68" t="s">
        <v>423</v>
      </c>
    </row>
    <row r="68" spans="1:5">
      <c r="A68" s="68">
        <v>0.53014899999999998</v>
      </c>
      <c r="B68" s="68">
        <v>0.27616200000000002</v>
      </c>
      <c r="C68" s="68">
        <v>26.790600000000001</v>
      </c>
      <c r="D68" s="68">
        <v>1</v>
      </c>
      <c r="E68" s="68" t="s">
        <v>424</v>
      </c>
    </row>
    <row r="69" spans="1:5">
      <c r="A69" s="68">
        <v>0.52927299999999999</v>
      </c>
      <c r="B69" s="68">
        <v>0.27537099999999998</v>
      </c>
      <c r="C69" s="68">
        <v>27.197500000000002</v>
      </c>
      <c r="D69" s="68">
        <v>1</v>
      </c>
      <c r="E69" s="68" t="s">
        <v>425</v>
      </c>
    </row>
    <row r="70" spans="1:5">
      <c r="A70" s="68">
        <v>0.527397</v>
      </c>
      <c r="B70" s="68">
        <v>0.27494200000000002</v>
      </c>
      <c r="C70" s="68">
        <v>27.604600000000001</v>
      </c>
      <c r="D70" s="68">
        <v>1</v>
      </c>
      <c r="E70" s="68" t="s">
        <v>426</v>
      </c>
    </row>
    <row r="71" spans="1:5">
      <c r="A71" s="68">
        <v>0.52645900000000001</v>
      </c>
      <c r="B71" s="68">
        <v>0.27505499999999999</v>
      </c>
      <c r="C71" s="68">
        <v>28.007400000000001</v>
      </c>
      <c r="D71" s="68">
        <v>1</v>
      </c>
      <c r="E71" s="68" t="s">
        <v>427</v>
      </c>
    </row>
    <row r="72" spans="1:5">
      <c r="A72" s="68">
        <v>0.52466900000000005</v>
      </c>
      <c r="B72" s="68">
        <v>0.27468999999999999</v>
      </c>
      <c r="C72" s="68">
        <v>28.4133</v>
      </c>
      <c r="D72" s="68">
        <v>1</v>
      </c>
      <c r="E72" s="68" t="s">
        <v>428</v>
      </c>
    </row>
    <row r="73" spans="1:5">
      <c r="A73" s="68">
        <v>0.52256899999999995</v>
      </c>
      <c r="B73" s="68">
        <v>0.274758</v>
      </c>
      <c r="C73" s="68">
        <v>28.821400000000001</v>
      </c>
      <c r="D73" s="68">
        <v>1</v>
      </c>
      <c r="E73" s="68" t="s">
        <v>429</v>
      </c>
    </row>
    <row r="74" spans="1:5">
      <c r="A74" s="68">
        <v>0.52055300000000004</v>
      </c>
      <c r="B74" s="68">
        <v>0.27476800000000001</v>
      </c>
      <c r="C74" s="68">
        <v>29.228100000000001</v>
      </c>
      <c r="D74" s="68">
        <v>1</v>
      </c>
      <c r="E74" s="68" t="s">
        <v>430</v>
      </c>
    </row>
    <row r="75" spans="1:5">
      <c r="A75" s="68">
        <v>0.51848300000000003</v>
      </c>
      <c r="B75" s="68">
        <v>0.27472299999999999</v>
      </c>
      <c r="C75" s="68">
        <v>29.6311</v>
      </c>
      <c r="D75" s="68">
        <v>1</v>
      </c>
      <c r="E75" s="68" t="s">
        <v>431</v>
      </c>
    </row>
    <row r="76" spans="1:5">
      <c r="A76" s="68">
        <v>0.51648300000000003</v>
      </c>
      <c r="B76" s="68">
        <v>0.27491900000000002</v>
      </c>
      <c r="C76" s="68">
        <v>30.041899999999998</v>
      </c>
      <c r="D76" s="68">
        <v>1</v>
      </c>
      <c r="E76" s="68" t="s">
        <v>432</v>
      </c>
    </row>
    <row r="77" spans="1:5">
      <c r="A77" s="68">
        <v>0.51405900000000004</v>
      </c>
      <c r="B77" s="68">
        <v>0.27484799999999998</v>
      </c>
      <c r="C77" s="68">
        <v>30.616599999999998</v>
      </c>
      <c r="D77" s="68">
        <v>2</v>
      </c>
      <c r="E77" s="68" t="s">
        <v>433</v>
      </c>
    </row>
    <row r="78" spans="1:5">
      <c r="A78" s="68">
        <v>0.51217699999999999</v>
      </c>
      <c r="B78" s="68">
        <v>0.27422400000000002</v>
      </c>
      <c r="C78" s="68">
        <v>30.9954</v>
      </c>
      <c r="D78" s="68">
        <v>2</v>
      </c>
      <c r="E78" s="68" t="s">
        <v>434</v>
      </c>
    </row>
    <row r="79" spans="1:5">
      <c r="A79" s="68">
        <v>0.51028399999999996</v>
      </c>
      <c r="B79" s="68">
        <v>0.27347300000000002</v>
      </c>
      <c r="C79" s="68">
        <v>31.368400000000001</v>
      </c>
      <c r="D79" s="68">
        <v>2</v>
      </c>
      <c r="E79" s="68" t="s">
        <v>435</v>
      </c>
    </row>
    <row r="80" spans="1:5">
      <c r="A80" s="68">
        <v>0.50831599999999999</v>
      </c>
      <c r="B80" s="68">
        <v>0.27280300000000002</v>
      </c>
      <c r="C80" s="68">
        <v>31.743400000000001</v>
      </c>
      <c r="D80" s="68">
        <v>2</v>
      </c>
      <c r="E80" s="68" t="s">
        <v>436</v>
      </c>
    </row>
    <row r="81" spans="1:5">
      <c r="A81" s="68">
        <v>0.50615299999999996</v>
      </c>
      <c r="B81" s="68">
        <v>0.27272800000000003</v>
      </c>
      <c r="C81" s="68">
        <v>32.118600000000001</v>
      </c>
      <c r="D81" s="68">
        <v>2</v>
      </c>
      <c r="E81" s="68" t="s">
        <v>437</v>
      </c>
    </row>
    <row r="82" spans="1:5">
      <c r="A82" s="68">
        <v>0.50362300000000004</v>
      </c>
      <c r="B82" s="68">
        <v>0.27332099999999998</v>
      </c>
      <c r="C82" s="68">
        <v>32.527299999999997</v>
      </c>
      <c r="D82" s="68">
        <v>2</v>
      </c>
      <c r="E82" s="68" t="s">
        <v>438</v>
      </c>
    </row>
    <row r="83" spans="1:5">
      <c r="A83" s="68">
        <v>0.50114099999999995</v>
      </c>
      <c r="B83" s="68">
        <v>0.27393699999999999</v>
      </c>
      <c r="C83" s="68">
        <v>32.933300000000003</v>
      </c>
      <c r="D83" s="68">
        <v>2</v>
      </c>
      <c r="E83" s="68" t="s">
        <v>439</v>
      </c>
    </row>
    <row r="84" spans="1:5">
      <c r="A84" s="68">
        <v>0.49885099999999999</v>
      </c>
      <c r="B84" s="68">
        <v>0.27466299999999999</v>
      </c>
      <c r="C84" s="68">
        <v>33.335099999999997</v>
      </c>
      <c r="D84" s="68">
        <v>2</v>
      </c>
      <c r="E84" s="68" t="s">
        <v>440</v>
      </c>
    </row>
    <row r="85" spans="1:5">
      <c r="A85" s="68">
        <v>0.49686599999999997</v>
      </c>
      <c r="B85" s="68">
        <v>0.274312</v>
      </c>
      <c r="C85" s="68">
        <v>33.744999999999997</v>
      </c>
      <c r="D85" s="68">
        <v>2</v>
      </c>
      <c r="E85" s="68" t="s">
        <v>441</v>
      </c>
    </row>
    <row r="86" spans="1:5">
      <c r="A86" s="68">
        <v>0.49474400000000002</v>
      </c>
      <c r="B86" s="68">
        <v>0.27403899999999998</v>
      </c>
      <c r="C86" s="68">
        <v>34.148099999999999</v>
      </c>
      <c r="D86" s="68">
        <v>2</v>
      </c>
      <c r="E86" s="68" t="s">
        <v>442</v>
      </c>
    </row>
    <row r="87" spans="1:5">
      <c r="A87" s="68">
        <v>0.49243599999999998</v>
      </c>
      <c r="B87" s="68">
        <v>0.27396300000000001</v>
      </c>
      <c r="C87" s="68">
        <v>34.557899999999997</v>
      </c>
      <c r="D87" s="68">
        <v>2</v>
      </c>
      <c r="E87" s="68" t="s">
        <v>443</v>
      </c>
    </row>
    <row r="88" spans="1:5">
      <c r="A88" s="68">
        <v>0.489898</v>
      </c>
      <c r="B88" s="68">
        <v>0.27396700000000002</v>
      </c>
      <c r="C88" s="68">
        <v>34.9651</v>
      </c>
      <c r="D88" s="68">
        <v>2</v>
      </c>
      <c r="E88" s="68" t="s">
        <v>444</v>
      </c>
    </row>
    <row r="89" spans="1:5">
      <c r="A89" s="68">
        <v>0.48708499999999999</v>
      </c>
      <c r="B89" s="68">
        <v>0.27374300000000001</v>
      </c>
      <c r="C89" s="68">
        <v>35.366</v>
      </c>
      <c r="D89" s="68">
        <v>2</v>
      </c>
      <c r="E89" s="68" t="s">
        <v>445</v>
      </c>
    </row>
    <row r="90" spans="1:5">
      <c r="A90" s="68">
        <v>0.48382700000000001</v>
      </c>
      <c r="B90" s="68">
        <v>0.27458300000000002</v>
      </c>
      <c r="C90" s="68">
        <v>35.773600000000002</v>
      </c>
      <c r="D90" s="68">
        <v>2</v>
      </c>
      <c r="E90" s="68" t="s">
        <v>446</v>
      </c>
    </row>
    <row r="91" spans="1:5">
      <c r="A91" s="68">
        <v>0.48027399999999998</v>
      </c>
      <c r="B91" s="68">
        <v>0.27588499999999999</v>
      </c>
      <c r="C91" s="68">
        <v>36.181899999999999</v>
      </c>
      <c r="D91" s="68">
        <v>2</v>
      </c>
      <c r="E91" s="68" t="s">
        <v>447</v>
      </c>
    </row>
    <row r="92" spans="1:5">
      <c r="A92" s="68">
        <v>0.47693000000000002</v>
      </c>
      <c r="B92" s="68">
        <v>0.27707799999999999</v>
      </c>
      <c r="C92" s="68">
        <v>36.5884</v>
      </c>
      <c r="D92" s="68">
        <v>2</v>
      </c>
      <c r="E92" s="68" t="s">
        <v>448</v>
      </c>
    </row>
    <row r="93" spans="1:5">
      <c r="A93" s="68">
        <v>0.473694</v>
      </c>
      <c r="B93" s="68">
        <v>0.27828199999999997</v>
      </c>
      <c r="C93" s="68">
        <v>36.993400000000001</v>
      </c>
      <c r="D93" s="68">
        <v>2</v>
      </c>
      <c r="E93" s="68" t="s">
        <v>449</v>
      </c>
    </row>
    <row r="94" spans="1:5">
      <c r="A94" s="68">
        <v>0.47103200000000001</v>
      </c>
      <c r="B94" s="68">
        <v>0.27871400000000002</v>
      </c>
      <c r="C94" s="68">
        <v>37.3994</v>
      </c>
      <c r="D94" s="68">
        <v>2</v>
      </c>
      <c r="E94" s="68" t="s">
        <v>450</v>
      </c>
    </row>
    <row r="95" spans="1:5">
      <c r="A95" s="68">
        <v>0.46873799999999999</v>
      </c>
      <c r="B95" s="68">
        <v>0.27807199999999999</v>
      </c>
      <c r="C95" s="68">
        <v>37.805100000000003</v>
      </c>
      <c r="D95" s="68">
        <v>2</v>
      </c>
      <c r="E95" s="68" t="s">
        <v>451</v>
      </c>
    </row>
    <row r="96" spans="1:5">
      <c r="A96" s="68">
        <v>0.46694600000000003</v>
      </c>
      <c r="B96" s="68">
        <v>0.277061</v>
      </c>
      <c r="C96" s="68">
        <v>38.212400000000002</v>
      </c>
      <c r="D96" s="68">
        <v>2</v>
      </c>
      <c r="E96" s="68" t="s">
        <v>452</v>
      </c>
    </row>
    <row r="97" spans="1:5">
      <c r="A97" s="68">
        <v>0.46554400000000001</v>
      </c>
      <c r="B97" s="68">
        <v>0.27609800000000001</v>
      </c>
      <c r="C97" s="68">
        <v>38.619</v>
      </c>
      <c r="D97" s="68">
        <v>2</v>
      </c>
      <c r="E97" s="68" t="s">
        <v>453</v>
      </c>
    </row>
    <row r="98" spans="1:5">
      <c r="A98" s="68">
        <v>0.46428799999999998</v>
      </c>
      <c r="B98" s="68">
        <v>0.27548099999999998</v>
      </c>
      <c r="C98" s="68">
        <v>39.019300000000001</v>
      </c>
      <c r="D98" s="68">
        <v>2</v>
      </c>
      <c r="E98" s="68" t="s">
        <v>454</v>
      </c>
    </row>
    <row r="99" spans="1:5">
      <c r="A99" s="68">
        <v>0.463615</v>
      </c>
      <c r="B99" s="68">
        <v>0.27570099999999997</v>
      </c>
      <c r="C99" s="68">
        <v>39.432899999999997</v>
      </c>
      <c r="D99" s="68">
        <v>2</v>
      </c>
      <c r="E99" s="68" t="s">
        <v>455</v>
      </c>
    </row>
    <row r="100" spans="1:5">
      <c r="A100" s="68">
        <v>0.46307999999999999</v>
      </c>
      <c r="B100" s="68">
        <v>0.27637400000000001</v>
      </c>
      <c r="C100" s="68">
        <v>39.837699999999998</v>
      </c>
      <c r="D100" s="68">
        <v>2</v>
      </c>
      <c r="E100" s="68" t="s">
        <v>456</v>
      </c>
    </row>
    <row r="101" spans="1:5">
      <c r="A101" s="68">
        <v>0.46221899999999999</v>
      </c>
      <c r="B101" s="68">
        <v>0.277503</v>
      </c>
      <c r="C101" s="68">
        <v>40.241700000000002</v>
      </c>
      <c r="D101" s="68">
        <v>2</v>
      </c>
      <c r="E101" s="68" t="s">
        <v>457</v>
      </c>
    </row>
    <row r="102" spans="1:5">
      <c r="A102" s="68">
        <v>0.46100099999999999</v>
      </c>
      <c r="B102" s="68">
        <v>0.27900799999999998</v>
      </c>
      <c r="C102" s="68">
        <v>40.651600000000002</v>
      </c>
      <c r="D102" s="68">
        <v>2</v>
      </c>
      <c r="E102" s="68" t="s">
        <v>458</v>
      </c>
    </row>
    <row r="103" spans="1:5">
      <c r="A103" s="68">
        <v>0.45965699999999998</v>
      </c>
      <c r="B103" s="68">
        <v>0.28114099999999997</v>
      </c>
      <c r="C103" s="68">
        <v>41.055500000000002</v>
      </c>
      <c r="D103" s="68">
        <v>2</v>
      </c>
      <c r="E103" s="68" t="s">
        <v>459</v>
      </c>
    </row>
    <row r="104" spans="1:5">
      <c r="A104" s="68">
        <v>0.45814700000000003</v>
      </c>
      <c r="B104" s="68">
        <v>0.28344900000000001</v>
      </c>
      <c r="C104" s="68">
        <v>41.464399999999998</v>
      </c>
      <c r="D104" s="68">
        <v>2</v>
      </c>
      <c r="E104" s="68" t="s">
        <v>460</v>
      </c>
    </row>
    <row r="105" spans="1:5">
      <c r="A105" s="68">
        <v>0.456316</v>
      </c>
      <c r="B105" s="68">
        <v>0.28631899999999999</v>
      </c>
      <c r="C105" s="68">
        <v>41.8673</v>
      </c>
      <c r="D105" s="68">
        <v>2</v>
      </c>
      <c r="E105" s="68" t="s">
        <v>461</v>
      </c>
    </row>
    <row r="106" spans="1:5">
      <c r="A106" s="68">
        <v>0.45469500000000002</v>
      </c>
      <c r="B106" s="68">
        <v>0.28959299999999999</v>
      </c>
      <c r="C106" s="68">
        <v>42.273200000000003</v>
      </c>
      <c r="D106" s="68">
        <v>2</v>
      </c>
      <c r="E106" s="68" t="s">
        <v>462</v>
      </c>
    </row>
    <row r="107" spans="1:5">
      <c r="A107" s="68">
        <v>0.45308999999999999</v>
      </c>
      <c r="B107" s="68">
        <v>0.29367799999999999</v>
      </c>
      <c r="C107" s="68">
        <v>42.681199999999997</v>
      </c>
      <c r="D107" s="68">
        <v>2</v>
      </c>
      <c r="E107" s="68" t="s">
        <v>463</v>
      </c>
    </row>
    <row r="108" spans="1:5">
      <c r="A108" s="68">
        <v>0.45151200000000002</v>
      </c>
      <c r="B108" s="68">
        <v>0.29852800000000002</v>
      </c>
      <c r="C108" s="68">
        <v>43.089100000000002</v>
      </c>
      <c r="D108" s="68">
        <v>2</v>
      </c>
      <c r="E108" s="68" t="s">
        <v>464</v>
      </c>
    </row>
    <row r="109" spans="1:5">
      <c r="A109" s="68">
        <v>0.45005400000000001</v>
      </c>
      <c r="B109" s="68">
        <v>0.30364000000000002</v>
      </c>
      <c r="C109" s="68">
        <v>43.494999999999997</v>
      </c>
      <c r="D109" s="68">
        <v>2</v>
      </c>
      <c r="E109" s="68" t="s">
        <v>465</v>
      </c>
    </row>
    <row r="110" spans="1:5">
      <c r="A110" s="68">
        <v>0.44908700000000001</v>
      </c>
      <c r="B110" s="68">
        <v>0.30808999999999997</v>
      </c>
      <c r="C110" s="68">
        <v>43.901899999999998</v>
      </c>
      <c r="D110" s="68">
        <v>2</v>
      </c>
      <c r="E110" s="68" t="s">
        <v>466</v>
      </c>
    </row>
    <row r="111" spans="1:5">
      <c r="A111" s="68">
        <v>0.44870399999999999</v>
      </c>
      <c r="B111" s="68">
        <v>0.311529</v>
      </c>
      <c r="C111" s="68">
        <v>44.305900000000001</v>
      </c>
      <c r="D111" s="68">
        <v>2</v>
      </c>
      <c r="E111" s="68" t="s">
        <v>467</v>
      </c>
    </row>
    <row r="112" spans="1:5">
      <c r="A112" s="68">
        <v>0.448849</v>
      </c>
      <c r="B112" s="68">
        <v>0.31408199999999997</v>
      </c>
      <c r="C112" s="68">
        <v>44.7089</v>
      </c>
      <c r="D112" s="68">
        <v>2</v>
      </c>
      <c r="E112" s="68" t="s">
        <v>468</v>
      </c>
    </row>
    <row r="113" spans="1:5">
      <c r="A113" s="68">
        <v>0.449739</v>
      </c>
      <c r="B113" s="68">
        <v>0.315191</v>
      </c>
      <c r="C113" s="68">
        <v>45.120699999999999</v>
      </c>
      <c r="D113" s="68">
        <v>2</v>
      </c>
      <c r="E113" s="68" t="s">
        <v>469</v>
      </c>
    </row>
    <row r="114" spans="1:5">
      <c r="A114" s="68">
        <v>0.45127099999999998</v>
      </c>
      <c r="B114" s="68">
        <v>0.31521900000000003</v>
      </c>
      <c r="C114" s="68">
        <v>45.525500000000001</v>
      </c>
      <c r="D114" s="68">
        <v>2</v>
      </c>
      <c r="E114" s="68" t="s">
        <v>470</v>
      </c>
    </row>
    <row r="115" spans="1:5">
      <c r="A115" s="68">
        <v>0.45271099999999997</v>
      </c>
      <c r="B115" s="68">
        <v>0.31554700000000002</v>
      </c>
      <c r="C115" s="68">
        <v>45.9315</v>
      </c>
      <c r="D115" s="68">
        <v>2</v>
      </c>
      <c r="E115" s="68" t="s">
        <v>471</v>
      </c>
    </row>
    <row r="116" spans="1:5">
      <c r="A116" s="68">
        <v>0.45455899999999999</v>
      </c>
      <c r="B116" s="68">
        <v>0.31555899999999998</v>
      </c>
      <c r="C116" s="68">
        <v>46.336500000000001</v>
      </c>
      <c r="D116" s="68">
        <v>2</v>
      </c>
      <c r="E116" s="68" t="s">
        <v>472</v>
      </c>
    </row>
    <row r="117" spans="1:5">
      <c r="A117" s="68">
        <v>0.45647599999999999</v>
      </c>
      <c r="B117" s="68">
        <v>0.31565399999999999</v>
      </c>
      <c r="C117" s="68">
        <v>46.744399999999999</v>
      </c>
      <c r="D117" s="68">
        <v>2</v>
      </c>
      <c r="E117" s="68" t="s">
        <v>473</v>
      </c>
    </row>
    <row r="118" spans="1:5">
      <c r="A118" s="68">
        <v>0.458401</v>
      </c>
      <c r="B118" s="68">
        <v>0.31625599999999998</v>
      </c>
      <c r="C118" s="68">
        <v>47.149299999999997</v>
      </c>
      <c r="D118" s="68">
        <v>2</v>
      </c>
      <c r="E118" s="68" t="s">
        <v>474</v>
      </c>
    </row>
    <row r="119" spans="1:5">
      <c r="A119" s="68">
        <v>0.46019700000000002</v>
      </c>
      <c r="B119" s="68">
        <v>0.31785099999999999</v>
      </c>
      <c r="C119" s="68">
        <v>47.558500000000002</v>
      </c>
      <c r="D119" s="68">
        <v>2</v>
      </c>
      <c r="E119" s="68" t="s">
        <v>475</v>
      </c>
    </row>
    <row r="120" spans="1:5">
      <c r="A120" s="68">
        <v>0.46193800000000002</v>
      </c>
      <c r="B120" s="68">
        <v>0.319689</v>
      </c>
      <c r="C120" s="68">
        <v>47.965200000000003</v>
      </c>
      <c r="D120" s="68">
        <v>2</v>
      </c>
      <c r="E120" s="68" t="s">
        <v>476</v>
      </c>
    </row>
    <row r="121" spans="1:5">
      <c r="A121" s="68">
        <v>0.46359299999999998</v>
      </c>
      <c r="B121" s="68">
        <v>0.32138100000000003</v>
      </c>
      <c r="C121" s="68">
        <v>48.368899999999996</v>
      </c>
      <c r="D121" s="68">
        <v>2</v>
      </c>
      <c r="E121" s="68" t="s">
        <v>477</v>
      </c>
    </row>
    <row r="122" spans="1:5">
      <c r="A122" s="68">
        <v>0.46503100000000003</v>
      </c>
      <c r="B122" s="68">
        <v>0.32308100000000001</v>
      </c>
      <c r="C122" s="68">
        <v>48.772100000000002</v>
      </c>
      <c r="D122" s="68">
        <v>2</v>
      </c>
      <c r="E122" s="68" t="s">
        <v>478</v>
      </c>
    </row>
    <row r="123" spans="1:5">
      <c r="A123" s="68">
        <v>0.46603600000000001</v>
      </c>
      <c r="B123" s="68">
        <v>0.32475500000000002</v>
      </c>
      <c r="C123" s="68">
        <v>49.182099999999998</v>
      </c>
      <c r="D123" s="68">
        <v>2</v>
      </c>
      <c r="E123" s="68" t="s">
        <v>479</v>
      </c>
    </row>
    <row r="124" spans="1:5">
      <c r="A124" s="68">
        <v>0.46659600000000001</v>
      </c>
      <c r="B124" s="68">
        <v>0.32633000000000001</v>
      </c>
      <c r="C124" s="68">
        <v>49.5867</v>
      </c>
      <c r="D124" s="68">
        <v>2</v>
      </c>
      <c r="E124" s="68" t="s">
        <v>480</v>
      </c>
    </row>
    <row r="125" spans="1:5">
      <c r="A125" s="68">
        <v>0.46707399999999999</v>
      </c>
      <c r="B125" s="68">
        <v>0.328038</v>
      </c>
      <c r="C125" s="68">
        <v>49.992600000000003</v>
      </c>
      <c r="D125" s="68">
        <v>2</v>
      </c>
      <c r="E125" s="68" t="s">
        <v>481</v>
      </c>
    </row>
    <row r="126" spans="1:5">
      <c r="A126" s="68">
        <v>0.46752100000000002</v>
      </c>
      <c r="B126" s="68">
        <v>0.32906800000000003</v>
      </c>
      <c r="C126" s="68">
        <v>50.399500000000003</v>
      </c>
      <c r="D126" s="68">
        <v>2</v>
      </c>
      <c r="E126" s="68" t="s">
        <v>482</v>
      </c>
    </row>
    <row r="127" spans="1:5">
      <c r="A127" s="68">
        <v>0.468082</v>
      </c>
      <c r="B127" s="68">
        <v>0.32939299999999999</v>
      </c>
      <c r="C127" s="68">
        <v>50.805399999999999</v>
      </c>
      <c r="D127" s="68">
        <v>2</v>
      </c>
      <c r="E127" s="68" t="s">
        <v>483</v>
      </c>
    </row>
    <row r="128" spans="1:5">
      <c r="A128" s="68">
        <v>0.46883399999999997</v>
      </c>
      <c r="B128" s="68">
        <v>0.32946199999999998</v>
      </c>
      <c r="C128" s="68">
        <v>51.211399999999998</v>
      </c>
      <c r="D128" s="68">
        <v>2</v>
      </c>
      <c r="E128" s="68" t="s">
        <v>484</v>
      </c>
    </row>
    <row r="129" spans="1:5">
      <c r="A129" s="68">
        <v>0.46987400000000001</v>
      </c>
      <c r="B129" s="68">
        <v>0.32959500000000003</v>
      </c>
      <c r="C129" s="68">
        <v>51.619199999999999</v>
      </c>
      <c r="D129" s="68">
        <v>2</v>
      </c>
      <c r="E129" s="68" t="s">
        <v>485</v>
      </c>
    </row>
    <row r="130" spans="1:5">
      <c r="A130" s="68">
        <v>0.471385</v>
      </c>
      <c r="B130" s="68">
        <v>0.32958300000000001</v>
      </c>
      <c r="C130" s="68">
        <v>52.025100000000002</v>
      </c>
      <c r="D130" s="68">
        <v>2</v>
      </c>
      <c r="E130" s="68" t="s">
        <v>486</v>
      </c>
    </row>
    <row r="131" spans="1:5">
      <c r="A131" s="68">
        <v>0.47300700000000001</v>
      </c>
      <c r="B131" s="68">
        <v>0.32930300000000001</v>
      </c>
      <c r="C131" s="68">
        <v>52.432299999999998</v>
      </c>
      <c r="D131" s="68">
        <v>2</v>
      </c>
      <c r="E131" s="68" t="s">
        <v>487</v>
      </c>
    </row>
    <row r="132" spans="1:5">
      <c r="A132" s="68">
        <v>0.47477000000000003</v>
      </c>
      <c r="B132" s="68">
        <v>0.32900400000000002</v>
      </c>
      <c r="C132" s="68">
        <v>52.835000000000001</v>
      </c>
      <c r="D132" s="68">
        <v>2</v>
      </c>
      <c r="E132" s="68" t="s">
        <v>488</v>
      </c>
    </row>
    <row r="133" spans="1:5">
      <c r="A133" s="68">
        <v>0.47650399999999998</v>
      </c>
      <c r="B133" s="68">
        <v>0.32862200000000003</v>
      </c>
      <c r="C133" s="68">
        <v>53.243899999999996</v>
      </c>
      <c r="D133" s="68">
        <v>2</v>
      </c>
      <c r="E133" s="68" t="s">
        <v>489</v>
      </c>
    </row>
    <row r="134" spans="1:5">
      <c r="A134" s="68">
        <v>0.47808400000000001</v>
      </c>
      <c r="B134" s="68">
        <v>0.32825199999999999</v>
      </c>
      <c r="C134" s="68">
        <v>53.649900000000002</v>
      </c>
      <c r="D134" s="68">
        <v>2</v>
      </c>
      <c r="E134" s="68" t="s">
        <v>490</v>
      </c>
    </row>
    <row r="135" spans="1:5">
      <c r="A135" s="68">
        <v>0.47938799999999998</v>
      </c>
      <c r="B135" s="68">
        <v>0.328347</v>
      </c>
      <c r="C135" s="68">
        <v>54.054000000000002</v>
      </c>
      <c r="D135" s="68">
        <v>2</v>
      </c>
      <c r="E135" s="68" t="s">
        <v>491</v>
      </c>
    </row>
    <row r="136" spans="1:5">
      <c r="A136" s="68">
        <v>0.48035099999999997</v>
      </c>
      <c r="B136" s="68">
        <v>0.32830799999999999</v>
      </c>
      <c r="C136" s="68">
        <v>54.4636</v>
      </c>
      <c r="D136" s="68">
        <v>2</v>
      </c>
      <c r="E136" s="68" t="s">
        <v>492</v>
      </c>
    </row>
    <row r="137" spans="1:5">
      <c r="A137" s="68">
        <v>0.48097400000000001</v>
      </c>
      <c r="B137" s="68">
        <v>0.328071</v>
      </c>
      <c r="C137" s="68">
        <v>54.870600000000003</v>
      </c>
      <c r="D137" s="68">
        <v>2</v>
      </c>
      <c r="E137" s="68" t="s">
        <v>493</v>
      </c>
    </row>
    <row r="138" spans="1:5">
      <c r="A138" s="68">
        <v>0.480991</v>
      </c>
      <c r="B138" s="68">
        <v>0.32849899999999999</v>
      </c>
      <c r="C138" s="68">
        <v>55.273400000000002</v>
      </c>
      <c r="D138" s="68">
        <v>2</v>
      </c>
      <c r="E138" s="68" t="s">
        <v>494</v>
      </c>
    </row>
    <row r="139" spans="1:5">
      <c r="A139" s="68">
        <v>0.480514</v>
      </c>
      <c r="B139" s="68">
        <v>0.32987300000000003</v>
      </c>
      <c r="C139" s="68">
        <v>55.6813</v>
      </c>
      <c r="D139" s="68">
        <v>2</v>
      </c>
      <c r="E139" s="68" t="s">
        <v>495</v>
      </c>
    </row>
    <row r="140" spans="1:5">
      <c r="A140" s="68">
        <v>0.48034100000000002</v>
      </c>
      <c r="B140" s="68">
        <v>0.33097500000000002</v>
      </c>
      <c r="C140" s="68">
        <v>56.084600000000002</v>
      </c>
      <c r="D140" s="68">
        <v>2</v>
      </c>
      <c r="E140" s="68" t="s">
        <v>496</v>
      </c>
    </row>
    <row r="141" spans="1:5">
      <c r="A141" s="68">
        <v>0.47986899999999999</v>
      </c>
      <c r="B141" s="68">
        <v>0.33298100000000003</v>
      </c>
      <c r="C141" s="68">
        <v>56.495199999999997</v>
      </c>
      <c r="D141" s="68">
        <v>2</v>
      </c>
      <c r="E141" s="68" t="s">
        <v>497</v>
      </c>
    </row>
    <row r="142" spans="1:5">
      <c r="A142" s="68">
        <v>0.47946299999999997</v>
      </c>
      <c r="B142" s="68">
        <v>0.335536</v>
      </c>
      <c r="C142" s="68">
        <v>56.898299999999999</v>
      </c>
      <c r="D142" s="68">
        <v>2</v>
      </c>
      <c r="E142" s="68" t="s">
        <v>498</v>
      </c>
    </row>
    <row r="143" spans="1:5">
      <c r="A143" s="68">
        <v>0.47897400000000001</v>
      </c>
      <c r="B143" s="68">
        <v>0.33785799999999999</v>
      </c>
      <c r="C143" s="68">
        <v>57.308100000000003</v>
      </c>
      <c r="D143" s="68">
        <v>2</v>
      </c>
      <c r="E143" s="68" t="s">
        <v>499</v>
      </c>
    </row>
    <row r="144" spans="1:5">
      <c r="A144" s="68">
        <v>0.47844599999999998</v>
      </c>
      <c r="B144" s="68">
        <v>0.33948499999999998</v>
      </c>
      <c r="C144" s="68">
        <v>57.713000000000001</v>
      </c>
      <c r="D144" s="68">
        <v>2</v>
      </c>
      <c r="E144" s="68" t="s">
        <v>500</v>
      </c>
    </row>
    <row r="145" spans="1:5">
      <c r="A145" s="68">
        <v>0.47778599999999999</v>
      </c>
      <c r="B145" s="68">
        <v>0.34081</v>
      </c>
      <c r="C145" s="68">
        <v>58.118099999999998</v>
      </c>
      <c r="D145" s="68">
        <v>2</v>
      </c>
      <c r="E145" s="68" t="s">
        <v>501</v>
      </c>
    </row>
    <row r="146" spans="1:5">
      <c r="A146" s="68">
        <v>0.47641600000000001</v>
      </c>
      <c r="B146" s="68">
        <v>0.34350700000000001</v>
      </c>
      <c r="C146" s="68">
        <v>58.522799999999997</v>
      </c>
      <c r="D146" s="68">
        <v>2</v>
      </c>
      <c r="E146" s="68" t="s">
        <v>502</v>
      </c>
    </row>
    <row r="147" spans="1:5">
      <c r="A147" s="68">
        <v>0.47482200000000002</v>
      </c>
      <c r="B147" s="68">
        <v>0.34667100000000001</v>
      </c>
      <c r="C147" s="68">
        <v>58.932000000000002</v>
      </c>
      <c r="D147" s="68">
        <v>2</v>
      </c>
      <c r="E147" s="68" t="s">
        <v>503</v>
      </c>
    </row>
    <row r="148" spans="1:5">
      <c r="A148" s="68">
        <v>0.47371099999999999</v>
      </c>
      <c r="B148" s="68">
        <v>0.35157699999999997</v>
      </c>
      <c r="C148" s="68">
        <v>59.339599999999997</v>
      </c>
      <c r="D148" s="68">
        <v>2</v>
      </c>
      <c r="E148" s="68" t="s">
        <v>504</v>
      </c>
    </row>
    <row r="149" spans="1:5">
      <c r="A149" s="68">
        <v>0.47360600000000003</v>
      </c>
      <c r="B149" s="68">
        <v>0.35576099999999999</v>
      </c>
      <c r="C149" s="68">
        <v>59.7425</v>
      </c>
      <c r="D149" s="68">
        <v>2</v>
      </c>
      <c r="E149" s="68" t="s">
        <v>505</v>
      </c>
    </row>
    <row r="150" spans="1:5">
      <c r="A150" s="68">
        <v>0.47350300000000001</v>
      </c>
      <c r="B150" s="68">
        <v>0.36082599999999998</v>
      </c>
      <c r="C150" s="32">
        <v>60.150700000000001</v>
      </c>
      <c r="D150" s="32">
        <v>2</v>
      </c>
      <c r="E150" s="32" t="s">
        <v>506</v>
      </c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507</v>
      </c>
      <c r="B1" s="66" t="s">
        <v>508</v>
      </c>
      <c r="C1" s="66" t="s">
        <v>510</v>
      </c>
      <c r="D1" s="66" t="s">
        <v>511</v>
      </c>
      <c r="E1" s="66" t="s">
        <v>512</v>
      </c>
      <c r="F1" s="66" t="s">
        <v>346</v>
      </c>
      <c r="G1" s="66" t="s">
        <v>294</v>
      </c>
      <c r="H1" s="66" t="s">
        <v>513</v>
      </c>
      <c r="I1" s="66" t="s">
        <v>514</v>
      </c>
      <c r="J1" s="66" t="s">
        <v>515</v>
      </c>
      <c r="K1" s="66" t="s">
        <v>516</v>
      </c>
      <c r="L1" s="66" t="s">
        <v>517</v>
      </c>
      <c r="M1" s="66" t="s">
        <v>518</v>
      </c>
      <c r="N1" s="66"/>
    </row>
    <row r="2" spans="1:14">
      <c r="A2" s="75">
        <v>43608.394502314812</v>
      </c>
      <c r="B2" s="66" t="s">
        <v>509</v>
      </c>
      <c r="C2" s="66"/>
      <c r="D2" s="66"/>
      <c r="E2" s="66">
        <v>4.9234099999999996</v>
      </c>
      <c r="F2" s="66">
        <v>2.38971</v>
      </c>
      <c r="G2" s="66">
        <v>0.70785600000000004</v>
      </c>
      <c r="H2" s="66">
        <v>0</v>
      </c>
      <c r="I2" s="66">
        <v>112688</v>
      </c>
      <c r="J2" s="66">
        <v>147</v>
      </c>
      <c r="K2" s="66">
        <v>147</v>
      </c>
      <c r="L2" s="66">
        <v>0</v>
      </c>
      <c r="M2" s="66" t="s">
        <v>519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2019-05-23T01:28:38Z</cp:lastPrinted>
  <dcterms:created xsi:type="dcterms:W3CDTF">2010-10-29T12:53:05Z</dcterms:created>
  <dcterms:modified xsi:type="dcterms:W3CDTF">2019-05-23T01:29:44Z</dcterms:modified>
</cp:coreProperties>
</file>