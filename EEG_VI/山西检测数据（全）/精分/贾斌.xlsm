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<sst xmlns="http://schemas.openxmlformats.org/spreadsheetml/2006/main" count="701" uniqueCount="517">
  <si>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</si>
  <si>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</si>
  <si>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</si>
  <si>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</si>
  <si>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</si>
  <si>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</si>
  <si>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</si>
  <si>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</si>
  <si>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</si>
  <si>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</si>
  <si>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</si>
  <si>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</si>
  <si>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</si>
  <si>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</si>
  <si>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</si>
  <si>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</si>
  <si>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</si>
  <si>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</si>
  <si>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</si>
  <si>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</si>
  <si>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</si>
  <si>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</si>
  <si>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</si>
  <si>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</si>
  <si>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</si>
  <si>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</si>
  <si>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</si>
  <si>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</si>
  <si>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</si>
  <si>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</si>
  <si>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</si>
  <si>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</si>
  <si>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</si>
  <si>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</si>
  <si>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</si>
  <si>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</si>
  <si>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</si>
  <si>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</si>
  <si>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</si>
  <si>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</si>
  <si>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</si>
  <si>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</si>
  <si>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</si>
  <si>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</si>
  <si>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</si>
  <si>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</si>
  <si>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</si>
  <si>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</si>
  <si>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</si>
  <si>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</si>
  <si>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</si>
  <si>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</si>
  <si>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</si>
  <si>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</si>
  <si>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</si>
  <si>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</si>
  <si>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</si>
  <si>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</si>
  <si>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</si>
  <si>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</si>
  <si>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</si>
  <si>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</si>
  <si>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</si>
  <si>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</si>
  <si>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</si>
  <si>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</si>
  <si>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</si>
  <si>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</si>
  <si>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</si>
  <si>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</si>
  <si>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</si>
  <si>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</si>
  <si>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</si>
  <si>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</si>
  <si>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</si>
  <si>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</si>
  <si>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</si>
  <si>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</si>
  <si>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</si>
  <si>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</si>
  <si>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</si>
  <si>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</si>
  <si>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</si>
  <si>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</si>
  <si>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</si>
  <si>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</si>
  <si>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</si>
  <si>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</si>
  <si>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</si>
  <si>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</si>
  <si>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</si>
  <si>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</si>
  <si>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</si>
  <si>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</si>
  <si>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</si>
  <si>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</si>
  <si>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</si>
  <si>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</si>
  <si>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</si>
  <si>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</si>
  <si>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</si>
  <si>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</si>
  <si>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</si>
  <si>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</si>
  <si>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</si>
  <si>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</si>
  <si>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</si>
  <si>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</si>
  <si>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</si>
  <si>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</si>
  <si>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</si>
  <si>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</si>
  <si>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</si>
  <si>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</si>
  <si>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</si>
  <si>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</si>
  <si>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</si>
  <si>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</si>
  <si>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</si>
  <si>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</si>
  <si>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</si>
  <si>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</si>
  <si>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</si>
  <si>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</si>
  <si>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</si>
  <si>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</si>
  <si>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</si>
  <si>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</si>
  <si>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</si>
  <si>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</si>
  <si>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</si>
  <si>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</si>
  <si>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</si>
  <si>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</si>
  <si>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</si>
  <si>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</si>
  <si>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</si>
  <si>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</si>
  <si>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</si>
  <si>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</si>
  <si>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</si>
  <si>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</si>
  <si>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</si>
  <si>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</si>
  <si>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</si>
  <si>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</si>
  <si>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</si>
  <si>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</si>
  <si>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</si>
  <si>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</si>
  <si>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</si>
  <si>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</si>
  <si>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</si>
  <si>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</si>
  <si>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</si>
  <si>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</si>
  <si>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</si>
  <si>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</si>
  <si>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</si>
  <si>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</si>
  <si>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</si>
  <si>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</si>
  <si>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</si>
  <si>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</si>
  <si>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</si>
  <si>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</si>
  <si>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</si>
  <si>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</si>
  <si>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</si>
  <si>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</si>
  <si>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</si>
  <si>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</si>
  <si>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</si>
  <si>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</si>
  <si>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</si>
  <si>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</si>
  <si>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</si>
  <si>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</si>
  <si>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</si>
  <si>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</si>
  <si>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</si>
  <si>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</si>
  <si>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</si>
  <si>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</si>
  <si>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</si>
  <si>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</si>
  <si>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</si>
  <si>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</si>
  <si>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</si>
  <si>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</si>
  <si>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</si>
  <si>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</si>
  <si>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</si>
  <si>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</si>
  <si>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</si>
  <si>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</si>
  <si>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</si>
  <si>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</si>
  <si>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</si>
  <si>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</si>
  <si>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</si>
  <si>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</si>
  <si>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</si>
  <si>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</si>
  <si>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</si>
  <si>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</si>
  <si>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</si>
  <si>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</si>
  <si>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</si>
  <si>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</si>
  <si>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</si>
  <si>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</si>
  <si>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</si>
  <si>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</si>
  <si>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</si>
  <si>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</si>
  <si>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</si>
  <si>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</si>
  <si>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</si>
  <si>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</si>
  <si>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</si>
  <si>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</si>
  <si>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</si>
  <si>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</si>
  <si>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</si>
  <si>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</si>
  <si>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</si>
  <si>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</si>
  <si>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</si>
  <si>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</si>
  <si>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</si>
  <si>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</si>
  <si>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</si>
  <si>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</si>
  <si>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</si>
  <si>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</si>
  <si>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</si>
  <si>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</si>
  <si>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</si>
  <si>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</si>
  <si>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</si>
  <si>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</si>
  <si>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</si>
  <si>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</si>
  <si>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</si>
  <si>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</si>
  <si>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</si>
  <si>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</si>
  <si>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</si>
  <si>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</si>
  <si>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</si>
  <si>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</si>
  <si>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</si>
  <si>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</si>
  <si>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</si>
  <si>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</si>
  <si>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</si>
  <si>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</si>
  <si>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</si>
  <si>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</si>
  <si>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</si>
  <si>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</si>
  <si>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</si>
  <si>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</si>
  <si>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</si>
  <si>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</si>
  <si>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</si>
  <si>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</si>
  <si>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</si>
  <si>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</si>
  <si>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</si>
  <si>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</si>
  <si>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</si>
  <si>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</si>
  <si>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</si>
  <si>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</si>
  <si>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</si>
  <si>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</si>
  <si>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</si>
  <si>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</si>
  <si>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</si>
  <si>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</si>
  <si>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</si>
  <si>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</si>
  <si>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</si>
  <si>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</si>
  <si>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</si>
  <si>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</si>
  <si>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</si>
  <si>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</si>
  <si>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</si>
  <si>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</si>
  <si>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</si>
  <si>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</si>
  <si>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</si>
  <si>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</si>
  <si>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</si>
  <si>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</si>
  <si>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</si>
  <si>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</si>
  <si>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</si>
  <si>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</si>
  <si>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</si>
  <si>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</si>
  <si>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</si>
  <si>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</si>
  <si>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</si>
  <si>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</si>
  <si>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</si>
  <si>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</si>
  <si>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</si>
  <si>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</si>
  <si>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</si>
  <si>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</si>
  <si>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</si>
  <si>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</si>
  <si>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</si>
  <si>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</si>
  <si>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</si>
  <si>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</si>
  <si>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</si>
  <si>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</si>
  <si>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</si>
  <si>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</si>
  <si>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</si>
  <si>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</si>
  <si>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</si>
  <si>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</si>
  <si>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</si>
  <si>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</si>
  <si>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</si>
  <si>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</si>
  <si>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</si>
  <si>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</si>
  <si>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</si>
  <si>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</si>
  <si>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</si>
  <si>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</si>
  <si>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</si>
  <si>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</si>
  <si>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</si>
  <si>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</si>
  <si>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</si>
  <si>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</si>
  <si>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</si>
  <si>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</si>
  <si>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</si>
  <si>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</si>
  <si>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</si>
  <si>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</si>
  <si>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</si>
  <si>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</si>
  <si>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</si>
  <si>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</si>
  <si>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</si>
  <si>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[0.401827]</t>
  </si>
  <si>
    <t>1 [0.809883]</t>
  </si>
  <si>
    <t>1 [1.218627]</t>
  </si>
  <si>
    <t>1 [1.622516]</t>
  </si>
  <si>
    <t>1 [2.028506]</t>
  </si>
  <si>
    <t>1 [2.438390]</t>
  </si>
  <si>
    <t>1 [2.839308]</t>
  </si>
  <si>
    <t>1 [3.246191]</t>
  </si>
  <si>
    <t>1 [3.652160]</t>
  </si>
  <si>
    <t>1 [4.058287]</t>
  </si>
  <si>
    <t>1 [4.469911]</t>
  </si>
  <si>
    <t>1 [4.874822]</t>
  </si>
  <si>
    <t>1 [5.283275]</t>
  </si>
  <si>
    <t>1 [5.684693]</t>
  </si>
  <si>
    <t>1 [6.091682]</t>
  </si>
  <si>
    <t>1 [6.498846]</t>
  </si>
  <si>
    <t>1 [6.906804]</t>
  </si>
  <si>
    <t>1 [7.313360]</t>
  </si>
  <si>
    <t>1 [7.720551]</t>
  </si>
  <si>
    <t>1 [8.122932]</t>
  </si>
  <si>
    <t>1 [8.530066]</t>
  </si>
  <si>
    <t>1 [8.938143]</t>
  </si>
  <si>
    <t>1 [9.342892]</t>
  </si>
  <si>
    <t>1 [9.747882]</t>
  </si>
  <si>
    <t>1 [10.154979]</t>
  </si>
  <si>
    <t>1 [10.558585]</t>
  </si>
  <si>
    <t>1 [10.965845]</t>
  </si>
  <si>
    <t>1 [11.374417]</t>
  </si>
  <si>
    <t>1 [11.778393]</t>
  </si>
  <si>
    <t>1 [12.187384]</t>
  </si>
  <si>
    <t>1 [12.593236]</t>
  </si>
  <si>
    <t>1 [12.999446]</t>
  </si>
  <si>
    <t>1 [13.404027]</t>
  </si>
  <si>
    <t>1 [13.809909]</t>
  </si>
  <si>
    <t>1 [14.218160]</t>
  </si>
  <si>
    <t>1 [14.624760]</t>
  </si>
  <si>
    <t>1 [15.029739]</t>
  </si>
  <si>
    <t>1 [15.438569]</t>
  </si>
  <si>
    <t>1 [15.843512]</t>
  </si>
  <si>
    <t>1 [16.247433]</t>
  </si>
  <si>
    <t>1 [16.655380]</t>
  </si>
  <si>
    <t>1 [17.061271]</t>
  </si>
  <si>
    <t>1 [17.467170]</t>
  </si>
  <si>
    <t>1 [17.872113]</t>
  </si>
  <si>
    <t>1 [18.278974]</t>
  </si>
  <si>
    <t>1 [18.685003]</t>
  </si>
  <si>
    <t>1 [19.093842]</t>
  </si>
  <si>
    <t>1 [19.499984]</t>
  </si>
  <si>
    <t>1 [19.902662]</t>
  </si>
  <si>
    <t>1 [20.310577]</t>
  </si>
  <si>
    <t>1 [20.715841]</t>
  </si>
  <si>
    <t>1 [21.120426]</t>
  </si>
  <si>
    <t>1 [21.528456]</t>
  </si>
  <si>
    <t>1 [21.934223]</t>
  </si>
  <si>
    <t>1 [22.344246]</t>
  </si>
  <si>
    <t>1 [22.751056]</t>
  </si>
  <si>
    <t>1 [23.155900]</t>
  </si>
  <si>
    <t>1 [23.558872]</t>
  </si>
  <si>
    <t>1 [23.970842]</t>
  </si>
  <si>
    <t>1 [24.373715]</t>
  </si>
  <si>
    <t>1 [24.779635]</t>
  </si>
  <si>
    <t>1 [25.185522]</t>
  </si>
  <si>
    <t>1 [25.590441]</t>
  </si>
  <si>
    <t>1 [25.999775]</t>
  </si>
  <si>
    <t>1 [26.408403]</t>
  </si>
  <si>
    <t>1 [26.814205]</t>
  </si>
  <si>
    <t>1 [27.223137]</t>
  </si>
  <si>
    <t>1 [27.621979]</t>
  </si>
  <si>
    <t>1 [28.027174]</t>
  </si>
  <si>
    <t>1 [28.434822]</t>
  </si>
  <si>
    <t>1 [28.843715]</t>
  </si>
  <si>
    <t>1 [29.247706]</t>
  </si>
  <si>
    <t>1 [29.654694]</t>
  </si>
  <si>
    <t>2 [30.059555]</t>
  </si>
  <si>
    <t>2 [30.652881]</t>
  </si>
  <si>
    <t>2 [31.026864]</t>
  </si>
  <si>
    <t>2 [31.404965]</t>
  </si>
  <si>
    <t>2 [31.778041]</t>
  </si>
  <si>
    <t>2 [32.155988]</t>
  </si>
  <si>
    <t>2 [32.560906]</t>
  </si>
  <si>
    <t>2 [32.966736]</t>
  </si>
  <si>
    <t>2 [33.374679]</t>
  </si>
  <si>
    <t>2 [33.778559]</t>
  </si>
  <si>
    <t>2 [34.186904]</t>
  </si>
  <si>
    <t>2 [34.594416]</t>
  </si>
  <si>
    <t>2 [34.996315]</t>
  </si>
  <si>
    <t>2 [35.402422]</t>
  </si>
  <si>
    <t>2 [35.807248]</t>
  </si>
  <si>
    <t>2 [36.217141]</t>
  </si>
  <si>
    <t>2 [36.622951]</t>
  </si>
  <si>
    <t>2 [37.026906]</t>
  </si>
  <si>
    <t>2 [37.435317]</t>
  </si>
  <si>
    <t>2 [37.844796]</t>
  </si>
  <si>
    <t>2 [38.250642]</t>
  </si>
  <si>
    <t>2 [38.657626]</t>
  </si>
  <si>
    <t>2 [39.059444]</t>
  </si>
  <si>
    <t>2 [39.464440]</t>
  </si>
  <si>
    <t>2 [39.873256]</t>
  </si>
  <si>
    <t>2 [40.280169]</t>
  </si>
  <si>
    <t>2 [40.684141]</t>
  </si>
  <si>
    <t>2 [41.089058]</t>
  </si>
  <si>
    <t>2 [41.496311]</t>
  </si>
  <si>
    <t>2 [41.900901]</t>
  </si>
  <si>
    <t>2 [42.312045]</t>
  </si>
  <si>
    <t>2 [42.718616]</t>
  </si>
  <si>
    <t>2 [43.122559]</t>
  </si>
  <si>
    <t>2 [43.526473]</t>
  </si>
  <si>
    <t>2 [43.933428]</t>
  </si>
  <si>
    <t>2 [44.341390]</t>
  </si>
  <si>
    <t>2 [44.748414]</t>
  </si>
  <si>
    <t>2 [45.154154]</t>
  </si>
  <si>
    <t>2 [45.556122]</t>
  </si>
  <si>
    <t>2 [45.965119]</t>
  </si>
  <si>
    <t>2 [46.372812]</t>
  </si>
  <si>
    <t>2 [46.780790]</t>
  </si>
  <si>
    <t>2 [47.186776]</t>
  </si>
  <si>
    <t>2 [47.593773]</t>
  </si>
  <si>
    <t>2 [48.001551]</t>
  </si>
  <si>
    <t>2 [48.406511]</t>
  </si>
  <si>
    <t>2 [48.811472]</t>
  </si>
  <si>
    <t>2 [49.218380]</t>
  </si>
  <si>
    <t>2 [49.621187]</t>
  </si>
  <si>
    <t>2 [50.028389]</t>
  </si>
  <si>
    <t>2 [50.435028]</t>
  </si>
  <si>
    <t>2 [50.841911]</t>
  </si>
  <si>
    <t>2 [51.249840]</t>
  </si>
  <si>
    <t>2 [51.651774]</t>
  </si>
  <si>
    <t>2 [52.057725]</t>
  </si>
  <si>
    <t>2 [52.464569]</t>
  </si>
  <si>
    <t>2 [52.874692]</t>
  </si>
  <si>
    <t>2 [53.280335]</t>
  </si>
  <si>
    <t>2 [53.686308]</t>
  </si>
  <si>
    <t>2 [54.094352]</t>
  </si>
  <si>
    <t>2 [54.498365]</t>
  </si>
  <si>
    <t>2 [54.901075]</t>
  </si>
  <si>
    <t>2 [55.309942]</t>
  </si>
  <si>
    <t>2 [55.718019]</t>
  </si>
  <si>
    <t>2 [56.121436]</t>
  </si>
  <si>
    <t>2 [56.529696]</t>
  </si>
  <si>
    <t>2 [56.933698]</t>
  </si>
  <si>
    <t>2 [57.341535]</t>
  </si>
  <si>
    <t>2 [57.748692]</t>
  </si>
  <si>
    <t>2 [58.156393]</t>
  </si>
  <si>
    <t>2 [58.562301]</t>
  </si>
  <si>
    <t>2 [58.968421]</t>
  </si>
  <si>
    <t>2 [59.374095]</t>
  </si>
  <si>
    <t>2 [59.779058]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</si>
  <si>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</si>
  <si>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</si>
  <si>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</si>
  <si>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</si>
  <si>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</si>
  <si>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</si>
  <si>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</si>
  <si>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</si>
  <si>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</si>
  <si>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</si>
  <si>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</si>
  <si>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</si>
  <si>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</si>
  <si>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</si>
  <si>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贾斌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</si>
</sst>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44.485300000000002</c:v>
                </c:pt>
                <c:pt idx="1">
                  <c:v>32.603299999999997</c:v>
                </c:pt>
                <c:pt idx="2">
                  <c:v>25.109100000000002</c:v>
                </c:pt>
                <c:pt idx="3">
                  <c:v>34.116199999999999</c:v>
                </c:pt>
                <c:pt idx="4">
                  <c:v>66.27</c:v>
                </c:pt>
                <c:pt idx="5">
                  <c:v>74.9679</c:v>
                </c:pt>
                <c:pt idx="6">
                  <c:v>17.669699999999999</c:v>
                </c:pt>
                <c:pt idx="7">
                  <c:v>69.589399999999998</c:v>
                </c:pt>
                <c:pt idx="8">
                  <c:v>20.261700000000001</c:v>
                </c:pt>
                <c:pt idx="9">
                  <c:v>31.435600000000001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0.48802715901457799</c:v>
                </c:pt>
                <c:pt idx="1">
                  <c:v>0.29114117625700675</c:v>
                </c:pt>
                <c:pt idx="2">
                  <c:v>0.22083166472841517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8056</c:v>
                </c:pt>
                <c:pt idx="7">
                  <c:v>0</c:v>
                </c:pt>
                <c:pt idx="8">
                  <c:v>13136</c:v>
                </c:pt>
                <c:pt idx="9">
                  <c:v>0</c:v>
                </c:pt>
                <c:pt idx="10">
                  <c:v>0</c:v>
                </c:pt>
                <c:pt idx="11">
                  <c:v>27774</c:v>
                </c:pt>
                <c:pt idx="12">
                  <c:v>0</c:v>
                </c:pt>
                <c:pt idx="13">
                  <c:v>33524</c:v>
                </c:pt>
                <c:pt idx="14">
                  <c:v>0</c:v>
                </c:pt>
                <c:pt idx="15">
                  <c:v>0</c:v>
                </c:pt>
                <c:pt idx="16">
                  <c:v>43362</c:v>
                </c:pt>
                <c:pt idx="17">
                  <c:v>0</c:v>
                </c:pt>
                <c:pt idx="18">
                  <c:v>0</c:v>
                </c:pt>
                <c:pt idx="19">
                  <c:v>58571</c:v>
                </c:pt>
                <c:pt idx="20">
                  <c:v>0</c:v>
                </c:pt>
                <c:pt idx="21">
                  <c:v>72249</c:v>
                </c:pt>
                <c:pt idx="22">
                  <c:v>0</c:v>
                </c:pt>
                <c:pt idx="23">
                  <c:v>0</c:v>
                </c:pt>
                <c:pt idx="24">
                  <c:v>89645</c:v>
                </c:pt>
                <c:pt idx="25">
                  <c:v>0</c:v>
                </c:pt>
                <c:pt idx="26">
                  <c:v>88991</c:v>
                </c:pt>
                <c:pt idx="27">
                  <c:v>0</c:v>
                </c:pt>
                <c:pt idx="28">
                  <c:v>0</c:v>
                </c:pt>
                <c:pt idx="29">
                  <c:v>99072</c:v>
                </c:pt>
                <c:pt idx="30">
                  <c:v>0</c:v>
                </c:pt>
                <c:pt idx="31">
                  <c:v>94733</c:v>
                </c:pt>
                <c:pt idx="32">
                  <c:v>0</c:v>
                </c:pt>
                <c:pt idx="33">
                  <c:v>0</c:v>
                </c:pt>
                <c:pt idx="34">
                  <c:v>99390</c:v>
                </c:pt>
                <c:pt idx="35">
                  <c:v>0</c:v>
                </c:pt>
                <c:pt idx="36">
                  <c:v>0</c:v>
                </c:pt>
                <c:pt idx="37">
                  <c:v>94663</c:v>
                </c:pt>
                <c:pt idx="38">
                  <c:v>0</c:v>
                </c:pt>
                <c:pt idx="39">
                  <c:v>103843</c:v>
                </c:pt>
                <c:pt idx="40">
                  <c:v>0</c:v>
                </c:pt>
                <c:pt idx="41">
                  <c:v>0</c:v>
                </c:pt>
                <c:pt idx="42">
                  <c:v>110790</c:v>
                </c:pt>
                <c:pt idx="43">
                  <c:v>0</c:v>
                </c:pt>
                <c:pt idx="44">
                  <c:v>121089</c:v>
                </c:pt>
                <c:pt idx="45">
                  <c:v>0</c:v>
                </c:pt>
                <c:pt idx="46">
                  <c:v>0</c:v>
                </c:pt>
                <c:pt idx="47">
                  <c:v>112368</c:v>
                </c:pt>
                <c:pt idx="48">
                  <c:v>0</c:v>
                </c:pt>
                <c:pt idx="49">
                  <c:v>127715</c:v>
                </c:pt>
                <c:pt idx="50">
                  <c:v>0</c:v>
                </c:pt>
                <c:pt idx="51">
                  <c:v>0</c:v>
                </c:pt>
                <c:pt idx="52">
                  <c:v>126313</c:v>
                </c:pt>
                <c:pt idx="53">
                  <c:v>0</c:v>
                </c:pt>
                <c:pt idx="54">
                  <c:v>0</c:v>
                </c:pt>
                <c:pt idx="55">
                  <c:v>130244</c:v>
                </c:pt>
                <c:pt idx="56">
                  <c:v>0</c:v>
                </c:pt>
                <c:pt idx="57">
                  <c:v>133161</c:v>
                </c:pt>
                <c:pt idx="58">
                  <c:v>0</c:v>
                </c:pt>
                <c:pt idx="59">
                  <c:v>0</c:v>
                </c:pt>
                <c:pt idx="60">
                  <c:v>146778</c:v>
                </c:pt>
                <c:pt idx="61">
                  <c:v>0</c:v>
                </c:pt>
                <c:pt idx="62">
                  <c:v>159077</c:v>
                </c:pt>
                <c:pt idx="63">
                  <c:v>0</c:v>
                </c:pt>
                <c:pt idx="64">
                  <c:v>0</c:v>
                </c:pt>
                <c:pt idx="65">
                  <c:v>161588</c:v>
                </c:pt>
                <c:pt idx="66">
                  <c:v>0</c:v>
                </c:pt>
                <c:pt idx="67">
                  <c:v>171505</c:v>
                </c:pt>
                <c:pt idx="68">
                  <c:v>0</c:v>
                </c:pt>
                <c:pt idx="69">
                  <c:v>0</c:v>
                </c:pt>
                <c:pt idx="70">
                  <c:v>173803</c:v>
                </c:pt>
                <c:pt idx="71">
                  <c:v>0</c:v>
                </c:pt>
                <c:pt idx="72">
                  <c:v>0</c:v>
                </c:pt>
                <c:pt idx="73">
                  <c:v>175839</c:v>
                </c:pt>
                <c:pt idx="74">
                  <c:v>0</c:v>
                </c:pt>
                <c:pt idx="75">
                  <c:v>154148</c:v>
                </c:pt>
                <c:pt idx="76">
                  <c:v>0</c:v>
                </c:pt>
                <c:pt idx="77">
                  <c:v>0</c:v>
                </c:pt>
                <c:pt idx="78">
                  <c:v>153309</c:v>
                </c:pt>
                <c:pt idx="79">
                  <c:v>0</c:v>
                </c:pt>
                <c:pt idx="80">
                  <c:v>151485</c:v>
                </c:pt>
                <c:pt idx="81">
                  <c:v>0</c:v>
                </c:pt>
                <c:pt idx="82">
                  <c:v>0</c:v>
                </c:pt>
                <c:pt idx="83">
                  <c:v>156417</c:v>
                </c:pt>
                <c:pt idx="84">
                  <c:v>0</c:v>
                </c:pt>
                <c:pt idx="85">
                  <c:v>0</c:v>
                </c:pt>
                <c:pt idx="86">
                  <c:v>152651</c:v>
                </c:pt>
                <c:pt idx="87">
                  <c:v>0</c:v>
                </c:pt>
                <c:pt idx="88">
                  <c:v>159816</c:v>
                </c:pt>
                <c:pt idx="89">
                  <c:v>0</c:v>
                </c:pt>
                <c:pt idx="90">
                  <c:v>0</c:v>
                </c:pt>
                <c:pt idx="91">
                  <c:v>162506</c:v>
                </c:pt>
                <c:pt idx="92">
                  <c:v>0</c:v>
                </c:pt>
                <c:pt idx="93">
                  <c:v>166470</c:v>
                </c:pt>
                <c:pt idx="94">
                  <c:v>0</c:v>
                </c:pt>
                <c:pt idx="95">
                  <c:v>0</c:v>
                </c:pt>
                <c:pt idx="96">
                  <c:v>160826</c:v>
                </c:pt>
                <c:pt idx="97">
                  <c:v>0</c:v>
                </c:pt>
                <c:pt idx="98">
                  <c:v>146288</c:v>
                </c:pt>
                <c:pt idx="99">
                  <c:v>0</c:v>
                </c:pt>
                <c:pt idx="100">
                  <c:v>0</c:v>
                </c:pt>
                <c:pt idx="101">
                  <c:v>132600</c:v>
                </c:pt>
                <c:pt idx="102">
                  <c:v>0</c:v>
                </c:pt>
                <c:pt idx="103">
                  <c:v>0</c:v>
                </c:pt>
                <c:pt idx="104">
                  <c:v>119681</c:v>
                </c:pt>
                <c:pt idx="105">
                  <c:v>0</c:v>
                </c:pt>
                <c:pt idx="106">
                  <c:v>107197</c:v>
                </c:pt>
                <c:pt idx="107">
                  <c:v>0</c:v>
                </c:pt>
                <c:pt idx="108">
                  <c:v>0</c:v>
                </c:pt>
                <c:pt idx="109">
                  <c:v>98920</c:v>
                </c:pt>
                <c:pt idx="110">
                  <c:v>0</c:v>
                </c:pt>
                <c:pt idx="111">
                  <c:v>92736</c:v>
                </c:pt>
                <c:pt idx="112">
                  <c:v>0</c:v>
                </c:pt>
                <c:pt idx="113">
                  <c:v>0</c:v>
                </c:pt>
                <c:pt idx="114">
                  <c:v>79216</c:v>
                </c:pt>
                <c:pt idx="115">
                  <c:v>0</c:v>
                </c:pt>
                <c:pt idx="116">
                  <c:v>75036</c:v>
                </c:pt>
                <c:pt idx="117">
                  <c:v>0</c:v>
                </c:pt>
                <c:pt idx="118">
                  <c:v>0</c:v>
                </c:pt>
                <c:pt idx="119">
                  <c:v>59458</c:v>
                </c:pt>
                <c:pt idx="120">
                  <c:v>0</c:v>
                </c:pt>
                <c:pt idx="121">
                  <c:v>0</c:v>
                </c:pt>
                <c:pt idx="122">
                  <c:v>52494</c:v>
                </c:pt>
                <c:pt idx="123">
                  <c:v>0</c:v>
                </c:pt>
                <c:pt idx="124">
                  <c:v>51214</c:v>
                </c:pt>
                <c:pt idx="125">
                  <c:v>0</c:v>
                </c:pt>
                <c:pt idx="126">
                  <c:v>0</c:v>
                </c:pt>
                <c:pt idx="127">
                  <c:v>45599</c:v>
                </c:pt>
                <c:pt idx="128">
                  <c:v>0</c:v>
                </c:pt>
                <c:pt idx="129">
                  <c:v>42872</c:v>
                </c:pt>
                <c:pt idx="130">
                  <c:v>0</c:v>
                </c:pt>
                <c:pt idx="131">
                  <c:v>0</c:v>
                </c:pt>
                <c:pt idx="132">
                  <c:v>38792</c:v>
                </c:pt>
                <c:pt idx="133">
                  <c:v>0</c:v>
                </c:pt>
                <c:pt idx="134">
                  <c:v>35029</c:v>
                </c:pt>
                <c:pt idx="135">
                  <c:v>0</c:v>
                </c:pt>
                <c:pt idx="136">
                  <c:v>0</c:v>
                </c:pt>
                <c:pt idx="137">
                  <c:v>35046</c:v>
                </c:pt>
                <c:pt idx="138">
                  <c:v>0</c:v>
                </c:pt>
                <c:pt idx="139">
                  <c:v>0</c:v>
                </c:pt>
                <c:pt idx="140">
                  <c:v>33157</c:v>
                </c:pt>
                <c:pt idx="141">
                  <c:v>0</c:v>
                </c:pt>
                <c:pt idx="142">
                  <c:v>29824</c:v>
                </c:pt>
                <c:pt idx="143">
                  <c:v>0</c:v>
                </c:pt>
                <c:pt idx="144">
                  <c:v>0</c:v>
                </c:pt>
                <c:pt idx="145">
                  <c:v>29846</c:v>
                </c:pt>
                <c:pt idx="146">
                  <c:v>0</c:v>
                </c:pt>
                <c:pt idx="147">
                  <c:v>28217</c:v>
                </c:pt>
                <c:pt idx="148">
                  <c:v>0</c:v>
                </c:pt>
                <c:pt idx="149">
                  <c:v>0</c:v>
                </c:pt>
                <c:pt idx="150">
                  <c:v>28694</c:v>
                </c:pt>
                <c:pt idx="151">
                  <c:v>0</c:v>
                </c:pt>
                <c:pt idx="152">
                  <c:v>24437</c:v>
                </c:pt>
                <c:pt idx="153">
                  <c:v>0</c:v>
                </c:pt>
                <c:pt idx="154">
                  <c:v>0</c:v>
                </c:pt>
                <c:pt idx="155">
                  <c:v>21664</c:v>
                </c:pt>
                <c:pt idx="156">
                  <c:v>0</c:v>
                </c:pt>
                <c:pt idx="157">
                  <c:v>0</c:v>
                </c:pt>
                <c:pt idx="158">
                  <c:v>19253</c:v>
                </c:pt>
                <c:pt idx="159">
                  <c:v>0</c:v>
                </c:pt>
                <c:pt idx="160">
                  <c:v>23192</c:v>
                </c:pt>
                <c:pt idx="161">
                  <c:v>0</c:v>
                </c:pt>
                <c:pt idx="162">
                  <c:v>0</c:v>
                </c:pt>
                <c:pt idx="163">
                  <c:v>24851</c:v>
                </c:pt>
                <c:pt idx="164">
                  <c:v>0</c:v>
                </c:pt>
                <c:pt idx="165">
                  <c:v>25451</c:v>
                </c:pt>
                <c:pt idx="166">
                  <c:v>0</c:v>
                </c:pt>
                <c:pt idx="167">
                  <c:v>0</c:v>
                </c:pt>
                <c:pt idx="168">
                  <c:v>23651</c:v>
                </c:pt>
                <c:pt idx="169">
                  <c:v>0</c:v>
                </c:pt>
                <c:pt idx="170">
                  <c:v>0</c:v>
                </c:pt>
                <c:pt idx="171">
                  <c:v>19741</c:v>
                </c:pt>
                <c:pt idx="172">
                  <c:v>0</c:v>
                </c:pt>
                <c:pt idx="173">
                  <c:v>17890</c:v>
                </c:pt>
                <c:pt idx="174">
                  <c:v>0</c:v>
                </c:pt>
                <c:pt idx="175">
                  <c:v>0</c:v>
                </c:pt>
                <c:pt idx="176">
                  <c:v>18362</c:v>
                </c:pt>
                <c:pt idx="177">
                  <c:v>0</c:v>
                </c:pt>
                <c:pt idx="178">
                  <c:v>16522</c:v>
                </c:pt>
                <c:pt idx="179">
                  <c:v>0</c:v>
                </c:pt>
                <c:pt idx="180">
                  <c:v>0</c:v>
                </c:pt>
                <c:pt idx="181">
                  <c:v>14612</c:v>
                </c:pt>
                <c:pt idx="182">
                  <c:v>0</c:v>
                </c:pt>
                <c:pt idx="183">
                  <c:v>10372</c:v>
                </c:pt>
                <c:pt idx="184">
                  <c:v>0</c:v>
                </c:pt>
                <c:pt idx="185">
                  <c:v>0</c:v>
                </c:pt>
                <c:pt idx="186">
                  <c:v>8161</c:v>
                </c:pt>
                <c:pt idx="187">
                  <c:v>0</c:v>
                </c:pt>
                <c:pt idx="188">
                  <c:v>0</c:v>
                </c:pt>
                <c:pt idx="189">
                  <c:v>5419</c:v>
                </c:pt>
                <c:pt idx="190">
                  <c:v>0</c:v>
                </c:pt>
                <c:pt idx="191">
                  <c:v>3552</c:v>
                </c:pt>
                <c:pt idx="192">
                  <c:v>0</c:v>
                </c:pt>
                <c:pt idx="193">
                  <c:v>0</c:v>
                </c:pt>
                <c:pt idx="194">
                  <c:v>2093</c:v>
                </c:pt>
                <c:pt idx="195">
                  <c:v>0</c:v>
                </c:pt>
                <c:pt idx="196">
                  <c:v>2156</c:v>
                </c:pt>
                <c:pt idx="197">
                  <c:v>0</c:v>
                </c:pt>
                <c:pt idx="198">
                  <c:v>0</c:v>
                </c:pt>
                <c:pt idx="199">
                  <c:v>2101</c:v>
                </c:pt>
                <c:pt idx="200">
                  <c:v>0</c:v>
                </c:pt>
                <c:pt idx="201">
                  <c:v>2694</c:v>
                </c:pt>
                <c:pt idx="202">
                  <c:v>0</c:v>
                </c:pt>
                <c:pt idx="203">
                  <c:v>0</c:v>
                </c:pt>
                <c:pt idx="204">
                  <c:v>2021</c:v>
                </c:pt>
                <c:pt idx="205">
                  <c:v>0</c:v>
                </c:pt>
                <c:pt idx="206">
                  <c:v>0</c:v>
                </c:pt>
                <c:pt idx="207">
                  <c:v>1737</c:v>
                </c:pt>
                <c:pt idx="208">
                  <c:v>0</c:v>
                </c:pt>
                <c:pt idx="209">
                  <c:v>467</c:v>
                </c:pt>
                <c:pt idx="210">
                  <c:v>0</c:v>
                </c:pt>
                <c:pt idx="211">
                  <c:v>0</c:v>
                </c:pt>
                <c:pt idx="212">
                  <c:v>197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  <c:pt idx="74">
                  <c:v>2.9511500000000002</c:v>
                </c:pt>
                <c:pt idx="75">
                  <c:v>2.96638</c:v>
                </c:pt>
                <c:pt idx="76">
                  <c:v>2.9753000000000003</c:v>
                </c:pt>
                <c:pt idx="77">
                  <c:v>2.9868399999999999</c:v>
                </c:pt>
                <c:pt idx="78">
                  <c:v>3.0014400000000001</c:v>
                </c:pt>
                <c:pt idx="79">
                  <c:v>3.0175299999999998</c:v>
                </c:pt>
                <c:pt idx="80">
                  <c:v>3.0304199999999999</c:v>
                </c:pt>
                <c:pt idx="81">
                  <c:v>3.0454699999999999</c:v>
                </c:pt>
                <c:pt idx="82">
                  <c:v>3.0617000000000001</c:v>
                </c:pt>
                <c:pt idx="83">
                  <c:v>3.0798999999999999</c:v>
                </c:pt>
                <c:pt idx="84">
                  <c:v>3.0989299999999997</c:v>
                </c:pt>
                <c:pt idx="85">
                  <c:v>3.1156299999999999</c:v>
                </c:pt>
                <c:pt idx="86">
                  <c:v>3.1342500000000002</c:v>
                </c:pt>
                <c:pt idx="87">
                  <c:v>3.15455</c:v>
                </c:pt>
                <c:pt idx="88">
                  <c:v>3.17245</c:v>
                </c:pt>
                <c:pt idx="89">
                  <c:v>3.1911099999999997</c:v>
                </c:pt>
                <c:pt idx="90">
                  <c:v>3.2070500000000002</c:v>
                </c:pt>
                <c:pt idx="91">
                  <c:v>3.2227499999999996</c:v>
                </c:pt>
                <c:pt idx="92">
                  <c:v>3.2385199999999998</c:v>
                </c:pt>
                <c:pt idx="93">
                  <c:v>3.2550299999999996</c:v>
                </c:pt>
                <c:pt idx="94">
                  <c:v>3.2702599999999999</c:v>
                </c:pt>
                <c:pt idx="95">
                  <c:v>3.2863100000000003</c:v>
                </c:pt>
                <c:pt idx="96">
                  <c:v>3.2972400000000004</c:v>
                </c:pt>
                <c:pt idx="97">
                  <c:v>3.30749</c:v>
                </c:pt>
                <c:pt idx="98">
                  <c:v>3.3161700000000001</c:v>
                </c:pt>
                <c:pt idx="99">
                  <c:v>3.3249899999999997</c:v>
                </c:pt>
                <c:pt idx="100">
                  <c:v>3.3323299999999998</c:v>
                </c:pt>
                <c:pt idx="101">
                  <c:v>3.3354400000000002</c:v>
                </c:pt>
                <c:pt idx="102">
                  <c:v>3.3378299999999999</c:v>
                </c:pt>
                <c:pt idx="103">
                  <c:v>3.33866</c:v>
                </c:pt>
                <c:pt idx="104">
                  <c:v>3.3433600000000001</c:v>
                </c:pt>
                <c:pt idx="105">
                  <c:v>3.3532000000000002</c:v>
                </c:pt>
                <c:pt idx="106">
                  <c:v>3.36381</c:v>
                </c:pt>
                <c:pt idx="107">
                  <c:v>3.3751799999999998</c:v>
                </c:pt>
                <c:pt idx="108">
                  <c:v>3.38605</c:v>
                </c:pt>
                <c:pt idx="109">
                  <c:v>3.3976800000000003</c:v>
                </c:pt>
                <c:pt idx="110">
                  <c:v>3.41256</c:v>
                </c:pt>
                <c:pt idx="111">
                  <c:v>3.4250699999999998</c:v>
                </c:pt>
                <c:pt idx="112">
                  <c:v>3.4346900000000002</c:v>
                </c:pt>
                <c:pt idx="113">
                  <c:v>3.4461000000000004</c:v>
                </c:pt>
                <c:pt idx="114">
                  <c:v>3.4560600000000004</c:v>
                </c:pt>
                <c:pt idx="115">
                  <c:v>3.4689300000000003</c:v>
                </c:pt>
                <c:pt idx="116">
                  <c:v>3.4805399999999995</c:v>
                </c:pt>
                <c:pt idx="117">
                  <c:v>3.4874000000000001</c:v>
                </c:pt>
                <c:pt idx="118">
                  <c:v>3.48766</c:v>
                </c:pt>
                <c:pt idx="119">
                  <c:v>3.4819800000000001</c:v>
                </c:pt>
                <c:pt idx="120">
                  <c:v>3.4693299999999998</c:v>
                </c:pt>
                <c:pt idx="121">
                  <c:v>3.4560900000000001</c:v>
                </c:pt>
                <c:pt idx="122">
                  <c:v>3.4409200000000002</c:v>
                </c:pt>
                <c:pt idx="123">
                  <c:v>3.4331699999999996</c:v>
                </c:pt>
                <c:pt idx="124">
                  <c:v>3.43099</c:v>
                </c:pt>
                <c:pt idx="125">
                  <c:v>3.4285800000000002</c:v>
                </c:pt>
                <c:pt idx="126">
                  <c:v>3.4295799999999996</c:v>
                </c:pt>
                <c:pt idx="127">
                  <c:v>3.4295100000000001</c:v>
                </c:pt>
                <c:pt idx="128">
                  <c:v>3.4289900000000002</c:v>
                </c:pt>
                <c:pt idx="129">
                  <c:v>3.4256500000000001</c:v>
                </c:pt>
                <c:pt idx="130">
                  <c:v>3.4200699999999999</c:v>
                </c:pt>
                <c:pt idx="131">
                  <c:v>3.41412</c:v>
                </c:pt>
                <c:pt idx="132">
                  <c:v>3.4064800000000002</c:v>
                </c:pt>
                <c:pt idx="133">
                  <c:v>3.3972000000000002</c:v>
                </c:pt>
                <c:pt idx="134">
                  <c:v>3.3848600000000002</c:v>
                </c:pt>
                <c:pt idx="135">
                  <c:v>3.3680099999999999</c:v>
                </c:pt>
                <c:pt idx="136">
                  <c:v>3.3492100000000002</c:v>
                </c:pt>
                <c:pt idx="137">
                  <c:v>3.3308200000000001</c:v>
                </c:pt>
                <c:pt idx="138">
                  <c:v>3.3098399999999999</c:v>
                </c:pt>
                <c:pt idx="139">
                  <c:v>3.2822800000000001</c:v>
                </c:pt>
                <c:pt idx="140">
                  <c:v>3.2459900000000004</c:v>
                </c:pt>
                <c:pt idx="141">
                  <c:v>3.2013500000000001</c:v>
                </c:pt>
                <c:pt idx="142">
                  <c:v>3.1584400000000001</c:v>
                </c:pt>
                <c:pt idx="143">
                  <c:v>3.11598</c:v>
                </c:pt>
                <c:pt idx="144">
                  <c:v>3.08474</c:v>
                </c:pt>
                <c:pt idx="145">
                  <c:v>3.0628300000000004</c:v>
                </c:pt>
                <c:pt idx="146">
                  <c:v>3.0418400000000001</c:v>
                </c:pt>
                <c:pt idx="147">
                  <c:v>3.0217100000000001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  <c:pt idx="74">
                  <c:v>29.043600000000001</c:v>
                </c:pt>
                <c:pt idx="75">
                  <c:v>28.270699999999998</c:v>
                </c:pt>
                <c:pt idx="76">
                  <c:v>27.545100000000001</c:v>
                </c:pt>
                <c:pt idx="77">
                  <c:v>26.832099999999997</c:v>
                </c:pt>
                <c:pt idx="78">
                  <c:v>26.112099999999998</c:v>
                </c:pt>
                <c:pt idx="79">
                  <c:v>25.413400000000003</c:v>
                </c:pt>
                <c:pt idx="80">
                  <c:v>24.840300000000003</c:v>
                </c:pt>
                <c:pt idx="81">
                  <c:v>24.351099999999999</c:v>
                </c:pt>
                <c:pt idx="82">
                  <c:v>23.985500000000002</c:v>
                </c:pt>
                <c:pt idx="83">
                  <c:v>23.666599999999999</c:v>
                </c:pt>
                <c:pt idx="84">
                  <c:v>23.379200000000001</c:v>
                </c:pt>
                <c:pt idx="85">
                  <c:v>23.096900000000002</c:v>
                </c:pt>
                <c:pt idx="86">
                  <c:v>22.827200000000001</c:v>
                </c:pt>
                <c:pt idx="87">
                  <c:v>22.5412</c:v>
                </c:pt>
                <c:pt idx="88">
                  <c:v>22.3306</c:v>
                </c:pt>
                <c:pt idx="89">
                  <c:v>22.0411</c:v>
                </c:pt>
                <c:pt idx="90">
                  <c:v>21.805700000000002</c:v>
                </c:pt>
                <c:pt idx="91">
                  <c:v>21.6206</c:v>
                </c:pt>
                <c:pt idx="92">
                  <c:v>21.444099999999999</c:v>
                </c:pt>
                <c:pt idx="93">
                  <c:v>21.241599999999998</c:v>
                </c:pt>
                <c:pt idx="94">
                  <c:v>21.0488</c:v>
                </c:pt>
                <c:pt idx="95">
                  <c:v>20.850999999999999</c:v>
                </c:pt>
                <c:pt idx="96">
                  <c:v>20.574300000000001</c:v>
                </c:pt>
                <c:pt idx="97">
                  <c:v>20.259499999999999</c:v>
                </c:pt>
                <c:pt idx="98">
                  <c:v>19.916900000000002</c:v>
                </c:pt>
                <c:pt idx="99">
                  <c:v>19.517599999999998</c:v>
                </c:pt>
                <c:pt idx="100">
                  <c:v>19.1661</c:v>
                </c:pt>
                <c:pt idx="101">
                  <c:v>18.904599999999999</c:v>
                </c:pt>
                <c:pt idx="102">
                  <c:v>18.657899999999998</c:v>
                </c:pt>
                <c:pt idx="103">
                  <c:v>18.492599999999999</c:v>
                </c:pt>
                <c:pt idx="104">
                  <c:v>18.404400000000003</c:v>
                </c:pt>
                <c:pt idx="105">
                  <c:v>18.3065</c:v>
                </c:pt>
                <c:pt idx="106">
                  <c:v>18.261500000000002</c:v>
                </c:pt>
                <c:pt idx="107">
                  <c:v>18.1874</c:v>
                </c:pt>
                <c:pt idx="108">
                  <c:v>18.082899999999999</c:v>
                </c:pt>
                <c:pt idx="109">
                  <c:v>17.9786</c:v>
                </c:pt>
                <c:pt idx="110">
                  <c:v>17.958600000000001</c:v>
                </c:pt>
                <c:pt idx="111">
                  <c:v>17.925699999999999</c:v>
                </c:pt>
                <c:pt idx="112">
                  <c:v>17.927199999999999</c:v>
                </c:pt>
                <c:pt idx="113">
                  <c:v>17.9162</c:v>
                </c:pt>
                <c:pt idx="114">
                  <c:v>17.9373</c:v>
                </c:pt>
                <c:pt idx="115">
                  <c:v>17.9693</c:v>
                </c:pt>
                <c:pt idx="116">
                  <c:v>18.0183</c:v>
                </c:pt>
                <c:pt idx="117">
                  <c:v>18.045999999999999</c:v>
                </c:pt>
                <c:pt idx="118">
                  <c:v>18.092099999999999</c:v>
                </c:pt>
                <c:pt idx="119">
                  <c:v>18.198499999999999</c:v>
                </c:pt>
                <c:pt idx="120">
                  <c:v>18.301100000000002</c:v>
                </c:pt>
                <c:pt idx="121">
                  <c:v>18.4786</c:v>
                </c:pt>
                <c:pt idx="122">
                  <c:v>18.750600000000002</c:v>
                </c:pt>
                <c:pt idx="123">
                  <c:v>19.0061</c:v>
                </c:pt>
                <c:pt idx="124">
                  <c:v>19.245200000000001</c:v>
                </c:pt>
                <c:pt idx="125">
                  <c:v>19.510300000000001</c:v>
                </c:pt>
                <c:pt idx="126">
                  <c:v>19.759399999999999</c:v>
                </c:pt>
                <c:pt idx="127">
                  <c:v>19.965599999999998</c:v>
                </c:pt>
                <c:pt idx="128">
                  <c:v>20.125699999999998</c:v>
                </c:pt>
                <c:pt idx="129">
                  <c:v>20.2605</c:v>
                </c:pt>
                <c:pt idx="130">
                  <c:v>20.373100000000001</c:v>
                </c:pt>
                <c:pt idx="131">
                  <c:v>20.437899999999999</c:v>
                </c:pt>
                <c:pt idx="132">
                  <c:v>20.527200000000001</c:v>
                </c:pt>
                <c:pt idx="133">
                  <c:v>20.696100000000001</c:v>
                </c:pt>
                <c:pt idx="134">
                  <c:v>20.933299999999999</c:v>
                </c:pt>
                <c:pt idx="135">
                  <c:v>21.167200000000001</c:v>
                </c:pt>
                <c:pt idx="136">
                  <c:v>21.427699999999998</c:v>
                </c:pt>
                <c:pt idx="137">
                  <c:v>21.625</c:v>
                </c:pt>
                <c:pt idx="138">
                  <c:v>21.874399999999998</c:v>
                </c:pt>
                <c:pt idx="139">
                  <c:v>22.260300000000001</c:v>
                </c:pt>
                <c:pt idx="140">
                  <c:v>22.7851</c:v>
                </c:pt>
                <c:pt idx="141">
                  <c:v>23.3902</c:v>
                </c:pt>
                <c:pt idx="142">
                  <c:v>24.1557</c:v>
                </c:pt>
                <c:pt idx="143">
                  <c:v>24.820500000000003</c:v>
                </c:pt>
                <c:pt idx="144">
                  <c:v>25.184800000000003</c:v>
                </c:pt>
                <c:pt idx="145">
                  <c:v>25.318000000000001</c:v>
                </c:pt>
                <c:pt idx="146">
                  <c:v>26.123100000000001</c:v>
                </c:pt>
                <c:pt idx="147">
                  <c:v>26.622899999999998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2.9462699999999997</c:v>
                </c:pt>
                <c:pt idx="1">
                  <c:v>2.9511500000000002</c:v>
                </c:pt>
                <c:pt idx="2">
                  <c:v>2.96638</c:v>
                </c:pt>
                <c:pt idx="3">
                  <c:v>2.9753000000000003</c:v>
                </c:pt>
                <c:pt idx="4">
                  <c:v>2.9868399999999999</c:v>
                </c:pt>
                <c:pt idx="5">
                  <c:v>3.0014400000000001</c:v>
                </c:pt>
                <c:pt idx="6">
                  <c:v>3.0175299999999998</c:v>
                </c:pt>
                <c:pt idx="7">
                  <c:v>3.0304199999999999</c:v>
                </c:pt>
                <c:pt idx="8">
                  <c:v>3.0454699999999999</c:v>
                </c:pt>
                <c:pt idx="9">
                  <c:v>3.0617000000000001</c:v>
                </c:pt>
                <c:pt idx="10">
                  <c:v>3.0798999999999999</c:v>
                </c:pt>
                <c:pt idx="11">
                  <c:v>3.0989299999999997</c:v>
                </c:pt>
                <c:pt idx="12">
                  <c:v>3.1156299999999999</c:v>
                </c:pt>
                <c:pt idx="13">
                  <c:v>3.1342500000000002</c:v>
                </c:pt>
                <c:pt idx="14">
                  <c:v>3.15455</c:v>
                </c:pt>
                <c:pt idx="15">
                  <c:v>3.17245</c:v>
                </c:pt>
                <c:pt idx="16">
                  <c:v>3.1911099999999997</c:v>
                </c:pt>
                <c:pt idx="17">
                  <c:v>3.2070500000000002</c:v>
                </c:pt>
                <c:pt idx="18">
                  <c:v>3.2227499999999996</c:v>
                </c:pt>
                <c:pt idx="19">
                  <c:v>3.2385199999999998</c:v>
                </c:pt>
                <c:pt idx="20">
                  <c:v>3.2550299999999996</c:v>
                </c:pt>
                <c:pt idx="21">
                  <c:v>3.2702599999999999</c:v>
                </c:pt>
                <c:pt idx="22">
                  <c:v>3.2863100000000003</c:v>
                </c:pt>
                <c:pt idx="23">
                  <c:v>3.2972400000000004</c:v>
                </c:pt>
                <c:pt idx="24">
                  <c:v>3.30749</c:v>
                </c:pt>
                <c:pt idx="25">
                  <c:v>3.3161700000000001</c:v>
                </c:pt>
                <c:pt idx="26">
                  <c:v>3.3249899999999997</c:v>
                </c:pt>
                <c:pt idx="27">
                  <c:v>3.3323299999999998</c:v>
                </c:pt>
                <c:pt idx="28">
                  <c:v>3.3354400000000002</c:v>
                </c:pt>
                <c:pt idx="29">
                  <c:v>3.3378299999999999</c:v>
                </c:pt>
                <c:pt idx="30">
                  <c:v>3.33866</c:v>
                </c:pt>
                <c:pt idx="31">
                  <c:v>3.3433600000000001</c:v>
                </c:pt>
                <c:pt idx="32">
                  <c:v>3.3532000000000002</c:v>
                </c:pt>
                <c:pt idx="33">
                  <c:v>3.36381</c:v>
                </c:pt>
                <c:pt idx="34">
                  <c:v>3.3751799999999998</c:v>
                </c:pt>
                <c:pt idx="35">
                  <c:v>3.38605</c:v>
                </c:pt>
                <c:pt idx="36">
                  <c:v>3.3976800000000003</c:v>
                </c:pt>
                <c:pt idx="37">
                  <c:v>3.41256</c:v>
                </c:pt>
                <c:pt idx="38">
                  <c:v>3.4250699999999998</c:v>
                </c:pt>
                <c:pt idx="39">
                  <c:v>3.4346900000000002</c:v>
                </c:pt>
                <c:pt idx="40">
                  <c:v>3.4461000000000004</c:v>
                </c:pt>
                <c:pt idx="41">
                  <c:v>3.4560600000000004</c:v>
                </c:pt>
                <c:pt idx="42">
                  <c:v>3.4689300000000003</c:v>
                </c:pt>
                <c:pt idx="43">
                  <c:v>3.4805399999999995</c:v>
                </c:pt>
                <c:pt idx="44">
                  <c:v>3.4874000000000001</c:v>
                </c:pt>
                <c:pt idx="45">
                  <c:v>3.48766</c:v>
                </c:pt>
                <c:pt idx="46">
                  <c:v>3.4819800000000001</c:v>
                </c:pt>
                <c:pt idx="47">
                  <c:v>3.4693299999999998</c:v>
                </c:pt>
                <c:pt idx="48">
                  <c:v>3.4560900000000001</c:v>
                </c:pt>
                <c:pt idx="49">
                  <c:v>3.4409200000000002</c:v>
                </c:pt>
                <c:pt idx="50">
                  <c:v>3.4331699999999996</c:v>
                </c:pt>
                <c:pt idx="51">
                  <c:v>3.43099</c:v>
                </c:pt>
                <c:pt idx="52">
                  <c:v>3.4285800000000002</c:v>
                </c:pt>
                <c:pt idx="53">
                  <c:v>3.4295799999999996</c:v>
                </c:pt>
                <c:pt idx="54">
                  <c:v>3.4295100000000001</c:v>
                </c:pt>
                <c:pt idx="55">
                  <c:v>3.4289900000000002</c:v>
                </c:pt>
                <c:pt idx="56">
                  <c:v>3.4256500000000001</c:v>
                </c:pt>
                <c:pt idx="57">
                  <c:v>3.4200699999999999</c:v>
                </c:pt>
                <c:pt idx="58">
                  <c:v>3.41412</c:v>
                </c:pt>
                <c:pt idx="59">
                  <c:v>3.4064800000000002</c:v>
                </c:pt>
                <c:pt idx="60">
                  <c:v>3.3972000000000002</c:v>
                </c:pt>
                <c:pt idx="61">
                  <c:v>3.3848600000000002</c:v>
                </c:pt>
                <c:pt idx="62">
                  <c:v>3.3680099999999999</c:v>
                </c:pt>
                <c:pt idx="63">
                  <c:v>3.3492100000000002</c:v>
                </c:pt>
                <c:pt idx="64">
                  <c:v>3.3308200000000001</c:v>
                </c:pt>
                <c:pt idx="65">
                  <c:v>3.3098399999999999</c:v>
                </c:pt>
                <c:pt idx="66">
                  <c:v>3.2822800000000001</c:v>
                </c:pt>
                <c:pt idx="67">
                  <c:v>3.2459900000000004</c:v>
                </c:pt>
                <c:pt idx="68">
                  <c:v>3.2013500000000001</c:v>
                </c:pt>
                <c:pt idx="69">
                  <c:v>3.1584400000000001</c:v>
                </c:pt>
                <c:pt idx="70">
                  <c:v>3.11598</c:v>
                </c:pt>
                <c:pt idx="71">
                  <c:v>3.08474</c:v>
                </c:pt>
                <c:pt idx="72">
                  <c:v>3.0628300000000004</c:v>
                </c:pt>
                <c:pt idx="73">
                  <c:v>3.0418400000000001</c:v>
                </c:pt>
                <c:pt idx="74">
                  <c:v>3.0217100000000001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29.531000000000002</c:v>
                </c:pt>
                <c:pt idx="1">
                  <c:v>29.043600000000001</c:v>
                </c:pt>
                <c:pt idx="2">
                  <c:v>28.270699999999998</c:v>
                </c:pt>
                <c:pt idx="3">
                  <c:v>27.545100000000001</c:v>
                </c:pt>
                <c:pt idx="4">
                  <c:v>26.832099999999997</c:v>
                </c:pt>
                <c:pt idx="5">
                  <c:v>26.112099999999998</c:v>
                </c:pt>
                <c:pt idx="6">
                  <c:v>25.413400000000003</c:v>
                </c:pt>
                <c:pt idx="7">
                  <c:v>24.840300000000003</c:v>
                </c:pt>
                <c:pt idx="8">
                  <c:v>24.351099999999999</c:v>
                </c:pt>
                <c:pt idx="9">
                  <c:v>23.985500000000002</c:v>
                </c:pt>
                <c:pt idx="10">
                  <c:v>23.666599999999999</c:v>
                </c:pt>
                <c:pt idx="11">
                  <c:v>23.379200000000001</c:v>
                </c:pt>
                <c:pt idx="12">
                  <c:v>23.096900000000002</c:v>
                </c:pt>
                <c:pt idx="13">
                  <c:v>22.827200000000001</c:v>
                </c:pt>
                <c:pt idx="14">
                  <c:v>22.5412</c:v>
                </c:pt>
                <c:pt idx="15">
                  <c:v>22.3306</c:v>
                </c:pt>
                <c:pt idx="16">
                  <c:v>22.0411</c:v>
                </c:pt>
                <c:pt idx="17">
                  <c:v>21.805700000000002</c:v>
                </c:pt>
                <c:pt idx="18">
                  <c:v>21.6206</c:v>
                </c:pt>
                <c:pt idx="19">
                  <c:v>21.444099999999999</c:v>
                </c:pt>
                <c:pt idx="20">
                  <c:v>21.241599999999998</c:v>
                </c:pt>
                <c:pt idx="21">
                  <c:v>21.0488</c:v>
                </c:pt>
                <c:pt idx="22">
                  <c:v>20.850999999999999</c:v>
                </c:pt>
                <c:pt idx="23">
                  <c:v>20.574300000000001</c:v>
                </c:pt>
                <c:pt idx="24">
                  <c:v>20.259499999999999</c:v>
                </c:pt>
                <c:pt idx="25">
                  <c:v>19.916900000000002</c:v>
                </c:pt>
                <c:pt idx="26">
                  <c:v>19.517599999999998</c:v>
                </c:pt>
                <c:pt idx="27">
                  <c:v>19.1661</c:v>
                </c:pt>
                <c:pt idx="28">
                  <c:v>18.904599999999999</c:v>
                </c:pt>
                <c:pt idx="29">
                  <c:v>18.657899999999998</c:v>
                </c:pt>
                <c:pt idx="30">
                  <c:v>18.492599999999999</c:v>
                </c:pt>
                <c:pt idx="31">
                  <c:v>18.404400000000003</c:v>
                </c:pt>
                <c:pt idx="32">
                  <c:v>18.3065</c:v>
                </c:pt>
                <c:pt idx="33">
                  <c:v>18.261500000000002</c:v>
                </c:pt>
                <c:pt idx="34">
                  <c:v>18.1874</c:v>
                </c:pt>
                <c:pt idx="35">
                  <c:v>18.082899999999999</c:v>
                </c:pt>
                <c:pt idx="36">
                  <c:v>17.9786</c:v>
                </c:pt>
                <c:pt idx="37">
                  <c:v>17.958600000000001</c:v>
                </c:pt>
                <c:pt idx="38">
                  <c:v>17.925699999999999</c:v>
                </c:pt>
                <c:pt idx="39">
                  <c:v>17.927199999999999</c:v>
                </c:pt>
                <c:pt idx="40">
                  <c:v>17.9162</c:v>
                </c:pt>
                <c:pt idx="41">
                  <c:v>17.9373</c:v>
                </c:pt>
                <c:pt idx="42">
                  <c:v>17.9693</c:v>
                </c:pt>
                <c:pt idx="43">
                  <c:v>18.0183</c:v>
                </c:pt>
                <c:pt idx="44">
                  <c:v>18.045999999999999</c:v>
                </c:pt>
                <c:pt idx="45">
                  <c:v>18.092099999999999</c:v>
                </c:pt>
                <c:pt idx="46">
                  <c:v>18.198499999999999</c:v>
                </c:pt>
                <c:pt idx="47">
                  <c:v>18.301100000000002</c:v>
                </c:pt>
                <c:pt idx="48">
                  <c:v>18.4786</c:v>
                </c:pt>
                <c:pt idx="49">
                  <c:v>18.750600000000002</c:v>
                </c:pt>
                <c:pt idx="50">
                  <c:v>19.0061</c:v>
                </c:pt>
                <c:pt idx="51">
                  <c:v>19.245200000000001</c:v>
                </c:pt>
                <c:pt idx="52">
                  <c:v>19.510300000000001</c:v>
                </c:pt>
                <c:pt idx="53">
                  <c:v>19.759399999999999</c:v>
                </c:pt>
                <c:pt idx="54">
                  <c:v>19.965599999999998</c:v>
                </c:pt>
                <c:pt idx="55">
                  <c:v>20.125699999999998</c:v>
                </c:pt>
                <c:pt idx="56">
                  <c:v>20.2605</c:v>
                </c:pt>
                <c:pt idx="57">
                  <c:v>20.373100000000001</c:v>
                </c:pt>
                <c:pt idx="58">
                  <c:v>20.437899999999999</c:v>
                </c:pt>
                <c:pt idx="59">
                  <c:v>20.527200000000001</c:v>
                </c:pt>
                <c:pt idx="60">
                  <c:v>20.696100000000001</c:v>
                </c:pt>
                <c:pt idx="61">
                  <c:v>20.933299999999999</c:v>
                </c:pt>
                <c:pt idx="62">
                  <c:v>21.167200000000001</c:v>
                </c:pt>
                <c:pt idx="63">
                  <c:v>21.427699999999998</c:v>
                </c:pt>
                <c:pt idx="64">
                  <c:v>21.625</c:v>
                </c:pt>
                <c:pt idx="65">
                  <c:v>21.874399999999998</c:v>
                </c:pt>
                <c:pt idx="66">
                  <c:v>22.260300000000001</c:v>
                </c:pt>
                <c:pt idx="67">
                  <c:v>22.7851</c:v>
                </c:pt>
                <c:pt idx="68">
                  <c:v>23.3902</c:v>
                </c:pt>
                <c:pt idx="69">
                  <c:v>24.1557</c:v>
                </c:pt>
                <c:pt idx="70">
                  <c:v>24.820500000000003</c:v>
                </c:pt>
                <c:pt idx="71">
                  <c:v>25.184800000000003</c:v>
                </c:pt>
                <c:pt idx="72">
                  <c:v>25.318000000000001</c:v>
                </c:pt>
                <c:pt idx="73">
                  <c:v>26.123100000000001</c:v>
                </c:pt>
                <c:pt idx="74">
                  <c:v>26.622899999999998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1.9736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3.0451602702702694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36.888006756756766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3.281377972972972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21.244785135135132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3.281377972972972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21.244785135135132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0.2366056331984962</c:v>
                </c:pt>
                <c:pt idx="1">
                  <c:v>0.2912589210328751</c:v>
                </c:pt>
                <c:pt idx="2">
                  <c:v>0.47213544576862881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  <c:pt idx="74">
                  <c:v>30.0596</c:v>
                </c:pt>
                <c:pt idx="75">
                  <c:v>30.652899999999999</c:v>
                </c:pt>
                <c:pt idx="76">
                  <c:v>31.026900000000001</c:v>
                </c:pt>
                <c:pt idx="77">
                  <c:v>31.405000000000001</c:v>
                </c:pt>
                <c:pt idx="78">
                  <c:v>31.777999999999999</c:v>
                </c:pt>
                <c:pt idx="79">
                  <c:v>32.155999999999999</c:v>
                </c:pt>
                <c:pt idx="80">
                  <c:v>32.560899999999997</c:v>
                </c:pt>
                <c:pt idx="81">
                  <c:v>32.966700000000003</c:v>
                </c:pt>
                <c:pt idx="82">
                  <c:v>33.374699999999997</c:v>
                </c:pt>
                <c:pt idx="83">
                  <c:v>33.778599999999997</c:v>
                </c:pt>
                <c:pt idx="84">
                  <c:v>34.186900000000001</c:v>
                </c:pt>
                <c:pt idx="85">
                  <c:v>34.5944</c:v>
                </c:pt>
                <c:pt idx="86">
                  <c:v>34.996299999999998</c:v>
                </c:pt>
                <c:pt idx="87">
                  <c:v>35.4024</c:v>
                </c:pt>
                <c:pt idx="88">
                  <c:v>35.807200000000002</c:v>
                </c:pt>
                <c:pt idx="89">
                  <c:v>36.217100000000002</c:v>
                </c:pt>
                <c:pt idx="90">
                  <c:v>36.622999999999998</c:v>
                </c:pt>
                <c:pt idx="91">
                  <c:v>37.026899999999998</c:v>
                </c:pt>
                <c:pt idx="92">
                  <c:v>37.435299999999998</c:v>
                </c:pt>
                <c:pt idx="93">
                  <c:v>37.844799999999999</c:v>
                </c:pt>
                <c:pt idx="94">
                  <c:v>38.250599999999999</c:v>
                </c:pt>
                <c:pt idx="95">
                  <c:v>38.657600000000002</c:v>
                </c:pt>
                <c:pt idx="96">
                  <c:v>39.059399999999997</c:v>
                </c:pt>
                <c:pt idx="97">
                  <c:v>39.464399999999998</c:v>
                </c:pt>
                <c:pt idx="98">
                  <c:v>39.8733</c:v>
                </c:pt>
                <c:pt idx="99">
                  <c:v>40.280200000000001</c:v>
                </c:pt>
                <c:pt idx="100">
                  <c:v>40.684100000000001</c:v>
                </c:pt>
                <c:pt idx="101">
                  <c:v>41.089100000000002</c:v>
                </c:pt>
                <c:pt idx="102">
                  <c:v>41.496299999999998</c:v>
                </c:pt>
                <c:pt idx="103">
                  <c:v>41.9009</c:v>
                </c:pt>
                <c:pt idx="104">
                  <c:v>42.311999999999998</c:v>
                </c:pt>
                <c:pt idx="105">
                  <c:v>42.718600000000002</c:v>
                </c:pt>
                <c:pt idx="106">
                  <c:v>43.122599999999998</c:v>
                </c:pt>
                <c:pt idx="107">
                  <c:v>43.526499999999999</c:v>
                </c:pt>
                <c:pt idx="108">
                  <c:v>43.933399999999999</c:v>
                </c:pt>
                <c:pt idx="109">
                  <c:v>44.3414</c:v>
                </c:pt>
                <c:pt idx="110">
                  <c:v>44.748399999999997</c:v>
                </c:pt>
                <c:pt idx="111">
                  <c:v>45.154200000000003</c:v>
                </c:pt>
                <c:pt idx="112">
                  <c:v>45.556100000000001</c:v>
                </c:pt>
                <c:pt idx="113">
                  <c:v>45.9651</c:v>
                </c:pt>
                <c:pt idx="114">
                  <c:v>46.372799999999998</c:v>
                </c:pt>
                <c:pt idx="115">
                  <c:v>46.780799999999999</c:v>
                </c:pt>
                <c:pt idx="116">
                  <c:v>47.186799999999998</c:v>
                </c:pt>
                <c:pt idx="117">
                  <c:v>47.593800000000002</c:v>
                </c:pt>
                <c:pt idx="118">
                  <c:v>48.001600000000003</c:v>
                </c:pt>
                <c:pt idx="119">
                  <c:v>48.406500000000001</c:v>
                </c:pt>
                <c:pt idx="120">
                  <c:v>48.811500000000002</c:v>
                </c:pt>
                <c:pt idx="121">
                  <c:v>49.218400000000003</c:v>
                </c:pt>
                <c:pt idx="122">
                  <c:v>49.621200000000002</c:v>
                </c:pt>
                <c:pt idx="123">
                  <c:v>50.028399999999998</c:v>
                </c:pt>
                <c:pt idx="124">
                  <c:v>50.435000000000002</c:v>
                </c:pt>
                <c:pt idx="125">
                  <c:v>50.841900000000003</c:v>
                </c:pt>
                <c:pt idx="126">
                  <c:v>51.2498</c:v>
                </c:pt>
                <c:pt idx="127">
                  <c:v>51.651800000000001</c:v>
                </c:pt>
                <c:pt idx="128">
                  <c:v>52.057699999999997</c:v>
                </c:pt>
                <c:pt idx="129">
                  <c:v>52.464599999999997</c:v>
                </c:pt>
                <c:pt idx="130">
                  <c:v>52.874699999999997</c:v>
                </c:pt>
                <c:pt idx="131">
                  <c:v>53.280299999999997</c:v>
                </c:pt>
                <c:pt idx="132">
                  <c:v>53.686300000000003</c:v>
                </c:pt>
                <c:pt idx="133">
                  <c:v>54.0944</c:v>
                </c:pt>
                <c:pt idx="134">
                  <c:v>54.498399999999997</c:v>
                </c:pt>
                <c:pt idx="135">
                  <c:v>54.9011</c:v>
                </c:pt>
                <c:pt idx="136">
                  <c:v>55.309899999999999</c:v>
                </c:pt>
                <c:pt idx="137">
                  <c:v>55.718000000000004</c:v>
                </c:pt>
                <c:pt idx="138">
                  <c:v>56.121400000000001</c:v>
                </c:pt>
                <c:pt idx="139">
                  <c:v>56.529699999999998</c:v>
                </c:pt>
                <c:pt idx="140">
                  <c:v>56.933700000000002</c:v>
                </c:pt>
                <c:pt idx="141">
                  <c:v>57.341500000000003</c:v>
                </c:pt>
                <c:pt idx="142">
                  <c:v>57.748699999999999</c:v>
                </c:pt>
                <c:pt idx="143">
                  <c:v>58.156399999999998</c:v>
                </c:pt>
                <c:pt idx="144">
                  <c:v>58.5623</c:v>
                </c:pt>
                <c:pt idx="145">
                  <c:v>58.968400000000003</c:v>
                </c:pt>
                <c:pt idx="146">
                  <c:v>59.374099999999999</c:v>
                </c:pt>
                <c:pt idx="147">
                  <c:v>59.7791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  <c:pt idx="74">
                  <c:v>2.9511500000000002</c:v>
                </c:pt>
                <c:pt idx="75">
                  <c:v>2.96638</c:v>
                </c:pt>
                <c:pt idx="76">
                  <c:v>2.9753000000000003</c:v>
                </c:pt>
                <c:pt idx="77">
                  <c:v>2.9868399999999999</c:v>
                </c:pt>
                <c:pt idx="78">
                  <c:v>3.0014400000000001</c:v>
                </c:pt>
                <c:pt idx="79">
                  <c:v>3.0175299999999998</c:v>
                </c:pt>
                <c:pt idx="80">
                  <c:v>3.0304199999999999</c:v>
                </c:pt>
                <c:pt idx="81">
                  <c:v>3.0454699999999999</c:v>
                </c:pt>
                <c:pt idx="82">
                  <c:v>3.0617000000000001</c:v>
                </c:pt>
                <c:pt idx="83">
                  <c:v>3.0798999999999999</c:v>
                </c:pt>
                <c:pt idx="84">
                  <c:v>3.0989299999999997</c:v>
                </c:pt>
                <c:pt idx="85">
                  <c:v>3.1156299999999999</c:v>
                </c:pt>
                <c:pt idx="86">
                  <c:v>3.1342500000000002</c:v>
                </c:pt>
                <c:pt idx="87">
                  <c:v>3.15455</c:v>
                </c:pt>
                <c:pt idx="88">
                  <c:v>3.17245</c:v>
                </c:pt>
                <c:pt idx="89">
                  <c:v>3.1911099999999997</c:v>
                </c:pt>
                <c:pt idx="90">
                  <c:v>3.2070500000000002</c:v>
                </c:pt>
                <c:pt idx="91">
                  <c:v>3.2227499999999996</c:v>
                </c:pt>
                <c:pt idx="92">
                  <c:v>3.2385199999999998</c:v>
                </c:pt>
                <c:pt idx="93">
                  <c:v>3.2550299999999996</c:v>
                </c:pt>
                <c:pt idx="94">
                  <c:v>3.2702599999999999</c:v>
                </c:pt>
                <c:pt idx="95">
                  <c:v>3.2863100000000003</c:v>
                </c:pt>
                <c:pt idx="96">
                  <c:v>3.2972400000000004</c:v>
                </c:pt>
                <c:pt idx="97">
                  <c:v>3.30749</c:v>
                </c:pt>
                <c:pt idx="98">
                  <c:v>3.3161700000000001</c:v>
                </c:pt>
                <c:pt idx="99">
                  <c:v>3.3249899999999997</c:v>
                </c:pt>
                <c:pt idx="100">
                  <c:v>3.3323299999999998</c:v>
                </c:pt>
                <c:pt idx="101">
                  <c:v>3.3354400000000002</c:v>
                </c:pt>
                <c:pt idx="102">
                  <c:v>3.3378299999999999</c:v>
                </c:pt>
                <c:pt idx="103">
                  <c:v>3.33866</c:v>
                </c:pt>
                <c:pt idx="104">
                  <c:v>3.3433600000000001</c:v>
                </c:pt>
                <c:pt idx="105">
                  <c:v>3.3532000000000002</c:v>
                </c:pt>
                <c:pt idx="106">
                  <c:v>3.36381</c:v>
                </c:pt>
                <c:pt idx="107">
                  <c:v>3.3751799999999998</c:v>
                </c:pt>
                <c:pt idx="108">
                  <c:v>3.38605</c:v>
                </c:pt>
                <c:pt idx="109">
                  <c:v>3.3976800000000003</c:v>
                </c:pt>
                <c:pt idx="110">
                  <c:v>3.41256</c:v>
                </c:pt>
                <c:pt idx="111">
                  <c:v>3.4250699999999998</c:v>
                </c:pt>
                <c:pt idx="112">
                  <c:v>3.4346900000000002</c:v>
                </c:pt>
                <c:pt idx="113">
                  <c:v>3.4461000000000004</c:v>
                </c:pt>
                <c:pt idx="114">
                  <c:v>3.4560600000000004</c:v>
                </c:pt>
                <c:pt idx="115">
                  <c:v>3.4689300000000003</c:v>
                </c:pt>
                <c:pt idx="116">
                  <c:v>3.4805399999999995</c:v>
                </c:pt>
                <c:pt idx="117">
                  <c:v>3.4874000000000001</c:v>
                </c:pt>
                <c:pt idx="118">
                  <c:v>3.48766</c:v>
                </c:pt>
                <c:pt idx="119">
                  <c:v>3.4819800000000001</c:v>
                </c:pt>
                <c:pt idx="120">
                  <c:v>3.4693299999999998</c:v>
                </c:pt>
                <c:pt idx="121">
                  <c:v>3.4560900000000001</c:v>
                </c:pt>
                <c:pt idx="122">
                  <c:v>3.4409200000000002</c:v>
                </c:pt>
                <c:pt idx="123">
                  <c:v>3.4331699999999996</c:v>
                </c:pt>
                <c:pt idx="124">
                  <c:v>3.43099</c:v>
                </c:pt>
                <c:pt idx="125">
                  <c:v>3.4285800000000002</c:v>
                </c:pt>
                <c:pt idx="126">
                  <c:v>3.4295799999999996</c:v>
                </c:pt>
                <c:pt idx="127">
                  <c:v>3.4295100000000001</c:v>
                </c:pt>
                <c:pt idx="128">
                  <c:v>3.4289900000000002</c:v>
                </c:pt>
                <c:pt idx="129">
                  <c:v>3.4256500000000001</c:v>
                </c:pt>
                <c:pt idx="130">
                  <c:v>3.4200699999999999</c:v>
                </c:pt>
                <c:pt idx="131">
                  <c:v>3.41412</c:v>
                </c:pt>
                <c:pt idx="132">
                  <c:v>3.4064800000000002</c:v>
                </c:pt>
                <c:pt idx="133">
                  <c:v>3.3972000000000002</c:v>
                </c:pt>
                <c:pt idx="134">
                  <c:v>3.3848600000000002</c:v>
                </c:pt>
                <c:pt idx="135">
                  <c:v>3.3680099999999999</c:v>
                </c:pt>
                <c:pt idx="136">
                  <c:v>3.3492100000000002</c:v>
                </c:pt>
                <c:pt idx="137">
                  <c:v>3.3308200000000001</c:v>
                </c:pt>
                <c:pt idx="138">
                  <c:v>3.3098399999999999</c:v>
                </c:pt>
                <c:pt idx="139">
                  <c:v>3.2822800000000001</c:v>
                </c:pt>
                <c:pt idx="140">
                  <c:v>3.2459900000000004</c:v>
                </c:pt>
                <c:pt idx="141">
                  <c:v>3.2013500000000001</c:v>
                </c:pt>
                <c:pt idx="142">
                  <c:v>3.1584400000000001</c:v>
                </c:pt>
                <c:pt idx="143">
                  <c:v>3.11598</c:v>
                </c:pt>
                <c:pt idx="144">
                  <c:v>3.08474</c:v>
                </c:pt>
                <c:pt idx="145">
                  <c:v>3.0628300000000004</c:v>
                </c:pt>
                <c:pt idx="146">
                  <c:v>3.0418400000000001</c:v>
                </c:pt>
                <c:pt idx="147">
                  <c:v>3.0217100000000001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30.0596</c:v>
                </c:pt>
                <c:pt idx="2">
                  <c:v>30.652899999999999</c:v>
                </c:pt>
                <c:pt idx="3">
                  <c:v>31.026900000000001</c:v>
                </c:pt>
                <c:pt idx="4">
                  <c:v>31.405000000000001</c:v>
                </c:pt>
                <c:pt idx="5">
                  <c:v>31.777999999999999</c:v>
                </c:pt>
                <c:pt idx="6">
                  <c:v>32.155999999999999</c:v>
                </c:pt>
                <c:pt idx="7">
                  <c:v>32.560899999999997</c:v>
                </c:pt>
                <c:pt idx="8">
                  <c:v>32.966700000000003</c:v>
                </c:pt>
                <c:pt idx="9">
                  <c:v>33.374699999999997</c:v>
                </c:pt>
                <c:pt idx="10">
                  <c:v>33.778599999999997</c:v>
                </c:pt>
                <c:pt idx="11">
                  <c:v>34.186900000000001</c:v>
                </c:pt>
                <c:pt idx="12">
                  <c:v>34.5944</c:v>
                </c:pt>
                <c:pt idx="13">
                  <c:v>34.996299999999998</c:v>
                </c:pt>
                <c:pt idx="14">
                  <c:v>35.4024</c:v>
                </c:pt>
                <c:pt idx="15">
                  <c:v>35.807200000000002</c:v>
                </c:pt>
                <c:pt idx="16">
                  <c:v>36.217100000000002</c:v>
                </c:pt>
                <c:pt idx="17">
                  <c:v>36.622999999999998</c:v>
                </c:pt>
                <c:pt idx="18">
                  <c:v>37.026899999999998</c:v>
                </c:pt>
                <c:pt idx="19">
                  <c:v>37.435299999999998</c:v>
                </c:pt>
                <c:pt idx="20">
                  <c:v>37.844799999999999</c:v>
                </c:pt>
                <c:pt idx="21">
                  <c:v>38.250599999999999</c:v>
                </c:pt>
                <c:pt idx="22">
                  <c:v>38.657600000000002</c:v>
                </c:pt>
                <c:pt idx="23">
                  <c:v>39.059399999999997</c:v>
                </c:pt>
                <c:pt idx="24">
                  <c:v>39.464399999999998</c:v>
                </c:pt>
                <c:pt idx="25">
                  <c:v>39.8733</c:v>
                </c:pt>
                <c:pt idx="26">
                  <c:v>40.280200000000001</c:v>
                </c:pt>
                <c:pt idx="27">
                  <c:v>40.684100000000001</c:v>
                </c:pt>
                <c:pt idx="28">
                  <c:v>41.089100000000002</c:v>
                </c:pt>
                <c:pt idx="29">
                  <c:v>41.496299999999998</c:v>
                </c:pt>
                <c:pt idx="30">
                  <c:v>41.9009</c:v>
                </c:pt>
                <c:pt idx="31">
                  <c:v>42.311999999999998</c:v>
                </c:pt>
                <c:pt idx="32">
                  <c:v>42.718600000000002</c:v>
                </c:pt>
                <c:pt idx="33">
                  <c:v>43.122599999999998</c:v>
                </c:pt>
                <c:pt idx="34">
                  <c:v>43.526499999999999</c:v>
                </c:pt>
                <c:pt idx="35">
                  <c:v>43.933399999999999</c:v>
                </c:pt>
                <c:pt idx="36">
                  <c:v>44.3414</c:v>
                </c:pt>
                <c:pt idx="37">
                  <c:v>44.748399999999997</c:v>
                </c:pt>
                <c:pt idx="38">
                  <c:v>45.154200000000003</c:v>
                </c:pt>
                <c:pt idx="39">
                  <c:v>45.556100000000001</c:v>
                </c:pt>
                <c:pt idx="40">
                  <c:v>45.9651</c:v>
                </c:pt>
                <c:pt idx="41">
                  <c:v>46.372799999999998</c:v>
                </c:pt>
                <c:pt idx="42">
                  <c:v>46.780799999999999</c:v>
                </c:pt>
                <c:pt idx="43">
                  <c:v>47.186799999999998</c:v>
                </c:pt>
                <c:pt idx="44">
                  <c:v>47.593800000000002</c:v>
                </c:pt>
                <c:pt idx="45">
                  <c:v>48.001600000000003</c:v>
                </c:pt>
                <c:pt idx="46">
                  <c:v>48.406500000000001</c:v>
                </c:pt>
                <c:pt idx="47">
                  <c:v>48.811500000000002</c:v>
                </c:pt>
                <c:pt idx="48">
                  <c:v>49.218400000000003</c:v>
                </c:pt>
                <c:pt idx="49">
                  <c:v>49.621200000000002</c:v>
                </c:pt>
                <c:pt idx="50">
                  <c:v>50.028399999999998</c:v>
                </c:pt>
                <c:pt idx="51">
                  <c:v>50.435000000000002</c:v>
                </c:pt>
                <c:pt idx="52">
                  <c:v>50.841900000000003</c:v>
                </c:pt>
                <c:pt idx="53">
                  <c:v>51.2498</c:v>
                </c:pt>
                <c:pt idx="54">
                  <c:v>51.651800000000001</c:v>
                </c:pt>
                <c:pt idx="55">
                  <c:v>52.057699999999997</c:v>
                </c:pt>
                <c:pt idx="56">
                  <c:v>52.464599999999997</c:v>
                </c:pt>
                <c:pt idx="57">
                  <c:v>52.874699999999997</c:v>
                </c:pt>
                <c:pt idx="58">
                  <c:v>53.280299999999997</c:v>
                </c:pt>
                <c:pt idx="59">
                  <c:v>53.686300000000003</c:v>
                </c:pt>
                <c:pt idx="60">
                  <c:v>54.0944</c:v>
                </c:pt>
                <c:pt idx="61">
                  <c:v>54.498399999999997</c:v>
                </c:pt>
                <c:pt idx="62">
                  <c:v>54.9011</c:v>
                </c:pt>
                <c:pt idx="63">
                  <c:v>55.309899999999999</c:v>
                </c:pt>
                <c:pt idx="64">
                  <c:v>55.718000000000004</c:v>
                </c:pt>
                <c:pt idx="65">
                  <c:v>56.121400000000001</c:v>
                </c:pt>
                <c:pt idx="66">
                  <c:v>56.529699999999998</c:v>
                </c:pt>
                <c:pt idx="67">
                  <c:v>56.933700000000002</c:v>
                </c:pt>
                <c:pt idx="68">
                  <c:v>57.341500000000003</c:v>
                </c:pt>
                <c:pt idx="69">
                  <c:v>57.748699999999999</c:v>
                </c:pt>
                <c:pt idx="70">
                  <c:v>58.156399999999998</c:v>
                </c:pt>
                <c:pt idx="71">
                  <c:v>58.5623</c:v>
                </c:pt>
                <c:pt idx="72">
                  <c:v>58.968400000000003</c:v>
                </c:pt>
                <c:pt idx="73">
                  <c:v>59.374099999999999</c:v>
                </c:pt>
                <c:pt idx="74">
                  <c:v>59.7791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2.9462699999999997</c:v>
                </c:pt>
                <c:pt idx="1">
                  <c:v>2.9511500000000002</c:v>
                </c:pt>
                <c:pt idx="2">
                  <c:v>2.96638</c:v>
                </c:pt>
                <c:pt idx="3">
                  <c:v>2.9753000000000003</c:v>
                </c:pt>
                <c:pt idx="4">
                  <c:v>2.9868399999999999</c:v>
                </c:pt>
                <c:pt idx="5">
                  <c:v>3.0014400000000001</c:v>
                </c:pt>
                <c:pt idx="6">
                  <c:v>3.0175299999999998</c:v>
                </c:pt>
                <c:pt idx="7">
                  <c:v>3.0304199999999999</c:v>
                </c:pt>
                <c:pt idx="8">
                  <c:v>3.0454699999999999</c:v>
                </c:pt>
                <c:pt idx="9">
                  <c:v>3.0617000000000001</c:v>
                </c:pt>
                <c:pt idx="10">
                  <c:v>3.0798999999999999</c:v>
                </c:pt>
                <c:pt idx="11">
                  <c:v>3.0989299999999997</c:v>
                </c:pt>
                <c:pt idx="12">
                  <c:v>3.1156299999999999</c:v>
                </c:pt>
                <c:pt idx="13">
                  <c:v>3.1342500000000002</c:v>
                </c:pt>
                <c:pt idx="14">
                  <c:v>3.15455</c:v>
                </c:pt>
                <c:pt idx="15">
                  <c:v>3.17245</c:v>
                </c:pt>
                <c:pt idx="16">
                  <c:v>3.1911099999999997</c:v>
                </c:pt>
                <c:pt idx="17">
                  <c:v>3.2070500000000002</c:v>
                </c:pt>
                <c:pt idx="18">
                  <c:v>3.2227499999999996</c:v>
                </c:pt>
                <c:pt idx="19">
                  <c:v>3.2385199999999998</c:v>
                </c:pt>
                <c:pt idx="20">
                  <c:v>3.2550299999999996</c:v>
                </c:pt>
                <c:pt idx="21">
                  <c:v>3.2702599999999999</c:v>
                </c:pt>
                <c:pt idx="22">
                  <c:v>3.2863100000000003</c:v>
                </c:pt>
                <c:pt idx="23">
                  <c:v>3.2972400000000004</c:v>
                </c:pt>
                <c:pt idx="24">
                  <c:v>3.30749</c:v>
                </c:pt>
                <c:pt idx="25">
                  <c:v>3.3161700000000001</c:v>
                </c:pt>
                <c:pt idx="26">
                  <c:v>3.3249899999999997</c:v>
                </c:pt>
                <c:pt idx="27">
                  <c:v>3.3323299999999998</c:v>
                </c:pt>
                <c:pt idx="28">
                  <c:v>3.3354400000000002</c:v>
                </c:pt>
                <c:pt idx="29">
                  <c:v>3.3378299999999999</c:v>
                </c:pt>
                <c:pt idx="30">
                  <c:v>3.33866</c:v>
                </c:pt>
                <c:pt idx="31">
                  <c:v>3.3433600000000001</c:v>
                </c:pt>
                <c:pt idx="32">
                  <c:v>3.3532000000000002</c:v>
                </c:pt>
                <c:pt idx="33">
                  <c:v>3.36381</c:v>
                </c:pt>
                <c:pt idx="34">
                  <c:v>3.3751799999999998</c:v>
                </c:pt>
                <c:pt idx="35">
                  <c:v>3.38605</c:v>
                </c:pt>
                <c:pt idx="36">
                  <c:v>3.3976800000000003</c:v>
                </c:pt>
                <c:pt idx="37">
                  <c:v>3.41256</c:v>
                </c:pt>
                <c:pt idx="38">
                  <c:v>3.4250699999999998</c:v>
                </c:pt>
                <c:pt idx="39">
                  <c:v>3.4346900000000002</c:v>
                </c:pt>
                <c:pt idx="40">
                  <c:v>3.4461000000000004</c:v>
                </c:pt>
                <c:pt idx="41">
                  <c:v>3.4560600000000004</c:v>
                </c:pt>
                <c:pt idx="42">
                  <c:v>3.4689300000000003</c:v>
                </c:pt>
                <c:pt idx="43">
                  <c:v>3.4805399999999995</c:v>
                </c:pt>
                <c:pt idx="44">
                  <c:v>3.4874000000000001</c:v>
                </c:pt>
                <c:pt idx="45">
                  <c:v>3.48766</c:v>
                </c:pt>
                <c:pt idx="46">
                  <c:v>3.4819800000000001</c:v>
                </c:pt>
                <c:pt idx="47">
                  <c:v>3.4693299999999998</c:v>
                </c:pt>
                <c:pt idx="48">
                  <c:v>3.4560900000000001</c:v>
                </c:pt>
                <c:pt idx="49">
                  <c:v>3.4409200000000002</c:v>
                </c:pt>
                <c:pt idx="50">
                  <c:v>3.4331699999999996</c:v>
                </c:pt>
                <c:pt idx="51">
                  <c:v>3.43099</c:v>
                </c:pt>
                <c:pt idx="52">
                  <c:v>3.4285800000000002</c:v>
                </c:pt>
                <c:pt idx="53">
                  <c:v>3.4295799999999996</c:v>
                </c:pt>
                <c:pt idx="54">
                  <c:v>3.4295100000000001</c:v>
                </c:pt>
                <c:pt idx="55">
                  <c:v>3.4289900000000002</c:v>
                </c:pt>
                <c:pt idx="56">
                  <c:v>3.4256500000000001</c:v>
                </c:pt>
                <c:pt idx="57">
                  <c:v>3.4200699999999999</c:v>
                </c:pt>
                <c:pt idx="58">
                  <c:v>3.41412</c:v>
                </c:pt>
                <c:pt idx="59">
                  <c:v>3.4064800000000002</c:v>
                </c:pt>
                <c:pt idx="60">
                  <c:v>3.3972000000000002</c:v>
                </c:pt>
                <c:pt idx="61">
                  <c:v>3.3848600000000002</c:v>
                </c:pt>
                <c:pt idx="62">
                  <c:v>3.3680099999999999</c:v>
                </c:pt>
                <c:pt idx="63">
                  <c:v>3.3492100000000002</c:v>
                </c:pt>
                <c:pt idx="64">
                  <c:v>3.3308200000000001</c:v>
                </c:pt>
                <c:pt idx="65">
                  <c:v>3.3098399999999999</c:v>
                </c:pt>
                <c:pt idx="66">
                  <c:v>3.2822800000000001</c:v>
                </c:pt>
                <c:pt idx="67">
                  <c:v>3.2459900000000004</c:v>
                </c:pt>
                <c:pt idx="68">
                  <c:v>3.2013500000000001</c:v>
                </c:pt>
                <c:pt idx="69">
                  <c:v>3.1584400000000001</c:v>
                </c:pt>
                <c:pt idx="70">
                  <c:v>3.11598</c:v>
                </c:pt>
                <c:pt idx="71">
                  <c:v>3.08474</c:v>
                </c:pt>
                <c:pt idx="72">
                  <c:v>3.0628300000000004</c:v>
                </c:pt>
                <c:pt idx="73">
                  <c:v>3.0418400000000001</c:v>
                </c:pt>
                <c:pt idx="74">
                  <c:v>3.0217100000000001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14.944775</c:v>
                </c:pt>
                <c:pt idx="1">
                  <c:v>44.834325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3.0451602702702694</c:v>
                </c:pt>
                <c:pt idx="1">
                  <c:v>3.281377972972972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  <c:pt idx="74">
                  <c:v>30.0596</c:v>
                </c:pt>
                <c:pt idx="75">
                  <c:v>30.652899999999999</c:v>
                </c:pt>
                <c:pt idx="76">
                  <c:v>31.026900000000001</c:v>
                </c:pt>
                <c:pt idx="77">
                  <c:v>31.405000000000001</c:v>
                </c:pt>
                <c:pt idx="78">
                  <c:v>31.777999999999999</c:v>
                </c:pt>
                <c:pt idx="79">
                  <c:v>32.155999999999999</c:v>
                </c:pt>
                <c:pt idx="80">
                  <c:v>32.560899999999997</c:v>
                </c:pt>
                <c:pt idx="81">
                  <c:v>32.966700000000003</c:v>
                </c:pt>
                <c:pt idx="82">
                  <c:v>33.374699999999997</c:v>
                </c:pt>
                <c:pt idx="83">
                  <c:v>33.778599999999997</c:v>
                </c:pt>
                <c:pt idx="84">
                  <c:v>34.186900000000001</c:v>
                </c:pt>
                <c:pt idx="85">
                  <c:v>34.5944</c:v>
                </c:pt>
                <c:pt idx="86">
                  <c:v>34.996299999999998</c:v>
                </c:pt>
                <c:pt idx="87">
                  <c:v>35.4024</c:v>
                </c:pt>
                <c:pt idx="88">
                  <c:v>35.807200000000002</c:v>
                </c:pt>
                <c:pt idx="89">
                  <c:v>36.217100000000002</c:v>
                </c:pt>
                <c:pt idx="90">
                  <c:v>36.622999999999998</c:v>
                </c:pt>
                <c:pt idx="91">
                  <c:v>37.026899999999998</c:v>
                </c:pt>
                <c:pt idx="92">
                  <c:v>37.435299999999998</c:v>
                </c:pt>
                <c:pt idx="93">
                  <c:v>37.844799999999999</c:v>
                </c:pt>
                <c:pt idx="94">
                  <c:v>38.250599999999999</c:v>
                </c:pt>
                <c:pt idx="95">
                  <c:v>38.657600000000002</c:v>
                </c:pt>
                <c:pt idx="96">
                  <c:v>39.059399999999997</c:v>
                </c:pt>
                <c:pt idx="97">
                  <c:v>39.464399999999998</c:v>
                </c:pt>
                <c:pt idx="98">
                  <c:v>39.8733</c:v>
                </c:pt>
                <c:pt idx="99">
                  <c:v>40.280200000000001</c:v>
                </c:pt>
                <c:pt idx="100">
                  <c:v>40.684100000000001</c:v>
                </c:pt>
                <c:pt idx="101">
                  <c:v>41.089100000000002</c:v>
                </c:pt>
                <c:pt idx="102">
                  <c:v>41.496299999999998</c:v>
                </c:pt>
                <c:pt idx="103">
                  <c:v>41.9009</c:v>
                </c:pt>
                <c:pt idx="104">
                  <c:v>42.311999999999998</c:v>
                </c:pt>
                <c:pt idx="105">
                  <c:v>42.718600000000002</c:v>
                </c:pt>
                <c:pt idx="106">
                  <c:v>43.122599999999998</c:v>
                </c:pt>
                <c:pt idx="107">
                  <c:v>43.526499999999999</c:v>
                </c:pt>
                <c:pt idx="108">
                  <c:v>43.933399999999999</c:v>
                </c:pt>
                <c:pt idx="109">
                  <c:v>44.3414</c:v>
                </c:pt>
                <c:pt idx="110">
                  <c:v>44.748399999999997</c:v>
                </c:pt>
                <c:pt idx="111">
                  <c:v>45.154200000000003</c:v>
                </c:pt>
                <c:pt idx="112">
                  <c:v>45.556100000000001</c:v>
                </c:pt>
                <c:pt idx="113">
                  <c:v>45.9651</c:v>
                </c:pt>
                <c:pt idx="114">
                  <c:v>46.372799999999998</c:v>
                </c:pt>
                <c:pt idx="115">
                  <c:v>46.780799999999999</c:v>
                </c:pt>
                <c:pt idx="116">
                  <c:v>47.186799999999998</c:v>
                </c:pt>
                <c:pt idx="117">
                  <c:v>47.593800000000002</c:v>
                </c:pt>
                <c:pt idx="118">
                  <c:v>48.001600000000003</c:v>
                </c:pt>
                <c:pt idx="119">
                  <c:v>48.406500000000001</c:v>
                </c:pt>
                <c:pt idx="120">
                  <c:v>48.811500000000002</c:v>
                </c:pt>
                <c:pt idx="121">
                  <c:v>49.218400000000003</c:v>
                </c:pt>
                <c:pt idx="122">
                  <c:v>49.621200000000002</c:v>
                </c:pt>
                <c:pt idx="123">
                  <c:v>50.028399999999998</c:v>
                </c:pt>
                <c:pt idx="124">
                  <c:v>50.435000000000002</c:v>
                </c:pt>
                <c:pt idx="125">
                  <c:v>50.841900000000003</c:v>
                </c:pt>
                <c:pt idx="126">
                  <c:v>51.2498</c:v>
                </c:pt>
                <c:pt idx="127">
                  <c:v>51.651800000000001</c:v>
                </c:pt>
                <c:pt idx="128">
                  <c:v>52.057699999999997</c:v>
                </c:pt>
                <c:pt idx="129">
                  <c:v>52.464599999999997</c:v>
                </c:pt>
                <c:pt idx="130">
                  <c:v>52.874699999999997</c:v>
                </c:pt>
                <c:pt idx="131">
                  <c:v>53.280299999999997</c:v>
                </c:pt>
                <c:pt idx="132">
                  <c:v>53.686300000000003</c:v>
                </c:pt>
                <c:pt idx="133">
                  <c:v>54.0944</c:v>
                </c:pt>
                <c:pt idx="134">
                  <c:v>54.498399999999997</c:v>
                </c:pt>
                <c:pt idx="135">
                  <c:v>54.9011</c:v>
                </c:pt>
                <c:pt idx="136">
                  <c:v>55.309899999999999</c:v>
                </c:pt>
                <c:pt idx="137">
                  <c:v>55.718000000000004</c:v>
                </c:pt>
                <c:pt idx="138">
                  <c:v>56.121400000000001</c:v>
                </c:pt>
                <c:pt idx="139">
                  <c:v>56.529699999999998</c:v>
                </c:pt>
                <c:pt idx="140">
                  <c:v>56.933700000000002</c:v>
                </c:pt>
                <c:pt idx="141">
                  <c:v>57.341500000000003</c:v>
                </c:pt>
                <c:pt idx="142">
                  <c:v>57.748699999999999</c:v>
                </c:pt>
                <c:pt idx="143">
                  <c:v>58.156399999999998</c:v>
                </c:pt>
                <c:pt idx="144">
                  <c:v>58.5623</c:v>
                </c:pt>
                <c:pt idx="145">
                  <c:v>58.968400000000003</c:v>
                </c:pt>
                <c:pt idx="146">
                  <c:v>59.374099999999999</c:v>
                </c:pt>
                <c:pt idx="147">
                  <c:v>59.7791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  <c:pt idx="74">
                  <c:v>29.043600000000001</c:v>
                </c:pt>
                <c:pt idx="75">
                  <c:v>28.270699999999998</c:v>
                </c:pt>
                <c:pt idx="76">
                  <c:v>27.545100000000001</c:v>
                </c:pt>
                <c:pt idx="77">
                  <c:v>26.832099999999997</c:v>
                </c:pt>
                <c:pt idx="78">
                  <c:v>26.112099999999998</c:v>
                </c:pt>
                <c:pt idx="79">
                  <c:v>25.413400000000003</c:v>
                </c:pt>
                <c:pt idx="80">
                  <c:v>24.840300000000003</c:v>
                </c:pt>
                <c:pt idx="81">
                  <c:v>24.351099999999999</c:v>
                </c:pt>
                <c:pt idx="82">
                  <c:v>23.985500000000002</c:v>
                </c:pt>
                <c:pt idx="83">
                  <c:v>23.666599999999999</c:v>
                </c:pt>
                <c:pt idx="84">
                  <c:v>23.379200000000001</c:v>
                </c:pt>
                <c:pt idx="85">
                  <c:v>23.096900000000002</c:v>
                </c:pt>
                <c:pt idx="86">
                  <c:v>22.827200000000001</c:v>
                </c:pt>
                <c:pt idx="87">
                  <c:v>22.5412</c:v>
                </c:pt>
                <c:pt idx="88">
                  <c:v>22.3306</c:v>
                </c:pt>
                <c:pt idx="89">
                  <c:v>22.0411</c:v>
                </c:pt>
                <c:pt idx="90">
                  <c:v>21.805700000000002</c:v>
                </c:pt>
                <c:pt idx="91">
                  <c:v>21.6206</c:v>
                </c:pt>
                <c:pt idx="92">
                  <c:v>21.444099999999999</c:v>
                </c:pt>
                <c:pt idx="93">
                  <c:v>21.241599999999998</c:v>
                </c:pt>
                <c:pt idx="94">
                  <c:v>21.0488</c:v>
                </c:pt>
                <c:pt idx="95">
                  <c:v>20.850999999999999</c:v>
                </c:pt>
                <c:pt idx="96">
                  <c:v>20.574300000000001</c:v>
                </c:pt>
                <c:pt idx="97">
                  <c:v>20.259499999999999</c:v>
                </c:pt>
                <c:pt idx="98">
                  <c:v>19.916900000000002</c:v>
                </c:pt>
                <c:pt idx="99">
                  <c:v>19.517599999999998</c:v>
                </c:pt>
                <c:pt idx="100">
                  <c:v>19.1661</c:v>
                </c:pt>
                <c:pt idx="101">
                  <c:v>18.904599999999999</c:v>
                </c:pt>
                <c:pt idx="102">
                  <c:v>18.657899999999998</c:v>
                </c:pt>
                <c:pt idx="103">
                  <c:v>18.492599999999999</c:v>
                </c:pt>
                <c:pt idx="104">
                  <c:v>18.404400000000003</c:v>
                </c:pt>
                <c:pt idx="105">
                  <c:v>18.3065</c:v>
                </c:pt>
                <c:pt idx="106">
                  <c:v>18.261500000000002</c:v>
                </c:pt>
                <c:pt idx="107">
                  <c:v>18.1874</c:v>
                </c:pt>
                <c:pt idx="108">
                  <c:v>18.082899999999999</c:v>
                </c:pt>
                <c:pt idx="109">
                  <c:v>17.9786</c:v>
                </c:pt>
                <c:pt idx="110">
                  <c:v>17.958600000000001</c:v>
                </c:pt>
                <c:pt idx="111">
                  <c:v>17.925699999999999</c:v>
                </c:pt>
                <c:pt idx="112">
                  <c:v>17.927199999999999</c:v>
                </c:pt>
                <c:pt idx="113">
                  <c:v>17.9162</c:v>
                </c:pt>
                <c:pt idx="114">
                  <c:v>17.9373</c:v>
                </c:pt>
                <c:pt idx="115">
                  <c:v>17.9693</c:v>
                </c:pt>
                <c:pt idx="116">
                  <c:v>18.0183</c:v>
                </c:pt>
                <c:pt idx="117">
                  <c:v>18.045999999999999</c:v>
                </c:pt>
                <c:pt idx="118">
                  <c:v>18.092099999999999</c:v>
                </c:pt>
                <c:pt idx="119">
                  <c:v>18.198499999999999</c:v>
                </c:pt>
                <c:pt idx="120">
                  <c:v>18.301100000000002</c:v>
                </c:pt>
                <c:pt idx="121">
                  <c:v>18.4786</c:v>
                </c:pt>
                <c:pt idx="122">
                  <c:v>18.750600000000002</c:v>
                </c:pt>
                <c:pt idx="123">
                  <c:v>19.0061</c:v>
                </c:pt>
                <c:pt idx="124">
                  <c:v>19.245200000000001</c:v>
                </c:pt>
                <c:pt idx="125">
                  <c:v>19.510300000000001</c:v>
                </c:pt>
                <c:pt idx="126">
                  <c:v>19.759399999999999</c:v>
                </c:pt>
                <c:pt idx="127">
                  <c:v>19.965599999999998</c:v>
                </c:pt>
                <c:pt idx="128">
                  <c:v>20.125699999999998</c:v>
                </c:pt>
                <c:pt idx="129">
                  <c:v>20.2605</c:v>
                </c:pt>
                <c:pt idx="130">
                  <c:v>20.373100000000001</c:v>
                </c:pt>
                <c:pt idx="131">
                  <c:v>20.437899999999999</c:v>
                </c:pt>
                <c:pt idx="132">
                  <c:v>20.527200000000001</c:v>
                </c:pt>
                <c:pt idx="133">
                  <c:v>20.696100000000001</c:v>
                </c:pt>
                <c:pt idx="134">
                  <c:v>20.933299999999999</c:v>
                </c:pt>
                <c:pt idx="135">
                  <c:v>21.167200000000001</c:v>
                </c:pt>
                <c:pt idx="136">
                  <c:v>21.427699999999998</c:v>
                </c:pt>
                <c:pt idx="137">
                  <c:v>21.625</c:v>
                </c:pt>
                <c:pt idx="138">
                  <c:v>21.874399999999998</c:v>
                </c:pt>
                <c:pt idx="139">
                  <c:v>22.260300000000001</c:v>
                </c:pt>
                <c:pt idx="140">
                  <c:v>22.7851</c:v>
                </c:pt>
                <c:pt idx="141">
                  <c:v>23.3902</c:v>
                </c:pt>
                <c:pt idx="142">
                  <c:v>24.1557</c:v>
                </c:pt>
                <c:pt idx="143">
                  <c:v>24.820500000000003</c:v>
                </c:pt>
                <c:pt idx="144">
                  <c:v>25.184800000000003</c:v>
                </c:pt>
                <c:pt idx="145">
                  <c:v>25.318000000000001</c:v>
                </c:pt>
                <c:pt idx="146">
                  <c:v>26.123100000000001</c:v>
                </c:pt>
                <c:pt idx="147">
                  <c:v>26.622899999999998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30.0596</c:v>
                </c:pt>
                <c:pt idx="2">
                  <c:v>30.652899999999999</c:v>
                </c:pt>
                <c:pt idx="3">
                  <c:v>31.026900000000001</c:v>
                </c:pt>
                <c:pt idx="4">
                  <c:v>31.405000000000001</c:v>
                </c:pt>
                <c:pt idx="5">
                  <c:v>31.777999999999999</c:v>
                </c:pt>
                <c:pt idx="6">
                  <c:v>32.155999999999999</c:v>
                </c:pt>
                <c:pt idx="7">
                  <c:v>32.560899999999997</c:v>
                </c:pt>
                <c:pt idx="8">
                  <c:v>32.966700000000003</c:v>
                </c:pt>
                <c:pt idx="9">
                  <c:v>33.374699999999997</c:v>
                </c:pt>
                <c:pt idx="10">
                  <c:v>33.778599999999997</c:v>
                </c:pt>
                <c:pt idx="11">
                  <c:v>34.186900000000001</c:v>
                </c:pt>
                <c:pt idx="12">
                  <c:v>34.5944</c:v>
                </c:pt>
                <c:pt idx="13">
                  <c:v>34.996299999999998</c:v>
                </c:pt>
                <c:pt idx="14">
                  <c:v>35.4024</c:v>
                </c:pt>
                <c:pt idx="15">
                  <c:v>35.807200000000002</c:v>
                </c:pt>
                <c:pt idx="16">
                  <c:v>36.217100000000002</c:v>
                </c:pt>
                <c:pt idx="17">
                  <c:v>36.622999999999998</c:v>
                </c:pt>
                <c:pt idx="18">
                  <c:v>37.026899999999998</c:v>
                </c:pt>
                <c:pt idx="19">
                  <c:v>37.435299999999998</c:v>
                </c:pt>
                <c:pt idx="20">
                  <c:v>37.844799999999999</c:v>
                </c:pt>
                <c:pt idx="21">
                  <c:v>38.250599999999999</c:v>
                </c:pt>
                <c:pt idx="22">
                  <c:v>38.657600000000002</c:v>
                </c:pt>
                <c:pt idx="23">
                  <c:v>39.059399999999997</c:v>
                </c:pt>
                <c:pt idx="24">
                  <c:v>39.464399999999998</c:v>
                </c:pt>
                <c:pt idx="25">
                  <c:v>39.8733</c:v>
                </c:pt>
                <c:pt idx="26">
                  <c:v>40.280200000000001</c:v>
                </c:pt>
                <c:pt idx="27">
                  <c:v>40.684100000000001</c:v>
                </c:pt>
                <c:pt idx="28">
                  <c:v>41.089100000000002</c:v>
                </c:pt>
                <c:pt idx="29">
                  <c:v>41.496299999999998</c:v>
                </c:pt>
                <c:pt idx="30">
                  <c:v>41.9009</c:v>
                </c:pt>
                <c:pt idx="31">
                  <c:v>42.311999999999998</c:v>
                </c:pt>
                <c:pt idx="32">
                  <c:v>42.718600000000002</c:v>
                </c:pt>
                <c:pt idx="33">
                  <c:v>43.122599999999998</c:v>
                </c:pt>
                <c:pt idx="34">
                  <c:v>43.526499999999999</c:v>
                </c:pt>
                <c:pt idx="35">
                  <c:v>43.933399999999999</c:v>
                </c:pt>
                <c:pt idx="36">
                  <c:v>44.3414</c:v>
                </c:pt>
                <c:pt idx="37">
                  <c:v>44.748399999999997</c:v>
                </c:pt>
                <c:pt idx="38">
                  <c:v>45.154200000000003</c:v>
                </c:pt>
                <c:pt idx="39">
                  <c:v>45.556100000000001</c:v>
                </c:pt>
                <c:pt idx="40">
                  <c:v>45.9651</c:v>
                </c:pt>
                <c:pt idx="41">
                  <c:v>46.372799999999998</c:v>
                </c:pt>
                <c:pt idx="42">
                  <c:v>46.780799999999999</c:v>
                </c:pt>
                <c:pt idx="43">
                  <c:v>47.186799999999998</c:v>
                </c:pt>
                <c:pt idx="44">
                  <c:v>47.593800000000002</c:v>
                </c:pt>
                <c:pt idx="45">
                  <c:v>48.001600000000003</c:v>
                </c:pt>
                <c:pt idx="46">
                  <c:v>48.406500000000001</c:v>
                </c:pt>
                <c:pt idx="47">
                  <c:v>48.811500000000002</c:v>
                </c:pt>
                <c:pt idx="48">
                  <c:v>49.218400000000003</c:v>
                </c:pt>
                <c:pt idx="49">
                  <c:v>49.621200000000002</c:v>
                </c:pt>
                <c:pt idx="50">
                  <c:v>50.028399999999998</c:v>
                </c:pt>
                <c:pt idx="51">
                  <c:v>50.435000000000002</c:v>
                </c:pt>
                <c:pt idx="52">
                  <c:v>50.841900000000003</c:v>
                </c:pt>
                <c:pt idx="53">
                  <c:v>51.2498</c:v>
                </c:pt>
                <c:pt idx="54">
                  <c:v>51.651800000000001</c:v>
                </c:pt>
                <c:pt idx="55">
                  <c:v>52.057699999999997</c:v>
                </c:pt>
                <c:pt idx="56">
                  <c:v>52.464599999999997</c:v>
                </c:pt>
                <c:pt idx="57">
                  <c:v>52.874699999999997</c:v>
                </c:pt>
                <c:pt idx="58">
                  <c:v>53.280299999999997</c:v>
                </c:pt>
                <c:pt idx="59">
                  <c:v>53.686300000000003</c:v>
                </c:pt>
                <c:pt idx="60">
                  <c:v>54.0944</c:v>
                </c:pt>
                <c:pt idx="61">
                  <c:v>54.498399999999997</c:v>
                </c:pt>
                <c:pt idx="62">
                  <c:v>54.9011</c:v>
                </c:pt>
                <c:pt idx="63">
                  <c:v>55.309899999999999</c:v>
                </c:pt>
                <c:pt idx="64">
                  <c:v>55.718000000000004</c:v>
                </c:pt>
                <c:pt idx="65">
                  <c:v>56.121400000000001</c:v>
                </c:pt>
                <c:pt idx="66">
                  <c:v>56.529699999999998</c:v>
                </c:pt>
                <c:pt idx="67">
                  <c:v>56.933700000000002</c:v>
                </c:pt>
                <c:pt idx="68">
                  <c:v>57.341500000000003</c:v>
                </c:pt>
                <c:pt idx="69">
                  <c:v>57.748699999999999</c:v>
                </c:pt>
                <c:pt idx="70">
                  <c:v>58.156399999999998</c:v>
                </c:pt>
                <c:pt idx="71">
                  <c:v>58.5623</c:v>
                </c:pt>
                <c:pt idx="72">
                  <c:v>58.968400000000003</c:v>
                </c:pt>
                <c:pt idx="73">
                  <c:v>59.374099999999999</c:v>
                </c:pt>
                <c:pt idx="74">
                  <c:v>59.7791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29.531000000000002</c:v>
                </c:pt>
                <c:pt idx="1">
                  <c:v>29.043600000000001</c:v>
                </c:pt>
                <c:pt idx="2">
                  <c:v>28.270699999999998</c:v>
                </c:pt>
                <c:pt idx="3">
                  <c:v>27.545100000000001</c:v>
                </c:pt>
                <c:pt idx="4">
                  <c:v>26.832099999999997</c:v>
                </c:pt>
                <c:pt idx="5">
                  <c:v>26.112099999999998</c:v>
                </c:pt>
                <c:pt idx="6">
                  <c:v>25.413400000000003</c:v>
                </c:pt>
                <c:pt idx="7">
                  <c:v>24.840300000000003</c:v>
                </c:pt>
                <c:pt idx="8">
                  <c:v>24.351099999999999</c:v>
                </c:pt>
                <c:pt idx="9">
                  <c:v>23.985500000000002</c:v>
                </c:pt>
                <c:pt idx="10">
                  <c:v>23.666599999999999</c:v>
                </c:pt>
                <c:pt idx="11">
                  <c:v>23.379200000000001</c:v>
                </c:pt>
                <c:pt idx="12">
                  <c:v>23.096900000000002</c:v>
                </c:pt>
                <c:pt idx="13">
                  <c:v>22.827200000000001</c:v>
                </c:pt>
                <c:pt idx="14">
                  <c:v>22.5412</c:v>
                </c:pt>
                <c:pt idx="15">
                  <c:v>22.3306</c:v>
                </c:pt>
                <c:pt idx="16">
                  <c:v>22.0411</c:v>
                </c:pt>
                <c:pt idx="17">
                  <c:v>21.805700000000002</c:v>
                </c:pt>
                <c:pt idx="18">
                  <c:v>21.6206</c:v>
                </c:pt>
                <c:pt idx="19">
                  <c:v>21.444099999999999</c:v>
                </c:pt>
                <c:pt idx="20">
                  <c:v>21.241599999999998</c:v>
                </c:pt>
                <c:pt idx="21">
                  <c:v>21.0488</c:v>
                </c:pt>
                <c:pt idx="22">
                  <c:v>20.850999999999999</c:v>
                </c:pt>
                <c:pt idx="23">
                  <c:v>20.574300000000001</c:v>
                </c:pt>
                <c:pt idx="24">
                  <c:v>20.259499999999999</c:v>
                </c:pt>
                <c:pt idx="25">
                  <c:v>19.916900000000002</c:v>
                </c:pt>
                <c:pt idx="26">
                  <c:v>19.517599999999998</c:v>
                </c:pt>
                <c:pt idx="27">
                  <c:v>19.1661</c:v>
                </c:pt>
                <c:pt idx="28">
                  <c:v>18.904599999999999</c:v>
                </c:pt>
                <c:pt idx="29">
                  <c:v>18.657899999999998</c:v>
                </c:pt>
                <c:pt idx="30">
                  <c:v>18.492599999999999</c:v>
                </c:pt>
                <c:pt idx="31">
                  <c:v>18.404400000000003</c:v>
                </c:pt>
                <c:pt idx="32">
                  <c:v>18.3065</c:v>
                </c:pt>
                <c:pt idx="33">
                  <c:v>18.261500000000002</c:v>
                </c:pt>
                <c:pt idx="34">
                  <c:v>18.1874</c:v>
                </c:pt>
                <c:pt idx="35">
                  <c:v>18.082899999999999</c:v>
                </c:pt>
                <c:pt idx="36">
                  <c:v>17.9786</c:v>
                </c:pt>
                <c:pt idx="37">
                  <c:v>17.958600000000001</c:v>
                </c:pt>
                <c:pt idx="38">
                  <c:v>17.925699999999999</c:v>
                </c:pt>
                <c:pt idx="39">
                  <c:v>17.927199999999999</c:v>
                </c:pt>
                <c:pt idx="40">
                  <c:v>17.9162</c:v>
                </c:pt>
                <c:pt idx="41">
                  <c:v>17.9373</c:v>
                </c:pt>
                <c:pt idx="42">
                  <c:v>17.9693</c:v>
                </c:pt>
                <c:pt idx="43">
                  <c:v>18.0183</c:v>
                </c:pt>
                <c:pt idx="44">
                  <c:v>18.045999999999999</c:v>
                </c:pt>
                <c:pt idx="45">
                  <c:v>18.092099999999999</c:v>
                </c:pt>
                <c:pt idx="46">
                  <c:v>18.198499999999999</c:v>
                </c:pt>
                <c:pt idx="47">
                  <c:v>18.301100000000002</c:v>
                </c:pt>
                <c:pt idx="48">
                  <c:v>18.4786</c:v>
                </c:pt>
                <c:pt idx="49">
                  <c:v>18.750600000000002</c:v>
                </c:pt>
                <c:pt idx="50">
                  <c:v>19.0061</c:v>
                </c:pt>
                <c:pt idx="51">
                  <c:v>19.245200000000001</c:v>
                </c:pt>
                <c:pt idx="52">
                  <c:v>19.510300000000001</c:v>
                </c:pt>
                <c:pt idx="53">
                  <c:v>19.759399999999999</c:v>
                </c:pt>
                <c:pt idx="54">
                  <c:v>19.965599999999998</c:v>
                </c:pt>
                <c:pt idx="55">
                  <c:v>20.125699999999998</c:v>
                </c:pt>
                <c:pt idx="56">
                  <c:v>20.2605</c:v>
                </c:pt>
                <c:pt idx="57">
                  <c:v>20.373100000000001</c:v>
                </c:pt>
                <c:pt idx="58">
                  <c:v>20.437899999999999</c:v>
                </c:pt>
                <c:pt idx="59">
                  <c:v>20.527200000000001</c:v>
                </c:pt>
                <c:pt idx="60">
                  <c:v>20.696100000000001</c:v>
                </c:pt>
                <c:pt idx="61">
                  <c:v>20.933299999999999</c:v>
                </c:pt>
                <c:pt idx="62">
                  <c:v>21.167200000000001</c:v>
                </c:pt>
                <c:pt idx="63">
                  <c:v>21.427699999999998</c:v>
                </c:pt>
                <c:pt idx="64">
                  <c:v>21.625</c:v>
                </c:pt>
                <c:pt idx="65">
                  <c:v>21.874399999999998</c:v>
                </c:pt>
                <c:pt idx="66">
                  <c:v>22.260300000000001</c:v>
                </c:pt>
                <c:pt idx="67">
                  <c:v>22.7851</c:v>
                </c:pt>
                <c:pt idx="68">
                  <c:v>23.3902</c:v>
                </c:pt>
                <c:pt idx="69">
                  <c:v>24.1557</c:v>
                </c:pt>
                <c:pt idx="70">
                  <c:v>24.820500000000003</c:v>
                </c:pt>
                <c:pt idx="71">
                  <c:v>25.184800000000003</c:v>
                </c:pt>
                <c:pt idx="72">
                  <c:v>25.318000000000001</c:v>
                </c:pt>
                <c:pt idx="73">
                  <c:v>26.123100000000001</c:v>
                </c:pt>
                <c:pt idx="74">
                  <c:v>26.622899999999998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14.944775</c:v>
                </c:pt>
                <c:pt idx="1">
                  <c:v>44.834325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36.888006756756766</c:v>
                </c:pt>
                <c:pt idx="1">
                  <c:v>21.244785135135132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40.0411</c:v>
                </c:pt>
                <c:pt idx="1">
                  <c:v>30.706399999999999</c:v>
                </c:pt>
                <c:pt idx="2">
                  <c:v>25.7239</c:v>
                </c:pt>
                <c:pt idx="3">
                  <c:v>32.016300000000001</c:v>
                </c:pt>
                <c:pt idx="4">
                  <c:v>68.275899999999993</c:v>
                </c:pt>
                <c:pt idx="5">
                  <c:v>75.652799999999999</c:v>
                </c:pt>
                <c:pt idx="6">
                  <c:v>18.886099999999999</c:v>
                </c:pt>
                <c:pt idx="7">
                  <c:v>71.952200000000005</c:v>
                </c:pt>
                <c:pt idx="8">
                  <c:v>20.747</c:v>
                </c:pt>
                <c:pt idx="9">
                  <c:v>28.365400000000001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48.504399999999997</c:v>
                </c:pt>
                <c:pt idx="1">
                  <c:v>34.602200000000003</c:v>
                </c:pt>
                <c:pt idx="2">
                  <c:v>24.698499999999999</c:v>
                </c:pt>
                <c:pt idx="3">
                  <c:v>36.0503</c:v>
                </c:pt>
                <c:pt idx="4">
                  <c:v>64.870599999999996</c:v>
                </c:pt>
                <c:pt idx="5">
                  <c:v>61.683900000000001</c:v>
                </c:pt>
                <c:pt idx="6">
                  <c:v>17.022500000000001</c:v>
                </c:pt>
                <c:pt idx="7">
                  <c:v>62.492800000000003</c:v>
                </c:pt>
                <c:pt idx="8">
                  <c:v>19.626100000000001</c:v>
                </c:pt>
                <c:pt idx="9">
                  <c:v>33.091999999999999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0.50872682318499518</c:v>
                </c:pt>
                <c:pt idx="1">
                  <c:v>0.27842558553521879</c:v>
                </c:pt>
                <c:pt idx="2">
                  <c:v>0.21284759127978597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2804</c:v>
                </c:pt>
                <c:pt idx="7">
                  <c:v>0</c:v>
                </c:pt>
                <c:pt idx="8">
                  <c:v>6324</c:v>
                </c:pt>
                <c:pt idx="9">
                  <c:v>0</c:v>
                </c:pt>
                <c:pt idx="10">
                  <c:v>0</c:v>
                </c:pt>
                <c:pt idx="11">
                  <c:v>12107</c:v>
                </c:pt>
                <c:pt idx="12">
                  <c:v>0</c:v>
                </c:pt>
                <c:pt idx="13">
                  <c:v>16913</c:v>
                </c:pt>
                <c:pt idx="14">
                  <c:v>0</c:v>
                </c:pt>
                <c:pt idx="15">
                  <c:v>0</c:v>
                </c:pt>
                <c:pt idx="16">
                  <c:v>17630</c:v>
                </c:pt>
                <c:pt idx="17">
                  <c:v>0</c:v>
                </c:pt>
                <c:pt idx="18">
                  <c:v>0</c:v>
                </c:pt>
                <c:pt idx="19">
                  <c:v>22621</c:v>
                </c:pt>
                <c:pt idx="20">
                  <c:v>0</c:v>
                </c:pt>
                <c:pt idx="21">
                  <c:v>30612</c:v>
                </c:pt>
                <c:pt idx="22">
                  <c:v>0</c:v>
                </c:pt>
                <c:pt idx="23">
                  <c:v>0</c:v>
                </c:pt>
                <c:pt idx="24">
                  <c:v>36804</c:v>
                </c:pt>
                <c:pt idx="25">
                  <c:v>0</c:v>
                </c:pt>
                <c:pt idx="26">
                  <c:v>45009</c:v>
                </c:pt>
                <c:pt idx="27">
                  <c:v>0</c:v>
                </c:pt>
                <c:pt idx="28">
                  <c:v>0</c:v>
                </c:pt>
                <c:pt idx="29">
                  <c:v>52903</c:v>
                </c:pt>
                <c:pt idx="30">
                  <c:v>0</c:v>
                </c:pt>
                <c:pt idx="31">
                  <c:v>55330</c:v>
                </c:pt>
                <c:pt idx="32">
                  <c:v>0</c:v>
                </c:pt>
                <c:pt idx="33">
                  <c:v>0</c:v>
                </c:pt>
                <c:pt idx="34">
                  <c:v>58874</c:v>
                </c:pt>
                <c:pt idx="35">
                  <c:v>0</c:v>
                </c:pt>
                <c:pt idx="36">
                  <c:v>0</c:v>
                </c:pt>
                <c:pt idx="37">
                  <c:v>52878</c:v>
                </c:pt>
                <c:pt idx="38">
                  <c:v>0</c:v>
                </c:pt>
                <c:pt idx="39">
                  <c:v>59279</c:v>
                </c:pt>
                <c:pt idx="40">
                  <c:v>0</c:v>
                </c:pt>
                <c:pt idx="41">
                  <c:v>0</c:v>
                </c:pt>
                <c:pt idx="42">
                  <c:v>60103</c:v>
                </c:pt>
                <c:pt idx="43">
                  <c:v>0</c:v>
                </c:pt>
                <c:pt idx="44">
                  <c:v>67417</c:v>
                </c:pt>
                <c:pt idx="45">
                  <c:v>0</c:v>
                </c:pt>
                <c:pt idx="46">
                  <c:v>0</c:v>
                </c:pt>
                <c:pt idx="47">
                  <c:v>60200</c:v>
                </c:pt>
                <c:pt idx="48">
                  <c:v>0</c:v>
                </c:pt>
                <c:pt idx="49">
                  <c:v>65351</c:v>
                </c:pt>
                <c:pt idx="50">
                  <c:v>0</c:v>
                </c:pt>
                <c:pt idx="51">
                  <c:v>0</c:v>
                </c:pt>
                <c:pt idx="52">
                  <c:v>61650</c:v>
                </c:pt>
                <c:pt idx="53">
                  <c:v>0</c:v>
                </c:pt>
                <c:pt idx="54">
                  <c:v>0</c:v>
                </c:pt>
                <c:pt idx="55">
                  <c:v>67269</c:v>
                </c:pt>
                <c:pt idx="56">
                  <c:v>0</c:v>
                </c:pt>
                <c:pt idx="57">
                  <c:v>70844</c:v>
                </c:pt>
                <c:pt idx="58">
                  <c:v>0</c:v>
                </c:pt>
                <c:pt idx="59">
                  <c:v>0</c:v>
                </c:pt>
                <c:pt idx="60">
                  <c:v>78672</c:v>
                </c:pt>
                <c:pt idx="61">
                  <c:v>0</c:v>
                </c:pt>
                <c:pt idx="62">
                  <c:v>90975</c:v>
                </c:pt>
                <c:pt idx="63">
                  <c:v>0</c:v>
                </c:pt>
                <c:pt idx="64">
                  <c:v>0</c:v>
                </c:pt>
                <c:pt idx="65">
                  <c:v>82833</c:v>
                </c:pt>
                <c:pt idx="66">
                  <c:v>0</c:v>
                </c:pt>
                <c:pt idx="67">
                  <c:v>91466</c:v>
                </c:pt>
                <c:pt idx="68">
                  <c:v>0</c:v>
                </c:pt>
                <c:pt idx="69">
                  <c:v>0</c:v>
                </c:pt>
                <c:pt idx="70">
                  <c:v>96048</c:v>
                </c:pt>
                <c:pt idx="71">
                  <c:v>0</c:v>
                </c:pt>
                <c:pt idx="72">
                  <c:v>0</c:v>
                </c:pt>
                <c:pt idx="73">
                  <c:v>101722</c:v>
                </c:pt>
                <c:pt idx="74">
                  <c:v>0</c:v>
                </c:pt>
                <c:pt idx="75">
                  <c:v>82854</c:v>
                </c:pt>
                <c:pt idx="76">
                  <c:v>0</c:v>
                </c:pt>
                <c:pt idx="77">
                  <c:v>0</c:v>
                </c:pt>
                <c:pt idx="78">
                  <c:v>85553</c:v>
                </c:pt>
                <c:pt idx="79">
                  <c:v>0</c:v>
                </c:pt>
                <c:pt idx="80">
                  <c:v>79835</c:v>
                </c:pt>
                <c:pt idx="81">
                  <c:v>0</c:v>
                </c:pt>
                <c:pt idx="82">
                  <c:v>0</c:v>
                </c:pt>
                <c:pt idx="83">
                  <c:v>90152</c:v>
                </c:pt>
                <c:pt idx="84">
                  <c:v>0</c:v>
                </c:pt>
                <c:pt idx="85">
                  <c:v>0</c:v>
                </c:pt>
                <c:pt idx="86">
                  <c:v>82472</c:v>
                </c:pt>
                <c:pt idx="87">
                  <c:v>0</c:v>
                </c:pt>
                <c:pt idx="88">
                  <c:v>92013</c:v>
                </c:pt>
                <c:pt idx="89">
                  <c:v>0</c:v>
                </c:pt>
                <c:pt idx="90">
                  <c:v>0</c:v>
                </c:pt>
                <c:pt idx="91">
                  <c:v>89880</c:v>
                </c:pt>
                <c:pt idx="92">
                  <c:v>0</c:v>
                </c:pt>
                <c:pt idx="93">
                  <c:v>89694</c:v>
                </c:pt>
                <c:pt idx="94">
                  <c:v>0</c:v>
                </c:pt>
                <c:pt idx="95">
                  <c:v>0</c:v>
                </c:pt>
                <c:pt idx="96">
                  <c:v>86790</c:v>
                </c:pt>
                <c:pt idx="97">
                  <c:v>0</c:v>
                </c:pt>
                <c:pt idx="98">
                  <c:v>73470</c:v>
                </c:pt>
                <c:pt idx="99">
                  <c:v>0</c:v>
                </c:pt>
                <c:pt idx="100">
                  <c:v>0</c:v>
                </c:pt>
                <c:pt idx="101">
                  <c:v>59745</c:v>
                </c:pt>
                <c:pt idx="102">
                  <c:v>0</c:v>
                </c:pt>
                <c:pt idx="103">
                  <c:v>0</c:v>
                </c:pt>
                <c:pt idx="104">
                  <c:v>52546</c:v>
                </c:pt>
                <c:pt idx="105">
                  <c:v>0</c:v>
                </c:pt>
                <c:pt idx="106">
                  <c:v>40673</c:v>
                </c:pt>
                <c:pt idx="107">
                  <c:v>0</c:v>
                </c:pt>
                <c:pt idx="108">
                  <c:v>0</c:v>
                </c:pt>
                <c:pt idx="109">
                  <c:v>40888</c:v>
                </c:pt>
                <c:pt idx="110">
                  <c:v>0</c:v>
                </c:pt>
                <c:pt idx="111">
                  <c:v>35746</c:v>
                </c:pt>
                <c:pt idx="112">
                  <c:v>0</c:v>
                </c:pt>
                <c:pt idx="113">
                  <c:v>0</c:v>
                </c:pt>
                <c:pt idx="114">
                  <c:v>29061</c:v>
                </c:pt>
                <c:pt idx="115">
                  <c:v>0</c:v>
                </c:pt>
                <c:pt idx="116">
                  <c:v>27159</c:v>
                </c:pt>
                <c:pt idx="117">
                  <c:v>0</c:v>
                </c:pt>
                <c:pt idx="118">
                  <c:v>0</c:v>
                </c:pt>
                <c:pt idx="119">
                  <c:v>20477</c:v>
                </c:pt>
                <c:pt idx="120">
                  <c:v>0</c:v>
                </c:pt>
                <c:pt idx="121">
                  <c:v>0</c:v>
                </c:pt>
                <c:pt idx="122">
                  <c:v>18382</c:v>
                </c:pt>
                <c:pt idx="123">
                  <c:v>0</c:v>
                </c:pt>
                <c:pt idx="124">
                  <c:v>20124</c:v>
                </c:pt>
                <c:pt idx="125">
                  <c:v>0</c:v>
                </c:pt>
                <c:pt idx="126">
                  <c:v>0</c:v>
                </c:pt>
                <c:pt idx="127">
                  <c:v>18115</c:v>
                </c:pt>
                <c:pt idx="128">
                  <c:v>0</c:v>
                </c:pt>
                <c:pt idx="129">
                  <c:v>17355</c:v>
                </c:pt>
                <c:pt idx="130">
                  <c:v>0</c:v>
                </c:pt>
                <c:pt idx="131">
                  <c:v>0</c:v>
                </c:pt>
                <c:pt idx="132">
                  <c:v>14312</c:v>
                </c:pt>
                <c:pt idx="133">
                  <c:v>0</c:v>
                </c:pt>
                <c:pt idx="134">
                  <c:v>13105</c:v>
                </c:pt>
                <c:pt idx="135">
                  <c:v>0</c:v>
                </c:pt>
                <c:pt idx="136">
                  <c:v>0</c:v>
                </c:pt>
                <c:pt idx="137">
                  <c:v>13019</c:v>
                </c:pt>
                <c:pt idx="138">
                  <c:v>0</c:v>
                </c:pt>
                <c:pt idx="139">
                  <c:v>0</c:v>
                </c:pt>
                <c:pt idx="140">
                  <c:v>12409</c:v>
                </c:pt>
                <c:pt idx="141">
                  <c:v>0</c:v>
                </c:pt>
                <c:pt idx="142">
                  <c:v>11469</c:v>
                </c:pt>
                <c:pt idx="143">
                  <c:v>0</c:v>
                </c:pt>
                <c:pt idx="144">
                  <c:v>0</c:v>
                </c:pt>
                <c:pt idx="145">
                  <c:v>10020</c:v>
                </c:pt>
                <c:pt idx="146">
                  <c:v>0</c:v>
                </c:pt>
                <c:pt idx="147">
                  <c:v>9838</c:v>
                </c:pt>
                <c:pt idx="148">
                  <c:v>0</c:v>
                </c:pt>
                <c:pt idx="149">
                  <c:v>0</c:v>
                </c:pt>
                <c:pt idx="150">
                  <c:v>10775</c:v>
                </c:pt>
                <c:pt idx="151">
                  <c:v>0</c:v>
                </c:pt>
                <c:pt idx="152">
                  <c:v>9546</c:v>
                </c:pt>
                <c:pt idx="153">
                  <c:v>0</c:v>
                </c:pt>
                <c:pt idx="154">
                  <c:v>0</c:v>
                </c:pt>
                <c:pt idx="155">
                  <c:v>9146</c:v>
                </c:pt>
                <c:pt idx="156">
                  <c:v>0</c:v>
                </c:pt>
                <c:pt idx="157">
                  <c:v>0</c:v>
                </c:pt>
                <c:pt idx="158">
                  <c:v>8383</c:v>
                </c:pt>
                <c:pt idx="159">
                  <c:v>0</c:v>
                </c:pt>
                <c:pt idx="160">
                  <c:v>10284</c:v>
                </c:pt>
                <c:pt idx="161">
                  <c:v>0</c:v>
                </c:pt>
                <c:pt idx="162">
                  <c:v>0</c:v>
                </c:pt>
                <c:pt idx="163">
                  <c:v>10968</c:v>
                </c:pt>
                <c:pt idx="164">
                  <c:v>0</c:v>
                </c:pt>
                <c:pt idx="165">
                  <c:v>11426</c:v>
                </c:pt>
                <c:pt idx="166">
                  <c:v>0</c:v>
                </c:pt>
                <c:pt idx="167">
                  <c:v>0</c:v>
                </c:pt>
                <c:pt idx="168">
                  <c:v>7416</c:v>
                </c:pt>
                <c:pt idx="169">
                  <c:v>0</c:v>
                </c:pt>
                <c:pt idx="170">
                  <c:v>0</c:v>
                </c:pt>
                <c:pt idx="171">
                  <c:v>6602</c:v>
                </c:pt>
                <c:pt idx="172">
                  <c:v>0</c:v>
                </c:pt>
                <c:pt idx="173">
                  <c:v>6923</c:v>
                </c:pt>
                <c:pt idx="174">
                  <c:v>0</c:v>
                </c:pt>
                <c:pt idx="175">
                  <c:v>0</c:v>
                </c:pt>
                <c:pt idx="176">
                  <c:v>7012</c:v>
                </c:pt>
                <c:pt idx="177">
                  <c:v>0</c:v>
                </c:pt>
                <c:pt idx="178">
                  <c:v>5547</c:v>
                </c:pt>
                <c:pt idx="179">
                  <c:v>0</c:v>
                </c:pt>
                <c:pt idx="180">
                  <c:v>0</c:v>
                </c:pt>
                <c:pt idx="181">
                  <c:v>5131</c:v>
                </c:pt>
                <c:pt idx="182">
                  <c:v>0</c:v>
                </c:pt>
                <c:pt idx="183">
                  <c:v>2673</c:v>
                </c:pt>
                <c:pt idx="184">
                  <c:v>0</c:v>
                </c:pt>
                <c:pt idx="185">
                  <c:v>0</c:v>
                </c:pt>
                <c:pt idx="186">
                  <c:v>1768</c:v>
                </c:pt>
                <c:pt idx="187">
                  <c:v>0</c:v>
                </c:pt>
                <c:pt idx="188">
                  <c:v>0</c:v>
                </c:pt>
                <c:pt idx="189">
                  <c:v>692</c:v>
                </c:pt>
                <c:pt idx="190">
                  <c:v>0</c:v>
                </c:pt>
                <c:pt idx="191">
                  <c:v>384</c:v>
                </c:pt>
                <c:pt idx="192">
                  <c:v>0</c:v>
                </c:pt>
                <c:pt idx="193">
                  <c:v>0</c:v>
                </c:pt>
                <c:pt idx="194">
                  <c:v>252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5390</c:v>
                </c:pt>
                <c:pt idx="7">
                  <c:v>0</c:v>
                </c:pt>
                <c:pt idx="8">
                  <c:v>6929</c:v>
                </c:pt>
                <c:pt idx="9">
                  <c:v>0</c:v>
                </c:pt>
                <c:pt idx="10">
                  <c:v>0</c:v>
                </c:pt>
                <c:pt idx="11">
                  <c:v>16005</c:v>
                </c:pt>
                <c:pt idx="12">
                  <c:v>0</c:v>
                </c:pt>
                <c:pt idx="13">
                  <c:v>16909</c:v>
                </c:pt>
                <c:pt idx="14">
                  <c:v>0</c:v>
                </c:pt>
                <c:pt idx="15">
                  <c:v>0</c:v>
                </c:pt>
                <c:pt idx="16">
                  <c:v>26082</c:v>
                </c:pt>
                <c:pt idx="17">
                  <c:v>0</c:v>
                </c:pt>
                <c:pt idx="18">
                  <c:v>0</c:v>
                </c:pt>
                <c:pt idx="19">
                  <c:v>36408</c:v>
                </c:pt>
                <c:pt idx="20">
                  <c:v>0</c:v>
                </c:pt>
                <c:pt idx="21">
                  <c:v>42249</c:v>
                </c:pt>
                <c:pt idx="22">
                  <c:v>0</c:v>
                </c:pt>
                <c:pt idx="23">
                  <c:v>0</c:v>
                </c:pt>
                <c:pt idx="24">
                  <c:v>53710</c:v>
                </c:pt>
                <c:pt idx="25">
                  <c:v>0</c:v>
                </c:pt>
                <c:pt idx="26">
                  <c:v>44590</c:v>
                </c:pt>
                <c:pt idx="27">
                  <c:v>0</c:v>
                </c:pt>
                <c:pt idx="28">
                  <c:v>0</c:v>
                </c:pt>
                <c:pt idx="29">
                  <c:v>47380</c:v>
                </c:pt>
                <c:pt idx="30">
                  <c:v>0</c:v>
                </c:pt>
                <c:pt idx="31">
                  <c:v>40288</c:v>
                </c:pt>
                <c:pt idx="32">
                  <c:v>0</c:v>
                </c:pt>
                <c:pt idx="33">
                  <c:v>0</c:v>
                </c:pt>
                <c:pt idx="34">
                  <c:v>41865</c:v>
                </c:pt>
                <c:pt idx="35">
                  <c:v>0</c:v>
                </c:pt>
                <c:pt idx="36">
                  <c:v>0</c:v>
                </c:pt>
                <c:pt idx="37">
                  <c:v>43240</c:v>
                </c:pt>
                <c:pt idx="38">
                  <c:v>0</c:v>
                </c:pt>
                <c:pt idx="39">
                  <c:v>46057</c:v>
                </c:pt>
                <c:pt idx="40">
                  <c:v>0</c:v>
                </c:pt>
                <c:pt idx="41">
                  <c:v>0</c:v>
                </c:pt>
                <c:pt idx="42">
                  <c:v>52384</c:v>
                </c:pt>
                <c:pt idx="43">
                  <c:v>0</c:v>
                </c:pt>
                <c:pt idx="44">
                  <c:v>55513</c:v>
                </c:pt>
                <c:pt idx="45">
                  <c:v>0</c:v>
                </c:pt>
                <c:pt idx="46">
                  <c:v>0</c:v>
                </c:pt>
                <c:pt idx="47">
                  <c:v>53318</c:v>
                </c:pt>
                <c:pt idx="48">
                  <c:v>0</c:v>
                </c:pt>
                <c:pt idx="49">
                  <c:v>63913</c:v>
                </c:pt>
                <c:pt idx="50">
                  <c:v>0</c:v>
                </c:pt>
                <c:pt idx="51">
                  <c:v>0</c:v>
                </c:pt>
                <c:pt idx="52">
                  <c:v>66418</c:v>
                </c:pt>
                <c:pt idx="53">
                  <c:v>0</c:v>
                </c:pt>
                <c:pt idx="54">
                  <c:v>0</c:v>
                </c:pt>
                <c:pt idx="55">
                  <c:v>65212</c:v>
                </c:pt>
                <c:pt idx="56">
                  <c:v>0</c:v>
                </c:pt>
                <c:pt idx="57">
                  <c:v>64796</c:v>
                </c:pt>
                <c:pt idx="58">
                  <c:v>0</c:v>
                </c:pt>
                <c:pt idx="59">
                  <c:v>0</c:v>
                </c:pt>
                <c:pt idx="60">
                  <c:v>70532</c:v>
                </c:pt>
                <c:pt idx="61">
                  <c:v>0</c:v>
                </c:pt>
                <c:pt idx="62">
                  <c:v>70447</c:v>
                </c:pt>
                <c:pt idx="63">
                  <c:v>0</c:v>
                </c:pt>
                <c:pt idx="64">
                  <c:v>0</c:v>
                </c:pt>
                <c:pt idx="65">
                  <c:v>81823</c:v>
                </c:pt>
                <c:pt idx="66">
                  <c:v>0</c:v>
                </c:pt>
                <c:pt idx="67">
                  <c:v>83863</c:v>
                </c:pt>
                <c:pt idx="68">
                  <c:v>0</c:v>
                </c:pt>
                <c:pt idx="69">
                  <c:v>0</c:v>
                </c:pt>
                <c:pt idx="70">
                  <c:v>81928</c:v>
                </c:pt>
                <c:pt idx="71">
                  <c:v>0</c:v>
                </c:pt>
                <c:pt idx="72">
                  <c:v>0</c:v>
                </c:pt>
                <c:pt idx="73">
                  <c:v>78665</c:v>
                </c:pt>
                <c:pt idx="74">
                  <c:v>0</c:v>
                </c:pt>
                <c:pt idx="75">
                  <c:v>73868</c:v>
                </c:pt>
                <c:pt idx="76">
                  <c:v>0</c:v>
                </c:pt>
                <c:pt idx="77">
                  <c:v>0</c:v>
                </c:pt>
                <c:pt idx="78">
                  <c:v>69718</c:v>
                </c:pt>
                <c:pt idx="79">
                  <c:v>0</c:v>
                </c:pt>
                <c:pt idx="80">
                  <c:v>73470</c:v>
                </c:pt>
                <c:pt idx="81">
                  <c:v>0</c:v>
                </c:pt>
                <c:pt idx="82">
                  <c:v>0</c:v>
                </c:pt>
                <c:pt idx="83">
                  <c:v>68419</c:v>
                </c:pt>
                <c:pt idx="84">
                  <c:v>0</c:v>
                </c:pt>
                <c:pt idx="85">
                  <c:v>0</c:v>
                </c:pt>
                <c:pt idx="86">
                  <c:v>72681</c:v>
                </c:pt>
                <c:pt idx="87">
                  <c:v>0</c:v>
                </c:pt>
                <c:pt idx="88">
                  <c:v>70222</c:v>
                </c:pt>
                <c:pt idx="89">
                  <c:v>0</c:v>
                </c:pt>
                <c:pt idx="90">
                  <c:v>0</c:v>
                </c:pt>
                <c:pt idx="91">
                  <c:v>75681</c:v>
                </c:pt>
                <c:pt idx="92">
                  <c:v>0</c:v>
                </c:pt>
                <c:pt idx="93">
                  <c:v>79077</c:v>
                </c:pt>
                <c:pt idx="94">
                  <c:v>0</c:v>
                </c:pt>
                <c:pt idx="95">
                  <c:v>0</c:v>
                </c:pt>
                <c:pt idx="96">
                  <c:v>76292</c:v>
                </c:pt>
                <c:pt idx="97">
                  <c:v>0</c:v>
                </c:pt>
                <c:pt idx="98">
                  <c:v>74356</c:v>
                </c:pt>
                <c:pt idx="99">
                  <c:v>0</c:v>
                </c:pt>
                <c:pt idx="100">
                  <c:v>0</c:v>
                </c:pt>
                <c:pt idx="101">
                  <c:v>75495</c:v>
                </c:pt>
                <c:pt idx="102">
                  <c:v>0</c:v>
                </c:pt>
                <c:pt idx="103">
                  <c:v>0</c:v>
                </c:pt>
                <c:pt idx="104">
                  <c:v>67924</c:v>
                </c:pt>
                <c:pt idx="105">
                  <c:v>0</c:v>
                </c:pt>
                <c:pt idx="106">
                  <c:v>67443</c:v>
                </c:pt>
                <c:pt idx="107">
                  <c:v>0</c:v>
                </c:pt>
                <c:pt idx="108">
                  <c:v>0</c:v>
                </c:pt>
                <c:pt idx="109">
                  <c:v>59176</c:v>
                </c:pt>
                <c:pt idx="110">
                  <c:v>0</c:v>
                </c:pt>
                <c:pt idx="111">
                  <c:v>58016</c:v>
                </c:pt>
                <c:pt idx="112">
                  <c:v>0</c:v>
                </c:pt>
                <c:pt idx="113">
                  <c:v>0</c:v>
                </c:pt>
                <c:pt idx="114">
                  <c:v>51510</c:v>
                </c:pt>
                <c:pt idx="115">
                  <c:v>0</c:v>
                </c:pt>
                <c:pt idx="116">
                  <c:v>49077</c:v>
                </c:pt>
                <c:pt idx="117">
                  <c:v>0</c:v>
                </c:pt>
                <c:pt idx="118">
                  <c:v>0</c:v>
                </c:pt>
                <c:pt idx="119">
                  <c:v>40009</c:v>
                </c:pt>
                <c:pt idx="120">
                  <c:v>0</c:v>
                </c:pt>
                <c:pt idx="121">
                  <c:v>0</c:v>
                </c:pt>
                <c:pt idx="122">
                  <c:v>34840</c:v>
                </c:pt>
                <c:pt idx="123">
                  <c:v>0</c:v>
                </c:pt>
                <c:pt idx="124">
                  <c:v>31653</c:v>
                </c:pt>
                <c:pt idx="125">
                  <c:v>0</c:v>
                </c:pt>
                <c:pt idx="126">
                  <c:v>0</c:v>
                </c:pt>
                <c:pt idx="127">
                  <c:v>28382</c:v>
                </c:pt>
                <c:pt idx="128">
                  <c:v>0</c:v>
                </c:pt>
                <c:pt idx="129">
                  <c:v>26617</c:v>
                </c:pt>
                <c:pt idx="130">
                  <c:v>0</c:v>
                </c:pt>
                <c:pt idx="131">
                  <c:v>0</c:v>
                </c:pt>
                <c:pt idx="132">
                  <c:v>25063</c:v>
                </c:pt>
                <c:pt idx="133">
                  <c:v>0</c:v>
                </c:pt>
                <c:pt idx="134">
                  <c:v>22438</c:v>
                </c:pt>
                <c:pt idx="135">
                  <c:v>0</c:v>
                </c:pt>
                <c:pt idx="136">
                  <c:v>0</c:v>
                </c:pt>
                <c:pt idx="137">
                  <c:v>22371</c:v>
                </c:pt>
                <c:pt idx="138">
                  <c:v>0</c:v>
                </c:pt>
                <c:pt idx="139">
                  <c:v>0</c:v>
                </c:pt>
                <c:pt idx="140">
                  <c:v>21420</c:v>
                </c:pt>
                <c:pt idx="141">
                  <c:v>0</c:v>
                </c:pt>
                <c:pt idx="142">
                  <c:v>18973</c:v>
                </c:pt>
                <c:pt idx="143">
                  <c:v>0</c:v>
                </c:pt>
                <c:pt idx="144">
                  <c:v>0</c:v>
                </c:pt>
                <c:pt idx="145">
                  <c:v>20678</c:v>
                </c:pt>
                <c:pt idx="146">
                  <c:v>0</c:v>
                </c:pt>
                <c:pt idx="147">
                  <c:v>18868</c:v>
                </c:pt>
                <c:pt idx="148">
                  <c:v>0</c:v>
                </c:pt>
                <c:pt idx="149">
                  <c:v>0</c:v>
                </c:pt>
                <c:pt idx="150">
                  <c:v>18452</c:v>
                </c:pt>
                <c:pt idx="151">
                  <c:v>0</c:v>
                </c:pt>
                <c:pt idx="152">
                  <c:v>15212</c:v>
                </c:pt>
                <c:pt idx="153">
                  <c:v>0</c:v>
                </c:pt>
                <c:pt idx="154">
                  <c:v>0</c:v>
                </c:pt>
                <c:pt idx="155">
                  <c:v>12988</c:v>
                </c:pt>
                <c:pt idx="156">
                  <c:v>0</c:v>
                </c:pt>
                <c:pt idx="157">
                  <c:v>0</c:v>
                </c:pt>
                <c:pt idx="158">
                  <c:v>11348</c:v>
                </c:pt>
                <c:pt idx="159">
                  <c:v>0</c:v>
                </c:pt>
                <c:pt idx="160">
                  <c:v>12908</c:v>
                </c:pt>
                <c:pt idx="161">
                  <c:v>0</c:v>
                </c:pt>
                <c:pt idx="162">
                  <c:v>0</c:v>
                </c:pt>
                <c:pt idx="163">
                  <c:v>14147</c:v>
                </c:pt>
                <c:pt idx="164">
                  <c:v>0</c:v>
                </c:pt>
                <c:pt idx="165">
                  <c:v>14318</c:v>
                </c:pt>
                <c:pt idx="166">
                  <c:v>0</c:v>
                </c:pt>
                <c:pt idx="167">
                  <c:v>0</c:v>
                </c:pt>
                <c:pt idx="168">
                  <c:v>16295</c:v>
                </c:pt>
                <c:pt idx="169">
                  <c:v>0</c:v>
                </c:pt>
                <c:pt idx="170">
                  <c:v>0</c:v>
                </c:pt>
                <c:pt idx="171">
                  <c:v>13139</c:v>
                </c:pt>
                <c:pt idx="172">
                  <c:v>0</c:v>
                </c:pt>
                <c:pt idx="173">
                  <c:v>10967</c:v>
                </c:pt>
                <c:pt idx="174">
                  <c:v>0</c:v>
                </c:pt>
                <c:pt idx="175">
                  <c:v>0</c:v>
                </c:pt>
                <c:pt idx="176">
                  <c:v>11350</c:v>
                </c:pt>
                <c:pt idx="177">
                  <c:v>0</c:v>
                </c:pt>
                <c:pt idx="178">
                  <c:v>10975</c:v>
                </c:pt>
                <c:pt idx="179">
                  <c:v>0</c:v>
                </c:pt>
                <c:pt idx="180">
                  <c:v>0</c:v>
                </c:pt>
                <c:pt idx="181">
                  <c:v>9481</c:v>
                </c:pt>
                <c:pt idx="182">
                  <c:v>0</c:v>
                </c:pt>
                <c:pt idx="183">
                  <c:v>7699</c:v>
                </c:pt>
                <c:pt idx="184">
                  <c:v>0</c:v>
                </c:pt>
                <c:pt idx="185">
                  <c:v>0</c:v>
                </c:pt>
                <c:pt idx="186">
                  <c:v>6393</c:v>
                </c:pt>
                <c:pt idx="187">
                  <c:v>0</c:v>
                </c:pt>
                <c:pt idx="188">
                  <c:v>0</c:v>
                </c:pt>
                <c:pt idx="189">
                  <c:v>4727</c:v>
                </c:pt>
                <c:pt idx="190">
                  <c:v>0</c:v>
                </c:pt>
                <c:pt idx="191">
                  <c:v>3168</c:v>
                </c:pt>
                <c:pt idx="192">
                  <c:v>0</c:v>
                </c:pt>
                <c:pt idx="193">
                  <c:v>0</c:v>
                </c:pt>
                <c:pt idx="194">
                  <c:v>1841</c:v>
                </c:pt>
                <c:pt idx="195">
                  <c:v>0</c:v>
                </c:pt>
                <c:pt idx="196">
                  <c:v>2156</c:v>
                </c:pt>
                <c:pt idx="197">
                  <c:v>0</c:v>
                </c:pt>
                <c:pt idx="198">
                  <c:v>0</c:v>
                </c:pt>
                <c:pt idx="199">
                  <c:v>2101</c:v>
                </c:pt>
                <c:pt idx="200">
                  <c:v>0</c:v>
                </c:pt>
                <c:pt idx="201">
                  <c:v>2694</c:v>
                </c:pt>
                <c:pt idx="202">
                  <c:v>0</c:v>
                </c:pt>
                <c:pt idx="203">
                  <c:v>0</c:v>
                </c:pt>
                <c:pt idx="204">
                  <c:v>2021</c:v>
                </c:pt>
                <c:pt idx="205">
                  <c:v>0</c:v>
                </c:pt>
                <c:pt idx="206">
                  <c:v>0</c:v>
                </c:pt>
                <c:pt idx="207">
                  <c:v>1737</c:v>
                </c:pt>
                <c:pt idx="208">
                  <c:v>0</c:v>
                </c:pt>
                <c:pt idx="209">
                  <c:v>467</c:v>
                </c:pt>
                <c:pt idx="210">
                  <c:v>0</c:v>
                </c:pt>
                <c:pt idx="211">
                  <c:v>0</c:v>
                </c:pt>
                <c:pt idx="212">
                  <c:v>197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0.21601746442088671</c:v>
                </c:pt>
                <c:pt idx="1">
                  <c:v>0.29703234943886014</c:v>
                </c:pt>
                <c:pt idx="2">
                  <c:v>0.48695018614025315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0.45254121232058753</c:v>
                </c:pt>
                <c:pt idx="1">
                  <c:v>0.31591478768292613</c:v>
                </c:pt>
                <c:pt idx="2">
                  <c:v>0.23154399999648631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9.85046</c:v>
                </c:pt>
                <c:pt idx="1">
                  <c:v>10.130247499999999</c:v>
                </c:pt>
                <c:pt idx="2">
                  <c:v>24.671250000000001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  <c:pt idx="74">
                  <c:v>30.0596</c:v>
                </c:pt>
                <c:pt idx="75">
                  <c:v>30.652899999999999</c:v>
                </c:pt>
                <c:pt idx="76">
                  <c:v>31.026900000000001</c:v>
                </c:pt>
                <c:pt idx="77">
                  <c:v>31.405000000000001</c:v>
                </c:pt>
                <c:pt idx="78">
                  <c:v>31.777999999999999</c:v>
                </c:pt>
                <c:pt idx="79">
                  <c:v>32.155999999999999</c:v>
                </c:pt>
                <c:pt idx="80">
                  <c:v>32.560899999999997</c:v>
                </c:pt>
                <c:pt idx="81">
                  <c:v>32.966700000000003</c:v>
                </c:pt>
                <c:pt idx="82">
                  <c:v>33.374699999999997</c:v>
                </c:pt>
                <c:pt idx="83">
                  <c:v>33.778599999999997</c:v>
                </c:pt>
                <c:pt idx="84">
                  <c:v>34.186900000000001</c:v>
                </c:pt>
                <c:pt idx="85">
                  <c:v>34.5944</c:v>
                </c:pt>
                <c:pt idx="86">
                  <c:v>34.996299999999998</c:v>
                </c:pt>
                <c:pt idx="87">
                  <c:v>35.4024</c:v>
                </c:pt>
                <c:pt idx="88">
                  <c:v>35.807200000000002</c:v>
                </c:pt>
                <c:pt idx="89">
                  <c:v>36.217100000000002</c:v>
                </c:pt>
                <c:pt idx="90">
                  <c:v>36.622999999999998</c:v>
                </c:pt>
                <c:pt idx="91">
                  <c:v>37.026899999999998</c:v>
                </c:pt>
                <c:pt idx="92">
                  <c:v>37.435299999999998</c:v>
                </c:pt>
                <c:pt idx="93">
                  <c:v>37.844799999999999</c:v>
                </c:pt>
                <c:pt idx="94">
                  <c:v>38.250599999999999</c:v>
                </c:pt>
                <c:pt idx="95">
                  <c:v>38.657600000000002</c:v>
                </c:pt>
                <c:pt idx="96">
                  <c:v>39.059399999999997</c:v>
                </c:pt>
                <c:pt idx="97">
                  <c:v>39.464399999999998</c:v>
                </c:pt>
                <c:pt idx="98">
                  <c:v>39.8733</c:v>
                </c:pt>
                <c:pt idx="99">
                  <c:v>40.280200000000001</c:v>
                </c:pt>
                <c:pt idx="100">
                  <c:v>40.684100000000001</c:v>
                </c:pt>
                <c:pt idx="101">
                  <c:v>41.089100000000002</c:v>
                </c:pt>
                <c:pt idx="102">
                  <c:v>41.496299999999998</c:v>
                </c:pt>
                <c:pt idx="103">
                  <c:v>41.9009</c:v>
                </c:pt>
                <c:pt idx="104">
                  <c:v>42.311999999999998</c:v>
                </c:pt>
                <c:pt idx="105">
                  <c:v>42.718600000000002</c:v>
                </c:pt>
                <c:pt idx="106">
                  <c:v>43.122599999999998</c:v>
                </c:pt>
                <c:pt idx="107">
                  <c:v>43.526499999999999</c:v>
                </c:pt>
                <c:pt idx="108">
                  <c:v>43.933399999999999</c:v>
                </c:pt>
                <c:pt idx="109">
                  <c:v>44.3414</c:v>
                </c:pt>
                <c:pt idx="110">
                  <c:v>44.748399999999997</c:v>
                </c:pt>
                <c:pt idx="111">
                  <c:v>45.154200000000003</c:v>
                </c:pt>
                <c:pt idx="112">
                  <c:v>45.556100000000001</c:v>
                </c:pt>
                <c:pt idx="113">
                  <c:v>45.9651</c:v>
                </c:pt>
                <c:pt idx="114">
                  <c:v>46.372799999999998</c:v>
                </c:pt>
                <c:pt idx="115">
                  <c:v>46.780799999999999</c:v>
                </c:pt>
                <c:pt idx="116">
                  <c:v>47.186799999999998</c:v>
                </c:pt>
                <c:pt idx="117">
                  <c:v>47.593800000000002</c:v>
                </c:pt>
                <c:pt idx="118">
                  <c:v>48.001600000000003</c:v>
                </c:pt>
                <c:pt idx="119">
                  <c:v>48.406500000000001</c:v>
                </c:pt>
                <c:pt idx="120">
                  <c:v>48.811500000000002</c:v>
                </c:pt>
                <c:pt idx="121">
                  <c:v>49.218400000000003</c:v>
                </c:pt>
                <c:pt idx="122">
                  <c:v>49.621200000000002</c:v>
                </c:pt>
                <c:pt idx="123">
                  <c:v>50.028399999999998</c:v>
                </c:pt>
                <c:pt idx="124">
                  <c:v>50.435000000000002</c:v>
                </c:pt>
                <c:pt idx="125">
                  <c:v>50.841900000000003</c:v>
                </c:pt>
                <c:pt idx="126">
                  <c:v>51.2498</c:v>
                </c:pt>
                <c:pt idx="127">
                  <c:v>51.651800000000001</c:v>
                </c:pt>
                <c:pt idx="128">
                  <c:v>52.057699999999997</c:v>
                </c:pt>
                <c:pt idx="129">
                  <c:v>52.464599999999997</c:v>
                </c:pt>
                <c:pt idx="130">
                  <c:v>52.874699999999997</c:v>
                </c:pt>
                <c:pt idx="131">
                  <c:v>53.280299999999997</c:v>
                </c:pt>
                <c:pt idx="132">
                  <c:v>53.686300000000003</c:v>
                </c:pt>
                <c:pt idx="133">
                  <c:v>54.0944</c:v>
                </c:pt>
                <c:pt idx="134">
                  <c:v>54.498399999999997</c:v>
                </c:pt>
                <c:pt idx="135">
                  <c:v>54.9011</c:v>
                </c:pt>
                <c:pt idx="136">
                  <c:v>55.309899999999999</c:v>
                </c:pt>
                <c:pt idx="137">
                  <c:v>55.718000000000004</c:v>
                </c:pt>
                <c:pt idx="138">
                  <c:v>56.121400000000001</c:v>
                </c:pt>
                <c:pt idx="139">
                  <c:v>56.529699999999998</c:v>
                </c:pt>
                <c:pt idx="140">
                  <c:v>56.933700000000002</c:v>
                </c:pt>
                <c:pt idx="141">
                  <c:v>57.341500000000003</c:v>
                </c:pt>
                <c:pt idx="142">
                  <c:v>57.748699999999999</c:v>
                </c:pt>
                <c:pt idx="143">
                  <c:v>58.156399999999998</c:v>
                </c:pt>
                <c:pt idx="144">
                  <c:v>58.5623</c:v>
                </c:pt>
                <c:pt idx="145">
                  <c:v>58.968400000000003</c:v>
                </c:pt>
                <c:pt idx="146">
                  <c:v>59.374099999999999</c:v>
                </c:pt>
                <c:pt idx="147">
                  <c:v>59.7791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  <c:pt idx="74">
                  <c:v>2.9511500000000002</c:v>
                </c:pt>
                <c:pt idx="75">
                  <c:v>2.96638</c:v>
                </c:pt>
                <c:pt idx="76">
                  <c:v>2.9753000000000003</c:v>
                </c:pt>
                <c:pt idx="77">
                  <c:v>2.9868399999999999</c:v>
                </c:pt>
                <c:pt idx="78">
                  <c:v>3.0014400000000001</c:v>
                </c:pt>
                <c:pt idx="79">
                  <c:v>3.0175299999999998</c:v>
                </c:pt>
                <c:pt idx="80">
                  <c:v>3.0304199999999999</c:v>
                </c:pt>
                <c:pt idx="81">
                  <c:v>3.0454699999999999</c:v>
                </c:pt>
                <c:pt idx="82">
                  <c:v>3.0617000000000001</c:v>
                </c:pt>
                <c:pt idx="83">
                  <c:v>3.0798999999999999</c:v>
                </c:pt>
                <c:pt idx="84">
                  <c:v>3.0989299999999997</c:v>
                </c:pt>
                <c:pt idx="85">
                  <c:v>3.1156299999999999</c:v>
                </c:pt>
                <c:pt idx="86">
                  <c:v>3.1342500000000002</c:v>
                </c:pt>
                <c:pt idx="87">
                  <c:v>3.15455</c:v>
                </c:pt>
                <c:pt idx="88">
                  <c:v>3.17245</c:v>
                </c:pt>
                <c:pt idx="89">
                  <c:v>3.1911099999999997</c:v>
                </c:pt>
                <c:pt idx="90">
                  <c:v>3.2070500000000002</c:v>
                </c:pt>
                <c:pt idx="91">
                  <c:v>3.2227499999999996</c:v>
                </c:pt>
                <c:pt idx="92">
                  <c:v>3.2385199999999998</c:v>
                </c:pt>
                <c:pt idx="93">
                  <c:v>3.2550299999999996</c:v>
                </c:pt>
                <c:pt idx="94">
                  <c:v>3.2702599999999999</c:v>
                </c:pt>
                <c:pt idx="95">
                  <c:v>3.2863100000000003</c:v>
                </c:pt>
                <c:pt idx="96">
                  <c:v>3.2972400000000004</c:v>
                </c:pt>
                <c:pt idx="97">
                  <c:v>3.30749</c:v>
                </c:pt>
                <c:pt idx="98">
                  <c:v>3.3161700000000001</c:v>
                </c:pt>
                <c:pt idx="99">
                  <c:v>3.3249899999999997</c:v>
                </c:pt>
                <c:pt idx="100">
                  <c:v>3.3323299999999998</c:v>
                </c:pt>
                <c:pt idx="101">
                  <c:v>3.3354400000000002</c:v>
                </c:pt>
                <c:pt idx="102">
                  <c:v>3.3378299999999999</c:v>
                </c:pt>
                <c:pt idx="103">
                  <c:v>3.33866</c:v>
                </c:pt>
                <c:pt idx="104">
                  <c:v>3.3433600000000001</c:v>
                </c:pt>
                <c:pt idx="105">
                  <c:v>3.3532000000000002</c:v>
                </c:pt>
                <c:pt idx="106">
                  <c:v>3.36381</c:v>
                </c:pt>
                <c:pt idx="107">
                  <c:v>3.3751799999999998</c:v>
                </c:pt>
                <c:pt idx="108">
                  <c:v>3.38605</c:v>
                </c:pt>
                <c:pt idx="109">
                  <c:v>3.3976800000000003</c:v>
                </c:pt>
                <c:pt idx="110">
                  <c:v>3.41256</c:v>
                </c:pt>
                <c:pt idx="111">
                  <c:v>3.4250699999999998</c:v>
                </c:pt>
                <c:pt idx="112">
                  <c:v>3.4346900000000002</c:v>
                </c:pt>
                <c:pt idx="113">
                  <c:v>3.4461000000000004</c:v>
                </c:pt>
                <c:pt idx="114">
                  <c:v>3.4560600000000004</c:v>
                </c:pt>
                <c:pt idx="115">
                  <c:v>3.4689300000000003</c:v>
                </c:pt>
                <c:pt idx="116">
                  <c:v>3.4805399999999995</c:v>
                </c:pt>
                <c:pt idx="117">
                  <c:v>3.4874000000000001</c:v>
                </c:pt>
                <c:pt idx="118">
                  <c:v>3.48766</c:v>
                </c:pt>
                <c:pt idx="119">
                  <c:v>3.4819800000000001</c:v>
                </c:pt>
                <c:pt idx="120">
                  <c:v>3.4693299999999998</c:v>
                </c:pt>
                <c:pt idx="121">
                  <c:v>3.4560900000000001</c:v>
                </c:pt>
                <c:pt idx="122">
                  <c:v>3.4409200000000002</c:v>
                </c:pt>
                <c:pt idx="123">
                  <c:v>3.4331699999999996</c:v>
                </c:pt>
                <c:pt idx="124">
                  <c:v>3.43099</c:v>
                </c:pt>
                <c:pt idx="125">
                  <c:v>3.4285800000000002</c:v>
                </c:pt>
                <c:pt idx="126">
                  <c:v>3.4295799999999996</c:v>
                </c:pt>
                <c:pt idx="127">
                  <c:v>3.4295100000000001</c:v>
                </c:pt>
                <c:pt idx="128">
                  <c:v>3.4289900000000002</c:v>
                </c:pt>
                <c:pt idx="129">
                  <c:v>3.4256500000000001</c:v>
                </c:pt>
                <c:pt idx="130">
                  <c:v>3.4200699999999999</c:v>
                </c:pt>
                <c:pt idx="131">
                  <c:v>3.41412</c:v>
                </c:pt>
                <c:pt idx="132">
                  <c:v>3.4064800000000002</c:v>
                </c:pt>
                <c:pt idx="133">
                  <c:v>3.3972000000000002</c:v>
                </c:pt>
                <c:pt idx="134">
                  <c:v>3.3848600000000002</c:v>
                </c:pt>
                <c:pt idx="135">
                  <c:v>3.3680099999999999</c:v>
                </c:pt>
                <c:pt idx="136">
                  <c:v>3.3492100000000002</c:v>
                </c:pt>
                <c:pt idx="137">
                  <c:v>3.3308200000000001</c:v>
                </c:pt>
                <c:pt idx="138">
                  <c:v>3.3098399999999999</c:v>
                </c:pt>
                <c:pt idx="139">
                  <c:v>3.2822800000000001</c:v>
                </c:pt>
                <c:pt idx="140">
                  <c:v>3.2459900000000004</c:v>
                </c:pt>
                <c:pt idx="141">
                  <c:v>3.2013500000000001</c:v>
                </c:pt>
                <c:pt idx="142">
                  <c:v>3.1584400000000001</c:v>
                </c:pt>
                <c:pt idx="143">
                  <c:v>3.11598</c:v>
                </c:pt>
                <c:pt idx="144">
                  <c:v>3.08474</c:v>
                </c:pt>
                <c:pt idx="145">
                  <c:v>3.0628300000000004</c:v>
                </c:pt>
                <c:pt idx="146">
                  <c:v>3.0418400000000001</c:v>
                </c:pt>
                <c:pt idx="147">
                  <c:v>3.0217100000000001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30.0596</c:v>
                </c:pt>
                <c:pt idx="2">
                  <c:v>30.652899999999999</c:v>
                </c:pt>
                <c:pt idx="3">
                  <c:v>31.026900000000001</c:v>
                </c:pt>
                <c:pt idx="4">
                  <c:v>31.405000000000001</c:v>
                </c:pt>
                <c:pt idx="5">
                  <c:v>31.777999999999999</c:v>
                </c:pt>
                <c:pt idx="6">
                  <c:v>32.155999999999999</c:v>
                </c:pt>
                <c:pt idx="7">
                  <c:v>32.560899999999997</c:v>
                </c:pt>
                <c:pt idx="8">
                  <c:v>32.966700000000003</c:v>
                </c:pt>
                <c:pt idx="9">
                  <c:v>33.374699999999997</c:v>
                </c:pt>
                <c:pt idx="10">
                  <c:v>33.778599999999997</c:v>
                </c:pt>
                <c:pt idx="11">
                  <c:v>34.186900000000001</c:v>
                </c:pt>
                <c:pt idx="12">
                  <c:v>34.5944</c:v>
                </c:pt>
                <c:pt idx="13">
                  <c:v>34.996299999999998</c:v>
                </c:pt>
                <c:pt idx="14">
                  <c:v>35.4024</c:v>
                </c:pt>
                <c:pt idx="15">
                  <c:v>35.807200000000002</c:v>
                </c:pt>
                <c:pt idx="16">
                  <c:v>36.217100000000002</c:v>
                </c:pt>
                <c:pt idx="17">
                  <c:v>36.622999999999998</c:v>
                </c:pt>
                <c:pt idx="18">
                  <c:v>37.026899999999998</c:v>
                </c:pt>
                <c:pt idx="19">
                  <c:v>37.435299999999998</c:v>
                </c:pt>
                <c:pt idx="20">
                  <c:v>37.844799999999999</c:v>
                </c:pt>
                <c:pt idx="21">
                  <c:v>38.250599999999999</c:v>
                </c:pt>
                <c:pt idx="22">
                  <c:v>38.657600000000002</c:v>
                </c:pt>
                <c:pt idx="23">
                  <c:v>39.059399999999997</c:v>
                </c:pt>
                <c:pt idx="24">
                  <c:v>39.464399999999998</c:v>
                </c:pt>
                <c:pt idx="25">
                  <c:v>39.8733</c:v>
                </c:pt>
                <c:pt idx="26">
                  <c:v>40.280200000000001</c:v>
                </c:pt>
                <c:pt idx="27">
                  <c:v>40.684100000000001</c:v>
                </c:pt>
                <c:pt idx="28">
                  <c:v>41.089100000000002</c:v>
                </c:pt>
                <c:pt idx="29">
                  <c:v>41.496299999999998</c:v>
                </c:pt>
                <c:pt idx="30">
                  <c:v>41.9009</c:v>
                </c:pt>
                <c:pt idx="31">
                  <c:v>42.311999999999998</c:v>
                </c:pt>
                <c:pt idx="32">
                  <c:v>42.718600000000002</c:v>
                </c:pt>
                <c:pt idx="33">
                  <c:v>43.122599999999998</c:v>
                </c:pt>
                <c:pt idx="34">
                  <c:v>43.526499999999999</c:v>
                </c:pt>
                <c:pt idx="35">
                  <c:v>43.933399999999999</c:v>
                </c:pt>
                <c:pt idx="36">
                  <c:v>44.3414</c:v>
                </c:pt>
                <c:pt idx="37">
                  <c:v>44.748399999999997</c:v>
                </c:pt>
                <c:pt idx="38">
                  <c:v>45.154200000000003</c:v>
                </c:pt>
                <c:pt idx="39">
                  <c:v>45.556100000000001</c:v>
                </c:pt>
                <c:pt idx="40">
                  <c:v>45.9651</c:v>
                </c:pt>
                <c:pt idx="41">
                  <c:v>46.372799999999998</c:v>
                </c:pt>
                <c:pt idx="42">
                  <c:v>46.780799999999999</c:v>
                </c:pt>
                <c:pt idx="43">
                  <c:v>47.186799999999998</c:v>
                </c:pt>
                <c:pt idx="44">
                  <c:v>47.593800000000002</c:v>
                </c:pt>
                <c:pt idx="45">
                  <c:v>48.001600000000003</c:v>
                </c:pt>
                <c:pt idx="46">
                  <c:v>48.406500000000001</c:v>
                </c:pt>
                <c:pt idx="47">
                  <c:v>48.811500000000002</c:v>
                </c:pt>
                <c:pt idx="48">
                  <c:v>49.218400000000003</c:v>
                </c:pt>
                <c:pt idx="49">
                  <c:v>49.621200000000002</c:v>
                </c:pt>
                <c:pt idx="50">
                  <c:v>50.028399999999998</c:v>
                </c:pt>
                <c:pt idx="51">
                  <c:v>50.435000000000002</c:v>
                </c:pt>
                <c:pt idx="52">
                  <c:v>50.841900000000003</c:v>
                </c:pt>
                <c:pt idx="53">
                  <c:v>51.2498</c:v>
                </c:pt>
                <c:pt idx="54">
                  <c:v>51.651800000000001</c:v>
                </c:pt>
                <c:pt idx="55">
                  <c:v>52.057699999999997</c:v>
                </c:pt>
                <c:pt idx="56">
                  <c:v>52.464599999999997</c:v>
                </c:pt>
                <c:pt idx="57">
                  <c:v>52.874699999999997</c:v>
                </c:pt>
                <c:pt idx="58">
                  <c:v>53.280299999999997</c:v>
                </c:pt>
                <c:pt idx="59">
                  <c:v>53.686300000000003</c:v>
                </c:pt>
                <c:pt idx="60">
                  <c:v>54.0944</c:v>
                </c:pt>
                <c:pt idx="61">
                  <c:v>54.498399999999997</c:v>
                </c:pt>
                <c:pt idx="62">
                  <c:v>54.9011</c:v>
                </c:pt>
                <c:pt idx="63">
                  <c:v>55.309899999999999</c:v>
                </c:pt>
                <c:pt idx="64">
                  <c:v>55.718000000000004</c:v>
                </c:pt>
                <c:pt idx="65">
                  <c:v>56.121400000000001</c:v>
                </c:pt>
                <c:pt idx="66">
                  <c:v>56.529699999999998</c:v>
                </c:pt>
                <c:pt idx="67">
                  <c:v>56.933700000000002</c:v>
                </c:pt>
                <c:pt idx="68">
                  <c:v>57.341500000000003</c:v>
                </c:pt>
                <c:pt idx="69">
                  <c:v>57.748699999999999</c:v>
                </c:pt>
                <c:pt idx="70">
                  <c:v>58.156399999999998</c:v>
                </c:pt>
                <c:pt idx="71">
                  <c:v>58.5623</c:v>
                </c:pt>
                <c:pt idx="72">
                  <c:v>58.968400000000003</c:v>
                </c:pt>
                <c:pt idx="73">
                  <c:v>59.374099999999999</c:v>
                </c:pt>
                <c:pt idx="74">
                  <c:v>59.7791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2.9462699999999997</c:v>
                </c:pt>
                <c:pt idx="1">
                  <c:v>2.9511500000000002</c:v>
                </c:pt>
                <c:pt idx="2">
                  <c:v>2.96638</c:v>
                </c:pt>
                <c:pt idx="3">
                  <c:v>2.9753000000000003</c:v>
                </c:pt>
                <c:pt idx="4">
                  <c:v>2.9868399999999999</c:v>
                </c:pt>
                <c:pt idx="5">
                  <c:v>3.0014400000000001</c:v>
                </c:pt>
                <c:pt idx="6">
                  <c:v>3.0175299999999998</c:v>
                </c:pt>
                <c:pt idx="7">
                  <c:v>3.0304199999999999</c:v>
                </c:pt>
                <c:pt idx="8">
                  <c:v>3.0454699999999999</c:v>
                </c:pt>
                <c:pt idx="9">
                  <c:v>3.0617000000000001</c:v>
                </c:pt>
                <c:pt idx="10">
                  <c:v>3.0798999999999999</c:v>
                </c:pt>
                <c:pt idx="11">
                  <c:v>3.0989299999999997</c:v>
                </c:pt>
                <c:pt idx="12">
                  <c:v>3.1156299999999999</c:v>
                </c:pt>
                <c:pt idx="13">
                  <c:v>3.1342500000000002</c:v>
                </c:pt>
                <c:pt idx="14">
                  <c:v>3.15455</c:v>
                </c:pt>
                <c:pt idx="15">
                  <c:v>3.17245</c:v>
                </c:pt>
                <c:pt idx="16">
                  <c:v>3.1911099999999997</c:v>
                </c:pt>
                <c:pt idx="17">
                  <c:v>3.2070500000000002</c:v>
                </c:pt>
                <c:pt idx="18">
                  <c:v>3.2227499999999996</c:v>
                </c:pt>
                <c:pt idx="19">
                  <c:v>3.2385199999999998</c:v>
                </c:pt>
                <c:pt idx="20">
                  <c:v>3.2550299999999996</c:v>
                </c:pt>
                <c:pt idx="21">
                  <c:v>3.2702599999999999</c:v>
                </c:pt>
                <c:pt idx="22">
                  <c:v>3.2863100000000003</c:v>
                </c:pt>
                <c:pt idx="23">
                  <c:v>3.2972400000000004</c:v>
                </c:pt>
                <c:pt idx="24">
                  <c:v>3.30749</c:v>
                </c:pt>
                <c:pt idx="25">
                  <c:v>3.3161700000000001</c:v>
                </c:pt>
                <c:pt idx="26">
                  <c:v>3.3249899999999997</c:v>
                </c:pt>
                <c:pt idx="27">
                  <c:v>3.3323299999999998</c:v>
                </c:pt>
                <c:pt idx="28">
                  <c:v>3.3354400000000002</c:v>
                </c:pt>
                <c:pt idx="29">
                  <c:v>3.3378299999999999</c:v>
                </c:pt>
                <c:pt idx="30">
                  <c:v>3.33866</c:v>
                </c:pt>
                <c:pt idx="31">
                  <c:v>3.3433600000000001</c:v>
                </c:pt>
                <c:pt idx="32">
                  <c:v>3.3532000000000002</c:v>
                </c:pt>
                <c:pt idx="33">
                  <c:v>3.36381</c:v>
                </c:pt>
                <c:pt idx="34">
                  <c:v>3.3751799999999998</c:v>
                </c:pt>
                <c:pt idx="35">
                  <c:v>3.38605</c:v>
                </c:pt>
                <c:pt idx="36">
                  <c:v>3.3976800000000003</c:v>
                </c:pt>
                <c:pt idx="37">
                  <c:v>3.41256</c:v>
                </c:pt>
                <c:pt idx="38">
                  <c:v>3.4250699999999998</c:v>
                </c:pt>
                <c:pt idx="39">
                  <c:v>3.4346900000000002</c:v>
                </c:pt>
                <c:pt idx="40">
                  <c:v>3.4461000000000004</c:v>
                </c:pt>
                <c:pt idx="41">
                  <c:v>3.4560600000000004</c:v>
                </c:pt>
                <c:pt idx="42">
                  <c:v>3.4689300000000003</c:v>
                </c:pt>
                <c:pt idx="43">
                  <c:v>3.4805399999999995</c:v>
                </c:pt>
                <c:pt idx="44">
                  <c:v>3.4874000000000001</c:v>
                </c:pt>
                <c:pt idx="45">
                  <c:v>3.48766</c:v>
                </c:pt>
                <c:pt idx="46">
                  <c:v>3.4819800000000001</c:v>
                </c:pt>
                <c:pt idx="47">
                  <c:v>3.4693299999999998</c:v>
                </c:pt>
                <c:pt idx="48">
                  <c:v>3.4560900000000001</c:v>
                </c:pt>
                <c:pt idx="49">
                  <c:v>3.4409200000000002</c:v>
                </c:pt>
                <c:pt idx="50">
                  <c:v>3.4331699999999996</c:v>
                </c:pt>
                <c:pt idx="51">
                  <c:v>3.43099</c:v>
                </c:pt>
                <c:pt idx="52">
                  <c:v>3.4285800000000002</c:v>
                </c:pt>
                <c:pt idx="53">
                  <c:v>3.4295799999999996</c:v>
                </c:pt>
                <c:pt idx="54">
                  <c:v>3.4295100000000001</c:v>
                </c:pt>
                <c:pt idx="55">
                  <c:v>3.4289900000000002</c:v>
                </c:pt>
                <c:pt idx="56">
                  <c:v>3.4256500000000001</c:v>
                </c:pt>
                <c:pt idx="57">
                  <c:v>3.4200699999999999</c:v>
                </c:pt>
                <c:pt idx="58">
                  <c:v>3.41412</c:v>
                </c:pt>
                <c:pt idx="59">
                  <c:v>3.4064800000000002</c:v>
                </c:pt>
                <c:pt idx="60">
                  <c:v>3.3972000000000002</c:v>
                </c:pt>
                <c:pt idx="61">
                  <c:v>3.3848600000000002</c:v>
                </c:pt>
                <c:pt idx="62">
                  <c:v>3.3680099999999999</c:v>
                </c:pt>
                <c:pt idx="63">
                  <c:v>3.3492100000000002</c:v>
                </c:pt>
                <c:pt idx="64">
                  <c:v>3.3308200000000001</c:v>
                </c:pt>
                <c:pt idx="65">
                  <c:v>3.3098399999999999</c:v>
                </c:pt>
                <c:pt idx="66">
                  <c:v>3.2822800000000001</c:v>
                </c:pt>
                <c:pt idx="67">
                  <c:v>3.2459900000000004</c:v>
                </c:pt>
                <c:pt idx="68">
                  <c:v>3.2013500000000001</c:v>
                </c:pt>
                <c:pt idx="69">
                  <c:v>3.1584400000000001</c:v>
                </c:pt>
                <c:pt idx="70">
                  <c:v>3.11598</c:v>
                </c:pt>
                <c:pt idx="71">
                  <c:v>3.08474</c:v>
                </c:pt>
                <c:pt idx="72">
                  <c:v>3.0628300000000004</c:v>
                </c:pt>
                <c:pt idx="73">
                  <c:v>3.0418400000000001</c:v>
                </c:pt>
                <c:pt idx="74">
                  <c:v>3.0217100000000001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14.944775</c:v>
                </c:pt>
                <c:pt idx="1">
                  <c:v>44.834325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3.0451602702702694</c:v>
                </c:pt>
                <c:pt idx="1">
                  <c:v>3.281377972972972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  <c:pt idx="74">
                  <c:v>30.0596</c:v>
                </c:pt>
                <c:pt idx="75">
                  <c:v>30.652899999999999</c:v>
                </c:pt>
                <c:pt idx="76">
                  <c:v>31.026900000000001</c:v>
                </c:pt>
                <c:pt idx="77">
                  <c:v>31.405000000000001</c:v>
                </c:pt>
                <c:pt idx="78">
                  <c:v>31.777999999999999</c:v>
                </c:pt>
                <c:pt idx="79">
                  <c:v>32.155999999999999</c:v>
                </c:pt>
                <c:pt idx="80">
                  <c:v>32.560899999999997</c:v>
                </c:pt>
                <c:pt idx="81">
                  <c:v>32.966700000000003</c:v>
                </c:pt>
                <c:pt idx="82">
                  <c:v>33.374699999999997</c:v>
                </c:pt>
                <c:pt idx="83">
                  <c:v>33.778599999999997</c:v>
                </c:pt>
                <c:pt idx="84">
                  <c:v>34.186900000000001</c:v>
                </c:pt>
                <c:pt idx="85">
                  <c:v>34.5944</c:v>
                </c:pt>
                <c:pt idx="86">
                  <c:v>34.996299999999998</c:v>
                </c:pt>
                <c:pt idx="87">
                  <c:v>35.4024</c:v>
                </c:pt>
                <c:pt idx="88">
                  <c:v>35.807200000000002</c:v>
                </c:pt>
                <c:pt idx="89">
                  <c:v>36.217100000000002</c:v>
                </c:pt>
                <c:pt idx="90">
                  <c:v>36.622999999999998</c:v>
                </c:pt>
                <c:pt idx="91">
                  <c:v>37.026899999999998</c:v>
                </c:pt>
                <c:pt idx="92">
                  <c:v>37.435299999999998</c:v>
                </c:pt>
                <c:pt idx="93">
                  <c:v>37.844799999999999</c:v>
                </c:pt>
                <c:pt idx="94">
                  <c:v>38.250599999999999</c:v>
                </c:pt>
                <c:pt idx="95">
                  <c:v>38.657600000000002</c:v>
                </c:pt>
                <c:pt idx="96">
                  <c:v>39.059399999999997</c:v>
                </c:pt>
                <c:pt idx="97">
                  <c:v>39.464399999999998</c:v>
                </c:pt>
                <c:pt idx="98">
                  <c:v>39.8733</c:v>
                </c:pt>
                <c:pt idx="99">
                  <c:v>40.280200000000001</c:v>
                </c:pt>
                <c:pt idx="100">
                  <c:v>40.684100000000001</c:v>
                </c:pt>
                <c:pt idx="101">
                  <c:v>41.089100000000002</c:v>
                </c:pt>
                <c:pt idx="102">
                  <c:v>41.496299999999998</c:v>
                </c:pt>
                <c:pt idx="103">
                  <c:v>41.9009</c:v>
                </c:pt>
                <c:pt idx="104">
                  <c:v>42.311999999999998</c:v>
                </c:pt>
                <c:pt idx="105">
                  <c:v>42.718600000000002</c:v>
                </c:pt>
                <c:pt idx="106">
                  <c:v>43.122599999999998</c:v>
                </c:pt>
                <c:pt idx="107">
                  <c:v>43.526499999999999</c:v>
                </c:pt>
                <c:pt idx="108">
                  <c:v>43.933399999999999</c:v>
                </c:pt>
                <c:pt idx="109">
                  <c:v>44.3414</c:v>
                </c:pt>
                <c:pt idx="110">
                  <c:v>44.748399999999997</c:v>
                </c:pt>
                <c:pt idx="111">
                  <c:v>45.154200000000003</c:v>
                </c:pt>
                <c:pt idx="112">
                  <c:v>45.556100000000001</c:v>
                </c:pt>
                <c:pt idx="113">
                  <c:v>45.9651</c:v>
                </c:pt>
                <c:pt idx="114">
                  <c:v>46.372799999999998</c:v>
                </c:pt>
                <c:pt idx="115">
                  <c:v>46.780799999999999</c:v>
                </c:pt>
                <c:pt idx="116">
                  <c:v>47.186799999999998</c:v>
                </c:pt>
                <c:pt idx="117">
                  <c:v>47.593800000000002</c:v>
                </c:pt>
                <c:pt idx="118">
                  <c:v>48.001600000000003</c:v>
                </c:pt>
                <c:pt idx="119">
                  <c:v>48.406500000000001</c:v>
                </c:pt>
                <c:pt idx="120">
                  <c:v>48.811500000000002</c:v>
                </c:pt>
                <c:pt idx="121">
                  <c:v>49.218400000000003</c:v>
                </c:pt>
                <c:pt idx="122">
                  <c:v>49.621200000000002</c:v>
                </c:pt>
                <c:pt idx="123">
                  <c:v>50.028399999999998</c:v>
                </c:pt>
                <c:pt idx="124">
                  <c:v>50.435000000000002</c:v>
                </c:pt>
                <c:pt idx="125">
                  <c:v>50.841900000000003</c:v>
                </c:pt>
                <c:pt idx="126">
                  <c:v>51.2498</c:v>
                </c:pt>
                <c:pt idx="127">
                  <c:v>51.651800000000001</c:v>
                </c:pt>
                <c:pt idx="128">
                  <c:v>52.057699999999997</c:v>
                </c:pt>
                <c:pt idx="129">
                  <c:v>52.464599999999997</c:v>
                </c:pt>
                <c:pt idx="130">
                  <c:v>52.874699999999997</c:v>
                </c:pt>
                <c:pt idx="131">
                  <c:v>53.280299999999997</c:v>
                </c:pt>
                <c:pt idx="132">
                  <c:v>53.686300000000003</c:v>
                </c:pt>
                <c:pt idx="133">
                  <c:v>54.0944</c:v>
                </c:pt>
                <c:pt idx="134">
                  <c:v>54.498399999999997</c:v>
                </c:pt>
                <c:pt idx="135">
                  <c:v>54.9011</c:v>
                </c:pt>
                <c:pt idx="136">
                  <c:v>55.309899999999999</c:v>
                </c:pt>
                <c:pt idx="137">
                  <c:v>55.718000000000004</c:v>
                </c:pt>
                <c:pt idx="138">
                  <c:v>56.121400000000001</c:v>
                </c:pt>
                <c:pt idx="139">
                  <c:v>56.529699999999998</c:v>
                </c:pt>
                <c:pt idx="140">
                  <c:v>56.933700000000002</c:v>
                </c:pt>
                <c:pt idx="141">
                  <c:v>57.341500000000003</c:v>
                </c:pt>
                <c:pt idx="142">
                  <c:v>57.748699999999999</c:v>
                </c:pt>
                <c:pt idx="143">
                  <c:v>58.156399999999998</c:v>
                </c:pt>
                <c:pt idx="144">
                  <c:v>58.5623</c:v>
                </c:pt>
                <c:pt idx="145">
                  <c:v>58.968400000000003</c:v>
                </c:pt>
                <c:pt idx="146">
                  <c:v>59.374099999999999</c:v>
                </c:pt>
                <c:pt idx="147">
                  <c:v>59.7791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  <c:pt idx="74">
                  <c:v>29.043600000000001</c:v>
                </c:pt>
                <c:pt idx="75">
                  <c:v>28.270699999999998</c:v>
                </c:pt>
                <c:pt idx="76">
                  <c:v>27.545100000000001</c:v>
                </c:pt>
                <c:pt idx="77">
                  <c:v>26.832099999999997</c:v>
                </c:pt>
                <c:pt idx="78">
                  <c:v>26.112099999999998</c:v>
                </c:pt>
                <c:pt idx="79">
                  <c:v>25.413400000000003</c:v>
                </c:pt>
                <c:pt idx="80">
                  <c:v>24.840300000000003</c:v>
                </c:pt>
                <c:pt idx="81">
                  <c:v>24.351099999999999</c:v>
                </c:pt>
                <c:pt idx="82">
                  <c:v>23.985500000000002</c:v>
                </c:pt>
                <c:pt idx="83">
                  <c:v>23.666599999999999</c:v>
                </c:pt>
                <c:pt idx="84">
                  <c:v>23.379200000000001</c:v>
                </c:pt>
                <c:pt idx="85">
                  <c:v>23.096900000000002</c:v>
                </c:pt>
                <c:pt idx="86">
                  <c:v>22.827200000000001</c:v>
                </c:pt>
                <c:pt idx="87">
                  <c:v>22.5412</c:v>
                </c:pt>
                <c:pt idx="88">
                  <c:v>22.3306</c:v>
                </c:pt>
                <c:pt idx="89">
                  <c:v>22.0411</c:v>
                </c:pt>
                <c:pt idx="90">
                  <c:v>21.805700000000002</c:v>
                </c:pt>
                <c:pt idx="91">
                  <c:v>21.6206</c:v>
                </c:pt>
                <c:pt idx="92">
                  <c:v>21.444099999999999</c:v>
                </c:pt>
                <c:pt idx="93">
                  <c:v>21.241599999999998</c:v>
                </c:pt>
                <c:pt idx="94">
                  <c:v>21.0488</c:v>
                </c:pt>
                <c:pt idx="95">
                  <c:v>20.850999999999999</c:v>
                </c:pt>
                <c:pt idx="96">
                  <c:v>20.574300000000001</c:v>
                </c:pt>
                <c:pt idx="97">
                  <c:v>20.259499999999999</c:v>
                </c:pt>
                <c:pt idx="98">
                  <c:v>19.916900000000002</c:v>
                </c:pt>
                <c:pt idx="99">
                  <c:v>19.517599999999998</c:v>
                </c:pt>
                <c:pt idx="100">
                  <c:v>19.1661</c:v>
                </c:pt>
                <c:pt idx="101">
                  <c:v>18.904599999999999</c:v>
                </c:pt>
                <c:pt idx="102">
                  <c:v>18.657899999999998</c:v>
                </c:pt>
                <c:pt idx="103">
                  <c:v>18.492599999999999</c:v>
                </c:pt>
                <c:pt idx="104">
                  <c:v>18.404400000000003</c:v>
                </c:pt>
                <c:pt idx="105">
                  <c:v>18.3065</c:v>
                </c:pt>
                <c:pt idx="106">
                  <c:v>18.261500000000002</c:v>
                </c:pt>
                <c:pt idx="107">
                  <c:v>18.1874</c:v>
                </c:pt>
                <c:pt idx="108">
                  <c:v>18.082899999999999</c:v>
                </c:pt>
                <c:pt idx="109">
                  <c:v>17.9786</c:v>
                </c:pt>
                <c:pt idx="110">
                  <c:v>17.958600000000001</c:v>
                </c:pt>
                <c:pt idx="111">
                  <c:v>17.925699999999999</c:v>
                </c:pt>
                <c:pt idx="112">
                  <c:v>17.927199999999999</c:v>
                </c:pt>
                <c:pt idx="113">
                  <c:v>17.9162</c:v>
                </c:pt>
                <c:pt idx="114">
                  <c:v>17.9373</c:v>
                </c:pt>
                <c:pt idx="115">
                  <c:v>17.9693</c:v>
                </c:pt>
                <c:pt idx="116">
                  <c:v>18.0183</c:v>
                </c:pt>
                <c:pt idx="117">
                  <c:v>18.045999999999999</c:v>
                </c:pt>
                <c:pt idx="118">
                  <c:v>18.092099999999999</c:v>
                </c:pt>
                <c:pt idx="119">
                  <c:v>18.198499999999999</c:v>
                </c:pt>
                <c:pt idx="120">
                  <c:v>18.301100000000002</c:v>
                </c:pt>
                <c:pt idx="121">
                  <c:v>18.4786</c:v>
                </c:pt>
                <c:pt idx="122">
                  <c:v>18.750600000000002</c:v>
                </c:pt>
                <c:pt idx="123">
                  <c:v>19.0061</c:v>
                </c:pt>
                <c:pt idx="124">
                  <c:v>19.245200000000001</c:v>
                </c:pt>
                <c:pt idx="125">
                  <c:v>19.510300000000001</c:v>
                </c:pt>
                <c:pt idx="126">
                  <c:v>19.759399999999999</c:v>
                </c:pt>
                <c:pt idx="127">
                  <c:v>19.965599999999998</c:v>
                </c:pt>
                <c:pt idx="128">
                  <c:v>20.125699999999998</c:v>
                </c:pt>
                <c:pt idx="129">
                  <c:v>20.2605</c:v>
                </c:pt>
                <c:pt idx="130">
                  <c:v>20.373100000000001</c:v>
                </c:pt>
                <c:pt idx="131">
                  <c:v>20.437899999999999</c:v>
                </c:pt>
                <c:pt idx="132">
                  <c:v>20.527200000000001</c:v>
                </c:pt>
                <c:pt idx="133">
                  <c:v>20.696100000000001</c:v>
                </c:pt>
                <c:pt idx="134">
                  <c:v>20.933299999999999</c:v>
                </c:pt>
                <c:pt idx="135">
                  <c:v>21.167200000000001</c:v>
                </c:pt>
                <c:pt idx="136">
                  <c:v>21.427699999999998</c:v>
                </c:pt>
                <c:pt idx="137">
                  <c:v>21.625</c:v>
                </c:pt>
                <c:pt idx="138">
                  <c:v>21.874399999999998</c:v>
                </c:pt>
                <c:pt idx="139">
                  <c:v>22.260300000000001</c:v>
                </c:pt>
                <c:pt idx="140">
                  <c:v>22.7851</c:v>
                </c:pt>
                <c:pt idx="141">
                  <c:v>23.3902</c:v>
                </c:pt>
                <c:pt idx="142">
                  <c:v>24.1557</c:v>
                </c:pt>
                <c:pt idx="143">
                  <c:v>24.820500000000003</c:v>
                </c:pt>
                <c:pt idx="144">
                  <c:v>25.184800000000003</c:v>
                </c:pt>
                <c:pt idx="145">
                  <c:v>25.318000000000001</c:v>
                </c:pt>
                <c:pt idx="146">
                  <c:v>26.123100000000001</c:v>
                </c:pt>
                <c:pt idx="147">
                  <c:v>26.622899999999998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0.40182699999999999</c:v>
                </c:pt>
                <c:pt idx="2">
                  <c:v>0.80988300000000002</c:v>
                </c:pt>
                <c:pt idx="3">
                  <c:v>1.2186300000000001</c:v>
                </c:pt>
                <c:pt idx="4">
                  <c:v>1.62252</c:v>
                </c:pt>
                <c:pt idx="5">
                  <c:v>2.0285099999999998</c:v>
                </c:pt>
                <c:pt idx="6">
                  <c:v>2.4383900000000001</c:v>
                </c:pt>
                <c:pt idx="7">
                  <c:v>2.8393099999999998</c:v>
                </c:pt>
                <c:pt idx="8">
                  <c:v>3.2461899999999999</c:v>
                </c:pt>
                <c:pt idx="9">
                  <c:v>3.6521599999999999</c:v>
                </c:pt>
                <c:pt idx="10">
                  <c:v>4.0582900000000004</c:v>
                </c:pt>
                <c:pt idx="11">
                  <c:v>4.4699099999999996</c:v>
                </c:pt>
                <c:pt idx="12">
                  <c:v>4.8748199999999997</c:v>
                </c:pt>
                <c:pt idx="13">
                  <c:v>5.2832699999999999</c:v>
                </c:pt>
                <c:pt idx="14">
                  <c:v>5.6846899999999998</c:v>
                </c:pt>
                <c:pt idx="15">
                  <c:v>6.0916800000000002</c:v>
                </c:pt>
                <c:pt idx="16">
                  <c:v>6.49885</c:v>
                </c:pt>
                <c:pt idx="17">
                  <c:v>6.9067999999999996</c:v>
                </c:pt>
                <c:pt idx="18">
                  <c:v>7.3133600000000003</c:v>
                </c:pt>
                <c:pt idx="19">
                  <c:v>7.7205500000000002</c:v>
                </c:pt>
                <c:pt idx="20">
                  <c:v>8.1229300000000002</c:v>
                </c:pt>
                <c:pt idx="21">
                  <c:v>8.5300700000000003</c:v>
                </c:pt>
                <c:pt idx="22">
                  <c:v>8.9381400000000006</c:v>
                </c:pt>
                <c:pt idx="23">
                  <c:v>9.3428900000000006</c:v>
                </c:pt>
                <c:pt idx="24">
                  <c:v>9.7478800000000003</c:v>
                </c:pt>
                <c:pt idx="25">
                  <c:v>10.154999999999999</c:v>
                </c:pt>
                <c:pt idx="26">
                  <c:v>10.5586</c:v>
                </c:pt>
                <c:pt idx="27">
                  <c:v>10.9658</c:v>
                </c:pt>
                <c:pt idx="28">
                  <c:v>11.3744</c:v>
                </c:pt>
                <c:pt idx="29">
                  <c:v>11.7784</c:v>
                </c:pt>
                <c:pt idx="30">
                  <c:v>12.1874</c:v>
                </c:pt>
                <c:pt idx="31">
                  <c:v>12.5932</c:v>
                </c:pt>
                <c:pt idx="32">
                  <c:v>12.9994</c:v>
                </c:pt>
                <c:pt idx="33">
                  <c:v>13.404</c:v>
                </c:pt>
                <c:pt idx="34">
                  <c:v>13.809900000000001</c:v>
                </c:pt>
                <c:pt idx="35">
                  <c:v>14.2182</c:v>
                </c:pt>
                <c:pt idx="36">
                  <c:v>14.6248</c:v>
                </c:pt>
                <c:pt idx="37">
                  <c:v>15.0297</c:v>
                </c:pt>
                <c:pt idx="38">
                  <c:v>15.438599999999999</c:v>
                </c:pt>
                <c:pt idx="39">
                  <c:v>15.843500000000001</c:v>
                </c:pt>
                <c:pt idx="40">
                  <c:v>16.247399999999999</c:v>
                </c:pt>
                <c:pt idx="41">
                  <c:v>16.6554</c:v>
                </c:pt>
                <c:pt idx="42">
                  <c:v>17.061299999999999</c:v>
                </c:pt>
                <c:pt idx="43">
                  <c:v>17.467199999999998</c:v>
                </c:pt>
                <c:pt idx="44">
                  <c:v>17.8721</c:v>
                </c:pt>
                <c:pt idx="45">
                  <c:v>18.279</c:v>
                </c:pt>
                <c:pt idx="46">
                  <c:v>18.684999999999999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19.902699999999999</c:v>
                </c:pt>
                <c:pt idx="50">
                  <c:v>20.310600000000001</c:v>
                </c:pt>
                <c:pt idx="51">
                  <c:v>20.715800000000002</c:v>
                </c:pt>
                <c:pt idx="52">
                  <c:v>21.1204</c:v>
                </c:pt>
                <c:pt idx="53">
                  <c:v>21.528500000000001</c:v>
                </c:pt>
                <c:pt idx="54">
                  <c:v>21.934200000000001</c:v>
                </c:pt>
                <c:pt idx="55">
                  <c:v>22.344200000000001</c:v>
                </c:pt>
                <c:pt idx="56">
                  <c:v>22.751100000000001</c:v>
                </c:pt>
                <c:pt idx="57">
                  <c:v>23.155899999999999</c:v>
                </c:pt>
                <c:pt idx="58">
                  <c:v>23.558900000000001</c:v>
                </c:pt>
                <c:pt idx="59">
                  <c:v>23.970800000000001</c:v>
                </c:pt>
                <c:pt idx="60">
                  <c:v>24.373699999999999</c:v>
                </c:pt>
                <c:pt idx="61">
                  <c:v>24.779599999999999</c:v>
                </c:pt>
                <c:pt idx="62">
                  <c:v>25.185500000000001</c:v>
                </c:pt>
                <c:pt idx="63">
                  <c:v>25.590399999999999</c:v>
                </c:pt>
                <c:pt idx="64">
                  <c:v>25.9998</c:v>
                </c:pt>
                <c:pt idx="65">
                  <c:v>26.4084</c:v>
                </c:pt>
                <c:pt idx="66">
                  <c:v>26.8142</c:v>
                </c:pt>
                <c:pt idx="67">
                  <c:v>27.223099999999999</c:v>
                </c:pt>
                <c:pt idx="68">
                  <c:v>27.622</c:v>
                </c:pt>
                <c:pt idx="69">
                  <c:v>28.027200000000001</c:v>
                </c:pt>
                <c:pt idx="70">
                  <c:v>28.434799999999999</c:v>
                </c:pt>
                <c:pt idx="71">
                  <c:v>28.843699999999998</c:v>
                </c:pt>
                <c:pt idx="72">
                  <c:v>29.247699999999998</c:v>
                </c:pt>
                <c:pt idx="73">
                  <c:v>29.654699999999998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29.654699999999998</c:v>
                </c:pt>
                <c:pt idx="1">
                  <c:v>30.0596</c:v>
                </c:pt>
                <c:pt idx="2">
                  <c:v>30.652899999999999</c:v>
                </c:pt>
                <c:pt idx="3">
                  <c:v>31.026900000000001</c:v>
                </c:pt>
                <c:pt idx="4">
                  <c:v>31.405000000000001</c:v>
                </c:pt>
                <c:pt idx="5">
                  <c:v>31.777999999999999</c:v>
                </c:pt>
                <c:pt idx="6">
                  <c:v>32.155999999999999</c:v>
                </c:pt>
                <c:pt idx="7">
                  <c:v>32.560899999999997</c:v>
                </c:pt>
                <c:pt idx="8">
                  <c:v>32.966700000000003</c:v>
                </c:pt>
                <c:pt idx="9">
                  <c:v>33.374699999999997</c:v>
                </c:pt>
                <c:pt idx="10">
                  <c:v>33.778599999999997</c:v>
                </c:pt>
                <c:pt idx="11">
                  <c:v>34.186900000000001</c:v>
                </c:pt>
                <c:pt idx="12">
                  <c:v>34.5944</c:v>
                </c:pt>
                <c:pt idx="13">
                  <c:v>34.996299999999998</c:v>
                </c:pt>
                <c:pt idx="14">
                  <c:v>35.4024</c:v>
                </c:pt>
                <c:pt idx="15">
                  <c:v>35.807200000000002</c:v>
                </c:pt>
                <c:pt idx="16">
                  <c:v>36.217100000000002</c:v>
                </c:pt>
                <c:pt idx="17">
                  <c:v>36.622999999999998</c:v>
                </c:pt>
                <c:pt idx="18">
                  <c:v>37.026899999999998</c:v>
                </c:pt>
                <c:pt idx="19">
                  <c:v>37.435299999999998</c:v>
                </c:pt>
                <c:pt idx="20">
                  <c:v>37.844799999999999</c:v>
                </c:pt>
                <c:pt idx="21">
                  <c:v>38.250599999999999</c:v>
                </c:pt>
                <c:pt idx="22">
                  <c:v>38.657600000000002</c:v>
                </c:pt>
                <c:pt idx="23">
                  <c:v>39.059399999999997</c:v>
                </c:pt>
                <c:pt idx="24">
                  <c:v>39.464399999999998</c:v>
                </c:pt>
                <c:pt idx="25">
                  <c:v>39.8733</c:v>
                </c:pt>
                <c:pt idx="26">
                  <c:v>40.280200000000001</c:v>
                </c:pt>
                <c:pt idx="27">
                  <c:v>40.684100000000001</c:v>
                </c:pt>
                <c:pt idx="28">
                  <c:v>41.089100000000002</c:v>
                </c:pt>
                <c:pt idx="29">
                  <c:v>41.496299999999998</c:v>
                </c:pt>
                <c:pt idx="30">
                  <c:v>41.9009</c:v>
                </c:pt>
                <c:pt idx="31">
                  <c:v>42.311999999999998</c:v>
                </c:pt>
                <c:pt idx="32">
                  <c:v>42.718600000000002</c:v>
                </c:pt>
                <c:pt idx="33">
                  <c:v>43.122599999999998</c:v>
                </c:pt>
                <c:pt idx="34">
                  <c:v>43.526499999999999</c:v>
                </c:pt>
                <c:pt idx="35">
                  <c:v>43.933399999999999</c:v>
                </c:pt>
                <c:pt idx="36">
                  <c:v>44.3414</c:v>
                </c:pt>
                <c:pt idx="37">
                  <c:v>44.748399999999997</c:v>
                </c:pt>
                <c:pt idx="38">
                  <c:v>45.154200000000003</c:v>
                </c:pt>
                <c:pt idx="39">
                  <c:v>45.556100000000001</c:v>
                </c:pt>
                <c:pt idx="40">
                  <c:v>45.9651</c:v>
                </c:pt>
                <c:pt idx="41">
                  <c:v>46.372799999999998</c:v>
                </c:pt>
                <c:pt idx="42">
                  <c:v>46.780799999999999</c:v>
                </c:pt>
                <c:pt idx="43">
                  <c:v>47.186799999999998</c:v>
                </c:pt>
                <c:pt idx="44">
                  <c:v>47.593800000000002</c:v>
                </c:pt>
                <c:pt idx="45">
                  <c:v>48.001600000000003</c:v>
                </c:pt>
                <c:pt idx="46">
                  <c:v>48.406500000000001</c:v>
                </c:pt>
                <c:pt idx="47">
                  <c:v>48.811500000000002</c:v>
                </c:pt>
                <c:pt idx="48">
                  <c:v>49.218400000000003</c:v>
                </c:pt>
                <c:pt idx="49">
                  <c:v>49.621200000000002</c:v>
                </c:pt>
                <c:pt idx="50">
                  <c:v>50.028399999999998</c:v>
                </c:pt>
                <c:pt idx="51">
                  <c:v>50.435000000000002</c:v>
                </c:pt>
                <c:pt idx="52">
                  <c:v>50.841900000000003</c:v>
                </c:pt>
                <c:pt idx="53">
                  <c:v>51.2498</c:v>
                </c:pt>
                <c:pt idx="54">
                  <c:v>51.651800000000001</c:v>
                </c:pt>
                <c:pt idx="55">
                  <c:v>52.057699999999997</c:v>
                </c:pt>
                <c:pt idx="56">
                  <c:v>52.464599999999997</c:v>
                </c:pt>
                <c:pt idx="57">
                  <c:v>52.874699999999997</c:v>
                </c:pt>
                <c:pt idx="58">
                  <c:v>53.280299999999997</c:v>
                </c:pt>
                <c:pt idx="59">
                  <c:v>53.686300000000003</c:v>
                </c:pt>
                <c:pt idx="60">
                  <c:v>54.0944</c:v>
                </c:pt>
                <c:pt idx="61">
                  <c:v>54.498399999999997</c:v>
                </c:pt>
                <c:pt idx="62">
                  <c:v>54.9011</c:v>
                </c:pt>
                <c:pt idx="63">
                  <c:v>55.309899999999999</c:v>
                </c:pt>
                <c:pt idx="64">
                  <c:v>55.718000000000004</c:v>
                </c:pt>
                <c:pt idx="65">
                  <c:v>56.121400000000001</c:v>
                </c:pt>
                <c:pt idx="66">
                  <c:v>56.529699999999998</c:v>
                </c:pt>
                <c:pt idx="67">
                  <c:v>56.933700000000002</c:v>
                </c:pt>
                <c:pt idx="68">
                  <c:v>57.341500000000003</c:v>
                </c:pt>
                <c:pt idx="69">
                  <c:v>57.748699999999999</c:v>
                </c:pt>
                <c:pt idx="70">
                  <c:v>58.156399999999998</c:v>
                </c:pt>
                <c:pt idx="71">
                  <c:v>58.5623</c:v>
                </c:pt>
                <c:pt idx="72">
                  <c:v>58.968400000000003</c:v>
                </c:pt>
                <c:pt idx="73">
                  <c:v>59.374099999999999</c:v>
                </c:pt>
                <c:pt idx="74">
                  <c:v>59.7791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29.531000000000002</c:v>
                </c:pt>
                <c:pt idx="1">
                  <c:v>29.043600000000001</c:v>
                </c:pt>
                <c:pt idx="2">
                  <c:v>28.270699999999998</c:v>
                </c:pt>
                <c:pt idx="3">
                  <c:v>27.545100000000001</c:v>
                </c:pt>
                <c:pt idx="4">
                  <c:v>26.832099999999997</c:v>
                </c:pt>
                <c:pt idx="5">
                  <c:v>26.112099999999998</c:v>
                </c:pt>
                <c:pt idx="6">
                  <c:v>25.413400000000003</c:v>
                </c:pt>
                <c:pt idx="7">
                  <c:v>24.840300000000003</c:v>
                </c:pt>
                <c:pt idx="8">
                  <c:v>24.351099999999999</c:v>
                </c:pt>
                <c:pt idx="9">
                  <c:v>23.985500000000002</c:v>
                </c:pt>
                <c:pt idx="10">
                  <c:v>23.666599999999999</c:v>
                </c:pt>
                <c:pt idx="11">
                  <c:v>23.379200000000001</c:v>
                </c:pt>
                <c:pt idx="12">
                  <c:v>23.096900000000002</c:v>
                </c:pt>
                <c:pt idx="13">
                  <c:v>22.827200000000001</c:v>
                </c:pt>
                <c:pt idx="14">
                  <c:v>22.5412</c:v>
                </c:pt>
                <c:pt idx="15">
                  <c:v>22.3306</c:v>
                </c:pt>
                <c:pt idx="16">
                  <c:v>22.0411</c:v>
                </c:pt>
                <c:pt idx="17">
                  <c:v>21.805700000000002</c:v>
                </c:pt>
                <c:pt idx="18">
                  <c:v>21.6206</c:v>
                </c:pt>
                <c:pt idx="19">
                  <c:v>21.444099999999999</c:v>
                </c:pt>
                <c:pt idx="20">
                  <c:v>21.241599999999998</c:v>
                </c:pt>
                <c:pt idx="21">
                  <c:v>21.0488</c:v>
                </c:pt>
                <c:pt idx="22">
                  <c:v>20.850999999999999</c:v>
                </c:pt>
                <c:pt idx="23">
                  <c:v>20.574300000000001</c:v>
                </c:pt>
                <c:pt idx="24">
                  <c:v>20.259499999999999</c:v>
                </c:pt>
                <c:pt idx="25">
                  <c:v>19.916900000000002</c:v>
                </c:pt>
                <c:pt idx="26">
                  <c:v>19.517599999999998</c:v>
                </c:pt>
                <c:pt idx="27">
                  <c:v>19.1661</c:v>
                </c:pt>
                <c:pt idx="28">
                  <c:v>18.904599999999999</c:v>
                </c:pt>
                <c:pt idx="29">
                  <c:v>18.657899999999998</c:v>
                </c:pt>
                <c:pt idx="30">
                  <c:v>18.492599999999999</c:v>
                </c:pt>
                <c:pt idx="31">
                  <c:v>18.404400000000003</c:v>
                </c:pt>
                <c:pt idx="32">
                  <c:v>18.3065</c:v>
                </c:pt>
                <c:pt idx="33">
                  <c:v>18.261500000000002</c:v>
                </c:pt>
                <c:pt idx="34">
                  <c:v>18.1874</c:v>
                </c:pt>
                <c:pt idx="35">
                  <c:v>18.082899999999999</c:v>
                </c:pt>
                <c:pt idx="36">
                  <c:v>17.9786</c:v>
                </c:pt>
                <c:pt idx="37">
                  <c:v>17.958600000000001</c:v>
                </c:pt>
                <c:pt idx="38">
                  <c:v>17.925699999999999</c:v>
                </c:pt>
                <c:pt idx="39">
                  <c:v>17.927199999999999</c:v>
                </c:pt>
                <c:pt idx="40">
                  <c:v>17.9162</c:v>
                </c:pt>
                <c:pt idx="41">
                  <c:v>17.9373</c:v>
                </c:pt>
                <c:pt idx="42">
                  <c:v>17.9693</c:v>
                </c:pt>
                <c:pt idx="43">
                  <c:v>18.0183</c:v>
                </c:pt>
                <c:pt idx="44">
                  <c:v>18.045999999999999</c:v>
                </c:pt>
                <c:pt idx="45">
                  <c:v>18.092099999999999</c:v>
                </c:pt>
                <c:pt idx="46">
                  <c:v>18.198499999999999</c:v>
                </c:pt>
                <c:pt idx="47">
                  <c:v>18.301100000000002</c:v>
                </c:pt>
                <c:pt idx="48">
                  <c:v>18.4786</c:v>
                </c:pt>
                <c:pt idx="49">
                  <c:v>18.750600000000002</c:v>
                </c:pt>
                <c:pt idx="50">
                  <c:v>19.0061</c:v>
                </c:pt>
                <c:pt idx="51">
                  <c:v>19.245200000000001</c:v>
                </c:pt>
                <c:pt idx="52">
                  <c:v>19.510300000000001</c:v>
                </c:pt>
                <c:pt idx="53">
                  <c:v>19.759399999999999</c:v>
                </c:pt>
                <c:pt idx="54">
                  <c:v>19.965599999999998</c:v>
                </c:pt>
                <c:pt idx="55">
                  <c:v>20.125699999999998</c:v>
                </c:pt>
                <c:pt idx="56">
                  <c:v>20.2605</c:v>
                </c:pt>
                <c:pt idx="57">
                  <c:v>20.373100000000001</c:v>
                </c:pt>
                <c:pt idx="58">
                  <c:v>20.437899999999999</c:v>
                </c:pt>
                <c:pt idx="59">
                  <c:v>20.527200000000001</c:v>
                </c:pt>
                <c:pt idx="60">
                  <c:v>20.696100000000001</c:v>
                </c:pt>
                <c:pt idx="61">
                  <c:v>20.933299999999999</c:v>
                </c:pt>
                <c:pt idx="62">
                  <c:v>21.167200000000001</c:v>
                </c:pt>
                <c:pt idx="63">
                  <c:v>21.427699999999998</c:v>
                </c:pt>
                <c:pt idx="64">
                  <c:v>21.625</c:v>
                </c:pt>
                <c:pt idx="65">
                  <c:v>21.874399999999998</c:v>
                </c:pt>
                <c:pt idx="66">
                  <c:v>22.260300000000001</c:v>
                </c:pt>
                <c:pt idx="67">
                  <c:v>22.7851</c:v>
                </c:pt>
                <c:pt idx="68">
                  <c:v>23.3902</c:v>
                </c:pt>
                <c:pt idx="69">
                  <c:v>24.1557</c:v>
                </c:pt>
                <c:pt idx="70">
                  <c:v>24.820500000000003</c:v>
                </c:pt>
                <c:pt idx="71">
                  <c:v>25.184800000000003</c:v>
                </c:pt>
                <c:pt idx="72">
                  <c:v>25.318000000000001</c:v>
                </c:pt>
                <c:pt idx="73">
                  <c:v>26.123100000000001</c:v>
                </c:pt>
                <c:pt idx="74">
                  <c:v>26.622899999999998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14.944775</c:v>
                </c:pt>
                <c:pt idx="1">
                  <c:v>44.834325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36.888006756756766</c:v>
                </c:pt>
                <c:pt idx="1">
                  <c:v>21.244785135135132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  <c:pt idx="74">
                  <c:v>2.9511500000000002</c:v>
                </c:pt>
                <c:pt idx="75">
                  <c:v>2.96638</c:v>
                </c:pt>
                <c:pt idx="76">
                  <c:v>2.9753000000000003</c:v>
                </c:pt>
                <c:pt idx="77">
                  <c:v>2.9868399999999999</c:v>
                </c:pt>
                <c:pt idx="78">
                  <c:v>3.0014400000000001</c:v>
                </c:pt>
                <c:pt idx="79">
                  <c:v>3.0175299999999998</c:v>
                </c:pt>
                <c:pt idx="80">
                  <c:v>3.0304199999999999</c:v>
                </c:pt>
                <c:pt idx="81">
                  <c:v>3.0454699999999999</c:v>
                </c:pt>
                <c:pt idx="82">
                  <c:v>3.0617000000000001</c:v>
                </c:pt>
                <c:pt idx="83">
                  <c:v>3.0798999999999999</c:v>
                </c:pt>
                <c:pt idx="84">
                  <c:v>3.0989299999999997</c:v>
                </c:pt>
                <c:pt idx="85">
                  <c:v>3.1156299999999999</c:v>
                </c:pt>
                <c:pt idx="86">
                  <c:v>3.1342500000000002</c:v>
                </c:pt>
                <c:pt idx="87">
                  <c:v>3.15455</c:v>
                </c:pt>
                <c:pt idx="88">
                  <c:v>3.17245</c:v>
                </c:pt>
                <c:pt idx="89">
                  <c:v>3.1911099999999997</c:v>
                </c:pt>
                <c:pt idx="90">
                  <c:v>3.2070500000000002</c:v>
                </c:pt>
                <c:pt idx="91">
                  <c:v>3.2227499999999996</c:v>
                </c:pt>
                <c:pt idx="92">
                  <c:v>3.2385199999999998</c:v>
                </c:pt>
                <c:pt idx="93">
                  <c:v>3.2550299999999996</c:v>
                </c:pt>
                <c:pt idx="94">
                  <c:v>3.2702599999999999</c:v>
                </c:pt>
                <c:pt idx="95">
                  <c:v>3.2863100000000003</c:v>
                </c:pt>
                <c:pt idx="96">
                  <c:v>3.2972400000000004</c:v>
                </c:pt>
                <c:pt idx="97">
                  <c:v>3.30749</c:v>
                </c:pt>
                <c:pt idx="98">
                  <c:v>3.3161700000000001</c:v>
                </c:pt>
                <c:pt idx="99">
                  <c:v>3.3249899999999997</c:v>
                </c:pt>
                <c:pt idx="100">
                  <c:v>3.3323299999999998</c:v>
                </c:pt>
                <c:pt idx="101">
                  <c:v>3.3354400000000002</c:v>
                </c:pt>
                <c:pt idx="102">
                  <c:v>3.3378299999999999</c:v>
                </c:pt>
                <c:pt idx="103">
                  <c:v>3.33866</c:v>
                </c:pt>
                <c:pt idx="104">
                  <c:v>3.3433600000000001</c:v>
                </c:pt>
                <c:pt idx="105">
                  <c:v>3.3532000000000002</c:v>
                </c:pt>
                <c:pt idx="106">
                  <c:v>3.36381</c:v>
                </c:pt>
                <c:pt idx="107">
                  <c:v>3.3751799999999998</c:v>
                </c:pt>
                <c:pt idx="108">
                  <c:v>3.38605</c:v>
                </c:pt>
                <c:pt idx="109">
                  <c:v>3.3976800000000003</c:v>
                </c:pt>
                <c:pt idx="110">
                  <c:v>3.41256</c:v>
                </c:pt>
                <c:pt idx="111">
                  <c:v>3.4250699999999998</c:v>
                </c:pt>
                <c:pt idx="112">
                  <c:v>3.4346900000000002</c:v>
                </c:pt>
                <c:pt idx="113">
                  <c:v>3.4461000000000004</c:v>
                </c:pt>
                <c:pt idx="114">
                  <c:v>3.4560600000000004</c:v>
                </c:pt>
                <c:pt idx="115">
                  <c:v>3.4689300000000003</c:v>
                </c:pt>
                <c:pt idx="116">
                  <c:v>3.4805399999999995</c:v>
                </c:pt>
                <c:pt idx="117">
                  <c:v>3.4874000000000001</c:v>
                </c:pt>
                <c:pt idx="118">
                  <c:v>3.48766</c:v>
                </c:pt>
                <c:pt idx="119">
                  <c:v>3.4819800000000001</c:v>
                </c:pt>
                <c:pt idx="120">
                  <c:v>3.4693299999999998</c:v>
                </c:pt>
                <c:pt idx="121">
                  <c:v>3.4560900000000001</c:v>
                </c:pt>
                <c:pt idx="122">
                  <c:v>3.4409200000000002</c:v>
                </c:pt>
                <c:pt idx="123">
                  <c:v>3.4331699999999996</c:v>
                </c:pt>
                <c:pt idx="124">
                  <c:v>3.43099</c:v>
                </c:pt>
                <c:pt idx="125">
                  <c:v>3.4285800000000002</c:v>
                </c:pt>
                <c:pt idx="126">
                  <c:v>3.4295799999999996</c:v>
                </c:pt>
                <c:pt idx="127">
                  <c:v>3.4295100000000001</c:v>
                </c:pt>
                <c:pt idx="128">
                  <c:v>3.4289900000000002</c:v>
                </c:pt>
                <c:pt idx="129">
                  <c:v>3.4256500000000001</c:v>
                </c:pt>
                <c:pt idx="130">
                  <c:v>3.4200699999999999</c:v>
                </c:pt>
                <c:pt idx="131">
                  <c:v>3.41412</c:v>
                </c:pt>
                <c:pt idx="132">
                  <c:v>3.4064800000000002</c:v>
                </c:pt>
                <c:pt idx="133">
                  <c:v>3.3972000000000002</c:v>
                </c:pt>
                <c:pt idx="134">
                  <c:v>3.3848600000000002</c:v>
                </c:pt>
                <c:pt idx="135">
                  <c:v>3.3680099999999999</c:v>
                </c:pt>
                <c:pt idx="136">
                  <c:v>3.3492100000000002</c:v>
                </c:pt>
                <c:pt idx="137">
                  <c:v>3.3308200000000001</c:v>
                </c:pt>
                <c:pt idx="138">
                  <c:v>3.3098399999999999</c:v>
                </c:pt>
                <c:pt idx="139">
                  <c:v>3.2822800000000001</c:v>
                </c:pt>
                <c:pt idx="140">
                  <c:v>3.2459900000000004</c:v>
                </c:pt>
                <c:pt idx="141">
                  <c:v>3.2013500000000001</c:v>
                </c:pt>
                <c:pt idx="142">
                  <c:v>3.1584400000000001</c:v>
                </c:pt>
                <c:pt idx="143">
                  <c:v>3.11598</c:v>
                </c:pt>
                <c:pt idx="144">
                  <c:v>3.08474</c:v>
                </c:pt>
                <c:pt idx="145">
                  <c:v>3.0628300000000004</c:v>
                </c:pt>
                <c:pt idx="146">
                  <c:v>3.0418400000000001</c:v>
                </c:pt>
                <c:pt idx="147">
                  <c:v>3.0217100000000001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  <c:pt idx="74">
                  <c:v>29.043600000000001</c:v>
                </c:pt>
                <c:pt idx="75">
                  <c:v>28.270699999999998</c:v>
                </c:pt>
                <c:pt idx="76">
                  <c:v>27.545100000000001</c:v>
                </c:pt>
                <c:pt idx="77">
                  <c:v>26.832099999999997</c:v>
                </c:pt>
                <c:pt idx="78">
                  <c:v>26.112099999999998</c:v>
                </c:pt>
                <c:pt idx="79">
                  <c:v>25.413400000000003</c:v>
                </c:pt>
                <c:pt idx="80">
                  <c:v>24.840300000000003</c:v>
                </c:pt>
                <c:pt idx="81">
                  <c:v>24.351099999999999</c:v>
                </c:pt>
                <c:pt idx="82">
                  <c:v>23.985500000000002</c:v>
                </c:pt>
                <c:pt idx="83">
                  <c:v>23.666599999999999</c:v>
                </c:pt>
                <c:pt idx="84">
                  <c:v>23.379200000000001</c:v>
                </c:pt>
                <c:pt idx="85">
                  <c:v>23.096900000000002</c:v>
                </c:pt>
                <c:pt idx="86">
                  <c:v>22.827200000000001</c:v>
                </c:pt>
                <c:pt idx="87">
                  <c:v>22.5412</c:v>
                </c:pt>
                <c:pt idx="88">
                  <c:v>22.3306</c:v>
                </c:pt>
                <c:pt idx="89">
                  <c:v>22.0411</c:v>
                </c:pt>
                <c:pt idx="90">
                  <c:v>21.805700000000002</c:v>
                </c:pt>
                <c:pt idx="91">
                  <c:v>21.6206</c:v>
                </c:pt>
                <c:pt idx="92">
                  <c:v>21.444099999999999</c:v>
                </c:pt>
                <c:pt idx="93">
                  <c:v>21.241599999999998</c:v>
                </c:pt>
                <c:pt idx="94">
                  <c:v>21.0488</c:v>
                </c:pt>
                <c:pt idx="95">
                  <c:v>20.850999999999999</c:v>
                </c:pt>
                <c:pt idx="96">
                  <c:v>20.574300000000001</c:v>
                </c:pt>
                <c:pt idx="97">
                  <c:v>20.259499999999999</c:v>
                </c:pt>
                <c:pt idx="98">
                  <c:v>19.916900000000002</c:v>
                </c:pt>
                <c:pt idx="99">
                  <c:v>19.517599999999998</c:v>
                </c:pt>
                <c:pt idx="100">
                  <c:v>19.1661</c:v>
                </c:pt>
                <c:pt idx="101">
                  <c:v>18.904599999999999</c:v>
                </c:pt>
                <c:pt idx="102">
                  <c:v>18.657899999999998</c:v>
                </c:pt>
                <c:pt idx="103">
                  <c:v>18.492599999999999</c:v>
                </c:pt>
                <c:pt idx="104">
                  <c:v>18.404400000000003</c:v>
                </c:pt>
                <c:pt idx="105">
                  <c:v>18.3065</c:v>
                </c:pt>
                <c:pt idx="106">
                  <c:v>18.261500000000002</c:v>
                </c:pt>
                <c:pt idx="107">
                  <c:v>18.1874</c:v>
                </c:pt>
                <c:pt idx="108">
                  <c:v>18.082899999999999</c:v>
                </c:pt>
                <c:pt idx="109">
                  <c:v>17.9786</c:v>
                </c:pt>
                <c:pt idx="110">
                  <c:v>17.958600000000001</c:v>
                </c:pt>
                <c:pt idx="111">
                  <c:v>17.925699999999999</c:v>
                </c:pt>
                <c:pt idx="112">
                  <c:v>17.927199999999999</c:v>
                </c:pt>
                <c:pt idx="113">
                  <c:v>17.9162</c:v>
                </c:pt>
                <c:pt idx="114">
                  <c:v>17.9373</c:v>
                </c:pt>
                <c:pt idx="115">
                  <c:v>17.9693</c:v>
                </c:pt>
                <c:pt idx="116">
                  <c:v>18.0183</c:v>
                </c:pt>
                <c:pt idx="117">
                  <c:v>18.045999999999999</c:v>
                </c:pt>
                <c:pt idx="118">
                  <c:v>18.092099999999999</c:v>
                </c:pt>
                <c:pt idx="119">
                  <c:v>18.198499999999999</c:v>
                </c:pt>
                <c:pt idx="120">
                  <c:v>18.301100000000002</c:v>
                </c:pt>
                <c:pt idx="121">
                  <c:v>18.4786</c:v>
                </c:pt>
                <c:pt idx="122">
                  <c:v>18.750600000000002</c:v>
                </c:pt>
                <c:pt idx="123">
                  <c:v>19.0061</c:v>
                </c:pt>
                <c:pt idx="124">
                  <c:v>19.245200000000001</c:v>
                </c:pt>
                <c:pt idx="125">
                  <c:v>19.510300000000001</c:v>
                </c:pt>
                <c:pt idx="126">
                  <c:v>19.759399999999999</c:v>
                </c:pt>
                <c:pt idx="127">
                  <c:v>19.965599999999998</c:v>
                </c:pt>
                <c:pt idx="128">
                  <c:v>20.125699999999998</c:v>
                </c:pt>
                <c:pt idx="129">
                  <c:v>20.2605</c:v>
                </c:pt>
                <c:pt idx="130">
                  <c:v>20.373100000000001</c:v>
                </c:pt>
                <c:pt idx="131">
                  <c:v>20.437899999999999</c:v>
                </c:pt>
                <c:pt idx="132">
                  <c:v>20.527200000000001</c:v>
                </c:pt>
                <c:pt idx="133">
                  <c:v>20.696100000000001</c:v>
                </c:pt>
                <c:pt idx="134">
                  <c:v>20.933299999999999</c:v>
                </c:pt>
                <c:pt idx="135">
                  <c:v>21.167200000000001</c:v>
                </c:pt>
                <c:pt idx="136">
                  <c:v>21.427699999999998</c:v>
                </c:pt>
                <c:pt idx="137">
                  <c:v>21.625</c:v>
                </c:pt>
                <c:pt idx="138">
                  <c:v>21.874399999999998</c:v>
                </c:pt>
                <c:pt idx="139">
                  <c:v>22.260300000000001</c:v>
                </c:pt>
                <c:pt idx="140">
                  <c:v>22.7851</c:v>
                </c:pt>
                <c:pt idx="141">
                  <c:v>23.3902</c:v>
                </c:pt>
                <c:pt idx="142">
                  <c:v>24.1557</c:v>
                </c:pt>
                <c:pt idx="143">
                  <c:v>24.820500000000003</c:v>
                </c:pt>
                <c:pt idx="144">
                  <c:v>25.184800000000003</c:v>
                </c:pt>
                <c:pt idx="145">
                  <c:v>25.318000000000001</c:v>
                </c:pt>
                <c:pt idx="146">
                  <c:v>26.123100000000001</c:v>
                </c:pt>
                <c:pt idx="147">
                  <c:v>26.622899999999998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1.9736</c:v>
                </c:pt>
                <c:pt idx="1">
                  <c:v>2.05084</c:v>
                </c:pt>
                <c:pt idx="2">
                  <c:v>2.1245500000000002</c:v>
                </c:pt>
                <c:pt idx="3">
                  <c:v>2.1951700000000001</c:v>
                </c:pt>
                <c:pt idx="4">
                  <c:v>2.2627700000000002</c:v>
                </c:pt>
                <c:pt idx="5">
                  <c:v>2.32816</c:v>
                </c:pt>
                <c:pt idx="6">
                  <c:v>2.3932800000000003</c:v>
                </c:pt>
                <c:pt idx="7">
                  <c:v>2.4561299999999999</c:v>
                </c:pt>
                <c:pt idx="8">
                  <c:v>2.51552</c:v>
                </c:pt>
                <c:pt idx="9">
                  <c:v>2.5742599999999998</c:v>
                </c:pt>
                <c:pt idx="10">
                  <c:v>2.63395</c:v>
                </c:pt>
                <c:pt idx="11">
                  <c:v>2.6936300000000002</c:v>
                </c:pt>
                <c:pt idx="12">
                  <c:v>2.7539500000000001</c:v>
                </c:pt>
                <c:pt idx="13">
                  <c:v>2.81311</c:v>
                </c:pt>
                <c:pt idx="14">
                  <c:v>2.87263</c:v>
                </c:pt>
                <c:pt idx="15">
                  <c:v>2.9337200000000001</c:v>
                </c:pt>
                <c:pt idx="16">
                  <c:v>2.9898999999999996</c:v>
                </c:pt>
                <c:pt idx="17">
                  <c:v>3.0417100000000001</c:v>
                </c:pt>
                <c:pt idx="18">
                  <c:v>3.0883400000000001</c:v>
                </c:pt>
                <c:pt idx="19">
                  <c:v>3.1286300000000002</c:v>
                </c:pt>
                <c:pt idx="20">
                  <c:v>3.1635900000000001</c:v>
                </c:pt>
                <c:pt idx="21">
                  <c:v>3.19421</c:v>
                </c:pt>
                <c:pt idx="22">
                  <c:v>3.2189000000000001</c:v>
                </c:pt>
                <c:pt idx="23">
                  <c:v>3.2408199999999998</c:v>
                </c:pt>
                <c:pt idx="24">
                  <c:v>3.2595800000000001</c:v>
                </c:pt>
                <c:pt idx="25">
                  <c:v>3.2739099999999999</c:v>
                </c:pt>
                <c:pt idx="26">
                  <c:v>3.28674</c:v>
                </c:pt>
                <c:pt idx="27">
                  <c:v>3.3019400000000001</c:v>
                </c:pt>
                <c:pt idx="28">
                  <c:v>3.3176099999999997</c:v>
                </c:pt>
                <c:pt idx="29">
                  <c:v>3.33351</c:v>
                </c:pt>
                <c:pt idx="30">
                  <c:v>3.34965</c:v>
                </c:pt>
                <c:pt idx="31">
                  <c:v>3.36354</c:v>
                </c:pt>
                <c:pt idx="32">
                  <c:v>3.3734199999999999</c:v>
                </c:pt>
                <c:pt idx="33">
                  <c:v>3.3813599999999999</c:v>
                </c:pt>
                <c:pt idx="34">
                  <c:v>3.3871899999999999</c:v>
                </c:pt>
                <c:pt idx="35">
                  <c:v>3.3905099999999999</c:v>
                </c:pt>
                <c:pt idx="36">
                  <c:v>3.39181</c:v>
                </c:pt>
                <c:pt idx="37">
                  <c:v>3.38991</c:v>
                </c:pt>
                <c:pt idx="38">
                  <c:v>3.38483</c:v>
                </c:pt>
                <c:pt idx="39">
                  <c:v>3.37547</c:v>
                </c:pt>
                <c:pt idx="40">
                  <c:v>3.3629500000000001</c:v>
                </c:pt>
                <c:pt idx="41">
                  <c:v>3.3501700000000003</c:v>
                </c:pt>
                <c:pt idx="42">
                  <c:v>3.3372700000000002</c:v>
                </c:pt>
                <c:pt idx="43">
                  <c:v>3.3252999999999999</c:v>
                </c:pt>
                <c:pt idx="44">
                  <c:v>3.31454</c:v>
                </c:pt>
                <c:pt idx="45">
                  <c:v>3.3062300000000002</c:v>
                </c:pt>
                <c:pt idx="46">
                  <c:v>3.2970600000000001</c:v>
                </c:pt>
                <c:pt idx="47">
                  <c:v>3.2881800000000001</c:v>
                </c:pt>
                <c:pt idx="48">
                  <c:v>3.2799299999999998</c:v>
                </c:pt>
                <c:pt idx="49">
                  <c:v>3.2703700000000002</c:v>
                </c:pt>
                <c:pt idx="50">
                  <c:v>3.2649699999999999</c:v>
                </c:pt>
                <c:pt idx="51">
                  <c:v>3.2549600000000001</c:v>
                </c:pt>
                <c:pt idx="52">
                  <c:v>3.2434000000000003</c:v>
                </c:pt>
                <c:pt idx="53">
                  <c:v>3.2303700000000002</c:v>
                </c:pt>
                <c:pt idx="54">
                  <c:v>3.2147300000000003</c:v>
                </c:pt>
                <c:pt idx="55">
                  <c:v>3.1951299999999998</c:v>
                </c:pt>
                <c:pt idx="56">
                  <c:v>3.1746999999999996</c:v>
                </c:pt>
                <c:pt idx="57">
                  <c:v>3.1555599999999999</c:v>
                </c:pt>
                <c:pt idx="58">
                  <c:v>3.1367000000000003</c:v>
                </c:pt>
                <c:pt idx="59">
                  <c:v>3.11842</c:v>
                </c:pt>
                <c:pt idx="60">
                  <c:v>3.0988300000000004</c:v>
                </c:pt>
                <c:pt idx="61">
                  <c:v>3.0808400000000002</c:v>
                </c:pt>
                <c:pt idx="62">
                  <c:v>3.0629499999999998</c:v>
                </c:pt>
                <c:pt idx="63">
                  <c:v>3.04589</c:v>
                </c:pt>
                <c:pt idx="64">
                  <c:v>3.0300799999999999</c:v>
                </c:pt>
                <c:pt idx="65">
                  <c:v>3.0128899999999996</c:v>
                </c:pt>
                <c:pt idx="66">
                  <c:v>2.9965099999999998</c:v>
                </c:pt>
                <c:pt idx="67">
                  <c:v>2.9804900000000001</c:v>
                </c:pt>
                <c:pt idx="68">
                  <c:v>2.9671599999999998</c:v>
                </c:pt>
                <c:pt idx="69">
                  <c:v>2.9567100000000002</c:v>
                </c:pt>
                <c:pt idx="70">
                  <c:v>2.9487400000000004</c:v>
                </c:pt>
                <c:pt idx="71">
                  <c:v>2.9455499999999999</c:v>
                </c:pt>
                <c:pt idx="72">
                  <c:v>2.9456600000000002</c:v>
                </c:pt>
                <c:pt idx="73">
                  <c:v>2.9462699999999997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52.799799999999998</c:v>
                </c:pt>
                <c:pt idx="1">
                  <c:v>51.625600000000006</c:v>
                </c:pt>
                <c:pt idx="2">
                  <c:v>50.651500000000006</c:v>
                </c:pt>
                <c:pt idx="3">
                  <c:v>49.8827</c:v>
                </c:pt>
                <c:pt idx="4">
                  <c:v>49.203699999999998</c:v>
                </c:pt>
                <c:pt idx="5">
                  <c:v>48.619399999999999</c:v>
                </c:pt>
                <c:pt idx="6">
                  <c:v>48.096200000000003</c:v>
                </c:pt>
                <c:pt idx="7">
                  <c:v>47.540999999999997</c:v>
                </c:pt>
                <c:pt idx="8">
                  <c:v>47.023199999999996</c:v>
                </c:pt>
                <c:pt idx="9">
                  <c:v>46.523299999999999</c:v>
                </c:pt>
                <c:pt idx="10">
                  <c:v>45.9983</c:v>
                </c:pt>
                <c:pt idx="11">
                  <c:v>45.464100000000002</c:v>
                </c:pt>
                <c:pt idx="12">
                  <c:v>44.8626</c:v>
                </c:pt>
                <c:pt idx="13">
                  <c:v>44.192700000000002</c:v>
                </c:pt>
                <c:pt idx="14">
                  <c:v>43.381700000000002</c:v>
                </c:pt>
                <c:pt idx="15">
                  <c:v>42.442500000000003</c:v>
                </c:pt>
                <c:pt idx="16">
                  <c:v>41.576700000000002</c:v>
                </c:pt>
                <c:pt idx="17">
                  <c:v>40.791600000000003</c:v>
                </c:pt>
                <c:pt idx="18">
                  <c:v>40.156799999999997</c:v>
                </c:pt>
                <c:pt idx="19">
                  <c:v>39.5565</c:v>
                </c:pt>
                <c:pt idx="20">
                  <c:v>39.0901</c:v>
                </c:pt>
                <c:pt idx="21">
                  <c:v>38.636099999999999</c:v>
                </c:pt>
                <c:pt idx="22">
                  <c:v>38.127800000000001</c:v>
                </c:pt>
                <c:pt idx="23">
                  <c:v>37.650700000000001</c:v>
                </c:pt>
                <c:pt idx="24">
                  <c:v>37.162299999999995</c:v>
                </c:pt>
                <c:pt idx="25">
                  <c:v>36.726799999999997</c:v>
                </c:pt>
                <c:pt idx="26">
                  <c:v>36.326099999999997</c:v>
                </c:pt>
                <c:pt idx="27">
                  <c:v>35.920699999999997</c:v>
                </c:pt>
                <c:pt idx="28">
                  <c:v>35.519600000000004</c:v>
                </c:pt>
                <c:pt idx="29">
                  <c:v>35.126200000000004</c:v>
                </c:pt>
                <c:pt idx="30">
                  <c:v>34.741699999999994</c:v>
                </c:pt>
                <c:pt idx="31">
                  <c:v>34.3735</c:v>
                </c:pt>
                <c:pt idx="32">
                  <c:v>34.055700000000002</c:v>
                </c:pt>
                <c:pt idx="33">
                  <c:v>33.757300000000001</c:v>
                </c:pt>
                <c:pt idx="34">
                  <c:v>33.5</c:v>
                </c:pt>
                <c:pt idx="35">
                  <c:v>33.277200000000001</c:v>
                </c:pt>
                <c:pt idx="36">
                  <c:v>33.098499999999994</c:v>
                </c:pt>
                <c:pt idx="37">
                  <c:v>32.956800000000001</c:v>
                </c:pt>
                <c:pt idx="38">
                  <c:v>32.899699999999996</c:v>
                </c:pt>
                <c:pt idx="39">
                  <c:v>32.929600000000001</c:v>
                </c:pt>
                <c:pt idx="40">
                  <c:v>33.0289</c:v>
                </c:pt>
                <c:pt idx="41">
                  <c:v>33.128500000000003</c:v>
                </c:pt>
                <c:pt idx="42">
                  <c:v>33.182200000000002</c:v>
                </c:pt>
                <c:pt idx="43">
                  <c:v>33.146700000000003</c:v>
                </c:pt>
                <c:pt idx="44">
                  <c:v>33.143899999999995</c:v>
                </c:pt>
                <c:pt idx="45">
                  <c:v>33.1173</c:v>
                </c:pt>
                <c:pt idx="46">
                  <c:v>33.120800000000003</c:v>
                </c:pt>
                <c:pt idx="47">
                  <c:v>33.177399999999999</c:v>
                </c:pt>
                <c:pt idx="48">
                  <c:v>33.258500000000005</c:v>
                </c:pt>
                <c:pt idx="49">
                  <c:v>33.342799999999997</c:v>
                </c:pt>
                <c:pt idx="50">
                  <c:v>33.385199999999998</c:v>
                </c:pt>
                <c:pt idx="51">
                  <c:v>33.435700000000004</c:v>
                </c:pt>
                <c:pt idx="52">
                  <c:v>33.530500000000004</c:v>
                </c:pt>
                <c:pt idx="53">
                  <c:v>33.592700000000001</c:v>
                </c:pt>
                <c:pt idx="54">
                  <c:v>33.609400000000001</c:v>
                </c:pt>
                <c:pt idx="55">
                  <c:v>33.621699999999997</c:v>
                </c:pt>
                <c:pt idx="56">
                  <c:v>33.591100000000004</c:v>
                </c:pt>
                <c:pt idx="57">
                  <c:v>33.44</c:v>
                </c:pt>
                <c:pt idx="58">
                  <c:v>33.235599999999998</c:v>
                </c:pt>
                <c:pt idx="59">
                  <c:v>32.949400000000004</c:v>
                </c:pt>
                <c:pt idx="60">
                  <c:v>32.675199999999997</c:v>
                </c:pt>
                <c:pt idx="61">
                  <c:v>32.378900000000002</c:v>
                </c:pt>
                <c:pt idx="62">
                  <c:v>32.120800000000003</c:v>
                </c:pt>
                <c:pt idx="63">
                  <c:v>31.870100000000001</c:v>
                </c:pt>
                <c:pt idx="64">
                  <c:v>31.618200000000002</c:v>
                </c:pt>
                <c:pt idx="65">
                  <c:v>31.4712</c:v>
                </c:pt>
                <c:pt idx="66">
                  <c:v>31.325799999999997</c:v>
                </c:pt>
                <c:pt idx="67">
                  <c:v>31.188500000000001</c:v>
                </c:pt>
                <c:pt idx="68">
                  <c:v>31.113700000000001</c:v>
                </c:pt>
                <c:pt idx="69">
                  <c:v>30.975200000000001</c:v>
                </c:pt>
                <c:pt idx="70">
                  <c:v>30.742399999999996</c:v>
                </c:pt>
                <c:pt idx="71">
                  <c:v>30.403500000000001</c:v>
                </c:pt>
                <c:pt idx="72">
                  <c:v>29.993399999999998</c:v>
                </c:pt>
                <c:pt idx="73">
                  <c:v>29.531000000000002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2.9462699999999997</c:v>
                </c:pt>
                <c:pt idx="1">
                  <c:v>2.9511500000000002</c:v>
                </c:pt>
                <c:pt idx="2">
                  <c:v>2.96638</c:v>
                </c:pt>
                <c:pt idx="3">
                  <c:v>2.9753000000000003</c:v>
                </c:pt>
                <c:pt idx="4">
                  <c:v>2.9868399999999999</c:v>
                </c:pt>
                <c:pt idx="5">
                  <c:v>3.0014400000000001</c:v>
                </c:pt>
                <c:pt idx="6">
                  <c:v>3.0175299999999998</c:v>
                </c:pt>
                <c:pt idx="7">
                  <c:v>3.0304199999999999</c:v>
                </c:pt>
                <c:pt idx="8">
                  <c:v>3.0454699999999999</c:v>
                </c:pt>
                <c:pt idx="9">
                  <c:v>3.0617000000000001</c:v>
                </c:pt>
                <c:pt idx="10">
                  <c:v>3.0798999999999999</c:v>
                </c:pt>
                <c:pt idx="11">
                  <c:v>3.0989299999999997</c:v>
                </c:pt>
                <c:pt idx="12">
                  <c:v>3.1156299999999999</c:v>
                </c:pt>
                <c:pt idx="13">
                  <c:v>3.1342500000000002</c:v>
                </c:pt>
                <c:pt idx="14">
                  <c:v>3.15455</c:v>
                </c:pt>
                <c:pt idx="15">
                  <c:v>3.17245</c:v>
                </c:pt>
                <c:pt idx="16">
                  <c:v>3.1911099999999997</c:v>
                </c:pt>
                <c:pt idx="17">
                  <c:v>3.2070500000000002</c:v>
                </c:pt>
                <c:pt idx="18">
                  <c:v>3.2227499999999996</c:v>
                </c:pt>
                <c:pt idx="19">
                  <c:v>3.2385199999999998</c:v>
                </c:pt>
                <c:pt idx="20">
                  <c:v>3.2550299999999996</c:v>
                </c:pt>
                <c:pt idx="21">
                  <c:v>3.2702599999999999</c:v>
                </c:pt>
                <c:pt idx="22">
                  <c:v>3.2863100000000003</c:v>
                </c:pt>
                <c:pt idx="23">
                  <c:v>3.2972400000000004</c:v>
                </c:pt>
                <c:pt idx="24">
                  <c:v>3.30749</c:v>
                </c:pt>
                <c:pt idx="25">
                  <c:v>3.3161700000000001</c:v>
                </c:pt>
                <c:pt idx="26">
                  <c:v>3.3249899999999997</c:v>
                </c:pt>
                <c:pt idx="27">
                  <c:v>3.3323299999999998</c:v>
                </c:pt>
                <c:pt idx="28">
                  <c:v>3.3354400000000002</c:v>
                </c:pt>
                <c:pt idx="29">
                  <c:v>3.3378299999999999</c:v>
                </c:pt>
                <c:pt idx="30">
                  <c:v>3.33866</c:v>
                </c:pt>
                <c:pt idx="31">
                  <c:v>3.3433600000000001</c:v>
                </c:pt>
                <c:pt idx="32">
                  <c:v>3.3532000000000002</c:v>
                </c:pt>
                <c:pt idx="33">
                  <c:v>3.36381</c:v>
                </c:pt>
                <c:pt idx="34">
                  <c:v>3.3751799999999998</c:v>
                </c:pt>
                <c:pt idx="35">
                  <c:v>3.38605</c:v>
                </c:pt>
                <c:pt idx="36">
                  <c:v>3.3976800000000003</c:v>
                </c:pt>
                <c:pt idx="37">
                  <c:v>3.41256</c:v>
                </c:pt>
                <c:pt idx="38">
                  <c:v>3.4250699999999998</c:v>
                </c:pt>
                <c:pt idx="39">
                  <c:v>3.4346900000000002</c:v>
                </c:pt>
                <c:pt idx="40">
                  <c:v>3.4461000000000004</c:v>
                </c:pt>
                <c:pt idx="41">
                  <c:v>3.4560600000000004</c:v>
                </c:pt>
                <c:pt idx="42">
                  <c:v>3.4689300000000003</c:v>
                </c:pt>
                <c:pt idx="43">
                  <c:v>3.4805399999999995</c:v>
                </c:pt>
                <c:pt idx="44">
                  <c:v>3.4874000000000001</c:v>
                </c:pt>
                <c:pt idx="45">
                  <c:v>3.48766</c:v>
                </c:pt>
                <c:pt idx="46">
                  <c:v>3.4819800000000001</c:v>
                </c:pt>
                <c:pt idx="47">
                  <c:v>3.4693299999999998</c:v>
                </c:pt>
                <c:pt idx="48">
                  <c:v>3.4560900000000001</c:v>
                </c:pt>
                <c:pt idx="49">
                  <c:v>3.4409200000000002</c:v>
                </c:pt>
                <c:pt idx="50">
                  <c:v>3.4331699999999996</c:v>
                </c:pt>
                <c:pt idx="51">
                  <c:v>3.43099</c:v>
                </c:pt>
                <c:pt idx="52">
                  <c:v>3.4285800000000002</c:v>
                </c:pt>
                <c:pt idx="53">
                  <c:v>3.4295799999999996</c:v>
                </c:pt>
                <c:pt idx="54">
                  <c:v>3.4295100000000001</c:v>
                </c:pt>
                <c:pt idx="55">
                  <c:v>3.4289900000000002</c:v>
                </c:pt>
                <c:pt idx="56">
                  <c:v>3.4256500000000001</c:v>
                </c:pt>
                <c:pt idx="57">
                  <c:v>3.4200699999999999</c:v>
                </c:pt>
                <c:pt idx="58">
                  <c:v>3.41412</c:v>
                </c:pt>
                <c:pt idx="59">
                  <c:v>3.4064800000000002</c:v>
                </c:pt>
                <c:pt idx="60">
                  <c:v>3.3972000000000002</c:v>
                </c:pt>
                <c:pt idx="61">
                  <c:v>3.3848600000000002</c:v>
                </c:pt>
                <c:pt idx="62">
                  <c:v>3.3680099999999999</c:v>
                </c:pt>
                <c:pt idx="63">
                  <c:v>3.3492100000000002</c:v>
                </c:pt>
                <c:pt idx="64">
                  <c:v>3.3308200000000001</c:v>
                </c:pt>
                <c:pt idx="65">
                  <c:v>3.3098399999999999</c:v>
                </c:pt>
                <c:pt idx="66">
                  <c:v>3.2822800000000001</c:v>
                </c:pt>
                <c:pt idx="67">
                  <c:v>3.2459900000000004</c:v>
                </c:pt>
                <c:pt idx="68">
                  <c:v>3.2013500000000001</c:v>
                </c:pt>
                <c:pt idx="69">
                  <c:v>3.1584400000000001</c:v>
                </c:pt>
                <c:pt idx="70">
                  <c:v>3.11598</c:v>
                </c:pt>
                <c:pt idx="71">
                  <c:v>3.08474</c:v>
                </c:pt>
                <c:pt idx="72">
                  <c:v>3.0628300000000004</c:v>
                </c:pt>
                <c:pt idx="73">
                  <c:v>3.0418400000000001</c:v>
                </c:pt>
                <c:pt idx="74">
                  <c:v>3.0217100000000001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29.531000000000002</c:v>
                </c:pt>
                <c:pt idx="1">
                  <c:v>29.043600000000001</c:v>
                </c:pt>
                <c:pt idx="2">
                  <c:v>28.270699999999998</c:v>
                </c:pt>
                <c:pt idx="3">
                  <c:v>27.545100000000001</c:v>
                </c:pt>
                <c:pt idx="4">
                  <c:v>26.832099999999997</c:v>
                </c:pt>
                <c:pt idx="5">
                  <c:v>26.112099999999998</c:v>
                </c:pt>
                <c:pt idx="6">
                  <c:v>25.413400000000003</c:v>
                </c:pt>
                <c:pt idx="7">
                  <c:v>24.840300000000003</c:v>
                </c:pt>
                <c:pt idx="8">
                  <c:v>24.351099999999999</c:v>
                </c:pt>
                <c:pt idx="9">
                  <c:v>23.985500000000002</c:v>
                </c:pt>
                <c:pt idx="10">
                  <c:v>23.666599999999999</c:v>
                </c:pt>
                <c:pt idx="11">
                  <c:v>23.379200000000001</c:v>
                </c:pt>
                <c:pt idx="12">
                  <c:v>23.096900000000002</c:v>
                </c:pt>
                <c:pt idx="13">
                  <c:v>22.827200000000001</c:v>
                </c:pt>
                <c:pt idx="14">
                  <c:v>22.5412</c:v>
                </c:pt>
                <c:pt idx="15">
                  <c:v>22.3306</c:v>
                </c:pt>
                <c:pt idx="16">
                  <c:v>22.0411</c:v>
                </c:pt>
                <c:pt idx="17">
                  <c:v>21.805700000000002</c:v>
                </c:pt>
                <c:pt idx="18">
                  <c:v>21.6206</c:v>
                </c:pt>
                <c:pt idx="19">
                  <c:v>21.444099999999999</c:v>
                </c:pt>
                <c:pt idx="20">
                  <c:v>21.241599999999998</c:v>
                </c:pt>
                <c:pt idx="21">
                  <c:v>21.0488</c:v>
                </c:pt>
                <c:pt idx="22">
                  <c:v>20.850999999999999</c:v>
                </c:pt>
                <c:pt idx="23">
                  <c:v>20.574300000000001</c:v>
                </c:pt>
                <c:pt idx="24">
                  <c:v>20.259499999999999</c:v>
                </c:pt>
                <c:pt idx="25">
                  <c:v>19.916900000000002</c:v>
                </c:pt>
                <c:pt idx="26">
                  <c:v>19.517599999999998</c:v>
                </c:pt>
                <c:pt idx="27">
                  <c:v>19.1661</c:v>
                </c:pt>
                <c:pt idx="28">
                  <c:v>18.904599999999999</c:v>
                </c:pt>
                <c:pt idx="29">
                  <c:v>18.657899999999998</c:v>
                </c:pt>
                <c:pt idx="30">
                  <c:v>18.492599999999999</c:v>
                </c:pt>
                <c:pt idx="31">
                  <c:v>18.404400000000003</c:v>
                </c:pt>
                <c:pt idx="32">
                  <c:v>18.3065</c:v>
                </c:pt>
                <c:pt idx="33">
                  <c:v>18.261500000000002</c:v>
                </c:pt>
                <c:pt idx="34">
                  <c:v>18.1874</c:v>
                </c:pt>
                <c:pt idx="35">
                  <c:v>18.082899999999999</c:v>
                </c:pt>
                <c:pt idx="36">
                  <c:v>17.9786</c:v>
                </c:pt>
                <c:pt idx="37">
                  <c:v>17.958600000000001</c:v>
                </c:pt>
                <c:pt idx="38">
                  <c:v>17.925699999999999</c:v>
                </c:pt>
                <c:pt idx="39">
                  <c:v>17.927199999999999</c:v>
                </c:pt>
                <c:pt idx="40">
                  <c:v>17.9162</c:v>
                </c:pt>
                <c:pt idx="41">
                  <c:v>17.9373</c:v>
                </c:pt>
                <c:pt idx="42">
                  <c:v>17.9693</c:v>
                </c:pt>
                <c:pt idx="43">
                  <c:v>18.0183</c:v>
                </c:pt>
                <c:pt idx="44">
                  <c:v>18.045999999999999</c:v>
                </c:pt>
                <c:pt idx="45">
                  <c:v>18.092099999999999</c:v>
                </c:pt>
                <c:pt idx="46">
                  <c:v>18.198499999999999</c:v>
                </c:pt>
                <c:pt idx="47">
                  <c:v>18.301100000000002</c:v>
                </c:pt>
                <c:pt idx="48">
                  <c:v>18.4786</c:v>
                </c:pt>
                <c:pt idx="49">
                  <c:v>18.750600000000002</c:v>
                </c:pt>
                <c:pt idx="50">
                  <c:v>19.0061</c:v>
                </c:pt>
                <c:pt idx="51">
                  <c:v>19.245200000000001</c:v>
                </c:pt>
                <c:pt idx="52">
                  <c:v>19.510300000000001</c:v>
                </c:pt>
                <c:pt idx="53">
                  <c:v>19.759399999999999</c:v>
                </c:pt>
                <c:pt idx="54">
                  <c:v>19.965599999999998</c:v>
                </c:pt>
                <c:pt idx="55">
                  <c:v>20.125699999999998</c:v>
                </c:pt>
                <c:pt idx="56">
                  <c:v>20.2605</c:v>
                </c:pt>
                <c:pt idx="57">
                  <c:v>20.373100000000001</c:v>
                </c:pt>
                <c:pt idx="58">
                  <c:v>20.437899999999999</c:v>
                </c:pt>
                <c:pt idx="59">
                  <c:v>20.527200000000001</c:v>
                </c:pt>
                <c:pt idx="60">
                  <c:v>20.696100000000001</c:v>
                </c:pt>
                <c:pt idx="61">
                  <c:v>20.933299999999999</c:v>
                </c:pt>
                <c:pt idx="62">
                  <c:v>21.167200000000001</c:v>
                </c:pt>
                <c:pt idx="63">
                  <c:v>21.427699999999998</c:v>
                </c:pt>
                <c:pt idx="64">
                  <c:v>21.625</c:v>
                </c:pt>
                <c:pt idx="65">
                  <c:v>21.874399999999998</c:v>
                </c:pt>
                <c:pt idx="66">
                  <c:v>22.260300000000001</c:v>
                </c:pt>
                <c:pt idx="67">
                  <c:v>22.7851</c:v>
                </c:pt>
                <c:pt idx="68">
                  <c:v>23.3902</c:v>
                </c:pt>
                <c:pt idx="69">
                  <c:v>24.1557</c:v>
                </c:pt>
                <c:pt idx="70">
                  <c:v>24.820500000000003</c:v>
                </c:pt>
                <c:pt idx="71">
                  <c:v>25.184800000000003</c:v>
                </c:pt>
                <c:pt idx="72">
                  <c:v>25.318000000000001</c:v>
                </c:pt>
                <c:pt idx="73">
                  <c:v>26.123100000000001</c:v>
                </c:pt>
                <c:pt idx="74">
                  <c:v>26.622899999999998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1.9736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52.799799999999998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3.0451602702702694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36.888006756756766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3.281377972972972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21.244785135135132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3.281377972972972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21.244785135135132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516</v>
      </c>
      <c r="D5" s="151"/>
      <c r="E5" s="151"/>
      <c r="F5" s="152"/>
      <c r="G5" s="48" t="str">
        <f>lang!B27</f>
        <v>编号</v>
      </c>
      <c r="H5" s="150">
        <v>36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515</v>
      </c>
      <c r="D6" s="188"/>
      <c r="E6" s="188"/>
      <c r="F6" s="189"/>
      <c r="G6" s="49" t="str">
        <f>lang!B28</f>
        <v xml:space="preserve"> 日期</v>
      </c>
      <c r="H6" s="172">
        <f>FH_info!A2</f>
        <v>43607.470625000002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22</v>
      </c>
      <c r="D7" s="191"/>
      <c r="E7" s="191"/>
      <c r="F7" s="192"/>
      <c r="G7" s="50" t="str">
        <f>lang!B29</f>
        <v>误差率（%）</v>
      </c>
      <c r="H7" s="175">
        <f>M!B17*1</f>
        <v>15.757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44.485300000000002</v>
      </c>
      <c r="O8" s="59">
        <f>M!C5*1</f>
        <v>9.8618000000000006</v>
      </c>
      <c r="P8" s="59">
        <f>M!D5*1</f>
        <v>22.168700000000001</v>
      </c>
      <c r="Q8" s="59">
        <f>M!E5*1</f>
        <v>20</v>
      </c>
      <c r="R8" s="59">
        <f>M!F5*1</f>
        <v>11.580399999999999</v>
      </c>
      <c r="S8" s="59">
        <f>M!G5*1</f>
        <v>50</v>
      </c>
      <c r="T8" s="59">
        <f>M!H5*1</f>
        <v>55.868499999999997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32.603299999999997</v>
      </c>
      <c r="O9" s="59">
        <f>M!C6*1</f>
        <v>3.6087500000000001</v>
      </c>
      <c r="P9" s="59">
        <f>M!D6*1</f>
        <v>11.0686</v>
      </c>
      <c r="Q9" s="59">
        <f>M!E6*1</f>
        <v>20</v>
      </c>
      <c r="R9" s="59">
        <f>M!F6*1</f>
        <v>27.623000000000001</v>
      </c>
      <c r="S9" s="59">
        <f>M!G6*1</f>
        <v>40</v>
      </c>
      <c r="T9" s="59">
        <f>M!H6*1</f>
        <v>41.248100000000001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11.580399999999999</v>
      </c>
      <c r="D10" s="99">
        <f>N8</f>
        <v>44.485300000000002</v>
      </c>
      <c r="E10" s="100">
        <f>T8</f>
        <v>55.868499999999997</v>
      </c>
      <c r="F10" s="91">
        <f>P8</f>
        <v>22.168700000000001</v>
      </c>
      <c r="G10" s="81" t="str">
        <f>CONCATENATE(M9,"
(20 ~ 40)")</f>
        <v>压力
(20 ~ 40)</v>
      </c>
      <c r="H10" s="98">
        <f>R9</f>
        <v>27.623000000000001</v>
      </c>
      <c r="I10" s="108">
        <f>N9</f>
        <v>32.603299999999997</v>
      </c>
      <c r="J10" s="98">
        <f>T9</f>
        <v>41.248100000000001</v>
      </c>
      <c r="K10" s="92">
        <f>P9</f>
        <v>11.0686</v>
      </c>
      <c r="L10" s="6"/>
      <c r="M10" s="27" t="str">
        <f>lang!B16</f>
        <v>焦虑</v>
      </c>
      <c r="N10" s="59">
        <f>M!B7*1</f>
        <v>25.109100000000002</v>
      </c>
      <c r="O10" s="59">
        <f>M!C7*1</f>
        <v>3.5341399999999998</v>
      </c>
      <c r="P10" s="59">
        <f>M!D7*1</f>
        <v>14.075100000000001</v>
      </c>
      <c r="Q10" s="59">
        <f>M!E7*1</f>
        <v>15</v>
      </c>
      <c r="R10" s="59">
        <f>M!F7*1</f>
        <v>9.4627300000000005</v>
      </c>
      <c r="S10" s="59">
        <f>M!G7*1</f>
        <v>40</v>
      </c>
      <c r="T10" s="59">
        <f>M!H7*1</f>
        <v>40.196100000000001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9.4627300000000005</v>
      </c>
      <c r="D11" s="102">
        <f>N10</f>
        <v>25.109100000000002</v>
      </c>
      <c r="E11" s="103">
        <f>T10</f>
        <v>40.196100000000001</v>
      </c>
      <c r="F11" s="94">
        <f>P10</f>
        <v>14.075100000000001</v>
      </c>
      <c r="G11" s="52" t="str">
        <f>CONCATENATE(M11,"
(20 ~ 50)")</f>
        <v>可疑
(20 ~ 50)</v>
      </c>
      <c r="H11" s="101">
        <f>R11</f>
        <v>21.052199999999999</v>
      </c>
      <c r="I11" s="104">
        <f>N11</f>
        <v>34.116199999999999</v>
      </c>
      <c r="J11" s="101">
        <f>T11</f>
        <v>39.886400000000002</v>
      </c>
      <c r="K11" s="95">
        <f>P11</f>
        <v>12.763</v>
      </c>
      <c r="L11" s="4"/>
      <c r="M11" s="27" t="str">
        <f>lang!B17</f>
        <v>可疑</v>
      </c>
      <c r="N11" s="59">
        <f>M!B8*1</f>
        <v>34.116199999999999</v>
      </c>
      <c r="O11" s="59">
        <f>M!C8*1</f>
        <v>4.3542500000000004</v>
      </c>
      <c r="P11" s="59">
        <f>M!D8*1</f>
        <v>12.763</v>
      </c>
      <c r="Q11" s="59">
        <f>M!E8*1</f>
        <v>20</v>
      </c>
      <c r="R11" s="59">
        <f>M!F8*1</f>
        <v>21.052199999999999</v>
      </c>
      <c r="S11" s="59">
        <f>M!G8*1</f>
        <v>50</v>
      </c>
      <c r="T11" s="59">
        <f>M!H8*1</f>
        <v>39.886400000000002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47.9621</v>
      </c>
      <c r="D12" s="104">
        <f>N12</f>
        <v>66.27</v>
      </c>
      <c r="E12" s="101">
        <f>T12</f>
        <v>82.589200000000005</v>
      </c>
      <c r="F12" s="93">
        <f>P12</f>
        <v>8.4378600000000006</v>
      </c>
      <c r="G12" s="52" t="str">
        <f>CONCATENATE(M13,"
(40 ~ 100)")</f>
        <v>自信
(40 ~ 100)</v>
      </c>
      <c r="H12" s="101">
        <f>R13</f>
        <v>50.555999999999997</v>
      </c>
      <c r="I12" s="104">
        <f>N13</f>
        <v>74.9679</v>
      </c>
      <c r="J12" s="101">
        <f>T13</f>
        <v>81.136600000000001</v>
      </c>
      <c r="K12" s="95">
        <f>P13</f>
        <v>12.531700000000001</v>
      </c>
      <c r="L12" s="4"/>
      <c r="M12" s="27" t="str">
        <f>lang!B18</f>
        <v>平衡</v>
      </c>
      <c r="N12" s="59">
        <f>M!B9*1</f>
        <v>66.27</v>
      </c>
      <c r="O12" s="59">
        <f>M!C9*1</f>
        <v>5.5917700000000004</v>
      </c>
      <c r="P12" s="59">
        <f>M!D9*1</f>
        <v>8.4378600000000006</v>
      </c>
      <c r="Q12" s="59">
        <f>M!E9*1</f>
        <v>50</v>
      </c>
      <c r="R12" s="59">
        <f>M!F9*1</f>
        <v>47.9621</v>
      </c>
      <c r="S12" s="59">
        <f>M!G9*1</f>
        <v>100</v>
      </c>
      <c r="T12" s="59">
        <f>M!H9*1</f>
        <v>82.589200000000005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6.0229400000000002</v>
      </c>
      <c r="D13" s="102">
        <f>N14</f>
        <v>17.669699999999999</v>
      </c>
      <c r="E13" s="103">
        <f>T14</f>
        <v>21.7499</v>
      </c>
      <c r="F13" s="94">
        <f>P14</f>
        <v>19.598700000000001</v>
      </c>
      <c r="G13" s="52" t="str">
        <f>CONCATENATE(M15,"
(50 ~ 100)")</f>
        <v>自我调节
(50 ~ 100)</v>
      </c>
      <c r="H13" s="101">
        <f>R15</f>
        <v>55.8262</v>
      </c>
      <c r="I13" s="104">
        <f>N15</f>
        <v>69.589399999999998</v>
      </c>
      <c r="J13" s="101">
        <f>T15</f>
        <v>78.660899999999998</v>
      </c>
      <c r="K13" s="95">
        <f>P15</f>
        <v>8.2342899999999997</v>
      </c>
      <c r="L13" s="4"/>
      <c r="M13" s="27" t="str">
        <f>lang!B19</f>
        <v>自信</v>
      </c>
      <c r="N13" s="59">
        <f>M!B10*1</f>
        <v>74.9679</v>
      </c>
      <c r="O13" s="59">
        <f>M!C10*1</f>
        <v>9.3947900000000004</v>
      </c>
      <c r="P13" s="59">
        <f>M!D10*1</f>
        <v>12.531700000000001</v>
      </c>
      <c r="Q13" s="59">
        <f>M!E10*1</f>
        <v>40</v>
      </c>
      <c r="R13" s="59">
        <f>M!F10*1</f>
        <v>50.555999999999997</v>
      </c>
      <c r="S13" s="59">
        <f>M!G10*1</f>
        <v>100</v>
      </c>
      <c r="T13" s="59">
        <f>M!H10*1</f>
        <v>81.136600000000001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13.5215</v>
      </c>
      <c r="D14" s="106">
        <f>N16</f>
        <v>20.261700000000001</v>
      </c>
      <c r="E14" s="107">
        <f>T16</f>
        <v>28.265499999999999</v>
      </c>
      <c r="F14" s="96">
        <f>P16</f>
        <v>15.514799999999999</v>
      </c>
      <c r="G14" s="112" t="str">
        <f>CONCATENATE(M17,"
(10 ~ 50)")</f>
        <v>神经质
(10 ~ 50)</v>
      </c>
      <c r="H14" s="105">
        <f>R17</f>
        <v>2.7517499999999999</v>
      </c>
      <c r="I14" s="106">
        <f>N17</f>
        <v>31.435600000000001</v>
      </c>
      <c r="J14" s="107">
        <f>T17</f>
        <v>36.3795</v>
      </c>
      <c r="K14" s="97">
        <f>P17</f>
        <v>33.1768</v>
      </c>
      <c r="M14" s="27" t="str">
        <f>lang!B20</f>
        <v>活力</v>
      </c>
      <c r="N14" s="59">
        <f>M!B11*1</f>
        <v>17.669699999999999</v>
      </c>
      <c r="O14" s="59">
        <f>M!C11*1</f>
        <v>3.4630399999999999</v>
      </c>
      <c r="P14" s="59">
        <f>M!D11*1</f>
        <v>19.598700000000001</v>
      </c>
      <c r="Q14" s="59">
        <f>M!E11*1</f>
        <v>10</v>
      </c>
      <c r="R14" s="59">
        <f>M!F11*1</f>
        <v>6.0229400000000002</v>
      </c>
      <c r="S14" s="59">
        <f>M!G11*1</f>
        <v>50</v>
      </c>
      <c r="T14" s="59">
        <f>M!H11*1</f>
        <v>21.7499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69.589399999999998</v>
      </c>
      <c r="O15" s="59">
        <f>M!C12*1</f>
        <v>5.7301900000000003</v>
      </c>
      <c r="P15" s="59">
        <f>M!D12*1</f>
        <v>8.2342899999999997</v>
      </c>
      <c r="Q15" s="59">
        <f>M!E12*1</f>
        <v>50</v>
      </c>
      <c r="R15" s="59">
        <f>M!F12*1</f>
        <v>55.8262</v>
      </c>
      <c r="S15" s="59">
        <f>M!G12*1</f>
        <v>100</v>
      </c>
      <c r="T15" s="59">
        <f>M!H12*1</f>
        <v>78.660899999999998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20.261700000000001</v>
      </c>
      <c r="O16" s="59">
        <f>M!C13*1</f>
        <v>3.1435599999999999</v>
      </c>
      <c r="P16" s="59">
        <f>M!D13*1</f>
        <v>15.514799999999999</v>
      </c>
      <c r="Q16" s="59">
        <f>M!E13*1</f>
        <v>10</v>
      </c>
      <c r="R16" s="59">
        <f>M!F13*1</f>
        <v>13.5215</v>
      </c>
      <c r="S16" s="59">
        <f>M!G13*1</f>
        <v>25</v>
      </c>
      <c r="T16" s="59">
        <f>M!H13*1</f>
        <v>28.265499999999999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31.435600000000001</v>
      </c>
      <c r="O17" s="59">
        <f>M!C14*1</f>
        <v>10.4293</v>
      </c>
      <c r="P17" s="59">
        <f>M!D14*1</f>
        <v>33.1768</v>
      </c>
      <c r="Q17" s="59">
        <f>M!E14*1</f>
        <v>10</v>
      </c>
      <c r="R17" s="59">
        <f>M!F14*1</f>
        <v>2.7517499999999999</v>
      </c>
      <c r="S17" s="59">
        <f>M!G14*1</f>
        <v>50</v>
      </c>
      <c r="T17" s="59">
        <f>M!H14*1</f>
        <v>36.3795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57.124250000000004</v>
      </c>
      <c r="O18" s="22">
        <f>N18/(N18+N19+N20)</f>
        <v>0.48802715901457799</v>
      </c>
      <c r="P18" s="65">
        <f>SUM(P12:P15)/4</f>
        <v>12.200637500000001</v>
      </c>
      <c r="Q18" s="22">
        <f>P18/(P18+P19+P20)</f>
        <v>0.2366056331984962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34.078474999999997</v>
      </c>
      <c r="O19" s="22">
        <f>N19/(N18+N19+N20)</f>
        <v>0.29114117625700675</v>
      </c>
      <c r="P19" s="18">
        <f>SUM(P8:P11)/4</f>
        <v>15.01885</v>
      </c>
      <c r="Q19" s="22">
        <f>P19/(P18+P19+P20)</f>
        <v>0.2912589210328751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25.848649999999999</v>
      </c>
      <c r="O20" s="22">
        <f>N20/(N18+N19+N20)</f>
        <v>0.22083166472841517</v>
      </c>
      <c r="P20" s="18">
        <f>(P16+P17)/2</f>
        <v>24.345800000000001</v>
      </c>
      <c r="Q20" s="22">
        <f>P20/(P18+P19+P20)</f>
        <v>0.47213544576862881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-0.1800539864864866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1.5267353481215851</v>
      </c>
      <c r="D25" s="44" t="str">
        <f>lang!B11</f>
        <v>频率方差</v>
      </c>
      <c r="E25" s="142">
        <f ca="1">FH!L3</f>
        <v>0.72051703452864158</v>
      </c>
      <c r="F25" s="143"/>
      <c r="G25" s="134" t="str">
        <f>lang!B12</f>
        <v>生理变化率</v>
      </c>
      <c r="H25" s="135"/>
      <c r="I25" s="62" t="str">
        <f ca="1">CONCATENATE(info!M7,"-",info!M8)</f>
        <v>17.9-52.8</v>
      </c>
      <c r="J25" s="42" t="str">
        <f>lang!B13</f>
        <v>千卡l/分钟</v>
      </c>
      <c r="K25" s="41" t="str">
        <f ca="1">CONCATENATE(info!M5,"-",info!M6)</f>
        <v>2-3.5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44.031999999999996</v>
      </c>
      <c r="F28" s="164"/>
      <c r="G28" s="178" t="str">
        <f>lang!B33</f>
        <v>稳定性</v>
      </c>
      <c r="H28" s="179"/>
      <c r="I28" s="180"/>
      <c r="J28" s="181">
        <f>M!B19*100</f>
        <v>62.889399999999995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43607.470625000002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8.4632999999999967</v>
      </c>
      <c r="O7" s="59">
        <f t="shared" ref="O7:T7" si="2">AG7-X7</f>
        <v>-5.1369400000000001</v>
      </c>
      <c r="P7" s="59">
        <f t="shared" si="2"/>
        <v>-15.078099999999999</v>
      </c>
      <c r="Q7" s="59">
        <f t="shared" si="2"/>
        <v>0</v>
      </c>
      <c r="R7" s="59">
        <f t="shared" si="2"/>
        <v>25.714400000000005</v>
      </c>
      <c r="S7" s="59">
        <f t="shared" si="2"/>
        <v>0</v>
      </c>
      <c r="T7" s="59">
        <f t="shared" si="2"/>
        <v>7.9523999999999972</v>
      </c>
      <c r="U7" s="14"/>
      <c r="V7" s="27" t="str">
        <f>M7</f>
        <v>攻击性</v>
      </c>
      <c r="W7" s="59">
        <f>'M1'!B5*1</f>
        <v>40.0411</v>
      </c>
      <c r="X7" s="59">
        <f>'M1'!C5*1</f>
        <v>10.2979</v>
      </c>
      <c r="Y7" s="59">
        <f>'M1'!D5*1</f>
        <v>25.718299999999999</v>
      </c>
      <c r="Z7" s="59">
        <f>'M1'!E5*1</f>
        <v>20</v>
      </c>
      <c r="AA7" s="59">
        <f>'M1'!F5*1</f>
        <v>11.580399999999999</v>
      </c>
      <c r="AB7" s="59">
        <f>'M1'!G5*1</f>
        <v>50</v>
      </c>
      <c r="AC7" s="59">
        <f>'M1'!H5*1</f>
        <v>47.9161</v>
      </c>
      <c r="AE7" s="27" t="str">
        <f>V7</f>
        <v>攻击性</v>
      </c>
      <c r="AF7" s="59">
        <f>'M2'!B5*1</f>
        <v>48.504399999999997</v>
      </c>
      <c r="AG7" s="59">
        <f>'M2'!C5*1</f>
        <v>5.1609600000000002</v>
      </c>
      <c r="AH7" s="59">
        <f>'M2'!D5*1</f>
        <v>10.6402</v>
      </c>
      <c r="AI7" s="59">
        <f>'M2'!E5*1</f>
        <v>20</v>
      </c>
      <c r="AJ7" s="59">
        <f>'M2'!F5*1</f>
        <v>37.294800000000002</v>
      </c>
      <c r="AK7" s="59">
        <f>'M2'!G5*1</f>
        <v>50</v>
      </c>
      <c r="AL7" s="59">
        <f>'M2'!H5*1</f>
        <v>55.868499999999997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3.8958000000000048</v>
      </c>
      <c r="O8" s="59">
        <f t="shared" ref="O8:O16" si="5">AG8-X8</f>
        <v>0.99919000000000002</v>
      </c>
      <c r="P8" s="59">
        <f t="shared" ref="P8:P16" si="6">AH8-Y8</f>
        <v>2.09232</v>
      </c>
      <c r="Q8" s="59">
        <f t="shared" ref="Q8:Q16" si="7">AI8-Z8</f>
        <v>0</v>
      </c>
      <c r="R8" s="59">
        <f t="shared" ref="R8:R16" si="8">AJ8-AA8</f>
        <v>3.1255999999999986</v>
      </c>
      <c r="S8" s="59">
        <f t="shared" ref="S8:S16" si="9">AK8-AB8</f>
        <v>0</v>
      </c>
      <c r="T8" s="59">
        <f t="shared" ref="T8:T16" si="10">AL8-AC8</f>
        <v>6.087299999999999</v>
      </c>
      <c r="U8" s="15"/>
      <c r="V8" s="27" t="str">
        <f t="shared" ref="V8:V16" si="11">M8</f>
        <v>压力</v>
      </c>
      <c r="W8" s="59">
        <f>'M1'!B6*1</f>
        <v>30.706399999999999</v>
      </c>
      <c r="X8" s="59">
        <f>'M1'!C6*1</f>
        <v>2.1690900000000002</v>
      </c>
      <c r="Y8" s="59">
        <f>'M1'!D6*1</f>
        <v>7.0639700000000003</v>
      </c>
      <c r="Z8" s="59">
        <f>'M1'!E6*1</f>
        <v>20</v>
      </c>
      <c r="AA8" s="59">
        <f>'M1'!F6*1</f>
        <v>27.623000000000001</v>
      </c>
      <c r="AB8" s="59">
        <f>'M1'!G6*1</f>
        <v>40</v>
      </c>
      <c r="AC8" s="59">
        <f>'M1'!H6*1</f>
        <v>35.160800000000002</v>
      </c>
      <c r="AE8" s="27" t="str">
        <f t="shared" ref="AE8:AE16" si="12">V8</f>
        <v>压力</v>
      </c>
      <c r="AF8" s="59">
        <f>'M2'!B6*1</f>
        <v>34.602200000000003</v>
      </c>
      <c r="AG8" s="59">
        <f>'M2'!C6*1</f>
        <v>3.1682800000000002</v>
      </c>
      <c r="AH8" s="59">
        <f>'M2'!D6*1</f>
        <v>9.1562900000000003</v>
      </c>
      <c r="AI8" s="59">
        <f>'M2'!E6*1</f>
        <v>20</v>
      </c>
      <c r="AJ8" s="59">
        <f>'M2'!F6*1</f>
        <v>30.7486</v>
      </c>
      <c r="AK8" s="59">
        <f>'M2'!G6*1</f>
        <v>40</v>
      </c>
      <c r="AL8" s="59">
        <f>'M2'!H6*1</f>
        <v>41.248100000000001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25.714400000000005</v>
      </c>
      <c r="D9" s="78">
        <f>N7</f>
        <v>8.4632999999999967</v>
      </c>
      <c r="E9" s="79">
        <f>T7</f>
        <v>7.9523999999999972</v>
      </c>
      <c r="F9" s="79">
        <f>P7</f>
        <v>-15.078099999999999</v>
      </c>
      <c r="G9" s="80" t="str">
        <f>CONCATENATE(M8,"
(20 ~ 40)")</f>
        <v>压力
(20 ~ 40)</v>
      </c>
      <c r="H9" s="77">
        <f>R8</f>
        <v>3.1255999999999986</v>
      </c>
      <c r="I9" s="81">
        <f>N8</f>
        <v>3.8958000000000048</v>
      </c>
      <c r="J9" s="77">
        <f>T8</f>
        <v>6.087299999999999</v>
      </c>
      <c r="K9" s="82">
        <f>P8</f>
        <v>2.09232</v>
      </c>
      <c r="L9" s="6"/>
      <c r="M9" s="27" t="str">
        <f>lang!B16</f>
        <v>焦虑</v>
      </c>
      <c r="N9" s="59">
        <f t="shared" si="4"/>
        <v>-1.0254000000000012</v>
      </c>
      <c r="O9" s="59">
        <f t="shared" si="5"/>
        <v>-0.36302000000000012</v>
      </c>
      <c r="P9" s="59">
        <f t="shared" si="6"/>
        <v>-0.88039999999999985</v>
      </c>
      <c r="Q9" s="59">
        <f t="shared" si="7"/>
        <v>0</v>
      </c>
      <c r="R9" s="59">
        <f t="shared" si="8"/>
        <v>8.553370000000001</v>
      </c>
      <c r="S9" s="59">
        <f t="shared" si="9"/>
        <v>0</v>
      </c>
      <c r="T9" s="59">
        <f t="shared" si="10"/>
        <v>-5.7438000000000002</v>
      </c>
      <c r="U9" s="14"/>
      <c r="V9" s="27" t="str">
        <f t="shared" si="11"/>
        <v>焦虑</v>
      </c>
      <c r="W9" s="59">
        <f>'M1'!B7*1</f>
        <v>25.7239</v>
      </c>
      <c r="X9" s="59">
        <f>'M1'!C7*1</f>
        <v>3.65265</v>
      </c>
      <c r="Y9" s="59">
        <f>'M1'!D7*1</f>
        <v>14.1995</v>
      </c>
      <c r="Z9" s="59">
        <f>'M1'!E7*1</f>
        <v>15</v>
      </c>
      <c r="AA9" s="59">
        <f>'M1'!F7*1</f>
        <v>9.4627300000000005</v>
      </c>
      <c r="AB9" s="59">
        <f>'M1'!G7*1</f>
        <v>40</v>
      </c>
      <c r="AC9" s="59">
        <f>'M1'!H7*1</f>
        <v>40.196100000000001</v>
      </c>
      <c r="AE9" s="27" t="str">
        <f t="shared" si="12"/>
        <v>焦虑</v>
      </c>
      <c r="AF9" s="59">
        <f>'M2'!B7*1</f>
        <v>24.698499999999999</v>
      </c>
      <c r="AG9" s="59">
        <f>'M2'!C7*1</f>
        <v>3.2896299999999998</v>
      </c>
      <c r="AH9" s="59">
        <f>'M2'!D7*1</f>
        <v>13.319100000000001</v>
      </c>
      <c r="AI9" s="59">
        <f>'M2'!E7*1</f>
        <v>15</v>
      </c>
      <c r="AJ9" s="59">
        <f>'M2'!F7*1</f>
        <v>18.016100000000002</v>
      </c>
      <c r="AK9" s="59">
        <f>'M2'!G7*1</f>
        <v>40</v>
      </c>
      <c r="AL9" s="59">
        <f>'M2'!H7*1</f>
        <v>34.452300000000001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8.553370000000001</v>
      </c>
      <c r="D10" s="51">
        <f>N9</f>
        <v>-1.0254000000000012</v>
      </c>
      <c r="E10" s="53">
        <f>T9</f>
        <v>-5.7438000000000002</v>
      </c>
      <c r="F10" s="53">
        <f>P9</f>
        <v>-0.88039999999999985</v>
      </c>
      <c r="G10" s="73" t="str">
        <f>CONCATENATE(M10,"
(20 ~ 50)")</f>
        <v>可疑
(20 ~ 50)</v>
      </c>
      <c r="H10" s="24">
        <f>R10</f>
        <v>10.0867</v>
      </c>
      <c r="I10" s="52">
        <f>N10</f>
        <v>4.0339999999999989</v>
      </c>
      <c r="J10" s="24">
        <f>T10</f>
        <v>4.5731999999999999</v>
      </c>
      <c r="K10" s="25">
        <f>P10</f>
        <v>-5.4763999999999999</v>
      </c>
      <c r="L10" s="4"/>
      <c r="M10" s="27" t="str">
        <f>lang!B17</f>
        <v>可疑</v>
      </c>
      <c r="N10" s="59">
        <f t="shared" si="4"/>
        <v>4.0339999999999989</v>
      </c>
      <c r="O10" s="59">
        <f t="shared" si="5"/>
        <v>-1.4545899999999996</v>
      </c>
      <c r="P10" s="59">
        <f t="shared" si="6"/>
        <v>-5.4763999999999999</v>
      </c>
      <c r="Q10" s="59">
        <f t="shared" si="7"/>
        <v>0</v>
      </c>
      <c r="R10" s="59">
        <f t="shared" si="8"/>
        <v>10.0867</v>
      </c>
      <c r="S10" s="59">
        <f t="shared" si="9"/>
        <v>0</v>
      </c>
      <c r="T10" s="59">
        <f t="shared" si="10"/>
        <v>4.5731999999999999</v>
      </c>
      <c r="U10" s="14"/>
      <c r="V10" s="27" t="str">
        <f t="shared" si="11"/>
        <v>可疑</v>
      </c>
      <c r="W10" s="59">
        <f>'M1'!B8*1</f>
        <v>32.016300000000001</v>
      </c>
      <c r="X10" s="59">
        <f>'M1'!C8*1</f>
        <v>4.1242599999999996</v>
      </c>
      <c r="Y10" s="59">
        <f>'M1'!D8*1</f>
        <v>12.8818</v>
      </c>
      <c r="Z10" s="59">
        <f>'M1'!E8*1</f>
        <v>20</v>
      </c>
      <c r="AA10" s="59">
        <f>'M1'!F8*1</f>
        <v>21.052199999999999</v>
      </c>
      <c r="AB10" s="59">
        <f>'M1'!G8*1</f>
        <v>50</v>
      </c>
      <c r="AC10" s="59">
        <f>'M1'!H8*1</f>
        <v>35.313200000000002</v>
      </c>
      <c r="AE10" s="27" t="str">
        <f t="shared" si="12"/>
        <v>可疑</v>
      </c>
      <c r="AF10" s="59">
        <f>'M2'!B8*1</f>
        <v>36.0503</v>
      </c>
      <c r="AG10" s="59">
        <f>'M2'!C8*1</f>
        <v>2.66967</v>
      </c>
      <c r="AH10" s="59">
        <f>'M2'!D8*1</f>
        <v>7.4054000000000002</v>
      </c>
      <c r="AI10" s="59">
        <f>'M2'!E8*1</f>
        <v>20</v>
      </c>
      <c r="AJ10" s="59">
        <f>'M2'!F8*1</f>
        <v>31.1389</v>
      </c>
      <c r="AK10" s="59">
        <f>'M2'!G8*1</f>
        <v>50</v>
      </c>
      <c r="AL10" s="59">
        <f>'M2'!H8*1</f>
        <v>39.886400000000002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-9.3393000000000015</v>
      </c>
      <c r="D11" s="52">
        <f>N11</f>
        <v>-3.4052999999999969</v>
      </c>
      <c r="E11" s="24">
        <f>T11</f>
        <v>-10.783500000000004</v>
      </c>
      <c r="F11" s="24">
        <f>P11</f>
        <v>-1.5680700000000005</v>
      </c>
      <c r="G11" s="73" t="str">
        <f>CONCATENATE(M12,"
(40 ~ 100)")</f>
        <v>自信
(40 ~ 100)</v>
      </c>
      <c r="H11" s="24">
        <f>R12</f>
        <v>-8.3054000000000059</v>
      </c>
      <c r="I11" s="52">
        <f>N12</f>
        <v>-13.968899999999998</v>
      </c>
      <c r="J11" s="24">
        <f>T12</f>
        <v>-3.3596000000000004</v>
      </c>
      <c r="K11" s="25">
        <f>P12</f>
        <v>9.3568999999999996</v>
      </c>
      <c r="L11" s="4"/>
      <c r="M11" s="27" t="str">
        <f>lang!B18</f>
        <v>平衡</v>
      </c>
      <c r="N11" s="59">
        <f t="shared" si="4"/>
        <v>-3.4052999999999969</v>
      </c>
      <c r="O11" s="59">
        <f t="shared" si="5"/>
        <v>-1.3021799999999999</v>
      </c>
      <c r="P11" s="59">
        <f t="shared" si="6"/>
        <v>-1.5680700000000005</v>
      </c>
      <c r="Q11" s="59">
        <f t="shared" si="7"/>
        <v>0</v>
      </c>
      <c r="R11" s="59">
        <f t="shared" si="8"/>
        <v>-9.3393000000000015</v>
      </c>
      <c r="S11" s="59">
        <f t="shared" si="9"/>
        <v>0</v>
      </c>
      <c r="T11" s="59">
        <f t="shared" si="10"/>
        <v>-10.783500000000004</v>
      </c>
      <c r="U11" s="14"/>
      <c r="V11" s="27" t="str">
        <f t="shared" si="11"/>
        <v>平衡</v>
      </c>
      <c r="W11" s="59">
        <f>'M1'!B9*1</f>
        <v>68.275899999999993</v>
      </c>
      <c r="X11" s="59">
        <f>'M1'!C9*1</f>
        <v>5.7134299999999998</v>
      </c>
      <c r="Y11" s="59">
        <f>'M1'!D9*1</f>
        <v>8.3681400000000004</v>
      </c>
      <c r="Z11" s="59">
        <f>'M1'!E9*1</f>
        <v>50</v>
      </c>
      <c r="AA11" s="59">
        <f>'M1'!F9*1</f>
        <v>57.301400000000001</v>
      </c>
      <c r="AB11" s="59">
        <f>'M1'!G9*1</f>
        <v>100</v>
      </c>
      <c r="AC11" s="59">
        <f>'M1'!H9*1</f>
        <v>82.589200000000005</v>
      </c>
      <c r="AE11" s="27" t="str">
        <f t="shared" si="12"/>
        <v>平衡</v>
      </c>
      <c r="AF11" s="59">
        <f>'M2'!B9*1</f>
        <v>64.870599999999996</v>
      </c>
      <c r="AG11" s="59">
        <f>'M2'!C9*1</f>
        <v>4.4112499999999999</v>
      </c>
      <c r="AH11" s="59">
        <f>'M2'!D9*1</f>
        <v>6.8000699999999998</v>
      </c>
      <c r="AI11" s="59">
        <f>'M2'!E9*1</f>
        <v>50</v>
      </c>
      <c r="AJ11" s="59">
        <f>'M2'!F9*1</f>
        <v>47.9621</v>
      </c>
      <c r="AK11" s="59">
        <f>'M2'!G9*1</f>
        <v>100</v>
      </c>
      <c r="AL11" s="59">
        <f>'M2'!H9*1</f>
        <v>71.805700000000002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7.42666</v>
      </c>
      <c r="D12" s="51">
        <f>N13</f>
        <v>-1.8635999999999981</v>
      </c>
      <c r="E12" s="53">
        <f>T13</f>
        <v>-2.1053999999999995</v>
      </c>
      <c r="F12" s="53">
        <f>P13</f>
        <v>-14.351139999999999</v>
      </c>
      <c r="G12" s="73" t="str">
        <f>CONCATENATE(M14,"
(50 ~ 100)")</f>
        <v>自我调节
(50 ~ 100)</v>
      </c>
      <c r="H12" s="24">
        <f>R14</f>
        <v>-7.6184000000000012</v>
      </c>
      <c r="I12" s="52">
        <f>N14</f>
        <v>-9.4594000000000023</v>
      </c>
      <c r="J12" s="24">
        <f>T14</f>
        <v>-7.3393999999999977</v>
      </c>
      <c r="K12" s="25">
        <f>P14</f>
        <v>2.4282300000000001</v>
      </c>
      <c r="L12" s="4"/>
      <c r="M12" s="27" t="str">
        <f>lang!B19</f>
        <v>自信</v>
      </c>
      <c r="N12" s="59">
        <f t="shared" si="4"/>
        <v>-13.968899999999998</v>
      </c>
      <c r="O12" s="59">
        <f t="shared" si="5"/>
        <v>4.9353500000000006</v>
      </c>
      <c r="P12" s="59">
        <f t="shared" si="6"/>
        <v>9.3568999999999996</v>
      </c>
      <c r="Q12" s="59">
        <f t="shared" si="7"/>
        <v>0</v>
      </c>
      <c r="R12" s="59">
        <f t="shared" si="8"/>
        <v>-8.3054000000000059</v>
      </c>
      <c r="S12" s="59">
        <f t="shared" si="9"/>
        <v>0</v>
      </c>
      <c r="T12" s="59">
        <f t="shared" si="10"/>
        <v>-3.3596000000000004</v>
      </c>
      <c r="U12" s="15"/>
      <c r="V12" s="27" t="str">
        <f t="shared" si="11"/>
        <v>自信</v>
      </c>
      <c r="W12" s="59">
        <f>'M1'!B10*1</f>
        <v>75.652799999999999</v>
      </c>
      <c r="X12" s="59">
        <f>'M1'!C10*1</f>
        <v>4.5296399999999997</v>
      </c>
      <c r="Y12" s="59">
        <f>'M1'!D10*1</f>
        <v>5.9874000000000001</v>
      </c>
      <c r="Z12" s="59">
        <f>'M1'!E10*1</f>
        <v>40</v>
      </c>
      <c r="AA12" s="59">
        <f>'M1'!F10*1</f>
        <v>58.861400000000003</v>
      </c>
      <c r="AB12" s="59">
        <f>'M1'!G10*1</f>
        <v>100</v>
      </c>
      <c r="AC12" s="59">
        <f>'M1'!H10*1</f>
        <v>81.136600000000001</v>
      </c>
      <c r="AE12" s="27" t="str">
        <f t="shared" si="12"/>
        <v>自信</v>
      </c>
      <c r="AF12" s="59">
        <f>'M2'!B10*1</f>
        <v>61.683900000000001</v>
      </c>
      <c r="AG12" s="59">
        <f>'M2'!C10*1</f>
        <v>9.4649900000000002</v>
      </c>
      <c r="AH12" s="59">
        <f>'M2'!D10*1</f>
        <v>15.3443</v>
      </c>
      <c r="AI12" s="59">
        <f>'M2'!E10*1</f>
        <v>40</v>
      </c>
      <c r="AJ12" s="59">
        <f>'M2'!F10*1</f>
        <v>50.555999999999997</v>
      </c>
      <c r="AK12" s="59">
        <f>'M2'!G10*1</f>
        <v>100</v>
      </c>
      <c r="AL12" s="59">
        <f>'M2'!H10*1</f>
        <v>77.777000000000001</v>
      </c>
    </row>
    <row r="13" spans="2:38" ht="25.5" customHeight="1" thickBot="1">
      <c r="B13" s="72" t="str">
        <f>CONCATENATE(M15,"
(10 ~ 25)")</f>
        <v>抑郁
(10 ~ 25)</v>
      </c>
      <c r="C13" s="54">
        <f>R15</f>
        <v>-1.2637</v>
      </c>
      <c r="D13" s="55">
        <f>N15</f>
        <v>-1.1208999999999989</v>
      </c>
      <c r="E13" s="56">
        <f>T15</f>
        <v>-1.870000000000001</v>
      </c>
      <c r="F13" s="56">
        <f>P15</f>
        <v>3.1891999999999996</v>
      </c>
      <c r="G13" s="74" t="str">
        <f>CONCATENATE(M16,"
(10 ~ 50)")</f>
        <v>神经质
(10 ~ 50)</v>
      </c>
      <c r="H13" s="54">
        <f>R16</f>
        <v>1.5711299999999997</v>
      </c>
      <c r="I13" s="55">
        <f>N16</f>
        <v>4.7265999999999977</v>
      </c>
      <c r="J13" s="56">
        <f>T16</f>
        <v>-0.4819000000000031</v>
      </c>
      <c r="K13" s="57">
        <f>P16</f>
        <v>-2.916400000000003</v>
      </c>
      <c r="M13" s="27" t="str">
        <f>lang!B20</f>
        <v>活力</v>
      </c>
      <c r="N13" s="59">
        <f t="shared" si="4"/>
        <v>-1.8635999999999981</v>
      </c>
      <c r="O13" s="59">
        <f t="shared" si="5"/>
        <v>-2.8956300000000006</v>
      </c>
      <c r="P13" s="59">
        <f t="shared" si="6"/>
        <v>-14.351139999999999</v>
      </c>
      <c r="Q13" s="59">
        <f t="shared" si="7"/>
        <v>0</v>
      </c>
      <c r="R13" s="59">
        <f t="shared" si="8"/>
        <v>7.42666</v>
      </c>
      <c r="S13" s="59">
        <f t="shared" si="9"/>
        <v>0</v>
      </c>
      <c r="T13" s="59">
        <f t="shared" si="10"/>
        <v>-2.1053999999999995</v>
      </c>
      <c r="U13" s="14"/>
      <c r="V13" s="27" t="str">
        <f t="shared" si="11"/>
        <v>活力</v>
      </c>
      <c r="W13" s="59">
        <f>'M1'!B11*1</f>
        <v>18.886099999999999</v>
      </c>
      <c r="X13" s="59">
        <f>'M1'!C11*1</f>
        <v>4.5877600000000003</v>
      </c>
      <c r="Y13" s="59">
        <f>'M1'!D11*1</f>
        <v>24.291699999999999</v>
      </c>
      <c r="Z13" s="59">
        <f>'M1'!E11*1</f>
        <v>10</v>
      </c>
      <c r="AA13" s="59">
        <f>'M1'!F11*1</f>
        <v>6.0229400000000002</v>
      </c>
      <c r="AB13" s="59">
        <f>'M1'!G11*1</f>
        <v>50</v>
      </c>
      <c r="AC13" s="59">
        <f>'M1'!H11*1</f>
        <v>21.7499</v>
      </c>
      <c r="AE13" s="27" t="str">
        <f t="shared" si="12"/>
        <v>活力</v>
      </c>
      <c r="AF13" s="59">
        <f>'M2'!B11*1</f>
        <v>17.022500000000001</v>
      </c>
      <c r="AG13" s="59">
        <f>'M2'!C11*1</f>
        <v>1.6921299999999999</v>
      </c>
      <c r="AH13" s="59">
        <f>'M2'!D11*1</f>
        <v>9.9405599999999996</v>
      </c>
      <c r="AI13" s="59">
        <f>'M2'!E11*1</f>
        <v>10</v>
      </c>
      <c r="AJ13" s="59">
        <f>'M2'!F11*1</f>
        <v>13.4496</v>
      </c>
      <c r="AK13" s="59">
        <f>'M2'!G11*1</f>
        <v>50</v>
      </c>
      <c r="AL13" s="59">
        <f>'M2'!H11*1</f>
        <v>19.644500000000001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-9.4594000000000023</v>
      </c>
      <c r="O14" s="59">
        <f t="shared" si="5"/>
        <v>1.0550299999999999</v>
      </c>
      <c r="P14" s="59">
        <f t="shared" si="6"/>
        <v>2.4282300000000001</v>
      </c>
      <c r="Q14" s="59">
        <f t="shared" si="7"/>
        <v>0</v>
      </c>
      <c r="R14" s="59">
        <f t="shared" si="8"/>
        <v>-7.6184000000000012</v>
      </c>
      <c r="S14" s="59">
        <f t="shared" si="9"/>
        <v>0</v>
      </c>
      <c r="T14" s="59">
        <f t="shared" si="10"/>
        <v>-7.3393999999999977</v>
      </c>
      <c r="U14" s="14"/>
      <c r="V14" s="27" t="str">
        <f t="shared" si="11"/>
        <v>自我调节</v>
      </c>
      <c r="W14" s="59">
        <f>'M1'!B12*1</f>
        <v>71.952200000000005</v>
      </c>
      <c r="X14" s="59">
        <f>'M1'!C12*1</f>
        <v>3.5175100000000001</v>
      </c>
      <c r="Y14" s="59">
        <f>'M1'!D12*1</f>
        <v>4.8886799999999999</v>
      </c>
      <c r="Z14" s="59">
        <f>'M1'!E12*1</f>
        <v>50</v>
      </c>
      <c r="AA14" s="59">
        <f>'M1'!F12*1</f>
        <v>63.444600000000001</v>
      </c>
      <c r="AB14" s="59">
        <f>'M1'!G12*1</f>
        <v>100</v>
      </c>
      <c r="AC14" s="59">
        <f>'M1'!H12*1</f>
        <v>78.660899999999998</v>
      </c>
      <c r="AE14" s="27" t="str">
        <f t="shared" si="12"/>
        <v>自我调节</v>
      </c>
      <c r="AF14" s="59">
        <f>'M2'!B12*1</f>
        <v>62.492800000000003</v>
      </c>
      <c r="AG14" s="59">
        <f>'M2'!C12*1</f>
        <v>4.57254</v>
      </c>
      <c r="AH14" s="59">
        <f>'M2'!D12*1</f>
        <v>7.31691</v>
      </c>
      <c r="AI14" s="59">
        <f>'M2'!E12*1</f>
        <v>50</v>
      </c>
      <c r="AJ14" s="59">
        <f>'M2'!F12*1</f>
        <v>55.8262</v>
      </c>
      <c r="AK14" s="59">
        <f>'M2'!G12*1</f>
        <v>100</v>
      </c>
      <c r="AL14" s="59">
        <f>'M2'!H12*1</f>
        <v>71.3215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-1.1208999999999989</v>
      </c>
      <c r="O15" s="59">
        <f t="shared" si="5"/>
        <v>0.4726600000000003</v>
      </c>
      <c r="P15" s="59">
        <f t="shared" si="6"/>
        <v>3.1891999999999996</v>
      </c>
      <c r="Q15" s="59">
        <f t="shared" si="7"/>
        <v>0</v>
      </c>
      <c r="R15" s="59">
        <f t="shared" si="8"/>
        <v>-1.2637</v>
      </c>
      <c r="S15" s="59">
        <f t="shared" si="9"/>
        <v>0</v>
      </c>
      <c r="T15" s="59">
        <f t="shared" si="10"/>
        <v>-1.870000000000001</v>
      </c>
      <c r="U15" s="14"/>
      <c r="V15" s="27" t="str">
        <f t="shared" si="11"/>
        <v>抑郁</v>
      </c>
      <c r="W15" s="59">
        <f>'M1'!B13*1</f>
        <v>20.747</v>
      </c>
      <c r="X15" s="59">
        <f>'M1'!C13*1</f>
        <v>2.8365399999999998</v>
      </c>
      <c r="Y15" s="59">
        <f>'M1'!D13*1</f>
        <v>13.672000000000001</v>
      </c>
      <c r="Z15" s="59">
        <f>'M1'!E13*1</f>
        <v>10</v>
      </c>
      <c r="AA15" s="59">
        <f>'M1'!F13*1</f>
        <v>14.7852</v>
      </c>
      <c r="AB15" s="59">
        <f>'M1'!G13*1</f>
        <v>25</v>
      </c>
      <c r="AC15" s="59">
        <f>'M1'!H13*1</f>
        <v>28.265499999999999</v>
      </c>
      <c r="AE15" s="27" t="str">
        <f t="shared" si="12"/>
        <v>抑郁</v>
      </c>
      <c r="AF15" s="59">
        <f>'M2'!B13*1</f>
        <v>19.626100000000001</v>
      </c>
      <c r="AG15" s="59">
        <f>'M2'!C13*1</f>
        <v>3.3092000000000001</v>
      </c>
      <c r="AH15" s="59">
        <f>'M2'!D13*1</f>
        <v>16.8612</v>
      </c>
      <c r="AI15" s="59">
        <f>'M2'!E13*1</f>
        <v>10</v>
      </c>
      <c r="AJ15" s="59">
        <f>'M2'!F13*1</f>
        <v>13.5215</v>
      </c>
      <c r="AK15" s="59">
        <f>'M2'!G13*1</f>
        <v>25</v>
      </c>
      <c r="AL15" s="59">
        <f>'M2'!H13*1</f>
        <v>26.395499999999998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4.7265999999999977</v>
      </c>
      <c r="O16" s="59">
        <f t="shared" si="5"/>
        <v>0.70800000000000018</v>
      </c>
      <c r="P16" s="59">
        <f t="shared" si="6"/>
        <v>-2.916400000000003</v>
      </c>
      <c r="Q16" s="59">
        <f t="shared" si="7"/>
        <v>0</v>
      </c>
      <c r="R16" s="59">
        <f t="shared" si="8"/>
        <v>1.5711299999999997</v>
      </c>
      <c r="S16" s="59">
        <f t="shared" si="9"/>
        <v>0</v>
      </c>
      <c r="T16" s="59">
        <f t="shared" si="10"/>
        <v>-0.4819000000000031</v>
      </c>
      <c r="U16" s="15"/>
      <c r="V16" s="27" t="str">
        <f t="shared" si="11"/>
        <v>神经质</v>
      </c>
      <c r="W16" s="59">
        <f>'M1'!B14*1</f>
        <v>28.365400000000001</v>
      </c>
      <c r="X16" s="59">
        <f>'M1'!C14*1</f>
        <v>10.040699999999999</v>
      </c>
      <c r="Y16" s="59">
        <f>'M1'!D14*1</f>
        <v>35.3977</v>
      </c>
      <c r="Z16" s="59">
        <f>'M1'!E14*1</f>
        <v>10</v>
      </c>
      <c r="AA16" s="59">
        <f>'M1'!F14*1</f>
        <v>2.7517499999999999</v>
      </c>
      <c r="AB16" s="59">
        <f>'M1'!G14*1</f>
        <v>50</v>
      </c>
      <c r="AC16" s="59">
        <f>'M1'!H14*1</f>
        <v>36.3795</v>
      </c>
      <c r="AE16" s="27" t="str">
        <f t="shared" si="12"/>
        <v>神经质</v>
      </c>
      <c r="AF16" s="59">
        <f>'M2'!B14*1</f>
        <v>33.091999999999999</v>
      </c>
      <c r="AG16" s="59">
        <f>'M2'!C14*1</f>
        <v>10.748699999999999</v>
      </c>
      <c r="AH16" s="59">
        <f>'M2'!D14*1</f>
        <v>32.481299999999997</v>
      </c>
      <c r="AI16" s="59">
        <f>'M2'!E14*1</f>
        <v>10</v>
      </c>
      <c r="AJ16" s="59">
        <f>'M2'!F14*1</f>
        <v>4.3228799999999996</v>
      </c>
      <c r="AK16" s="59">
        <f>'M2'!G14*1</f>
        <v>50</v>
      </c>
      <c r="AL16" s="59">
        <f>'M2'!H14*1</f>
        <v>35.897599999999997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-7.1742999999999988</v>
      </c>
      <c r="O17" s="22">
        <f>N17/(N17+N18+N19)</f>
        <v>4.6905411810856315</v>
      </c>
      <c r="P17" s="65">
        <f>SUM(P11:P14)/4</f>
        <v>-1.03352</v>
      </c>
      <c r="Q17" s="22">
        <f>P17/(P17+P18+P19)</f>
        <v>0.18028298735426967</v>
      </c>
      <c r="R17" s="14"/>
      <c r="S17" s="14"/>
      <c r="T17" s="14"/>
      <c r="U17" s="14"/>
      <c r="V17" s="21" t="str">
        <f>M17</f>
        <v>Positive</v>
      </c>
      <c r="W17" s="65">
        <f>SUM(W11:W14)/4</f>
        <v>58.691749999999999</v>
      </c>
      <c r="X17" s="22">
        <f>W17/(W17+W18+W19)</f>
        <v>0.50872682318499518</v>
      </c>
      <c r="Y17" s="65">
        <f>SUM(Y11:Y14)/4</f>
        <v>10.883979999999999</v>
      </c>
      <c r="Z17" s="22">
        <f>Y17/(Y17+Y18+Y19)</f>
        <v>0.21601746442088671</v>
      </c>
      <c r="AA17" s="14"/>
      <c r="AB17" s="14"/>
      <c r="AC17" s="14"/>
      <c r="AE17" s="21" t="str">
        <f>V17</f>
        <v>Positive</v>
      </c>
      <c r="AF17" s="65">
        <f>SUM(AF11:AF14)/4</f>
        <v>51.517449999999997</v>
      </c>
      <c r="AG17" s="22">
        <f>AF17/(AF17+AF18+AF19)</f>
        <v>0.45254121232058753</v>
      </c>
      <c r="AH17" s="65">
        <f>SUM(AH11:AH14)/4</f>
        <v>9.85046</v>
      </c>
      <c r="AI17" s="22">
        <f>AH17/(AH17+AH18+AH19)</f>
        <v>0.22060533404386581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3.8419249999999998</v>
      </c>
      <c r="O18" s="22">
        <f>N18/(N17+N18+N19)</f>
        <v>-2.5118419117046149</v>
      </c>
      <c r="P18" s="18">
        <f>SUM(P7:P10)/4</f>
        <v>-4.8356449999999995</v>
      </c>
      <c r="Q18" s="22">
        <f>P18/(P17+P18+P19)</f>
        <v>0.84351006887601332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32.121925000000005</v>
      </c>
      <c r="X18" s="22">
        <f>W18/(W17+W18+W19)</f>
        <v>0.27842558553521879</v>
      </c>
      <c r="Y18" s="18">
        <f>SUM(Y7:Y10)/4</f>
        <v>14.965892499999999</v>
      </c>
      <c r="Z18" s="22">
        <f>Y18/(Y17+Y18+Y19)</f>
        <v>0.29703234943886014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35.963850000000001</v>
      </c>
      <c r="AG18" s="22">
        <f>AF18/(AF17+AF18+AF19)</f>
        <v>0.31591478768292613</v>
      </c>
      <c r="AH18" s="18">
        <f>SUM(AH7:AH10)/4</f>
        <v>10.130247499999999</v>
      </c>
      <c r="AI18" s="22">
        <f>AH18/(AH17+AH18+AH19)</f>
        <v>0.22687129673990214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1.8028499999999994</v>
      </c>
      <c r="O19" s="22">
        <f>N19/(N17+N18+N19)</f>
        <v>-1.178699269381017</v>
      </c>
      <c r="P19" s="18">
        <f>(P15+P16)/2</f>
        <v>0.1363999999999983</v>
      </c>
      <c r="Q19" s="22">
        <f>P19/(P17+P18+P19)</f>
        <v>-2.3793056230282991E-2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24.5562</v>
      </c>
      <c r="X19" s="22">
        <f>W19/(W17+W18+W19)</f>
        <v>0.21284759127978597</v>
      </c>
      <c r="Y19" s="18">
        <f>(Y15+Y16)/2</f>
        <v>24.534849999999999</v>
      </c>
      <c r="Z19" s="22">
        <f>Y19/(Y17+Y18+Y19)</f>
        <v>0.48695018614025315</v>
      </c>
      <c r="AA19" s="14"/>
      <c r="AB19" s="14"/>
      <c r="AC19" s="14"/>
      <c r="AE19" s="21" t="str">
        <f t="shared" si="14"/>
        <v>Physiological</v>
      </c>
      <c r="AF19" s="18">
        <f>(AF15+AF16)/2</f>
        <v>26.35905</v>
      </c>
      <c r="AG19" s="22">
        <f>AF19/(AF17+AF18+AF19)</f>
        <v>0.23154399999648631</v>
      </c>
      <c r="AH19" s="18">
        <f>(AH15+AH16)/2</f>
        <v>24.671250000000001</v>
      </c>
      <c r="AI19" s="22">
        <f>AH19/(AH17+AH18+AH19)</f>
        <v>0.55252336921623202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1.46/1.59</v>
      </c>
      <c r="D24" s="44" t="str">
        <f>lang!B11</f>
        <v>频率方差</v>
      </c>
      <c r="E24" s="142" t="str">
        <f ca="1">CONCATENATE(ROUND('FH1'!L3,2),"/",ROUND('FH2'!L3,2))</f>
        <v>0.66/0.77</v>
      </c>
      <c r="F24" s="143"/>
      <c r="G24" s="134" t="str">
        <f>lang!B12</f>
        <v>生理变化率</v>
      </c>
      <c r="H24" s="135"/>
      <c r="I24" s="62" t="str">
        <f ca="1">CONCATENATE(info!M7,"-",info!M8)</f>
        <v>17.9-52.8</v>
      </c>
      <c r="J24" s="42" t="str">
        <f>lang!B13</f>
        <v>千卡l/分钟</v>
      </c>
      <c r="K24" s="41" t="str">
        <f ca="1">CONCATENATE(info!M5,"-",info!M6)</f>
        <v>2-3.5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17.310300000000002</v>
      </c>
      <c r="F27" s="164"/>
      <c r="G27" s="178" t="str">
        <f>lang!B33</f>
        <v>稳定性</v>
      </c>
      <c r="H27" s="179"/>
      <c r="I27" s="180"/>
      <c r="J27" s="181">
        <f>dM!B19*100</f>
        <v>3.8439999999999919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-0.82123930752973862</v>
      </c>
      <c r="C2">
        <f t="array" aca="1" ref="C2" ca="1">CORREL(FT_E02,FT_PH02)</f>
        <v>-0.9370252387944612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1.9736</v>
      </c>
      <c r="G2" s="61">
        <f>IF(FT!B2&lt;&gt;"",FT!B2*100,"")</f>
        <v>52.799799999999998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2.05084</v>
      </c>
      <c r="G3" s="61">
        <f>IF(FT!B3&lt;&gt;"",FT!B3*100,"")</f>
        <v>51.625600000000006</v>
      </c>
      <c r="H3" s="61">
        <f t="shared" ref="H3:H66" si="1">(IF(F3&lt;&gt;"",1,""))</f>
        <v>1</v>
      </c>
      <c r="I3" t="str">
        <f>IF(FT!B3&lt;&gt;"",FT!E3,"")</f>
        <v>1 [0.401827]</v>
      </c>
      <c r="J3">
        <f>IF(FT!B3&lt;&gt;"",FT!C3,"")</f>
        <v>0.40182699999999999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0.36888006756756769</v>
      </c>
      <c r="V3">
        <f ca="1">AVERAGE(OFFSET(FT!B2,info!$L$3/2,0,info!$L$3/2,1))</f>
        <v>0.21244785135135133</v>
      </c>
      <c r="W3">
        <f ca="1">AVERAGE(OFFSET(FT!A2,0,0,info!$L$3/2,1))</f>
        <v>0.30451602702702696</v>
      </c>
      <c r="X3">
        <f ca="1">AVERAGE(OFFSET(FT!A2,info!$L$3/2,0,info!$L$3/2,1))</f>
        <v>0.3281377972972972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2.1245500000000002</v>
      </c>
      <c r="G4" s="61">
        <f>IF(FT!B4&lt;&gt;"",FT!B4*100,"")</f>
        <v>50.651500000000006</v>
      </c>
      <c r="H4" s="61">
        <f t="shared" si="1"/>
        <v>1</v>
      </c>
      <c r="I4" t="str">
        <f>IF(FT!B4&lt;&gt;"",FT!E4,"")</f>
        <v>1 [0.809883]</v>
      </c>
      <c r="J4">
        <f>IF(FT!B4&lt;&gt;"",FT!C4,"")</f>
        <v>0.80988300000000002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14.944775</v>
      </c>
      <c r="V4">
        <f>U4*3</f>
        <v>44.834325</v>
      </c>
      <c r="W4">
        <f>U4</f>
        <v>14.944775</v>
      </c>
      <c r="X4">
        <f>V4</f>
        <v>44.834325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2.1951700000000001</v>
      </c>
      <c r="G5" s="61">
        <f>IF(FT!B5&lt;&gt;"",FT!B5*100,"")</f>
        <v>49.8827</v>
      </c>
      <c r="H5" s="61">
        <f t="shared" si="1"/>
        <v>1</v>
      </c>
      <c r="I5" t="str">
        <f>IF(FT!B5&lt;&gt;"",FT!E5,"")</f>
        <v>1 [1.218627]</v>
      </c>
      <c r="J5">
        <f>IF(FT!B5&lt;&gt;"",FT!C5,"")</f>
        <v>1.2186300000000001</v>
      </c>
      <c r="K5" t="s">
        <v>53</v>
      </c>
      <c r="L5" s="63">
        <f ca="1">MIN(FT_E)</f>
        <v>1.9736</v>
      </c>
      <c r="M5" s="63">
        <f ca="1">ROUND(L5,1)</f>
        <v>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36.888006756756766</v>
      </c>
      <c r="V5">
        <f ca="1">V3*100</f>
        <v>21.244785135135132</v>
      </c>
      <c r="W5">
        <f ca="1">W3*10</f>
        <v>3.0451602702702694</v>
      </c>
      <c r="X5">
        <f ca="1">X3*10</f>
        <v>3.281377972972972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2.2627700000000002</v>
      </c>
      <c r="G6" s="61">
        <f>IF(FT!B6&lt;&gt;"",FT!B6*100,"")</f>
        <v>49.203699999999998</v>
      </c>
      <c r="H6" s="61">
        <f t="shared" si="1"/>
        <v>1</v>
      </c>
      <c r="I6" t="str">
        <f>IF(FT!B6&lt;&gt;"",FT!E6,"")</f>
        <v>1 [1.622516]</v>
      </c>
      <c r="J6">
        <f>IF(FT!B6&lt;&gt;"",FT!C6,"")</f>
        <v>1.62252</v>
      </c>
      <c r="K6" t="s">
        <v>54</v>
      </c>
      <c r="L6" s="63">
        <f ca="1">MAX(FT_E)</f>
        <v>3.48766</v>
      </c>
      <c r="M6" s="63">
        <f ca="1">ROUND(L6,1)</f>
        <v>3.5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2.32816</v>
      </c>
      <c r="G7" s="61">
        <f>IF(FT!B7&lt;&gt;"",FT!B7*100,"")</f>
        <v>48.619399999999999</v>
      </c>
      <c r="H7" s="61">
        <f t="shared" si="1"/>
        <v>1</v>
      </c>
      <c r="I7" t="str">
        <f>IF(FT!B7&lt;&gt;"",FT!E7,"")</f>
        <v>1 [2.028506]</v>
      </c>
      <c r="J7">
        <f>IF(FT!B7&lt;&gt;"",FT!C7,"")</f>
        <v>2.0285099999999998</v>
      </c>
      <c r="K7" t="s">
        <v>55</v>
      </c>
      <c r="L7" s="63">
        <f ca="1">MIN(FT_PH)</f>
        <v>17.9162</v>
      </c>
      <c r="M7" s="63">
        <f ca="1">ROUND(L7,1)</f>
        <v>17.899999999999999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8056</v>
      </c>
      <c r="D8" s="61">
        <f>FH!B8*1</f>
        <v>8056</v>
      </c>
      <c r="E8">
        <f t="shared" si="3"/>
        <v>6</v>
      </c>
      <c r="F8" s="61">
        <f>IF(FT!A8&lt;&gt;"",FT!A8*10,"")</f>
        <v>2.3932800000000003</v>
      </c>
      <c r="G8" s="61">
        <f>IF(FT!B8&lt;&gt;"",FT!B8*100,"")</f>
        <v>48.096200000000003</v>
      </c>
      <c r="H8" s="61">
        <f t="shared" si="1"/>
        <v>1</v>
      </c>
      <c r="I8" t="str">
        <f>IF(FT!B8&lt;&gt;"",FT!E8,"")</f>
        <v>1 [2.438390]</v>
      </c>
      <c r="J8">
        <f>IF(FT!B8&lt;&gt;"",FT!C8,"")</f>
        <v>2.4383900000000001</v>
      </c>
      <c r="K8" t="s">
        <v>56</v>
      </c>
      <c r="L8" s="63">
        <f ca="1">MAX(FT_PH)</f>
        <v>52.799799999999998</v>
      </c>
      <c r="M8" s="63">
        <f ca="1">ROUND(L8,1)</f>
        <v>52.8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2.4561299999999999</v>
      </c>
      <c r="G9" s="61">
        <f>IF(FT!B9&lt;&gt;"",FT!B9*100,"")</f>
        <v>47.540999999999997</v>
      </c>
      <c r="H9" s="61">
        <f t="shared" si="1"/>
        <v>1</v>
      </c>
      <c r="I9" t="str">
        <f>IF(FT!B9&lt;&gt;"",FT!E9,"")</f>
        <v>1 [2.839308]</v>
      </c>
      <c r="J9">
        <f>IF(FT!B9&lt;&gt;"",FT!C9,"")</f>
        <v>2.8393099999999998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13136</v>
      </c>
      <c r="D10" s="61">
        <f>FH!B10*1</f>
        <v>13136</v>
      </c>
      <c r="E10">
        <f t="shared" si="3"/>
        <v>8</v>
      </c>
      <c r="F10" s="61">
        <f>IF(FT!A10&lt;&gt;"",FT!A10*10,"")</f>
        <v>2.51552</v>
      </c>
      <c r="G10" s="61">
        <f>IF(FT!B10&lt;&gt;"",FT!B10*100,"")</f>
        <v>47.023199999999996</v>
      </c>
      <c r="H10" s="61">
        <f t="shared" si="1"/>
        <v>1</v>
      </c>
      <c r="I10" t="str">
        <f>IF(FT!B10&lt;&gt;"",FT!E10,"")</f>
        <v>1 [3.246191]</v>
      </c>
      <c r="J10">
        <f>IF(FT!B10&lt;&gt;"",FT!C10,"")</f>
        <v>3.2461899999999999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2.5742599999999998</v>
      </c>
      <c r="G11" s="61">
        <f>IF(FT!B11&lt;&gt;"",FT!B11*100,"")</f>
        <v>46.523299999999999</v>
      </c>
      <c r="H11" s="61">
        <f t="shared" si="1"/>
        <v>1</v>
      </c>
      <c r="I11" t="str">
        <f>IF(FT!B11&lt;&gt;"",FT!E11,"")</f>
        <v>1 [3.652160]</v>
      </c>
      <c r="J11">
        <f>IF(FT!B11&lt;&gt;"",FT!C11,"")</f>
        <v>3.6521599999999999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2.63395</v>
      </c>
      <c r="G12" s="61">
        <f>IF(FT!B12&lt;&gt;"",FT!B12*100,"")</f>
        <v>45.9983</v>
      </c>
      <c r="H12" s="61">
        <f t="shared" si="1"/>
        <v>1</v>
      </c>
      <c r="I12" t="str">
        <f>IF(FT!B12&lt;&gt;"",FT!E12,"")</f>
        <v>1 [4.058287]</v>
      </c>
      <c r="J12">
        <f>IF(FT!B12&lt;&gt;"",FT!C12,"")</f>
        <v>4.0582900000000004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27774</v>
      </c>
      <c r="D13" s="61">
        <f>FH!B13*1</f>
        <v>27774</v>
      </c>
      <c r="E13">
        <f t="shared" si="3"/>
        <v>11</v>
      </c>
      <c r="F13" s="61">
        <f>IF(FT!A13&lt;&gt;"",FT!A13*10,"")</f>
        <v>2.6936300000000002</v>
      </c>
      <c r="G13" s="61">
        <f>IF(FT!B13&lt;&gt;"",FT!B13*100,"")</f>
        <v>45.464100000000002</v>
      </c>
      <c r="H13" s="61">
        <f t="shared" si="1"/>
        <v>1</v>
      </c>
      <c r="I13" t="str">
        <f>IF(FT!B13&lt;&gt;"",FT!E13,"")</f>
        <v>1 [4.469911]</v>
      </c>
      <c r="J13">
        <f>IF(FT!B13&lt;&gt;"",FT!C13,"")</f>
        <v>4.4699099999999996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2.7539500000000001</v>
      </c>
      <c r="G14" s="61">
        <f>IF(FT!B14&lt;&gt;"",FT!B14*100,"")</f>
        <v>44.8626</v>
      </c>
      <c r="H14" s="61">
        <f t="shared" si="1"/>
        <v>1</v>
      </c>
      <c r="I14" t="str">
        <f>IF(FT!B14&lt;&gt;"",FT!E14,"")</f>
        <v>1 [4.874822]</v>
      </c>
      <c r="J14">
        <f>IF(FT!B14&lt;&gt;"",FT!C14,"")</f>
        <v>4.8748199999999997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33524</v>
      </c>
      <c r="D15" s="61">
        <f>FH!B15*1</f>
        <v>33524</v>
      </c>
      <c r="E15">
        <f t="shared" si="3"/>
        <v>13</v>
      </c>
      <c r="F15" s="61">
        <f>IF(FT!A15&lt;&gt;"",FT!A15*10,"")</f>
        <v>2.81311</v>
      </c>
      <c r="G15" s="61">
        <f>IF(FT!B15&lt;&gt;"",FT!B15*100,"")</f>
        <v>44.192700000000002</v>
      </c>
      <c r="H15" s="61">
        <f t="shared" si="1"/>
        <v>1</v>
      </c>
      <c r="I15" t="str">
        <f>IF(FT!B15&lt;&gt;"",FT!E15,"")</f>
        <v>1 [5.283275]</v>
      </c>
      <c r="J15">
        <f>IF(FT!B15&lt;&gt;"",FT!C15,"")</f>
        <v>5.2832699999999999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2.87263</v>
      </c>
      <c r="G16" s="61">
        <f>IF(FT!B16&lt;&gt;"",FT!B16*100,"")</f>
        <v>43.381700000000002</v>
      </c>
      <c r="H16" s="61">
        <f t="shared" si="1"/>
        <v>1</v>
      </c>
      <c r="I16" t="str">
        <f>IF(FT!B16&lt;&gt;"",FT!E16,"")</f>
        <v>1 [5.684693]</v>
      </c>
      <c r="J16">
        <f>IF(FT!B16&lt;&gt;"",FT!C16,"")</f>
        <v>5.6846899999999998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2.9337200000000001</v>
      </c>
      <c r="G17" s="61">
        <f>IF(FT!B17&lt;&gt;"",FT!B17*100,"")</f>
        <v>42.442500000000003</v>
      </c>
      <c r="H17" s="61">
        <f t="shared" si="1"/>
        <v>1</v>
      </c>
      <c r="I17" t="str">
        <f>IF(FT!B17&lt;&gt;"",FT!E17,"")</f>
        <v>1 [6.091682]</v>
      </c>
      <c r="J17">
        <f>IF(FT!B17&lt;&gt;"",FT!C17,"")</f>
        <v>6.0916800000000002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43362</v>
      </c>
      <c r="D18" s="61">
        <f>FH!B18*1</f>
        <v>43362</v>
      </c>
      <c r="E18">
        <f t="shared" si="3"/>
        <v>16</v>
      </c>
      <c r="F18" s="61">
        <f>IF(FT!A18&lt;&gt;"",FT!A18*10,"")</f>
        <v>2.9898999999999996</v>
      </c>
      <c r="G18" s="61">
        <f>IF(FT!B18&lt;&gt;"",FT!B18*100,"")</f>
        <v>41.576700000000002</v>
      </c>
      <c r="H18" s="61">
        <f t="shared" si="1"/>
        <v>1</v>
      </c>
      <c r="I18" t="str">
        <f>IF(FT!B18&lt;&gt;"",FT!E18,"")</f>
        <v>1 [6.498846]</v>
      </c>
      <c r="J18">
        <f>IF(FT!B18&lt;&gt;"",FT!C18,"")</f>
        <v>6.49885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3.0417100000000001</v>
      </c>
      <c r="G19" s="61">
        <f>IF(FT!B19&lt;&gt;"",FT!B19*100,"")</f>
        <v>40.791600000000003</v>
      </c>
      <c r="H19" s="61">
        <f t="shared" si="1"/>
        <v>1</v>
      </c>
      <c r="I19" t="str">
        <f>IF(FT!B19&lt;&gt;"",FT!E19,"")</f>
        <v>1 [6.906804]</v>
      </c>
      <c r="J19">
        <f>IF(FT!B19&lt;&gt;"",FT!C19,"")</f>
        <v>6.9067999999999996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3.0883400000000001</v>
      </c>
      <c r="G20" s="61">
        <f>IF(FT!B20&lt;&gt;"",FT!B20*100,"")</f>
        <v>40.156799999999997</v>
      </c>
      <c r="H20" s="61">
        <f t="shared" si="1"/>
        <v>1</v>
      </c>
      <c r="I20" t="str">
        <f>IF(FT!B20&lt;&gt;"",FT!E20,"")</f>
        <v>1 [7.313360]</v>
      </c>
      <c r="J20">
        <f>IF(FT!B20&lt;&gt;"",FT!C20,"")</f>
        <v>7.3133600000000003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58571</v>
      </c>
      <c r="D21" s="61">
        <f>FH!B21*1</f>
        <v>58571</v>
      </c>
      <c r="E21">
        <f t="shared" si="3"/>
        <v>19</v>
      </c>
      <c r="F21" s="61">
        <f>IF(FT!A21&lt;&gt;"",FT!A21*10,"")</f>
        <v>3.1286300000000002</v>
      </c>
      <c r="G21" s="61">
        <f>IF(FT!B21&lt;&gt;"",FT!B21*100,"")</f>
        <v>39.5565</v>
      </c>
      <c r="H21" s="61">
        <f t="shared" si="1"/>
        <v>1</v>
      </c>
      <c r="I21" t="str">
        <f>IF(FT!B21&lt;&gt;"",FT!E21,"")</f>
        <v>1 [7.720551]</v>
      </c>
      <c r="J21">
        <f>IF(FT!B21&lt;&gt;"",FT!C21,"")</f>
        <v>7.7205500000000002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3.1635900000000001</v>
      </c>
      <c r="G22" s="61">
        <f>IF(FT!B22&lt;&gt;"",FT!B22*100,"")</f>
        <v>39.0901</v>
      </c>
      <c r="H22" s="61">
        <f t="shared" si="1"/>
        <v>1</v>
      </c>
      <c r="I22" t="str">
        <f>IF(FT!B22&lt;&gt;"",FT!E22,"")</f>
        <v>1 [8.122932]</v>
      </c>
      <c r="J22">
        <f>IF(FT!B22&lt;&gt;"",FT!C22,"")</f>
        <v>8.1229300000000002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72249</v>
      </c>
      <c r="D23" s="61">
        <f>FH!B23*1</f>
        <v>72249</v>
      </c>
      <c r="E23">
        <f t="shared" si="3"/>
        <v>21</v>
      </c>
      <c r="F23" s="61">
        <f>IF(FT!A23&lt;&gt;"",FT!A23*10,"")</f>
        <v>3.19421</v>
      </c>
      <c r="G23" s="61">
        <f>IF(FT!B23&lt;&gt;"",FT!B23*100,"")</f>
        <v>38.636099999999999</v>
      </c>
      <c r="H23" s="61">
        <f t="shared" si="1"/>
        <v>1</v>
      </c>
      <c r="I23" t="str">
        <f>IF(FT!B23&lt;&gt;"",FT!E23,"")</f>
        <v>1 [8.530066]</v>
      </c>
      <c r="J23">
        <f>IF(FT!B23&lt;&gt;"",FT!C23,"")</f>
        <v>8.5300700000000003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3.2189000000000001</v>
      </c>
      <c r="G24" s="61">
        <f>IF(FT!B24&lt;&gt;"",FT!B24*100,"")</f>
        <v>38.127800000000001</v>
      </c>
      <c r="H24" s="61">
        <f t="shared" si="1"/>
        <v>1</v>
      </c>
      <c r="I24" t="str">
        <f>IF(FT!B24&lt;&gt;"",FT!E24,"")</f>
        <v>1 [8.938143]</v>
      </c>
      <c r="J24">
        <f>IF(FT!B24&lt;&gt;"",FT!C24,"")</f>
        <v>8.9381400000000006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3.2408199999999998</v>
      </c>
      <c r="G25" s="61">
        <f>IF(FT!B25&lt;&gt;"",FT!B25*100,"")</f>
        <v>37.650700000000001</v>
      </c>
      <c r="H25" s="61">
        <f t="shared" si="1"/>
        <v>1</v>
      </c>
      <c r="I25" t="str">
        <f>IF(FT!B25&lt;&gt;"",FT!E25,"")</f>
        <v>1 [9.342892]</v>
      </c>
      <c r="J25">
        <f>IF(FT!B25&lt;&gt;"",FT!C25,"")</f>
        <v>9.3428900000000006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89645</v>
      </c>
      <c r="D26" s="61">
        <f>FH!B26*1</f>
        <v>89645</v>
      </c>
      <c r="E26">
        <f t="shared" si="3"/>
        <v>24</v>
      </c>
      <c r="F26" s="61">
        <f>IF(FT!A26&lt;&gt;"",FT!A26*10,"")</f>
        <v>3.2595800000000001</v>
      </c>
      <c r="G26" s="61">
        <f>IF(FT!B26&lt;&gt;"",FT!B26*100,"")</f>
        <v>37.162299999999995</v>
      </c>
      <c r="H26" s="61">
        <f t="shared" si="1"/>
        <v>1</v>
      </c>
      <c r="I26" t="str">
        <f>IF(FT!B26&lt;&gt;"",FT!E26,"")</f>
        <v>1 [9.747882]</v>
      </c>
      <c r="J26">
        <f>IF(FT!B26&lt;&gt;"",FT!C26,"")</f>
        <v>9.7478800000000003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3.2739099999999999</v>
      </c>
      <c r="G27" s="61">
        <f>IF(FT!B27&lt;&gt;"",FT!B27*100,"")</f>
        <v>36.726799999999997</v>
      </c>
      <c r="H27" s="61">
        <f t="shared" si="1"/>
        <v>1</v>
      </c>
      <c r="I27" t="str">
        <f>IF(FT!B27&lt;&gt;"",FT!E27,"")</f>
        <v>1 [10.154979]</v>
      </c>
      <c r="J27">
        <f>IF(FT!B27&lt;&gt;"",FT!C27,"")</f>
        <v>10.154999999999999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88991</v>
      </c>
      <c r="D28" s="61">
        <f>FH!B28*1</f>
        <v>88991</v>
      </c>
      <c r="E28">
        <f t="shared" si="3"/>
        <v>26</v>
      </c>
      <c r="F28" s="61">
        <f>IF(FT!A28&lt;&gt;"",FT!A28*10,"")</f>
        <v>3.28674</v>
      </c>
      <c r="G28" s="61">
        <f>IF(FT!B28&lt;&gt;"",FT!B28*100,"")</f>
        <v>36.326099999999997</v>
      </c>
      <c r="H28" s="61">
        <f t="shared" si="1"/>
        <v>1</v>
      </c>
      <c r="I28" t="str">
        <f>IF(FT!B28&lt;&gt;"",FT!E28,"")</f>
        <v>1 [10.558585]</v>
      </c>
      <c r="J28">
        <f>IF(FT!B28&lt;&gt;"",FT!C28,"")</f>
        <v>10.5586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3.3019400000000001</v>
      </c>
      <c r="G29" s="61">
        <f>IF(FT!B29&lt;&gt;"",FT!B29*100,"")</f>
        <v>35.920699999999997</v>
      </c>
      <c r="H29" s="61">
        <f t="shared" si="1"/>
        <v>1</v>
      </c>
      <c r="I29" t="str">
        <f>IF(FT!B29&lt;&gt;"",FT!E29,"")</f>
        <v>1 [10.965845]</v>
      </c>
      <c r="J29">
        <f>IF(FT!B29&lt;&gt;"",FT!C29,"")</f>
        <v>10.9658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3.3176099999999997</v>
      </c>
      <c r="G30" s="61">
        <f>IF(FT!B30&lt;&gt;"",FT!B30*100,"")</f>
        <v>35.519600000000004</v>
      </c>
      <c r="H30" s="61">
        <f t="shared" si="1"/>
        <v>1</v>
      </c>
      <c r="I30" t="str">
        <f>IF(FT!B30&lt;&gt;"",FT!E30,"")</f>
        <v>1 [11.374417]</v>
      </c>
      <c r="J30">
        <f>IF(FT!B30&lt;&gt;"",FT!C30,"")</f>
        <v>11.3744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99072</v>
      </c>
      <c r="D31" s="61">
        <f>FH!B31*1</f>
        <v>99072</v>
      </c>
      <c r="E31">
        <f t="shared" si="3"/>
        <v>29</v>
      </c>
      <c r="F31" s="61">
        <f>IF(FT!A31&lt;&gt;"",FT!A31*10,"")</f>
        <v>3.33351</v>
      </c>
      <c r="G31" s="61">
        <f>IF(FT!B31&lt;&gt;"",FT!B31*100,"")</f>
        <v>35.126200000000004</v>
      </c>
      <c r="H31" s="61">
        <f t="shared" si="1"/>
        <v>1</v>
      </c>
      <c r="I31" t="str">
        <f>IF(FT!B31&lt;&gt;"",FT!E31,"")</f>
        <v>1 [11.778393]</v>
      </c>
      <c r="J31">
        <f>IF(FT!B31&lt;&gt;"",FT!C31,"")</f>
        <v>11.7784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3.34965</v>
      </c>
      <c r="G32" s="61">
        <f>IF(FT!B32&lt;&gt;"",FT!B32*100,"")</f>
        <v>34.741699999999994</v>
      </c>
      <c r="H32" s="61">
        <f t="shared" si="1"/>
        <v>1</v>
      </c>
      <c r="I32" t="str">
        <f>IF(FT!B32&lt;&gt;"",FT!E32,"")</f>
        <v>1 [12.187384]</v>
      </c>
      <c r="J32">
        <f>IF(FT!B32&lt;&gt;"",FT!C32,"")</f>
        <v>12.1874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94733</v>
      </c>
      <c r="D33" s="61">
        <f>FH!B33*1</f>
        <v>94733</v>
      </c>
      <c r="E33">
        <f t="shared" si="3"/>
        <v>31</v>
      </c>
      <c r="F33" s="61">
        <f>IF(FT!A33&lt;&gt;"",FT!A33*10,"")</f>
        <v>3.36354</v>
      </c>
      <c r="G33" s="61">
        <f>IF(FT!B33&lt;&gt;"",FT!B33*100,"")</f>
        <v>34.3735</v>
      </c>
      <c r="H33" s="61">
        <f t="shared" si="1"/>
        <v>1</v>
      </c>
      <c r="I33" t="str">
        <f>IF(FT!B33&lt;&gt;"",FT!E33,"")</f>
        <v>1 [12.593236]</v>
      </c>
      <c r="J33">
        <f>IF(FT!B33&lt;&gt;"",FT!C33,"")</f>
        <v>12.5932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3.3734199999999999</v>
      </c>
      <c r="G34" s="61">
        <f>IF(FT!B34&lt;&gt;"",FT!B34*100,"")</f>
        <v>34.055700000000002</v>
      </c>
      <c r="H34" s="61">
        <f t="shared" si="1"/>
        <v>1</v>
      </c>
      <c r="I34" t="str">
        <f>IF(FT!B34&lt;&gt;"",FT!E34,"")</f>
        <v>1 [12.999446]</v>
      </c>
      <c r="J34">
        <f>IF(FT!B34&lt;&gt;"",FT!C34,"")</f>
        <v>12.9994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3.3813599999999999</v>
      </c>
      <c r="G35" s="61">
        <f>IF(FT!B35&lt;&gt;"",FT!B35*100,"")</f>
        <v>33.757300000000001</v>
      </c>
      <c r="H35" s="61">
        <f t="shared" si="1"/>
        <v>1</v>
      </c>
      <c r="I35" t="str">
        <f>IF(FT!B35&lt;&gt;"",FT!E35,"")</f>
        <v>1 [13.404027]</v>
      </c>
      <c r="J35">
        <f>IF(FT!B35&lt;&gt;"",FT!C35,"")</f>
        <v>13.404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99390</v>
      </c>
      <c r="D36" s="61">
        <f>FH!B36*1</f>
        <v>99390</v>
      </c>
      <c r="E36">
        <f t="shared" si="3"/>
        <v>34</v>
      </c>
      <c r="F36" s="61">
        <f>IF(FT!A36&lt;&gt;"",FT!A36*10,"")</f>
        <v>3.3871899999999999</v>
      </c>
      <c r="G36" s="61">
        <f>IF(FT!B36&lt;&gt;"",FT!B36*100,"")</f>
        <v>33.5</v>
      </c>
      <c r="H36" s="61">
        <f t="shared" si="1"/>
        <v>1</v>
      </c>
      <c r="I36" t="str">
        <f>IF(FT!B36&lt;&gt;"",FT!E36,"")</f>
        <v>1 [13.809909]</v>
      </c>
      <c r="J36">
        <f>IF(FT!B36&lt;&gt;"",FT!C36,"")</f>
        <v>13.809900000000001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3.3905099999999999</v>
      </c>
      <c r="G37" s="61">
        <f>IF(FT!B37&lt;&gt;"",FT!B37*100,"")</f>
        <v>33.277200000000001</v>
      </c>
      <c r="H37" s="61">
        <f t="shared" si="1"/>
        <v>1</v>
      </c>
      <c r="I37" t="str">
        <f>IF(FT!B37&lt;&gt;"",FT!E37,"")</f>
        <v>1 [14.218160]</v>
      </c>
      <c r="J37">
        <f>IF(FT!B37&lt;&gt;"",FT!C37,"")</f>
        <v>14.2182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3.39181</v>
      </c>
      <c r="G38" s="61">
        <f>IF(FT!B38&lt;&gt;"",FT!B38*100,"")</f>
        <v>33.098499999999994</v>
      </c>
      <c r="H38" s="61">
        <f t="shared" si="1"/>
        <v>1</v>
      </c>
      <c r="I38" t="str">
        <f>IF(FT!B38&lt;&gt;"",FT!E38,"")</f>
        <v>1 [14.624760]</v>
      </c>
      <c r="J38">
        <f>IF(FT!B38&lt;&gt;"",FT!C38,"")</f>
        <v>14.6248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94663</v>
      </c>
      <c r="D39" s="61">
        <f>FH!B39*1</f>
        <v>94663</v>
      </c>
      <c r="E39">
        <f t="shared" si="3"/>
        <v>37</v>
      </c>
      <c r="F39" s="61">
        <f>IF(FT!A39&lt;&gt;"",FT!A39*10,"")</f>
        <v>3.38991</v>
      </c>
      <c r="G39" s="61">
        <f>IF(FT!B39&lt;&gt;"",FT!B39*100,"")</f>
        <v>32.956800000000001</v>
      </c>
      <c r="H39" s="61">
        <f t="shared" si="1"/>
        <v>1</v>
      </c>
      <c r="I39" t="str">
        <f>IF(FT!B39&lt;&gt;"",FT!E39,"")</f>
        <v>1 [15.029739]</v>
      </c>
      <c r="J39">
        <f>IF(FT!B39&lt;&gt;"",FT!C39,"")</f>
        <v>15.0297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3.38483</v>
      </c>
      <c r="G40" s="61">
        <f>IF(FT!B40&lt;&gt;"",FT!B40*100,"")</f>
        <v>32.899699999999996</v>
      </c>
      <c r="H40" s="61">
        <f t="shared" si="1"/>
        <v>1</v>
      </c>
      <c r="I40" t="str">
        <f>IF(FT!B40&lt;&gt;"",FT!E40,"")</f>
        <v>1 [15.438569]</v>
      </c>
      <c r="J40">
        <f>IF(FT!B40&lt;&gt;"",FT!C40,"")</f>
        <v>15.438599999999999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103843</v>
      </c>
      <c r="D41" s="61">
        <f>FH!B41*1</f>
        <v>103843</v>
      </c>
      <c r="E41">
        <f t="shared" si="3"/>
        <v>39</v>
      </c>
      <c r="F41" s="61">
        <f>IF(FT!A41&lt;&gt;"",FT!A41*10,"")</f>
        <v>3.37547</v>
      </c>
      <c r="G41" s="61">
        <f>IF(FT!B41&lt;&gt;"",FT!B41*100,"")</f>
        <v>32.929600000000001</v>
      </c>
      <c r="H41" s="61">
        <f t="shared" si="1"/>
        <v>1</v>
      </c>
      <c r="I41" t="str">
        <f>IF(FT!B41&lt;&gt;"",FT!E41,"")</f>
        <v>1 [15.843512]</v>
      </c>
      <c r="J41">
        <f>IF(FT!B41&lt;&gt;"",FT!C41,"")</f>
        <v>15.843500000000001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3.3629500000000001</v>
      </c>
      <c r="G42" s="61">
        <f>IF(FT!B42&lt;&gt;"",FT!B42*100,"")</f>
        <v>33.0289</v>
      </c>
      <c r="H42" s="61">
        <f t="shared" si="1"/>
        <v>1</v>
      </c>
      <c r="I42" t="str">
        <f>IF(FT!B42&lt;&gt;"",FT!E42,"")</f>
        <v>1 [16.247433]</v>
      </c>
      <c r="J42">
        <f>IF(FT!B42&lt;&gt;"",FT!C42,"")</f>
        <v>16.247399999999999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3.3501700000000003</v>
      </c>
      <c r="G43" s="61">
        <f>IF(FT!B43&lt;&gt;"",FT!B43*100,"")</f>
        <v>33.128500000000003</v>
      </c>
      <c r="H43" s="61">
        <f t="shared" si="1"/>
        <v>1</v>
      </c>
      <c r="I43" t="str">
        <f>IF(FT!B43&lt;&gt;"",FT!E43,"")</f>
        <v>1 [16.655380]</v>
      </c>
      <c r="J43">
        <f>IF(FT!B43&lt;&gt;"",FT!C43,"")</f>
        <v>16.6554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110790</v>
      </c>
      <c r="D44" s="61">
        <f>FH!B44*1</f>
        <v>110790</v>
      </c>
      <c r="E44">
        <f t="shared" si="3"/>
        <v>42</v>
      </c>
      <c r="F44" s="61">
        <f>IF(FT!A44&lt;&gt;"",FT!A44*10,"")</f>
        <v>3.3372700000000002</v>
      </c>
      <c r="G44" s="61">
        <f>IF(FT!B44&lt;&gt;"",FT!B44*100,"")</f>
        <v>33.182200000000002</v>
      </c>
      <c r="H44" s="61">
        <f t="shared" si="1"/>
        <v>1</v>
      </c>
      <c r="I44" t="str">
        <f>IF(FT!B44&lt;&gt;"",FT!E44,"")</f>
        <v>1 [17.061271]</v>
      </c>
      <c r="J44">
        <f>IF(FT!B44&lt;&gt;"",FT!C44,"")</f>
        <v>17.061299999999999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3.3252999999999999</v>
      </c>
      <c r="G45" s="61">
        <f>IF(FT!B45&lt;&gt;"",FT!B45*100,"")</f>
        <v>33.146700000000003</v>
      </c>
      <c r="H45" s="61">
        <f t="shared" si="1"/>
        <v>1</v>
      </c>
      <c r="I45" t="str">
        <f>IF(FT!B45&lt;&gt;"",FT!E45,"")</f>
        <v>1 [17.467170]</v>
      </c>
      <c r="J45">
        <f>IF(FT!B45&lt;&gt;"",FT!C45,"")</f>
        <v>17.467199999999998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121089</v>
      </c>
      <c r="D46" s="61">
        <f>FH!B46*1</f>
        <v>121089</v>
      </c>
      <c r="E46">
        <f t="shared" si="3"/>
        <v>44</v>
      </c>
      <c r="F46" s="61">
        <f>IF(FT!A46&lt;&gt;"",FT!A46*10,"")</f>
        <v>3.31454</v>
      </c>
      <c r="G46" s="61">
        <f>IF(FT!B46&lt;&gt;"",FT!B46*100,"")</f>
        <v>33.143899999999995</v>
      </c>
      <c r="H46" s="61">
        <f t="shared" si="1"/>
        <v>1</v>
      </c>
      <c r="I46" t="str">
        <f>IF(FT!B46&lt;&gt;"",FT!E46,"")</f>
        <v>1 [17.872113]</v>
      </c>
      <c r="J46">
        <f>IF(FT!B46&lt;&gt;"",FT!C46,"")</f>
        <v>17.8721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3.3062300000000002</v>
      </c>
      <c r="G47" s="61">
        <f>IF(FT!B47&lt;&gt;"",FT!B47*100,"")</f>
        <v>33.1173</v>
      </c>
      <c r="H47" s="61">
        <f t="shared" si="1"/>
        <v>1</v>
      </c>
      <c r="I47" t="str">
        <f>IF(FT!B47&lt;&gt;"",FT!E47,"")</f>
        <v>1 [18.278974]</v>
      </c>
      <c r="J47">
        <f>IF(FT!B47&lt;&gt;"",FT!C47,"")</f>
        <v>18.279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3.2970600000000001</v>
      </c>
      <c r="G48" s="61">
        <f>IF(FT!B48&lt;&gt;"",FT!B48*100,"")</f>
        <v>33.120800000000003</v>
      </c>
      <c r="H48" s="61">
        <f t="shared" si="1"/>
        <v>1</v>
      </c>
      <c r="I48" t="str">
        <f>IF(FT!B48&lt;&gt;"",FT!E48,"")</f>
        <v>1 [18.685003]</v>
      </c>
      <c r="J48">
        <f>IF(FT!B48&lt;&gt;"",FT!C48,"")</f>
        <v>18.684999999999999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112368</v>
      </c>
      <c r="D49" s="61">
        <f>FH!B49*1</f>
        <v>112368</v>
      </c>
      <c r="E49">
        <f t="shared" si="3"/>
        <v>47</v>
      </c>
      <c r="F49" s="61">
        <f>IF(FT!A49&lt;&gt;"",FT!A49*10,"")</f>
        <v>3.2881800000000001</v>
      </c>
      <c r="G49" s="61">
        <f>IF(FT!B49&lt;&gt;"",FT!B49*100,"")</f>
        <v>33.177399999999999</v>
      </c>
      <c r="H49" s="61">
        <f t="shared" si="1"/>
        <v>1</v>
      </c>
      <c r="I49" t="str">
        <f>IF(FT!B49&lt;&gt;"",FT!E49,"")</f>
        <v>1 [19.093842]</v>
      </c>
      <c r="J49">
        <f>IF(FT!B49&lt;&gt;"",FT!C49,"")</f>
        <v>19.093800000000002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3.2799299999999998</v>
      </c>
      <c r="G50" s="61">
        <f>IF(FT!B50&lt;&gt;"",FT!B50*100,"")</f>
        <v>33.258500000000005</v>
      </c>
      <c r="H50" s="61">
        <f t="shared" si="1"/>
        <v>1</v>
      </c>
      <c r="I50" t="str">
        <f>IF(FT!B50&lt;&gt;"",FT!E50,"")</f>
        <v>1 [19.499984]</v>
      </c>
      <c r="J50">
        <f>IF(FT!B50&lt;&gt;"",FT!C50,"")</f>
        <v>19.5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127715</v>
      </c>
      <c r="D51" s="61">
        <f>FH!B51*1</f>
        <v>127715</v>
      </c>
      <c r="E51">
        <f t="shared" si="3"/>
        <v>49</v>
      </c>
      <c r="F51" s="61">
        <f>IF(FT!A51&lt;&gt;"",FT!A51*10,"")</f>
        <v>3.2703700000000002</v>
      </c>
      <c r="G51" s="61">
        <f>IF(FT!B51&lt;&gt;"",FT!B51*100,"")</f>
        <v>33.342799999999997</v>
      </c>
      <c r="H51" s="61">
        <f t="shared" si="1"/>
        <v>1</v>
      </c>
      <c r="I51" t="str">
        <f>IF(FT!B51&lt;&gt;"",FT!E51,"")</f>
        <v>1 [19.902662]</v>
      </c>
      <c r="J51">
        <f>IF(FT!B51&lt;&gt;"",FT!C51,"")</f>
        <v>19.902699999999999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3.2649699999999999</v>
      </c>
      <c r="G52" s="61">
        <f>IF(FT!B52&lt;&gt;"",FT!B52*100,"")</f>
        <v>33.385199999999998</v>
      </c>
      <c r="H52" s="61">
        <f t="shared" si="1"/>
        <v>1</v>
      </c>
      <c r="I52" t="str">
        <f>IF(FT!B52&lt;&gt;"",FT!E52,"")</f>
        <v>1 [20.310577]</v>
      </c>
      <c r="J52">
        <f>IF(FT!B52&lt;&gt;"",FT!C52,"")</f>
        <v>20.310600000000001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3.2549600000000001</v>
      </c>
      <c r="G53" s="61">
        <f>IF(FT!B53&lt;&gt;"",FT!B53*100,"")</f>
        <v>33.435700000000004</v>
      </c>
      <c r="H53" s="61">
        <f t="shared" si="1"/>
        <v>1</v>
      </c>
      <c r="I53" t="str">
        <f>IF(FT!B53&lt;&gt;"",FT!E53,"")</f>
        <v>1 [20.715841]</v>
      </c>
      <c r="J53">
        <f>IF(FT!B53&lt;&gt;"",FT!C53,"")</f>
        <v>20.715800000000002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126313</v>
      </c>
      <c r="D54" s="61">
        <f>FH!B54*1</f>
        <v>126313</v>
      </c>
      <c r="E54">
        <f t="shared" si="3"/>
        <v>52</v>
      </c>
      <c r="F54" s="61">
        <f>IF(FT!A54&lt;&gt;"",FT!A54*10,"")</f>
        <v>3.2434000000000003</v>
      </c>
      <c r="G54" s="61">
        <f>IF(FT!B54&lt;&gt;"",FT!B54*100,"")</f>
        <v>33.530500000000004</v>
      </c>
      <c r="H54" s="61">
        <f t="shared" si="1"/>
        <v>1</v>
      </c>
      <c r="I54" t="str">
        <f>IF(FT!B54&lt;&gt;"",FT!E54,"")</f>
        <v>1 [21.120426]</v>
      </c>
      <c r="J54">
        <f>IF(FT!B54&lt;&gt;"",FT!C54,"")</f>
        <v>21.1204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3.2303700000000002</v>
      </c>
      <c r="G55" s="61">
        <f>IF(FT!B55&lt;&gt;"",FT!B55*100,"")</f>
        <v>33.592700000000001</v>
      </c>
      <c r="H55" s="61">
        <f t="shared" si="1"/>
        <v>1</v>
      </c>
      <c r="I55" t="str">
        <f>IF(FT!B55&lt;&gt;"",FT!E55,"")</f>
        <v>1 [21.528456]</v>
      </c>
      <c r="J55">
        <f>IF(FT!B55&lt;&gt;"",FT!C55,"")</f>
        <v>21.528500000000001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3.2147300000000003</v>
      </c>
      <c r="G56" s="61">
        <f>IF(FT!B56&lt;&gt;"",FT!B56*100,"")</f>
        <v>33.609400000000001</v>
      </c>
      <c r="H56" s="61">
        <f t="shared" si="1"/>
        <v>1</v>
      </c>
      <c r="I56" t="str">
        <f>IF(FT!B56&lt;&gt;"",FT!E56,"")</f>
        <v>1 [21.934223]</v>
      </c>
      <c r="J56">
        <f>IF(FT!B56&lt;&gt;"",FT!C56,"")</f>
        <v>21.934200000000001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130244</v>
      </c>
      <c r="D57" s="61">
        <f>FH!B57*1</f>
        <v>130244</v>
      </c>
      <c r="E57">
        <f t="shared" si="3"/>
        <v>55</v>
      </c>
      <c r="F57" s="61">
        <f>IF(FT!A57&lt;&gt;"",FT!A57*10,"")</f>
        <v>3.1951299999999998</v>
      </c>
      <c r="G57" s="61">
        <f>IF(FT!B57&lt;&gt;"",FT!B57*100,"")</f>
        <v>33.621699999999997</v>
      </c>
      <c r="H57" s="61">
        <f t="shared" si="1"/>
        <v>1</v>
      </c>
      <c r="I57" t="str">
        <f>IF(FT!B57&lt;&gt;"",FT!E57,"")</f>
        <v>1 [22.344246]</v>
      </c>
      <c r="J57">
        <f>IF(FT!B57&lt;&gt;"",FT!C57,"")</f>
        <v>22.344200000000001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3.1746999999999996</v>
      </c>
      <c r="G58" s="61">
        <f>IF(FT!B58&lt;&gt;"",FT!B58*100,"")</f>
        <v>33.591100000000004</v>
      </c>
      <c r="H58" s="61">
        <f t="shared" si="1"/>
        <v>1</v>
      </c>
      <c r="I58" t="str">
        <f>IF(FT!B58&lt;&gt;"",FT!E58,"")</f>
        <v>1 [22.751056]</v>
      </c>
      <c r="J58">
        <f>IF(FT!B58&lt;&gt;"",FT!C58,"")</f>
        <v>22.751100000000001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133161</v>
      </c>
      <c r="D59" s="61">
        <f>FH!B59*1</f>
        <v>133161</v>
      </c>
      <c r="E59">
        <f t="shared" si="3"/>
        <v>57</v>
      </c>
      <c r="F59" s="61">
        <f>IF(FT!A59&lt;&gt;"",FT!A59*10,"")</f>
        <v>3.1555599999999999</v>
      </c>
      <c r="G59" s="61">
        <f>IF(FT!B59&lt;&gt;"",FT!B59*100,"")</f>
        <v>33.44</v>
      </c>
      <c r="H59" s="61">
        <f t="shared" si="1"/>
        <v>1</v>
      </c>
      <c r="I59" t="str">
        <f>IF(FT!B59&lt;&gt;"",FT!E59,"")</f>
        <v>1 [23.155900]</v>
      </c>
      <c r="J59">
        <f>IF(FT!B59&lt;&gt;"",FT!C59,"")</f>
        <v>23.155899999999999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3.1367000000000003</v>
      </c>
      <c r="G60" s="61">
        <f>IF(FT!B60&lt;&gt;"",FT!B60*100,"")</f>
        <v>33.235599999999998</v>
      </c>
      <c r="H60" s="61">
        <f t="shared" si="1"/>
        <v>1</v>
      </c>
      <c r="I60" t="str">
        <f>IF(FT!B60&lt;&gt;"",FT!E60,"")</f>
        <v>1 [23.558872]</v>
      </c>
      <c r="J60">
        <f>IF(FT!B60&lt;&gt;"",FT!C60,"")</f>
        <v>23.558900000000001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3.11842</v>
      </c>
      <c r="G61" s="61">
        <f>IF(FT!B61&lt;&gt;"",FT!B61*100,"")</f>
        <v>32.949400000000004</v>
      </c>
      <c r="H61" s="61">
        <f t="shared" si="1"/>
        <v>1</v>
      </c>
      <c r="I61" t="str">
        <f>IF(FT!B61&lt;&gt;"",FT!E61,"")</f>
        <v>1 [23.970842]</v>
      </c>
      <c r="J61">
        <f>IF(FT!B61&lt;&gt;"",FT!C61,"")</f>
        <v>23.970800000000001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146778</v>
      </c>
      <c r="D62" s="61">
        <f>FH!B62*1</f>
        <v>146778</v>
      </c>
      <c r="E62">
        <f t="shared" si="3"/>
        <v>60</v>
      </c>
      <c r="F62" s="61">
        <f>IF(FT!A62&lt;&gt;"",FT!A62*10,"")</f>
        <v>3.0988300000000004</v>
      </c>
      <c r="G62" s="61">
        <f>IF(FT!B62&lt;&gt;"",FT!B62*100,"")</f>
        <v>32.675199999999997</v>
      </c>
      <c r="H62" s="61">
        <f t="shared" si="1"/>
        <v>1</v>
      </c>
      <c r="I62" t="str">
        <f>IF(FT!B62&lt;&gt;"",FT!E62,"")</f>
        <v>1 [24.373715]</v>
      </c>
      <c r="J62">
        <f>IF(FT!B62&lt;&gt;"",FT!C62,"")</f>
        <v>24.373699999999999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3.0808400000000002</v>
      </c>
      <c r="G63" s="61">
        <f>IF(FT!B63&lt;&gt;"",FT!B63*100,"")</f>
        <v>32.378900000000002</v>
      </c>
      <c r="H63" s="61">
        <f t="shared" si="1"/>
        <v>1</v>
      </c>
      <c r="I63" t="str">
        <f>IF(FT!B63&lt;&gt;"",FT!E63,"")</f>
        <v>1 [24.779635]</v>
      </c>
      <c r="J63">
        <f>IF(FT!B63&lt;&gt;"",FT!C63,"")</f>
        <v>24.779599999999999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159077</v>
      </c>
      <c r="D64" s="61">
        <f>FH!B64*1</f>
        <v>159077</v>
      </c>
      <c r="E64">
        <f t="shared" si="3"/>
        <v>62</v>
      </c>
      <c r="F64" s="61">
        <f>IF(FT!A64&lt;&gt;"",FT!A64*10,"")</f>
        <v>3.0629499999999998</v>
      </c>
      <c r="G64" s="61">
        <f>IF(FT!B64&lt;&gt;"",FT!B64*100,"")</f>
        <v>32.120800000000003</v>
      </c>
      <c r="H64" s="61">
        <f t="shared" si="1"/>
        <v>1</v>
      </c>
      <c r="I64" t="str">
        <f>IF(FT!B64&lt;&gt;"",FT!E64,"")</f>
        <v>1 [25.185522]</v>
      </c>
      <c r="J64">
        <f>IF(FT!B64&lt;&gt;"",FT!C64,"")</f>
        <v>25.185500000000001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3.04589</v>
      </c>
      <c r="G65" s="61">
        <f>IF(FT!B65&lt;&gt;"",FT!B65*100,"")</f>
        <v>31.870100000000001</v>
      </c>
      <c r="H65" s="61">
        <f t="shared" si="1"/>
        <v>1</v>
      </c>
      <c r="I65" t="str">
        <f>IF(FT!B65&lt;&gt;"",FT!E65,"")</f>
        <v>1 [25.590441]</v>
      </c>
      <c r="J65">
        <f>IF(FT!B65&lt;&gt;"",FT!C65,"")</f>
        <v>25.590399999999999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3.0300799999999999</v>
      </c>
      <c r="G66" s="61">
        <f>IF(FT!B66&lt;&gt;"",FT!B66*100,"")</f>
        <v>31.618200000000002</v>
      </c>
      <c r="H66" s="61">
        <f t="shared" si="1"/>
        <v>1</v>
      </c>
      <c r="I66" t="str">
        <f>IF(FT!B66&lt;&gt;"",FT!E66,"")</f>
        <v>1 [25.999775]</v>
      </c>
      <c r="J66">
        <f>IF(FT!B66&lt;&gt;"",FT!C66,"")</f>
        <v>25.9998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161588</v>
      </c>
      <c r="D67" s="61">
        <f>FH!B67*1</f>
        <v>161588</v>
      </c>
      <c r="E67">
        <f t="shared" si="3"/>
        <v>65</v>
      </c>
      <c r="F67" s="61">
        <f>IF(FT!A67&lt;&gt;"",FT!A67*10,"")</f>
        <v>3.0128899999999996</v>
      </c>
      <c r="G67" s="61">
        <f>IF(FT!B67&lt;&gt;"",FT!B67*100,"")</f>
        <v>31.4712</v>
      </c>
      <c r="H67" s="61">
        <f t="shared" ref="H67:H130" si="9">(IF(F67&lt;&gt;"",1,""))</f>
        <v>1</v>
      </c>
      <c r="I67" t="str">
        <f>IF(FT!B67&lt;&gt;"",FT!E67,"")</f>
        <v>1 [26.408403]</v>
      </c>
      <c r="J67">
        <f>IF(FT!B67&lt;&gt;"",FT!C67,"")</f>
        <v>26.4084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2.9965099999999998</v>
      </c>
      <c r="G68" s="61">
        <f>IF(FT!B68&lt;&gt;"",FT!B68*100,"")</f>
        <v>31.325799999999997</v>
      </c>
      <c r="H68" s="61">
        <f t="shared" si="9"/>
        <v>1</v>
      </c>
      <c r="I68" t="str">
        <f>IF(FT!B68&lt;&gt;"",FT!E68,"")</f>
        <v>1 [26.814205]</v>
      </c>
      <c r="J68">
        <f>IF(FT!B68&lt;&gt;"",FT!C68,"")</f>
        <v>26.8142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171505</v>
      </c>
      <c r="D69" s="61">
        <f>FH!B69*1</f>
        <v>171505</v>
      </c>
      <c r="E69">
        <f t="shared" si="11"/>
        <v>67</v>
      </c>
      <c r="F69" s="61">
        <f>IF(FT!A69&lt;&gt;"",FT!A69*10,"")</f>
        <v>2.9804900000000001</v>
      </c>
      <c r="G69" s="61">
        <f>IF(FT!B69&lt;&gt;"",FT!B69*100,"")</f>
        <v>31.188500000000001</v>
      </c>
      <c r="H69" s="61">
        <f t="shared" si="9"/>
        <v>1</v>
      </c>
      <c r="I69" t="str">
        <f>IF(FT!B69&lt;&gt;"",FT!E69,"")</f>
        <v>1 [27.223137]</v>
      </c>
      <c r="J69">
        <f>IF(FT!B69&lt;&gt;"",FT!C69,"")</f>
        <v>27.223099999999999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2.9671599999999998</v>
      </c>
      <c r="G70" s="61">
        <f>IF(FT!B70&lt;&gt;"",FT!B70*100,"")</f>
        <v>31.113700000000001</v>
      </c>
      <c r="H70" s="61">
        <f t="shared" si="9"/>
        <v>1</v>
      </c>
      <c r="I70" t="str">
        <f>IF(FT!B70&lt;&gt;"",FT!E70,"")</f>
        <v>1 [27.621979]</v>
      </c>
      <c r="J70">
        <f>IF(FT!B70&lt;&gt;"",FT!C70,"")</f>
        <v>27.622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2.9567100000000002</v>
      </c>
      <c r="G71" s="61">
        <f>IF(FT!B71&lt;&gt;"",FT!B71*100,"")</f>
        <v>30.975200000000001</v>
      </c>
      <c r="H71" s="61">
        <f t="shared" si="9"/>
        <v>1</v>
      </c>
      <c r="I71" t="str">
        <f>IF(FT!B71&lt;&gt;"",FT!E71,"")</f>
        <v>1 [28.027174]</v>
      </c>
      <c r="J71">
        <f>IF(FT!B71&lt;&gt;"",FT!C71,"")</f>
        <v>28.027200000000001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173803</v>
      </c>
      <c r="D72" s="61">
        <f>FH!B72*1</f>
        <v>173803</v>
      </c>
      <c r="E72">
        <f t="shared" si="11"/>
        <v>70</v>
      </c>
      <c r="F72" s="61">
        <f>IF(FT!A72&lt;&gt;"",FT!A72*10,"")</f>
        <v>2.9487400000000004</v>
      </c>
      <c r="G72" s="61">
        <f>IF(FT!B72&lt;&gt;"",FT!B72*100,"")</f>
        <v>30.742399999999996</v>
      </c>
      <c r="H72" s="61">
        <f t="shared" si="9"/>
        <v>1</v>
      </c>
      <c r="I72" t="str">
        <f>IF(FT!B72&lt;&gt;"",FT!E72,"")</f>
        <v>1 [28.434822]</v>
      </c>
      <c r="J72">
        <f>IF(FT!B72&lt;&gt;"",FT!C72,"")</f>
        <v>28.434799999999999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2.9455499999999999</v>
      </c>
      <c r="G73" s="61">
        <f>IF(FT!B73&lt;&gt;"",FT!B73*100,"")</f>
        <v>30.403500000000001</v>
      </c>
      <c r="H73" s="61">
        <f t="shared" si="9"/>
        <v>1</v>
      </c>
      <c r="I73" t="str">
        <f>IF(FT!B73&lt;&gt;"",FT!E73,"")</f>
        <v>1 [28.843715]</v>
      </c>
      <c r="J73">
        <f>IF(FT!B73&lt;&gt;"",FT!C73,"")</f>
        <v>28.843699999999998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2.9456600000000002</v>
      </c>
      <c r="G74" s="61">
        <f>IF(FT!B74&lt;&gt;"",FT!B74*100,"")</f>
        <v>29.993399999999998</v>
      </c>
      <c r="H74" s="61">
        <f t="shared" si="9"/>
        <v>1</v>
      </c>
      <c r="I74" t="str">
        <f>IF(FT!B74&lt;&gt;"",FT!E74,"")</f>
        <v>1 [29.247706]</v>
      </c>
      <c r="J74">
        <f>IF(FT!B74&lt;&gt;"",FT!C74,"")</f>
        <v>29.247699999999998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175839</v>
      </c>
      <c r="D75" s="61">
        <f>FH!B75*1</f>
        <v>175839</v>
      </c>
      <c r="E75">
        <f t="shared" si="11"/>
        <v>73</v>
      </c>
      <c r="F75" s="61">
        <f>IF(FT!A75&lt;&gt;"",FT!A75*10,"")</f>
        <v>2.9462699999999997</v>
      </c>
      <c r="G75" s="61">
        <f>IF(FT!B75&lt;&gt;"",FT!B75*100,"")</f>
        <v>29.531000000000002</v>
      </c>
      <c r="H75" s="61">
        <f t="shared" si="9"/>
        <v>1</v>
      </c>
      <c r="I75" t="str">
        <f>IF(FT!B75&lt;&gt;"",FT!E75,"")</f>
        <v>1 [29.654694]</v>
      </c>
      <c r="J75">
        <f>IF(FT!B75&lt;&gt;"",FT!C75,"")</f>
        <v>29.654699999999998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2.9511500000000002</v>
      </c>
      <c r="G76" s="61">
        <f>IF(FT!B76&lt;&gt;"",FT!B76*100,"")</f>
        <v>29.043600000000001</v>
      </c>
      <c r="H76" s="61">
        <f t="shared" si="9"/>
        <v>1</v>
      </c>
      <c r="I76" t="str">
        <f>IF(FT!B76&lt;&gt;"",FT!E76,"")</f>
        <v>2 [30.059555]</v>
      </c>
      <c r="J76">
        <f>IF(FT!B76&lt;&gt;"",FT!C76,"")</f>
        <v>30.0596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154148</v>
      </c>
      <c r="D77" s="61">
        <f>FH!B77*1</f>
        <v>154148</v>
      </c>
      <c r="E77">
        <f t="shared" si="11"/>
        <v>75</v>
      </c>
      <c r="F77" s="61">
        <f>IF(FT!A77&lt;&gt;"",FT!A77*10,"")</f>
        <v>2.96638</v>
      </c>
      <c r="G77" s="61">
        <f>IF(FT!B77&lt;&gt;"",FT!B77*100,"")</f>
        <v>28.270699999999998</v>
      </c>
      <c r="H77" s="61">
        <f t="shared" si="9"/>
        <v>1</v>
      </c>
      <c r="I77" t="str">
        <f>IF(FT!B77&lt;&gt;"",FT!E77,"")</f>
        <v>2 [30.652881]</v>
      </c>
      <c r="J77">
        <f>IF(FT!B77&lt;&gt;"",FT!C77,"")</f>
        <v>30.652899999999999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2.9753000000000003</v>
      </c>
      <c r="G78" s="61">
        <f>IF(FT!B78&lt;&gt;"",FT!B78*100,"")</f>
        <v>27.545100000000001</v>
      </c>
      <c r="H78" s="61">
        <f t="shared" si="9"/>
        <v>1</v>
      </c>
      <c r="I78" t="str">
        <f>IF(FT!B78&lt;&gt;"",FT!E78,"")</f>
        <v>2 [31.026864]</v>
      </c>
      <c r="J78">
        <f>IF(FT!B78&lt;&gt;"",FT!C78,"")</f>
        <v>31.026900000000001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2.9868399999999999</v>
      </c>
      <c r="G79" s="61">
        <f>IF(FT!B79&lt;&gt;"",FT!B79*100,"")</f>
        <v>26.832099999999997</v>
      </c>
      <c r="H79" s="61">
        <f t="shared" si="9"/>
        <v>1</v>
      </c>
      <c r="I79" t="str">
        <f>IF(FT!B79&lt;&gt;"",FT!E79,"")</f>
        <v>2 [31.404965]</v>
      </c>
      <c r="J79">
        <f>IF(FT!B79&lt;&gt;"",FT!C79,"")</f>
        <v>31.405000000000001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153309</v>
      </c>
      <c r="D80" s="61">
        <f>FH!B80*1</f>
        <v>153309</v>
      </c>
      <c r="E80">
        <f t="shared" si="11"/>
        <v>78</v>
      </c>
      <c r="F80" s="61">
        <f>IF(FT!A80&lt;&gt;"",FT!A80*10,"")</f>
        <v>3.0014400000000001</v>
      </c>
      <c r="G80" s="61">
        <f>IF(FT!B80&lt;&gt;"",FT!B80*100,"")</f>
        <v>26.112099999999998</v>
      </c>
      <c r="H80" s="61">
        <f t="shared" si="9"/>
        <v>1</v>
      </c>
      <c r="I80" t="str">
        <f>IF(FT!B80&lt;&gt;"",FT!E80,"")</f>
        <v>2 [31.778041]</v>
      </c>
      <c r="J80">
        <f>IF(FT!B80&lt;&gt;"",FT!C80,"")</f>
        <v>31.777999999999999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3.0175299999999998</v>
      </c>
      <c r="G81" s="61">
        <f>IF(FT!B81&lt;&gt;"",FT!B81*100,"")</f>
        <v>25.413400000000003</v>
      </c>
      <c r="H81" s="61">
        <f t="shared" si="9"/>
        <v>1</v>
      </c>
      <c r="I81" t="str">
        <f>IF(FT!B81&lt;&gt;"",FT!E81,"")</f>
        <v>2 [32.155988]</v>
      </c>
      <c r="J81">
        <f>IF(FT!B81&lt;&gt;"",FT!C81,"")</f>
        <v>32.155999999999999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151485</v>
      </c>
      <c r="D82" s="61">
        <f>FH!B82*1</f>
        <v>151485</v>
      </c>
      <c r="E82">
        <f t="shared" si="11"/>
        <v>80</v>
      </c>
      <c r="F82" s="61">
        <f>IF(FT!A82&lt;&gt;"",FT!A82*10,"")</f>
        <v>3.0304199999999999</v>
      </c>
      <c r="G82" s="61">
        <f>IF(FT!B82&lt;&gt;"",FT!B82*100,"")</f>
        <v>24.840300000000003</v>
      </c>
      <c r="H82" s="61">
        <f t="shared" si="9"/>
        <v>1</v>
      </c>
      <c r="I82" t="str">
        <f>IF(FT!B82&lt;&gt;"",FT!E82,"")</f>
        <v>2 [32.560906]</v>
      </c>
      <c r="J82">
        <f>IF(FT!B82&lt;&gt;"",FT!C82,"")</f>
        <v>32.560899999999997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3.0454699999999999</v>
      </c>
      <c r="G83" s="61">
        <f>IF(FT!B83&lt;&gt;"",FT!B83*100,"")</f>
        <v>24.351099999999999</v>
      </c>
      <c r="H83" s="61">
        <f t="shared" si="9"/>
        <v>1</v>
      </c>
      <c r="I83" t="str">
        <f>IF(FT!B83&lt;&gt;"",FT!E83,"")</f>
        <v>2 [32.966736]</v>
      </c>
      <c r="J83">
        <f>IF(FT!B83&lt;&gt;"",FT!C83,"")</f>
        <v>32.966700000000003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3.0617000000000001</v>
      </c>
      <c r="G84" s="61">
        <f>IF(FT!B84&lt;&gt;"",FT!B84*100,"")</f>
        <v>23.985500000000002</v>
      </c>
      <c r="H84" s="61">
        <f t="shared" si="9"/>
        <v>1</v>
      </c>
      <c r="I84" t="str">
        <f>IF(FT!B84&lt;&gt;"",FT!E84,"")</f>
        <v>2 [33.374679]</v>
      </c>
      <c r="J84">
        <f>IF(FT!B84&lt;&gt;"",FT!C84,"")</f>
        <v>33.374699999999997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156417</v>
      </c>
      <c r="D85" s="61">
        <f>FH!B85*1</f>
        <v>156417</v>
      </c>
      <c r="E85">
        <f t="shared" si="11"/>
        <v>83</v>
      </c>
      <c r="F85" s="61">
        <f>IF(FT!A85&lt;&gt;"",FT!A85*10,"")</f>
        <v>3.0798999999999999</v>
      </c>
      <c r="G85" s="61">
        <f>IF(FT!B85&lt;&gt;"",FT!B85*100,"")</f>
        <v>23.666599999999999</v>
      </c>
      <c r="H85" s="61">
        <f t="shared" si="9"/>
        <v>1</v>
      </c>
      <c r="I85" t="str">
        <f>IF(FT!B85&lt;&gt;"",FT!E85,"")</f>
        <v>2 [33.778559]</v>
      </c>
      <c r="J85">
        <f>IF(FT!B85&lt;&gt;"",FT!C85,"")</f>
        <v>33.778599999999997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3.0989299999999997</v>
      </c>
      <c r="G86" s="61">
        <f>IF(FT!B86&lt;&gt;"",FT!B86*100,"")</f>
        <v>23.379200000000001</v>
      </c>
      <c r="H86" s="61">
        <f t="shared" si="9"/>
        <v>1</v>
      </c>
      <c r="I86" t="str">
        <f>IF(FT!B86&lt;&gt;"",FT!E86,"")</f>
        <v>2 [34.186904]</v>
      </c>
      <c r="J86">
        <f>IF(FT!B86&lt;&gt;"",FT!C86,"")</f>
        <v>34.186900000000001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3.1156299999999999</v>
      </c>
      <c r="G87" s="61">
        <f>IF(FT!B87&lt;&gt;"",FT!B87*100,"")</f>
        <v>23.096900000000002</v>
      </c>
      <c r="H87" s="61">
        <f t="shared" si="9"/>
        <v>1</v>
      </c>
      <c r="I87" t="str">
        <f>IF(FT!B87&lt;&gt;"",FT!E87,"")</f>
        <v>2 [34.594416]</v>
      </c>
      <c r="J87">
        <f>IF(FT!B87&lt;&gt;"",FT!C87,"")</f>
        <v>34.5944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152651</v>
      </c>
      <c r="D88" s="61">
        <f>FH!B88*1</f>
        <v>152651</v>
      </c>
      <c r="E88">
        <f t="shared" si="11"/>
        <v>86</v>
      </c>
      <c r="F88" s="61">
        <f>IF(FT!A88&lt;&gt;"",FT!A88*10,"")</f>
        <v>3.1342500000000002</v>
      </c>
      <c r="G88" s="61">
        <f>IF(FT!B88&lt;&gt;"",FT!B88*100,"")</f>
        <v>22.827200000000001</v>
      </c>
      <c r="H88" s="61">
        <f t="shared" si="9"/>
        <v>1</v>
      </c>
      <c r="I88" t="str">
        <f>IF(FT!B88&lt;&gt;"",FT!E88,"")</f>
        <v>2 [34.996315]</v>
      </c>
      <c r="J88">
        <f>IF(FT!B88&lt;&gt;"",FT!C88,"")</f>
        <v>34.996299999999998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3.15455</v>
      </c>
      <c r="G89" s="61">
        <f>IF(FT!B89&lt;&gt;"",FT!B89*100,"")</f>
        <v>22.5412</v>
      </c>
      <c r="H89" s="61">
        <f t="shared" si="9"/>
        <v>1</v>
      </c>
      <c r="I89" t="str">
        <f>IF(FT!B89&lt;&gt;"",FT!E89,"")</f>
        <v>2 [35.402422]</v>
      </c>
      <c r="J89">
        <f>IF(FT!B89&lt;&gt;"",FT!C89,"")</f>
        <v>35.4024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159816</v>
      </c>
      <c r="D90" s="61">
        <f>FH!B90*1</f>
        <v>159816</v>
      </c>
      <c r="E90">
        <f t="shared" si="11"/>
        <v>88</v>
      </c>
      <c r="F90" s="61">
        <f>IF(FT!A90&lt;&gt;"",FT!A90*10,"")</f>
        <v>3.17245</v>
      </c>
      <c r="G90" s="61">
        <f>IF(FT!B90&lt;&gt;"",FT!B90*100,"")</f>
        <v>22.3306</v>
      </c>
      <c r="H90" s="61">
        <f t="shared" si="9"/>
        <v>1</v>
      </c>
      <c r="I90" t="str">
        <f>IF(FT!B90&lt;&gt;"",FT!E90,"")</f>
        <v>2 [35.807248]</v>
      </c>
      <c r="J90">
        <f>IF(FT!B90&lt;&gt;"",FT!C90,"")</f>
        <v>35.807200000000002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3.1911099999999997</v>
      </c>
      <c r="G91" s="61">
        <f>IF(FT!B91&lt;&gt;"",FT!B91*100,"")</f>
        <v>22.0411</v>
      </c>
      <c r="H91" s="61">
        <f t="shared" si="9"/>
        <v>1</v>
      </c>
      <c r="I91" t="str">
        <f>IF(FT!B91&lt;&gt;"",FT!E91,"")</f>
        <v>2 [36.217141]</v>
      </c>
      <c r="J91">
        <f>IF(FT!B91&lt;&gt;"",FT!C91,"")</f>
        <v>36.217100000000002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3.2070500000000002</v>
      </c>
      <c r="G92" s="61">
        <f>IF(FT!B92&lt;&gt;"",FT!B92*100,"")</f>
        <v>21.805700000000002</v>
      </c>
      <c r="H92" s="61">
        <f t="shared" si="9"/>
        <v>1</v>
      </c>
      <c r="I92" t="str">
        <f>IF(FT!B92&lt;&gt;"",FT!E92,"")</f>
        <v>2 [36.622951]</v>
      </c>
      <c r="J92">
        <f>IF(FT!B92&lt;&gt;"",FT!C92,"")</f>
        <v>36.622999999999998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162506</v>
      </c>
      <c r="D93" s="61">
        <f>FH!B93*1</f>
        <v>162506</v>
      </c>
      <c r="E93">
        <f t="shared" si="11"/>
        <v>91</v>
      </c>
      <c r="F93" s="61">
        <f>IF(FT!A93&lt;&gt;"",FT!A93*10,"")</f>
        <v>3.2227499999999996</v>
      </c>
      <c r="G93" s="61">
        <f>IF(FT!B93&lt;&gt;"",FT!B93*100,"")</f>
        <v>21.6206</v>
      </c>
      <c r="H93" s="61">
        <f t="shared" si="9"/>
        <v>1</v>
      </c>
      <c r="I93" t="str">
        <f>IF(FT!B93&lt;&gt;"",FT!E93,"")</f>
        <v>2 [37.026906]</v>
      </c>
      <c r="J93">
        <f>IF(FT!B93&lt;&gt;"",FT!C93,"")</f>
        <v>37.026899999999998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3.2385199999999998</v>
      </c>
      <c r="G94" s="61">
        <f>IF(FT!B94&lt;&gt;"",FT!B94*100,"")</f>
        <v>21.444099999999999</v>
      </c>
      <c r="H94" s="61">
        <f t="shared" si="9"/>
        <v>1</v>
      </c>
      <c r="I94" t="str">
        <f>IF(FT!B94&lt;&gt;"",FT!E94,"")</f>
        <v>2 [37.435317]</v>
      </c>
      <c r="J94">
        <f>IF(FT!B94&lt;&gt;"",FT!C94,"")</f>
        <v>37.435299999999998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166470</v>
      </c>
      <c r="D95" s="61">
        <f>FH!B95*1</f>
        <v>166470</v>
      </c>
      <c r="E95">
        <f t="shared" si="11"/>
        <v>93</v>
      </c>
      <c r="F95" s="61">
        <f>IF(FT!A95&lt;&gt;"",FT!A95*10,"")</f>
        <v>3.2550299999999996</v>
      </c>
      <c r="G95" s="61">
        <f>IF(FT!B95&lt;&gt;"",FT!B95*100,"")</f>
        <v>21.241599999999998</v>
      </c>
      <c r="H95" s="61">
        <f t="shared" si="9"/>
        <v>1</v>
      </c>
      <c r="I95" t="str">
        <f>IF(FT!B95&lt;&gt;"",FT!E95,"")</f>
        <v>2 [37.844796]</v>
      </c>
      <c r="J95">
        <f>IF(FT!B95&lt;&gt;"",FT!C95,"")</f>
        <v>37.844799999999999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3.2702599999999999</v>
      </c>
      <c r="G96" s="61">
        <f>IF(FT!B96&lt;&gt;"",FT!B96*100,"")</f>
        <v>21.0488</v>
      </c>
      <c r="H96" s="61">
        <f t="shared" si="9"/>
        <v>1</v>
      </c>
      <c r="I96" t="str">
        <f>IF(FT!B96&lt;&gt;"",FT!E96,"")</f>
        <v>2 [38.250642]</v>
      </c>
      <c r="J96">
        <f>IF(FT!B96&lt;&gt;"",FT!C96,"")</f>
        <v>38.250599999999999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3.2863100000000003</v>
      </c>
      <c r="G97" s="61">
        <f>IF(FT!B97&lt;&gt;"",FT!B97*100,"")</f>
        <v>20.850999999999999</v>
      </c>
      <c r="H97" s="61">
        <f t="shared" si="9"/>
        <v>1</v>
      </c>
      <c r="I97" t="str">
        <f>IF(FT!B97&lt;&gt;"",FT!E97,"")</f>
        <v>2 [38.657626]</v>
      </c>
      <c r="J97">
        <f>IF(FT!B97&lt;&gt;"",FT!C97,"")</f>
        <v>38.657600000000002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160826</v>
      </c>
      <c r="D98" s="61">
        <f>FH!B98*1</f>
        <v>160826</v>
      </c>
      <c r="E98">
        <f t="shared" si="11"/>
        <v>96</v>
      </c>
      <c r="F98" s="61">
        <f>IF(FT!A98&lt;&gt;"",FT!A98*10,"")</f>
        <v>3.2972400000000004</v>
      </c>
      <c r="G98" s="61">
        <f>IF(FT!B98&lt;&gt;"",FT!B98*100,"")</f>
        <v>20.574300000000001</v>
      </c>
      <c r="H98" s="61">
        <f t="shared" si="9"/>
        <v>1</v>
      </c>
      <c r="I98" t="str">
        <f>IF(FT!B98&lt;&gt;"",FT!E98,"")</f>
        <v>2 [39.059444]</v>
      </c>
      <c r="J98">
        <f>IF(FT!B98&lt;&gt;"",FT!C98,"")</f>
        <v>39.059399999999997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3.30749</v>
      </c>
      <c r="G99" s="61">
        <f>IF(FT!B99&lt;&gt;"",FT!B99*100,"")</f>
        <v>20.259499999999999</v>
      </c>
      <c r="H99" s="61">
        <f t="shared" si="9"/>
        <v>1</v>
      </c>
      <c r="I99" t="str">
        <f>IF(FT!B99&lt;&gt;"",FT!E99,"")</f>
        <v>2 [39.464440]</v>
      </c>
      <c r="J99">
        <f>IF(FT!B99&lt;&gt;"",FT!C99,"")</f>
        <v>39.464399999999998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146288</v>
      </c>
      <c r="D100" s="61">
        <f>FH!B100*1</f>
        <v>146288</v>
      </c>
      <c r="E100">
        <f t="shared" si="11"/>
        <v>98</v>
      </c>
      <c r="F100" s="61">
        <f>IF(FT!A100&lt;&gt;"",FT!A100*10,"")</f>
        <v>3.3161700000000001</v>
      </c>
      <c r="G100" s="61">
        <f>IF(FT!B100&lt;&gt;"",FT!B100*100,"")</f>
        <v>19.916900000000002</v>
      </c>
      <c r="H100" s="61">
        <f t="shared" si="9"/>
        <v>1</v>
      </c>
      <c r="I100" t="str">
        <f>IF(FT!B100&lt;&gt;"",FT!E100,"")</f>
        <v>2 [39.873256]</v>
      </c>
      <c r="J100">
        <f>IF(FT!B100&lt;&gt;"",FT!C100,"")</f>
        <v>39.8733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3.3249899999999997</v>
      </c>
      <c r="G101" s="61">
        <f>IF(FT!B101&lt;&gt;"",FT!B101*100,"")</f>
        <v>19.517599999999998</v>
      </c>
      <c r="H101" s="61">
        <f t="shared" si="9"/>
        <v>1</v>
      </c>
      <c r="I101" t="str">
        <f>IF(FT!B101&lt;&gt;"",FT!E101,"")</f>
        <v>2 [40.280169]</v>
      </c>
      <c r="J101">
        <f>IF(FT!B101&lt;&gt;"",FT!C101,"")</f>
        <v>40.280200000000001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3.3323299999999998</v>
      </c>
      <c r="G102" s="61">
        <f>IF(FT!B102&lt;&gt;"",FT!B102*100,"")</f>
        <v>19.1661</v>
      </c>
      <c r="H102" s="61">
        <f t="shared" si="9"/>
        <v>1</v>
      </c>
      <c r="I102" t="str">
        <f>IF(FT!B102&lt;&gt;"",FT!E102,"")</f>
        <v>2 [40.684141]</v>
      </c>
      <c r="J102">
        <f>IF(FT!B102&lt;&gt;"",FT!C102,"")</f>
        <v>40.684100000000001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132600</v>
      </c>
      <c r="D103" s="61">
        <f>FH!B103*1</f>
        <v>132600</v>
      </c>
      <c r="E103">
        <f t="shared" si="11"/>
        <v>101</v>
      </c>
      <c r="F103" s="61">
        <f>IF(FT!A103&lt;&gt;"",FT!A103*10,"")</f>
        <v>3.3354400000000002</v>
      </c>
      <c r="G103" s="61">
        <f>IF(FT!B103&lt;&gt;"",FT!B103*100,"")</f>
        <v>18.904599999999999</v>
      </c>
      <c r="H103" s="61">
        <f t="shared" si="9"/>
        <v>1</v>
      </c>
      <c r="I103" t="str">
        <f>IF(FT!B103&lt;&gt;"",FT!E103,"")</f>
        <v>2 [41.089058]</v>
      </c>
      <c r="J103">
        <f>IF(FT!B103&lt;&gt;"",FT!C103,"")</f>
        <v>41.089100000000002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3.3378299999999999</v>
      </c>
      <c r="G104" s="61">
        <f>IF(FT!B104&lt;&gt;"",FT!B104*100,"")</f>
        <v>18.657899999999998</v>
      </c>
      <c r="H104" s="61">
        <f t="shared" si="9"/>
        <v>1</v>
      </c>
      <c r="I104" t="str">
        <f>IF(FT!B104&lt;&gt;"",FT!E104,"")</f>
        <v>2 [41.496311]</v>
      </c>
      <c r="J104">
        <f>IF(FT!B104&lt;&gt;"",FT!C104,"")</f>
        <v>41.496299999999998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3.33866</v>
      </c>
      <c r="G105" s="61">
        <f>IF(FT!B105&lt;&gt;"",FT!B105*100,"")</f>
        <v>18.492599999999999</v>
      </c>
      <c r="H105" s="61">
        <f t="shared" si="9"/>
        <v>1</v>
      </c>
      <c r="I105" t="str">
        <f>IF(FT!B105&lt;&gt;"",FT!E105,"")</f>
        <v>2 [41.900901]</v>
      </c>
      <c r="J105">
        <f>IF(FT!B105&lt;&gt;"",FT!C105,"")</f>
        <v>41.9009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119681</v>
      </c>
      <c r="D106" s="61">
        <f>FH!B106*1</f>
        <v>119681</v>
      </c>
      <c r="E106">
        <f t="shared" si="11"/>
        <v>104</v>
      </c>
      <c r="F106" s="61">
        <f>IF(FT!A106&lt;&gt;"",FT!A106*10,"")</f>
        <v>3.3433600000000001</v>
      </c>
      <c r="G106" s="61">
        <f>IF(FT!B106&lt;&gt;"",FT!B106*100,"")</f>
        <v>18.404400000000003</v>
      </c>
      <c r="H106" s="61">
        <f t="shared" si="9"/>
        <v>1</v>
      </c>
      <c r="I106" t="str">
        <f>IF(FT!B106&lt;&gt;"",FT!E106,"")</f>
        <v>2 [42.312045]</v>
      </c>
      <c r="J106">
        <f>IF(FT!B106&lt;&gt;"",FT!C106,"")</f>
        <v>42.311999999999998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3.3532000000000002</v>
      </c>
      <c r="G107" s="61">
        <f>IF(FT!B107&lt;&gt;"",FT!B107*100,"")</f>
        <v>18.3065</v>
      </c>
      <c r="H107" s="61">
        <f t="shared" si="9"/>
        <v>1</v>
      </c>
      <c r="I107" t="str">
        <f>IF(FT!B107&lt;&gt;"",FT!E107,"")</f>
        <v>2 [42.718616]</v>
      </c>
      <c r="J107">
        <f>IF(FT!B107&lt;&gt;"",FT!C107,"")</f>
        <v>42.718600000000002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107197</v>
      </c>
      <c r="D108" s="61">
        <f>FH!B108*1</f>
        <v>107197</v>
      </c>
      <c r="E108">
        <f t="shared" si="11"/>
        <v>106</v>
      </c>
      <c r="F108" s="61">
        <f>IF(FT!A108&lt;&gt;"",FT!A108*10,"")</f>
        <v>3.36381</v>
      </c>
      <c r="G108" s="61">
        <f>IF(FT!B108&lt;&gt;"",FT!B108*100,"")</f>
        <v>18.261500000000002</v>
      </c>
      <c r="H108" s="61">
        <f t="shared" si="9"/>
        <v>1</v>
      </c>
      <c r="I108" t="str">
        <f>IF(FT!B108&lt;&gt;"",FT!E108,"")</f>
        <v>2 [43.122559]</v>
      </c>
      <c r="J108">
        <f>IF(FT!B108&lt;&gt;"",FT!C108,"")</f>
        <v>43.122599999999998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3.3751799999999998</v>
      </c>
      <c r="G109" s="61">
        <f>IF(FT!B109&lt;&gt;"",FT!B109*100,"")</f>
        <v>18.1874</v>
      </c>
      <c r="H109" s="61">
        <f t="shared" si="9"/>
        <v>1</v>
      </c>
      <c r="I109" t="str">
        <f>IF(FT!B109&lt;&gt;"",FT!E109,"")</f>
        <v>2 [43.526473]</v>
      </c>
      <c r="J109">
        <f>IF(FT!B109&lt;&gt;"",FT!C109,"")</f>
        <v>43.526499999999999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3.38605</v>
      </c>
      <c r="G110" s="61">
        <f>IF(FT!B110&lt;&gt;"",FT!B110*100,"")</f>
        <v>18.082899999999999</v>
      </c>
      <c r="H110" s="61">
        <f t="shared" si="9"/>
        <v>1</v>
      </c>
      <c r="I110" t="str">
        <f>IF(FT!B110&lt;&gt;"",FT!E110,"")</f>
        <v>2 [43.933428]</v>
      </c>
      <c r="J110">
        <f>IF(FT!B110&lt;&gt;"",FT!C110,"")</f>
        <v>43.933399999999999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98920</v>
      </c>
      <c r="D111" s="61">
        <f>FH!B111*1</f>
        <v>98920</v>
      </c>
      <c r="E111">
        <f t="shared" si="11"/>
        <v>109</v>
      </c>
      <c r="F111" s="61">
        <f>IF(FT!A111&lt;&gt;"",FT!A111*10,"")</f>
        <v>3.3976800000000003</v>
      </c>
      <c r="G111" s="61">
        <f>IF(FT!B111&lt;&gt;"",FT!B111*100,"")</f>
        <v>17.9786</v>
      </c>
      <c r="H111" s="61">
        <f t="shared" si="9"/>
        <v>1</v>
      </c>
      <c r="I111" t="str">
        <f>IF(FT!B111&lt;&gt;"",FT!E111,"")</f>
        <v>2 [44.341390]</v>
      </c>
      <c r="J111">
        <f>IF(FT!B111&lt;&gt;"",FT!C111,"")</f>
        <v>44.3414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3.41256</v>
      </c>
      <c r="G112" s="61">
        <f>IF(FT!B112&lt;&gt;"",FT!B112*100,"")</f>
        <v>17.958600000000001</v>
      </c>
      <c r="H112" s="61">
        <f t="shared" si="9"/>
        <v>1</v>
      </c>
      <c r="I112" t="str">
        <f>IF(FT!B112&lt;&gt;"",FT!E112,"")</f>
        <v>2 [44.748414]</v>
      </c>
      <c r="J112">
        <f>IF(FT!B112&lt;&gt;"",FT!C112,"")</f>
        <v>44.748399999999997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92736</v>
      </c>
      <c r="D113" s="61">
        <f>FH!B113*1</f>
        <v>92736</v>
      </c>
      <c r="E113">
        <f t="shared" si="11"/>
        <v>111</v>
      </c>
      <c r="F113" s="61">
        <f>IF(FT!A113&lt;&gt;"",FT!A113*10,"")</f>
        <v>3.4250699999999998</v>
      </c>
      <c r="G113" s="61">
        <f>IF(FT!B113&lt;&gt;"",FT!B113*100,"")</f>
        <v>17.925699999999999</v>
      </c>
      <c r="H113" s="61">
        <f t="shared" si="9"/>
        <v>1</v>
      </c>
      <c r="I113" t="str">
        <f>IF(FT!B113&lt;&gt;"",FT!E113,"")</f>
        <v>2 [45.154154]</v>
      </c>
      <c r="J113">
        <f>IF(FT!B113&lt;&gt;"",FT!C113,"")</f>
        <v>45.154200000000003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3.4346900000000002</v>
      </c>
      <c r="G114" s="61">
        <f>IF(FT!B114&lt;&gt;"",FT!B114*100,"")</f>
        <v>17.927199999999999</v>
      </c>
      <c r="H114" s="61">
        <f t="shared" si="9"/>
        <v>1</v>
      </c>
      <c r="I114" t="str">
        <f>IF(FT!B114&lt;&gt;"",FT!E114,"")</f>
        <v>2 [45.556122]</v>
      </c>
      <c r="J114">
        <f>IF(FT!B114&lt;&gt;"",FT!C114,"")</f>
        <v>45.556100000000001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3.4461000000000004</v>
      </c>
      <c r="G115" s="61">
        <f>IF(FT!B115&lt;&gt;"",FT!B115*100,"")</f>
        <v>17.9162</v>
      </c>
      <c r="H115" s="61">
        <f t="shared" si="9"/>
        <v>1</v>
      </c>
      <c r="I115" t="str">
        <f>IF(FT!B115&lt;&gt;"",FT!E115,"")</f>
        <v>2 [45.965119]</v>
      </c>
      <c r="J115">
        <f>IF(FT!B115&lt;&gt;"",FT!C115,"")</f>
        <v>45.9651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79216</v>
      </c>
      <c r="D116" s="61">
        <f>FH!B116*1</f>
        <v>79216</v>
      </c>
      <c r="E116">
        <f t="shared" si="11"/>
        <v>114</v>
      </c>
      <c r="F116" s="61">
        <f>IF(FT!A116&lt;&gt;"",FT!A116*10,"")</f>
        <v>3.4560600000000004</v>
      </c>
      <c r="G116" s="61">
        <f>IF(FT!B116&lt;&gt;"",FT!B116*100,"")</f>
        <v>17.9373</v>
      </c>
      <c r="H116" s="61">
        <f t="shared" si="9"/>
        <v>1</v>
      </c>
      <c r="I116" t="str">
        <f>IF(FT!B116&lt;&gt;"",FT!E116,"")</f>
        <v>2 [46.372812]</v>
      </c>
      <c r="J116">
        <f>IF(FT!B116&lt;&gt;"",FT!C116,"")</f>
        <v>46.372799999999998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3.4689300000000003</v>
      </c>
      <c r="G117" s="61">
        <f>IF(FT!B117&lt;&gt;"",FT!B117*100,"")</f>
        <v>17.9693</v>
      </c>
      <c r="H117" s="61">
        <f t="shared" si="9"/>
        <v>1</v>
      </c>
      <c r="I117" t="str">
        <f>IF(FT!B117&lt;&gt;"",FT!E117,"")</f>
        <v>2 [46.780790]</v>
      </c>
      <c r="J117">
        <f>IF(FT!B117&lt;&gt;"",FT!C117,"")</f>
        <v>46.780799999999999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75036</v>
      </c>
      <c r="D118" s="61">
        <f>FH!B118*1</f>
        <v>75036</v>
      </c>
      <c r="E118">
        <f t="shared" si="11"/>
        <v>116</v>
      </c>
      <c r="F118" s="61">
        <f>IF(FT!A118&lt;&gt;"",FT!A118*10,"")</f>
        <v>3.4805399999999995</v>
      </c>
      <c r="G118" s="61">
        <f>IF(FT!B118&lt;&gt;"",FT!B118*100,"")</f>
        <v>18.0183</v>
      </c>
      <c r="H118" s="61">
        <f t="shared" si="9"/>
        <v>1</v>
      </c>
      <c r="I118" t="str">
        <f>IF(FT!B118&lt;&gt;"",FT!E118,"")</f>
        <v>2 [47.186776]</v>
      </c>
      <c r="J118">
        <f>IF(FT!B118&lt;&gt;"",FT!C118,"")</f>
        <v>47.186799999999998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3.4874000000000001</v>
      </c>
      <c r="G119" s="61">
        <f>IF(FT!B119&lt;&gt;"",FT!B119*100,"")</f>
        <v>18.045999999999999</v>
      </c>
      <c r="H119" s="61">
        <f t="shared" si="9"/>
        <v>1</v>
      </c>
      <c r="I119" t="str">
        <f>IF(FT!B119&lt;&gt;"",FT!E119,"")</f>
        <v>2 [47.593773]</v>
      </c>
      <c r="J119">
        <f>IF(FT!B119&lt;&gt;"",FT!C119,"")</f>
        <v>47.593800000000002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3.48766</v>
      </c>
      <c r="G120" s="61">
        <f>IF(FT!B120&lt;&gt;"",FT!B120*100,"")</f>
        <v>18.092099999999999</v>
      </c>
      <c r="H120" s="61">
        <f t="shared" si="9"/>
        <v>1</v>
      </c>
      <c r="I120" t="str">
        <f>IF(FT!B120&lt;&gt;"",FT!E120,"")</f>
        <v>2 [48.001551]</v>
      </c>
      <c r="J120">
        <f>IF(FT!B120&lt;&gt;"",FT!C120,"")</f>
        <v>48.001600000000003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59458</v>
      </c>
      <c r="D121" s="61">
        <f>FH!B121*1</f>
        <v>59458</v>
      </c>
      <c r="E121">
        <f t="shared" si="11"/>
        <v>119</v>
      </c>
      <c r="F121" s="61">
        <f>IF(FT!A121&lt;&gt;"",FT!A121*10,"")</f>
        <v>3.4819800000000001</v>
      </c>
      <c r="G121" s="61">
        <f>IF(FT!B121&lt;&gt;"",FT!B121*100,"")</f>
        <v>18.198499999999999</v>
      </c>
      <c r="H121" s="61">
        <f t="shared" si="9"/>
        <v>1</v>
      </c>
      <c r="I121" t="str">
        <f>IF(FT!B121&lt;&gt;"",FT!E121,"")</f>
        <v>2 [48.406511]</v>
      </c>
      <c r="J121">
        <f>IF(FT!B121&lt;&gt;"",FT!C121,"")</f>
        <v>48.406500000000001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3.4693299999999998</v>
      </c>
      <c r="G122" s="61">
        <f>IF(FT!B122&lt;&gt;"",FT!B122*100,"")</f>
        <v>18.301100000000002</v>
      </c>
      <c r="H122" s="61">
        <f t="shared" si="9"/>
        <v>1</v>
      </c>
      <c r="I122" t="str">
        <f>IF(FT!B122&lt;&gt;"",FT!E122,"")</f>
        <v>2 [48.811472]</v>
      </c>
      <c r="J122">
        <f>IF(FT!B122&lt;&gt;"",FT!C122,"")</f>
        <v>48.811500000000002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3.4560900000000001</v>
      </c>
      <c r="G123" s="61">
        <f>IF(FT!B123&lt;&gt;"",FT!B123*100,"")</f>
        <v>18.4786</v>
      </c>
      <c r="H123" s="61">
        <f t="shared" si="9"/>
        <v>1</v>
      </c>
      <c r="I123" t="str">
        <f>IF(FT!B123&lt;&gt;"",FT!E123,"")</f>
        <v>2 [49.218380]</v>
      </c>
      <c r="J123">
        <f>IF(FT!B123&lt;&gt;"",FT!C123,"")</f>
        <v>49.218400000000003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52494</v>
      </c>
      <c r="D124" s="61">
        <f>FH!B124*1</f>
        <v>52494</v>
      </c>
      <c r="E124">
        <f t="shared" si="11"/>
        <v>122</v>
      </c>
      <c r="F124" s="61">
        <f>IF(FT!A124&lt;&gt;"",FT!A124*10,"")</f>
        <v>3.4409200000000002</v>
      </c>
      <c r="G124" s="61">
        <f>IF(FT!B124&lt;&gt;"",FT!B124*100,"")</f>
        <v>18.750600000000002</v>
      </c>
      <c r="H124" s="61">
        <f t="shared" si="9"/>
        <v>1</v>
      </c>
      <c r="I124" t="str">
        <f>IF(FT!B124&lt;&gt;"",FT!E124,"")</f>
        <v>2 [49.621187]</v>
      </c>
      <c r="J124">
        <f>IF(FT!B124&lt;&gt;"",FT!C124,"")</f>
        <v>49.621200000000002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3.4331699999999996</v>
      </c>
      <c r="G125" s="61">
        <f>IF(FT!B125&lt;&gt;"",FT!B125*100,"")</f>
        <v>19.0061</v>
      </c>
      <c r="H125" s="61">
        <f t="shared" si="9"/>
        <v>1</v>
      </c>
      <c r="I125" t="str">
        <f>IF(FT!B125&lt;&gt;"",FT!E125,"")</f>
        <v>2 [50.028389]</v>
      </c>
      <c r="J125">
        <f>IF(FT!B125&lt;&gt;"",FT!C125,"")</f>
        <v>50.028399999999998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51214</v>
      </c>
      <c r="D126" s="61">
        <f>FH!B126*1</f>
        <v>51214</v>
      </c>
      <c r="E126">
        <f t="shared" si="11"/>
        <v>124</v>
      </c>
      <c r="F126" s="61">
        <f>IF(FT!A126&lt;&gt;"",FT!A126*10,"")</f>
        <v>3.43099</v>
      </c>
      <c r="G126" s="61">
        <f>IF(FT!B126&lt;&gt;"",FT!B126*100,"")</f>
        <v>19.245200000000001</v>
      </c>
      <c r="H126" s="61">
        <f t="shared" si="9"/>
        <v>1</v>
      </c>
      <c r="I126" t="str">
        <f>IF(FT!B126&lt;&gt;"",FT!E126,"")</f>
        <v>2 [50.435028]</v>
      </c>
      <c r="J126">
        <f>IF(FT!B126&lt;&gt;"",FT!C126,"")</f>
        <v>50.435000000000002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3.4285800000000002</v>
      </c>
      <c r="G127" s="61">
        <f>IF(FT!B127&lt;&gt;"",FT!B127*100,"")</f>
        <v>19.510300000000001</v>
      </c>
      <c r="H127" s="61">
        <f t="shared" si="9"/>
        <v>1</v>
      </c>
      <c r="I127" t="str">
        <f>IF(FT!B127&lt;&gt;"",FT!E127,"")</f>
        <v>2 [50.841911]</v>
      </c>
      <c r="J127">
        <f>IF(FT!B127&lt;&gt;"",FT!C127,"")</f>
        <v>50.841900000000003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3.4295799999999996</v>
      </c>
      <c r="G128" s="61">
        <f>IF(FT!B128&lt;&gt;"",FT!B128*100,"")</f>
        <v>19.759399999999999</v>
      </c>
      <c r="H128" s="61">
        <f t="shared" si="9"/>
        <v>1</v>
      </c>
      <c r="I128" t="str">
        <f>IF(FT!B128&lt;&gt;"",FT!E128,"")</f>
        <v>2 [51.249840]</v>
      </c>
      <c r="J128">
        <f>IF(FT!B128&lt;&gt;"",FT!C128,"")</f>
        <v>51.2498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45599</v>
      </c>
      <c r="D129" s="61">
        <f>FH!B129*1</f>
        <v>45599</v>
      </c>
      <c r="E129">
        <f t="shared" si="11"/>
        <v>127</v>
      </c>
      <c r="F129" s="61">
        <f>IF(FT!A129&lt;&gt;"",FT!A129*10,"")</f>
        <v>3.4295100000000001</v>
      </c>
      <c r="G129" s="61">
        <f>IF(FT!B129&lt;&gt;"",FT!B129*100,"")</f>
        <v>19.965599999999998</v>
      </c>
      <c r="H129" s="61">
        <f t="shared" si="9"/>
        <v>1</v>
      </c>
      <c r="I129" t="str">
        <f>IF(FT!B129&lt;&gt;"",FT!E129,"")</f>
        <v>2 [51.651774]</v>
      </c>
      <c r="J129">
        <f>IF(FT!B129&lt;&gt;"",FT!C129,"")</f>
        <v>51.651800000000001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3.4289900000000002</v>
      </c>
      <c r="G130" s="61">
        <f>IF(FT!B130&lt;&gt;"",FT!B130*100,"")</f>
        <v>20.125699999999998</v>
      </c>
      <c r="H130" s="61">
        <f t="shared" si="9"/>
        <v>1</v>
      </c>
      <c r="I130" t="str">
        <f>IF(FT!B130&lt;&gt;"",FT!E130,"")</f>
        <v>2 [52.057725]</v>
      </c>
      <c r="J130">
        <f>IF(FT!B130&lt;&gt;"",FT!C130,"")</f>
        <v>52.057699999999997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42872</v>
      </c>
      <c r="D131" s="61">
        <f>FH!B131*1</f>
        <v>42872</v>
      </c>
      <c r="E131">
        <f t="shared" si="11"/>
        <v>129</v>
      </c>
      <c r="F131" s="61">
        <f>IF(FT!A131&lt;&gt;"",FT!A131*10,"")</f>
        <v>3.4256500000000001</v>
      </c>
      <c r="G131" s="61">
        <f>IF(FT!B131&lt;&gt;"",FT!B131*100,"")</f>
        <v>20.2605</v>
      </c>
      <c r="H131" s="61">
        <f t="shared" ref="H131:H194" si="13">(IF(F131&lt;&gt;"",1,""))</f>
        <v>1</v>
      </c>
      <c r="I131" t="str">
        <f>IF(FT!B131&lt;&gt;"",FT!E131,"")</f>
        <v>2 [52.464569]</v>
      </c>
      <c r="J131">
        <f>IF(FT!B131&lt;&gt;"",FT!C131,"")</f>
        <v>52.464599999999997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3.4200699999999999</v>
      </c>
      <c r="G132" s="61">
        <f>IF(FT!B132&lt;&gt;"",FT!B132*100,"")</f>
        <v>20.373100000000001</v>
      </c>
      <c r="H132" s="61">
        <f t="shared" si="13"/>
        <v>1</v>
      </c>
      <c r="I132" t="str">
        <f>IF(FT!B132&lt;&gt;"",FT!E132,"")</f>
        <v>2 [52.874692]</v>
      </c>
      <c r="J132">
        <f>IF(FT!B132&lt;&gt;"",FT!C132,"")</f>
        <v>52.874699999999997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3.41412</v>
      </c>
      <c r="G133" s="61">
        <f>IF(FT!B133&lt;&gt;"",FT!B133*100,"")</f>
        <v>20.437899999999999</v>
      </c>
      <c r="H133" s="61">
        <f t="shared" si="13"/>
        <v>1</v>
      </c>
      <c r="I133" t="str">
        <f>IF(FT!B133&lt;&gt;"",FT!E133,"")</f>
        <v>2 [53.280335]</v>
      </c>
      <c r="J133">
        <f>IF(FT!B133&lt;&gt;"",FT!C133,"")</f>
        <v>53.280299999999997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38792</v>
      </c>
      <c r="D134" s="61">
        <f>FH!B134*1</f>
        <v>38792</v>
      </c>
      <c r="E134">
        <f t="shared" si="15"/>
        <v>132</v>
      </c>
      <c r="F134" s="61">
        <f>IF(FT!A134&lt;&gt;"",FT!A134*10,"")</f>
        <v>3.4064800000000002</v>
      </c>
      <c r="G134" s="61">
        <f>IF(FT!B134&lt;&gt;"",FT!B134*100,"")</f>
        <v>20.527200000000001</v>
      </c>
      <c r="H134" s="61">
        <f t="shared" si="13"/>
        <v>1</v>
      </c>
      <c r="I134" t="str">
        <f>IF(FT!B134&lt;&gt;"",FT!E134,"")</f>
        <v>2 [53.686308]</v>
      </c>
      <c r="J134">
        <f>IF(FT!B134&lt;&gt;"",FT!C134,"")</f>
        <v>53.686300000000003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3.3972000000000002</v>
      </c>
      <c r="G135" s="61">
        <f>IF(FT!B135&lt;&gt;"",FT!B135*100,"")</f>
        <v>20.696100000000001</v>
      </c>
      <c r="H135" s="61">
        <f t="shared" si="13"/>
        <v>1</v>
      </c>
      <c r="I135" t="str">
        <f>IF(FT!B135&lt;&gt;"",FT!E135,"")</f>
        <v>2 [54.094352]</v>
      </c>
      <c r="J135">
        <f>IF(FT!B135&lt;&gt;"",FT!C135,"")</f>
        <v>54.0944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35029</v>
      </c>
      <c r="D136" s="61">
        <f>FH!B136*1</f>
        <v>35029</v>
      </c>
      <c r="E136">
        <f t="shared" si="15"/>
        <v>134</v>
      </c>
      <c r="F136" s="61">
        <f>IF(FT!A136&lt;&gt;"",FT!A136*10,"")</f>
        <v>3.3848600000000002</v>
      </c>
      <c r="G136" s="61">
        <f>IF(FT!B136&lt;&gt;"",FT!B136*100,"")</f>
        <v>20.933299999999999</v>
      </c>
      <c r="H136" s="61">
        <f t="shared" si="13"/>
        <v>1</v>
      </c>
      <c r="I136" t="str">
        <f>IF(FT!B136&lt;&gt;"",FT!E136,"")</f>
        <v>2 [54.498365]</v>
      </c>
      <c r="J136">
        <f>IF(FT!B136&lt;&gt;"",FT!C136,"")</f>
        <v>54.498399999999997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3.3680099999999999</v>
      </c>
      <c r="G137" s="61">
        <f>IF(FT!B137&lt;&gt;"",FT!B137*100,"")</f>
        <v>21.167200000000001</v>
      </c>
      <c r="H137" s="61">
        <f t="shared" si="13"/>
        <v>1</v>
      </c>
      <c r="I137" t="str">
        <f>IF(FT!B137&lt;&gt;"",FT!E137,"")</f>
        <v>2 [54.901075]</v>
      </c>
      <c r="J137">
        <f>IF(FT!B137&lt;&gt;"",FT!C137,"")</f>
        <v>54.9011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3.3492100000000002</v>
      </c>
      <c r="G138" s="61">
        <f>IF(FT!B138&lt;&gt;"",FT!B138*100,"")</f>
        <v>21.427699999999998</v>
      </c>
      <c r="H138" s="61">
        <f t="shared" si="13"/>
        <v>1</v>
      </c>
      <c r="I138" t="str">
        <f>IF(FT!B138&lt;&gt;"",FT!E138,"")</f>
        <v>2 [55.309942]</v>
      </c>
      <c r="J138">
        <f>IF(FT!B138&lt;&gt;"",FT!C138,"")</f>
        <v>55.309899999999999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35046</v>
      </c>
      <c r="D139" s="61">
        <f>FH!B139*1</f>
        <v>35046</v>
      </c>
      <c r="E139">
        <f t="shared" si="15"/>
        <v>137</v>
      </c>
      <c r="F139" s="61">
        <f>IF(FT!A139&lt;&gt;"",FT!A139*10,"")</f>
        <v>3.3308200000000001</v>
      </c>
      <c r="G139" s="61">
        <f>IF(FT!B139&lt;&gt;"",FT!B139*100,"")</f>
        <v>21.625</v>
      </c>
      <c r="H139" s="61">
        <f t="shared" si="13"/>
        <v>1</v>
      </c>
      <c r="I139" t="str">
        <f>IF(FT!B139&lt;&gt;"",FT!E139,"")</f>
        <v>2 [55.718019]</v>
      </c>
      <c r="J139">
        <f>IF(FT!B139&lt;&gt;"",FT!C139,"")</f>
        <v>55.718000000000004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3.3098399999999999</v>
      </c>
      <c r="G140" s="61">
        <f>IF(FT!B140&lt;&gt;"",FT!B140*100,"")</f>
        <v>21.874399999999998</v>
      </c>
      <c r="H140" s="61">
        <f t="shared" si="13"/>
        <v>1</v>
      </c>
      <c r="I140" t="str">
        <f>IF(FT!B140&lt;&gt;"",FT!E140,"")</f>
        <v>2 [56.121436]</v>
      </c>
      <c r="J140">
        <f>IF(FT!B140&lt;&gt;"",FT!C140,"")</f>
        <v>56.121400000000001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3.2822800000000001</v>
      </c>
      <c r="G141" s="61">
        <f>IF(FT!B141&lt;&gt;"",FT!B141*100,"")</f>
        <v>22.260300000000001</v>
      </c>
      <c r="H141" s="61">
        <f t="shared" si="13"/>
        <v>1</v>
      </c>
      <c r="I141" t="str">
        <f>IF(FT!B141&lt;&gt;"",FT!E141,"")</f>
        <v>2 [56.529696]</v>
      </c>
      <c r="J141">
        <f>IF(FT!B141&lt;&gt;"",FT!C141,"")</f>
        <v>56.529699999999998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33157</v>
      </c>
      <c r="D142" s="61">
        <f>FH!B142*1</f>
        <v>33157</v>
      </c>
      <c r="E142">
        <f t="shared" si="15"/>
        <v>140</v>
      </c>
      <c r="F142" s="61">
        <f>IF(FT!A142&lt;&gt;"",FT!A142*10,"")</f>
        <v>3.2459900000000004</v>
      </c>
      <c r="G142" s="61">
        <f>IF(FT!B142&lt;&gt;"",FT!B142*100,"")</f>
        <v>22.7851</v>
      </c>
      <c r="H142" s="61">
        <f t="shared" si="13"/>
        <v>1</v>
      </c>
      <c r="I142" t="str">
        <f>IF(FT!B142&lt;&gt;"",FT!E142,"")</f>
        <v>2 [56.933698]</v>
      </c>
      <c r="J142">
        <f>IF(FT!B142&lt;&gt;"",FT!C142,"")</f>
        <v>56.933700000000002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3.2013500000000001</v>
      </c>
      <c r="G143" s="61">
        <f>IF(FT!B143&lt;&gt;"",FT!B143*100,"")</f>
        <v>23.3902</v>
      </c>
      <c r="H143" s="61">
        <f t="shared" si="13"/>
        <v>1</v>
      </c>
      <c r="I143" t="str">
        <f>IF(FT!B143&lt;&gt;"",FT!E143,"")</f>
        <v>2 [57.341535]</v>
      </c>
      <c r="J143">
        <f>IF(FT!B143&lt;&gt;"",FT!C143,"")</f>
        <v>57.341500000000003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29824</v>
      </c>
      <c r="D144" s="61">
        <f>FH!B144*1</f>
        <v>29824</v>
      </c>
      <c r="E144">
        <f t="shared" si="15"/>
        <v>142</v>
      </c>
      <c r="F144" s="61">
        <f>IF(FT!A144&lt;&gt;"",FT!A144*10,"")</f>
        <v>3.1584400000000001</v>
      </c>
      <c r="G144" s="61">
        <f>IF(FT!B144&lt;&gt;"",FT!B144*100,"")</f>
        <v>24.1557</v>
      </c>
      <c r="H144" s="61">
        <f t="shared" si="13"/>
        <v>1</v>
      </c>
      <c r="I144" t="str">
        <f>IF(FT!B144&lt;&gt;"",FT!E144,"")</f>
        <v>2 [57.748692]</v>
      </c>
      <c r="J144">
        <f>IF(FT!B144&lt;&gt;"",FT!C144,"")</f>
        <v>57.748699999999999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3.11598</v>
      </c>
      <c r="G145" s="61">
        <f>IF(FT!B145&lt;&gt;"",FT!B145*100,"")</f>
        <v>24.820500000000003</v>
      </c>
      <c r="H145" s="61">
        <f t="shared" si="13"/>
        <v>1</v>
      </c>
      <c r="I145" t="str">
        <f>IF(FT!B145&lt;&gt;"",FT!E145,"")</f>
        <v>2 [58.156393]</v>
      </c>
      <c r="J145">
        <f>IF(FT!B145&lt;&gt;"",FT!C145,"")</f>
        <v>58.156399999999998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3.08474</v>
      </c>
      <c r="G146" s="61">
        <f>IF(FT!B146&lt;&gt;"",FT!B146*100,"")</f>
        <v>25.184800000000003</v>
      </c>
      <c r="H146" s="61">
        <f t="shared" si="13"/>
        <v>1</v>
      </c>
      <c r="I146" t="str">
        <f>IF(FT!B146&lt;&gt;"",FT!E146,"")</f>
        <v>2 [58.562301]</v>
      </c>
      <c r="J146">
        <f>IF(FT!B146&lt;&gt;"",FT!C146,"")</f>
        <v>58.5623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29846</v>
      </c>
      <c r="D147" s="61">
        <f>FH!B147*1</f>
        <v>29846</v>
      </c>
      <c r="E147">
        <f t="shared" si="15"/>
        <v>145</v>
      </c>
      <c r="F147" s="61">
        <f>IF(FT!A147&lt;&gt;"",FT!A147*10,"")</f>
        <v>3.0628300000000004</v>
      </c>
      <c r="G147" s="61">
        <f>IF(FT!B147&lt;&gt;"",FT!B147*100,"")</f>
        <v>25.318000000000001</v>
      </c>
      <c r="H147" s="61">
        <f t="shared" si="13"/>
        <v>1</v>
      </c>
      <c r="I147" t="str">
        <f>IF(FT!B147&lt;&gt;"",FT!E147,"")</f>
        <v>2 [58.968421]</v>
      </c>
      <c r="J147">
        <f>IF(FT!B147&lt;&gt;"",FT!C147,"")</f>
        <v>58.968400000000003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3.0418400000000001</v>
      </c>
      <c r="G148" s="61">
        <f>IF(FT!B148&lt;&gt;"",FT!B148*100,"")</f>
        <v>26.123100000000001</v>
      </c>
      <c r="H148" s="61">
        <f t="shared" si="13"/>
        <v>1</v>
      </c>
      <c r="I148" t="str">
        <f>IF(FT!B148&lt;&gt;"",FT!E148,"")</f>
        <v>2 [59.374095]</v>
      </c>
      <c r="J148">
        <f>IF(FT!B148&lt;&gt;"",FT!C148,"")</f>
        <v>59.374099999999999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28217</v>
      </c>
      <c r="D149" s="61">
        <f>FH!B149*1</f>
        <v>28217</v>
      </c>
      <c r="E149">
        <f t="shared" si="15"/>
        <v>147</v>
      </c>
      <c r="F149" s="61">
        <f>IF(FT!A149&lt;&gt;"",FT!A149*10,"")</f>
        <v>3.0217100000000001</v>
      </c>
      <c r="G149" s="61">
        <f>IF(FT!B149&lt;&gt;"",FT!B149*100,"")</f>
        <v>26.622899999999998</v>
      </c>
      <c r="H149" s="61">
        <f t="shared" si="13"/>
        <v>1</v>
      </c>
      <c r="I149" t="str">
        <f>IF(FT!B149&lt;&gt;"",FT!E149,"")</f>
        <v>2 [59.779058]</v>
      </c>
      <c r="J149">
        <f>IF(FT!B149&lt;&gt;"",FT!C149,"")</f>
        <v>59.7791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28694</v>
      </c>
      <c r="D152" s="61">
        <f>FH!B152*1</f>
        <v>28694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24437</v>
      </c>
      <c r="D154" s="61">
        <f>FH!B154*1</f>
        <v>24437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21664</v>
      </c>
      <c r="D157" s="61">
        <f>FH!B157*1</f>
        <v>21664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19253</v>
      </c>
      <c r="D160" s="61">
        <f>FH!B160*1</f>
        <v>19253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23192</v>
      </c>
      <c r="D162" s="61">
        <f>FH!B162*1</f>
        <v>23192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24851</v>
      </c>
      <c r="D165" s="61">
        <f>FH!B165*1</f>
        <v>24851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25451</v>
      </c>
      <c r="D167" s="61">
        <f>FH!B167*1</f>
        <v>25451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23651</v>
      </c>
      <c r="D170" s="61">
        <f>FH!B170*1</f>
        <v>23651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19741</v>
      </c>
      <c r="D173" s="61">
        <f>FH!B173*1</f>
        <v>19741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17890</v>
      </c>
      <c r="D175" s="61">
        <f>FH!B175*1</f>
        <v>17890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18362</v>
      </c>
      <c r="D178" s="61">
        <f>FH!B178*1</f>
        <v>18362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16522</v>
      </c>
      <c r="D180" s="61">
        <f>FH!B180*1</f>
        <v>16522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14612</v>
      </c>
      <c r="D183" s="61">
        <f>FH!B183*1</f>
        <v>14612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10372</v>
      </c>
      <c r="D185" s="61">
        <f>FH!B185*1</f>
        <v>10372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8161</v>
      </c>
      <c r="D188" s="61">
        <f>FH!B188*1</f>
        <v>8161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5419</v>
      </c>
      <c r="D191" s="61">
        <f>FH!B191*1</f>
        <v>5419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3552</v>
      </c>
      <c r="D193" s="61">
        <f>FH!B193*1</f>
        <v>3552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2093</v>
      </c>
      <c r="D196" s="61">
        <f>FH!B196*1</f>
        <v>2093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2156</v>
      </c>
      <c r="D198" s="61">
        <f>FH!B198*1</f>
        <v>2156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2101</v>
      </c>
      <c r="D201" s="61">
        <f>FH!B201*1</f>
        <v>2101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2694</v>
      </c>
      <c r="D203" s="61">
        <f>FH!B203*1</f>
        <v>2694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2021</v>
      </c>
      <c r="D206" s="61">
        <f>FH!B206*1</f>
        <v>2021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1737</v>
      </c>
      <c r="D209" s="61">
        <f>FH!B209*1</f>
        <v>1737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467</v>
      </c>
      <c r="D211" s="61">
        <f>FH!B211*1</f>
        <v>467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197</v>
      </c>
      <c r="D214" s="61">
        <f>FH!B214*1</f>
        <v>197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44.485300000000002</v>
      </c>
      <c r="C5" s="66">
        <v>9.8618000000000006</v>
      </c>
      <c r="D5" s="66">
        <v>22.168700000000001</v>
      </c>
      <c r="E5" s="66">
        <v>20</v>
      </c>
      <c r="F5" s="66">
        <v>11.580399999999999</v>
      </c>
      <c r="G5" s="66">
        <v>50</v>
      </c>
      <c r="H5" s="66">
        <v>55.868499999999997</v>
      </c>
    </row>
    <row r="6" spans="1:8">
      <c r="A6" s="58" t="s">
        <v>303</v>
      </c>
      <c r="B6" s="66">
        <v>32.603299999999997</v>
      </c>
      <c r="C6" s="66">
        <v>3.6087500000000001</v>
      </c>
      <c r="D6" s="66">
        <v>11.0686</v>
      </c>
      <c r="E6" s="66">
        <v>20</v>
      </c>
      <c r="F6" s="66">
        <v>27.623000000000001</v>
      </c>
      <c r="G6" s="66">
        <v>40</v>
      </c>
      <c r="H6" s="66">
        <v>41.248100000000001</v>
      </c>
    </row>
    <row r="7" spans="1:8">
      <c r="A7" s="58" t="s">
        <v>304</v>
      </c>
      <c r="B7" s="66">
        <v>25.109100000000002</v>
      </c>
      <c r="C7" s="66">
        <v>3.5341399999999998</v>
      </c>
      <c r="D7" s="66">
        <v>14.075100000000001</v>
      </c>
      <c r="E7" s="66">
        <v>15</v>
      </c>
      <c r="F7" s="66">
        <v>9.4627300000000005</v>
      </c>
      <c r="G7" s="66">
        <v>40</v>
      </c>
      <c r="H7" s="66">
        <v>40.196100000000001</v>
      </c>
    </row>
    <row r="8" spans="1:8">
      <c r="A8" s="58" t="s">
        <v>305</v>
      </c>
      <c r="B8" s="66">
        <v>34.116199999999999</v>
      </c>
      <c r="C8" s="66">
        <v>4.3542500000000004</v>
      </c>
      <c r="D8" s="66">
        <v>12.763</v>
      </c>
      <c r="E8" s="66">
        <v>20</v>
      </c>
      <c r="F8" s="66">
        <v>21.052199999999999</v>
      </c>
      <c r="G8" s="66">
        <v>50</v>
      </c>
      <c r="H8" s="66">
        <v>39.886400000000002</v>
      </c>
    </row>
    <row r="9" spans="1:8">
      <c r="A9" s="58" t="s">
        <v>306</v>
      </c>
      <c r="B9" s="66">
        <v>66.27</v>
      </c>
      <c r="C9" s="66">
        <v>5.5917700000000004</v>
      </c>
      <c r="D9" s="66">
        <v>8.4378600000000006</v>
      </c>
      <c r="E9" s="66">
        <v>50</v>
      </c>
      <c r="F9" s="66">
        <v>47.9621</v>
      </c>
      <c r="G9" s="66">
        <v>100</v>
      </c>
      <c r="H9" s="66">
        <v>82.589200000000005</v>
      </c>
    </row>
    <row r="10" spans="1:8">
      <c r="A10" s="58" t="s">
        <v>307</v>
      </c>
      <c r="B10" s="66">
        <v>74.9679</v>
      </c>
      <c r="C10" s="66">
        <v>9.3947900000000004</v>
      </c>
      <c r="D10" s="66">
        <v>12.531700000000001</v>
      </c>
      <c r="E10" s="66">
        <v>40</v>
      </c>
      <c r="F10" s="66">
        <v>50.555999999999997</v>
      </c>
      <c r="G10" s="66">
        <v>100</v>
      </c>
      <c r="H10" s="66">
        <v>81.136600000000001</v>
      </c>
    </row>
    <row r="11" spans="1:8">
      <c r="A11" s="58" t="s">
        <v>308</v>
      </c>
      <c r="B11" s="66">
        <v>17.669699999999999</v>
      </c>
      <c r="C11" s="66">
        <v>3.4630399999999999</v>
      </c>
      <c r="D11" s="66">
        <v>19.598700000000001</v>
      </c>
      <c r="E11" s="66">
        <v>10</v>
      </c>
      <c r="F11" s="66">
        <v>6.0229400000000002</v>
      </c>
      <c r="G11" s="66">
        <v>50</v>
      </c>
      <c r="H11" s="66">
        <v>21.7499</v>
      </c>
    </row>
    <row r="12" spans="1:8">
      <c r="A12" s="58" t="s">
        <v>309</v>
      </c>
      <c r="B12" s="66">
        <v>69.589399999999998</v>
      </c>
      <c r="C12" s="66">
        <v>5.7301900000000003</v>
      </c>
      <c r="D12" s="66">
        <v>8.2342899999999997</v>
      </c>
      <c r="E12" s="66">
        <v>50</v>
      </c>
      <c r="F12" s="66">
        <v>55.8262</v>
      </c>
      <c r="G12" s="66">
        <v>100</v>
      </c>
      <c r="H12" s="66">
        <v>78.660899999999998</v>
      </c>
    </row>
    <row r="13" spans="1:8">
      <c r="A13" s="58" t="s">
        <v>310</v>
      </c>
      <c r="B13" s="66">
        <v>20.261700000000001</v>
      </c>
      <c r="C13" s="66">
        <v>3.1435599999999999</v>
      </c>
      <c r="D13" s="66">
        <v>15.514799999999999</v>
      </c>
      <c r="E13" s="66">
        <v>10</v>
      </c>
      <c r="F13" s="66">
        <v>13.5215</v>
      </c>
      <c r="G13" s="66">
        <v>25</v>
      </c>
      <c r="H13" s="66">
        <v>28.265499999999999</v>
      </c>
    </row>
    <row r="14" spans="1:8">
      <c r="A14" s="58" t="s">
        <v>311</v>
      </c>
      <c r="B14" s="66">
        <v>31.435600000000001</v>
      </c>
      <c r="C14" s="66">
        <v>10.4293</v>
      </c>
      <c r="D14" s="66">
        <v>33.1768</v>
      </c>
      <c r="E14" s="66">
        <v>10</v>
      </c>
      <c r="F14" s="66">
        <v>2.7517499999999999</v>
      </c>
      <c r="G14" s="66">
        <v>50</v>
      </c>
      <c r="H14" s="66">
        <v>36.3795</v>
      </c>
    </row>
    <row r="15" spans="1:8">
      <c r="A15" s="58" t="s">
        <v>312</v>
      </c>
      <c r="B15" s="66">
        <v>2.7295699999999999E-2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7.2954699999999997E-2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15.757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0.44031999999999999</v>
      </c>
      <c r="C18" s="66">
        <v>2.9507200000000001E-2</v>
      </c>
      <c r="D18" s="66">
        <v>6.7013100000000006E-2</v>
      </c>
      <c r="E18" s="66">
        <v>0</v>
      </c>
      <c r="F18" s="66">
        <v>0.41081299999999998</v>
      </c>
      <c r="G18" s="66">
        <v>0</v>
      </c>
      <c r="H18" s="66">
        <v>0.46982699999999999</v>
      </c>
    </row>
    <row r="19" spans="1:8">
      <c r="A19" s="58" t="s">
        <v>316</v>
      </c>
      <c r="B19" s="66">
        <v>0.62889399999999995</v>
      </c>
      <c r="C19" s="66">
        <v>1.3262700000000001E-2</v>
      </c>
      <c r="D19" s="66">
        <v>2.1089E-2</v>
      </c>
      <c r="E19" s="66">
        <v>0</v>
      </c>
      <c r="F19" s="66">
        <v>0.61563100000000004</v>
      </c>
      <c r="G19" s="66">
        <v>0</v>
      </c>
      <c r="H19" s="66">
        <v>0.64215699999999998</v>
      </c>
    </row>
    <row r="20" spans="1:8">
      <c r="A20" s="58" t="s">
        <v>317</v>
      </c>
      <c r="B20" s="66">
        <v>2.8574999999999998E-4</v>
      </c>
      <c r="C20" s="66">
        <v>2.5683999999999998E-2</v>
      </c>
      <c r="D20" s="66">
        <v>89.8827</v>
      </c>
      <c r="E20" s="66">
        <v>0</v>
      </c>
      <c r="F20" s="66">
        <v>0</v>
      </c>
      <c r="G20" s="66">
        <v>0</v>
      </c>
      <c r="H20" s="66">
        <v>0.24041399999999999</v>
      </c>
    </row>
    <row r="21" spans="1:8">
      <c r="A21" s="58" t="s">
        <v>318</v>
      </c>
      <c r="B21" s="66">
        <v>7.7452699999999999E-2</v>
      </c>
      <c r="C21" s="66">
        <v>0.162468</v>
      </c>
      <c r="D21" s="66">
        <v>2.0976499999999998</v>
      </c>
      <c r="E21" s="66">
        <v>0</v>
      </c>
      <c r="F21" s="66">
        <v>2.5320399999999998E-4</v>
      </c>
      <c r="G21" s="66">
        <v>0</v>
      </c>
      <c r="H21" s="66">
        <v>1.3242700000000001</v>
      </c>
    </row>
    <row r="22" spans="1:8">
      <c r="A22" s="58" t="s">
        <v>319</v>
      </c>
      <c r="B22" s="66">
        <v>51.3765</v>
      </c>
      <c r="C22" s="66">
        <v>19.156300000000002</v>
      </c>
      <c r="D22" s="66">
        <v>0.372861</v>
      </c>
      <c r="E22" s="66">
        <v>0</v>
      </c>
      <c r="F22" s="66">
        <v>16.0853</v>
      </c>
      <c r="G22" s="66">
        <v>0</v>
      </c>
      <c r="H22" s="66">
        <v>115.07599999999999</v>
      </c>
    </row>
    <row r="23" spans="1:8">
      <c r="A23" s="58" t="s">
        <v>320</v>
      </c>
      <c r="B23" s="66">
        <v>20.408899999999999</v>
      </c>
      <c r="C23" s="66">
        <v>4.29183</v>
      </c>
      <c r="D23" s="66">
        <v>0.21029200000000001</v>
      </c>
      <c r="E23" s="66">
        <v>0</v>
      </c>
      <c r="F23" s="66">
        <v>11.4971</v>
      </c>
      <c r="G23" s="66">
        <v>0</v>
      </c>
      <c r="H23" s="66">
        <v>30.9084</v>
      </c>
    </row>
    <row r="24" spans="1:8">
      <c r="A24" s="58" t="s">
        <v>321</v>
      </c>
      <c r="B24" s="66">
        <v>8.3212599999999998E-4</v>
      </c>
      <c r="C24" s="66">
        <v>1.5514E-2</v>
      </c>
      <c r="D24" s="66">
        <v>18.643799999999999</v>
      </c>
      <c r="E24" s="66">
        <v>0</v>
      </c>
      <c r="F24" s="196">
        <v>3.4757800000000001E-5</v>
      </c>
      <c r="G24" s="66">
        <v>0</v>
      </c>
      <c r="H24" s="66">
        <v>7.8174900000000005E-2</v>
      </c>
    </row>
    <row r="25" spans="1:8">
      <c r="A25" s="58" t="s">
        <v>322</v>
      </c>
      <c r="B25" s="66">
        <v>0.116354</v>
      </c>
      <c r="C25" s="66">
        <v>9.2751100000000003E-2</v>
      </c>
      <c r="D25" s="66">
        <v>0.79714700000000005</v>
      </c>
      <c r="E25" s="66">
        <v>0</v>
      </c>
      <c r="F25" s="66">
        <v>1.33156E-2</v>
      </c>
      <c r="G25" s="66">
        <v>0</v>
      </c>
      <c r="H25" s="66">
        <v>0.51028499999999999</v>
      </c>
    </row>
    <row r="26" spans="1:8">
      <c r="A26" s="58" t="s">
        <v>323</v>
      </c>
      <c r="B26" s="66">
        <v>1.05042E-4</v>
      </c>
      <c r="C26" s="66">
        <v>1.5640000000000001E-3</v>
      </c>
      <c r="D26" s="66">
        <v>14.8893</v>
      </c>
      <c r="E26" s="66">
        <v>0</v>
      </c>
      <c r="F26" s="66">
        <v>0</v>
      </c>
      <c r="G26" s="66">
        <v>0</v>
      </c>
      <c r="H26" s="66">
        <v>1.56119E-2</v>
      </c>
    </row>
    <row r="27" spans="1:8">
      <c r="A27" s="58" t="s">
        <v>324</v>
      </c>
      <c r="B27" s="196">
        <v>-6.5651299999999996E-6</v>
      </c>
      <c r="C27" s="66">
        <v>1.0406199999999999E-3</v>
      </c>
      <c r="D27" s="66">
        <v>-158.50800000000001</v>
      </c>
      <c r="E27" s="66">
        <v>0</v>
      </c>
      <c r="F27" s="66">
        <v>-6.6767299999999996E-3</v>
      </c>
      <c r="G27" s="66">
        <v>0</v>
      </c>
      <c r="H27" s="66">
        <v>9.6047800000000003E-3</v>
      </c>
    </row>
    <row r="28" spans="1:8">
      <c r="A28" s="58" t="s">
        <v>325</v>
      </c>
      <c r="B28" s="66">
        <v>8.8769499999999998E-3</v>
      </c>
      <c r="C28" s="66">
        <v>1.33356E-2</v>
      </c>
      <c r="D28" s="66">
        <v>1.50227</v>
      </c>
      <c r="E28" s="66">
        <v>0</v>
      </c>
      <c r="F28" s="66">
        <v>1.17187E-4</v>
      </c>
      <c r="G28" s="66">
        <v>0</v>
      </c>
      <c r="H28" s="66">
        <v>9.6904299999999999E-2</v>
      </c>
    </row>
    <row r="29" spans="1:8">
      <c r="A29" s="58" t="s">
        <v>326</v>
      </c>
      <c r="B29" s="66">
        <v>71.601100000000002</v>
      </c>
      <c r="C29" s="66">
        <v>10.4712</v>
      </c>
      <c r="D29" s="66">
        <v>0.14624300000000001</v>
      </c>
      <c r="E29" s="66">
        <v>0</v>
      </c>
      <c r="F29" s="66">
        <v>43.178400000000003</v>
      </c>
      <c r="G29" s="66">
        <v>0</v>
      </c>
      <c r="H29" s="66">
        <v>98.979500000000002</v>
      </c>
    </row>
    <row r="30" spans="1:8">
      <c r="A30" s="58" t="s">
        <v>327</v>
      </c>
      <c r="B30" s="66">
        <v>24.9099</v>
      </c>
      <c r="C30" s="66">
        <v>4.3595800000000002</v>
      </c>
      <c r="D30" s="66">
        <v>0.175014</v>
      </c>
      <c r="E30" s="66">
        <v>0</v>
      </c>
      <c r="F30" s="66">
        <v>11.242599999999999</v>
      </c>
      <c r="G30" s="66">
        <v>0</v>
      </c>
      <c r="H30" s="66">
        <v>30.6099</v>
      </c>
    </row>
    <row r="31" spans="1:8">
      <c r="A31" s="58" t="s">
        <v>328</v>
      </c>
      <c r="B31" s="66">
        <v>272.51799999999997</v>
      </c>
      <c r="C31" s="66">
        <v>101.836</v>
      </c>
      <c r="D31" s="66">
        <v>0.37368299999999999</v>
      </c>
      <c r="E31" s="66">
        <v>0</v>
      </c>
      <c r="F31" s="66">
        <v>128.261</v>
      </c>
      <c r="G31" s="66">
        <v>0</v>
      </c>
      <c r="H31" s="66">
        <v>497.15499999999997</v>
      </c>
    </row>
    <row r="32" spans="1:8">
      <c r="A32" s="58" t="s">
        <v>329</v>
      </c>
      <c r="B32" s="66">
        <v>0.25109100000000001</v>
      </c>
      <c r="C32" s="66">
        <v>3.5341400000000002E-2</v>
      </c>
      <c r="D32" s="66">
        <v>0.14075099999999999</v>
      </c>
      <c r="E32" s="66">
        <v>0.15</v>
      </c>
      <c r="F32" s="66">
        <v>9.4627299999999998E-2</v>
      </c>
      <c r="G32" s="66">
        <v>0.4</v>
      </c>
      <c r="H32" s="66">
        <v>0.40196100000000001</v>
      </c>
    </row>
    <row r="33" spans="1:8">
      <c r="A33" s="58" t="s">
        <v>330</v>
      </c>
      <c r="B33" s="66">
        <v>0.397198</v>
      </c>
      <c r="C33" s="66">
        <v>4.1706800000000002E-2</v>
      </c>
      <c r="D33" s="66">
        <v>0.105002</v>
      </c>
      <c r="E33" s="66">
        <v>0</v>
      </c>
      <c r="F33" s="66">
        <v>0.31012499999999998</v>
      </c>
      <c r="G33" s="66">
        <v>0</v>
      </c>
      <c r="H33" s="66">
        <v>0.47229599999999999</v>
      </c>
    </row>
    <row r="34" spans="1:8">
      <c r="A34" s="58" t="s">
        <v>331</v>
      </c>
      <c r="B34" s="66">
        <v>0.20261699999999999</v>
      </c>
      <c r="C34" s="66">
        <v>3.1435600000000001E-2</v>
      </c>
      <c r="D34" s="66">
        <v>0.15514800000000001</v>
      </c>
      <c r="E34" s="66">
        <v>0.1</v>
      </c>
      <c r="F34" s="66">
        <v>0.135215</v>
      </c>
      <c r="G34" s="66">
        <v>0.25</v>
      </c>
      <c r="H34" s="66">
        <v>0.28265499999999999</v>
      </c>
    </row>
    <row r="35" spans="1:8">
      <c r="A35" s="58" t="s">
        <v>332</v>
      </c>
      <c r="B35" s="66">
        <v>8.5231399999999999E-2</v>
      </c>
      <c r="C35" s="66">
        <v>2.4049500000000001E-2</v>
      </c>
      <c r="D35" s="66">
        <v>0.282167</v>
      </c>
      <c r="E35" s="66">
        <v>0</v>
      </c>
      <c r="F35" s="66">
        <v>3.0556E-2</v>
      </c>
      <c r="G35" s="66">
        <v>0</v>
      </c>
      <c r="H35" s="66">
        <v>0.138075</v>
      </c>
    </row>
    <row r="36" spans="1:8">
      <c r="A36" s="58" t="s">
        <v>333</v>
      </c>
      <c r="B36" s="66">
        <v>0.17338600000000001</v>
      </c>
      <c r="C36" s="66">
        <v>9.6320900000000001E-2</v>
      </c>
      <c r="D36" s="66">
        <v>0.55552900000000005</v>
      </c>
      <c r="E36" s="66">
        <v>0</v>
      </c>
      <c r="F36" s="66">
        <v>4.1594199999999998E-2</v>
      </c>
      <c r="G36" s="66">
        <v>0</v>
      </c>
      <c r="H36" s="66">
        <v>0.47255999999999998</v>
      </c>
    </row>
    <row r="37" spans="1:8">
      <c r="A37" s="58" t="s">
        <v>334</v>
      </c>
      <c r="B37" s="66">
        <v>0.31435600000000002</v>
      </c>
      <c r="C37" s="66">
        <v>0.104293</v>
      </c>
      <c r="D37" s="66">
        <v>0.33176800000000001</v>
      </c>
      <c r="E37" s="66">
        <v>0.1</v>
      </c>
      <c r="F37" s="66">
        <v>2.75175E-2</v>
      </c>
      <c r="G37" s="66">
        <v>0.5</v>
      </c>
      <c r="H37" s="66">
        <v>0.36379499999999998</v>
      </c>
    </row>
    <row r="38" spans="1:8">
      <c r="A38" s="58" t="s">
        <v>335</v>
      </c>
      <c r="B38" s="66">
        <v>-32.863</v>
      </c>
      <c r="C38" s="66">
        <v>37.311999999999998</v>
      </c>
      <c r="D38" s="66">
        <v>-1.1353800000000001</v>
      </c>
      <c r="E38" s="66">
        <v>0</v>
      </c>
      <c r="F38" s="66">
        <v>-143.52199999999999</v>
      </c>
      <c r="G38" s="66">
        <v>0</v>
      </c>
      <c r="H38" s="66">
        <v>98.070999999999998</v>
      </c>
    </row>
    <row r="39" spans="1:8">
      <c r="A39" s="58" t="s">
        <v>336</v>
      </c>
      <c r="B39" s="66">
        <v>-12.3658</v>
      </c>
      <c r="C39" s="66">
        <v>3.9653900000000002</v>
      </c>
      <c r="D39" s="66">
        <v>-0.32067299999999999</v>
      </c>
      <c r="E39" s="66">
        <v>0</v>
      </c>
      <c r="F39" s="66">
        <v>-22.008199999999999</v>
      </c>
      <c r="G39" s="66">
        <v>0</v>
      </c>
      <c r="H39" s="66">
        <v>-8.7023000000000003E-2</v>
      </c>
    </row>
    <row r="40" spans="1:8">
      <c r="A40" s="58" t="s">
        <v>337</v>
      </c>
      <c r="B40" s="66">
        <v>-4.7234100000000003</v>
      </c>
      <c r="C40" s="66">
        <v>1.0868100000000001</v>
      </c>
      <c r="D40" s="66">
        <v>-0.23008999999999999</v>
      </c>
      <c r="E40" s="66">
        <v>0</v>
      </c>
      <c r="F40" s="66">
        <v>-7.0894399999999997</v>
      </c>
      <c r="G40" s="66">
        <v>0</v>
      </c>
      <c r="H40" s="66">
        <v>-2.5773600000000001</v>
      </c>
    </row>
    <row r="41" spans="1:8">
      <c r="A41" s="58" t="s">
        <v>338</v>
      </c>
      <c r="B41" s="66">
        <v>-0.16830899999999999</v>
      </c>
      <c r="C41" s="66">
        <v>0.26186700000000002</v>
      </c>
      <c r="D41" s="66">
        <v>-1.5558700000000001</v>
      </c>
      <c r="E41" s="66">
        <v>0</v>
      </c>
      <c r="F41" s="66">
        <v>-0.869919</v>
      </c>
      <c r="G41" s="66">
        <v>0</v>
      </c>
      <c r="H41" s="66">
        <v>1</v>
      </c>
    </row>
    <row r="42" spans="1:8">
      <c r="A42" s="58" t="s">
        <v>339</v>
      </c>
      <c r="B42" s="66">
        <v>-0.22264500000000001</v>
      </c>
      <c r="C42" s="66">
        <v>6.8594500000000003E-2</v>
      </c>
      <c r="D42" s="66">
        <v>-0.308089</v>
      </c>
      <c r="E42" s="66">
        <v>0</v>
      </c>
      <c r="F42" s="66">
        <v>-0.42642600000000003</v>
      </c>
      <c r="G42" s="66">
        <v>0</v>
      </c>
      <c r="H42" s="66">
        <v>1.14527E-2</v>
      </c>
    </row>
    <row r="43" spans="1:8">
      <c r="A43" s="58" t="s">
        <v>340</v>
      </c>
      <c r="B43" s="66">
        <v>-0.21245900000000001</v>
      </c>
      <c r="C43" s="66">
        <v>5.1748700000000002E-2</v>
      </c>
      <c r="D43" s="66">
        <v>-0.24357100000000001</v>
      </c>
      <c r="E43" s="66">
        <v>0</v>
      </c>
      <c r="F43" s="66">
        <v>-0.31037700000000001</v>
      </c>
      <c r="G43" s="66">
        <v>0</v>
      </c>
      <c r="H43" s="66">
        <v>-0.1075</v>
      </c>
    </row>
    <row r="44" spans="1:8">
      <c r="A44" s="58" t="s">
        <v>341</v>
      </c>
      <c r="B44" s="66">
        <v>-48.486699999999999</v>
      </c>
      <c r="C44" s="66">
        <v>25.700199999999999</v>
      </c>
      <c r="D44" s="66">
        <v>-0.53004600000000002</v>
      </c>
      <c r="E44" s="66">
        <v>0</v>
      </c>
      <c r="F44" s="66">
        <v>-127.376</v>
      </c>
      <c r="G44" s="66">
        <v>0</v>
      </c>
      <c r="H44" s="66">
        <v>-25.7178</v>
      </c>
    </row>
    <row r="45" spans="1:8">
      <c r="A45" s="58" t="s">
        <v>342</v>
      </c>
      <c r="B45" s="66">
        <v>55.852899999999998</v>
      </c>
      <c r="C45" s="66">
        <v>6.3625400000000001</v>
      </c>
      <c r="D45" s="66">
        <v>0.113916</v>
      </c>
      <c r="E45" s="66">
        <v>0</v>
      </c>
      <c r="F45" s="66">
        <v>39.878900000000002</v>
      </c>
      <c r="G45" s="66">
        <v>0</v>
      </c>
      <c r="H45" s="66">
        <v>77.316599999999994</v>
      </c>
    </row>
    <row r="46" spans="1:8">
      <c r="A46" s="58" t="s">
        <v>343</v>
      </c>
      <c r="B46" s="66">
        <v>33.704599999999999</v>
      </c>
      <c r="C46" s="66">
        <v>7.6267100000000001</v>
      </c>
      <c r="D46" s="66">
        <v>0.22628100000000001</v>
      </c>
      <c r="E46" s="66">
        <v>0</v>
      </c>
      <c r="F46" s="66">
        <v>9.5208600000000008</v>
      </c>
      <c r="G46" s="66">
        <v>0</v>
      </c>
      <c r="H46" s="66">
        <v>41.4786</v>
      </c>
    </row>
    <row r="47" spans="1:8">
      <c r="A47" s="58" t="s">
        <v>344</v>
      </c>
      <c r="B47" s="66">
        <v>0.64347200000000004</v>
      </c>
      <c r="C47" s="66">
        <v>0.36920599999999998</v>
      </c>
      <c r="D47" s="66">
        <v>0.57377199999999995</v>
      </c>
      <c r="E47" s="66">
        <v>0</v>
      </c>
      <c r="F47" s="66">
        <v>0.168043</v>
      </c>
      <c r="G47" s="66">
        <v>0</v>
      </c>
      <c r="H47" s="66">
        <v>2.06616</v>
      </c>
    </row>
    <row r="48" spans="1:8">
      <c r="A48" s="58" t="s">
        <v>345</v>
      </c>
      <c r="B48" s="66">
        <v>0.57489900000000005</v>
      </c>
      <c r="C48" s="66">
        <v>0.129492</v>
      </c>
      <c r="D48" s="66">
        <v>0.225243</v>
      </c>
      <c r="E48" s="66">
        <v>0</v>
      </c>
      <c r="F48" s="66">
        <v>0.39935500000000002</v>
      </c>
      <c r="G48" s="66">
        <v>0</v>
      </c>
      <c r="H48" s="66">
        <v>0.89915800000000001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8.4632999999999967</v>
      </c>
      <c r="C5" s="66">
        <f>'M2'!C5-'M1'!C5</f>
        <v>-5.1369400000000001</v>
      </c>
      <c r="D5" s="66">
        <f>'M2'!D5-'M1'!D5</f>
        <v>-15.078099999999999</v>
      </c>
      <c r="E5" s="66">
        <f>'M2'!E5-'M1'!E5</f>
        <v>0</v>
      </c>
      <c r="F5" s="66">
        <f>'M2'!F5-'M1'!F5</f>
        <v>25.714400000000005</v>
      </c>
      <c r="G5" s="66">
        <f>'M2'!G5-'M1'!G5</f>
        <v>0</v>
      </c>
      <c r="H5" s="66">
        <f>'M2'!H5-'M1'!H5</f>
        <v>7.9523999999999972</v>
      </c>
    </row>
    <row r="6" spans="1:8">
      <c r="A6" s="66" t="s">
        <v>244</v>
      </c>
      <c r="B6" s="66">
        <f>'M2'!B6-'M1'!B6</f>
        <v>3.8958000000000048</v>
      </c>
      <c r="C6" s="66">
        <f>'M2'!C6-'M1'!C6</f>
        <v>0.99919000000000002</v>
      </c>
      <c r="D6" s="66">
        <f>'M2'!D6-'M1'!D6</f>
        <v>2.09232</v>
      </c>
      <c r="E6" s="66">
        <f>'M2'!E6-'M1'!E6</f>
        <v>0</v>
      </c>
      <c r="F6" s="66">
        <f>'M2'!F6-'M1'!F6</f>
        <v>3.1255999999999986</v>
      </c>
      <c r="G6" s="66">
        <f>'M2'!G6-'M1'!G6</f>
        <v>0</v>
      </c>
      <c r="H6" s="66">
        <f>'M2'!H6-'M1'!H6</f>
        <v>6.087299999999999</v>
      </c>
    </row>
    <row r="7" spans="1:8">
      <c r="A7" s="66" t="s">
        <v>245</v>
      </c>
      <c r="B7" s="66">
        <f>'M2'!B7-'M1'!B7</f>
        <v>-1.0254000000000012</v>
      </c>
      <c r="C7" s="66">
        <f>'M2'!C7-'M1'!C7</f>
        <v>-0.36302000000000012</v>
      </c>
      <c r="D7" s="66">
        <f>'M2'!D7-'M1'!D7</f>
        <v>-0.88039999999999985</v>
      </c>
      <c r="E7" s="66">
        <f>'M2'!E7-'M1'!E7</f>
        <v>0</v>
      </c>
      <c r="F7" s="66">
        <f>'M2'!F7-'M1'!F7</f>
        <v>8.553370000000001</v>
      </c>
      <c r="G7" s="66">
        <f>'M2'!G7-'M1'!G7</f>
        <v>0</v>
      </c>
      <c r="H7" s="66">
        <f>'M2'!H7-'M1'!H7</f>
        <v>-5.7438000000000002</v>
      </c>
    </row>
    <row r="8" spans="1:8">
      <c r="A8" s="66" t="s">
        <v>246</v>
      </c>
      <c r="B8" s="66">
        <f>'M2'!B8-'M1'!B8</f>
        <v>4.0339999999999989</v>
      </c>
      <c r="C8" s="66">
        <f>'M2'!C8-'M1'!C8</f>
        <v>-1.4545899999999996</v>
      </c>
      <c r="D8" s="66">
        <f>'M2'!D8-'M1'!D8</f>
        <v>-5.4763999999999999</v>
      </c>
      <c r="E8" s="66">
        <f>'M2'!E8-'M1'!E8</f>
        <v>0</v>
      </c>
      <c r="F8" s="66">
        <f>'M2'!F8-'M1'!F8</f>
        <v>10.0867</v>
      </c>
      <c r="G8" s="66">
        <f>'M2'!G8-'M1'!G8</f>
        <v>0</v>
      </c>
      <c r="H8" s="66">
        <f>'M2'!H8-'M1'!H8</f>
        <v>4.5731999999999999</v>
      </c>
    </row>
    <row r="9" spans="1:8">
      <c r="A9" s="66" t="s">
        <v>247</v>
      </c>
      <c r="B9" s="66">
        <f>'M2'!B9-'M1'!B9</f>
        <v>-3.4052999999999969</v>
      </c>
      <c r="C9" s="66">
        <f>'M2'!C9-'M1'!C9</f>
        <v>-1.3021799999999999</v>
      </c>
      <c r="D9" s="66">
        <f>'M2'!D9-'M1'!D9</f>
        <v>-1.5680700000000005</v>
      </c>
      <c r="E9" s="66">
        <f>'M2'!E9-'M1'!E9</f>
        <v>0</v>
      </c>
      <c r="F9" s="66">
        <f>'M2'!F9-'M1'!F9</f>
        <v>-9.3393000000000015</v>
      </c>
      <c r="G9" s="66">
        <f>'M2'!G9-'M1'!G9</f>
        <v>0</v>
      </c>
      <c r="H9" s="66">
        <f>'M2'!H9-'M1'!H9</f>
        <v>-10.783500000000004</v>
      </c>
    </row>
    <row r="10" spans="1:8">
      <c r="A10" s="66" t="s">
        <v>248</v>
      </c>
      <c r="B10" s="66">
        <f>'M2'!B10-'M1'!B10</f>
        <v>-13.968899999999998</v>
      </c>
      <c r="C10" s="66">
        <f>'M2'!C10-'M1'!C10</f>
        <v>4.9353500000000006</v>
      </c>
      <c r="D10" s="66">
        <f>'M2'!D10-'M1'!D10</f>
        <v>9.3568999999999996</v>
      </c>
      <c r="E10" s="66">
        <f>'M2'!E10-'M1'!E10</f>
        <v>0</v>
      </c>
      <c r="F10" s="66">
        <f>'M2'!F10-'M1'!F10</f>
        <v>-8.3054000000000059</v>
      </c>
      <c r="G10" s="66">
        <f>'M2'!G10-'M1'!G10</f>
        <v>0</v>
      </c>
      <c r="H10" s="66">
        <f>'M2'!H10-'M1'!H10</f>
        <v>-3.3596000000000004</v>
      </c>
    </row>
    <row r="11" spans="1:8">
      <c r="A11" s="66" t="s">
        <v>249</v>
      </c>
      <c r="B11" s="66">
        <f>'M2'!B11-'M1'!B11</f>
        <v>-1.8635999999999981</v>
      </c>
      <c r="C11" s="66">
        <f>'M2'!C11-'M1'!C11</f>
        <v>-2.8956300000000006</v>
      </c>
      <c r="D11" s="66">
        <f>'M2'!D11-'M1'!D11</f>
        <v>-14.351139999999999</v>
      </c>
      <c r="E11" s="66">
        <f>'M2'!E11-'M1'!E11</f>
        <v>0</v>
      </c>
      <c r="F11" s="66">
        <f>'M2'!F11-'M1'!F11</f>
        <v>7.42666</v>
      </c>
      <c r="G11" s="66">
        <f>'M2'!G11-'M1'!G11</f>
        <v>0</v>
      </c>
      <c r="H11" s="66">
        <f>'M2'!H11-'M1'!H11</f>
        <v>-2.1053999999999995</v>
      </c>
    </row>
    <row r="12" spans="1:8">
      <c r="A12" s="66" t="s">
        <v>250</v>
      </c>
      <c r="B12" s="66">
        <f>'M2'!B12-'M1'!B12</f>
        <v>-9.4594000000000023</v>
      </c>
      <c r="C12" s="66">
        <f>'M2'!C12-'M1'!C12</f>
        <v>1.0550299999999999</v>
      </c>
      <c r="D12" s="66">
        <f>'M2'!D12-'M1'!D12</f>
        <v>2.4282300000000001</v>
      </c>
      <c r="E12" s="66">
        <f>'M2'!E12-'M1'!E12</f>
        <v>0</v>
      </c>
      <c r="F12" s="66">
        <f>'M2'!F12-'M1'!F12</f>
        <v>-7.6184000000000012</v>
      </c>
      <c r="G12" s="66">
        <f>'M2'!G12-'M1'!G12</f>
        <v>0</v>
      </c>
      <c r="H12" s="66">
        <f>'M2'!H12-'M1'!H12</f>
        <v>-7.3393999999999977</v>
      </c>
    </row>
    <row r="13" spans="1:8">
      <c r="A13" s="66" t="s">
        <v>251</v>
      </c>
      <c r="B13" s="66">
        <f>'M2'!B13-'M1'!B13</f>
        <v>-1.1208999999999989</v>
      </c>
      <c r="C13" s="66">
        <f>'M2'!C13-'M1'!C13</f>
        <v>0.4726600000000003</v>
      </c>
      <c r="D13" s="66">
        <f>'M2'!D13-'M1'!D13</f>
        <v>3.1891999999999996</v>
      </c>
      <c r="E13" s="66">
        <f>'M2'!E13-'M1'!E13</f>
        <v>0</v>
      </c>
      <c r="F13" s="66">
        <f>'M2'!F13-'M1'!F13</f>
        <v>-1.2637</v>
      </c>
      <c r="G13" s="66">
        <f>'M2'!G13-'M1'!G13</f>
        <v>0</v>
      </c>
      <c r="H13" s="66">
        <f>'M2'!H13-'M1'!H13</f>
        <v>-1.870000000000001</v>
      </c>
    </row>
    <row r="14" spans="1:8">
      <c r="A14" s="66" t="s">
        <v>252</v>
      </c>
      <c r="B14" s="66">
        <f>'M2'!B14-'M1'!B14</f>
        <v>4.7265999999999977</v>
      </c>
      <c r="C14" s="66">
        <f>'M2'!C14-'M1'!C14</f>
        <v>0.70800000000000018</v>
      </c>
      <c r="D14" s="66">
        <f>'M2'!D14-'M1'!D14</f>
        <v>-2.916400000000003</v>
      </c>
      <c r="E14" s="66">
        <f>'M2'!E14-'M1'!E14</f>
        <v>0</v>
      </c>
      <c r="F14" s="66">
        <f>'M2'!F14-'M1'!F14</f>
        <v>1.5711299999999997</v>
      </c>
      <c r="G14" s="66">
        <f>'M2'!G14-'M1'!G14</f>
        <v>0</v>
      </c>
      <c r="H14" s="66">
        <f>'M2'!H14-'M1'!H14</f>
        <v>-0.4819000000000031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0.17310300000000001</v>
      </c>
      <c r="C18" s="66">
        <f>'M2'!C18-'M1'!C18</f>
        <v>2.9507200000000001E-2</v>
      </c>
      <c r="D18" s="66">
        <f>'M2'!D18-'M1'!D18</f>
        <v>6.7013100000000006E-2</v>
      </c>
      <c r="E18" s="66">
        <f>'M2'!E18-'M1'!E18</f>
        <v>0</v>
      </c>
      <c r="F18" s="66">
        <f>'M2'!F18-'M1'!F18</f>
        <v>0.41081299999999998</v>
      </c>
      <c r="G18" s="66">
        <f>'M2'!G18-'M1'!G18</f>
        <v>0</v>
      </c>
      <c r="H18" s="66">
        <f>'M2'!H18-'M1'!H18</f>
        <v>0.46982699999999999</v>
      </c>
    </row>
    <row r="19" spans="1:8">
      <c r="A19" s="66" t="s">
        <v>256</v>
      </c>
      <c r="B19" s="66">
        <f>'M2'!B19-'M1'!B19</f>
        <v>3.8439999999999919E-2</v>
      </c>
      <c r="C19" s="66">
        <f>'M2'!C19-'M1'!C19</f>
        <v>1.3262700000000001E-2</v>
      </c>
      <c r="D19" s="66">
        <f>'M2'!D19-'M1'!D19</f>
        <v>2.1089E-2</v>
      </c>
      <c r="E19" s="66">
        <f>'M2'!E19-'M1'!E19</f>
        <v>0</v>
      </c>
      <c r="F19" s="66">
        <f>'M2'!F19-'M1'!F19</f>
        <v>0.61563100000000004</v>
      </c>
      <c r="G19" s="66">
        <f>'M2'!G19-'M1'!G19</f>
        <v>0</v>
      </c>
      <c r="H19" s="66">
        <f>'M2'!H19-'M1'!H19</f>
        <v>0.64215699999999998</v>
      </c>
    </row>
    <row r="20" spans="1:8">
      <c r="A20" s="66" t="s">
        <v>63</v>
      </c>
      <c r="B20" s="66">
        <f>'M2'!B20-'M1'!B20</f>
        <v>-4.4914000000000011E-5</v>
      </c>
      <c r="C20" s="66">
        <f>'M2'!C20-'M1'!C20</f>
        <v>7.2265000000000003E-3</v>
      </c>
      <c r="D20" s="66">
        <f>'M2'!D20-'M1'!D20</f>
        <v>39.391599999999997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8.1707999999999975E-2</v>
      </c>
    </row>
    <row r="21" spans="1:8">
      <c r="A21" s="66" t="s">
        <v>64</v>
      </c>
      <c r="B21" s="66">
        <f>'M2'!B21-'M1'!B21</f>
        <v>-2.9088600000000006E-2</v>
      </c>
      <c r="C21" s="66">
        <f>'M2'!C21-'M1'!C21</f>
        <v>4.9295000000000005E-2</v>
      </c>
      <c r="D21" s="66">
        <f>'M2'!D21-'M1'!D21</f>
        <v>1.46888</v>
      </c>
      <c r="E21" s="66">
        <f>'M2'!E21-'M1'!E21</f>
        <v>0</v>
      </c>
      <c r="F21" s="66">
        <f>'M2'!F21-'M1'!F21</f>
        <v>-5.9184800000000007E-4</v>
      </c>
      <c r="G21" s="66">
        <f>'M2'!G21-'M1'!G21</f>
        <v>0</v>
      </c>
      <c r="H21" s="66">
        <f>'M2'!H21-'M1'!H21</f>
        <v>0.49269500000000011</v>
      </c>
    </row>
    <row r="22" spans="1:8">
      <c r="A22" s="66" t="s">
        <v>65</v>
      </c>
      <c r="B22" s="66">
        <f>'M2'!B22-'M1'!B22</f>
        <v>7.2712000000000003</v>
      </c>
      <c r="C22" s="66">
        <f>'M2'!C22-'M1'!C22</f>
        <v>4.2152999999999992</v>
      </c>
      <c r="D22" s="66">
        <f>'M2'!D22-'M1'!D22</f>
        <v>3.107099999999996E-2</v>
      </c>
      <c r="E22" s="66">
        <f>'M2'!E22-'M1'!E22</f>
        <v>0</v>
      </c>
      <c r="F22" s="66">
        <f>'M2'!F22-'M1'!F22</f>
        <v>-3.1157000000000004</v>
      </c>
      <c r="G22" s="66">
        <f>'M2'!G22-'M1'!G22</f>
        <v>0</v>
      </c>
      <c r="H22" s="66">
        <f>'M2'!H22-'M1'!H22</f>
        <v>-6.2369999999999948</v>
      </c>
    </row>
    <row r="23" spans="1:8">
      <c r="A23" s="66" t="s">
        <v>66</v>
      </c>
      <c r="B23" s="66">
        <f>'M2'!B23-'M1'!B23</f>
        <v>3.5663000000000018</v>
      </c>
      <c r="C23" s="66">
        <f>'M2'!C23-'M1'!C23</f>
        <v>-5.5330000000000101E-2</v>
      </c>
      <c r="D23" s="66">
        <f>'M2'!D23-'M1'!D23</f>
        <v>-2.8959000000000013E-2</v>
      </c>
      <c r="E23" s="66">
        <f>'M2'!E23-'M1'!E23</f>
        <v>0</v>
      </c>
      <c r="F23" s="66">
        <f>'M2'!F23-'M1'!F23</f>
        <v>8.2656999999999989</v>
      </c>
      <c r="G23" s="66">
        <f>'M2'!G23-'M1'!G23</f>
        <v>0</v>
      </c>
      <c r="H23" s="66">
        <f>'M2'!H23-'M1'!H23</f>
        <v>8.9954000000000001</v>
      </c>
    </row>
    <row r="24" spans="1:8">
      <c r="A24" s="66" t="s">
        <v>67</v>
      </c>
      <c r="B24" s="66">
        <f>'M2'!B24-'M1'!B24</f>
        <v>7.0610500000000006E-4</v>
      </c>
      <c r="C24" s="66">
        <f>'M2'!C24-'M1'!C24</f>
        <v>3.4616000000000004E-3</v>
      </c>
      <c r="D24" s="66">
        <f>'M2'!D24-'M1'!D24</f>
        <v>-7.2017999999999986</v>
      </c>
      <c r="E24" s="66">
        <f>'M2'!E24-'M1'!E24</f>
        <v>0</v>
      </c>
      <c r="F24" s="66">
        <f>'M2'!F24-'M1'!F24</f>
        <v>-7.5256000000000013E-6</v>
      </c>
      <c r="G24" s="66">
        <f>'M2'!G24-'M1'!G24</f>
        <v>0</v>
      </c>
      <c r="H24" s="66">
        <f>'M2'!H24-'M1'!H24</f>
        <v>2.3240900000000009E-2</v>
      </c>
    </row>
    <row r="25" spans="1:8">
      <c r="A25" s="66" t="s">
        <v>68</v>
      </c>
      <c r="B25" s="66">
        <f>'M2'!B25-'M1'!B25</f>
        <v>-3.0922100000000008E-2</v>
      </c>
      <c r="C25" s="66">
        <f>'M2'!C25-'M1'!C25</f>
        <v>4.7503599999999993E-2</v>
      </c>
      <c r="D25" s="66">
        <f>'M2'!D25-'M1'!D25</f>
        <v>0.65681600000000007</v>
      </c>
      <c r="E25" s="66">
        <f>'M2'!E25-'M1'!E25</f>
        <v>0</v>
      </c>
      <c r="F25" s="66">
        <f>'M2'!F25-'M1'!F25</f>
        <v>-2.6104999999999982E-3</v>
      </c>
      <c r="G25" s="66">
        <f>'M2'!G25-'M1'!G25</f>
        <v>0</v>
      </c>
      <c r="H25" s="66">
        <f>'M2'!H25-'M1'!H25</f>
        <v>0.188772</v>
      </c>
    </row>
    <row r="26" spans="1:8">
      <c r="A26" s="66" t="s">
        <v>69</v>
      </c>
      <c r="B26" s="66">
        <f>'M2'!B26-'M1'!B26</f>
        <v>-2.1337000000000003E-5</v>
      </c>
      <c r="C26" s="66">
        <f>'M2'!C26-'M1'!C26</f>
        <v>5.8383000000000003E-4</v>
      </c>
      <c r="D26" s="66">
        <f>'M2'!D26-'M1'!D26</f>
        <v>8.6902000000000008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9.0960099999999999E-3</v>
      </c>
    </row>
    <row r="27" spans="1:8">
      <c r="A27" s="66" t="s">
        <v>70</v>
      </c>
      <c r="B27" s="66">
        <f>'M2'!B27-'M1'!B27</f>
        <v>-6.5651299999999996E-6</v>
      </c>
      <c r="C27" s="66">
        <f>'M2'!C27-'M1'!C27</f>
        <v>3.1763600000000005E-4</v>
      </c>
      <c r="D27" s="66">
        <f>'M2'!D27-'M1'!D27</f>
        <v>144.339</v>
      </c>
      <c r="E27" s="66">
        <f>'M2'!E27-'M1'!E27</f>
        <v>0</v>
      </c>
      <c r="F27" s="66">
        <f>'M2'!F27-'M1'!F27</f>
        <v>-1.0372899999999997E-3</v>
      </c>
      <c r="G27" s="66">
        <f>'M2'!G27-'M1'!G27</f>
        <v>0</v>
      </c>
      <c r="H27" s="66">
        <f>'M2'!H27-'M1'!H27</f>
        <v>4.31329E-3</v>
      </c>
    </row>
    <row r="28" spans="1:8">
      <c r="A28" s="66" t="s">
        <v>71</v>
      </c>
      <c r="B28" s="66">
        <f>'M2'!B28-'M1'!B28</f>
        <v>-3.7386200000000007E-3</v>
      </c>
      <c r="C28" s="66">
        <f>'M2'!C28-'M1'!C28</f>
        <v>2.7386000000000008E-3</v>
      </c>
      <c r="D28" s="66">
        <f>'M2'!D28-'M1'!D28</f>
        <v>0.93696000000000002</v>
      </c>
      <c r="E28" s="66">
        <f>'M2'!E28-'M1'!E28</f>
        <v>0</v>
      </c>
      <c r="F28" s="66">
        <f>'M2'!F28-'M1'!F28</f>
        <v>-2.0833400000000001E-4</v>
      </c>
      <c r="G28" s="66">
        <f>'M2'!G28-'M1'!G28</f>
        <v>0</v>
      </c>
      <c r="H28" s="66">
        <f>'M2'!H28-'M1'!H28</f>
        <v>2.6910799999999999E-2</v>
      </c>
    </row>
    <row r="29" spans="1:8">
      <c r="A29" s="66" t="s">
        <v>72</v>
      </c>
      <c r="B29" s="66">
        <f>'M2'!B29-'M1'!B29</f>
        <v>-2.2292000000000058</v>
      </c>
      <c r="C29" s="66">
        <f>'M2'!C29-'M1'!C29</f>
        <v>2.3305600000000002</v>
      </c>
      <c r="D29" s="66">
        <f>'M2'!D29-'M1'!D29</f>
        <v>3.7051000000000001E-2</v>
      </c>
      <c r="E29" s="66">
        <f>'M2'!E29-'M1'!E29</f>
        <v>0</v>
      </c>
      <c r="F29" s="66">
        <f>'M2'!F29-'M1'!F29</f>
        <v>-7.7267999999999972</v>
      </c>
      <c r="G29" s="66">
        <f>'M2'!G29-'M1'!G29</f>
        <v>0</v>
      </c>
      <c r="H29" s="66">
        <f>'M2'!H29-'M1'!H29</f>
        <v>4.542500000000004</v>
      </c>
    </row>
    <row r="30" spans="1:8">
      <c r="A30" s="66" t="s">
        <v>73</v>
      </c>
      <c r="B30" s="66">
        <f>'M2'!B30-'M1'!B30</f>
        <v>-0.73059999999999903</v>
      </c>
      <c r="C30" s="66">
        <f>'M2'!C30-'M1'!C30</f>
        <v>-2.64873</v>
      </c>
      <c r="D30" s="66">
        <f>'M2'!D30-'M1'!D30</f>
        <v>-0.10075199999999999</v>
      </c>
      <c r="E30" s="66">
        <f>'M2'!E30-'M1'!E30</f>
        <v>0</v>
      </c>
      <c r="F30" s="66">
        <f>'M2'!F30-'M1'!F30</f>
        <v>10.218700000000002</v>
      </c>
      <c r="G30" s="66">
        <f>'M2'!G30-'M1'!G30</f>
        <v>0</v>
      </c>
      <c r="H30" s="66">
        <f>'M2'!H30-'M1'!H30</f>
        <v>3.1714999999999982</v>
      </c>
    </row>
    <row r="31" spans="1:8">
      <c r="A31" s="66" t="s">
        <v>74</v>
      </c>
      <c r="B31" s="66">
        <f>'M2'!B31-'M1'!B31</f>
        <v>153.28699999999998</v>
      </c>
      <c r="C31" s="66">
        <f>'M2'!C31-'M1'!C31</f>
        <v>24.009899999999995</v>
      </c>
      <c r="D31" s="66">
        <f>'M2'!D31-'M1'!D31</f>
        <v>-1.7648999999999998E-2</v>
      </c>
      <c r="E31" s="66">
        <f>'M2'!E31-'M1'!E31</f>
        <v>0</v>
      </c>
      <c r="F31" s="66">
        <f>'M2'!F31-'M1'!F31</f>
        <v>99.568000000000012</v>
      </c>
      <c r="G31" s="66">
        <f>'M2'!G31-'M1'!G31</f>
        <v>0</v>
      </c>
      <c r="H31" s="66">
        <f>'M2'!H31-'M1'!H31</f>
        <v>215.60999999999996</v>
      </c>
    </row>
    <row r="32" spans="1:8">
      <c r="A32" s="66" t="s">
        <v>75</v>
      </c>
      <c r="B32" s="66">
        <f>'M2'!B32-'M1'!B32</f>
        <v>-1.0253999999999985E-2</v>
      </c>
      <c r="C32" s="66">
        <f>'M2'!C32-'M1'!C32</f>
        <v>-3.6302000000000001E-3</v>
      </c>
      <c r="D32" s="66">
        <f>'M2'!D32-'M1'!D32</f>
        <v>-8.8040000000000063E-3</v>
      </c>
      <c r="E32" s="66">
        <f>'M2'!E32-'M1'!E32</f>
        <v>0</v>
      </c>
      <c r="F32" s="66">
        <f>'M2'!F32-'M1'!F32</f>
        <v>8.553369999999999E-2</v>
      </c>
      <c r="G32" s="66">
        <f>'M2'!G32-'M1'!G32</f>
        <v>0</v>
      </c>
      <c r="H32" s="66">
        <f>'M2'!H32-'M1'!H32</f>
        <v>-5.7437999999999989E-2</v>
      </c>
    </row>
    <row r="33" spans="1:8">
      <c r="A33" s="66" t="s">
        <v>76</v>
      </c>
      <c r="B33" s="66">
        <f>'M2'!B33-'M1'!B33</f>
        <v>-3.6816999999999989E-2</v>
      </c>
      <c r="C33" s="66">
        <f>'M2'!C33-'M1'!C33</f>
        <v>-3.7324999999999997E-3</v>
      </c>
      <c r="D33" s="66">
        <f>'M2'!D33-'M1'!D33</f>
        <v>3.1000000000003247E-5</v>
      </c>
      <c r="E33" s="66">
        <f>'M2'!E33-'M1'!E33</f>
        <v>0</v>
      </c>
      <c r="F33" s="66">
        <f>'M2'!F33-'M1'!F33</f>
        <v>1.1947000000000041E-2</v>
      </c>
      <c r="G33" s="66">
        <f>'M2'!G33-'M1'!G33</f>
        <v>0</v>
      </c>
      <c r="H33" s="66">
        <f>'M2'!H33-'M1'!H33</f>
        <v>-1.9617999999999969E-2</v>
      </c>
    </row>
    <row r="34" spans="1:8">
      <c r="A34" s="66" t="s">
        <v>77</v>
      </c>
      <c r="B34" s="66">
        <f>'M2'!B34-'M1'!B34</f>
        <v>-1.1208999999999997E-2</v>
      </c>
      <c r="C34" s="66">
        <f>'M2'!C34-'M1'!C34</f>
        <v>4.7266000000000044E-3</v>
      </c>
      <c r="D34" s="66">
        <f>'M2'!D34-'M1'!D34</f>
        <v>3.1892000000000004E-2</v>
      </c>
      <c r="E34" s="66">
        <f>'M2'!E34-'M1'!E34</f>
        <v>0</v>
      </c>
      <c r="F34" s="66">
        <f>'M2'!F34-'M1'!F34</f>
        <v>-1.2637000000000009E-2</v>
      </c>
      <c r="G34" s="66">
        <f>'M2'!G34-'M1'!G34</f>
        <v>0</v>
      </c>
      <c r="H34" s="66">
        <f>'M2'!H34-'M1'!H34</f>
        <v>-1.8699999999999994E-2</v>
      </c>
    </row>
    <row r="35" spans="1:8">
      <c r="A35" s="66" t="s">
        <v>78</v>
      </c>
      <c r="B35" s="66">
        <f>'M2'!B35-'M1'!B35</f>
        <v>2.8589000000000114E-3</v>
      </c>
      <c r="C35" s="66">
        <f>'M2'!C35-'M1'!C35</f>
        <v>-1.8366000000000007E-3</v>
      </c>
      <c r="D35" s="66">
        <f>'M2'!D35-'M1'!D35</f>
        <v>-3.0700999999999978E-2</v>
      </c>
      <c r="E35" s="66">
        <f>'M2'!E35-'M1'!E35</f>
        <v>0</v>
      </c>
      <c r="F35" s="66">
        <f>'M2'!F35-'M1'!F35</f>
        <v>3.5279000000000005E-3</v>
      </c>
      <c r="G35" s="66">
        <f>'M2'!G35-'M1'!G35</f>
        <v>0</v>
      </c>
      <c r="H35" s="66">
        <f>'M2'!H35-'M1'!H35</f>
        <v>-6.3469999999999915E-3</v>
      </c>
    </row>
    <row r="36" spans="1:8">
      <c r="A36" s="66" t="s">
        <v>79</v>
      </c>
      <c r="B36" s="66">
        <f>'M2'!B36-'M1'!B36</f>
        <v>5.1550000000000207E-3</v>
      </c>
      <c r="C36" s="66">
        <f>'M2'!C36-'M1'!C36</f>
        <v>2.4465000000000042E-3</v>
      </c>
      <c r="D36" s="66">
        <f>'M2'!D36-'M1'!D36</f>
        <v>-2.2539999999999782E-3</v>
      </c>
      <c r="E36" s="66">
        <f>'M2'!E36-'M1'!E36</f>
        <v>0</v>
      </c>
      <c r="F36" s="66">
        <f>'M2'!F36-'M1'!F36</f>
        <v>5.6234000000000006E-3</v>
      </c>
      <c r="G36" s="66">
        <f>'M2'!G36-'M1'!G36</f>
        <v>0</v>
      </c>
      <c r="H36" s="66">
        <f>'M2'!H36-'M1'!H36</f>
        <v>1.1734999999999995E-2</v>
      </c>
    </row>
    <row r="37" spans="1:8">
      <c r="A37" s="66" t="s">
        <v>80</v>
      </c>
      <c r="B37" s="66">
        <f>'M2'!B37-'M1'!B37</f>
        <v>4.7265999999999975E-2</v>
      </c>
      <c r="C37" s="66">
        <f>'M2'!C37-'M1'!C37</f>
        <v>7.080000000000003E-3</v>
      </c>
      <c r="D37" s="66">
        <f>'M2'!D37-'M1'!D37</f>
        <v>-2.9163999999999968E-2</v>
      </c>
      <c r="E37" s="66">
        <f>'M2'!E37-'M1'!E37</f>
        <v>0</v>
      </c>
      <c r="F37" s="66">
        <f>'M2'!F37-'M1'!F37</f>
        <v>1.5711299999999997E-2</v>
      </c>
      <c r="G37" s="66">
        <f>'M2'!G37-'M1'!G37</f>
        <v>0</v>
      </c>
      <c r="H37" s="66">
        <f>'M2'!H37-'M1'!H37</f>
        <v>-4.8189999999999622E-3</v>
      </c>
    </row>
    <row r="38" spans="1:8">
      <c r="A38" s="66" t="s">
        <v>81</v>
      </c>
      <c r="B38" s="66">
        <f>'M2'!B38-'M1'!B38</f>
        <v>-0.89679999999999893</v>
      </c>
      <c r="C38" s="66">
        <f>'M2'!C38-'M1'!C38</f>
        <v>-3.7128000000000014</v>
      </c>
      <c r="D38" s="66">
        <f>'M2'!D38-'M1'!D38</f>
        <v>0.14290000000000003</v>
      </c>
      <c r="E38" s="66">
        <f>'M2'!E38-'M1'!E38</f>
        <v>0</v>
      </c>
      <c r="F38" s="66">
        <f>'M2'!F38-'M1'!F38</f>
        <v>33.861999999999995</v>
      </c>
      <c r="G38" s="66">
        <f>'M2'!G38-'M1'!G38</f>
        <v>0</v>
      </c>
      <c r="H38" s="66">
        <f>'M2'!H38-'M1'!H38</f>
        <v>-0.70319999999999538</v>
      </c>
    </row>
    <row r="39" spans="1:8">
      <c r="A39" s="66" t="s">
        <v>82</v>
      </c>
      <c r="B39" s="66">
        <f>'M2'!B39-'M1'!B39</f>
        <v>0.48840000000000039</v>
      </c>
      <c r="C39" s="66">
        <f>'M2'!C39-'M1'!C39</f>
        <v>0.6593899999999997</v>
      </c>
      <c r="D39" s="66">
        <f>'M2'!D39-'M1'!D39</f>
        <v>-6.6734999999999989E-2</v>
      </c>
      <c r="E39" s="66">
        <f>'M2'!E39-'M1'!E39</f>
        <v>0</v>
      </c>
      <c r="F39" s="66">
        <f>'M2'!F39-'M1'!F39</f>
        <v>-0.87769999999999726</v>
      </c>
      <c r="G39" s="66">
        <f>'M2'!G39-'M1'!G39</f>
        <v>0</v>
      </c>
      <c r="H39" s="66">
        <f>'M2'!H39-'M1'!H39</f>
        <v>-1.8711369999999998</v>
      </c>
    </row>
    <row r="40" spans="1:8">
      <c r="A40" s="66" t="s">
        <v>83</v>
      </c>
      <c r="B40" s="66">
        <f>'M2'!B40-'M1'!B40</f>
        <v>-1.2253800000000004</v>
      </c>
      <c r="C40" s="66">
        <f>'M2'!C40-'M1'!C40</f>
        <v>-9.4644999999999979E-2</v>
      </c>
      <c r="D40" s="66">
        <f>'M2'!D40-'M1'!D40</f>
        <v>6.5001000000000003E-2</v>
      </c>
      <c r="E40" s="66">
        <f>'M2'!E40-'M1'!E40</f>
        <v>0</v>
      </c>
      <c r="F40" s="66">
        <f>'M2'!F40-'M1'!F40</f>
        <v>-1.0558199999999998</v>
      </c>
      <c r="G40" s="66">
        <f>'M2'!G40-'M1'!G40</f>
        <v>0</v>
      </c>
      <c r="H40" s="66">
        <f>'M2'!H40-'M1'!H40</f>
        <v>-1.5538399999999997</v>
      </c>
    </row>
    <row r="41" spans="1:8">
      <c r="A41" s="66" t="s">
        <v>84</v>
      </c>
      <c r="B41" s="66">
        <f>'M2'!B41-'M1'!B41</f>
        <v>5.4998000000000019E-2</v>
      </c>
      <c r="C41" s="66">
        <f>'M2'!C41-'M1'!C41</f>
        <v>-3.493300000000002E-2</v>
      </c>
      <c r="D41" s="66">
        <f>'M2'!D41-'M1'!D41</f>
        <v>-0.30702999999999991</v>
      </c>
      <c r="E41" s="66">
        <f>'M2'!E41-'M1'!E41</f>
        <v>0</v>
      </c>
      <c r="F41" s="66">
        <f>'M2'!F41-'M1'!F41</f>
        <v>0.11629599999999995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8.9160000000000073E-3</v>
      </c>
      <c r="C42" s="66">
        <f>'M2'!C42-'M1'!C42</f>
        <v>-6.650199999999995E-3</v>
      </c>
      <c r="D42" s="66">
        <f>'M2'!D42-'M1'!D42</f>
        <v>1.7697000000000018E-2</v>
      </c>
      <c r="E42" s="66">
        <f>'M2'!E42-'M1'!E42</f>
        <v>0</v>
      </c>
      <c r="F42" s="66">
        <f>'M2'!F42-'M1'!F42</f>
        <v>9.5123000000000013E-2</v>
      </c>
      <c r="G42" s="66">
        <f>'M2'!G42-'M1'!G42</f>
        <v>0</v>
      </c>
      <c r="H42" s="66">
        <f>'M2'!H42-'M1'!H42</f>
        <v>-3.0583099999999998E-2</v>
      </c>
    </row>
    <row r="43" spans="1:8">
      <c r="A43" s="66" t="s">
        <v>86</v>
      </c>
      <c r="B43" s="66">
        <f>'M2'!B43-'M1'!B43</f>
        <v>-2.1221000000000018E-2</v>
      </c>
      <c r="C43" s="66">
        <f>'M2'!C43-'M1'!C43</f>
        <v>4.0200399999999997E-2</v>
      </c>
      <c r="D43" s="66">
        <f>'M2'!D43-'M1'!D43</f>
        <v>-0.16567899999999999</v>
      </c>
      <c r="E43" s="66">
        <f>'M2'!E43-'M1'!E43</f>
        <v>0</v>
      </c>
      <c r="F43" s="66">
        <f>'M2'!F43-'M1'!F43</f>
        <v>-3.4627000000000019E-2</v>
      </c>
      <c r="G43" s="66">
        <f>'M2'!G43-'M1'!G43</f>
        <v>0</v>
      </c>
      <c r="H43" s="66">
        <f>'M2'!H43-'M1'!H43</f>
        <v>5.6340000000000015E-2</v>
      </c>
    </row>
    <row r="44" spans="1:8">
      <c r="A44" s="66" t="s">
        <v>87</v>
      </c>
      <c r="B44" s="66">
        <f>'M2'!B44-'M1'!B44</f>
        <v>-12.512900000000002</v>
      </c>
      <c r="C44" s="66">
        <f>'M2'!C44-'M1'!C44</f>
        <v>22.335810000000002</v>
      </c>
      <c r="D44" s="66">
        <f>'M2'!D44-'M1'!D44</f>
        <v>-0.34711100000000006</v>
      </c>
      <c r="E44" s="66">
        <f>'M2'!E44-'M1'!E44</f>
        <v>0</v>
      </c>
      <c r="F44" s="66">
        <f>'M2'!F44-'M1'!F44</f>
        <v>-65.322400000000002</v>
      </c>
      <c r="G44" s="66">
        <f>'M2'!G44-'M1'!G44</f>
        <v>0</v>
      </c>
      <c r="H44" s="66">
        <f>'M2'!H44-'M1'!H44</f>
        <v>-8.201399999999996</v>
      </c>
    </row>
    <row r="45" spans="1:8">
      <c r="A45" s="66" t="s">
        <v>88</v>
      </c>
      <c r="B45" s="66">
        <f>'M2'!B45-'M1'!B45</f>
        <v>-0.95720000000000027</v>
      </c>
      <c r="C45" s="66">
        <f>'M2'!C45-'M1'!C45</f>
        <v>2.10731</v>
      </c>
      <c r="D45" s="66">
        <f>'M2'!D45-'M1'!D45</f>
        <v>3.9630100000000001E-2</v>
      </c>
      <c r="E45" s="66">
        <f>'M2'!E45-'M1'!E45</f>
        <v>0</v>
      </c>
      <c r="F45" s="66">
        <f>'M2'!F45-'M1'!F45</f>
        <v>-7.0855999999999995</v>
      </c>
      <c r="G45" s="66">
        <f>'M2'!G45-'M1'!G45</f>
        <v>0</v>
      </c>
      <c r="H45" s="66">
        <f>'M2'!H45-'M1'!H45</f>
        <v>5.8820999999999941</v>
      </c>
    </row>
    <row r="46" spans="1:8">
      <c r="A46" s="66" t="s">
        <v>89</v>
      </c>
      <c r="B46" s="66">
        <f>'M2'!B46-'M1'!B46</f>
        <v>6.5364999999999966</v>
      </c>
      <c r="C46" s="66">
        <f>'M2'!C46-'M1'!C46</f>
        <v>-4.8536599999999996</v>
      </c>
      <c r="D46" s="66">
        <f>'M2'!D46-'M1'!D46</f>
        <v>-0.16794399999999998</v>
      </c>
      <c r="E46" s="66">
        <f>'M2'!E46-'M1'!E46</f>
        <v>0</v>
      </c>
      <c r="F46" s="66">
        <f>'M2'!F46-'M1'!F46</f>
        <v>21.662039999999998</v>
      </c>
      <c r="G46" s="66">
        <f>'M2'!G46-'M1'!G46</f>
        <v>0</v>
      </c>
      <c r="H46" s="66">
        <f>'M2'!H46-'M1'!H46</f>
        <v>7.170499999999997</v>
      </c>
    </row>
    <row r="47" spans="1:8">
      <c r="A47" s="66" t="s">
        <v>90</v>
      </c>
      <c r="B47" s="66">
        <f>'M2'!B47-'M1'!B47</f>
        <v>-0.16495199999999999</v>
      </c>
      <c r="C47" s="66">
        <f>'M2'!C47-'M1'!C47</f>
        <v>3.0522000000000049E-2</v>
      </c>
      <c r="D47" s="66">
        <f>'M2'!D47-'M1'!D47</f>
        <v>0.19512500000000005</v>
      </c>
      <c r="E47" s="66">
        <f>'M2'!E47-'M1'!E47</f>
        <v>0</v>
      </c>
      <c r="F47" s="66">
        <f>'M2'!F47-'M1'!F47</f>
        <v>-6.0323000000000015E-2</v>
      </c>
      <c r="G47" s="66">
        <f>'M2'!G47-'M1'!G47</f>
        <v>0</v>
      </c>
      <c r="H47" s="66">
        <f>'M2'!H47-'M1'!H47</f>
        <v>0.24895</v>
      </c>
    </row>
    <row r="48" spans="1:8">
      <c r="A48" s="66" t="s">
        <v>91</v>
      </c>
      <c r="B48" s="66">
        <f>'M2'!B48-'M1'!B48</f>
        <v>-0.19477899999999998</v>
      </c>
      <c r="C48" s="66">
        <f>'M2'!C48-'M1'!C48</f>
        <v>-3.3307499999999997E-2</v>
      </c>
      <c r="D48" s="66">
        <f>'M2'!D48-'M1'!D48</f>
        <v>-1.5772000000000008E-2</v>
      </c>
      <c r="E48" s="66">
        <f>'M2'!E48-'M1'!E48</f>
        <v>0</v>
      </c>
      <c r="F48" s="66">
        <f>'M2'!F48-'M1'!F48</f>
        <v>-0.14621200000000001</v>
      </c>
      <c r="G48" s="66">
        <f>'M2'!G48-'M1'!G48</f>
        <v>0</v>
      </c>
      <c r="H48" s="66">
        <f>'M2'!H48-'M1'!H48</f>
        <v>-0.30396000000000001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40.0411</v>
      </c>
      <c r="C5" s="66">
        <v>10.2979</v>
      </c>
      <c r="D5" s="66">
        <v>25.718299999999999</v>
      </c>
      <c r="E5" s="66">
        <v>20</v>
      </c>
      <c r="F5" s="66">
        <v>11.580399999999999</v>
      </c>
      <c r="G5" s="66">
        <v>50</v>
      </c>
      <c r="H5" s="66">
        <v>47.9161</v>
      </c>
    </row>
    <row r="6" spans="1:8">
      <c r="A6" s="66" t="s">
        <v>303</v>
      </c>
      <c r="B6" s="66">
        <v>30.706399999999999</v>
      </c>
      <c r="C6" s="66">
        <v>2.1690900000000002</v>
      </c>
      <c r="D6" s="66">
        <v>7.0639700000000003</v>
      </c>
      <c r="E6" s="66">
        <v>20</v>
      </c>
      <c r="F6" s="66">
        <v>27.623000000000001</v>
      </c>
      <c r="G6" s="66">
        <v>40</v>
      </c>
      <c r="H6" s="66">
        <v>35.160800000000002</v>
      </c>
    </row>
    <row r="7" spans="1:8">
      <c r="A7" s="66" t="s">
        <v>304</v>
      </c>
      <c r="B7" s="66">
        <v>25.7239</v>
      </c>
      <c r="C7" s="66">
        <v>3.65265</v>
      </c>
      <c r="D7" s="66">
        <v>14.1995</v>
      </c>
      <c r="E7" s="66">
        <v>15</v>
      </c>
      <c r="F7" s="66">
        <v>9.4627300000000005</v>
      </c>
      <c r="G7" s="66">
        <v>40</v>
      </c>
      <c r="H7" s="66">
        <v>40.196100000000001</v>
      </c>
    </row>
    <row r="8" spans="1:8">
      <c r="A8" s="66" t="s">
        <v>305</v>
      </c>
      <c r="B8" s="66">
        <v>32.016300000000001</v>
      </c>
      <c r="C8" s="66">
        <v>4.1242599999999996</v>
      </c>
      <c r="D8" s="66">
        <v>12.8818</v>
      </c>
      <c r="E8" s="66">
        <v>20</v>
      </c>
      <c r="F8" s="66">
        <v>21.052199999999999</v>
      </c>
      <c r="G8" s="66">
        <v>50</v>
      </c>
      <c r="H8" s="66">
        <v>35.313200000000002</v>
      </c>
    </row>
    <row r="9" spans="1:8">
      <c r="A9" s="66" t="s">
        <v>306</v>
      </c>
      <c r="B9" s="66">
        <v>68.275899999999993</v>
      </c>
      <c r="C9" s="66">
        <v>5.7134299999999998</v>
      </c>
      <c r="D9" s="66">
        <v>8.3681400000000004</v>
      </c>
      <c r="E9" s="66">
        <v>50</v>
      </c>
      <c r="F9" s="66">
        <v>57.301400000000001</v>
      </c>
      <c r="G9" s="66">
        <v>100</v>
      </c>
      <c r="H9" s="66">
        <v>82.589200000000005</v>
      </c>
    </row>
    <row r="10" spans="1:8">
      <c r="A10" s="66" t="s">
        <v>307</v>
      </c>
      <c r="B10" s="66">
        <v>75.652799999999999</v>
      </c>
      <c r="C10" s="66">
        <v>4.5296399999999997</v>
      </c>
      <c r="D10" s="66">
        <v>5.9874000000000001</v>
      </c>
      <c r="E10" s="66">
        <v>40</v>
      </c>
      <c r="F10" s="66">
        <v>58.861400000000003</v>
      </c>
      <c r="G10" s="66">
        <v>100</v>
      </c>
      <c r="H10" s="66">
        <v>81.136600000000001</v>
      </c>
    </row>
    <row r="11" spans="1:8">
      <c r="A11" s="66" t="s">
        <v>308</v>
      </c>
      <c r="B11" s="66">
        <v>18.886099999999999</v>
      </c>
      <c r="C11" s="66">
        <v>4.5877600000000003</v>
      </c>
      <c r="D11" s="66">
        <v>24.291699999999999</v>
      </c>
      <c r="E11" s="66">
        <v>10</v>
      </c>
      <c r="F11" s="66">
        <v>6.0229400000000002</v>
      </c>
      <c r="G11" s="66">
        <v>50</v>
      </c>
      <c r="H11" s="66">
        <v>21.7499</v>
      </c>
    </row>
    <row r="12" spans="1:8">
      <c r="A12" s="66" t="s">
        <v>309</v>
      </c>
      <c r="B12" s="66">
        <v>71.952200000000005</v>
      </c>
      <c r="C12" s="66">
        <v>3.5175100000000001</v>
      </c>
      <c r="D12" s="66">
        <v>4.8886799999999999</v>
      </c>
      <c r="E12" s="66">
        <v>50</v>
      </c>
      <c r="F12" s="66">
        <v>63.444600000000001</v>
      </c>
      <c r="G12" s="66">
        <v>100</v>
      </c>
      <c r="H12" s="66">
        <v>78.660899999999998</v>
      </c>
    </row>
    <row r="13" spans="1:8">
      <c r="A13" s="66" t="s">
        <v>310</v>
      </c>
      <c r="B13" s="66">
        <v>20.747</v>
      </c>
      <c r="C13" s="66">
        <v>2.8365399999999998</v>
      </c>
      <c r="D13" s="66">
        <v>13.672000000000001</v>
      </c>
      <c r="E13" s="66">
        <v>10</v>
      </c>
      <c r="F13" s="66">
        <v>14.7852</v>
      </c>
      <c r="G13" s="66">
        <v>25</v>
      </c>
      <c r="H13" s="66">
        <v>28.265499999999999</v>
      </c>
    </row>
    <row r="14" spans="1:8">
      <c r="A14" s="66" t="s">
        <v>311</v>
      </c>
      <c r="B14" s="66">
        <v>28.365400000000001</v>
      </c>
      <c r="C14" s="66">
        <v>10.040699999999999</v>
      </c>
      <c r="D14" s="66">
        <v>35.3977</v>
      </c>
      <c r="E14" s="66">
        <v>10</v>
      </c>
      <c r="F14" s="66">
        <v>2.7517499999999999</v>
      </c>
      <c r="G14" s="66">
        <v>50</v>
      </c>
      <c r="H14" s="66">
        <v>36.3795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0.26721699999999998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0.59045400000000003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346</v>
      </c>
      <c r="B20" s="66">
        <v>3.0849700000000002E-4</v>
      </c>
      <c r="C20" s="66">
        <v>2.1680700000000001E-2</v>
      </c>
      <c r="D20" s="66">
        <v>70.278400000000005</v>
      </c>
      <c r="E20" s="66">
        <v>0</v>
      </c>
      <c r="F20" s="66">
        <v>0</v>
      </c>
      <c r="G20" s="66">
        <v>0</v>
      </c>
      <c r="H20" s="66">
        <v>0.15870600000000001</v>
      </c>
    </row>
    <row r="21" spans="1:8">
      <c r="A21" s="66" t="s">
        <v>318</v>
      </c>
      <c r="B21" s="66">
        <v>9.1943300000000006E-2</v>
      </c>
      <c r="C21" s="66">
        <v>0.136013</v>
      </c>
      <c r="D21" s="66">
        <v>1.4793099999999999</v>
      </c>
      <c r="E21" s="66">
        <v>0</v>
      </c>
      <c r="F21" s="66">
        <v>8.45052E-4</v>
      </c>
      <c r="G21" s="66">
        <v>0</v>
      </c>
      <c r="H21" s="66">
        <v>0.83157499999999995</v>
      </c>
    </row>
    <row r="22" spans="1:8">
      <c r="A22" s="66" t="s">
        <v>319</v>
      </c>
      <c r="B22" s="66">
        <v>49.069099999999999</v>
      </c>
      <c r="C22" s="66">
        <v>16.6327</v>
      </c>
      <c r="D22" s="66">
        <v>0.33896500000000002</v>
      </c>
      <c r="E22" s="66">
        <v>0</v>
      </c>
      <c r="F22" s="66">
        <v>19.201000000000001</v>
      </c>
      <c r="G22" s="66">
        <v>0</v>
      </c>
      <c r="H22" s="66">
        <v>115.07599999999999</v>
      </c>
    </row>
    <row r="23" spans="1:8">
      <c r="A23" s="66" t="s">
        <v>320</v>
      </c>
      <c r="B23" s="66">
        <v>19.006399999999999</v>
      </c>
      <c r="C23" s="66">
        <v>3.18885</v>
      </c>
      <c r="D23" s="66">
        <v>0.16777800000000001</v>
      </c>
      <c r="E23" s="66">
        <v>0</v>
      </c>
      <c r="F23" s="66">
        <v>11.4971</v>
      </c>
      <c r="G23" s="66">
        <v>0</v>
      </c>
      <c r="H23" s="66">
        <v>21.913</v>
      </c>
    </row>
    <row r="24" spans="1:8">
      <c r="A24" s="66" t="s">
        <v>321</v>
      </c>
      <c r="B24" s="66">
        <v>7.0064499999999996E-4</v>
      </c>
      <c r="C24" s="66">
        <v>1.34877E-2</v>
      </c>
      <c r="D24" s="66">
        <v>19.250399999999999</v>
      </c>
      <c r="E24" s="66">
        <v>0</v>
      </c>
      <c r="F24" s="196">
        <v>4.2283400000000002E-5</v>
      </c>
      <c r="G24" s="66">
        <v>0</v>
      </c>
      <c r="H24" s="66">
        <v>5.4933999999999997E-2</v>
      </c>
    </row>
    <row r="25" spans="1:8">
      <c r="A25" s="66" t="s">
        <v>322</v>
      </c>
      <c r="B25" s="66">
        <v>0.12759300000000001</v>
      </c>
      <c r="C25" s="66">
        <v>6.5986400000000001E-2</v>
      </c>
      <c r="D25" s="66">
        <v>0.51716399999999996</v>
      </c>
      <c r="E25" s="66">
        <v>0</v>
      </c>
      <c r="F25" s="66">
        <v>1.5926099999999999E-2</v>
      </c>
      <c r="G25" s="66">
        <v>0</v>
      </c>
      <c r="H25" s="66">
        <v>0.32151299999999999</v>
      </c>
    </row>
    <row r="26" spans="1:8">
      <c r="A26" s="66" t="s">
        <v>323</v>
      </c>
      <c r="B26" s="66">
        <v>1.1489000000000001E-4</v>
      </c>
      <c r="C26" s="66">
        <v>1.23398E-3</v>
      </c>
      <c r="D26" s="66">
        <v>10.740600000000001</v>
      </c>
      <c r="E26" s="66">
        <v>0</v>
      </c>
      <c r="F26" s="66">
        <v>0</v>
      </c>
      <c r="G26" s="66">
        <v>0</v>
      </c>
      <c r="H26" s="66">
        <v>6.5158899999999999E-3</v>
      </c>
    </row>
    <row r="27" spans="1:8">
      <c r="A27" s="66" t="s">
        <v>324</v>
      </c>
      <c r="B27" s="196">
        <v>-3.2825599999999999E-6</v>
      </c>
      <c r="C27" s="66">
        <v>8.6952399999999999E-4</v>
      </c>
      <c r="D27" s="66">
        <v>-264.892</v>
      </c>
      <c r="E27" s="66">
        <v>0</v>
      </c>
      <c r="F27" s="66">
        <v>-5.6394399999999999E-3</v>
      </c>
      <c r="G27" s="66">
        <v>0</v>
      </c>
      <c r="H27" s="66">
        <v>5.2914900000000003E-3</v>
      </c>
    </row>
    <row r="28" spans="1:8">
      <c r="A28" s="66" t="s">
        <v>325</v>
      </c>
      <c r="B28" s="66">
        <v>1.09782E-2</v>
      </c>
      <c r="C28" s="66">
        <v>1.18765E-2</v>
      </c>
      <c r="D28" s="66">
        <v>1.08182</v>
      </c>
      <c r="E28" s="66">
        <v>0</v>
      </c>
      <c r="F28" s="66">
        <v>3.25521E-4</v>
      </c>
      <c r="G28" s="66">
        <v>0</v>
      </c>
      <c r="H28" s="66">
        <v>6.99935E-2</v>
      </c>
    </row>
    <row r="29" spans="1:8">
      <c r="A29" s="66" t="s">
        <v>326</v>
      </c>
      <c r="B29" s="66">
        <v>72.7423</v>
      </c>
      <c r="C29" s="66">
        <v>9.2029399999999999</v>
      </c>
      <c r="D29" s="66">
        <v>0.12651399999999999</v>
      </c>
      <c r="E29" s="66">
        <v>0</v>
      </c>
      <c r="F29" s="66">
        <v>50.905200000000001</v>
      </c>
      <c r="G29" s="66">
        <v>0</v>
      </c>
      <c r="H29" s="66">
        <v>94.436999999999998</v>
      </c>
    </row>
    <row r="30" spans="1:8">
      <c r="A30" s="66" t="s">
        <v>327</v>
      </c>
      <c r="B30" s="66">
        <v>25.535499999999999</v>
      </c>
      <c r="C30" s="66">
        <v>5.2280199999999999</v>
      </c>
      <c r="D30" s="66">
        <v>0.204735</v>
      </c>
      <c r="E30" s="66">
        <v>0</v>
      </c>
      <c r="F30" s="66">
        <v>11.242599999999999</v>
      </c>
      <c r="G30" s="66">
        <v>0</v>
      </c>
      <c r="H30" s="66">
        <v>27.438400000000001</v>
      </c>
    </row>
    <row r="31" spans="1:8">
      <c r="A31" s="66" t="s">
        <v>328</v>
      </c>
      <c r="B31" s="66">
        <v>224.88200000000001</v>
      </c>
      <c r="C31" s="66">
        <v>45.016100000000002</v>
      </c>
      <c r="D31" s="66">
        <v>0.20017599999999999</v>
      </c>
      <c r="E31" s="66">
        <v>0</v>
      </c>
      <c r="F31" s="66">
        <v>128.261</v>
      </c>
      <c r="G31" s="66">
        <v>0</v>
      </c>
      <c r="H31" s="66">
        <v>281.54500000000002</v>
      </c>
    </row>
    <row r="32" spans="1:8">
      <c r="A32" s="66" t="s">
        <v>329</v>
      </c>
      <c r="B32" s="66">
        <v>0.257239</v>
      </c>
      <c r="C32" s="66">
        <v>3.6526500000000003E-2</v>
      </c>
      <c r="D32" s="66">
        <v>0.14199500000000001</v>
      </c>
      <c r="E32" s="66">
        <v>0.15</v>
      </c>
      <c r="F32" s="66">
        <v>9.4627299999999998E-2</v>
      </c>
      <c r="G32" s="66">
        <v>0.4</v>
      </c>
      <c r="H32" s="66">
        <v>0.40196100000000001</v>
      </c>
    </row>
    <row r="33" spans="1:8">
      <c r="A33" s="66" t="s">
        <v>330</v>
      </c>
      <c r="B33" s="66">
        <v>0.414742</v>
      </c>
      <c r="C33" s="66">
        <v>4.2177899999999997E-2</v>
      </c>
      <c r="D33" s="66">
        <v>0.101697</v>
      </c>
      <c r="E33" s="66">
        <v>0</v>
      </c>
      <c r="F33" s="66">
        <v>0.31012499999999998</v>
      </c>
      <c r="G33" s="66">
        <v>0</v>
      </c>
      <c r="H33" s="66">
        <v>0.47229599999999999</v>
      </c>
    </row>
    <row r="34" spans="1:8">
      <c r="A34" s="66" t="s">
        <v>331</v>
      </c>
      <c r="B34" s="66">
        <v>0.20746999999999999</v>
      </c>
      <c r="C34" s="66">
        <v>2.8365399999999999E-2</v>
      </c>
      <c r="D34" s="66">
        <v>0.13672000000000001</v>
      </c>
      <c r="E34" s="66">
        <v>0.1</v>
      </c>
      <c r="F34" s="66">
        <v>0.14785200000000001</v>
      </c>
      <c r="G34" s="66">
        <v>0.25</v>
      </c>
      <c r="H34" s="66">
        <v>0.28265499999999999</v>
      </c>
    </row>
    <row r="35" spans="1:8">
      <c r="A35" s="66" t="s">
        <v>332</v>
      </c>
      <c r="B35" s="66">
        <v>8.4470199999999995E-2</v>
      </c>
      <c r="C35" s="66">
        <v>2.49505E-2</v>
      </c>
      <c r="D35" s="66">
        <v>0.295377</v>
      </c>
      <c r="E35" s="66">
        <v>0</v>
      </c>
      <c r="F35" s="66">
        <v>3.0556E-2</v>
      </c>
      <c r="G35" s="66">
        <v>0</v>
      </c>
      <c r="H35" s="66">
        <v>0.138075</v>
      </c>
    </row>
    <row r="36" spans="1:8">
      <c r="A36" s="66" t="s">
        <v>333</v>
      </c>
      <c r="B36" s="66">
        <v>0.17219499999999999</v>
      </c>
      <c r="C36" s="66">
        <v>9.5066499999999998E-2</v>
      </c>
      <c r="D36" s="66">
        <v>0.55208800000000002</v>
      </c>
      <c r="E36" s="66">
        <v>0</v>
      </c>
      <c r="F36" s="66">
        <v>4.1594199999999998E-2</v>
      </c>
      <c r="G36" s="66">
        <v>0</v>
      </c>
      <c r="H36" s="66">
        <v>0.46082499999999998</v>
      </c>
    </row>
    <row r="37" spans="1:8">
      <c r="A37" s="66" t="s">
        <v>334</v>
      </c>
      <c r="B37" s="66">
        <v>0.28365400000000002</v>
      </c>
      <c r="C37" s="66">
        <v>0.100407</v>
      </c>
      <c r="D37" s="66">
        <v>0.35397699999999999</v>
      </c>
      <c r="E37" s="66">
        <v>0.1</v>
      </c>
      <c r="F37" s="66">
        <v>2.75175E-2</v>
      </c>
      <c r="G37" s="66">
        <v>0.5</v>
      </c>
      <c r="H37" s="66">
        <v>0.36379499999999998</v>
      </c>
    </row>
    <row r="38" spans="1:8">
      <c r="A38" s="66" t="s">
        <v>335</v>
      </c>
      <c r="B38" s="66">
        <v>-32.612200000000001</v>
      </c>
      <c r="C38" s="66">
        <v>39.115900000000003</v>
      </c>
      <c r="D38" s="66">
        <v>-1.19943</v>
      </c>
      <c r="E38" s="66">
        <v>0</v>
      </c>
      <c r="F38" s="66">
        <v>-143.52199999999999</v>
      </c>
      <c r="G38" s="66">
        <v>0</v>
      </c>
      <c r="H38" s="66">
        <v>98.070999999999998</v>
      </c>
    </row>
    <row r="39" spans="1:8">
      <c r="A39" s="66" t="s">
        <v>336</v>
      </c>
      <c r="B39" s="66">
        <v>-12.4916</v>
      </c>
      <c r="C39" s="66">
        <v>3.6225499999999999</v>
      </c>
      <c r="D39" s="66">
        <v>-0.28999900000000001</v>
      </c>
      <c r="E39" s="66">
        <v>0</v>
      </c>
      <c r="F39" s="66">
        <v>-21.130500000000001</v>
      </c>
      <c r="G39" s="66">
        <v>0</v>
      </c>
      <c r="H39" s="66">
        <v>-8.7023000000000003E-2</v>
      </c>
    </row>
    <row r="40" spans="1:8">
      <c r="A40" s="66" t="s">
        <v>337</v>
      </c>
      <c r="B40" s="66">
        <v>-4.3994499999999999</v>
      </c>
      <c r="C40" s="66">
        <v>0.972881</v>
      </c>
      <c r="D40" s="66">
        <v>-0.221137</v>
      </c>
      <c r="E40" s="66">
        <v>0</v>
      </c>
      <c r="F40" s="66">
        <v>-6.03362</v>
      </c>
      <c r="G40" s="66">
        <v>0</v>
      </c>
      <c r="H40" s="66">
        <v>-2.5773600000000001</v>
      </c>
    </row>
    <row r="41" spans="1:8">
      <c r="A41" s="66" t="s">
        <v>338</v>
      </c>
      <c r="B41" s="66">
        <v>-0.19583500000000001</v>
      </c>
      <c r="C41" s="66">
        <v>0.27835900000000002</v>
      </c>
      <c r="D41" s="66">
        <v>-1.4214</v>
      </c>
      <c r="E41" s="66">
        <v>0</v>
      </c>
      <c r="F41" s="66">
        <v>-0.869919</v>
      </c>
      <c r="G41" s="66">
        <v>0</v>
      </c>
      <c r="H41" s="66">
        <v>1</v>
      </c>
    </row>
    <row r="42" spans="1:8">
      <c r="A42" s="66" t="s">
        <v>339</v>
      </c>
      <c r="B42" s="66">
        <v>-0.22983600000000001</v>
      </c>
      <c r="C42" s="66">
        <v>7.0645899999999998E-2</v>
      </c>
      <c r="D42" s="66">
        <v>-0.30737500000000001</v>
      </c>
      <c r="E42" s="66">
        <v>0</v>
      </c>
      <c r="F42" s="66">
        <v>-0.42642600000000003</v>
      </c>
      <c r="G42" s="66">
        <v>0</v>
      </c>
      <c r="H42" s="66">
        <v>1.14527E-2</v>
      </c>
    </row>
    <row r="43" spans="1:8">
      <c r="A43" s="66" t="s">
        <v>340</v>
      </c>
      <c r="B43" s="66">
        <v>-0.20406299999999999</v>
      </c>
      <c r="C43" s="66">
        <v>2.7651700000000001E-2</v>
      </c>
      <c r="D43" s="66">
        <v>-0.13550599999999999</v>
      </c>
      <c r="E43" s="66">
        <v>0</v>
      </c>
      <c r="F43" s="66">
        <v>-0.27575</v>
      </c>
      <c r="G43" s="66">
        <v>0</v>
      </c>
      <c r="H43" s="66">
        <v>-0.16384000000000001</v>
      </c>
    </row>
    <row r="44" spans="1:8">
      <c r="A44" s="66" t="s">
        <v>341</v>
      </c>
      <c r="B44" s="66">
        <v>-45.7532</v>
      </c>
      <c r="C44" s="66">
        <v>7.7185899999999998</v>
      </c>
      <c r="D44" s="66">
        <v>-0.16870099999999999</v>
      </c>
      <c r="E44" s="66">
        <v>0</v>
      </c>
      <c r="F44" s="66">
        <v>-62.053600000000003</v>
      </c>
      <c r="G44" s="66">
        <v>0</v>
      </c>
      <c r="H44" s="66">
        <v>-25.7178</v>
      </c>
    </row>
    <row r="45" spans="1:8">
      <c r="A45" s="66" t="s">
        <v>342</v>
      </c>
      <c r="B45" s="66">
        <v>56.360799999999998</v>
      </c>
      <c r="C45" s="66">
        <v>5.2024299999999997</v>
      </c>
      <c r="D45" s="66">
        <v>9.2305899999999996E-2</v>
      </c>
      <c r="E45" s="66">
        <v>0</v>
      </c>
      <c r="F45" s="66">
        <v>46.964500000000001</v>
      </c>
      <c r="G45" s="66">
        <v>0</v>
      </c>
      <c r="H45" s="66">
        <v>71.4345</v>
      </c>
    </row>
    <row r="46" spans="1:8">
      <c r="A46" s="66" t="s">
        <v>343</v>
      </c>
      <c r="B46" s="66">
        <v>31.678100000000001</v>
      </c>
      <c r="C46" s="66">
        <v>7.5810399999999998</v>
      </c>
      <c r="D46" s="66">
        <v>0.239314</v>
      </c>
      <c r="E46" s="66">
        <v>0</v>
      </c>
      <c r="F46" s="66">
        <v>9.5208600000000008</v>
      </c>
      <c r="G46" s="66">
        <v>0</v>
      </c>
      <c r="H46" s="66">
        <v>34.308100000000003</v>
      </c>
    </row>
    <row r="47" spans="1:8">
      <c r="A47" s="66" t="s">
        <v>344</v>
      </c>
      <c r="B47" s="66">
        <v>0.72519299999999998</v>
      </c>
      <c r="C47" s="66">
        <v>0.34641499999999997</v>
      </c>
      <c r="D47" s="66">
        <v>0.477686</v>
      </c>
      <c r="E47" s="66">
        <v>0</v>
      </c>
      <c r="F47" s="66">
        <v>0.22836600000000001</v>
      </c>
      <c r="G47" s="66">
        <v>0</v>
      </c>
      <c r="H47" s="66">
        <v>1.81721</v>
      </c>
    </row>
    <row r="48" spans="1:8">
      <c r="A48" s="66" t="s">
        <v>345</v>
      </c>
      <c r="B48" s="66">
        <v>0.664775</v>
      </c>
      <c r="C48" s="66">
        <v>8.8378499999999999E-2</v>
      </c>
      <c r="D48" s="66">
        <v>0.13294500000000001</v>
      </c>
      <c r="E48" s="66">
        <v>0</v>
      </c>
      <c r="F48" s="66">
        <v>0.54556700000000002</v>
      </c>
      <c r="G48" s="66">
        <v>0</v>
      </c>
      <c r="H48" s="66">
        <v>0.89915800000000001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48.504399999999997</v>
      </c>
      <c r="C5" s="66">
        <v>5.1609600000000002</v>
      </c>
      <c r="D5" s="66">
        <v>10.6402</v>
      </c>
      <c r="E5" s="66">
        <v>20</v>
      </c>
      <c r="F5" s="66">
        <v>37.294800000000002</v>
      </c>
      <c r="G5" s="66">
        <v>50</v>
      </c>
      <c r="H5" s="66">
        <v>55.868499999999997</v>
      </c>
    </row>
    <row r="6" spans="1:8">
      <c r="A6" s="66" t="s">
        <v>303</v>
      </c>
      <c r="B6" s="66">
        <v>34.602200000000003</v>
      </c>
      <c r="C6" s="66">
        <v>3.1682800000000002</v>
      </c>
      <c r="D6" s="66">
        <v>9.1562900000000003</v>
      </c>
      <c r="E6" s="66">
        <v>20</v>
      </c>
      <c r="F6" s="66">
        <v>30.7486</v>
      </c>
      <c r="G6" s="66">
        <v>40</v>
      </c>
      <c r="H6" s="66">
        <v>41.248100000000001</v>
      </c>
    </row>
    <row r="7" spans="1:8">
      <c r="A7" s="66" t="s">
        <v>304</v>
      </c>
      <c r="B7" s="66">
        <v>24.698499999999999</v>
      </c>
      <c r="C7" s="66">
        <v>3.2896299999999998</v>
      </c>
      <c r="D7" s="66">
        <v>13.319100000000001</v>
      </c>
      <c r="E7" s="66">
        <v>15</v>
      </c>
      <c r="F7" s="66">
        <v>18.016100000000002</v>
      </c>
      <c r="G7" s="66">
        <v>40</v>
      </c>
      <c r="H7" s="66">
        <v>34.452300000000001</v>
      </c>
    </row>
    <row r="8" spans="1:8">
      <c r="A8" s="66" t="s">
        <v>305</v>
      </c>
      <c r="B8" s="66">
        <v>36.0503</v>
      </c>
      <c r="C8" s="66">
        <v>2.66967</v>
      </c>
      <c r="D8" s="66">
        <v>7.4054000000000002</v>
      </c>
      <c r="E8" s="66">
        <v>20</v>
      </c>
      <c r="F8" s="66">
        <v>31.1389</v>
      </c>
      <c r="G8" s="66">
        <v>50</v>
      </c>
      <c r="H8" s="66">
        <v>39.886400000000002</v>
      </c>
    </row>
    <row r="9" spans="1:8">
      <c r="A9" s="66" t="s">
        <v>306</v>
      </c>
      <c r="B9" s="66">
        <v>64.870599999999996</v>
      </c>
      <c r="C9" s="66">
        <v>4.4112499999999999</v>
      </c>
      <c r="D9" s="66">
        <v>6.8000699999999998</v>
      </c>
      <c r="E9" s="66">
        <v>50</v>
      </c>
      <c r="F9" s="66">
        <v>47.9621</v>
      </c>
      <c r="G9" s="66">
        <v>100</v>
      </c>
      <c r="H9" s="66">
        <v>71.805700000000002</v>
      </c>
    </row>
    <row r="10" spans="1:8">
      <c r="A10" s="66" t="s">
        <v>307</v>
      </c>
      <c r="B10" s="66">
        <v>61.683900000000001</v>
      </c>
      <c r="C10" s="66">
        <v>9.4649900000000002</v>
      </c>
      <c r="D10" s="66">
        <v>15.3443</v>
      </c>
      <c r="E10" s="66">
        <v>40</v>
      </c>
      <c r="F10" s="66">
        <v>50.555999999999997</v>
      </c>
      <c r="G10" s="66">
        <v>100</v>
      </c>
      <c r="H10" s="66">
        <v>77.777000000000001</v>
      </c>
    </row>
    <row r="11" spans="1:8">
      <c r="A11" s="66" t="s">
        <v>308</v>
      </c>
      <c r="B11" s="66">
        <v>17.022500000000001</v>
      </c>
      <c r="C11" s="66">
        <v>1.6921299999999999</v>
      </c>
      <c r="D11" s="66">
        <v>9.9405599999999996</v>
      </c>
      <c r="E11" s="66">
        <v>10</v>
      </c>
      <c r="F11" s="66">
        <v>13.4496</v>
      </c>
      <c r="G11" s="66">
        <v>50</v>
      </c>
      <c r="H11" s="66">
        <v>19.644500000000001</v>
      </c>
    </row>
    <row r="12" spans="1:8">
      <c r="A12" s="66" t="s">
        <v>309</v>
      </c>
      <c r="B12" s="66">
        <v>62.492800000000003</v>
      </c>
      <c r="C12" s="66">
        <v>4.57254</v>
      </c>
      <c r="D12" s="66">
        <v>7.31691</v>
      </c>
      <c r="E12" s="66">
        <v>50</v>
      </c>
      <c r="F12" s="66">
        <v>55.8262</v>
      </c>
      <c r="G12" s="66">
        <v>100</v>
      </c>
      <c r="H12" s="66">
        <v>71.3215</v>
      </c>
    </row>
    <row r="13" spans="1:8">
      <c r="A13" s="66" t="s">
        <v>310</v>
      </c>
      <c r="B13" s="66">
        <v>19.626100000000001</v>
      </c>
      <c r="C13" s="66">
        <v>3.3092000000000001</v>
      </c>
      <c r="D13" s="66">
        <v>16.8612</v>
      </c>
      <c r="E13" s="66">
        <v>10</v>
      </c>
      <c r="F13" s="66">
        <v>13.5215</v>
      </c>
      <c r="G13" s="66">
        <v>25</v>
      </c>
      <c r="H13" s="66">
        <v>26.395499999999998</v>
      </c>
    </row>
    <row r="14" spans="1:8">
      <c r="A14" s="66" t="s">
        <v>311</v>
      </c>
      <c r="B14" s="66">
        <v>33.091999999999999</v>
      </c>
      <c r="C14" s="66">
        <v>10.748699999999999</v>
      </c>
      <c r="D14" s="66">
        <v>32.481299999999997</v>
      </c>
      <c r="E14" s="66">
        <v>10</v>
      </c>
      <c r="F14" s="66">
        <v>4.3228799999999996</v>
      </c>
      <c r="G14" s="66">
        <v>50</v>
      </c>
      <c r="H14" s="66">
        <v>35.897599999999997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0.44031999999999999</v>
      </c>
      <c r="C18" s="66">
        <v>2.9507200000000001E-2</v>
      </c>
      <c r="D18" s="66">
        <v>6.7013100000000006E-2</v>
      </c>
      <c r="E18" s="66">
        <v>0</v>
      </c>
      <c r="F18" s="66">
        <v>0.41081299999999998</v>
      </c>
      <c r="G18" s="66">
        <v>0</v>
      </c>
      <c r="H18" s="66">
        <v>0.46982699999999999</v>
      </c>
    </row>
    <row r="19" spans="1:8">
      <c r="A19" s="66" t="s">
        <v>316</v>
      </c>
      <c r="B19" s="66">
        <v>0.62889399999999995</v>
      </c>
      <c r="C19" s="66">
        <v>1.3262700000000001E-2</v>
      </c>
      <c r="D19" s="66">
        <v>2.1089E-2</v>
      </c>
      <c r="E19" s="66">
        <v>0</v>
      </c>
      <c r="F19" s="66">
        <v>0.61563100000000004</v>
      </c>
      <c r="G19" s="66">
        <v>0</v>
      </c>
      <c r="H19" s="66">
        <v>0.64215699999999998</v>
      </c>
    </row>
    <row r="20" spans="1:8">
      <c r="A20" s="66" t="s">
        <v>346</v>
      </c>
      <c r="B20" s="66">
        <v>2.6358300000000001E-4</v>
      </c>
      <c r="C20" s="66">
        <v>2.8907200000000001E-2</v>
      </c>
      <c r="D20" s="66">
        <v>109.67</v>
      </c>
      <c r="E20" s="66">
        <v>0</v>
      </c>
      <c r="F20" s="66">
        <v>0</v>
      </c>
      <c r="G20" s="66">
        <v>0</v>
      </c>
      <c r="H20" s="66">
        <v>0.24041399999999999</v>
      </c>
    </row>
    <row r="21" spans="1:8">
      <c r="A21" s="66" t="s">
        <v>318</v>
      </c>
      <c r="B21" s="66">
        <v>6.2854699999999999E-2</v>
      </c>
      <c r="C21" s="66">
        <v>0.185308</v>
      </c>
      <c r="D21" s="66">
        <v>2.9481899999999999</v>
      </c>
      <c r="E21" s="66">
        <v>0</v>
      </c>
      <c r="F21" s="66">
        <v>2.5320399999999998E-4</v>
      </c>
      <c r="G21" s="66">
        <v>0</v>
      </c>
      <c r="H21" s="66">
        <v>1.3242700000000001</v>
      </c>
    </row>
    <row r="22" spans="1:8">
      <c r="A22" s="66" t="s">
        <v>319</v>
      </c>
      <c r="B22" s="66">
        <v>56.340299999999999</v>
      </c>
      <c r="C22" s="66">
        <v>20.847999999999999</v>
      </c>
      <c r="D22" s="66">
        <v>0.37003599999999998</v>
      </c>
      <c r="E22" s="66">
        <v>0</v>
      </c>
      <c r="F22" s="66">
        <v>16.0853</v>
      </c>
      <c r="G22" s="66">
        <v>0</v>
      </c>
      <c r="H22" s="66">
        <v>108.839</v>
      </c>
    </row>
    <row r="23" spans="1:8">
      <c r="A23" s="66" t="s">
        <v>320</v>
      </c>
      <c r="B23" s="66">
        <v>22.572700000000001</v>
      </c>
      <c r="C23" s="66">
        <v>3.1335199999999999</v>
      </c>
      <c r="D23" s="66">
        <v>0.138819</v>
      </c>
      <c r="E23" s="66">
        <v>0</v>
      </c>
      <c r="F23" s="66">
        <v>19.762799999999999</v>
      </c>
      <c r="G23" s="66">
        <v>0</v>
      </c>
      <c r="H23" s="66">
        <v>30.9084</v>
      </c>
    </row>
    <row r="24" spans="1:8">
      <c r="A24" s="66" t="s">
        <v>321</v>
      </c>
      <c r="B24" s="66">
        <v>1.40675E-3</v>
      </c>
      <c r="C24" s="66">
        <v>1.69493E-2</v>
      </c>
      <c r="D24" s="66">
        <v>12.0486</v>
      </c>
      <c r="E24" s="66">
        <v>0</v>
      </c>
      <c r="F24" s="196">
        <v>3.4757800000000001E-5</v>
      </c>
      <c r="G24" s="66">
        <v>0</v>
      </c>
      <c r="H24" s="66">
        <v>7.8174900000000005E-2</v>
      </c>
    </row>
    <row r="25" spans="1:8">
      <c r="A25" s="66" t="s">
        <v>322</v>
      </c>
      <c r="B25" s="66">
        <v>9.6670900000000004E-2</v>
      </c>
      <c r="C25" s="66">
        <v>0.11348999999999999</v>
      </c>
      <c r="D25" s="66">
        <v>1.17398</v>
      </c>
      <c r="E25" s="66">
        <v>0</v>
      </c>
      <c r="F25" s="66">
        <v>1.33156E-2</v>
      </c>
      <c r="G25" s="66">
        <v>0</v>
      </c>
      <c r="H25" s="66">
        <v>0.51028499999999999</v>
      </c>
    </row>
    <row r="26" spans="1:8">
      <c r="A26" s="66" t="s">
        <v>323</v>
      </c>
      <c r="B26" s="196">
        <v>9.3553000000000004E-5</v>
      </c>
      <c r="C26" s="66">
        <v>1.81781E-3</v>
      </c>
      <c r="D26" s="66">
        <v>19.430800000000001</v>
      </c>
      <c r="E26" s="66">
        <v>0</v>
      </c>
      <c r="F26" s="66">
        <v>0</v>
      </c>
      <c r="G26" s="66">
        <v>0</v>
      </c>
      <c r="H26" s="66">
        <v>1.56119E-2</v>
      </c>
    </row>
    <row r="27" spans="1:8">
      <c r="A27" s="66" t="s">
        <v>324</v>
      </c>
      <c r="B27" s="196">
        <v>-9.8476899999999999E-6</v>
      </c>
      <c r="C27" s="66">
        <v>1.18716E-3</v>
      </c>
      <c r="D27" s="66">
        <v>-120.553</v>
      </c>
      <c r="E27" s="66">
        <v>0</v>
      </c>
      <c r="F27" s="66">
        <v>-6.6767299999999996E-3</v>
      </c>
      <c r="G27" s="66">
        <v>0</v>
      </c>
      <c r="H27" s="66">
        <v>9.6047800000000003E-3</v>
      </c>
    </row>
    <row r="28" spans="1:8">
      <c r="A28" s="66" t="s">
        <v>325</v>
      </c>
      <c r="B28" s="66">
        <v>7.2395799999999998E-3</v>
      </c>
      <c r="C28" s="66">
        <v>1.4615100000000001E-2</v>
      </c>
      <c r="D28" s="66">
        <v>2.01878</v>
      </c>
      <c r="E28" s="66">
        <v>0</v>
      </c>
      <c r="F28" s="66">
        <v>1.17187E-4</v>
      </c>
      <c r="G28" s="66">
        <v>0</v>
      </c>
      <c r="H28" s="66">
        <v>9.6904299999999999E-2</v>
      </c>
    </row>
    <row r="29" spans="1:8">
      <c r="A29" s="66" t="s">
        <v>326</v>
      </c>
      <c r="B29" s="66">
        <v>70.513099999999994</v>
      </c>
      <c r="C29" s="66">
        <v>11.5335</v>
      </c>
      <c r="D29" s="66">
        <v>0.16356499999999999</v>
      </c>
      <c r="E29" s="66">
        <v>0</v>
      </c>
      <c r="F29" s="66">
        <v>43.178400000000003</v>
      </c>
      <c r="G29" s="66">
        <v>0</v>
      </c>
      <c r="H29" s="66">
        <v>98.979500000000002</v>
      </c>
    </row>
    <row r="30" spans="1:8">
      <c r="A30" s="66" t="s">
        <v>327</v>
      </c>
      <c r="B30" s="66">
        <v>24.8049</v>
      </c>
      <c r="C30" s="66">
        <v>2.5792899999999999</v>
      </c>
      <c r="D30" s="66">
        <v>0.10398300000000001</v>
      </c>
      <c r="E30" s="66">
        <v>0</v>
      </c>
      <c r="F30" s="66">
        <v>21.461300000000001</v>
      </c>
      <c r="G30" s="66">
        <v>0</v>
      </c>
      <c r="H30" s="66">
        <v>30.6099</v>
      </c>
    </row>
    <row r="31" spans="1:8">
      <c r="A31" s="66" t="s">
        <v>328</v>
      </c>
      <c r="B31" s="66">
        <v>378.16899999999998</v>
      </c>
      <c r="C31" s="66">
        <v>69.025999999999996</v>
      </c>
      <c r="D31" s="66">
        <v>0.18252699999999999</v>
      </c>
      <c r="E31" s="66">
        <v>0</v>
      </c>
      <c r="F31" s="66">
        <v>227.82900000000001</v>
      </c>
      <c r="G31" s="66">
        <v>0</v>
      </c>
      <c r="H31" s="66">
        <v>497.15499999999997</v>
      </c>
    </row>
    <row r="32" spans="1:8">
      <c r="A32" s="66" t="s">
        <v>329</v>
      </c>
      <c r="B32" s="66">
        <v>0.24698500000000001</v>
      </c>
      <c r="C32" s="66">
        <v>3.2896300000000003E-2</v>
      </c>
      <c r="D32" s="66">
        <v>0.133191</v>
      </c>
      <c r="E32" s="66">
        <v>0.15</v>
      </c>
      <c r="F32" s="66">
        <v>0.18016099999999999</v>
      </c>
      <c r="G32" s="66">
        <v>0.4</v>
      </c>
      <c r="H32" s="66">
        <v>0.34452300000000002</v>
      </c>
    </row>
    <row r="33" spans="1:8">
      <c r="A33" s="66" t="s">
        <v>330</v>
      </c>
      <c r="B33" s="66">
        <v>0.37792500000000001</v>
      </c>
      <c r="C33" s="66">
        <v>3.8445399999999998E-2</v>
      </c>
      <c r="D33" s="66">
        <v>0.101728</v>
      </c>
      <c r="E33" s="66">
        <v>0</v>
      </c>
      <c r="F33" s="66">
        <v>0.32207200000000002</v>
      </c>
      <c r="G33" s="66">
        <v>0</v>
      </c>
      <c r="H33" s="66">
        <v>0.45267800000000002</v>
      </c>
    </row>
    <row r="34" spans="1:8">
      <c r="A34" s="66" t="s">
        <v>331</v>
      </c>
      <c r="B34" s="66">
        <v>0.19626099999999999</v>
      </c>
      <c r="C34" s="66">
        <v>3.3092000000000003E-2</v>
      </c>
      <c r="D34" s="66">
        <v>0.16861200000000001</v>
      </c>
      <c r="E34" s="66">
        <v>0.1</v>
      </c>
      <c r="F34" s="66">
        <v>0.135215</v>
      </c>
      <c r="G34" s="66">
        <v>0.25</v>
      </c>
      <c r="H34" s="66">
        <v>0.263955</v>
      </c>
    </row>
    <row r="35" spans="1:8">
      <c r="A35" s="66" t="s">
        <v>332</v>
      </c>
      <c r="B35" s="66">
        <v>8.7329100000000007E-2</v>
      </c>
      <c r="C35" s="66">
        <v>2.31139E-2</v>
      </c>
      <c r="D35" s="66">
        <v>0.26467600000000002</v>
      </c>
      <c r="E35" s="66">
        <v>0</v>
      </c>
      <c r="F35" s="66">
        <v>3.40839E-2</v>
      </c>
      <c r="G35" s="66">
        <v>0</v>
      </c>
      <c r="H35" s="66">
        <v>0.13172800000000001</v>
      </c>
    </row>
    <row r="36" spans="1:8">
      <c r="A36" s="66" t="s">
        <v>333</v>
      </c>
      <c r="B36" s="66">
        <v>0.17735000000000001</v>
      </c>
      <c r="C36" s="66">
        <v>9.7513000000000002E-2</v>
      </c>
      <c r="D36" s="66">
        <v>0.54983400000000004</v>
      </c>
      <c r="E36" s="66">
        <v>0</v>
      </c>
      <c r="F36" s="66">
        <v>4.7217599999999998E-2</v>
      </c>
      <c r="G36" s="66">
        <v>0</v>
      </c>
      <c r="H36" s="66">
        <v>0.47255999999999998</v>
      </c>
    </row>
    <row r="37" spans="1:8">
      <c r="A37" s="66" t="s">
        <v>334</v>
      </c>
      <c r="B37" s="66">
        <v>0.33091999999999999</v>
      </c>
      <c r="C37" s="66">
        <v>0.107487</v>
      </c>
      <c r="D37" s="66">
        <v>0.32481300000000002</v>
      </c>
      <c r="E37" s="66">
        <v>0.1</v>
      </c>
      <c r="F37" s="66">
        <v>4.3228799999999998E-2</v>
      </c>
      <c r="G37" s="66">
        <v>0.5</v>
      </c>
      <c r="H37" s="66">
        <v>0.35897600000000002</v>
      </c>
    </row>
    <row r="38" spans="1:8">
      <c r="A38" s="66" t="s">
        <v>335</v>
      </c>
      <c r="B38" s="66">
        <v>-33.509</v>
      </c>
      <c r="C38" s="66">
        <v>35.403100000000002</v>
      </c>
      <c r="D38" s="66">
        <v>-1.05653</v>
      </c>
      <c r="E38" s="66">
        <v>0</v>
      </c>
      <c r="F38" s="66">
        <v>-109.66</v>
      </c>
      <c r="G38" s="66">
        <v>0</v>
      </c>
      <c r="H38" s="66">
        <v>97.367800000000003</v>
      </c>
    </row>
    <row r="39" spans="1:8">
      <c r="A39" s="66" t="s">
        <v>336</v>
      </c>
      <c r="B39" s="66">
        <v>-12.0032</v>
      </c>
      <c r="C39" s="66">
        <v>4.2819399999999996</v>
      </c>
      <c r="D39" s="66">
        <v>-0.356734</v>
      </c>
      <c r="E39" s="66">
        <v>0</v>
      </c>
      <c r="F39" s="66">
        <v>-22.008199999999999</v>
      </c>
      <c r="G39" s="66">
        <v>0</v>
      </c>
      <c r="H39" s="66">
        <v>-1.9581599999999999</v>
      </c>
    </row>
    <row r="40" spans="1:8">
      <c r="A40" s="66" t="s">
        <v>337</v>
      </c>
      <c r="B40" s="66">
        <v>-5.6248300000000002</v>
      </c>
      <c r="C40" s="66">
        <v>0.87823600000000002</v>
      </c>
      <c r="D40" s="66">
        <v>-0.156136</v>
      </c>
      <c r="E40" s="66">
        <v>0</v>
      </c>
      <c r="F40" s="66">
        <v>-7.0894399999999997</v>
      </c>
      <c r="G40" s="66">
        <v>0</v>
      </c>
      <c r="H40" s="66">
        <v>-4.1311999999999998</v>
      </c>
    </row>
    <row r="41" spans="1:8">
      <c r="A41" s="66" t="s">
        <v>338</v>
      </c>
      <c r="B41" s="66">
        <v>-0.14083699999999999</v>
      </c>
      <c r="C41" s="66">
        <v>0.243426</v>
      </c>
      <c r="D41" s="66">
        <v>-1.7284299999999999</v>
      </c>
      <c r="E41" s="66">
        <v>0</v>
      </c>
      <c r="F41" s="66">
        <v>-0.75362300000000004</v>
      </c>
      <c r="G41" s="66">
        <v>0</v>
      </c>
      <c r="H41" s="66">
        <v>1</v>
      </c>
    </row>
    <row r="42" spans="1:8">
      <c r="A42" s="66" t="s">
        <v>339</v>
      </c>
      <c r="B42" s="66">
        <v>-0.22092000000000001</v>
      </c>
      <c r="C42" s="66">
        <v>6.3995700000000003E-2</v>
      </c>
      <c r="D42" s="66">
        <v>-0.28967799999999999</v>
      </c>
      <c r="E42" s="66">
        <v>0</v>
      </c>
      <c r="F42" s="66">
        <v>-0.33130300000000001</v>
      </c>
      <c r="G42" s="66">
        <v>0</v>
      </c>
      <c r="H42" s="66">
        <v>-1.9130399999999999E-2</v>
      </c>
    </row>
    <row r="43" spans="1:8">
      <c r="A43" s="66" t="s">
        <v>340</v>
      </c>
      <c r="B43" s="66">
        <v>-0.22528400000000001</v>
      </c>
      <c r="C43" s="66">
        <v>6.7852099999999999E-2</v>
      </c>
      <c r="D43" s="66">
        <v>-0.30118499999999998</v>
      </c>
      <c r="E43" s="66">
        <v>0</v>
      </c>
      <c r="F43" s="66">
        <v>-0.31037700000000001</v>
      </c>
      <c r="G43" s="66">
        <v>0</v>
      </c>
      <c r="H43" s="66">
        <v>-0.1075</v>
      </c>
    </row>
    <row r="44" spans="1:8">
      <c r="A44" s="66" t="s">
        <v>341</v>
      </c>
      <c r="B44" s="66">
        <v>-58.266100000000002</v>
      </c>
      <c r="C44" s="66">
        <v>30.054400000000001</v>
      </c>
      <c r="D44" s="66">
        <v>-0.51581200000000005</v>
      </c>
      <c r="E44" s="66">
        <v>0</v>
      </c>
      <c r="F44" s="66">
        <v>-127.376</v>
      </c>
      <c r="G44" s="66">
        <v>0</v>
      </c>
      <c r="H44" s="66">
        <v>-33.919199999999996</v>
      </c>
    </row>
    <row r="45" spans="1:8">
      <c r="A45" s="66" t="s">
        <v>342</v>
      </c>
      <c r="B45" s="66">
        <v>55.403599999999997</v>
      </c>
      <c r="C45" s="66">
        <v>7.3097399999999997</v>
      </c>
      <c r="D45" s="66">
        <v>0.131936</v>
      </c>
      <c r="E45" s="66">
        <v>0</v>
      </c>
      <c r="F45" s="66">
        <v>39.878900000000002</v>
      </c>
      <c r="G45" s="66">
        <v>0</v>
      </c>
      <c r="H45" s="66">
        <v>77.316599999999994</v>
      </c>
    </row>
    <row r="46" spans="1:8">
      <c r="A46" s="66" t="s">
        <v>343</v>
      </c>
      <c r="B46" s="66">
        <v>38.214599999999997</v>
      </c>
      <c r="C46" s="66">
        <v>2.7273800000000001</v>
      </c>
      <c r="D46" s="66">
        <v>7.1370000000000003E-2</v>
      </c>
      <c r="E46" s="66">
        <v>0</v>
      </c>
      <c r="F46" s="66">
        <v>31.1829</v>
      </c>
      <c r="G46" s="66">
        <v>0</v>
      </c>
      <c r="H46" s="66">
        <v>41.4786</v>
      </c>
    </row>
    <row r="47" spans="1:8">
      <c r="A47" s="66" t="s">
        <v>344</v>
      </c>
      <c r="B47" s="66">
        <v>0.56024099999999999</v>
      </c>
      <c r="C47" s="66">
        <v>0.37693700000000002</v>
      </c>
      <c r="D47" s="66">
        <v>0.67281100000000005</v>
      </c>
      <c r="E47" s="66">
        <v>0</v>
      </c>
      <c r="F47" s="66">
        <v>0.168043</v>
      </c>
      <c r="G47" s="66">
        <v>0</v>
      </c>
      <c r="H47" s="66">
        <v>2.06616</v>
      </c>
    </row>
    <row r="48" spans="1:8">
      <c r="A48" s="66" t="s">
        <v>345</v>
      </c>
      <c r="B48" s="66">
        <v>0.46999600000000002</v>
      </c>
      <c r="C48" s="66">
        <v>5.5071000000000002E-2</v>
      </c>
      <c r="D48" s="66">
        <v>0.117173</v>
      </c>
      <c r="E48" s="66">
        <v>0</v>
      </c>
      <c r="F48" s="66">
        <v>0.39935500000000002</v>
      </c>
      <c r="G48" s="66">
        <v>0</v>
      </c>
      <c r="H48" s="66">
        <v>0.595198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347</v>
      </c>
      <c r="B1" s="60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79.074770082321848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1.5267353481215851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0.72051703452864158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8056</v>
      </c>
      <c r="B8" s="66">
        <v>8056</v>
      </c>
      <c r="D8">
        <f t="shared" si="0"/>
        <v>4.5814637253396573E-2</v>
      </c>
      <c r="E8">
        <f t="shared" si="0"/>
        <v>4.5814637253396573E-2</v>
      </c>
      <c r="G8">
        <f t="shared" ca="1" si="1"/>
        <v>6</v>
      </c>
      <c r="H8">
        <f t="shared" ca="1" si="2"/>
        <v>0.27488782352037944</v>
      </c>
      <c r="I8">
        <f t="shared" ca="1" si="3"/>
        <v>244.64659042611888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13136</v>
      </c>
      <c r="B10" s="66">
        <v>13136</v>
      </c>
      <c r="D10">
        <f t="shared" si="0"/>
        <v>7.4704701459858164E-2</v>
      </c>
      <c r="E10">
        <f t="shared" si="0"/>
        <v>7.4704701459858164E-2</v>
      </c>
      <c r="G10">
        <f t="shared" ca="1" si="1"/>
        <v>8</v>
      </c>
      <c r="H10">
        <f t="shared" ca="1" si="2"/>
        <v>0.59763761167886531</v>
      </c>
      <c r="I10">
        <f t="shared" ca="1" si="3"/>
        <v>377.3799837889236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27774</v>
      </c>
      <c r="B13" s="66">
        <v>27774</v>
      </c>
      <c r="D13">
        <f t="shared" si="0"/>
        <v>0.15795130773036697</v>
      </c>
      <c r="E13">
        <f t="shared" si="0"/>
        <v>0.15795130773036697</v>
      </c>
      <c r="G13">
        <f t="shared" ca="1" si="1"/>
        <v>11</v>
      </c>
      <c r="H13">
        <f t="shared" ca="1" si="2"/>
        <v>1.7374643850340368</v>
      </c>
      <c r="I13">
        <f t="shared" ca="1" si="3"/>
        <v>731.97389437263348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33524</v>
      </c>
      <c r="B15" s="66">
        <v>33524</v>
      </c>
      <c r="D15">
        <f t="shared" si="0"/>
        <v>0.19065167568059418</v>
      </c>
      <c r="E15">
        <f t="shared" si="0"/>
        <v>0.19065167568059418</v>
      </c>
      <c r="G15">
        <f t="shared" ca="1" si="1"/>
        <v>13</v>
      </c>
      <c r="H15">
        <f t="shared" ca="1" si="2"/>
        <v>2.4784717838477244</v>
      </c>
      <c r="I15">
        <f t="shared" ca="1" si="3"/>
        <v>832.36143059137123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43362</v>
      </c>
      <c r="B18" s="66">
        <v>43362</v>
      </c>
      <c r="D18">
        <f t="shared" si="0"/>
        <v>0.24660058348830463</v>
      </c>
      <c r="E18">
        <f t="shared" si="0"/>
        <v>0.24660058348830463</v>
      </c>
      <c r="G18">
        <f t="shared" ca="1" si="1"/>
        <v>16</v>
      </c>
      <c r="H18">
        <f t="shared" ca="1" si="2"/>
        <v>3.9456093358128741</v>
      </c>
      <c r="I18">
        <f t="shared" ca="1" si="3"/>
        <v>981.0823260886566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58571</v>
      </c>
      <c r="B21" s="66">
        <v>58571</v>
      </c>
      <c r="D21">
        <f t="shared" si="0"/>
        <v>0.33309447847178386</v>
      </c>
      <c r="E21">
        <f t="shared" si="0"/>
        <v>0.33309447847178386</v>
      </c>
      <c r="G21">
        <f t="shared" ca="1" si="1"/>
        <v>19</v>
      </c>
      <c r="H21">
        <f t="shared" ca="1" si="2"/>
        <v>6.3287950909638937</v>
      </c>
      <c r="I21">
        <f t="shared" ca="1" si="3"/>
        <v>1202.1306448739797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72249</v>
      </c>
      <c r="B23" s="66">
        <v>72249</v>
      </c>
      <c r="D23">
        <f t="shared" si="0"/>
        <v>0.41088154504973301</v>
      </c>
      <c r="E23">
        <f t="shared" si="0"/>
        <v>0.41088154504973301</v>
      </c>
      <c r="G23">
        <f t="shared" ca="1" si="1"/>
        <v>21</v>
      </c>
      <c r="H23">
        <f t="shared" ca="1" si="2"/>
        <v>8.6285124460443932</v>
      </c>
      <c r="I23">
        <f t="shared" ca="1" si="3"/>
        <v>1385.7715256533293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89645</v>
      </c>
      <c r="B26" s="66">
        <v>89645</v>
      </c>
      <c r="D26">
        <f t="shared" si="0"/>
        <v>0.50981295389532466</v>
      </c>
      <c r="E26">
        <f t="shared" si="0"/>
        <v>0.50981295389532466</v>
      </c>
      <c r="G26">
        <f t="shared" ca="1" si="1"/>
        <v>24</v>
      </c>
      <c r="H26">
        <f t="shared" ca="1" si="2"/>
        <v>12.235510893487792</v>
      </c>
      <c r="I26">
        <f t="shared" ca="1" si="3"/>
        <v>1546.3800988943856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88991</v>
      </c>
      <c r="B28" s="66">
        <v>88991</v>
      </c>
      <c r="D28">
        <f t="shared" si="0"/>
        <v>0.5060936424797684</v>
      </c>
      <c r="E28">
        <f t="shared" si="0"/>
        <v>0.5060936424797684</v>
      </c>
      <c r="G28">
        <f t="shared" ca="1" si="1"/>
        <v>26</v>
      </c>
      <c r="H28">
        <f t="shared" ca="1" si="2"/>
        <v>13.158434704473979</v>
      </c>
      <c r="I28">
        <f t="shared" ca="1" si="3"/>
        <v>1425.6309813861226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99072</v>
      </c>
      <c r="B31" s="66">
        <v>99072</v>
      </c>
      <c r="D31">
        <f t="shared" si="0"/>
        <v>0.56342449627215807</v>
      </c>
      <c r="E31">
        <f t="shared" si="0"/>
        <v>0.56342449627215807</v>
      </c>
      <c r="G31">
        <f t="shared" ca="1" si="1"/>
        <v>29</v>
      </c>
      <c r="H31">
        <f t="shared" ca="1" si="2"/>
        <v>16.339310391892585</v>
      </c>
      <c r="I31">
        <f t="shared" ca="1" si="3"/>
        <v>1412.7771201386245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94733</v>
      </c>
      <c r="B33" s="66">
        <v>94733</v>
      </c>
      <c r="D33">
        <f t="shared" si="0"/>
        <v>0.53874851426589099</v>
      </c>
      <c r="E33">
        <f t="shared" si="0"/>
        <v>0.53874851426589099</v>
      </c>
      <c r="G33">
        <f t="shared" ca="1" si="1"/>
        <v>31</v>
      </c>
      <c r="H33">
        <f t="shared" ca="1" si="2"/>
        <v>16.701203942242621</v>
      </c>
      <c r="I33">
        <f t="shared" ca="1" si="3"/>
        <v>1245.1466867705074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99390</v>
      </c>
      <c r="B36" s="66">
        <v>99390</v>
      </c>
      <c r="D36">
        <f t="shared" si="0"/>
        <v>0.56523296879531848</v>
      </c>
      <c r="E36">
        <f t="shared" si="0"/>
        <v>0.56523296879531848</v>
      </c>
      <c r="G36">
        <f t="shared" ca="1" si="1"/>
        <v>34</v>
      </c>
      <c r="H36">
        <f t="shared" ca="1" si="2"/>
        <v>19.217920939040827</v>
      </c>
      <c r="I36">
        <f t="shared" ca="1" si="3"/>
        <v>1148.4035481869973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94663</v>
      </c>
      <c r="B39" s="66">
        <v>94663</v>
      </c>
      <c r="D39">
        <f t="shared" si="0"/>
        <v>0.53835042282997514</v>
      </c>
      <c r="E39">
        <f t="shared" si="0"/>
        <v>0.53835042282997514</v>
      </c>
      <c r="G39">
        <f t="shared" ca="1" si="1"/>
        <v>37</v>
      </c>
      <c r="H39">
        <f t="shared" ca="1" si="2"/>
        <v>19.918965644709079</v>
      </c>
      <c r="I39">
        <f t="shared" ca="1" si="3"/>
        <v>953.03436601159297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103843</v>
      </c>
      <c r="B41" s="66">
        <v>103843</v>
      </c>
      <c r="D41">
        <f t="shared" si="0"/>
        <v>0.59055727114007706</v>
      </c>
      <c r="E41">
        <f t="shared" si="0"/>
        <v>0.59055727114007706</v>
      </c>
      <c r="G41">
        <f t="shared" ca="1" si="1"/>
        <v>39</v>
      </c>
      <c r="H41">
        <f t="shared" ca="1" si="2"/>
        <v>23.031733574463004</v>
      </c>
      <c r="I41">
        <f t="shared" ca="1" si="3"/>
        <v>948.42741663537083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110790</v>
      </c>
      <c r="B44" s="66">
        <v>110790</v>
      </c>
      <c r="D44">
        <f t="shared" si="0"/>
        <v>0.63006500264446452</v>
      </c>
      <c r="E44">
        <f t="shared" si="0"/>
        <v>0.63006500264446452</v>
      </c>
      <c r="G44">
        <f t="shared" ca="1" si="1"/>
        <v>42</v>
      </c>
      <c r="H44">
        <f t="shared" ca="1" si="2"/>
        <v>26.462730111067511</v>
      </c>
      <c r="I44">
        <f t="shared" ca="1" si="3"/>
        <v>866.04865193632827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121089</v>
      </c>
      <c r="B46" s="66">
        <v>121089</v>
      </c>
      <c r="D46">
        <f t="shared" si="0"/>
        <v>0.68863562690870628</v>
      </c>
      <c r="E46">
        <f t="shared" si="0"/>
        <v>0.68863562690870628</v>
      </c>
      <c r="G46">
        <f t="shared" ca="1" si="1"/>
        <v>44</v>
      </c>
      <c r="H46">
        <f t="shared" ca="1" si="2"/>
        <v>30.299967583983076</v>
      </c>
      <c r="I46">
        <f t="shared" ca="1" si="3"/>
        <v>847.18674680150411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112368</v>
      </c>
      <c r="B49" s="66">
        <v>112368</v>
      </c>
      <c r="D49">
        <f t="shared" si="0"/>
        <v>0.63903912101410953</v>
      </c>
      <c r="E49">
        <f t="shared" si="0"/>
        <v>0.63903912101410953</v>
      </c>
      <c r="G49">
        <f t="shared" ca="1" si="1"/>
        <v>47</v>
      </c>
      <c r="H49">
        <f t="shared" ca="1" si="2"/>
        <v>30.034838687663147</v>
      </c>
      <c r="I49">
        <f t="shared" ca="1" si="3"/>
        <v>657.43761700017308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127715</v>
      </c>
      <c r="B51" s="66">
        <v>127715</v>
      </c>
      <c r="D51">
        <f t="shared" si="0"/>
        <v>0.72631782482839413</v>
      </c>
      <c r="E51">
        <f t="shared" si="0"/>
        <v>0.72631782482839413</v>
      </c>
      <c r="G51">
        <f t="shared" ca="1" si="1"/>
        <v>49</v>
      </c>
      <c r="H51">
        <f t="shared" ca="1" si="2"/>
        <v>35.589573416591314</v>
      </c>
      <c r="I51">
        <f t="shared" ca="1" si="3"/>
        <v>656.94851348597263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126313</v>
      </c>
      <c r="B54" s="66">
        <v>126313</v>
      </c>
      <c r="D54">
        <f t="shared" si="0"/>
        <v>0.71834462206905181</v>
      </c>
      <c r="E54">
        <f t="shared" si="0"/>
        <v>0.71834462206905181</v>
      </c>
      <c r="G54">
        <f t="shared" ca="1" si="1"/>
        <v>52</v>
      </c>
      <c r="H54">
        <f t="shared" ca="1" si="2"/>
        <v>37.353920347590694</v>
      </c>
      <c r="I54">
        <f t="shared" ca="1" si="3"/>
        <v>526.57762251328018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130244</v>
      </c>
      <c r="B57" s="66">
        <v>130244</v>
      </c>
      <c r="D57">
        <f t="shared" si="0"/>
        <v>0.74070029970598106</v>
      </c>
      <c r="E57">
        <f t="shared" si="0"/>
        <v>0.74070029970598106</v>
      </c>
      <c r="G57">
        <f t="shared" ca="1" si="1"/>
        <v>55</v>
      </c>
      <c r="H57">
        <f t="shared" ca="1" si="2"/>
        <v>40.73851648382896</v>
      </c>
      <c r="I57">
        <f t="shared" ca="1" si="3"/>
        <v>429.30586023844404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133161</v>
      </c>
      <c r="B59" s="66">
        <v>133161</v>
      </c>
      <c r="D59">
        <f t="shared" si="0"/>
        <v>0.75728933854264413</v>
      </c>
      <c r="E59">
        <f t="shared" si="0"/>
        <v>0.75728933854264413</v>
      </c>
      <c r="G59">
        <f t="shared" ca="1" si="1"/>
        <v>57</v>
      </c>
      <c r="H59">
        <f t="shared" ca="1" si="2"/>
        <v>43.165492296930715</v>
      </c>
      <c r="I59">
        <f t="shared" ca="1" si="3"/>
        <v>369.02366732217882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146778</v>
      </c>
      <c r="B62" s="66">
        <v>146778</v>
      </c>
      <c r="D62">
        <f t="shared" si="0"/>
        <v>0.83472949686929521</v>
      </c>
      <c r="E62">
        <f t="shared" si="0"/>
        <v>0.83472949686929521</v>
      </c>
      <c r="G62">
        <f t="shared" ca="1" si="1"/>
        <v>60</v>
      </c>
      <c r="H62">
        <f t="shared" ca="1" si="2"/>
        <v>50.083769812157712</v>
      </c>
      <c r="I62">
        <f t="shared" ca="1" si="3"/>
        <v>303.7137011210018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159077</v>
      </c>
      <c r="B64" s="66">
        <v>159077</v>
      </c>
      <c r="D64">
        <f t="shared" si="0"/>
        <v>0.90467416215970287</v>
      </c>
      <c r="E64">
        <f t="shared" si="0"/>
        <v>0.90467416215970287</v>
      </c>
      <c r="G64">
        <f t="shared" ca="1" si="1"/>
        <v>62</v>
      </c>
      <c r="H64">
        <f t="shared" ca="1" si="2"/>
        <v>56.089798053901575</v>
      </c>
      <c r="I64">
        <f t="shared" ca="1" si="3"/>
        <v>263.75573759774232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161588</v>
      </c>
      <c r="B67" s="66">
        <v>161588</v>
      </c>
      <c r="D67">
        <f t="shared" ref="D67:E130" si="4">IFERROR( A67/MAX(A$2:A$257), 0 )</f>
        <v>0.91895427066805435</v>
      </c>
      <c r="E67">
        <f t="shared" si="4"/>
        <v>0.91895427066805435</v>
      </c>
      <c r="G67">
        <f t="shared" ref="G67:G130" ca="1" si="5">CELL("row",D67)-2</f>
        <v>65</v>
      </c>
      <c r="H67">
        <f t="shared" ref="H67:H130" ca="1" si="6">D67*G67</f>
        <v>59.732027593423531</v>
      </c>
      <c r="I67">
        <f t="shared" ref="I67:I130" ca="1" si="7">D67*((G67-$L$1)^2)</f>
        <v>182.0440625458144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171505</v>
      </c>
      <c r="B69" s="66">
        <v>171505</v>
      </c>
      <c r="D69">
        <f t="shared" si="4"/>
        <v>0.97535245309629837</v>
      </c>
      <c r="E69">
        <f t="shared" si="4"/>
        <v>0.97535245309629837</v>
      </c>
      <c r="G69">
        <f t="shared" ca="1" si="5"/>
        <v>67</v>
      </c>
      <c r="H69">
        <f t="shared" ca="1" si="6"/>
        <v>65.348614357451993</v>
      </c>
      <c r="I69">
        <f t="shared" ca="1" si="7"/>
        <v>142.20645841441896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173803</v>
      </c>
      <c r="B72" s="66">
        <v>173803</v>
      </c>
      <c r="D72">
        <f t="shared" si="4"/>
        <v>0.98842122623536299</v>
      </c>
      <c r="E72">
        <f t="shared" si="4"/>
        <v>0.98842122623536299</v>
      </c>
      <c r="G72">
        <f t="shared" ca="1" si="5"/>
        <v>70</v>
      </c>
      <c r="H72">
        <f t="shared" ca="1" si="6"/>
        <v>69.189485836475413</v>
      </c>
      <c r="I72">
        <f t="shared" ca="1" si="7"/>
        <v>81.39792321456207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175839</v>
      </c>
      <c r="B75" s="66">
        <v>175839</v>
      </c>
      <c r="D75">
        <f t="shared" si="4"/>
        <v>1</v>
      </c>
      <c r="E75">
        <f t="shared" si="4"/>
        <v>1</v>
      </c>
      <c r="G75">
        <f t="shared" ca="1" si="5"/>
        <v>73</v>
      </c>
      <c r="H75">
        <f t="shared" ca="1" si="6"/>
        <v>73</v>
      </c>
      <c r="I75">
        <f t="shared" ca="1" si="7"/>
        <v>36.902831553072595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154148</v>
      </c>
      <c r="B77" s="66">
        <v>154148</v>
      </c>
      <c r="D77">
        <f t="shared" si="4"/>
        <v>0.87664283805071685</v>
      </c>
      <c r="E77">
        <f t="shared" si="4"/>
        <v>0.87664283805071685</v>
      </c>
      <c r="G77">
        <f t="shared" ca="1" si="5"/>
        <v>75</v>
      </c>
      <c r="H77">
        <f t="shared" ca="1" si="6"/>
        <v>65.748212853803764</v>
      </c>
      <c r="I77">
        <f t="shared" ca="1" si="7"/>
        <v>14.55555959510712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153309</v>
      </c>
      <c r="B80" s="66">
        <v>153309</v>
      </c>
      <c r="D80">
        <f t="shared" si="4"/>
        <v>0.87187142784024019</v>
      </c>
      <c r="E80">
        <f t="shared" si="4"/>
        <v>0.87187142784024019</v>
      </c>
      <c r="G80">
        <f t="shared" ca="1" si="5"/>
        <v>78</v>
      </c>
      <c r="H80">
        <f t="shared" ca="1" si="6"/>
        <v>68.005971371538735</v>
      </c>
      <c r="I80">
        <f t="shared" ca="1" si="7"/>
        <v>1.0071254787800434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151485</v>
      </c>
      <c r="B82" s="66">
        <v>151485</v>
      </c>
      <c r="D82">
        <f t="shared" si="4"/>
        <v>0.86149830242437686</v>
      </c>
      <c r="E82">
        <f t="shared" si="4"/>
        <v>0.86149830242437686</v>
      </c>
      <c r="G82">
        <f t="shared" ca="1" si="5"/>
        <v>80</v>
      </c>
      <c r="H82">
        <f t="shared" ca="1" si="6"/>
        <v>68.919864193950147</v>
      </c>
      <c r="I82">
        <f t="shared" ca="1" si="7"/>
        <v>0.73748596687793699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156417</v>
      </c>
      <c r="B85" s="66">
        <v>156417</v>
      </c>
      <c r="D85">
        <f t="shared" si="4"/>
        <v>0.88954668759490219</v>
      </c>
      <c r="E85">
        <f t="shared" si="4"/>
        <v>0.88954668759490219</v>
      </c>
      <c r="G85">
        <f t="shared" ca="1" si="5"/>
        <v>83</v>
      </c>
      <c r="H85">
        <f t="shared" ca="1" si="6"/>
        <v>73.832375070376884</v>
      </c>
      <c r="I85">
        <f t="shared" ca="1" si="7"/>
        <v>13.705628237798358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152651</v>
      </c>
      <c r="B88" s="66">
        <v>152651</v>
      </c>
      <c r="D88">
        <f t="shared" si="4"/>
        <v>0.86812936834263166</v>
      </c>
      <c r="E88">
        <f t="shared" si="4"/>
        <v>0.86812936834263166</v>
      </c>
      <c r="G88">
        <f t="shared" ca="1" si="5"/>
        <v>86</v>
      </c>
      <c r="H88">
        <f t="shared" ca="1" si="6"/>
        <v>74.659125677466321</v>
      </c>
      <c r="I88">
        <f t="shared" ca="1" si="7"/>
        <v>41.634450921915857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159816</v>
      </c>
      <c r="B90" s="66">
        <v>159816</v>
      </c>
      <c r="D90">
        <f t="shared" si="4"/>
        <v>0.90887687031887121</v>
      </c>
      <c r="E90">
        <f t="shared" si="4"/>
        <v>0.90887687031887121</v>
      </c>
      <c r="G90">
        <f t="shared" ca="1" si="5"/>
        <v>88</v>
      </c>
      <c r="H90">
        <f t="shared" ca="1" si="6"/>
        <v>79.981164588060665</v>
      </c>
      <c r="I90">
        <f t="shared" ca="1" si="7"/>
        <v>72.400885259785341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162506</v>
      </c>
      <c r="B93" s="66">
        <v>162506</v>
      </c>
      <c r="D93">
        <f t="shared" si="4"/>
        <v>0.92417495549906448</v>
      </c>
      <c r="E93">
        <f t="shared" si="4"/>
        <v>0.92417495549906448</v>
      </c>
      <c r="G93">
        <f t="shared" ca="1" si="5"/>
        <v>91</v>
      </c>
      <c r="H93">
        <f t="shared" ca="1" si="6"/>
        <v>84.099920950414869</v>
      </c>
      <c r="I93">
        <f t="shared" ca="1" si="7"/>
        <v>131.42794495216091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166470</v>
      </c>
      <c r="B95" s="66">
        <v>166470</v>
      </c>
      <c r="D95">
        <f t="shared" si="4"/>
        <v>0.94671830481292552</v>
      </c>
      <c r="E95">
        <f t="shared" si="4"/>
        <v>0.94671830481292552</v>
      </c>
      <c r="G95">
        <f t="shared" ca="1" si="5"/>
        <v>93</v>
      </c>
      <c r="H95">
        <f t="shared" ca="1" si="6"/>
        <v>88.044802347602072</v>
      </c>
      <c r="I95">
        <f t="shared" ca="1" si="7"/>
        <v>183.58006667733139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160826</v>
      </c>
      <c r="B98" s="66">
        <v>160826</v>
      </c>
      <c r="D98">
        <f t="shared" si="4"/>
        <v>0.91462076103708501</v>
      </c>
      <c r="E98">
        <f t="shared" si="4"/>
        <v>0.91462076103708501</v>
      </c>
      <c r="G98">
        <f t="shared" ca="1" si="5"/>
        <v>96</v>
      </c>
      <c r="H98">
        <f t="shared" ca="1" si="6"/>
        <v>87.803593059560157</v>
      </c>
      <c r="I98">
        <f t="shared" ca="1" si="7"/>
        <v>262.00538002046051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146288</v>
      </c>
      <c r="B100" s="66">
        <v>146288</v>
      </c>
      <c r="D100">
        <f t="shared" si="4"/>
        <v>0.83194285681788449</v>
      </c>
      <c r="E100">
        <f t="shared" si="4"/>
        <v>0.83194285681788449</v>
      </c>
      <c r="G100">
        <f t="shared" ca="1" si="5"/>
        <v>98</v>
      </c>
      <c r="H100">
        <f t="shared" ca="1" si="6"/>
        <v>81.530399968152679</v>
      </c>
      <c r="I100">
        <f t="shared" ca="1" si="7"/>
        <v>297.9722537781775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132600</v>
      </c>
      <c r="B103" s="66">
        <v>132600</v>
      </c>
      <c r="D103">
        <f t="shared" si="4"/>
        <v>0.75409892003480461</v>
      </c>
      <c r="E103">
        <f t="shared" si="4"/>
        <v>0.75409892003480461</v>
      </c>
      <c r="G103">
        <f t="shared" ca="1" si="5"/>
        <v>101</v>
      </c>
      <c r="H103">
        <f t="shared" ca="1" si="6"/>
        <v>76.163990923515271</v>
      </c>
      <c r="I103">
        <f t="shared" ca="1" si="7"/>
        <v>362.50719544952096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119681</v>
      </c>
      <c r="B106" s="66">
        <v>119681</v>
      </c>
      <c r="D106">
        <f t="shared" si="4"/>
        <v>0.68062830202628544</v>
      </c>
      <c r="E106">
        <f t="shared" si="4"/>
        <v>0.68062830202628544</v>
      </c>
      <c r="G106">
        <f t="shared" ca="1" si="5"/>
        <v>104</v>
      </c>
      <c r="H106">
        <f t="shared" ca="1" si="6"/>
        <v>70.785343410733688</v>
      </c>
      <c r="I106">
        <f t="shared" ca="1" si="7"/>
        <v>422.85196215468068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107197</v>
      </c>
      <c r="B108" s="66">
        <v>107197</v>
      </c>
      <c r="D108">
        <f t="shared" si="4"/>
        <v>0.60963153794095737</v>
      </c>
      <c r="E108">
        <f t="shared" si="4"/>
        <v>0.60963153794095737</v>
      </c>
      <c r="G108">
        <f t="shared" ca="1" si="5"/>
        <v>106</v>
      </c>
      <c r="H108">
        <f t="shared" ca="1" si="6"/>
        <v>64.620943021741482</v>
      </c>
      <c r="I108">
        <f t="shared" ca="1" si="7"/>
        <v>441.96336052882174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98920</v>
      </c>
      <c r="B111" s="66">
        <v>98920</v>
      </c>
      <c r="D111">
        <f t="shared" si="4"/>
        <v>0.56256006915416945</v>
      </c>
      <c r="E111">
        <f t="shared" si="4"/>
        <v>0.56256006915416945</v>
      </c>
      <c r="G111">
        <f t="shared" ca="1" si="5"/>
        <v>109</v>
      </c>
      <c r="H111">
        <f t="shared" ca="1" si="6"/>
        <v>61.319047537804472</v>
      </c>
      <c r="I111">
        <f t="shared" ca="1" si="7"/>
        <v>503.7834475066054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92736</v>
      </c>
      <c r="B113" s="66">
        <v>92736</v>
      </c>
      <c r="D113">
        <f t="shared" si="4"/>
        <v>0.52739153430126418</v>
      </c>
      <c r="E113">
        <f t="shared" si="4"/>
        <v>0.52739153430126418</v>
      </c>
      <c r="G113">
        <f t="shared" ca="1" si="5"/>
        <v>111</v>
      </c>
      <c r="H113">
        <f t="shared" ca="1" si="6"/>
        <v>58.540460307440327</v>
      </c>
      <c r="I113">
        <f t="shared" ca="1" si="7"/>
        <v>537.52816060138321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79216</v>
      </c>
      <c r="B116" s="66">
        <v>79216</v>
      </c>
      <c r="D116">
        <f t="shared" si="4"/>
        <v>0.45050301696438216</v>
      </c>
      <c r="E116">
        <f t="shared" si="4"/>
        <v>0.45050301696438216</v>
      </c>
      <c r="G116">
        <f t="shared" ca="1" si="5"/>
        <v>114</v>
      </c>
      <c r="H116">
        <f t="shared" ca="1" si="6"/>
        <v>51.357343933939568</v>
      </c>
      <c r="I116">
        <f t="shared" ca="1" si="7"/>
        <v>549.51082401133522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75036</v>
      </c>
      <c r="B118" s="66">
        <v>75036</v>
      </c>
      <c r="D118">
        <f t="shared" si="4"/>
        <v>0.42673127121969529</v>
      </c>
      <c r="E118">
        <f t="shared" si="4"/>
        <v>0.42673127121969529</v>
      </c>
      <c r="G118">
        <f t="shared" ca="1" si="5"/>
        <v>116</v>
      </c>
      <c r="H118">
        <f t="shared" ca="1" si="6"/>
        <v>49.500827461484654</v>
      </c>
      <c r="I118">
        <f t="shared" ca="1" si="7"/>
        <v>581.83639778016004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59458</v>
      </c>
      <c r="B121" s="66">
        <v>59458</v>
      </c>
      <c r="D121">
        <f t="shared" si="4"/>
        <v>0.33813886566688844</v>
      </c>
      <c r="E121">
        <f t="shared" si="4"/>
        <v>0.33813886566688844</v>
      </c>
      <c r="G121">
        <f t="shared" ca="1" si="5"/>
        <v>119</v>
      </c>
      <c r="H121">
        <f t="shared" ca="1" si="6"/>
        <v>40.238525014359723</v>
      </c>
      <c r="I121">
        <f t="shared" ca="1" si="7"/>
        <v>539.00146178862985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52494</v>
      </c>
      <c r="B124" s="66">
        <v>52494</v>
      </c>
      <c r="D124">
        <f t="shared" si="4"/>
        <v>0.29853445481377849</v>
      </c>
      <c r="E124">
        <f t="shared" si="4"/>
        <v>0.29853445481377849</v>
      </c>
      <c r="G124">
        <f t="shared" ca="1" si="5"/>
        <v>122</v>
      </c>
      <c r="H124">
        <f t="shared" ca="1" si="6"/>
        <v>36.421203487280977</v>
      </c>
      <c r="I124">
        <f t="shared" ca="1" si="7"/>
        <v>550.07223159145281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51214</v>
      </c>
      <c r="B126" s="66">
        <v>51214</v>
      </c>
      <c r="D126">
        <f t="shared" si="4"/>
        <v>0.29125506855703226</v>
      </c>
      <c r="E126">
        <f t="shared" si="4"/>
        <v>0.29125506855703226</v>
      </c>
      <c r="G126">
        <f t="shared" ca="1" si="5"/>
        <v>124</v>
      </c>
      <c r="H126">
        <f t="shared" ca="1" si="6"/>
        <v>36.115628501072003</v>
      </c>
      <c r="I126">
        <f t="shared" ca="1" si="7"/>
        <v>587.83319721770408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45599</v>
      </c>
      <c r="B129" s="66">
        <v>45599</v>
      </c>
      <c r="D129">
        <f t="shared" si="4"/>
        <v>0.25932244837607127</v>
      </c>
      <c r="E129">
        <f t="shared" si="4"/>
        <v>0.25932244837607127</v>
      </c>
      <c r="G129">
        <f t="shared" ca="1" si="5"/>
        <v>127</v>
      </c>
      <c r="H129">
        <f t="shared" ca="1" si="6"/>
        <v>32.933950943761054</v>
      </c>
      <c r="I129">
        <f t="shared" ca="1" si="7"/>
        <v>595.61897297948008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42872</v>
      </c>
      <c r="B131" s="66">
        <v>42872</v>
      </c>
      <c r="D131">
        <f t="shared" ref="D131:E194" si="8">IFERROR( A131/MAX(A$2:A$257), 0 )</f>
        <v>0.24381394343689397</v>
      </c>
      <c r="E131">
        <f t="shared" si="8"/>
        <v>0.24381394343689397</v>
      </c>
      <c r="G131">
        <f t="shared" ref="G131:G194" ca="1" si="9">CELL("row",D131)-2</f>
        <v>129</v>
      </c>
      <c r="H131">
        <f t="shared" ref="H131:H194" ca="1" si="10">D131*G131</f>
        <v>31.451998703359322</v>
      </c>
      <c r="I131">
        <f t="shared" ref="I131:I194" ca="1" si="11">D131*((G131-$L$1)^2)</f>
        <v>607.71322278778575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38792</v>
      </c>
      <c r="B134" s="66">
        <v>38792</v>
      </c>
      <c r="D134">
        <f t="shared" si="8"/>
        <v>0.22061089974351539</v>
      </c>
      <c r="E134">
        <f t="shared" si="8"/>
        <v>0.22061089974351539</v>
      </c>
      <c r="G134">
        <f t="shared" ca="1" si="9"/>
        <v>132</v>
      </c>
      <c r="H134">
        <f t="shared" ca="1" si="10"/>
        <v>29.12063876614403</v>
      </c>
      <c r="I134">
        <f t="shared" ca="1" si="11"/>
        <v>617.94877063485444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35029</v>
      </c>
      <c r="B136" s="66">
        <v>35029</v>
      </c>
      <c r="D136">
        <f t="shared" si="8"/>
        <v>0.19921064155278409</v>
      </c>
      <c r="E136">
        <f t="shared" si="8"/>
        <v>0.19921064155278409</v>
      </c>
      <c r="G136">
        <f t="shared" ca="1" si="9"/>
        <v>134</v>
      </c>
      <c r="H136">
        <f t="shared" ca="1" si="10"/>
        <v>26.694225968073066</v>
      </c>
      <c r="I136">
        <f t="shared" ca="1" si="11"/>
        <v>600.97485482974218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35046</v>
      </c>
      <c r="B139" s="66">
        <v>35046</v>
      </c>
      <c r="D139">
        <f t="shared" si="8"/>
        <v>0.19930732090150649</v>
      </c>
      <c r="E139">
        <f t="shared" si="8"/>
        <v>0.19930732090150649</v>
      </c>
      <c r="G139">
        <f t="shared" ca="1" si="9"/>
        <v>137</v>
      </c>
      <c r="H139">
        <f t="shared" ca="1" si="10"/>
        <v>27.305102963506389</v>
      </c>
      <c r="I139">
        <f t="shared" ca="1" si="11"/>
        <v>668.74228367746855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33157</v>
      </c>
      <c r="B142" s="66">
        <v>33157</v>
      </c>
      <c r="D142">
        <f t="shared" si="8"/>
        <v>0.18856453915229271</v>
      </c>
      <c r="E142">
        <f t="shared" si="8"/>
        <v>0.18856453915229271</v>
      </c>
      <c r="G142">
        <f t="shared" ca="1" si="9"/>
        <v>140</v>
      </c>
      <c r="H142">
        <f t="shared" ca="1" si="10"/>
        <v>26.399035481320979</v>
      </c>
      <c r="I142">
        <f t="shared" ca="1" si="11"/>
        <v>699.9296280619551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29824</v>
      </c>
      <c r="B144" s="66">
        <v>29824</v>
      </c>
      <c r="D144">
        <f t="shared" si="8"/>
        <v>0.16960969978218712</v>
      </c>
      <c r="E144">
        <f t="shared" si="8"/>
        <v>0.16960969978218712</v>
      </c>
      <c r="G144">
        <f t="shared" ca="1" si="9"/>
        <v>142</v>
      </c>
      <c r="H144">
        <f t="shared" ca="1" si="10"/>
        <v>24.084577369070573</v>
      </c>
      <c r="I144">
        <f t="shared" ca="1" si="11"/>
        <v>671.58394851646005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29846</v>
      </c>
      <c r="B147" s="66">
        <v>29846</v>
      </c>
      <c r="D147">
        <f t="shared" si="8"/>
        <v>0.16973481423347495</v>
      </c>
      <c r="E147">
        <f t="shared" si="8"/>
        <v>0.16973481423347495</v>
      </c>
      <c r="G147">
        <f t="shared" ca="1" si="9"/>
        <v>145</v>
      </c>
      <c r="H147">
        <f t="shared" ca="1" si="10"/>
        <v>24.611548063853867</v>
      </c>
      <c r="I147">
        <f t="shared" ca="1" si="11"/>
        <v>737.6905763581924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28217</v>
      </c>
      <c r="B149" s="66">
        <v>28217</v>
      </c>
      <c r="D149">
        <f t="shared" si="8"/>
        <v>0.16047065781766276</v>
      </c>
      <c r="E149">
        <f t="shared" si="8"/>
        <v>0.16047065781766276</v>
      </c>
      <c r="G149">
        <f t="shared" ca="1" si="9"/>
        <v>147</v>
      </c>
      <c r="H149">
        <f t="shared" ca="1" si="10"/>
        <v>23.589186699196425</v>
      </c>
      <c r="I149">
        <f t="shared" ca="1" si="11"/>
        <v>740.38543588639311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28694</v>
      </c>
      <c r="B152" s="66">
        <v>28694</v>
      </c>
      <c r="D152">
        <f t="shared" si="8"/>
        <v>0.16318336660240335</v>
      </c>
      <c r="E152">
        <f t="shared" si="8"/>
        <v>0.16318336660240335</v>
      </c>
      <c r="G152">
        <f t="shared" ca="1" si="9"/>
        <v>150</v>
      </c>
      <c r="H152">
        <f t="shared" ca="1" si="10"/>
        <v>24.477504990360501</v>
      </c>
      <c r="I152">
        <f t="shared" ca="1" si="11"/>
        <v>820.87568813684015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24437</v>
      </c>
      <c r="B154" s="66">
        <v>24437</v>
      </c>
      <c r="D154">
        <f t="shared" si="8"/>
        <v>0.13897372027820903</v>
      </c>
      <c r="E154">
        <f t="shared" si="8"/>
        <v>0.13897372027820903</v>
      </c>
      <c r="G154">
        <f t="shared" ca="1" si="9"/>
        <v>152</v>
      </c>
      <c r="H154">
        <f t="shared" ca="1" si="10"/>
        <v>21.124005482287775</v>
      </c>
      <c r="I154">
        <f t="shared" ca="1" si="11"/>
        <v>739.07463513437847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21664</v>
      </c>
      <c r="B157" s="66">
        <v>21664</v>
      </c>
      <c r="D157">
        <f t="shared" si="8"/>
        <v>0.12320361239542992</v>
      </c>
      <c r="E157">
        <f t="shared" si="8"/>
        <v>0.12320361239542992</v>
      </c>
      <c r="G157">
        <f t="shared" ca="1" si="9"/>
        <v>155</v>
      </c>
      <c r="H157">
        <f t="shared" ca="1" si="10"/>
        <v>19.096559921291636</v>
      </c>
      <c r="I157">
        <f t="shared" ca="1" si="11"/>
        <v>710.22453844917675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19253</v>
      </c>
      <c r="B160" s="66">
        <v>19253</v>
      </c>
      <c r="D160">
        <f t="shared" si="8"/>
        <v>0.10949220593838682</v>
      </c>
      <c r="E160">
        <f t="shared" si="8"/>
        <v>0.10949220593838682</v>
      </c>
      <c r="G160">
        <f t="shared" ca="1" si="9"/>
        <v>158</v>
      </c>
      <c r="H160">
        <f t="shared" ca="1" si="10"/>
        <v>17.299768538265116</v>
      </c>
      <c r="I160">
        <f t="shared" ca="1" si="11"/>
        <v>682.04796426703444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23192</v>
      </c>
      <c r="B162" s="66">
        <v>23192</v>
      </c>
      <c r="D162">
        <f t="shared" si="8"/>
        <v>0.13189337973942072</v>
      </c>
      <c r="E162">
        <f t="shared" si="8"/>
        <v>0.13189337973942072</v>
      </c>
      <c r="G162">
        <f t="shared" ca="1" si="9"/>
        <v>160</v>
      </c>
      <c r="H162">
        <f t="shared" ca="1" si="10"/>
        <v>21.102940758307316</v>
      </c>
      <c r="I162">
        <f t="shared" ca="1" si="11"/>
        <v>863.75560985342622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24851</v>
      </c>
      <c r="B165" s="66">
        <v>24851</v>
      </c>
      <c r="D165">
        <f t="shared" si="8"/>
        <v>0.14132814677062541</v>
      </c>
      <c r="E165">
        <f t="shared" si="8"/>
        <v>0.14132814677062541</v>
      </c>
      <c r="G165">
        <f t="shared" ca="1" si="9"/>
        <v>163</v>
      </c>
      <c r="H165">
        <f t="shared" ca="1" si="10"/>
        <v>23.036487923611944</v>
      </c>
      <c r="I165">
        <f t="shared" ca="1" si="11"/>
        <v>995.43691803345655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25451</v>
      </c>
      <c r="B167" s="66">
        <v>25451</v>
      </c>
      <c r="D167">
        <f t="shared" si="8"/>
        <v>0.14474035907847518</v>
      </c>
      <c r="E167">
        <f t="shared" si="8"/>
        <v>0.14474035907847518</v>
      </c>
      <c r="G167">
        <f t="shared" ca="1" si="9"/>
        <v>165</v>
      </c>
      <c r="H167">
        <f t="shared" ca="1" si="10"/>
        <v>23.882159247948405</v>
      </c>
      <c r="I167">
        <f t="shared" ca="1" si="11"/>
        <v>1068.6390781718808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23651</v>
      </c>
      <c r="B170" s="66">
        <v>23651</v>
      </c>
      <c r="D170">
        <f t="shared" si="8"/>
        <v>0.13450372215492581</v>
      </c>
      <c r="E170">
        <f t="shared" si="8"/>
        <v>0.13450372215492581</v>
      </c>
      <c r="G170">
        <f t="shared" ca="1" si="9"/>
        <v>168</v>
      </c>
      <c r="H170">
        <f t="shared" ca="1" si="10"/>
        <v>22.596625322027538</v>
      </c>
      <c r="I170">
        <f t="shared" ca="1" si="11"/>
        <v>1063.6146150616921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19741</v>
      </c>
      <c r="B173" s="66">
        <v>19741</v>
      </c>
      <c r="D173">
        <f t="shared" si="8"/>
        <v>0.11226747194877132</v>
      </c>
      <c r="E173">
        <f t="shared" si="8"/>
        <v>0.11226747194877132</v>
      </c>
      <c r="G173">
        <f t="shared" ca="1" si="9"/>
        <v>171</v>
      </c>
      <c r="H173">
        <f t="shared" ca="1" si="10"/>
        <v>19.197737703239895</v>
      </c>
      <c r="I173">
        <f t="shared" ca="1" si="11"/>
        <v>948.68796855900302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17890</v>
      </c>
      <c r="B175" s="66">
        <v>17890</v>
      </c>
      <c r="D175">
        <f t="shared" si="8"/>
        <v>0.10174079697905471</v>
      </c>
      <c r="E175">
        <f t="shared" si="8"/>
        <v>0.10174079697905471</v>
      </c>
      <c r="G175">
        <f t="shared" ca="1" si="9"/>
        <v>173</v>
      </c>
      <c r="H175">
        <f t="shared" ca="1" si="10"/>
        <v>17.601157877376465</v>
      </c>
      <c r="I175">
        <f t="shared" ca="1" si="11"/>
        <v>897.55210335555194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18362</v>
      </c>
      <c r="B178" s="66">
        <v>18362</v>
      </c>
      <c r="D178">
        <f t="shared" si="8"/>
        <v>0.10442507066122987</v>
      </c>
      <c r="E178">
        <f t="shared" si="8"/>
        <v>0.10442507066122987</v>
      </c>
      <c r="G178">
        <f t="shared" ca="1" si="9"/>
        <v>176</v>
      </c>
      <c r="H178">
        <f t="shared" ca="1" si="10"/>
        <v>18.378812436376457</v>
      </c>
      <c r="I178">
        <f t="shared" ca="1" si="11"/>
        <v>981.02134664749678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16522</v>
      </c>
      <c r="B180" s="66">
        <v>16522</v>
      </c>
      <c r="D180">
        <f t="shared" si="8"/>
        <v>9.396095291715717E-2</v>
      </c>
      <c r="E180">
        <f t="shared" si="8"/>
        <v>9.396095291715717E-2</v>
      </c>
      <c r="G180">
        <f t="shared" ca="1" si="9"/>
        <v>178</v>
      </c>
      <c r="H180">
        <f t="shared" ca="1" si="10"/>
        <v>16.725049619253976</v>
      </c>
      <c r="I180">
        <f t="shared" ca="1" si="11"/>
        <v>919.52078213533025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14612</v>
      </c>
      <c r="B183" s="66">
        <v>14612</v>
      </c>
      <c r="D183">
        <f t="shared" si="8"/>
        <v>8.3098743737168662E-2</v>
      </c>
      <c r="E183">
        <f t="shared" si="8"/>
        <v>8.3098743737168662E-2</v>
      </c>
      <c r="G183">
        <f t="shared" ca="1" si="9"/>
        <v>181</v>
      </c>
      <c r="H183">
        <f t="shared" ca="1" si="10"/>
        <v>15.040872616427528</v>
      </c>
      <c r="I183">
        <f t="shared" ca="1" si="11"/>
        <v>863.2922812287942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10372</v>
      </c>
      <c r="B185" s="66">
        <v>10372</v>
      </c>
      <c r="D185">
        <f t="shared" si="8"/>
        <v>5.8985776761696779E-2</v>
      </c>
      <c r="E185">
        <f t="shared" si="8"/>
        <v>5.8985776761696779E-2</v>
      </c>
      <c r="G185">
        <f t="shared" ca="1" si="9"/>
        <v>183</v>
      </c>
      <c r="H185">
        <f t="shared" ca="1" si="10"/>
        <v>10.79439714739051</v>
      </c>
      <c r="I185">
        <f t="shared" ca="1" si="11"/>
        <v>637.0731339704115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8161</v>
      </c>
      <c r="B188" s="66">
        <v>8161</v>
      </c>
      <c r="D188">
        <f t="shared" si="8"/>
        <v>4.641177440727029E-2</v>
      </c>
      <c r="E188">
        <f t="shared" si="8"/>
        <v>4.641177440727029E-2</v>
      </c>
      <c r="G188">
        <f t="shared" ca="1" si="9"/>
        <v>186</v>
      </c>
      <c r="H188">
        <f t="shared" ca="1" si="10"/>
        <v>8.632590039752273</v>
      </c>
      <c r="I188">
        <f t="shared" ca="1" si="11"/>
        <v>530.62603924755808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5419</v>
      </c>
      <c r="B191" s="66">
        <v>5419</v>
      </c>
      <c r="D191">
        <f t="shared" si="8"/>
        <v>3.0817964160396727E-2</v>
      </c>
      <c r="E191">
        <f t="shared" si="8"/>
        <v>3.0817964160396727E-2</v>
      </c>
      <c r="G191">
        <f t="shared" ca="1" si="9"/>
        <v>189</v>
      </c>
      <c r="H191">
        <f t="shared" ca="1" si="10"/>
        <v>5.8245952263149814</v>
      </c>
      <c r="I191">
        <f t="shared" ca="1" si="11"/>
        <v>372.39060105284045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3552</v>
      </c>
      <c r="B193" s="66">
        <v>3552</v>
      </c>
      <c r="D193">
        <f t="shared" si="8"/>
        <v>2.0200296862470782E-2</v>
      </c>
      <c r="E193">
        <f t="shared" si="8"/>
        <v>2.0200296862470782E-2</v>
      </c>
      <c r="G193">
        <f t="shared" ca="1" si="9"/>
        <v>191</v>
      </c>
      <c r="H193">
        <f t="shared" ca="1" si="10"/>
        <v>3.8582567007319195</v>
      </c>
      <c r="I193">
        <f t="shared" ca="1" si="11"/>
        <v>253.05431213341984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2093</v>
      </c>
      <c r="B196" s="66">
        <v>2093</v>
      </c>
      <c r="D196">
        <f t="shared" si="12"/>
        <v>1.19029339338827E-2</v>
      </c>
      <c r="E196">
        <f t="shared" si="12"/>
        <v>1.19029339338827E-2</v>
      </c>
      <c r="G196">
        <f t="shared" ca="1" si="13"/>
        <v>194</v>
      </c>
      <c r="H196">
        <f t="shared" ca="1" si="14"/>
        <v>2.3091691831732439</v>
      </c>
      <c r="I196">
        <f t="shared" ca="1" si="15"/>
        <v>157.21167164920223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2156</v>
      </c>
      <c r="B198" s="66">
        <v>2156</v>
      </c>
      <c r="D198">
        <f t="shared" si="12"/>
        <v>1.2261216226206928E-2</v>
      </c>
      <c r="E198">
        <f t="shared" si="12"/>
        <v>1.2261216226206928E-2</v>
      </c>
      <c r="G198">
        <f t="shared" ca="1" si="13"/>
        <v>196</v>
      </c>
      <c r="H198">
        <f t="shared" ca="1" si="14"/>
        <v>2.403198380336558</v>
      </c>
      <c r="I198">
        <f t="shared" ca="1" si="15"/>
        <v>167.62933278537122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2101</v>
      </c>
      <c r="B201" s="66">
        <v>2101</v>
      </c>
      <c r="D201">
        <f t="shared" si="12"/>
        <v>1.1948430097987364E-2</v>
      </c>
      <c r="E201">
        <f t="shared" si="12"/>
        <v>1.1948430097987364E-2</v>
      </c>
      <c r="G201">
        <f t="shared" ca="1" si="13"/>
        <v>199</v>
      </c>
      <c r="H201">
        <f t="shared" ca="1" si="14"/>
        <v>2.3777375894994854</v>
      </c>
      <c r="I201">
        <f t="shared" ca="1" si="15"/>
        <v>171.84304778500524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2694</v>
      </c>
      <c r="B203" s="66">
        <v>2694</v>
      </c>
      <c r="D203">
        <f t="shared" si="12"/>
        <v>1.5320833262245577E-2</v>
      </c>
      <c r="E203">
        <f t="shared" si="12"/>
        <v>1.5320833262245577E-2</v>
      </c>
      <c r="G203">
        <f t="shared" ca="1" si="13"/>
        <v>201</v>
      </c>
      <c r="H203">
        <f t="shared" ca="1" si="14"/>
        <v>3.0794874857113608</v>
      </c>
      <c r="I203">
        <f t="shared" ca="1" si="15"/>
        <v>227.75585617610179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2021</v>
      </c>
      <c r="B206" s="66">
        <v>2021</v>
      </c>
      <c r="D206">
        <f t="shared" si="12"/>
        <v>1.1493468456940725E-2</v>
      </c>
      <c r="E206">
        <f t="shared" si="12"/>
        <v>1.1493468456940725E-2</v>
      </c>
      <c r="G206">
        <f t="shared" ca="1" si="13"/>
        <v>204</v>
      </c>
      <c r="H206">
        <f t="shared" ca="1" si="14"/>
        <v>2.3446675652159077</v>
      </c>
      <c r="I206">
        <f t="shared" ca="1" si="15"/>
        <v>179.37066699901146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1737</v>
      </c>
      <c r="B209" s="66">
        <v>1737</v>
      </c>
      <c r="D209">
        <f t="shared" si="12"/>
        <v>9.8783546312251544E-3</v>
      </c>
      <c r="E209">
        <f t="shared" si="12"/>
        <v>9.8783546312251544E-3</v>
      </c>
      <c r="G209">
        <f t="shared" ca="1" si="13"/>
        <v>207</v>
      </c>
      <c r="H209">
        <f t="shared" ca="1" si="14"/>
        <v>2.0448194086636069</v>
      </c>
      <c r="I209">
        <f t="shared" ca="1" si="15"/>
        <v>161.6579345239995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467</v>
      </c>
      <c r="B211" s="66">
        <v>467</v>
      </c>
      <c r="D211">
        <f t="shared" si="12"/>
        <v>2.6558385796097567E-3</v>
      </c>
      <c r="E211">
        <f t="shared" si="12"/>
        <v>2.6558385796097567E-3</v>
      </c>
      <c r="G211">
        <f t="shared" ca="1" si="13"/>
        <v>209</v>
      </c>
      <c r="H211">
        <f t="shared" ca="1" si="14"/>
        <v>0.5550702631384391</v>
      </c>
      <c r="I211">
        <f t="shared" ca="1" si="15"/>
        <v>44.832056753043616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197</v>
      </c>
      <c r="B214" s="66">
        <v>197</v>
      </c>
      <c r="D214">
        <f t="shared" si="12"/>
        <v>1.1203430410773492E-3</v>
      </c>
      <c r="E214">
        <f t="shared" si="12"/>
        <v>1.1203430410773492E-3</v>
      </c>
      <c r="G214">
        <f t="shared" ca="1" si="13"/>
        <v>212</v>
      </c>
      <c r="H214">
        <f t="shared" ca="1" si="14"/>
        <v>0.23751272470839802</v>
      </c>
      <c r="I214">
        <f t="shared" ca="1" si="15"/>
        <v>19.795471991352986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75.555469941540863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1.4587864951563987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0.6601416217023276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2804</v>
      </c>
      <c r="B8" s="66">
        <v>2804</v>
      </c>
      <c r="D8">
        <f t="shared" si="0"/>
        <v>2.75653251017479</v>
      </c>
      <c r="E8">
        <f t="shared" si="1"/>
        <v>2.75653251017479</v>
      </c>
      <c r="G8">
        <f t="shared" ca="1" si="2"/>
        <v>6</v>
      </c>
      <c r="H8">
        <f t="shared" ca="1" si="3"/>
        <v>16.539195061048741</v>
      </c>
      <c r="I8">
        <f t="shared" ca="1" si="4"/>
        <v>13336.003391796483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6324</v>
      </c>
      <c r="B10" s="66">
        <v>6324</v>
      </c>
      <c r="D10">
        <f t="shared" si="0"/>
        <v>6.2169442205226009</v>
      </c>
      <c r="E10">
        <f t="shared" si="1"/>
        <v>6.2169442205226009</v>
      </c>
      <c r="G10">
        <f t="shared" ca="1" si="2"/>
        <v>8</v>
      </c>
      <c r="H10">
        <f t="shared" ca="1" si="3"/>
        <v>49.735553764180807</v>
      </c>
      <c r="I10">
        <f t="shared" ca="1" si="4"/>
        <v>28372.526460645538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12107</v>
      </c>
      <c r="B13" s="66">
        <v>12107</v>
      </c>
      <c r="D13">
        <f t="shared" si="0"/>
        <v>11.902046754880949</v>
      </c>
      <c r="E13">
        <f t="shared" si="1"/>
        <v>11.902046754880949</v>
      </c>
      <c r="G13">
        <f t="shared" ca="1" si="2"/>
        <v>11</v>
      </c>
      <c r="H13">
        <f t="shared" ca="1" si="3"/>
        <v>130.92251430369043</v>
      </c>
      <c r="I13">
        <f t="shared" ca="1" si="4"/>
        <v>49600.693186637269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16913</v>
      </c>
      <c r="B15" s="66">
        <v>16913</v>
      </c>
      <c r="D15">
        <f t="shared" si="0"/>
        <v>16.626688425316058</v>
      </c>
      <c r="E15">
        <f t="shared" si="1"/>
        <v>16.626688425316058</v>
      </c>
      <c r="G15">
        <f t="shared" ca="1" si="2"/>
        <v>13</v>
      </c>
      <c r="H15">
        <f t="shared" ca="1" si="3"/>
        <v>216.14694952910875</v>
      </c>
      <c r="I15">
        <f t="shared" ca="1" si="4"/>
        <v>65063.337999659438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17630</v>
      </c>
      <c r="B18" s="66">
        <v>17630</v>
      </c>
      <c r="D18">
        <f t="shared" si="0"/>
        <v>17.331550696997699</v>
      </c>
      <c r="E18">
        <f t="shared" si="1"/>
        <v>17.331550696997699</v>
      </c>
      <c r="G18">
        <f t="shared" ca="1" si="2"/>
        <v>16</v>
      </c>
      <c r="H18">
        <f t="shared" ca="1" si="3"/>
        <v>277.30481115196318</v>
      </c>
      <c r="I18">
        <f t="shared" ca="1" si="4"/>
        <v>61472.479915117292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22621</v>
      </c>
      <c r="B21" s="66">
        <v>22621</v>
      </c>
      <c r="D21">
        <f t="shared" si="0"/>
        <v>22.238060596527792</v>
      </c>
      <c r="E21">
        <f t="shared" si="1"/>
        <v>22.238060596527792</v>
      </c>
      <c r="G21">
        <f t="shared" ca="1" si="2"/>
        <v>19</v>
      </c>
      <c r="H21">
        <f t="shared" ca="1" si="3"/>
        <v>422.52315133402806</v>
      </c>
      <c r="I21">
        <f t="shared" ca="1" si="4"/>
        <v>71128.907826978728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30612</v>
      </c>
      <c r="B23" s="66">
        <v>30612</v>
      </c>
      <c r="D23">
        <f t="shared" si="0"/>
        <v>30.093785021922496</v>
      </c>
      <c r="E23">
        <f t="shared" si="1"/>
        <v>30.093785021922496</v>
      </c>
      <c r="G23">
        <f t="shared" ca="1" si="2"/>
        <v>21</v>
      </c>
      <c r="H23">
        <f t="shared" ca="1" si="3"/>
        <v>631.96948546037243</v>
      </c>
      <c r="I23">
        <f t="shared" ca="1" si="4"/>
        <v>89568.111311420333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36804</v>
      </c>
      <c r="B26" s="66">
        <v>36804</v>
      </c>
      <c r="D26">
        <f t="shared" si="0"/>
        <v>36.180963803307051</v>
      </c>
      <c r="E26">
        <f t="shared" si="1"/>
        <v>36.180963803307051</v>
      </c>
      <c r="G26">
        <f t="shared" ca="1" si="2"/>
        <v>24</v>
      </c>
      <c r="H26">
        <f t="shared" ca="1" si="3"/>
        <v>868.34313127936923</v>
      </c>
      <c r="I26">
        <f t="shared" ca="1" si="4"/>
        <v>96167.789035597525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45009</v>
      </c>
      <c r="B28" s="66">
        <v>45009</v>
      </c>
      <c r="D28">
        <f t="shared" si="0"/>
        <v>44.247065531546767</v>
      </c>
      <c r="E28">
        <f t="shared" si="1"/>
        <v>44.247065531546767</v>
      </c>
      <c r="G28">
        <f t="shared" ca="1" si="2"/>
        <v>26</v>
      </c>
      <c r="H28">
        <f t="shared" ca="1" si="3"/>
        <v>1150.4237038202159</v>
      </c>
      <c r="I28">
        <f t="shared" ca="1" si="4"/>
        <v>108659.49229480677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52903</v>
      </c>
      <c r="B31" s="66">
        <v>52903</v>
      </c>
      <c r="D31">
        <f t="shared" si="0"/>
        <v>52.007432020605179</v>
      </c>
      <c r="E31">
        <f t="shared" si="1"/>
        <v>52.007432020605179</v>
      </c>
      <c r="G31">
        <f t="shared" ca="1" si="2"/>
        <v>29</v>
      </c>
      <c r="H31">
        <f t="shared" ca="1" si="3"/>
        <v>1508.2155285975502</v>
      </c>
      <c r="I31">
        <f t="shared" ca="1" si="4"/>
        <v>112721.52088586103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55330</v>
      </c>
      <c r="B33" s="66">
        <v>55330</v>
      </c>
      <c r="D33">
        <f t="shared" si="0"/>
        <v>54.39334657202965</v>
      </c>
      <c r="E33">
        <f t="shared" si="1"/>
        <v>54.39334657202965</v>
      </c>
      <c r="G33">
        <f t="shared" ca="1" si="2"/>
        <v>31</v>
      </c>
      <c r="H33">
        <f t="shared" ca="1" si="3"/>
        <v>1686.1937437329191</v>
      </c>
      <c r="I33">
        <f t="shared" ca="1" si="4"/>
        <v>107981.12233508989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58874</v>
      </c>
      <c r="B36" s="66">
        <v>58874</v>
      </c>
      <c r="D36">
        <f t="shared" si="0"/>
        <v>57.877351998584381</v>
      </c>
      <c r="E36">
        <f t="shared" si="1"/>
        <v>57.877351998584381</v>
      </c>
      <c r="G36">
        <f t="shared" ca="1" si="2"/>
        <v>34</v>
      </c>
      <c r="H36">
        <f t="shared" ca="1" si="3"/>
        <v>1967.8299679518689</v>
      </c>
      <c r="I36">
        <f t="shared" ca="1" si="4"/>
        <v>99945.915189768421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52878</v>
      </c>
      <c r="B39" s="66">
        <v>52878</v>
      </c>
      <c r="D39">
        <f t="shared" si="0"/>
        <v>51.982855232889641</v>
      </c>
      <c r="E39">
        <f t="shared" si="1"/>
        <v>51.982855232889641</v>
      </c>
      <c r="G39">
        <f t="shared" ca="1" si="2"/>
        <v>37</v>
      </c>
      <c r="H39">
        <f t="shared" ca="1" si="3"/>
        <v>1923.3656436169167</v>
      </c>
      <c r="I39">
        <f t="shared" ca="1" si="4"/>
        <v>77273.775533196196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59279</v>
      </c>
      <c r="B41" s="66">
        <v>59279</v>
      </c>
      <c r="D41">
        <f t="shared" si="0"/>
        <v>58.275495959576098</v>
      </c>
      <c r="E41">
        <f t="shared" si="1"/>
        <v>58.275495959576098</v>
      </c>
      <c r="G41">
        <f t="shared" ca="1" si="2"/>
        <v>39</v>
      </c>
      <c r="H41">
        <f t="shared" ca="1" si="3"/>
        <v>2272.744342423468</v>
      </c>
      <c r="I41">
        <f t="shared" ca="1" si="4"/>
        <v>77873.684100711194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60103</v>
      </c>
      <c r="B44" s="66">
        <v>60103</v>
      </c>
      <c r="D44">
        <f t="shared" si="0"/>
        <v>59.085546882680248</v>
      </c>
      <c r="E44">
        <f t="shared" si="1"/>
        <v>59.085546882680248</v>
      </c>
      <c r="G44">
        <f t="shared" ca="1" si="2"/>
        <v>42</v>
      </c>
      <c r="H44">
        <f t="shared" ca="1" si="3"/>
        <v>2481.5929690725702</v>
      </c>
      <c r="I44">
        <f t="shared" ca="1" si="4"/>
        <v>66528.527402968786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67417</v>
      </c>
      <c r="B46" s="66">
        <v>67417</v>
      </c>
      <c r="D46">
        <f t="shared" si="0"/>
        <v>66.275731896738165</v>
      </c>
      <c r="E46">
        <f t="shared" si="1"/>
        <v>66.275731896738165</v>
      </c>
      <c r="G46">
        <f t="shared" ca="1" si="2"/>
        <v>44</v>
      </c>
      <c r="H46">
        <f t="shared" ca="1" si="3"/>
        <v>2916.1322034564791</v>
      </c>
      <c r="I46">
        <f t="shared" ca="1" si="4"/>
        <v>65993.906490648325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60200</v>
      </c>
      <c r="B49" s="66">
        <v>60200</v>
      </c>
      <c r="D49">
        <f t="shared" si="0"/>
        <v>59.180904819016533</v>
      </c>
      <c r="E49">
        <f t="shared" si="1"/>
        <v>59.180904819016533</v>
      </c>
      <c r="G49">
        <f t="shared" ca="1" si="2"/>
        <v>47</v>
      </c>
      <c r="H49">
        <f t="shared" ca="1" si="3"/>
        <v>2781.5025264937772</v>
      </c>
      <c r="I49">
        <f t="shared" ca="1" si="4"/>
        <v>48256.989429672125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65351</v>
      </c>
      <c r="B51" s="66">
        <v>65351</v>
      </c>
      <c r="D51">
        <f t="shared" si="0"/>
        <v>64.244706159926068</v>
      </c>
      <c r="E51">
        <f t="shared" si="1"/>
        <v>64.244706159926068</v>
      </c>
      <c r="G51">
        <f t="shared" ca="1" si="2"/>
        <v>49</v>
      </c>
      <c r="H51">
        <f t="shared" ca="1" si="3"/>
        <v>3147.9906018363772</v>
      </c>
      <c r="I51">
        <f t="shared" ca="1" si="4"/>
        <v>45304.916031305576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61650</v>
      </c>
      <c r="B54" s="66">
        <v>61650</v>
      </c>
      <c r="D54">
        <f t="shared" si="0"/>
        <v>60.606358506517765</v>
      </c>
      <c r="E54">
        <f t="shared" si="1"/>
        <v>60.606358506517765</v>
      </c>
      <c r="G54">
        <f t="shared" ca="1" si="2"/>
        <v>52</v>
      </c>
      <c r="H54">
        <f t="shared" ca="1" si="3"/>
        <v>3151.5306423389238</v>
      </c>
      <c r="I54">
        <f t="shared" ca="1" si="4"/>
        <v>33628.054030480511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67269</v>
      </c>
      <c r="B57" s="66">
        <v>67269</v>
      </c>
      <c r="D57">
        <f t="shared" si="0"/>
        <v>66.130237313462175</v>
      </c>
      <c r="E57">
        <f t="shared" si="1"/>
        <v>66.130237313462175</v>
      </c>
      <c r="G57">
        <f t="shared" ca="1" si="2"/>
        <v>55</v>
      </c>
      <c r="H57">
        <f t="shared" ca="1" si="3"/>
        <v>3637.1630522404198</v>
      </c>
      <c r="I57">
        <f t="shared" ca="1" si="4"/>
        <v>27941.833564375214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70844</v>
      </c>
      <c r="B59" s="66">
        <v>70844</v>
      </c>
      <c r="D59">
        <f t="shared" si="0"/>
        <v>69.644717956784177</v>
      </c>
      <c r="E59">
        <f t="shared" si="1"/>
        <v>69.644717956784177</v>
      </c>
      <c r="G59">
        <f t="shared" ca="1" si="2"/>
        <v>57</v>
      </c>
      <c r="H59">
        <f t="shared" ca="1" si="3"/>
        <v>3969.7489235366979</v>
      </c>
      <c r="I59">
        <f t="shared" ca="1" si="4"/>
        <v>23979.056983592593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78672</v>
      </c>
      <c r="B62" s="66">
        <v>78672</v>
      </c>
      <c r="D62">
        <f t="shared" si="0"/>
        <v>77.340201726273563</v>
      </c>
      <c r="E62">
        <f t="shared" si="1"/>
        <v>77.340201726273563</v>
      </c>
      <c r="G62">
        <f t="shared" ca="1" si="2"/>
        <v>60</v>
      </c>
      <c r="H62">
        <f t="shared" ca="1" si="3"/>
        <v>4640.4121035764138</v>
      </c>
      <c r="I62">
        <f t="shared" ca="1" si="4"/>
        <v>18714.213184442702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90975</v>
      </c>
      <c r="B64" s="66">
        <v>90975</v>
      </c>
      <c r="D64">
        <f t="shared" si="0"/>
        <v>89.434930496844345</v>
      </c>
      <c r="E64">
        <f t="shared" si="1"/>
        <v>89.434930496844345</v>
      </c>
      <c r="G64">
        <f t="shared" ca="1" si="2"/>
        <v>62</v>
      </c>
      <c r="H64">
        <f t="shared" ca="1" si="3"/>
        <v>5544.9656908043489</v>
      </c>
      <c r="I64">
        <f t="shared" ca="1" si="4"/>
        <v>16433.736926568712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82833</v>
      </c>
      <c r="B67" s="66">
        <v>82833</v>
      </c>
      <c r="D67">
        <f t="shared" ref="D67:D130" si="5">IFERROR( 100*A67/MAX(A$2:A$257), 0 )</f>
        <v>81.430762273647787</v>
      </c>
      <c r="E67">
        <f t="shared" ref="E67:E130" si="6">IFERROR( 100*B67/MAX(B$2:B$257), 0 )</f>
        <v>81.430762273647787</v>
      </c>
      <c r="G67">
        <f t="shared" ref="G67:G130" ca="1" si="7">CELL("row",D67)-2</f>
        <v>65</v>
      </c>
      <c r="H67">
        <f t="shared" ref="H67:H130" ca="1" si="8">D67*G67</f>
        <v>5292.9995477871062</v>
      </c>
      <c r="I67">
        <f t="shared" ref="I67:I130" ca="1" si="9">D67*((G67-$L$1)^2)</f>
        <v>9072.8482482377876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91466</v>
      </c>
      <c r="B69" s="66">
        <v>91466</v>
      </c>
      <c r="D69">
        <f t="shared" si="5"/>
        <v>89.917618607577509</v>
      </c>
      <c r="E69">
        <f t="shared" si="6"/>
        <v>89.917618607577509</v>
      </c>
      <c r="G69">
        <f t="shared" ca="1" si="7"/>
        <v>67</v>
      </c>
      <c r="H69">
        <f t="shared" ca="1" si="8"/>
        <v>6024.4804467076929</v>
      </c>
      <c r="I69">
        <f t="shared" ca="1" si="9"/>
        <v>6581.615939024442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96048</v>
      </c>
      <c r="B72" s="66">
        <v>96048</v>
      </c>
      <c r="D72">
        <f t="shared" si="5"/>
        <v>94.422052260081401</v>
      </c>
      <c r="E72">
        <f t="shared" si="6"/>
        <v>94.422052260081401</v>
      </c>
      <c r="G72">
        <f t="shared" ca="1" si="7"/>
        <v>70</v>
      </c>
      <c r="H72">
        <f t="shared" ca="1" si="8"/>
        <v>6609.5436582056982</v>
      </c>
      <c r="I72">
        <f t="shared" ca="1" si="9"/>
        <v>2914.171052350498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101722</v>
      </c>
      <c r="B75" s="66">
        <v>101722</v>
      </c>
      <c r="D75">
        <f t="shared" si="5"/>
        <v>100</v>
      </c>
      <c r="E75">
        <f t="shared" si="6"/>
        <v>100</v>
      </c>
      <c r="G75">
        <f t="shared" ca="1" si="7"/>
        <v>73</v>
      </c>
      <c r="H75">
        <f t="shared" ca="1" si="8"/>
        <v>7300</v>
      </c>
      <c r="I75">
        <f t="shared" ca="1" si="9"/>
        <v>653.04266221188641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82854</v>
      </c>
      <c r="B77" s="66">
        <v>82854</v>
      </c>
      <c r="D77">
        <f t="shared" si="5"/>
        <v>81.451406775328834</v>
      </c>
      <c r="E77">
        <f t="shared" si="6"/>
        <v>81.451406775328834</v>
      </c>
      <c r="G77">
        <f t="shared" ca="1" si="7"/>
        <v>75</v>
      </c>
      <c r="H77">
        <f t="shared" ca="1" si="8"/>
        <v>6108.8555081496625</v>
      </c>
      <c r="I77">
        <f t="shared" ca="1" si="9"/>
        <v>25.131575473672918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85553</v>
      </c>
      <c r="B80" s="66">
        <v>85553</v>
      </c>
      <c r="D80">
        <f t="shared" si="5"/>
        <v>84.104716777098361</v>
      </c>
      <c r="E80">
        <f t="shared" si="6"/>
        <v>84.104716777098361</v>
      </c>
      <c r="G80">
        <f t="shared" ca="1" si="7"/>
        <v>78</v>
      </c>
      <c r="H80">
        <f t="shared" ca="1" si="8"/>
        <v>6560.1679086136719</v>
      </c>
      <c r="I80">
        <f t="shared" ca="1" si="9"/>
        <v>502.58684425756496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79835</v>
      </c>
      <c r="B82" s="66">
        <v>79835</v>
      </c>
      <c r="D82">
        <f t="shared" si="5"/>
        <v>78.48351389080041</v>
      </c>
      <c r="E82">
        <f t="shared" si="6"/>
        <v>78.48351389080041</v>
      </c>
      <c r="G82">
        <f t="shared" ca="1" si="7"/>
        <v>80</v>
      </c>
      <c r="H82">
        <f t="shared" ca="1" si="8"/>
        <v>6278.6811112640326</v>
      </c>
      <c r="I82">
        <f t="shared" ca="1" si="9"/>
        <v>1550.3513599969049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90152</v>
      </c>
      <c r="B85" s="66">
        <v>90152</v>
      </c>
      <c r="D85">
        <f t="shared" si="5"/>
        <v>88.625862645248816</v>
      </c>
      <c r="E85">
        <f t="shared" si="6"/>
        <v>88.625862645248816</v>
      </c>
      <c r="G85">
        <f t="shared" ca="1" si="7"/>
        <v>83</v>
      </c>
      <c r="H85">
        <f t="shared" ca="1" si="8"/>
        <v>7355.946599555652</v>
      </c>
      <c r="I85">
        <f t="shared" ca="1" si="9"/>
        <v>4911.7363966904131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82472</v>
      </c>
      <c r="B88" s="66">
        <v>82472</v>
      </c>
      <c r="D88">
        <f t="shared" si="5"/>
        <v>81.075873459035407</v>
      </c>
      <c r="E88">
        <f t="shared" si="6"/>
        <v>81.075873459035407</v>
      </c>
      <c r="G88">
        <f t="shared" ca="1" si="7"/>
        <v>86</v>
      </c>
      <c r="H88">
        <f t="shared" ca="1" si="8"/>
        <v>6972.5251174770447</v>
      </c>
      <c r="I88">
        <f t="shared" ca="1" si="9"/>
        <v>8844.4217591982815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92013</v>
      </c>
      <c r="B90" s="66">
        <v>92013</v>
      </c>
      <c r="D90">
        <f t="shared" si="5"/>
        <v>90.455358722793491</v>
      </c>
      <c r="E90">
        <f t="shared" si="6"/>
        <v>90.455358722793491</v>
      </c>
      <c r="G90">
        <f t="shared" ca="1" si="7"/>
        <v>88</v>
      </c>
      <c r="H90">
        <f t="shared" ca="1" si="8"/>
        <v>7960.0715676058271</v>
      </c>
      <c r="I90">
        <f t="shared" ca="1" si="9"/>
        <v>14008.489287323329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89880</v>
      </c>
      <c r="B93" s="66">
        <v>89880</v>
      </c>
      <c r="D93">
        <f t="shared" si="5"/>
        <v>88.358467194903753</v>
      </c>
      <c r="E93">
        <f t="shared" si="6"/>
        <v>88.358467194903753</v>
      </c>
      <c r="G93">
        <f t="shared" ca="1" si="7"/>
        <v>91</v>
      </c>
      <c r="H93">
        <f t="shared" ca="1" si="8"/>
        <v>8040.6205147362416</v>
      </c>
      <c r="I93">
        <f t="shared" ca="1" si="9"/>
        <v>21076.455205708793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89694</v>
      </c>
      <c r="B95" s="66">
        <v>89694</v>
      </c>
      <c r="D95">
        <f t="shared" si="5"/>
        <v>88.175615894300151</v>
      </c>
      <c r="E95">
        <f t="shared" si="6"/>
        <v>88.175615894300151</v>
      </c>
      <c r="G95">
        <f t="shared" ca="1" si="7"/>
        <v>93</v>
      </c>
      <c r="H95">
        <f t="shared" ca="1" si="8"/>
        <v>8200.3322781699135</v>
      </c>
      <c r="I95">
        <f t="shared" ca="1" si="9"/>
        <v>26832.865307388452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86790</v>
      </c>
      <c r="B98" s="66">
        <v>86790</v>
      </c>
      <c r="D98">
        <f t="shared" si="5"/>
        <v>85.320776233263203</v>
      </c>
      <c r="E98">
        <f t="shared" si="6"/>
        <v>85.320776233263203</v>
      </c>
      <c r="G98">
        <f t="shared" ca="1" si="7"/>
        <v>96</v>
      </c>
      <c r="H98">
        <f t="shared" ca="1" si="8"/>
        <v>8190.7945183932679</v>
      </c>
      <c r="I98">
        <f t="shared" ca="1" si="9"/>
        <v>35662.276459490029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73470</v>
      </c>
      <c r="B100" s="66">
        <v>73470</v>
      </c>
      <c r="D100">
        <f t="shared" si="5"/>
        <v>72.226263738424336</v>
      </c>
      <c r="E100">
        <f t="shared" si="6"/>
        <v>72.226263738424336</v>
      </c>
      <c r="G100">
        <f t="shared" ca="1" si="7"/>
        <v>98</v>
      </c>
      <c r="H100">
        <f t="shared" ca="1" si="8"/>
        <v>7078.1738463655847</v>
      </c>
      <c r="I100">
        <f t="shared" ca="1" si="9"/>
        <v>36384.480853381487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59745</v>
      </c>
      <c r="B103" s="66">
        <v>59745</v>
      </c>
      <c r="D103">
        <f t="shared" si="5"/>
        <v>58.733607282593738</v>
      </c>
      <c r="E103">
        <f t="shared" si="6"/>
        <v>58.733607282593738</v>
      </c>
      <c r="G103">
        <f t="shared" ca="1" si="7"/>
        <v>101</v>
      </c>
      <c r="H103">
        <f t="shared" ca="1" si="8"/>
        <v>5932.0943355419677</v>
      </c>
      <c r="I103">
        <f t="shared" ca="1" si="9"/>
        <v>38025.55341590452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52546</v>
      </c>
      <c r="B106" s="66">
        <v>52546</v>
      </c>
      <c r="D106">
        <f t="shared" si="5"/>
        <v>51.65647549202729</v>
      </c>
      <c r="E106">
        <f t="shared" si="6"/>
        <v>51.65647549202729</v>
      </c>
      <c r="G106">
        <f t="shared" ca="1" si="7"/>
        <v>104</v>
      </c>
      <c r="H106">
        <f t="shared" ca="1" si="8"/>
        <v>5372.2734511708386</v>
      </c>
      <c r="I106">
        <f t="shared" ca="1" si="9"/>
        <v>41794.804405435476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40673</v>
      </c>
      <c r="B108" s="66">
        <v>40673</v>
      </c>
      <c r="D108">
        <f t="shared" si="5"/>
        <v>39.984467470163779</v>
      </c>
      <c r="E108">
        <f t="shared" si="6"/>
        <v>39.984467470163779</v>
      </c>
      <c r="G108">
        <f t="shared" ca="1" si="7"/>
        <v>106</v>
      </c>
      <c r="H108">
        <f t="shared" ca="1" si="8"/>
        <v>4238.3535518373601</v>
      </c>
      <c r="I108">
        <f t="shared" ca="1" si="9"/>
        <v>37060.379792444306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40888</v>
      </c>
      <c r="B111" s="66">
        <v>40888</v>
      </c>
      <c r="D111">
        <f t="shared" si="5"/>
        <v>40.19582784451741</v>
      </c>
      <c r="E111">
        <f t="shared" si="6"/>
        <v>40.19582784451741</v>
      </c>
      <c r="G111">
        <f t="shared" ca="1" si="7"/>
        <v>109</v>
      </c>
      <c r="H111">
        <f t="shared" ca="1" si="8"/>
        <v>4381.3452350523976</v>
      </c>
      <c r="I111">
        <f t="shared" ca="1" si="9"/>
        <v>44960.504242843388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35746</v>
      </c>
      <c r="B113" s="66">
        <v>35746</v>
      </c>
      <c r="D113">
        <f t="shared" si="5"/>
        <v>35.140874147185464</v>
      </c>
      <c r="E113">
        <f t="shared" si="6"/>
        <v>35.140874147185464</v>
      </c>
      <c r="G113">
        <f t="shared" ca="1" si="7"/>
        <v>111</v>
      </c>
      <c r="H113">
        <f t="shared" ca="1" si="8"/>
        <v>3900.6370303375866</v>
      </c>
      <c r="I113">
        <f t="shared" ca="1" si="9"/>
        <v>44147.997150793301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29061</v>
      </c>
      <c r="B116" s="66">
        <v>29061</v>
      </c>
      <c r="D116">
        <f t="shared" si="5"/>
        <v>28.569041112050492</v>
      </c>
      <c r="E116">
        <f t="shared" si="6"/>
        <v>28.569041112050492</v>
      </c>
      <c r="G116">
        <f t="shared" ca="1" si="7"/>
        <v>114</v>
      </c>
      <c r="H116">
        <f t="shared" ca="1" si="8"/>
        <v>3256.870686773756</v>
      </c>
      <c r="I116">
        <f t="shared" ca="1" si="9"/>
        <v>42224.525418723228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27159</v>
      </c>
      <c r="B118" s="66">
        <v>27159</v>
      </c>
      <c r="D118">
        <f t="shared" si="5"/>
        <v>26.699239102652328</v>
      </c>
      <c r="E118">
        <f t="shared" si="6"/>
        <v>26.699239102652328</v>
      </c>
      <c r="G118">
        <f t="shared" ca="1" si="7"/>
        <v>116</v>
      </c>
      <c r="H118">
        <f t="shared" ca="1" si="8"/>
        <v>3097.1117359076702</v>
      </c>
      <c r="I118">
        <f t="shared" ca="1" si="9"/>
        <v>43673.547665590151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20477</v>
      </c>
      <c r="B121" s="66">
        <v>20477</v>
      </c>
      <c r="D121">
        <f t="shared" si="5"/>
        <v>20.130355282043215</v>
      </c>
      <c r="E121">
        <f t="shared" si="6"/>
        <v>20.130355282043215</v>
      </c>
      <c r="G121">
        <f t="shared" ca="1" si="7"/>
        <v>119</v>
      </c>
      <c r="H121">
        <f t="shared" ca="1" si="8"/>
        <v>2395.5122785631424</v>
      </c>
      <c r="I121">
        <f t="shared" ca="1" si="9"/>
        <v>37994.579943956429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18382</v>
      </c>
      <c r="B124" s="66">
        <v>18382</v>
      </c>
      <c r="D124">
        <f t="shared" si="5"/>
        <v>18.070820471481095</v>
      </c>
      <c r="E124">
        <f t="shared" si="6"/>
        <v>18.070820471481095</v>
      </c>
      <c r="G124">
        <f t="shared" ca="1" si="7"/>
        <v>122</v>
      </c>
      <c r="H124">
        <f t="shared" ca="1" si="8"/>
        <v>2204.6400975206934</v>
      </c>
      <c r="I124">
        <f t="shared" ca="1" si="9"/>
        <v>38980.465142799178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20124</v>
      </c>
      <c r="B126" s="66">
        <v>20124</v>
      </c>
      <c r="D126">
        <f t="shared" si="5"/>
        <v>19.783331039499814</v>
      </c>
      <c r="E126">
        <f t="shared" si="6"/>
        <v>19.783331039499814</v>
      </c>
      <c r="G126">
        <f t="shared" ca="1" si="7"/>
        <v>124</v>
      </c>
      <c r="H126">
        <f t="shared" ca="1" si="8"/>
        <v>2453.133048897977</v>
      </c>
      <c r="I126">
        <f t="shared" ca="1" si="9"/>
        <v>46428.955428304151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18115</v>
      </c>
      <c r="B129" s="66">
        <v>18115</v>
      </c>
      <c r="D129">
        <f t="shared" si="5"/>
        <v>17.808340378679144</v>
      </c>
      <c r="E129">
        <f t="shared" si="6"/>
        <v>17.808340378679144</v>
      </c>
      <c r="G129">
        <f t="shared" ca="1" si="7"/>
        <v>127</v>
      </c>
      <c r="H129">
        <f t="shared" ca="1" si="8"/>
        <v>2261.6592280922514</v>
      </c>
      <c r="I129">
        <f t="shared" ca="1" si="9"/>
        <v>47130.479321317223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17355</v>
      </c>
      <c r="B131" s="66">
        <v>17355</v>
      </c>
      <c r="D131">
        <f t="shared" ref="D131:D194" si="10">IFERROR( 100*A131/MAX(A$2:A$257), 0 )</f>
        <v>17.061206032126776</v>
      </c>
      <c r="E131">
        <f t="shared" ref="E131:E194" si="11">IFERROR( 100*B131/MAX(B$2:B$257), 0 )</f>
        <v>17.061206032126776</v>
      </c>
      <c r="G131">
        <f t="shared" ref="G131:G194" ca="1" si="12">CELL("row",D131)-2</f>
        <v>129</v>
      </c>
      <c r="H131">
        <f t="shared" ref="H131:H194" ca="1" si="13">D131*G131</f>
        <v>2200.8955781443542</v>
      </c>
      <c r="I131">
        <f t="shared" ref="I131:I194" ca="1" si="14">D131*((G131-$L$1)^2)</f>
        <v>48732.226362495239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14312</v>
      </c>
      <c r="B134" s="66">
        <v>14312</v>
      </c>
      <c r="D134">
        <f t="shared" si="10"/>
        <v>14.069719431391439</v>
      </c>
      <c r="E134">
        <f t="shared" si="11"/>
        <v>14.069719431391439</v>
      </c>
      <c r="G134">
        <f t="shared" ca="1" si="12"/>
        <v>132</v>
      </c>
      <c r="H134">
        <f t="shared" ca="1" si="13"/>
        <v>1857.2029649436699</v>
      </c>
      <c r="I134">
        <f t="shared" ca="1" si="14"/>
        <v>44825.914690059661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13105</v>
      </c>
      <c r="B136" s="66">
        <v>13105</v>
      </c>
      <c r="D136">
        <f t="shared" si="10"/>
        <v>12.883152120485244</v>
      </c>
      <c r="E136">
        <f t="shared" si="11"/>
        <v>12.883152120485244</v>
      </c>
      <c r="G136">
        <f t="shared" ca="1" si="12"/>
        <v>134</v>
      </c>
      <c r="H136">
        <f t="shared" ca="1" si="13"/>
        <v>1726.3423841450226</v>
      </c>
      <c r="I136">
        <f t="shared" ca="1" si="14"/>
        <v>44005.795544373803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13019</v>
      </c>
      <c r="B139" s="66">
        <v>13019</v>
      </c>
      <c r="D139">
        <f t="shared" si="10"/>
        <v>12.798607970743792</v>
      </c>
      <c r="E139">
        <f t="shared" si="11"/>
        <v>12.798607970743792</v>
      </c>
      <c r="G139">
        <f t="shared" ca="1" si="12"/>
        <v>137</v>
      </c>
      <c r="H139">
        <f t="shared" ca="1" si="13"/>
        <v>1753.4092919918994</v>
      </c>
      <c r="I139">
        <f t="shared" ca="1" si="14"/>
        <v>48320.25199914624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12409</v>
      </c>
      <c r="B142" s="66">
        <v>12409</v>
      </c>
      <c r="D142">
        <f t="shared" si="10"/>
        <v>12.198934350484654</v>
      </c>
      <c r="E142">
        <f t="shared" si="11"/>
        <v>12.198934350484654</v>
      </c>
      <c r="G142">
        <f t="shared" ca="1" si="12"/>
        <v>140</v>
      </c>
      <c r="H142">
        <f t="shared" ca="1" si="13"/>
        <v>1707.8508090678515</v>
      </c>
      <c r="I142">
        <f t="shared" ca="1" si="14"/>
        <v>50663.363198069317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11469</v>
      </c>
      <c r="B144" s="66">
        <v>11469</v>
      </c>
      <c r="D144">
        <f t="shared" si="10"/>
        <v>11.27484713238041</v>
      </c>
      <c r="E144">
        <f t="shared" si="11"/>
        <v>11.27484713238041</v>
      </c>
      <c r="G144">
        <f t="shared" ca="1" si="12"/>
        <v>142</v>
      </c>
      <c r="H144">
        <f t="shared" ca="1" si="13"/>
        <v>1601.0282927980181</v>
      </c>
      <c r="I144">
        <f t="shared" ca="1" si="14"/>
        <v>49777.047213103993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10020</v>
      </c>
      <c r="B147" s="66">
        <v>10020</v>
      </c>
      <c r="D147">
        <f t="shared" si="10"/>
        <v>9.8503765163878025</v>
      </c>
      <c r="E147">
        <f t="shared" si="11"/>
        <v>9.8503765163878025</v>
      </c>
      <c r="G147">
        <f t="shared" ca="1" si="12"/>
        <v>145</v>
      </c>
      <c r="H147">
        <f t="shared" ca="1" si="13"/>
        <v>1428.3045948762315</v>
      </c>
      <c r="I147">
        <f t="shared" ca="1" si="14"/>
        <v>47503.861903524463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9838</v>
      </c>
      <c r="B149" s="66">
        <v>9838</v>
      </c>
      <c r="D149">
        <f t="shared" si="10"/>
        <v>9.6714575018186828</v>
      </c>
      <c r="E149">
        <f t="shared" si="11"/>
        <v>9.6714575018186828</v>
      </c>
      <c r="G149">
        <f t="shared" ca="1" si="12"/>
        <v>147</v>
      </c>
      <c r="H149">
        <f t="shared" ca="1" si="13"/>
        <v>1421.7042527673464</v>
      </c>
      <c r="I149">
        <f t="shared" ca="1" si="14"/>
        <v>49366.222420859121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10775</v>
      </c>
      <c r="B152" s="66">
        <v>10775</v>
      </c>
      <c r="D152">
        <f t="shared" si="10"/>
        <v>10.592595505397062</v>
      </c>
      <c r="E152">
        <f t="shared" si="11"/>
        <v>10.592595505397062</v>
      </c>
      <c r="G152">
        <f t="shared" ca="1" si="12"/>
        <v>150</v>
      </c>
      <c r="H152">
        <f t="shared" ca="1" si="13"/>
        <v>1588.8893258095593</v>
      </c>
      <c r="I152">
        <f t="shared" ca="1" si="14"/>
        <v>58704.037768975737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9546</v>
      </c>
      <c r="B154" s="66">
        <v>9546</v>
      </c>
      <c r="D154">
        <f t="shared" si="10"/>
        <v>9.384400621301193</v>
      </c>
      <c r="E154">
        <f t="shared" si="11"/>
        <v>9.384400621301193</v>
      </c>
      <c r="G154">
        <f t="shared" ca="1" si="12"/>
        <v>152</v>
      </c>
      <c r="H154">
        <f t="shared" ca="1" si="13"/>
        <v>1426.4288944377813</v>
      </c>
      <c r="I154">
        <f t="shared" ca="1" si="14"/>
        <v>54840.242931466935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9146</v>
      </c>
      <c r="B157" s="66">
        <v>9146</v>
      </c>
      <c r="D157">
        <f t="shared" si="10"/>
        <v>8.9911720178525787</v>
      </c>
      <c r="E157">
        <f t="shared" si="11"/>
        <v>8.9911720178525787</v>
      </c>
      <c r="G157">
        <f t="shared" ca="1" si="12"/>
        <v>155</v>
      </c>
      <c r="H157">
        <f t="shared" ca="1" si="13"/>
        <v>1393.6316627671497</v>
      </c>
      <c r="I157">
        <f t="shared" ca="1" si="14"/>
        <v>56747.1829848915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8383</v>
      </c>
      <c r="B160" s="66">
        <v>8383</v>
      </c>
      <c r="D160">
        <f t="shared" si="10"/>
        <v>8.2410884567743459</v>
      </c>
      <c r="E160">
        <f t="shared" si="11"/>
        <v>8.2410884567743459</v>
      </c>
      <c r="G160">
        <f t="shared" ca="1" si="12"/>
        <v>158</v>
      </c>
      <c r="H160">
        <f t="shared" ca="1" si="13"/>
        <v>1302.0919761703467</v>
      </c>
      <c r="I160">
        <f t="shared" ca="1" si="14"/>
        <v>56015.506771380751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10284</v>
      </c>
      <c r="B162" s="66">
        <v>10284</v>
      </c>
      <c r="D162">
        <f t="shared" si="10"/>
        <v>10.109907394663887</v>
      </c>
      <c r="E162">
        <f t="shared" si="11"/>
        <v>10.109907394663887</v>
      </c>
      <c r="G162">
        <f t="shared" ca="1" si="12"/>
        <v>160</v>
      </c>
      <c r="H162">
        <f t="shared" ca="1" si="13"/>
        <v>1617.5851831462219</v>
      </c>
      <c r="I162">
        <f t="shared" ca="1" si="14"/>
        <v>72092.522862772632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10968</v>
      </c>
      <c r="B165" s="66">
        <v>10968</v>
      </c>
      <c r="D165">
        <f t="shared" si="10"/>
        <v>10.78232830656102</v>
      </c>
      <c r="E165">
        <f t="shared" si="11"/>
        <v>10.78232830656102</v>
      </c>
      <c r="G165">
        <f t="shared" ca="1" si="12"/>
        <v>163</v>
      </c>
      <c r="H165">
        <f t="shared" ca="1" si="13"/>
        <v>1757.5195139694463</v>
      </c>
      <c r="I165">
        <f t="shared" ca="1" si="14"/>
        <v>82447.56762726231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11426</v>
      </c>
      <c r="B167" s="66">
        <v>11426</v>
      </c>
      <c r="D167">
        <f t="shared" si="10"/>
        <v>11.232575057509683</v>
      </c>
      <c r="E167">
        <f t="shared" si="11"/>
        <v>11.232575057509683</v>
      </c>
      <c r="G167">
        <f t="shared" ca="1" si="12"/>
        <v>165</v>
      </c>
      <c r="H167">
        <f t="shared" ca="1" si="13"/>
        <v>1853.3748844890977</v>
      </c>
      <c r="I167">
        <f t="shared" ca="1" si="14"/>
        <v>89864.239335648032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7416</v>
      </c>
      <c r="B170" s="66">
        <v>7416</v>
      </c>
      <c r="D170">
        <f t="shared" si="10"/>
        <v>7.2904583079373193</v>
      </c>
      <c r="E170">
        <f t="shared" si="11"/>
        <v>7.2904583079373193</v>
      </c>
      <c r="G170">
        <f t="shared" ca="1" si="12"/>
        <v>168</v>
      </c>
      <c r="H170">
        <f t="shared" ca="1" si="13"/>
        <v>1224.7969957334697</v>
      </c>
      <c r="I170">
        <f t="shared" ca="1" si="14"/>
        <v>62304.192089617682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6602</v>
      </c>
      <c r="B173" s="66">
        <v>6602</v>
      </c>
      <c r="D173">
        <f t="shared" si="10"/>
        <v>6.490238099919388</v>
      </c>
      <c r="E173">
        <f t="shared" si="11"/>
        <v>6.490238099919388</v>
      </c>
      <c r="G173">
        <f t="shared" ca="1" si="12"/>
        <v>171</v>
      </c>
      <c r="H173">
        <f t="shared" ca="1" si="13"/>
        <v>1109.8307150862154</v>
      </c>
      <c r="I173">
        <f t="shared" ca="1" si="14"/>
        <v>59123.851493251103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6923</v>
      </c>
      <c r="B175" s="66">
        <v>6923</v>
      </c>
      <c r="D175">
        <f t="shared" si="10"/>
        <v>6.8058040541869014</v>
      </c>
      <c r="E175">
        <f t="shared" si="11"/>
        <v>6.8058040541869014</v>
      </c>
      <c r="G175">
        <f t="shared" ca="1" si="12"/>
        <v>173</v>
      </c>
      <c r="H175">
        <f t="shared" ca="1" si="13"/>
        <v>1177.404101374334</v>
      </c>
      <c r="I175">
        <f t="shared" ca="1" si="14"/>
        <v>64624.07980815108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7012</v>
      </c>
      <c r="B178" s="66">
        <v>7012</v>
      </c>
      <c r="D178">
        <f t="shared" si="10"/>
        <v>6.8932974184542184</v>
      </c>
      <c r="E178">
        <f t="shared" si="11"/>
        <v>6.8932974184542184</v>
      </c>
      <c r="G178">
        <f t="shared" ca="1" si="12"/>
        <v>176</v>
      </c>
      <c r="H178">
        <f t="shared" ca="1" si="13"/>
        <v>1213.2203456479424</v>
      </c>
      <c r="I178">
        <f t="shared" ca="1" si="14"/>
        <v>69547.191929058507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5547</v>
      </c>
      <c r="B180" s="66">
        <v>5547</v>
      </c>
      <c r="D180">
        <f t="shared" si="10"/>
        <v>5.4530976583236663</v>
      </c>
      <c r="E180">
        <f t="shared" si="11"/>
        <v>5.4530976583236663</v>
      </c>
      <c r="G180">
        <f t="shared" ca="1" si="12"/>
        <v>178</v>
      </c>
      <c r="H180">
        <f t="shared" ca="1" si="13"/>
        <v>970.65138318161257</v>
      </c>
      <c r="I180">
        <f t="shared" ca="1" si="14"/>
        <v>57229.615034771421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5131</v>
      </c>
      <c r="B183" s="66">
        <v>5131</v>
      </c>
      <c r="D183">
        <f t="shared" si="10"/>
        <v>5.0441399107371074</v>
      </c>
      <c r="E183">
        <f t="shared" si="11"/>
        <v>5.0441399107371074</v>
      </c>
      <c r="G183">
        <f t="shared" ca="1" si="12"/>
        <v>181</v>
      </c>
      <c r="H183">
        <f t="shared" ca="1" si="13"/>
        <v>912.9893238434164</v>
      </c>
      <c r="I183">
        <f t="shared" ca="1" si="14"/>
        <v>56083.516353068291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2673</v>
      </c>
      <c r="B185" s="66">
        <v>2673</v>
      </c>
      <c r="D185">
        <f t="shared" si="10"/>
        <v>2.6277501425453687</v>
      </c>
      <c r="E185">
        <f t="shared" si="11"/>
        <v>2.6277501425453687</v>
      </c>
      <c r="G185">
        <f t="shared" ca="1" si="12"/>
        <v>183</v>
      </c>
      <c r="H185">
        <f t="shared" ca="1" si="13"/>
        <v>480.87827608580244</v>
      </c>
      <c r="I185">
        <f t="shared" ca="1" si="14"/>
        <v>30335.607023592147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1768</v>
      </c>
      <c r="B188" s="66">
        <v>1768</v>
      </c>
      <c r="D188">
        <f t="shared" si="10"/>
        <v>1.7380704272428777</v>
      </c>
      <c r="E188">
        <f t="shared" si="11"/>
        <v>1.7380704272428777</v>
      </c>
      <c r="G188">
        <f t="shared" ca="1" si="12"/>
        <v>186</v>
      </c>
      <c r="H188">
        <f t="shared" ca="1" si="13"/>
        <v>323.28109946717524</v>
      </c>
      <c r="I188">
        <f t="shared" ca="1" si="14"/>
        <v>21200.973025172829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692</v>
      </c>
      <c r="B191" s="66">
        <v>692</v>
      </c>
      <c r="D191">
        <f t="shared" si="10"/>
        <v>0.68028548396610367</v>
      </c>
      <c r="E191">
        <f t="shared" si="11"/>
        <v>0.68028548396610367</v>
      </c>
      <c r="G191">
        <f t="shared" ca="1" si="12"/>
        <v>189</v>
      </c>
      <c r="H191">
        <f t="shared" ca="1" si="13"/>
        <v>128.57395646959358</v>
      </c>
      <c r="I191">
        <f t="shared" ca="1" si="14"/>
        <v>8755.0438341044901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384</v>
      </c>
      <c r="B193" s="66">
        <v>384</v>
      </c>
      <c r="D193">
        <f t="shared" si="10"/>
        <v>0.37749945931067025</v>
      </c>
      <c r="E193">
        <f t="shared" si="11"/>
        <v>0.37749945931067025</v>
      </c>
      <c r="G193">
        <f t="shared" ca="1" si="12"/>
        <v>191</v>
      </c>
      <c r="H193">
        <f t="shared" ca="1" si="13"/>
        <v>72.102396728338022</v>
      </c>
      <c r="I193">
        <f t="shared" ca="1" si="14"/>
        <v>5031.101212953633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252</v>
      </c>
      <c r="B196" s="66">
        <v>252</v>
      </c>
      <c r="D196">
        <f t="shared" si="15"/>
        <v>0.24773402017262736</v>
      </c>
      <c r="E196">
        <f t="shared" si="16"/>
        <v>0.24773402017262736</v>
      </c>
      <c r="G196">
        <f t="shared" ca="1" si="17"/>
        <v>194</v>
      </c>
      <c r="H196">
        <f t="shared" ca="1" si="18"/>
        <v>48.060399913489704</v>
      </c>
      <c r="I196">
        <f t="shared" ca="1" si="19"/>
        <v>3475.4870024123056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82.413887747198004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1.5912053296997337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0.7658031152314857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5390</v>
      </c>
      <c r="B8" s="66">
        <v>5390</v>
      </c>
      <c r="D8">
        <f t="shared" si="0"/>
        <v>6.4271490406973282</v>
      </c>
      <c r="E8">
        <f t="shared" si="1"/>
        <v>6.4271490406973282</v>
      </c>
      <c r="G8">
        <f t="shared" ca="1" si="2"/>
        <v>6</v>
      </c>
      <c r="H8">
        <f t="shared" ca="1" si="3"/>
        <v>38.562894244183965</v>
      </c>
      <c r="I8">
        <f t="shared" ca="1" si="4"/>
        <v>37528.651821491032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6929</v>
      </c>
      <c r="B10" s="66">
        <v>6929</v>
      </c>
      <c r="D10">
        <f t="shared" si="0"/>
        <v>8.262284917067122</v>
      </c>
      <c r="E10">
        <f t="shared" si="1"/>
        <v>8.262284917067122</v>
      </c>
      <c r="G10">
        <f t="shared" ca="1" si="2"/>
        <v>8</v>
      </c>
      <c r="H10">
        <f t="shared" ca="1" si="3"/>
        <v>66.098279336536976</v>
      </c>
      <c r="I10">
        <f t="shared" ca="1" si="4"/>
        <v>45751.797017281475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16005</v>
      </c>
      <c r="B13" s="66">
        <v>16005</v>
      </c>
      <c r="D13">
        <f t="shared" si="0"/>
        <v>19.084697661662474</v>
      </c>
      <c r="E13">
        <f t="shared" si="1"/>
        <v>19.084697661662474</v>
      </c>
      <c r="G13">
        <f t="shared" ca="1" si="2"/>
        <v>11</v>
      </c>
      <c r="H13">
        <f t="shared" ca="1" si="3"/>
        <v>209.93167427828723</v>
      </c>
      <c r="I13">
        <f t="shared" ca="1" si="4"/>
        <v>97330.877177690054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16909</v>
      </c>
      <c r="B15" s="66">
        <v>16909</v>
      </c>
      <c r="D15">
        <f t="shared" si="0"/>
        <v>20.162646220621728</v>
      </c>
      <c r="E15">
        <f t="shared" si="1"/>
        <v>20.162646220621728</v>
      </c>
      <c r="G15">
        <f t="shared" ca="1" si="2"/>
        <v>13</v>
      </c>
      <c r="H15">
        <f t="shared" ca="1" si="3"/>
        <v>262.11440086808244</v>
      </c>
      <c r="I15">
        <f t="shared" ca="1" si="4"/>
        <v>97149.432546131007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26082</v>
      </c>
      <c r="B18" s="66">
        <v>26082</v>
      </c>
      <c r="D18">
        <f t="shared" si="0"/>
        <v>31.100723799530186</v>
      </c>
      <c r="E18">
        <f t="shared" si="1"/>
        <v>31.100723799530186</v>
      </c>
      <c r="G18">
        <f t="shared" ca="1" si="2"/>
        <v>16</v>
      </c>
      <c r="H18">
        <f t="shared" ca="1" si="3"/>
        <v>497.61158079248298</v>
      </c>
      <c r="I18">
        <f t="shared" ca="1" si="4"/>
        <v>137179.21204340417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36408</v>
      </c>
      <c r="B21" s="66">
        <v>36408</v>
      </c>
      <c r="D21">
        <f t="shared" si="0"/>
        <v>43.413662759500617</v>
      </c>
      <c r="E21">
        <f t="shared" si="1"/>
        <v>43.413662759500617</v>
      </c>
      <c r="G21">
        <f t="shared" ca="1" si="2"/>
        <v>19</v>
      </c>
      <c r="H21">
        <f t="shared" ca="1" si="3"/>
        <v>824.85959243051173</v>
      </c>
      <c r="I21">
        <f t="shared" ca="1" si="4"/>
        <v>174580.28065377063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42249</v>
      </c>
      <c r="B23" s="66">
        <v>42249</v>
      </c>
      <c r="D23">
        <f t="shared" si="0"/>
        <v>50.37859365870527</v>
      </c>
      <c r="E23">
        <f t="shared" si="1"/>
        <v>50.37859365870527</v>
      </c>
      <c r="G23">
        <f t="shared" ca="1" si="2"/>
        <v>21</v>
      </c>
      <c r="H23">
        <f t="shared" ca="1" si="3"/>
        <v>1057.9504668328107</v>
      </c>
      <c r="I23">
        <f t="shared" ca="1" si="4"/>
        <v>190011.20909330275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53710</v>
      </c>
      <c r="B26" s="66">
        <v>53710</v>
      </c>
      <c r="D26">
        <f t="shared" si="0"/>
        <v>64.044930422236263</v>
      </c>
      <c r="E26">
        <f t="shared" si="1"/>
        <v>64.044930422236263</v>
      </c>
      <c r="G26">
        <f t="shared" ca="1" si="2"/>
        <v>24</v>
      </c>
      <c r="H26">
        <f t="shared" ca="1" si="3"/>
        <v>1537.0783301336703</v>
      </c>
      <c r="I26">
        <f t="shared" ca="1" si="4"/>
        <v>218532.9768221697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44590</v>
      </c>
      <c r="B28" s="66">
        <v>44590</v>
      </c>
      <c r="D28">
        <f t="shared" si="0"/>
        <v>53.170051154859713</v>
      </c>
      <c r="E28">
        <f t="shared" si="1"/>
        <v>53.170051154859713</v>
      </c>
      <c r="G28">
        <f t="shared" ca="1" si="2"/>
        <v>26</v>
      </c>
      <c r="H28">
        <f t="shared" ca="1" si="3"/>
        <v>1382.4213300263525</v>
      </c>
      <c r="I28">
        <f t="shared" ca="1" si="4"/>
        <v>169215.10907586978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47380</v>
      </c>
      <c r="B31" s="66">
        <v>47380</v>
      </c>
      <c r="D31">
        <f t="shared" si="0"/>
        <v>56.496905667576883</v>
      </c>
      <c r="E31">
        <f t="shared" si="1"/>
        <v>56.496905667576883</v>
      </c>
      <c r="G31">
        <f t="shared" ca="1" si="2"/>
        <v>29</v>
      </c>
      <c r="H31">
        <f t="shared" ca="1" si="3"/>
        <v>1638.4102643597296</v>
      </c>
      <c r="I31">
        <f t="shared" ca="1" si="4"/>
        <v>161188.12407655982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40288</v>
      </c>
      <c r="B33" s="66">
        <v>40288</v>
      </c>
      <c r="D33">
        <f t="shared" si="0"/>
        <v>48.040256132024851</v>
      </c>
      <c r="E33">
        <f t="shared" si="1"/>
        <v>48.040256132024851</v>
      </c>
      <c r="G33">
        <f t="shared" ca="1" si="2"/>
        <v>31</v>
      </c>
      <c r="H33">
        <f t="shared" ca="1" si="3"/>
        <v>1489.2479400927705</v>
      </c>
      <c r="I33">
        <f t="shared" ca="1" si="4"/>
        <v>126989.02952792548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41865</v>
      </c>
      <c r="B36" s="66">
        <v>41865</v>
      </c>
      <c r="D36">
        <f t="shared" si="0"/>
        <v>49.920704005342046</v>
      </c>
      <c r="E36">
        <f t="shared" si="1"/>
        <v>49.920704005342046</v>
      </c>
      <c r="G36">
        <f t="shared" ca="1" si="2"/>
        <v>34</v>
      </c>
      <c r="H36">
        <f t="shared" ca="1" si="3"/>
        <v>1697.3039361816295</v>
      </c>
      <c r="I36">
        <f t="shared" ca="1" si="4"/>
        <v>117009.36409907871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43240</v>
      </c>
      <c r="B39" s="66">
        <v>43240</v>
      </c>
      <c r="D39">
        <f t="shared" si="0"/>
        <v>51.56028284225463</v>
      </c>
      <c r="E39">
        <f t="shared" si="1"/>
        <v>51.56028284225463</v>
      </c>
      <c r="G39">
        <f t="shared" ca="1" si="2"/>
        <v>37</v>
      </c>
      <c r="H39">
        <f t="shared" ca="1" si="3"/>
        <v>1907.7304651634213</v>
      </c>
      <c r="I39">
        <f t="shared" ca="1" si="4"/>
        <v>106339.0204281089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46057</v>
      </c>
      <c r="B41" s="66">
        <v>46057</v>
      </c>
      <c r="D41">
        <f t="shared" si="0"/>
        <v>54.919332721223903</v>
      </c>
      <c r="E41">
        <f t="shared" si="1"/>
        <v>54.919332721223903</v>
      </c>
      <c r="G41">
        <f t="shared" ca="1" si="2"/>
        <v>39</v>
      </c>
      <c r="H41">
        <f t="shared" ca="1" si="3"/>
        <v>2141.853976127732</v>
      </c>
      <c r="I41">
        <f t="shared" ca="1" si="4"/>
        <v>103510.07179688517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52384</v>
      </c>
      <c r="B44" s="66">
        <v>52384</v>
      </c>
      <c r="D44">
        <f t="shared" si="0"/>
        <v>62.463780212966384</v>
      </c>
      <c r="E44">
        <f t="shared" si="1"/>
        <v>62.463780212966384</v>
      </c>
      <c r="G44">
        <f t="shared" ca="1" si="2"/>
        <v>42</v>
      </c>
      <c r="H44">
        <f t="shared" ca="1" si="3"/>
        <v>2623.478768944588</v>
      </c>
      <c r="I44">
        <f t="shared" ca="1" si="4"/>
        <v>102020.98803979591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55513</v>
      </c>
      <c r="B46" s="66">
        <v>55513</v>
      </c>
      <c r="D46">
        <f t="shared" si="0"/>
        <v>66.194865435293281</v>
      </c>
      <c r="E46">
        <f t="shared" si="1"/>
        <v>66.194865435293281</v>
      </c>
      <c r="G46">
        <f t="shared" ca="1" si="2"/>
        <v>44</v>
      </c>
      <c r="H46">
        <f t="shared" ca="1" si="3"/>
        <v>2912.5740791529042</v>
      </c>
      <c r="I46">
        <f t="shared" ca="1" si="4"/>
        <v>97678.915595613522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53318</v>
      </c>
      <c r="B49" s="66">
        <v>53318</v>
      </c>
      <c r="D49">
        <f t="shared" si="0"/>
        <v>63.577501401094644</v>
      </c>
      <c r="E49">
        <f t="shared" si="1"/>
        <v>63.577501401094644</v>
      </c>
      <c r="G49">
        <f t="shared" ca="1" si="2"/>
        <v>47</v>
      </c>
      <c r="H49">
        <f t="shared" ca="1" si="3"/>
        <v>2988.1425658514481</v>
      </c>
      <c r="I49">
        <f t="shared" ca="1" si="4"/>
        <v>79735.306655257373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63913</v>
      </c>
      <c r="B51" s="66">
        <v>63913</v>
      </c>
      <c r="D51">
        <f t="shared" si="0"/>
        <v>76.211201602613784</v>
      </c>
      <c r="E51">
        <f t="shared" si="1"/>
        <v>76.211201602613784</v>
      </c>
      <c r="G51">
        <f t="shared" ca="1" si="2"/>
        <v>49</v>
      </c>
      <c r="H51">
        <f t="shared" ca="1" si="3"/>
        <v>3734.3488785280756</v>
      </c>
      <c r="I51">
        <f t="shared" ca="1" si="4"/>
        <v>85088.884005650965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66418</v>
      </c>
      <c r="B54" s="66">
        <v>66418</v>
      </c>
      <c r="D54">
        <f t="shared" si="0"/>
        <v>79.198216138225433</v>
      </c>
      <c r="E54">
        <f t="shared" si="1"/>
        <v>79.198216138225433</v>
      </c>
      <c r="G54">
        <f t="shared" ca="1" si="2"/>
        <v>52</v>
      </c>
      <c r="H54">
        <f t="shared" ca="1" si="3"/>
        <v>4118.3072391877222</v>
      </c>
      <c r="I54">
        <f t="shared" ca="1" si="4"/>
        <v>73258.711697323568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65212</v>
      </c>
      <c r="B57" s="66">
        <v>65212</v>
      </c>
      <c r="D57">
        <f t="shared" si="0"/>
        <v>77.760156445631566</v>
      </c>
      <c r="E57">
        <f t="shared" si="1"/>
        <v>77.760156445631566</v>
      </c>
      <c r="G57">
        <f t="shared" ca="1" si="2"/>
        <v>55</v>
      </c>
      <c r="H57">
        <f t="shared" ca="1" si="3"/>
        <v>4276.8086045097361</v>
      </c>
      <c r="I57">
        <f t="shared" ca="1" si="4"/>
        <v>58438.409304721303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64796</v>
      </c>
      <c r="B59" s="66">
        <v>64796</v>
      </c>
      <c r="D59">
        <f t="shared" si="0"/>
        <v>77.264109321154734</v>
      </c>
      <c r="E59">
        <f t="shared" si="1"/>
        <v>77.264109321154734</v>
      </c>
      <c r="G59">
        <f t="shared" ca="1" si="2"/>
        <v>57</v>
      </c>
      <c r="H59">
        <f t="shared" ca="1" si="3"/>
        <v>4404.0542313058195</v>
      </c>
      <c r="I59">
        <f t="shared" ca="1" si="4"/>
        <v>49902.237311948782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70532</v>
      </c>
      <c r="B62" s="66">
        <v>70532</v>
      </c>
      <c r="D62">
        <f t="shared" si="0"/>
        <v>84.103836018267884</v>
      </c>
      <c r="E62">
        <f t="shared" si="1"/>
        <v>84.103836018267884</v>
      </c>
      <c r="G62">
        <f t="shared" ca="1" si="2"/>
        <v>60</v>
      </c>
      <c r="H62">
        <f t="shared" ca="1" si="3"/>
        <v>5046.2301610960731</v>
      </c>
      <c r="I62">
        <f t="shared" ca="1" si="4"/>
        <v>42252.283955615349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70447</v>
      </c>
      <c r="B64" s="66">
        <v>70447</v>
      </c>
      <c r="D64">
        <f t="shared" si="0"/>
        <v>84.002480235622386</v>
      </c>
      <c r="E64">
        <f t="shared" si="1"/>
        <v>84.002480235622386</v>
      </c>
      <c r="G64">
        <f t="shared" ca="1" si="2"/>
        <v>62</v>
      </c>
      <c r="H64">
        <f t="shared" ca="1" si="3"/>
        <v>5208.1537746085878</v>
      </c>
      <c r="I64">
        <f t="shared" ca="1" si="4"/>
        <v>35006.085868923161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81823</v>
      </c>
      <c r="B67" s="66">
        <v>81823</v>
      </c>
      <c r="D67">
        <f t="shared" ref="D67:D130" si="5">IFERROR(100*A67/MAX(A$2:A$257), 0 )</f>
        <v>97.56746121650788</v>
      </c>
      <c r="E67">
        <f t="shared" ref="E67:E130" si="6">IFERROR(100*B67/MAX(B$2:B$257), 0 )</f>
        <v>97.56746121650788</v>
      </c>
      <c r="G67">
        <f t="shared" ref="G67:G130" ca="1" si="7">CELL("row",D67)-2</f>
        <v>65</v>
      </c>
      <c r="H67">
        <f t="shared" ref="H67:H130" ca="1" si="8">D67*G67</f>
        <v>6341.8849790730119</v>
      </c>
      <c r="I67">
        <f t="shared" ref="I67:I130" ca="1" si="9">D67*((G67-$L$1)^2)</f>
        <v>29586.697105516738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83863</v>
      </c>
      <c r="B69" s="66">
        <v>83863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23758.793548322075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81928</v>
      </c>
      <c r="B72" s="66">
        <v>81928</v>
      </c>
      <c r="D72">
        <f t="shared" si="5"/>
        <v>97.692665418599375</v>
      </c>
      <c r="E72">
        <f t="shared" si="6"/>
        <v>97.692665418599375</v>
      </c>
      <c r="G72">
        <f t="shared" ca="1" si="7"/>
        <v>70</v>
      </c>
      <c r="H72">
        <f t="shared" ca="1" si="8"/>
        <v>6838.4865793019562</v>
      </c>
      <c r="I72">
        <f t="shared" ca="1" si="9"/>
        <v>15054.890006504274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78665</v>
      </c>
      <c r="B75" s="66">
        <v>78665</v>
      </c>
      <c r="D75">
        <f t="shared" si="5"/>
        <v>93.801795785984282</v>
      </c>
      <c r="E75">
        <f t="shared" si="6"/>
        <v>93.801795785984282</v>
      </c>
      <c r="G75">
        <f t="shared" ca="1" si="7"/>
        <v>73</v>
      </c>
      <c r="H75">
        <f t="shared" ca="1" si="8"/>
        <v>6847.5310923768529</v>
      </c>
      <c r="I75">
        <f t="shared" ca="1" si="9"/>
        <v>8312.8354449370854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73868</v>
      </c>
      <c r="B77" s="66">
        <v>73868</v>
      </c>
      <c r="D77">
        <f t="shared" si="5"/>
        <v>88.081752381860895</v>
      </c>
      <c r="E77">
        <f t="shared" si="6"/>
        <v>88.081752381860895</v>
      </c>
      <c r="G77">
        <f t="shared" ca="1" si="7"/>
        <v>75</v>
      </c>
      <c r="H77">
        <f t="shared" ca="1" si="8"/>
        <v>6606.1314286395673</v>
      </c>
      <c r="I77">
        <f t="shared" ca="1" si="9"/>
        <v>4841.4779539417814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69718</v>
      </c>
      <c r="B80" s="66">
        <v>69718</v>
      </c>
      <c r="D80">
        <f t="shared" si="5"/>
        <v>83.133205346815643</v>
      </c>
      <c r="E80">
        <f t="shared" si="6"/>
        <v>83.133205346815643</v>
      </c>
      <c r="G80">
        <f t="shared" ca="1" si="7"/>
        <v>78</v>
      </c>
      <c r="H80">
        <f t="shared" ca="1" si="8"/>
        <v>6484.3900170516199</v>
      </c>
      <c r="I80">
        <f t="shared" ca="1" si="9"/>
        <v>1619.6347792445717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73470</v>
      </c>
      <c r="B82" s="66">
        <v>73470</v>
      </c>
      <c r="D82">
        <f t="shared" si="5"/>
        <v>87.607168834885471</v>
      </c>
      <c r="E82">
        <f t="shared" si="6"/>
        <v>87.607168834885471</v>
      </c>
      <c r="G82">
        <f t="shared" ca="1" si="7"/>
        <v>80</v>
      </c>
      <c r="H82">
        <f t="shared" ca="1" si="8"/>
        <v>7008.5735067908372</v>
      </c>
      <c r="I82">
        <f t="shared" ca="1" si="9"/>
        <v>510.4741870665942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68419</v>
      </c>
      <c r="B85" s="66">
        <v>68419</v>
      </c>
      <c r="D85">
        <f t="shared" si="5"/>
        <v>81.584250503797861</v>
      </c>
      <c r="E85">
        <f t="shared" si="6"/>
        <v>81.584250503797861</v>
      </c>
      <c r="G85">
        <f t="shared" ca="1" si="7"/>
        <v>83</v>
      </c>
      <c r="H85">
        <f t="shared" ca="1" si="8"/>
        <v>6771.4927918152225</v>
      </c>
      <c r="I85">
        <f t="shared" ca="1" si="9"/>
        <v>28.026439561181419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72681</v>
      </c>
      <c r="B88" s="66">
        <v>72681</v>
      </c>
      <c r="D88">
        <f t="shared" si="5"/>
        <v>86.666348687740722</v>
      </c>
      <c r="E88">
        <f t="shared" si="6"/>
        <v>86.666348687740722</v>
      </c>
      <c r="G88">
        <f t="shared" ca="1" si="7"/>
        <v>86</v>
      </c>
      <c r="H88">
        <f t="shared" ca="1" si="8"/>
        <v>7453.3059871457017</v>
      </c>
      <c r="I88">
        <f t="shared" ca="1" si="9"/>
        <v>1114.5466718341095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70222</v>
      </c>
      <c r="B90" s="66">
        <v>70222</v>
      </c>
      <c r="D90">
        <f t="shared" si="5"/>
        <v>83.734185516854865</v>
      </c>
      <c r="E90">
        <f t="shared" si="6"/>
        <v>83.734185516854865</v>
      </c>
      <c r="G90">
        <f t="shared" ca="1" si="7"/>
        <v>88</v>
      </c>
      <c r="H90">
        <f t="shared" ca="1" si="8"/>
        <v>7368.6083254832283</v>
      </c>
      <c r="I90">
        <f t="shared" ca="1" si="9"/>
        <v>2612.895960537689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75681</v>
      </c>
      <c r="B93" s="66">
        <v>75681</v>
      </c>
      <c r="D93">
        <f t="shared" si="5"/>
        <v>90.243611604640904</v>
      </c>
      <c r="E93">
        <f t="shared" si="6"/>
        <v>90.243611604640904</v>
      </c>
      <c r="G93">
        <f t="shared" ca="1" si="7"/>
        <v>91</v>
      </c>
      <c r="H93">
        <f t="shared" ca="1" si="8"/>
        <v>8212.1686560223225</v>
      </c>
      <c r="I93">
        <f t="shared" ca="1" si="9"/>
        <v>6652.8784955372539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79077</v>
      </c>
      <c r="B95" s="66">
        <v>79077</v>
      </c>
      <c r="D95">
        <f t="shared" si="5"/>
        <v>94.293073226571906</v>
      </c>
      <c r="E95">
        <f t="shared" si="6"/>
        <v>94.293073226571906</v>
      </c>
      <c r="G95">
        <f t="shared" ca="1" si="7"/>
        <v>93</v>
      </c>
      <c r="H95">
        <f t="shared" ca="1" si="8"/>
        <v>8769.2558100711867</v>
      </c>
      <c r="I95">
        <f t="shared" ca="1" si="9"/>
        <v>10567.02610469154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76292</v>
      </c>
      <c r="B98" s="66">
        <v>76292</v>
      </c>
      <c r="D98">
        <f t="shared" si="5"/>
        <v>90.97218081871624</v>
      </c>
      <c r="E98">
        <f t="shared" si="6"/>
        <v>90.97218081871624</v>
      </c>
      <c r="G98">
        <f t="shared" ca="1" si="7"/>
        <v>96</v>
      </c>
      <c r="H98">
        <f t="shared" ca="1" si="8"/>
        <v>8733.3293585967585</v>
      </c>
      <c r="I98">
        <f t="shared" ca="1" si="9"/>
        <v>16791.867666730897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74356</v>
      </c>
      <c r="B100" s="66">
        <v>74356</v>
      </c>
      <c r="D100">
        <f t="shared" si="5"/>
        <v>88.663653816343327</v>
      </c>
      <c r="E100">
        <f t="shared" si="6"/>
        <v>88.663653816343327</v>
      </c>
      <c r="G100">
        <f t="shared" ca="1" si="7"/>
        <v>98</v>
      </c>
      <c r="H100">
        <f t="shared" ca="1" si="8"/>
        <v>8689.0380740016462</v>
      </c>
      <c r="I100">
        <f t="shared" ca="1" si="9"/>
        <v>21538.786134874459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75495</v>
      </c>
      <c r="B103" s="66">
        <v>75495</v>
      </c>
      <c r="D103">
        <f t="shared" si="5"/>
        <v>90.021821303793089</v>
      </c>
      <c r="E103">
        <f t="shared" si="6"/>
        <v>90.021821303793089</v>
      </c>
      <c r="G103">
        <f t="shared" ca="1" si="7"/>
        <v>101</v>
      </c>
      <c r="H103">
        <f t="shared" ca="1" si="8"/>
        <v>9092.2039516831028</v>
      </c>
      <c r="I103">
        <f t="shared" ca="1" si="9"/>
        <v>31097.459209693483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67924</v>
      </c>
      <c r="B106" s="66">
        <v>67924</v>
      </c>
      <c r="D106">
        <f t="shared" si="5"/>
        <v>80.994002122509329</v>
      </c>
      <c r="E106">
        <f t="shared" si="6"/>
        <v>80.994002122509329</v>
      </c>
      <c r="G106">
        <f t="shared" ca="1" si="7"/>
        <v>104</v>
      </c>
      <c r="H106">
        <f t="shared" ca="1" si="8"/>
        <v>8423.3762207409709</v>
      </c>
      <c r="I106">
        <f t="shared" ca="1" si="9"/>
        <v>37739.984844987863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67443</v>
      </c>
      <c r="B108" s="66">
        <v>67443</v>
      </c>
      <c r="D108">
        <f t="shared" si="5"/>
        <v>80.420447634832996</v>
      </c>
      <c r="E108">
        <f t="shared" si="6"/>
        <v>80.420447634832996</v>
      </c>
      <c r="G108">
        <f t="shared" ca="1" si="7"/>
        <v>106</v>
      </c>
      <c r="H108">
        <f t="shared" ca="1" si="8"/>
        <v>8524.5674492922972</v>
      </c>
      <c r="I108">
        <f t="shared" ca="1" si="9"/>
        <v>44738.272287804401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59176</v>
      </c>
      <c r="B111" s="66">
        <v>59176</v>
      </c>
      <c r="D111">
        <f t="shared" si="5"/>
        <v>70.562703456828402</v>
      </c>
      <c r="E111">
        <f t="shared" si="6"/>
        <v>70.562703456828402</v>
      </c>
      <c r="G111">
        <f t="shared" ca="1" si="7"/>
        <v>109</v>
      </c>
      <c r="H111">
        <f t="shared" ca="1" si="8"/>
        <v>7691.3346767942958</v>
      </c>
      <c r="I111">
        <f t="shared" ca="1" si="9"/>
        <v>49875.226355588515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58016</v>
      </c>
      <c r="B113" s="66">
        <v>58016</v>
      </c>
      <c r="D113">
        <f t="shared" si="5"/>
        <v>69.179495128960326</v>
      </c>
      <c r="E113">
        <f t="shared" si="6"/>
        <v>69.179495128960326</v>
      </c>
      <c r="G113">
        <f t="shared" ca="1" si="7"/>
        <v>111</v>
      </c>
      <c r="H113">
        <f t="shared" ca="1" si="8"/>
        <v>7678.9239593145958</v>
      </c>
      <c r="I113">
        <f t="shared" ca="1" si="9"/>
        <v>56531.118430473354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51510</v>
      </c>
      <c r="B116" s="66">
        <v>51510</v>
      </c>
      <c r="D116">
        <f t="shared" si="5"/>
        <v>61.42160428317613</v>
      </c>
      <c r="E116">
        <f t="shared" si="6"/>
        <v>61.42160428317613</v>
      </c>
      <c r="G116">
        <f t="shared" ca="1" si="7"/>
        <v>114</v>
      </c>
      <c r="H116">
        <f t="shared" ca="1" si="8"/>
        <v>7002.0628882820793</v>
      </c>
      <c r="I116">
        <f t="shared" ca="1" si="9"/>
        <v>61279.258931916098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49077</v>
      </c>
      <c r="B118" s="66">
        <v>49077</v>
      </c>
      <c r="D118">
        <f t="shared" si="5"/>
        <v>58.520444057570081</v>
      </c>
      <c r="E118">
        <f t="shared" si="6"/>
        <v>58.520444057570081</v>
      </c>
      <c r="G118">
        <f t="shared" ca="1" si="7"/>
        <v>116</v>
      </c>
      <c r="H118">
        <f t="shared" ca="1" si="8"/>
        <v>6788.3715106781292</v>
      </c>
      <c r="I118">
        <f t="shared" ca="1" si="9"/>
        <v>66012.637218707721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40009</v>
      </c>
      <c r="B121" s="66">
        <v>40009</v>
      </c>
      <c r="D121">
        <f t="shared" si="5"/>
        <v>47.707570680753136</v>
      </c>
      <c r="E121">
        <f t="shared" si="6"/>
        <v>47.707570680753136</v>
      </c>
      <c r="G121">
        <f t="shared" ca="1" si="7"/>
        <v>119</v>
      </c>
      <c r="H121">
        <f t="shared" ca="1" si="8"/>
        <v>5677.2009110096233</v>
      </c>
      <c r="I121">
        <f t="shared" ca="1" si="9"/>
        <v>63858.663872593526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34840</v>
      </c>
      <c r="B124" s="66">
        <v>34840</v>
      </c>
      <c r="D124">
        <f t="shared" si="5"/>
        <v>41.543946674934119</v>
      </c>
      <c r="E124">
        <f t="shared" si="6"/>
        <v>41.543946674934119</v>
      </c>
      <c r="G124">
        <f t="shared" ca="1" si="7"/>
        <v>122</v>
      </c>
      <c r="H124">
        <f t="shared" ca="1" si="8"/>
        <v>5068.3614943419625</v>
      </c>
      <c r="I124">
        <f t="shared" ca="1" si="9"/>
        <v>65101.86884546675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31653</v>
      </c>
      <c r="B126" s="66">
        <v>31653</v>
      </c>
      <c r="D126">
        <f t="shared" si="5"/>
        <v>37.743701036213828</v>
      </c>
      <c r="E126">
        <f t="shared" si="6"/>
        <v>37.743701036213828</v>
      </c>
      <c r="G126">
        <f t="shared" ca="1" si="7"/>
        <v>124</v>
      </c>
      <c r="H126">
        <f t="shared" ca="1" si="8"/>
        <v>4680.2189284905144</v>
      </c>
      <c r="I126">
        <f t="shared" ca="1" si="9"/>
        <v>65274.135186644569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28382</v>
      </c>
      <c r="B129" s="66">
        <v>28382</v>
      </c>
      <c r="D129">
        <f t="shared" si="5"/>
        <v>33.843292035820326</v>
      </c>
      <c r="E129">
        <f t="shared" si="6"/>
        <v>33.843292035820326</v>
      </c>
      <c r="G129">
        <f t="shared" ca="1" si="7"/>
        <v>127</v>
      </c>
      <c r="H129">
        <f t="shared" ca="1" si="8"/>
        <v>4298.0980885491817</v>
      </c>
      <c r="I129">
        <f t="shared" ca="1" si="9"/>
        <v>67277.804681406487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26617</v>
      </c>
      <c r="B131" s="66">
        <v>26617</v>
      </c>
      <c r="D131">
        <f t="shared" ref="D131:D194" si="10">IFERROR(100*A131/MAX(A$2:A$257), 0 )</f>
        <v>31.73866901971072</v>
      </c>
      <c r="E131">
        <f t="shared" ref="E131:E194" si="11">IFERROR(100*B131/MAX(B$2:B$257), 0 )</f>
        <v>31.73866901971072</v>
      </c>
      <c r="G131">
        <f t="shared" ref="G131:G194" ca="1" si="12">CELL("row",D131)-2</f>
        <v>129</v>
      </c>
      <c r="H131">
        <f t="shared" ref="H131:H194" ca="1" si="13">D131*G131</f>
        <v>4094.288303542683</v>
      </c>
      <c r="I131">
        <f t="shared" ref="I131:I194" ca="1" si="14">D131*((G131-$L$1)^2)</f>
        <v>68881.34965125013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25063</v>
      </c>
      <c r="B134" s="66">
        <v>25063</v>
      </c>
      <c r="D134">
        <f t="shared" si="10"/>
        <v>29.885646828756425</v>
      </c>
      <c r="E134">
        <f t="shared" si="11"/>
        <v>29.885646828756425</v>
      </c>
      <c r="G134">
        <f t="shared" ca="1" si="12"/>
        <v>132</v>
      </c>
      <c r="H134">
        <f t="shared" ca="1" si="13"/>
        <v>3944.9053813958481</v>
      </c>
      <c r="I134">
        <f t="shared" ca="1" si="14"/>
        <v>73482.306270909583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22438</v>
      </c>
      <c r="B136" s="66">
        <v>22438</v>
      </c>
      <c r="D136">
        <f t="shared" si="10"/>
        <v>26.755541776468764</v>
      </c>
      <c r="E136">
        <f t="shared" si="11"/>
        <v>26.755541776468764</v>
      </c>
      <c r="G136">
        <f t="shared" ca="1" si="12"/>
        <v>134</v>
      </c>
      <c r="H136">
        <f t="shared" ca="1" si="13"/>
        <v>3585.2425980468142</v>
      </c>
      <c r="I136">
        <f t="shared" ca="1" si="14"/>
        <v>71199.894015208425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22371</v>
      </c>
      <c r="B139" s="66">
        <v>22371</v>
      </c>
      <c r="D139">
        <f t="shared" si="10"/>
        <v>26.675649571324662</v>
      </c>
      <c r="E139">
        <f t="shared" si="11"/>
        <v>26.675649571324662</v>
      </c>
      <c r="G139">
        <f t="shared" ca="1" si="12"/>
        <v>137</v>
      </c>
      <c r="H139">
        <f t="shared" ca="1" si="13"/>
        <v>3654.5639912714787</v>
      </c>
      <c r="I139">
        <f t="shared" ca="1" si="14"/>
        <v>79483.929878177281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21420</v>
      </c>
      <c r="B142" s="66">
        <v>21420</v>
      </c>
      <c r="D142">
        <f t="shared" si="10"/>
        <v>25.541657226667304</v>
      </c>
      <c r="E142">
        <f t="shared" si="11"/>
        <v>25.541657226667304</v>
      </c>
      <c r="G142">
        <f t="shared" ca="1" si="12"/>
        <v>140</v>
      </c>
      <c r="H142">
        <f t="shared" ca="1" si="13"/>
        <v>3575.8320117334224</v>
      </c>
      <c r="I142">
        <f t="shared" ca="1" si="14"/>
        <v>84700.230314302302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18973</v>
      </c>
      <c r="B144" s="66">
        <v>18973</v>
      </c>
      <c r="D144">
        <f t="shared" si="10"/>
        <v>22.623803107449053</v>
      </c>
      <c r="E144">
        <f t="shared" si="11"/>
        <v>22.623803107449053</v>
      </c>
      <c r="G144">
        <f t="shared" ca="1" si="12"/>
        <v>142</v>
      </c>
      <c r="H144">
        <f t="shared" ca="1" si="13"/>
        <v>3212.5800412577655</v>
      </c>
      <c r="I144">
        <f t="shared" ca="1" si="14"/>
        <v>80325.920925539249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20678</v>
      </c>
      <c r="B147" s="66">
        <v>20678</v>
      </c>
      <c r="D147">
        <f t="shared" si="10"/>
        <v>24.656880865220657</v>
      </c>
      <c r="E147">
        <f t="shared" si="11"/>
        <v>24.656880865220657</v>
      </c>
      <c r="G147">
        <f t="shared" ca="1" si="12"/>
        <v>145</v>
      </c>
      <c r="H147">
        <f t="shared" ca="1" si="13"/>
        <v>3575.2477254569953</v>
      </c>
      <c r="I147">
        <f t="shared" ca="1" si="14"/>
        <v>96581.531163228865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18868</v>
      </c>
      <c r="B149" s="66">
        <v>18868</v>
      </c>
      <c r="D149">
        <f t="shared" si="10"/>
        <v>22.498598905357547</v>
      </c>
      <c r="E149">
        <f t="shared" si="11"/>
        <v>22.498598905357547</v>
      </c>
      <c r="G149">
        <f t="shared" ca="1" si="12"/>
        <v>147</v>
      </c>
      <c r="H149">
        <f t="shared" ca="1" si="13"/>
        <v>3307.2940390875592</v>
      </c>
      <c r="I149">
        <f t="shared" ca="1" si="14"/>
        <v>93849.888180051144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18452</v>
      </c>
      <c r="B152" s="66">
        <v>18452</v>
      </c>
      <c r="D152">
        <f t="shared" si="10"/>
        <v>22.002551780880722</v>
      </c>
      <c r="E152">
        <f t="shared" si="11"/>
        <v>22.002551780880722</v>
      </c>
      <c r="G152">
        <f t="shared" ca="1" si="12"/>
        <v>150</v>
      </c>
      <c r="H152">
        <f t="shared" ca="1" si="13"/>
        <v>3300.3827671321083</v>
      </c>
      <c r="I152">
        <f t="shared" ca="1" si="14"/>
        <v>100505.07276326985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15212</v>
      </c>
      <c r="B154" s="66">
        <v>15212</v>
      </c>
      <c r="D154">
        <f t="shared" si="10"/>
        <v>18.139107830628525</v>
      </c>
      <c r="E154">
        <f t="shared" si="11"/>
        <v>18.139107830628525</v>
      </c>
      <c r="G154">
        <f t="shared" ca="1" si="12"/>
        <v>152</v>
      </c>
      <c r="H154">
        <f t="shared" ca="1" si="13"/>
        <v>2757.1443902555357</v>
      </c>
      <c r="I154">
        <f t="shared" ca="1" si="14"/>
        <v>87833.67802822082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12988</v>
      </c>
      <c r="B157" s="66">
        <v>12988</v>
      </c>
      <c r="D157">
        <f t="shared" si="10"/>
        <v>15.487163588233189</v>
      </c>
      <c r="E157">
        <f t="shared" si="11"/>
        <v>15.487163588233189</v>
      </c>
      <c r="G157">
        <f t="shared" ca="1" si="12"/>
        <v>155</v>
      </c>
      <c r="H157">
        <f t="shared" ca="1" si="13"/>
        <v>2400.5103561761443</v>
      </c>
      <c r="I157">
        <f t="shared" ca="1" si="14"/>
        <v>81597.89546210978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11348</v>
      </c>
      <c r="B160" s="66">
        <v>11348</v>
      </c>
      <c r="D160">
        <f t="shared" si="10"/>
        <v>13.53159319366109</v>
      </c>
      <c r="E160">
        <f t="shared" si="11"/>
        <v>13.53159319366109</v>
      </c>
      <c r="G160">
        <f t="shared" ca="1" si="12"/>
        <v>158</v>
      </c>
      <c r="H160">
        <f t="shared" ca="1" si="13"/>
        <v>2137.991724598452</v>
      </c>
      <c r="I160">
        <f t="shared" ca="1" si="14"/>
        <v>77309.515075321251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12908</v>
      </c>
      <c r="B162" s="66">
        <v>12908</v>
      </c>
      <c r="D162">
        <f t="shared" si="10"/>
        <v>15.391769910449185</v>
      </c>
      <c r="E162">
        <f t="shared" si="11"/>
        <v>15.391769910449185</v>
      </c>
      <c r="G162">
        <f t="shared" ca="1" si="12"/>
        <v>160</v>
      </c>
      <c r="H162">
        <f t="shared" ca="1" si="13"/>
        <v>2462.6831856718695</v>
      </c>
      <c r="I162">
        <f t="shared" ca="1" si="14"/>
        <v>92652.372256683753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14147</v>
      </c>
      <c r="B165" s="66">
        <v>14147</v>
      </c>
      <c r="D165">
        <f t="shared" si="10"/>
        <v>16.869179495128961</v>
      </c>
      <c r="E165">
        <f t="shared" si="11"/>
        <v>16.869179495128961</v>
      </c>
      <c r="G165">
        <f t="shared" ca="1" si="12"/>
        <v>163</v>
      </c>
      <c r="H165">
        <f t="shared" ca="1" si="13"/>
        <v>2749.6762577060208</v>
      </c>
      <c r="I165">
        <f t="shared" ca="1" si="14"/>
        <v>109550.50104460366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14318</v>
      </c>
      <c r="B167" s="66">
        <v>14318</v>
      </c>
      <c r="D167">
        <f t="shared" si="10"/>
        <v>17.07308348139227</v>
      </c>
      <c r="E167">
        <f t="shared" si="11"/>
        <v>17.07308348139227</v>
      </c>
      <c r="G167">
        <f t="shared" ca="1" si="12"/>
        <v>165</v>
      </c>
      <c r="H167">
        <f t="shared" ca="1" si="13"/>
        <v>2817.0587744297245</v>
      </c>
      <c r="I167">
        <f t="shared" ca="1" si="14"/>
        <v>116446.38432494672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16295</v>
      </c>
      <c r="B170" s="66">
        <v>16295</v>
      </c>
      <c r="D170">
        <f t="shared" si="10"/>
        <v>19.43049974362949</v>
      </c>
      <c r="E170">
        <f t="shared" si="11"/>
        <v>19.43049974362949</v>
      </c>
      <c r="G170">
        <f t="shared" ca="1" si="12"/>
        <v>168</v>
      </c>
      <c r="H170">
        <f t="shared" ca="1" si="13"/>
        <v>3264.3239569297543</v>
      </c>
      <c r="I170">
        <f t="shared" ca="1" si="14"/>
        <v>142328.07273636718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13139</v>
      </c>
      <c r="B173" s="66">
        <v>13139</v>
      </c>
      <c r="D173">
        <f t="shared" si="10"/>
        <v>15.6672191550505</v>
      </c>
      <c r="E173">
        <f t="shared" si="11"/>
        <v>15.6672191550505</v>
      </c>
      <c r="G173">
        <f t="shared" ca="1" si="12"/>
        <v>171</v>
      </c>
      <c r="H173">
        <f t="shared" ca="1" si="13"/>
        <v>2679.0944755136356</v>
      </c>
      <c r="I173">
        <f t="shared" ca="1" si="14"/>
        <v>122948.49110256448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10967</v>
      </c>
      <c r="B175" s="66">
        <v>10967</v>
      </c>
      <c r="D175">
        <f t="shared" si="10"/>
        <v>13.077280803214768</v>
      </c>
      <c r="E175">
        <f t="shared" si="11"/>
        <v>13.077280803214768</v>
      </c>
      <c r="G175">
        <f t="shared" ca="1" si="12"/>
        <v>173</v>
      </c>
      <c r="H175">
        <f t="shared" ca="1" si="13"/>
        <v>2262.3695789561548</v>
      </c>
      <c r="I175">
        <f t="shared" ca="1" si="14"/>
        <v>107310.12272475124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11350</v>
      </c>
      <c r="B178" s="66">
        <v>11350</v>
      </c>
      <c r="D178">
        <f t="shared" si="10"/>
        <v>13.53397803560569</v>
      </c>
      <c r="E178">
        <f t="shared" si="11"/>
        <v>13.53397803560569</v>
      </c>
      <c r="G178">
        <f t="shared" ca="1" si="12"/>
        <v>176</v>
      </c>
      <c r="H178">
        <f t="shared" ca="1" si="13"/>
        <v>2381.9801342666015</v>
      </c>
      <c r="I178">
        <f t="shared" ca="1" si="14"/>
        <v>118535.45737076248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10975</v>
      </c>
      <c r="B180" s="66">
        <v>10975</v>
      </c>
      <c r="D180">
        <f t="shared" si="10"/>
        <v>13.086820170993168</v>
      </c>
      <c r="E180">
        <f t="shared" si="11"/>
        <v>13.086820170993168</v>
      </c>
      <c r="G180">
        <f t="shared" ca="1" si="12"/>
        <v>178</v>
      </c>
      <c r="H180">
        <f t="shared" ca="1" si="13"/>
        <v>2329.4539904367839</v>
      </c>
      <c r="I180">
        <f t="shared" ca="1" si="14"/>
        <v>119570.41340074617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9481</v>
      </c>
      <c r="B183" s="66">
        <v>9481</v>
      </c>
      <c r="D183">
        <f t="shared" si="10"/>
        <v>11.305343238376876</v>
      </c>
      <c r="E183">
        <f t="shared" si="11"/>
        <v>11.305343238376876</v>
      </c>
      <c r="G183">
        <f t="shared" ca="1" si="12"/>
        <v>181</v>
      </c>
      <c r="H183">
        <f t="shared" ca="1" si="13"/>
        <v>2046.2671261462147</v>
      </c>
      <c r="I183">
        <f t="shared" ca="1" si="14"/>
        <v>109879.13539654722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7699</v>
      </c>
      <c r="B185" s="66">
        <v>7699</v>
      </c>
      <c r="D185">
        <f t="shared" si="10"/>
        <v>9.1804490657381681</v>
      </c>
      <c r="E185">
        <f t="shared" si="11"/>
        <v>9.1804490657381681</v>
      </c>
      <c r="G185">
        <f t="shared" ca="1" si="12"/>
        <v>183</v>
      </c>
      <c r="H185">
        <f t="shared" ca="1" si="13"/>
        <v>1680.0221790300848</v>
      </c>
      <c r="I185">
        <f t="shared" ca="1" si="14"/>
        <v>92883.799131497974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6393</v>
      </c>
      <c r="B188" s="66">
        <v>6393</v>
      </c>
      <c r="D188">
        <f t="shared" si="10"/>
        <v>7.6231472759142891</v>
      </c>
      <c r="E188">
        <f t="shared" si="11"/>
        <v>7.6231472759142891</v>
      </c>
      <c r="G188">
        <f t="shared" ca="1" si="12"/>
        <v>186</v>
      </c>
      <c r="H188">
        <f t="shared" ca="1" si="13"/>
        <v>1417.9053933200578</v>
      </c>
      <c r="I188">
        <f t="shared" ca="1" si="14"/>
        <v>81797.000336261612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4727</v>
      </c>
      <c r="B191" s="66">
        <v>4727</v>
      </c>
      <c r="D191">
        <f t="shared" si="10"/>
        <v>5.6365739360623879</v>
      </c>
      <c r="E191">
        <f t="shared" si="11"/>
        <v>5.6365739360623879</v>
      </c>
      <c r="G191">
        <f t="shared" ca="1" si="12"/>
        <v>189</v>
      </c>
      <c r="H191">
        <f t="shared" ca="1" si="13"/>
        <v>1065.3124739157913</v>
      </c>
      <c r="I191">
        <f t="shared" ca="1" si="14"/>
        <v>64034.858054283744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3168</v>
      </c>
      <c r="B193" s="66">
        <v>3168</v>
      </c>
      <c r="D193">
        <f t="shared" si="10"/>
        <v>3.7775896402465925</v>
      </c>
      <c r="E193">
        <f t="shared" si="11"/>
        <v>3.7775896402465925</v>
      </c>
      <c r="G193">
        <f t="shared" ca="1" si="12"/>
        <v>191</v>
      </c>
      <c r="H193">
        <f t="shared" ca="1" si="13"/>
        <v>721.5196212870992</v>
      </c>
      <c r="I193">
        <f t="shared" ca="1" si="14"/>
        <v>44541.347050065313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1841</v>
      </c>
      <c r="B196" s="66">
        <v>1841</v>
      </c>
      <c r="D196">
        <f t="shared" si="15"/>
        <v>2.1952470100044121</v>
      </c>
      <c r="E196">
        <f t="shared" si="16"/>
        <v>2.1952470100044121</v>
      </c>
      <c r="G196">
        <f t="shared" ca="1" si="17"/>
        <v>194</v>
      </c>
      <c r="H196">
        <f t="shared" ca="1" si="18"/>
        <v>425.87791994085597</v>
      </c>
      <c r="I196">
        <f t="shared" ca="1" si="19"/>
        <v>27334.031317990488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2156</v>
      </c>
      <c r="B198" s="66">
        <v>2156</v>
      </c>
      <c r="D198">
        <f t="shared" si="15"/>
        <v>2.570859616278931</v>
      </c>
      <c r="E198">
        <f t="shared" si="16"/>
        <v>2.570859616278931</v>
      </c>
      <c r="G198">
        <f t="shared" ca="1" si="17"/>
        <v>196</v>
      </c>
      <c r="H198">
        <f t="shared" ca="1" si="18"/>
        <v>503.88848479067047</v>
      </c>
      <c r="I198">
        <f t="shared" ca="1" si="19"/>
        <v>33168.729186051569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2101</v>
      </c>
      <c r="B201" s="66">
        <v>2101</v>
      </c>
      <c r="D201">
        <f t="shared" si="15"/>
        <v>2.5052764628024278</v>
      </c>
      <c r="E201">
        <f t="shared" si="16"/>
        <v>2.5052764628024278</v>
      </c>
      <c r="G201">
        <f t="shared" ca="1" si="17"/>
        <v>199</v>
      </c>
      <c r="H201">
        <f t="shared" ca="1" si="18"/>
        <v>498.55001609768311</v>
      </c>
      <c r="I201">
        <f t="shared" ca="1" si="19"/>
        <v>34052.52330472129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2694</v>
      </c>
      <c r="B203" s="66">
        <v>2694</v>
      </c>
      <c r="D203">
        <f t="shared" si="15"/>
        <v>3.2123820993763639</v>
      </c>
      <c r="E203">
        <f t="shared" si="16"/>
        <v>3.2123820993763639</v>
      </c>
      <c r="G203">
        <f t="shared" ca="1" si="17"/>
        <v>201</v>
      </c>
      <c r="H203">
        <f t="shared" ca="1" si="18"/>
        <v>645.6888019746491</v>
      </c>
      <c r="I203">
        <f t="shared" ca="1" si="19"/>
        <v>45174.656589696067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2021</v>
      </c>
      <c r="B206" s="66">
        <v>2021</v>
      </c>
      <c r="D206">
        <f t="shared" si="15"/>
        <v>2.4098827850184228</v>
      </c>
      <c r="E206">
        <f t="shared" si="16"/>
        <v>2.4098827850184228</v>
      </c>
      <c r="G206">
        <f t="shared" ca="1" si="17"/>
        <v>204</v>
      </c>
      <c r="H206">
        <f t="shared" ca="1" si="18"/>
        <v>491.61608814375825</v>
      </c>
      <c r="I206">
        <f t="shared" ca="1" si="19"/>
        <v>35625.737479042851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1737</v>
      </c>
      <c r="B209" s="66">
        <v>1737</v>
      </c>
      <c r="D209">
        <f t="shared" si="15"/>
        <v>2.0712352288852056</v>
      </c>
      <c r="E209">
        <f t="shared" si="16"/>
        <v>2.0712352288852056</v>
      </c>
      <c r="G209">
        <f t="shared" ca="1" si="17"/>
        <v>207</v>
      </c>
      <c r="H209">
        <f t="shared" ca="1" si="18"/>
        <v>428.74569237923754</v>
      </c>
      <c r="I209">
        <f t="shared" ca="1" si="19"/>
        <v>32149.090539578996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467</v>
      </c>
      <c r="B211" s="66">
        <v>467</v>
      </c>
      <c r="D211">
        <f t="shared" si="15"/>
        <v>0.55686059406412836</v>
      </c>
      <c r="E211">
        <f t="shared" si="16"/>
        <v>0.55686059406412836</v>
      </c>
      <c r="G211">
        <f t="shared" ca="1" si="17"/>
        <v>209</v>
      </c>
      <c r="H211">
        <f t="shared" ca="1" si="18"/>
        <v>116.38386415940283</v>
      </c>
      <c r="I211">
        <f t="shared" ca="1" si="19"/>
        <v>8923.1585582858788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197</v>
      </c>
      <c r="B214" s="66">
        <v>197</v>
      </c>
      <c r="D214">
        <f t="shared" si="15"/>
        <v>0.23490693154311199</v>
      </c>
      <c r="E214">
        <f t="shared" si="16"/>
        <v>0.23490693154311199</v>
      </c>
      <c r="G214">
        <f t="shared" ca="1" si="17"/>
        <v>212</v>
      </c>
      <c r="H214">
        <f t="shared" ca="1" si="18"/>
        <v>49.800269487139744</v>
      </c>
      <c r="I214">
        <f t="shared" ca="1" si="19"/>
        <v>3944.6888571751219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349</v>
      </c>
      <c r="B1" s="68" t="s">
        <v>350</v>
      </c>
      <c r="C1" s="32" t="s">
        <v>351</v>
      </c>
      <c r="D1" s="32" t="s">
        <v>352</v>
      </c>
      <c r="E1" s="32" t="s">
        <v>353</v>
      </c>
    </row>
    <row r="2" spans="1:5">
      <c r="A2" s="68">
        <v>0.19736000000000001</v>
      </c>
      <c r="B2" s="68">
        <v>0.52799799999999997</v>
      </c>
      <c r="C2" s="68">
        <v>0</v>
      </c>
      <c r="D2" s="68">
        <v>1</v>
      </c>
      <c r="E2" s="68" t="s">
        <v>354</v>
      </c>
    </row>
    <row r="3" spans="1:5">
      <c r="A3" s="68">
        <v>0.20508399999999999</v>
      </c>
      <c r="B3" s="68">
        <v>0.51625600000000005</v>
      </c>
      <c r="C3" s="68">
        <v>0.40182699999999999</v>
      </c>
      <c r="D3" s="89">
        <v>1</v>
      </c>
      <c r="E3" s="68" t="s">
        <v>355</v>
      </c>
    </row>
    <row r="4" spans="1:5">
      <c r="A4" s="68">
        <v>0.212455</v>
      </c>
      <c r="B4" s="68">
        <v>0.50651500000000005</v>
      </c>
      <c r="C4" s="68">
        <v>0.80988300000000002</v>
      </c>
      <c r="D4" s="89">
        <v>1</v>
      </c>
      <c r="E4" s="68" t="s">
        <v>356</v>
      </c>
    </row>
    <row r="5" spans="1:5">
      <c r="A5" s="89">
        <v>0.21951699999999999</v>
      </c>
      <c r="B5" s="89">
        <v>0.49882700000000002</v>
      </c>
      <c r="C5" s="89">
        <v>1.2186300000000001</v>
      </c>
      <c r="D5" s="89">
        <v>1</v>
      </c>
      <c r="E5" s="68" t="s">
        <v>357</v>
      </c>
    </row>
    <row r="6" spans="1:5">
      <c r="A6" s="68">
        <v>0.22627700000000001</v>
      </c>
      <c r="B6" s="68">
        <v>0.492037</v>
      </c>
      <c r="C6" s="68">
        <v>1.62252</v>
      </c>
      <c r="D6" s="68">
        <v>1</v>
      </c>
      <c r="E6" s="68" t="s">
        <v>358</v>
      </c>
    </row>
    <row r="7" spans="1:5">
      <c r="A7" s="68">
        <v>0.232816</v>
      </c>
      <c r="B7" s="68">
        <v>0.48619400000000002</v>
      </c>
      <c r="C7" s="68">
        <v>2.0285099999999998</v>
      </c>
      <c r="D7" s="68">
        <v>1</v>
      </c>
      <c r="E7" s="68" t="s">
        <v>359</v>
      </c>
    </row>
    <row r="8" spans="1:5">
      <c r="A8" s="68">
        <v>0.23932800000000001</v>
      </c>
      <c r="B8" s="68">
        <v>0.480962</v>
      </c>
      <c r="C8" s="68">
        <v>2.4383900000000001</v>
      </c>
      <c r="D8" s="68">
        <v>1</v>
      </c>
      <c r="E8" s="68" t="s">
        <v>360</v>
      </c>
    </row>
    <row r="9" spans="1:5">
      <c r="A9" s="68">
        <v>0.245613</v>
      </c>
      <c r="B9" s="68">
        <v>0.47541</v>
      </c>
      <c r="C9" s="68">
        <v>2.8393099999999998</v>
      </c>
      <c r="D9" s="68">
        <v>1</v>
      </c>
      <c r="E9" s="68" t="s">
        <v>361</v>
      </c>
    </row>
    <row r="10" spans="1:5">
      <c r="A10" s="68">
        <v>0.251552</v>
      </c>
      <c r="B10" s="68">
        <v>0.47023199999999998</v>
      </c>
      <c r="C10" s="68">
        <v>3.2461899999999999</v>
      </c>
      <c r="D10" s="68">
        <v>1</v>
      </c>
      <c r="E10" s="68" t="s">
        <v>362</v>
      </c>
    </row>
    <row r="11" spans="1:5">
      <c r="A11" s="68">
        <v>0.25742599999999999</v>
      </c>
      <c r="B11" s="68">
        <v>0.46523300000000001</v>
      </c>
      <c r="C11" s="68">
        <v>3.6521599999999999</v>
      </c>
      <c r="D11" s="68">
        <v>1</v>
      </c>
      <c r="E11" s="68" t="s">
        <v>363</v>
      </c>
    </row>
    <row r="12" spans="1:5">
      <c r="A12" s="68">
        <v>0.26339499999999999</v>
      </c>
      <c r="B12" s="68">
        <v>0.45998299999999998</v>
      </c>
      <c r="C12" s="68">
        <v>4.0582900000000004</v>
      </c>
      <c r="D12" s="68">
        <v>1</v>
      </c>
      <c r="E12" s="68" t="s">
        <v>364</v>
      </c>
    </row>
    <row r="13" spans="1:5">
      <c r="A13" s="68">
        <v>0.26936300000000002</v>
      </c>
      <c r="B13" s="68">
        <v>0.45464100000000002</v>
      </c>
      <c r="C13" s="68">
        <v>4.4699099999999996</v>
      </c>
      <c r="D13" s="68">
        <v>1</v>
      </c>
      <c r="E13" s="68" t="s">
        <v>365</v>
      </c>
    </row>
    <row r="14" spans="1:5">
      <c r="A14" s="68">
        <v>0.275395</v>
      </c>
      <c r="B14" s="68">
        <v>0.44862600000000002</v>
      </c>
      <c r="C14" s="68">
        <v>4.8748199999999997</v>
      </c>
      <c r="D14" s="68">
        <v>1</v>
      </c>
      <c r="E14" s="68" t="s">
        <v>366</v>
      </c>
    </row>
    <row r="15" spans="1:5">
      <c r="A15" s="68">
        <v>0.28131099999999998</v>
      </c>
      <c r="B15" s="68">
        <v>0.44192700000000001</v>
      </c>
      <c r="C15" s="68">
        <v>5.2832699999999999</v>
      </c>
      <c r="D15" s="68">
        <v>1</v>
      </c>
      <c r="E15" s="68" t="s">
        <v>367</v>
      </c>
    </row>
    <row r="16" spans="1:5">
      <c r="A16" s="68">
        <v>0.28726299999999999</v>
      </c>
      <c r="B16" s="68">
        <v>0.43381700000000001</v>
      </c>
      <c r="C16" s="68">
        <v>5.6846899999999998</v>
      </c>
      <c r="D16" s="68">
        <v>1</v>
      </c>
      <c r="E16" s="68" t="s">
        <v>368</v>
      </c>
    </row>
    <row r="17" spans="1:5">
      <c r="A17" s="68">
        <v>0.29337200000000002</v>
      </c>
      <c r="B17" s="68">
        <v>0.424425</v>
      </c>
      <c r="C17" s="68">
        <v>6.0916800000000002</v>
      </c>
      <c r="D17" s="68">
        <v>1</v>
      </c>
      <c r="E17" s="68" t="s">
        <v>369</v>
      </c>
    </row>
    <row r="18" spans="1:5">
      <c r="A18" s="68">
        <v>0.29898999999999998</v>
      </c>
      <c r="B18" s="68">
        <v>0.415767</v>
      </c>
      <c r="C18" s="68">
        <v>6.49885</v>
      </c>
      <c r="D18" s="68">
        <v>1</v>
      </c>
      <c r="E18" s="68" t="s">
        <v>370</v>
      </c>
    </row>
    <row r="19" spans="1:5">
      <c r="A19" s="68">
        <v>0.30417100000000002</v>
      </c>
      <c r="B19" s="68">
        <v>0.407916</v>
      </c>
      <c r="C19" s="68">
        <v>6.9067999999999996</v>
      </c>
      <c r="D19" s="68">
        <v>1</v>
      </c>
      <c r="E19" s="68" t="s">
        <v>371</v>
      </c>
    </row>
    <row r="20" spans="1:5">
      <c r="A20" s="68">
        <v>0.308834</v>
      </c>
      <c r="B20" s="68">
        <v>0.40156799999999998</v>
      </c>
      <c r="C20" s="68">
        <v>7.3133600000000003</v>
      </c>
      <c r="D20" s="68">
        <v>1</v>
      </c>
      <c r="E20" s="68" t="s">
        <v>372</v>
      </c>
    </row>
    <row r="21" spans="1:5">
      <c r="A21" s="68">
        <v>0.312863</v>
      </c>
      <c r="B21" s="68">
        <v>0.395565</v>
      </c>
      <c r="C21" s="68">
        <v>7.7205500000000002</v>
      </c>
      <c r="D21" s="68">
        <v>1</v>
      </c>
      <c r="E21" s="68" t="s">
        <v>373</v>
      </c>
    </row>
    <row r="22" spans="1:5">
      <c r="A22" s="68">
        <v>0.316359</v>
      </c>
      <c r="B22" s="68">
        <v>0.390901</v>
      </c>
      <c r="C22" s="68">
        <v>8.1229300000000002</v>
      </c>
      <c r="D22" s="68">
        <v>1</v>
      </c>
      <c r="E22" s="68" t="s">
        <v>374</v>
      </c>
    </row>
    <row r="23" spans="1:5">
      <c r="A23" s="68">
        <v>0.31942100000000001</v>
      </c>
      <c r="B23" s="68">
        <v>0.38636100000000001</v>
      </c>
      <c r="C23" s="68">
        <v>8.5300700000000003</v>
      </c>
      <c r="D23" s="68">
        <v>1</v>
      </c>
      <c r="E23" s="68" t="s">
        <v>375</v>
      </c>
    </row>
    <row r="24" spans="1:5">
      <c r="A24" s="68">
        <v>0.32189000000000001</v>
      </c>
      <c r="B24" s="68">
        <v>0.38127800000000001</v>
      </c>
      <c r="C24" s="68">
        <v>8.9381400000000006</v>
      </c>
      <c r="D24" s="68">
        <v>1</v>
      </c>
      <c r="E24" s="68" t="s">
        <v>376</v>
      </c>
    </row>
    <row r="25" spans="1:5">
      <c r="A25" s="68">
        <v>0.32408199999999998</v>
      </c>
      <c r="B25" s="68">
        <v>0.37650699999999998</v>
      </c>
      <c r="C25" s="68">
        <v>9.3428900000000006</v>
      </c>
      <c r="D25" s="68">
        <v>1</v>
      </c>
      <c r="E25" s="68" t="s">
        <v>377</v>
      </c>
    </row>
    <row r="26" spans="1:5">
      <c r="A26" s="68">
        <v>0.32595800000000003</v>
      </c>
      <c r="B26" s="68">
        <v>0.37162299999999998</v>
      </c>
      <c r="C26" s="68">
        <v>9.7478800000000003</v>
      </c>
      <c r="D26" s="68">
        <v>1</v>
      </c>
      <c r="E26" s="68" t="s">
        <v>378</v>
      </c>
    </row>
    <row r="27" spans="1:5">
      <c r="A27" s="68">
        <v>0.32739099999999999</v>
      </c>
      <c r="B27" s="68">
        <v>0.36726799999999998</v>
      </c>
      <c r="C27" s="68">
        <v>10.154999999999999</v>
      </c>
      <c r="D27" s="68">
        <v>1</v>
      </c>
      <c r="E27" s="68" t="s">
        <v>379</v>
      </c>
    </row>
    <row r="28" spans="1:5">
      <c r="A28" s="68">
        <v>0.32867400000000002</v>
      </c>
      <c r="B28" s="68">
        <v>0.363261</v>
      </c>
      <c r="C28" s="68">
        <v>10.5586</v>
      </c>
      <c r="D28" s="68">
        <v>1</v>
      </c>
      <c r="E28" s="68" t="s">
        <v>380</v>
      </c>
    </row>
    <row r="29" spans="1:5">
      <c r="A29" s="68">
        <v>0.33019399999999999</v>
      </c>
      <c r="B29" s="68">
        <v>0.359207</v>
      </c>
      <c r="C29" s="68">
        <v>10.9658</v>
      </c>
      <c r="D29" s="68">
        <v>1</v>
      </c>
      <c r="E29" s="68" t="s">
        <v>381</v>
      </c>
    </row>
    <row r="30" spans="1:5">
      <c r="A30" s="68">
        <v>0.33176099999999997</v>
      </c>
      <c r="B30" s="68">
        <v>0.35519600000000001</v>
      </c>
      <c r="C30" s="68">
        <v>11.3744</v>
      </c>
      <c r="D30" s="68">
        <v>1</v>
      </c>
      <c r="E30" s="68" t="s">
        <v>382</v>
      </c>
    </row>
    <row r="31" spans="1:5">
      <c r="A31" s="68">
        <v>0.33335100000000001</v>
      </c>
      <c r="B31" s="68">
        <v>0.35126200000000002</v>
      </c>
      <c r="C31" s="68">
        <v>11.7784</v>
      </c>
      <c r="D31" s="68">
        <v>1</v>
      </c>
      <c r="E31" s="68" t="s">
        <v>383</v>
      </c>
    </row>
    <row r="32" spans="1:5">
      <c r="A32" s="68">
        <v>0.33496500000000001</v>
      </c>
      <c r="B32" s="68">
        <v>0.34741699999999998</v>
      </c>
      <c r="C32" s="68">
        <v>12.1874</v>
      </c>
      <c r="D32" s="68">
        <v>1</v>
      </c>
      <c r="E32" s="68" t="s">
        <v>384</v>
      </c>
    </row>
    <row r="33" spans="1:5">
      <c r="A33" s="68">
        <v>0.33635399999999999</v>
      </c>
      <c r="B33" s="68">
        <v>0.34373500000000001</v>
      </c>
      <c r="C33" s="68">
        <v>12.5932</v>
      </c>
      <c r="D33" s="68">
        <v>1</v>
      </c>
      <c r="E33" s="68" t="s">
        <v>385</v>
      </c>
    </row>
    <row r="34" spans="1:5">
      <c r="A34" s="68">
        <v>0.33734199999999998</v>
      </c>
      <c r="B34" s="68">
        <v>0.340557</v>
      </c>
      <c r="C34" s="68">
        <v>12.9994</v>
      </c>
      <c r="D34" s="68">
        <v>1</v>
      </c>
      <c r="E34" s="68" t="s">
        <v>386</v>
      </c>
    </row>
    <row r="35" spans="1:5">
      <c r="A35" s="68">
        <v>0.33813599999999999</v>
      </c>
      <c r="B35" s="68">
        <v>0.33757300000000001</v>
      </c>
      <c r="C35" s="68">
        <v>13.404</v>
      </c>
      <c r="D35" s="68">
        <v>1</v>
      </c>
      <c r="E35" s="68" t="s">
        <v>387</v>
      </c>
    </row>
    <row r="36" spans="1:5">
      <c r="A36" s="68">
        <v>0.33871899999999999</v>
      </c>
      <c r="B36" s="68">
        <v>0.33500000000000002</v>
      </c>
      <c r="C36" s="68">
        <v>13.809900000000001</v>
      </c>
      <c r="D36" s="68">
        <v>1</v>
      </c>
      <c r="E36" s="68" t="s">
        <v>388</v>
      </c>
    </row>
    <row r="37" spans="1:5">
      <c r="A37" s="68">
        <v>0.33905099999999999</v>
      </c>
      <c r="B37" s="68">
        <v>0.33277200000000001</v>
      </c>
      <c r="C37" s="68">
        <v>14.2182</v>
      </c>
      <c r="D37" s="68">
        <v>1</v>
      </c>
      <c r="E37" s="68" t="s">
        <v>389</v>
      </c>
    </row>
    <row r="38" spans="1:5">
      <c r="A38" s="68">
        <v>0.33918100000000001</v>
      </c>
      <c r="B38" s="68">
        <v>0.33098499999999997</v>
      </c>
      <c r="C38" s="68">
        <v>14.6248</v>
      </c>
      <c r="D38" s="68">
        <v>1</v>
      </c>
      <c r="E38" s="68" t="s">
        <v>390</v>
      </c>
    </row>
    <row r="39" spans="1:5">
      <c r="A39" s="68">
        <v>0.33899099999999999</v>
      </c>
      <c r="B39" s="68">
        <v>0.32956800000000003</v>
      </c>
      <c r="C39" s="68">
        <v>15.0297</v>
      </c>
      <c r="D39" s="68">
        <v>1</v>
      </c>
      <c r="E39" s="68" t="s">
        <v>391</v>
      </c>
    </row>
    <row r="40" spans="1:5">
      <c r="A40" s="68">
        <v>0.33848299999999998</v>
      </c>
      <c r="B40" s="68">
        <v>0.32899699999999998</v>
      </c>
      <c r="C40" s="68">
        <v>15.438599999999999</v>
      </c>
      <c r="D40" s="68">
        <v>1</v>
      </c>
      <c r="E40" s="68" t="s">
        <v>392</v>
      </c>
    </row>
    <row r="41" spans="1:5">
      <c r="A41" s="68">
        <v>0.33754699999999999</v>
      </c>
      <c r="B41" s="68">
        <v>0.32929599999999998</v>
      </c>
      <c r="C41" s="68">
        <v>15.843500000000001</v>
      </c>
      <c r="D41" s="68">
        <v>1</v>
      </c>
      <c r="E41" s="68" t="s">
        <v>393</v>
      </c>
    </row>
    <row r="42" spans="1:5">
      <c r="A42" s="68">
        <v>0.33629500000000001</v>
      </c>
      <c r="B42" s="68">
        <v>0.330289</v>
      </c>
      <c r="C42" s="68">
        <v>16.247399999999999</v>
      </c>
      <c r="D42" s="68">
        <v>1</v>
      </c>
      <c r="E42" s="68" t="s">
        <v>394</v>
      </c>
    </row>
    <row r="43" spans="1:5">
      <c r="A43" s="68">
        <v>0.33501700000000001</v>
      </c>
      <c r="B43" s="68">
        <v>0.331285</v>
      </c>
      <c r="C43" s="68">
        <v>16.6554</v>
      </c>
      <c r="D43" s="68">
        <v>1</v>
      </c>
      <c r="E43" s="68" t="s">
        <v>395</v>
      </c>
    </row>
    <row r="44" spans="1:5">
      <c r="A44" s="68">
        <v>0.333727</v>
      </c>
      <c r="B44" s="68">
        <v>0.33182200000000001</v>
      </c>
      <c r="C44" s="68">
        <v>17.061299999999999</v>
      </c>
      <c r="D44" s="68">
        <v>1</v>
      </c>
      <c r="E44" s="68" t="s">
        <v>396</v>
      </c>
    </row>
    <row r="45" spans="1:5">
      <c r="A45" s="68">
        <v>0.33252999999999999</v>
      </c>
      <c r="B45" s="68">
        <v>0.33146700000000001</v>
      </c>
      <c r="C45" s="68">
        <v>17.467199999999998</v>
      </c>
      <c r="D45" s="68">
        <v>1</v>
      </c>
      <c r="E45" s="68" t="s">
        <v>397</v>
      </c>
    </row>
    <row r="46" spans="1:5">
      <c r="A46" s="68">
        <v>0.33145400000000003</v>
      </c>
      <c r="B46" s="68">
        <v>0.33143899999999998</v>
      </c>
      <c r="C46" s="68">
        <v>17.8721</v>
      </c>
      <c r="D46" s="68">
        <v>1</v>
      </c>
      <c r="E46" s="68" t="s">
        <v>398</v>
      </c>
    </row>
    <row r="47" spans="1:5">
      <c r="A47" s="68">
        <v>0.330623</v>
      </c>
      <c r="B47" s="68">
        <v>0.331173</v>
      </c>
      <c r="C47" s="68">
        <v>18.279</v>
      </c>
      <c r="D47" s="68">
        <v>1</v>
      </c>
      <c r="E47" s="68" t="s">
        <v>399</v>
      </c>
    </row>
    <row r="48" spans="1:5">
      <c r="A48" s="68">
        <v>0.329706</v>
      </c>
      <c r="B48" s="68">
        <v>0.331208</v>
      </c>
      <c r="C48" s="68">
        <v>18.684999999999999</v>
      </c>
      <c r="D48" s="68">
        <v>1</v>
      </c>
      <c r="E48" s="68" t="s">
        <v>400</v>
      </c>
    </row>
    <row r="49" spans="1:5">
      <c r="A49" s="68">
        <v>0.328818</v>
      </c>
      <c r="B49" s="68">
        <v>0.33177400000000001</v>
      </c>
      <c r="C49" s="68">
        <v>19.093800000000002</v>
      </c>
      <c r="D49" s="68">
        <v>1</v>
      </c>
      <c r="E49" s="68" t="s">
        <v>401</v>
      </c>
    </row>
    <row r="50" spans="1:5">
      <c r="A50" s="68">
        <v>0.32799299999999998</v>
      </c>
      <c r="B50" s="68">
        <v>0.33258500000000002</v>
      </c>
      <c r="C50" s="68">
        <v>19.5</v>
      </c>
      <c r="D50" s="68">
        <v>1</v>
      </c>
      <c r="E50" s="68" t="s">
        <v>402</v>
      </c>
    </row>
    <row r="51" spans="1:5">
      <c r="A51" s="68">
        <v>0.32703700000000002</v>
      </c>
      <c r="B51" s="68">
        <v>0.333428</v>
      </c>
      <c r="C51" s="68">
        <v>19.902699999999999</v>
      </c>
      <c r="D51" s="68">
        <v>1</v>
      </c>
      <c r="E51" s="68" t="s">
        <v>403</v>
      </c>
    </row>
    <row r="52" spans="1:5">
      <c r="A52" s="68">
        <v>0.32649699999999998</v>
      </c>
      <c r="B52" s="68">
        <v>0.33385199999999998</v>
      </c>
      <c r="C52" s="68">
        <v>20.310600000000001</v>
      </c>
      <c r="D52" s="68">
        <v>1</v>
      </c>
      <c r="E52" s="68" t="s">
        <v>404</v>
      </c>
    </row>
    <row r="53" spans="1:5">
      <c r="A53" s="68">
        <v>0.32549600000000001</v>
      </c>
      <c r="B53" s="68">
        <v>0.33435700000000002</v>
      </c>
      <c r="C53" s="68">
        <v>20.715800000000002</v>
      </c>
      <c r="D53" s="68">
        <v>1</v>
      </c>
      <c r="E53" s="68" t="s">
        <v>405</v>
      </c>
    </row>
    <row r="54" spans="1:5">
      <c r="A54" s="68">
        <v>0.32434000000000002</v>
      </c>
      <c r="B54" s="68">
        <v>0.33530500000000002</v>
      </c>
      <c r="C54" s="68">
        <v>21.1204</v>
      </c>
      <c r="D54" s="68">
        <v>1</v>
      </c>
      <c r="E54" s="68" t="s">
        <v>406</v>
      </c>
    </row>
    <row r="55" spans="1:5">
      <c r="A55" s="68">
        <v>0.32303700000000002</v>
      </c>
      <c r="B55" s="68">
        <v>0.33592699999999998</v>
      </c>
      <c r="C55" s="68">
        <v>21.528500000000001</v>
      </c>
      <c r="D55" s="68">
        <v>1</v>
      </c>
      <c r="E55" s="68" t="s">
        <v>407</v>
      </c>
    </row>
    <row r="56" spans="1:5">
      <c r="A56" s="68">
        <v>0.32147300000000001</v>
      </c>
      <c r="B56" s="68">
        <v>0.336094</v>
      </c>
      <c r="C56" s="68">
        <v>21.934200000000001</v>
      </c>
      <c r="D56" s="68">
        <v>1</v>
      </c>
      <c r="E56" s="68" t="s">
        <v>408</v>
      </c>
    </row>
    <row r="57" spans="1:5">
      <c r="A57" s="68">
        <v>0.31951299999999999</v>
      </c>
      <c r="B57" s="68">
        <v>0.33621699999999999</v>
      </c>
      <c r="C57" s="68">
        <v>22.344200000000001</v>
      </c>
      <c r="D57" s="68">
        <v>1</v>
      </c>
      <c r="E57" s="68" t="s">
        <v>409</v>
      </c>
    </row>
    <row r="58" spans="1:5">
      <c r="A58" s="68">
        <v>0.31746999999999997</v>
      </c>
      <c r="B58" s="68">
        <v>0.33591100000000002</v>
      </c>
      <c r="C58" s="68">
        <v>22.751100000000001</v>
      </c>
      <c r="D58" s="68">
        <v>1</v>
      </c>
      <c r="E58" s="68" t="s">
        <v>410</v>
      </c>
    </row>
    <row r="59" spans="1:5">
      <c r="A59" s="68">
        <v>0.315556</v>
      </c>
      <c r="B59" s="68">
        <v>0.33439999999999998</v>
      </c>
      <c r="C59" s="68">
        <v>23.155899999999999</v>
      </c>
      <c r="D59" s="68">
        <v>1</v>
      </c>
      <c r="E59" s="68" t="s">
        <v>411</v>
      </c>
    </row>
    <row r="60" spans="1:5">
      <c r="A60" s="68">
        <v>0.31367</v>
      </c>
      <c r="B60" s="68">
        <v>0.33235599999999998</v>
      </c>
      <c r="C60" s="68">
        <v>23.558900000000001</v>
      </c>
      <c r="D60" s="68">
        <v>1</v>
      </c>
      <c r="E60" s="68" t="s">
        <v>412</v>
      </c>
    </row>
    <row r="61" spans="1:5">
      <c r="A61" s="68">
        <v>0.31184200000000001</v>
      </c>
      <c r="B61" s="68">
        <v>0.32949400000000001</v>
      </c>
      <c r="C61" s="68">
        <v>23.970800000000001</v>
      </c>
      <c r="D61" s="68">
        <v>1</v>
      </c>
      <c r="E61" s="68" t="s">
        <v>413</v>
      </c>
    </row>
    <row r="62" spans="1:5">
      <c r="A62" s="68">
        <v>0.30988300000000002</v>
      </c>
      <c r="B62" s="68">
        <v>0.32675199999999999</v>
      </c>
      <c r="C62" s="68">
        <v>24.373699999999999</v>
      </c>
      <c r="D62" s="68">
        <v>1</v>
      </c>
      <c r="E62" s="68" t="s">
        <v>414</v>
      </c>
    </row>
    <row r="63" spans="1:5">
      <c r="A63" s="68">
        <v>0.30808400000000002</v>
      </c>
      <c r="B63" s="68">
        <v>0.32378899999999999</v>
      </c>
      <c r="C63" s="68">
        <v>24.779599999999999</v>
      </c>
      <c r="D63" s="68">
        <v>1</v>
      </c>
      <c r="E63" s="68" t="s">
        <v>415</v>
      </c>
    </row>
    <row r="64" spans="1:5">
      <c r="A64" s="68">
        <v>0.30629499999999998</v>
      </c>
      <c r="B64" s="68">
        <v>0.32120799999999999</v>
      </c>
      <c r="C64" s="68">
        <v>25.185500000000001</v>
      </c>
      <c r="D64" s="68">
        <v>1</v>
      </c>
      <c r="E64" s="68" t="s">
        <v>416</v>
      </c>
    </row>
    <row r="65" spans="1:5">
      <c r="A65" s="68">
        <v>0.304589</v>
      </c>
      <c r="B65" s="68">
        <v>0.31870100000000001</v>
      </c>
      <c r="C65" s="68">
        <v>25.590399999999999</v>
      </c>
      <c r="D65" s="68">
        <v>1</v>
      </c>
      <c r="E65" s="68" t="s">
        <v>417</v>
      </c>
    </row>
    <row r="66" spans="1:5">
      <c r="A66" s="68">
        <v>0.303008</v>
      </c>
      <c r="B66" s="68">
        <v>0.31618200000000002</v>
      </c>
      <c r="C66" s="68">
        <v>25.9998</v>
      </c>
      <c r="D66" s="68">
        <v>1</v>
      </c>
      <c r="E66" s="68" t="s">
        <v>418</v>
      </c>
    </row>
    <row r="67" spans="1:5">
      <c r="A67" s="68">
        <v>0.30128899999999997</v>
      </c>
      <c r="B67" s="68">
        <v>0.31471199999999999</v>
      </c>
      <c r="C67" s="68">
        <v>26.4084</v>
      </c>
      <c r="D67" s="68">
        <v>1</v>
      </c>
      <c r="E67" s="68" t="s">
        <v>419</v>
      </c>
    </row>
    <row r="68" spans="1:5">
      <c r="A68" s="68">
        <v>0.299651</v>
      </c>
      <c r="B68" s="68">
        <v>0.31325799999999998</v>
      </c>
      <c r="C68" s="68">
        <v>26.8142</v>
      </c>
      <c r="D68" s="68">
        <v>1</v>
      </c>
      <c r="E68" s="68" t="s">
        <v>420</v>
      </c>
    </row>
    <row r="69" spans="1:5">
      <c r="A69" s="68">
        <v>0.29804900000000001</v>
      </c>
      <c r="B69" s="68">
        <v>0.31188500000000002</v>
      </c>
      <c r="C69" s="68">
        <v>27.223099999999999</v>
      </c>
      <c r="D69" s="68">
        <v>1</v>
      </c>
      <c r="E69" s="68" t="s">
        <v>421</v>
      </c>
    </row>
    <row r="70" spans="1:5">
      <c r="A70" s="68">
        <v>0.29671599999999998</v>
      </c>
      <c r="B70" s="68">
        <v>0.311137</v>
      </c>
      <c r="C70" s="68">
        <v>27.622</v>
      </c>
      <c r="D70" s="68">
        <v>1</v>
      </c>
      <c r="E70" s="68" t="s">
        <v>422</v>
      </c>
    </row>
    <row r="71" spans="1:5">
      <c r="A71" s="68">
        <v>0.29567100000000002</v>
      </c>
      <c r="B71" s="68">
        <v>0.30975200000000003</v>
      </c>
      <c r="C71" s="68">
        <v>28.027200000000001</v>
      </c>
      <c r="D71" s="68">
        <v>1</v>
      </c>
      <c r="E71" s="68" t="s">
        <v>423</v>
      </c>
    </row>
    <row r="72" spans="1:5">
      <c r="A72" s="68">
        <v>0.29487400000000002</v>
      </c>
      <c r="B72" s="68">
        <v>0.30742399999999998</v>
      </c>
      <c r="C72" s="68">
        <v>28.434799999999999</v>
      </c>
      <c r="D72" s="68">
        <v>1</v>
      </c>
      <c r="E72" s="68" t="s">
        <v>424</v>
      </c>
    </row>
    <row r="73" spans="1:5">
      <c r="A73" s="68">
        <v>0.29455500000000001</v>
      </c>
      <c r="B73" s="68">
        <v>0.304035</v>
      </c>
      <c r="C73" s="68">
        <v>28.843699999999998</v>
      </c>
      <c r="D73" s="68">
        <v>1</v>
      </c>
      <c r="E73" s="68" t="s">
        <v>425</v>
      </c>
    </row>
    <row r="74" spans="1:5">
      <c r="A74" s="68">
        <v>0.29456599999999999</v>
      </c>
      <c r="B74" s="68">
        <v>0.29993399999999998</v>
      </c>
      <c r="C74" s="68">
        <v>29.247699999999998</v>
      </c>
      <c r="D74" s="68">
        <v>1</v>
      </c>
      <c r="E74" s="68" t="s">
        <v>426</v>
      </c>
    </row>
    <row r="75" spans="1:5">
      <c r="A75" s="68">
        <v>0.29462699999999997</v>
      </c>
      <c r="B75" s="68">
        <v>0.29531000000000002</v>
      </c>
      <c r="C75" s="68">
        <v>29.654699999999998</v>
      </c>
      <c r="D75" s="68">
        <v>1</v>
      </c>
      <c r="E75" s="68" t="s">
        <v>427</v>
      </c>
    </row>
    <row r="76" spans="1:5">
      <c r="A76" s="68">
        <v>0.29511500000000002</v>
      </c>
      <c r="B76" s="68">
        <v>0.29043600000000003</v>
      </c>
      <c r="C76" s="68">
        <v>30.0596</v>
      </c>
      <c r="D76" s="68">
        <v>2</v>
      </c>
      <c r="E76" s="68" t="s">
        <v>428</v>
      </c>
    </row>
    <row r="77" spans="1:5">
      <c r="A77" s="68">
        <v>0.29663800000000001</v>
      </c>
      <c r="B77" s="68">
        <v>0.28270699999999999</v>
      </c>
      <c r="C77" s="68">
        <v>30.652899999999999</v>
      </c>
      <c r="D77" s="68">
        <v>2</v>
      </c>
      <c r="E77" s="68" t="s">
        <v>429</v>
      </c>
    </row>
    <row r="78" spans="1:5">
      <c r="A78" s="68">
        <v>0.29753000000000002</v>
      </c>
      <c r="B78" s="68">
        <v>0.275451</v>
      </c>
      <c r="C78" s="68">
        <v>31.026900000000001</v>
      </c>
      <c r="D78" s="68">
        <v>2</v>
      </c>
      <c r="E78" s="68" t="s">
        <v>430</v>
      </c>
    </row>
    <row r="79" spans="1:5">
      <c r="A79" s="68">
        <v>0.29868400000000001</v>
      </c>
      <c r="B79" s="68">
        <v>0.26832099999999998</v>
      </c>
      <c r="C79" s="68">
        <v>31.405000000000001</v>
      </c>
      <c r="D79" s="68">
        <v>2</v>
      </c>
      <c r="E79" s="68" t="s">
        <v>431</v>
      </c>
    </row>
    <row r="80" spans="1:5">
      <c r="A80" s="68">
        <v>0.30014400000000002</v>
      </c>
      <c r="B80" s="68">
        <v>0.26112099999999999</v>
      </c>
      <c r="C80" s="68">
        <v>31.777999999999999</v>
      </c>
      <c r="D80" s="68">
        <v>2</v>
      </c>
      <c r="E80" s="68" t="s">
        <v>432</v>
      </c>
    </row>
    <row r="81" spans="1:5">
      <c r="A81" s="68">
        <v>0.30175299999999999</v>
      </c>
      <c r="B81" s="68">
        <v>0.25413400000000003</v>
      </c>
      <c r="C81" s="68">
        <v>32.155999999999999</v>
      </c>
      <c r="D81" s="68">
        <v>2</v>
      </c>
      <c r="E81" s="68" t="s">
        <v>433</v>
      </c>
    </row>
    <row r="82" spans="1:5">
      <c r="A82" s="68">
        <v>0.30304199999999998</v>
      </c>
      <c r="B82" s="68">
        <v>0.24840300000000001</v>
      </c>
      <c r="C82" s="68">
        <v>32.560899999999997</v>
      </c>
      <c r="D82" s="68">
        <v>2</v>
      </c>
      <c r="E82" s="68" t="s">
        <v>434</v>
      </c>
    </row>
    <row r="83" spans="1:5">
      <c r="A83" s="68">
        <v>0.30454700000000001</v>
      </c>
      <c r="B83" s="68">
        <v>0.24351100000000001</v>
      </c>
      <c r="C83" s="68">
        <v>32.966700000000003</v>
      </c>
      <c r="D83" s="68">
        <v>2</v>
      </c>
      <c r="E83" s="68" t="s">
        <v>435</v>
      </c>
    </row>
    <row r="84" spans="1:5">
      <c r="A84" s="68">
        <v>0.30617</v>
      </c>
      <c r="B84" s="68">
        <v>0.23985500000000001</v>
      </c>
      <c r="C84" s="68">
        <v>33.374699999999997</v>
      </c>
      <c r="D84" s="68">
        <v>2</v>
      </c>
      <c r="E84" s="68" t="s">
        <v>436</v>
      </c>
    </row>
    <row r="85" spans="1:5">
      <c r="A85" s="68">
        <v>0.30798999999999999</v>
      </c>
      <c r="B85" s="68">
        <v>0.23666599999999999</v>
      </c>
      <c r="C85" s="68">
        <v>33.778599999999997</v>
      </c>
      <c r="D85" s="68">
        <v>2</v>
      </c>
      <c r="E85" s="68" t="s">
        <v>437</v>
      </c>
    </row>
    <row r="86" spans="1:5">
      <c r="A86" s="68">
        <v>0.30989299999999997</v>
      </c>
      <c r="B86" s="68">
        <v>0.233792</v>
      </c>
      <c r="C86" s="68">
        <v>34.186900000000001</v>
      </c>
      <c r="D86" s="68">
        <v>2</v>
      </c>
      <c r="E86" s="68" t="s">
        <v>438</v>
      </c>
    </row>
    <row r="87" spans="1:5">
      <c r="A87" s="68">
        <v>0.31156299999999998</v>
      </c>
      <c r="B87" s="68">
        <v>0.23096900000000001</v>
      </c>
      <c r="C87" s="68">
        <v>34.5944</v>
      </c>
      <c r="D87" s="68">
        <v>2</v>
      </c>
      <c r="E87" s="68" t="s">
        <v>439</v>
      </c>
    </row>
    <row r="88" spans="1:5">
      <c r="A88" s="68">
        <v>0.31342500000000001</v>
      </c>
      <c r="B88" s="68">
        <v>0.228272</v>
      </c>
      <c r="C88" s="68">
        <v>34.996299999999998</v>
      </c>
      <c r="D88" s="68">
        <v>2</v>
      </c>
      <c r="E88" s="68" t="s">
        <v>440</v>
      </c>
    </row>
    <row r="89" spans="1:5">
      <c r="A89" s="68">
        <v>0.31545499999999999</v>
      </c>
      <c r="B89" s="68">
        <v>0.225412</v>
      </c>
      <c r="C89" s="68">
        <v>35.4024</v>
      </c>
      <c r="D89" s="68">
        <v>2</v>
      </c>
      <c r="E89" s="68" t="s">
        <v>441</v>
      </c>
    </row>
    <row r="90" spans="1:5">
      <c r="A90" s="68">
        <v>0.317245</v>
      </c>
      <c r="B90" s="68">
        <v>0.223306</v>
      </c>
      <c r="C90" s="68">
        <v>35.807200000000002</v>
      </c>
      <c r="D90" s="68">
        <v>2</v>
      </c>
      <c r="E90" s="68" t="s">
        <v>442</v>
      </c>
    </row>
    <row r="91" spans="1:5">
      <c r="A91" s="68">
        <v>0.31911099999999998</v>
      </c>
      <c r="B91" s="68">
        <v>0.220411</v>
      </c>
      <c r="C91" s="68">
        <v>36.217100000000002</v>
      </c>
      <c r="D91" s="68">
        <v>2</v>
      </c>
      <c r="E91" s="68" t="s">
        <v>443</v>
      </c>
    </row>
    <row r="92" spans="1:5">
      <c r="A92" s="68">
        <v>0.32070500000000002</v>
      </c>
      <c r="B92" s="68">
        <v>0.218057</v>
      </c>
      <c r="C92" s="68">
        <v>36.622999999999998</v>
      </c>
      <c r="D92" s="68">
        <v>2</v>
      </c>
      <c r="E92" s="68" t="s">
        <v>444</v>
      </c>
    </row>
    <row r="93" spans="1:5">
      <c r="A93" s="68">
        <v>0.32227499999999998</v>
      </c>
      <c r="B93" s="68">
        <v>0.21620600000000001</v>
      </c>
      <c r="C93" s="68">
        <v>37.026899999999998</v>
      </c>
      <c r="D93" s="68">
        <v>2</v>
      </c>
      <c r="E93" s="68" t="s">
        <v>445</v>
      </c>
    </row>
    <row r="94" spans="1:5">
      <c r="A94" s="68">
        <v>0.32385199999999997</v>
      </c>
      <c r="B94" s="68">
        <v>0.21444099999999999</v>
      </c>
      <c r="C94" s="68">
        <v>37.435299999999998</v>
      </c>
      <c r="D94" s="68">
        <v>2</v>
      </c>
      <c r="E94" s="68" t="s">
        <v>446</v>
      </c>
    </row>
    <row r="95" spans="1:5">
      <c r="A95" s="68">
        <v>0.32550299999999999</v>
      </c>
      <c r="B95" s="68">
        <v>0.21241599999999999</v>
      </c>
      <c r="C95" s="68">
        <v>37.844799999999999</v>
      </c>
      <c r="D95" s="68">
        <v>2</v>
      </c>
      <c r="E95" s="68" t="s">
        <v>447</v>
      </c>
    </row>
    <row r="96" spans="1:5">
      <c r="A96" s="68">
        <v>0.32702599999999998</v>
      </c>
      <c r="B96" s="68">
        <v>0.21048800000000001</v>
      </c>
      <c r="C96" s="68">
        <v>38.250599999999999</v>
      </c>
      <c r="D96" s="68">
        <v>2</v>
      </c>
      <c r="E96" s="68" t="s">
        <v>448</v>
      </c>
    </row>
    <row r="97" spans="1:5">
      <c r="A97" s="68">
        <v>0.32863100000000001</v>
      </c>
      <c r="B97" s="68">
        <v>0.20851</v>
      </c>
      <c r="C97" s="68">
        <v>38.657600000000002</v>
      </c>
      <c r="D97" s="68">
        <v>2</v>
      </c>
      <c r="E97" s="68" t="s">
        <v>449</v>
      </c>
    </row>
    <row r="98" spans="1:5">
      <c r="A98" s="68">
        <v>0.32972400000000002</v>
      </c>
      <c r="B98" s="68">
        <v>0.20574300000000001</v>
      </c>
      <c r="C98" s="68">
        <v>39.059399999999997</v>
      </c>
      <c r="D98" s="68">
        <v>2</v>
      </c>
      <c r="E98" s="68" t="s">
        <v>450</v>
      </c>
    </row>
    <row r="99" spans="1:5">
      <c r="A99" s="68">
        <v>0.33074900000000002</v>
      </c>
      <c r="B99" s="68">
        <v>0.202595</v>
      </c>
      <c r="C99" s="68">
        <v>39.464399999999998</v>
      </c>
      <c r="D99" s="68">
        <v>2</v>
      </c>
      <c r="E99" s="68" t="s">
        <v>451</v>
      </c>
    </row>
    <row r="100" spans="1:5">
      <c r="A100" s="68">
        <v>0.331617</v>
      </c>
      <c r="B100" s="68">
        <v>0.19916900000000001</v>
      </c>
      <c r="C100" s="68">
        <v>39.8733</v>
      </c>
      <c r="D100" s="68">
        <v>2</v>
      </c>
      <c r="E100" s="68" t="s">
        <v>452</v>
      </c>
    </row>
    <row r="101" spans="1:5">
      <c r="A101" s="68">
        <v>0.33249899999999999</v>
      </c>
      <c r="B101" s="68">
        <v>0.19517599999999999</v>
      </c>
      <c r="C101" s="68">
        <v>40.280200000000001</v>
      </c>
      <c r="D101" s="68">
        <v>2</v>
      </c>
      <c r="E101" s="68" t="s">
        <v>453</v>
      </c>
    </row>
    <row r="102" spans="1:5">
      <c r="A102" s="68">
        <v>0.333233</v>
      </c>
      <c r="B102" s="68">
        <v>0.191661</v>
      </c>
      <c r="C102" s="68">
        <v>40.684100000000001</v>
      </c>
      <c r="D102" s="68">
        <v>2</v>
      </c>
      <c r="E102" s="68" t="s">
        <v>454</v>
      </c>
    </row>
    <row r="103" spans="1:5">
      <c r="A103" s="68">
        <v>0.33354400000000001</v>
      </c>
      <c r="B103" s="68">
        <v>0.18904599999999999</v>
      </c>
      <c r="C103" s="68">
        <v>41.089100000000002</v>
      </c>
      <c r="D103" s="68">
        <v>2</v>
      </c>
      <c r="E103" s="68" t="s">
        <v>455</v>
      </c>
    </row>
    <row r="104" spans="1:5">
      <c r="A104" s="68">
        <v>0.333783</v>
      </c>
      <c r="B104" s="68">
        <v>0.18657899999999999</v>
      </c>
      <c r="C104" s="68">
        <v>41.496299999999998</v>
      </c>
      <c r="D104" s="68">
        <v>2</v>
      </c>
      <c r="E104" s="68" t="s">
        <v>456</v>
      </c>
    </row>
    <row r="105" spans="1:5">
      <c r="A105" s="68">
        <v>0.333866</v>
      </c>
      <c r="B105" s="68">
        <v>0.18492600000000001</v>
      </c>
      <c r="C105" s="68">
        <v>41.9009</v>
      </c>
      <c r="D105" s="68">
        <v>2</v>
      </c>
      <c r="E105" s="68" t="s">
        <v>457</v>
      </c>
    </row>
    <row r="106" spans="1:5">
      <c r="A106" s="68">
        <v>0.33433600000000002</v>
      </c>
      <c r="B106" s="68">
        <v>0.18404400000000001</v>
      </c>
      <c r="C106" s="68">
        <v>42.311999999999998</v>
      </c>
      <c r="D106" s="68">
        <v>2</v>
      </c>
      <c r="E106" s="68" t="s">
        <v>458</v>
      </c>
    </row>
    <row r="107" spans="1:5">
      <c r="A107" s="68">
        <v>0.33532000000000001</v>
      </c>
      <c r="B107" s="68">
        <v>0.18306500000000001</v>
      </c>
      <c r="C107" s="68">
        <v>42.718600000000002</v>
      </c>
      <c r="D107" s="68">
        <v>2</v>
      </c>
      <c r="E107" s="68" t="s">
        <v>459</v>
      </c>
    </row>
    <row r="108" spans="1:5">
      <c r="A108" s="68">
        <v>0.33638099999999999</v>
      </c>
      <c r="B108" s="68">
        <v>0.182615</v>
      </c>
      <c r="C108" s="68">
        <v>43.122599999999998</v>
      </c>
      <c r="D108" s="68">
        <v>2</v>
      </c>
      <c r="E108" s="68" t="s">
        <v>460</v>
      </c>
    </row>
    <row r="109" spans="1:5">
      <c r="A109" s="68">
        <v>0.33751799999999998</v>
      </c>
      <c r="B109" s="68">
        <v>0.18187400000000001</v>
      </c>
      <c r="C109" s="68">
        <v>43.526499999999999</v>
      </c>
      <c r="D109" s="68">
        <v>2</v>
      </c>
      <c r="E109" s="68" t="s">
        <v>461</v>
      </c>
    </row>
    <row r="110" spans="1:5">
      <c r="A110" s="68">
        <v>0.33860499999999999</v>
      </c>
      <c r="B110" s="68">
        <v>0.18082899999999999</v>
      </c>
      <c r="C110" s="68">
        <v>43.933399999999999</v>
      </c>
      <c r="D110" s="68">
        <v>2</v>
      </c>
      <c r="E110" s="68" t="s">
        <v>462</v>
      </c>
    </row>
    <row r="111" spans="1:5">
      <c r="A111" s="68">
        <v>0.33976800000000001</v>
      </c>
      <c r="B111" s="68">
        <v>0.179786</v>
      </c>
      <c r="C111" s="68">
        <v>44.3414</v>
      </c>
      <c r="D111" s="68">
        <v>2</v>
      </c>
      <c r="E111" s="68" t="s">
        <v>463</v>
      </c>
    </row>
    <row r="112" spans="1:5">
      <c r="A112" s="68">
        <v>0.341256</v>
      </c>
      <c r="B112" s="68">
        <v>0.179586</v>
      </c>
      <c r="C112" s="68">
        <v>44.748399999999997</v>
      </c>
      <c r="D112" s="68">
        <v>2</v>
      </c>
      <c r="E112" s="68" t="s">
        <v>464</v>
      </c>
    </row>
    <row r="113" spans="1:5">
      <c r="A113" s="68">
        <v>0.34250700000000001</v>
      </c>
      <c r="B113" s="68">
        <v>0.179257</v>
      </c>
      <c r="C113" s="68">
        <v>45.154200000000003</v>
      </c>
      <c r="D113" s="68">
        <v>2</v>
      </c>
      <c r="E113" s="68" t="s">
        <v>465</v>
      </c>
    </row>
    <row r="114" spans="1:5">
      <c r="A114" s="68">
        <v>0.34346900000000002</v>
      </c>
      <c r="B114" s="68">
        <v>0.17927199999999999</v>
      </c>
      <c r="C114" s="68">
        <v>45.556100000000001</v>
      </c>
      <c r="D114" s="68">
        <v>2</v>
      </c>
      <c r="E114" s="68" t="s">
        <v>466</v>
      </c>
    </row>
    <row r="115" spans="1:5">
      <c r="A115" s="68">
        <v>0.34461000000000003</v>
      </c>
      <c r="B115" s="68">
        <v>0.17916199999999999</v>
      </c>
      <c r="C115" s="68">
        <v>45.9651</v>
      </c>
      <c r="D115" s="68">
        <v>2</v>
      </c>
      <c r="E115" s="68" t="s">
        <v>467</v>
      </c>
    </row>
    <row r="116" spans="1:5">
      <c r="A116" s="68">
        <v>0.34560600000000002</v>
      </c>
      <c r="B116" s="68">
        <v>0.179373</v>
      </c>
      <c r="C116" s="68">
        <v>46.372799999999998</v>
      </c>
      <c r="D116" s="68">
        <v>2</v>
      </c>
      <c r="E116" s="68" t="s">
        <v>468</v>
      </c>
    </row>
    <row r="117" spans="1:5">
      <c r="A117" s="68">
        <v>0.34689300000000001</v>
      </c>
      <c r="B117" s="68">
        <v>0.17969299999999999</v>
      </c>
      <c r="C117" s="68">
        <v>46.780799999999999</v>
      </c>
      <c r="D117" s="68">
        <v>2</v>
      </c>
      <c r="E117" s="68" t="s">
        <v>469</v>
      </c>
    </row>
    <row r="118" spans="1:5">
      <c r="A118" s="68">
        <v>0.34805399999999997</v>
      </c>
      <c r="B118" s="68">
        <v>0.18018300000000001</v>
      </c>
      <c r="C118" s="68">
        <v>47.186799999999998</v>
      </c>
      <c r="D118" s="68">
        <v>2</v>
      </c>
      <c r="E118" s="68" t="s">
        <v>470</v>
      </c>
    </row>
    <row r="119" spans="1:5">
      <c r="A119" s="68">
        <v>0.34873999999999999</v>
      </c>
      <c r="B119" s="68">
        <v>0.18046000000000001</v>
      </c>
      <c r="C119" s="68">
        <v>47.593800000000002</v>
      </c>
      <c r="D119" s="68">
        <v>2</v>
      </c>
      <c r="E119" s="68" t="s">
        <v>471</v>
      </c>
    </row>
    <row r="120" spans="1:5">
      <c r="A120" s="68">
        <v>0.34876600000000002</v>
      </c>
      <c r="B120" s="68">
        <v>0.180921</v>
      </c>
      <c r="C120" s="68">
        <v>48.001600000000003</v>
      </c>
      <c r="D120" s="68">
        <v>2</v>
      </c>
      <c r="E120" s="68" t="s">
        <v>472</v>
      </c>
    </row>
    <row r="121" spans="1:5">
      <c r="A121" s="68">
        <v>0.34819800000000001</v>
      </c>
      <c r="B121" s="68">
        <v>0.18198500000000001</v>
      </c>
      <c r="C121" s="68">
        <v>48.406500000000001</v>
      </c>
      <c r="D121" s="68">
        <v>2</v>
      </c>
      <c r="E121" s="68" t="s">
        <v>473</v>
      </c>
    </row>
    <row r="122" spans="1:5">
      <c r="A122" s="68">
        <v>0.34693299999999999</v>
      </c>
      <c r="B122" s="68">
        <v>0.18301100000000001</v>
      </c>
      <c r="C122" s="68">
        <v>48.811500000000002</v>
      </c>
      <c r="D122" s="68">
        <v>2</v>
      </c>
      <c r="E122" s="68" t="s">
        <v>474</v>
      </c>
    </row>
    <row r="123" spans="1:5">
      <c r="A123" s="68">
        <v>0.345609</v>
      </c>
      <c r="B123" s="68">
        <v>0.18478600000000001</v>
      </c>
      <c r="C123" s="68">
        <v>49.218400000000003</v>
      </c>
      <c r="D123" s="68">
        <v>2</v>
      </c>
      <c r="E123" s="68" t="s">
        <v>475</v>
      </c>
    </row>
    <row r="124" spans="1:5">
      <c r="A124" s="68">
        <v>0.34409200000000001</v>
      </c>
      <c r="B124" s="68">
        <v>0.18750600000000001</v>
      </c>
      <c r="C124" s="68">
        <v>49.621200000000002</v>
      </c>
      <c r="D124" s="68">
        <v>2</v>
      </c>
      <c r="E124" s="68" t="s">
        <v>476</v>
      </c>
    </row>
    <row r="125" spans="1:5">
      <c r="A125" s="68">
        <v>0.34331699999999998</v>
      </c>
      <c r="B125" s="68">
        <v>0.19006100000000001</v>
      </c>
      <c r="C125" s="68">
        <v>50.028399999999998</v>
      </c>
      <c r="D125" s="68">
        <v>2</v>
      </c>
      <c r="E125" s="68" t="s">
        <v>477</v>
      </c>
    </row>
    <row r="126" spans="1:5">
      <c r="A126" s="68">
        <v>0.34309899999999999</v>
      </c>
      <c r="B126" s="68">
        <v>0.19245200000000001</v>
      </c>
      <c r="C126" s="68">
        <v>50.435000000000002</v>
      </c>
      <c r="D126" s="68">
        <v>2</v>
      </c>
      <c r="E126" s="68" t="s">
        <v>478</v>
      </c>
    </row>
    <row r="127" spans="1:5">
      <c r="A127" s="68">
        <v>0.342858</v>
      </c>
      <c r="B127" s="68">
        <v>0.195103</v>
      </c>
      <c r="C127" s="68">
        <v>50.841900000000003</v>
      </c>
      <c r="D127" s="68">
        <v>2</v>
      </c>
      <c r="E127" s="68" t="s">
        <v>479</v>
      </c>
    </row>
    <row r="128" spans="1:5">
      <c r="A128" s="68">
        <v>0.34295799999999999</v>
      </c>
      <c r="B128" s="68">
        <v>0.19759399999999999</v>
      </c>
      <c r="C128" s="68">
        <v>51.2498</v>
      </c>
      <c r="D128" s="68">
        <v>2</v>
      </c>
      <c r="E128" s="68" t="s">
        <v>480</v>
      </c>
    </row>
    <row r="129" spans="1:5">
      <c r="A129" s="68">
        <v>0.34295100000000001</v>
      </c>
      <c r="B129" s="68">
        <v>0.199656</v>
      </c>
      <c r="C129" s="68">
        <v>51.651800000000001</v>
      </c>
      <c r="D129" s="68">
        <v>2</v>
      </c>
      <c r="E129" s="68" t="s">
        <v>481</v>
      </c>
    </row>
    <row r="130" spans="1:5">
      <c r="A130" s="68">
        <v>0.34289900000000001</v>
      </c>
      <c r="B130" s="68">
        <v>0.20125699999999999</v>
      </c>
      <c r="C130" s="68">
        <v>52.057699999999997</v>
      </c>
      <c r="D130" s="68">
        <v>2</v>
      </c>
      <c r="E130" s="68" t="s">
        <v>482</v>
      </c>
    </row>
    <row r="131" spans="1:5">
      <c r="A131" s="68">
        <v>0.34256500000000001</v>
      </c>
      <c r="B131" s="68">
        <v>0.20260500000000001</v>
      </c>
      <c r="C131" s="68">
        <v>52.464599999999997</v>
      </c>
      <c r="D131" s="68">
        <v>2</v>
      </c>
      <c r="E131" s="68" t="s">
        <v>483</v>
      </c>
    </row>
    <row r="132" spans="1:5">
      <c r="A132" s="68">
        <v>0.34200700000000001</v>
      </c>
      <c r="B132" s="68">
        <v>0.203731</v>
      </c>
      <c r="C132" s="68">
        <v>52.874699999999997</v>
      </c>
      <c r="D132" s="68">
        <v>2</v>
      </c>
      <c r="E132" s="68" t="s">
        <v>484</v>
      </c>
    </row>
    <row r="133" spans="1:5">
      <c r="A133" s="68">
        <v>0.34141199999999999</v>
      </c>
      <c r="B133" s="68">
        <v>0.20437900000000001</v>
      </c>
      <c r="C133" s="68">
        <v>53.280299999999997</v>
      </c>
      <c r="D133" s="68">
        <v>2</v>
      </c>
      <c r="E133" s="68" t="s">
        <v>485</v>
      </c>
    </row>
    <row r="134" spans="1:5">
      <c r="A134" s="68">
        <v>0.34064800000000001</v>
      </c>
      <c r="B134" s="68">
        <v>0.20527200000000001</v>
      </c>
      <c r="C134" s="68">
        <v>53.686300000000003</v>
      </c>
      <c r="D134" s="68">
        <v>2</v>
      </c>
      <c r="E134" s="68" t="s">
        <v>486</v>
      </c>
    </row>
    <row r="135" spans="1:5">
      <c r="A135" s="68">
        <v>0.33972000000000002</v>
      </c>
      <c r="B135" s="68">
        <v>0.20696100000000001</v>
      </c>
      <c r="C135" s="68">
        <v>54.0944</v>
      </c>
      <c r="D135" s="68">
        <v>2</v>
      </c>
      <c r="E135" s="68" t="s">
        <v>487</v>
      </c>
    </row>
    <row r="136" spans="1:5">
      <c r="A136" s="68">
        <v>0.33848600000000001</v>
      </c>
      <c r="B136" s="68">
        <v>0.20933299999999999</v>
      </c>
      <c r="C136" s="68">
        <v>54.498399999999997</v>
      </c>
      <c r="D136" s="68">
        <v>2</v>
      </c>
      <c r="E136" s="68" t="s">
        <v>488</v>
      </c>
    </row>
    <row r="137" spans="1:5">
      <c r="A137" s="68">
        <v>0.33680100000000002</v>
      </c>
      <c r="B137" s="68">
        <v>0.211672</v>
      </c>
      <c r="C137" s="68">
        <v>54.9011</v>
      </c>
      <c r="D137" s="68">
        <v>2</v>
      </c>
      <c r="E137" s="68" t="s">
        <v>489</v>
      </c>
    </row>
    <row r="138" spans="1:5">
      <c r="A138" s="68">
        <v>0.33492100000000002</v>
      </c>
      <c r="B138" s="68">
        <v>0.214277</v>
      </c>
      <c r="C138" s="68">
        <v>55.309899999999999</v>
      </c>
      <c r="D138" s="68">
        <v>2</v>
      </c>
      <c r="E138" s="68" t="s">
        <v>490</v>
      </c>
    </row>
    <row r="139" spans="1:5">
      <c r="A139" s="68">
        <v>0.33308199999999999</v>
      </c>
      <c r="B139" s="68">
        <v>0.21625</v>
      </c>
      <c r="C139" s="68">
        <v>55.718000000000004</v>
      </c>
      <c r="D139" s="68">
        <v>2</v>
      </c>
      <c r="E139" s="68" t="s">
        <v>491</v>
      </c>
    </row>
    <row r="140" spans="1:5">
      <c r="A140" s="68">
        <v>0.330984</v>
      </c>
      <c r="B140" s="68">
        <v>0.21874399999999999</v>
      </c>
      <c r="C140" s="68">
        <v>56.121400000000001</v>
      </c>
      <c r="D140" s="68">
        <v>2</v>
      </c>
      <c r="E140" s="68" t="s">
        <v>492</v>
      </c>
    </row>
    <row r="141" spans="1:5">
      <c r="A141" s="68">
        <v>0.32822800000000002</v>
      </c>
      <c r="B141" s="68">
        <v>0.222603</v>
      </c>
      <c r="C141" s="68">
        <v>56.529699999999998</v>
      </c>
      <c r="D141" s="68">
        <v>2</v>
      </c>
      <c r="E141" s="68" t="s">
        <v>493</v>
      </c>
    </row>
    <row r="142" spans="1:5">
      <c r="A142" s="68">
        <v>0.32459900000000003</v>
      </c>
      <c r="B142" s="68">
        <v>0.227851</v>
      </c>
      <c r="C142" s="68">
        <v>56.933700000000002</v>
      </c>
      <c r="D142" s="68">
        <v>2</v>
      </c>
      <c r="E142" s="68" t="s">
        <v>494</v>
      </c>
    </row>
    <row r="143" spans="1:5">
      <c r="A143" s="68">
        <v>0.320135</v>
      </c>
      <c r="B143" s="68">
        <v>0.233902</v>
      </c>
      <c r="C143" s="68">
        <v>57.341500000000003</v>
      </c>
      <c r="D143" s="68">
        <v>2</v>
      </c>
      <c r="E143" s="68" t="s">
        <v>495</v>
      </c>
    </row>
    <row r="144" spans="1:5">
      <c r="A144" s="68">
        <v>0.31584400000000001</v>
      </c>
      <c r="B144" s="68">
        <v>0.24155699999999999</v>
      </c>
      <c r="C144" s="68">
        <v>57.748699999999999</v>
      </c>
      <c r="D144" s="68">
        <v>2</v>
      </c>
      <c r="E144" s="68" t="s">
        <v>496</v>
      </c>
    </row>
    <row r="145" spans="1:5">
      <c r="A145" s="68">
        <v>0.31159799999999999</v>
      </c>
      <c r="B145" s="68">
        <v>0.24820500000000001</v>
      </c>
      <c r="C145" s="68">
        <v>58.156399999999998</v>
      </c>
      <c r="D145" s="68">
        <v>2</v>
      </c>
      <c r="E145" s="68" t="s">
        <v>497</v>
      </c>
    </row>
    <row r="146" spans="1:5">
      <c r="A146" s="68">
        <v>0.30847400000000003</v>
      </c>
      <c r="B146" s="68">
        <v>0.25184800000000002</v>
      </c>
      <c r="C146" s="68">
        <v>58.5623</v>
      </c>
      <c r="D146" s="68">
        <v>2</v>
      </c>
      <c r="E146" s="68" t="s">
        <v>498</v>
      </c>
    </row>
    <row r="147" spans="1:5">
      <c r="A147" s="68">
        <v>0.30628300000000003</v>
      </c>
      <c r="B147" s="68">
        <v>0.25318000000000002</v>
      </c>
      <c r="C147" s="68">
        <v>58.968400000000003</v>
      </c>
      <c r="D147" s="68">
        <v>2</v>
      </c>
      <c r="E147" s="68" t="s">
        <v>499</v>
      </c>
    </row>
    <row r="148" spans="1:5">
      <c r="A148" s="68">
        <v>0.30418400000000001</v>
      </c>
      <c r="B148" s="68">
        <v>0.26123099999999999</v>
      </c>
      <c r="C148" s="68">
        <v>59.374099999999999</v>
      </c>
      <c r="D148" s="68">
        <v>2</v>
      </c>
      <c r="E148" s="68" t="s">
        <v>500</v>
      </c>
    </row>
    <row r="149" spans="1:5">
      <c r="A149" s="68">
        <v>0.30217100000000002</v>
      </c>
      <c r="B149" s="68">
        <v>0.26622899999999999</v>
      </c>
      <c r="C149" s="68">
        <v>59.7791</v>
      </c>
      <c r="D149" s="68">
        <v>2</v>
      </c>
      <c r="E149" s="68" t="s">
        <v>501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502</v>
      </c>
      <c r="B1" s="66" t="s">
        <v>503</v>
      </c>
      <c r="C1" s="66" t="s">
        <v>505</v>
      </c>
      <c r="D1" s="66" t="s">
        <v>506</v>
      </c>
      <c r="E1" s="66" t="s">
        <v>507</v>
      </c>
      <c r="F1" s="66" t="s">
        <v>293</v>
      </c>
      <c r="G1" s="66" t="s">
        <v>294</v>
      </c>
      <c r="H1" s="66" t="s">
        <v>508</v>
      </c>
      <c r="I1" s="66" t="s">
        <v>509</v>
      </c>
      <c r="J1" s="66" t="s">
        <v>510</v>
      </c>
      <c r="K1" s="66" t="s">
        <v>511</v>
      </c>
      <c r="L1" s="66" t="s">
        <v>512</v>
      </c>
      <c r="M1" s="66" t="s">
        <v>513</v>
      </c>
      <c r="N1" s="66"/>
    </row>
    <row r="2" spans="1:14">
      <c r="A2" s="75">
        <v>43607.470625000002</v>
      </c>
      <c r="B2" s="66" t="s">
        <v>504</v>
      </c>
      <c r="C2" s="66"/>
      <c r="D2" s="66"/>
      <c r="E2" s="66">
        <v>4.9234099999999996</v>
      </c>
      <c r="F2" s="66">
        <v>1.58965</v>
      </c>
      <c r="G2" s="66">
        <v>0.76697400000000004</v>
      </c>
      <c r="H2" s="66">
        <v>0</v>
      </c>
      <c r="I2" s="66">
        <v>83863</v>
      </c>
      <c r="J2" s="66">
        <v>67</v>
      </c>
      <c r="K2" s="66">
        <v>67</v>
      </c>
      <c r="L2" s="66">
        <v>0</v>
      </c>
      <c r="M2" s="66" t="s">
        <v>514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2019-05-22T03:18:23Z</cp:lastPrinted>
  <dcterms:created xsi:type="dcterms:W3CDTF">2010-10-29T12:53:05Z</dcterms:created>
  <dcterms:modified xsi:type="dcterms:W3CDTF">2019-05-22T03:18:38Z</dcterms:modified>
</cp:coreProperties>
</file>