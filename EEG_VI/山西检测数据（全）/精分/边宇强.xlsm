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<sst xmlns="http://schemas.openxmlformats.org/spreadsheetml/2006/main" count="701" uniqueCount="571">
  <si>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</si>
  <si>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</si>
  <si>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</si>
  <si>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</si>
  <si>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</si>
  <si>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</si>
  <si>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</si>
  <si>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</si>
  <si>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</si>
  <si>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</si>
  <si>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</si>
  <si>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</si>
  <si>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</si>
  <si>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</si>
  <si>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</si>
  <si>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</si>
  <si>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</si>
  <si>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</si>
  <si>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</si>
  <si>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</si>
  <si>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</si>
  <si>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</si>
  <si>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</si>
  <si>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</si>
  <si>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</si>
  <si>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</si>
  <si>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</si>
  <si>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</si>
  <si>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</si>
  <si>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</si>
  <si>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</si>
  <si>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</si>
  <si>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</si>
  <si>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</si>
  <si>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</si>
  <si>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</si>
  <si>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</si>
  <si>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</si>
  <si>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</si>
  <si>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</si>
  <si>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</si>
  <si>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</si>
  <si>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</si>
  <si>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</si>
  <si>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</si>
  <si>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</si>
  <si>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</si>
  <si>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</si>
  <si>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</si>
  <si>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</si>
  <si>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</si>
  <si>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</si>
  <si>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</si>
  <si>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</si>
  <si>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</si>
  <si>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</si>
  <si>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</si>
  <si>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</si>
  <si>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</si>
  <si>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</si>
  <si>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</si>
  <si>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</si>
  <si>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</si>
  <si>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</si>
  <si>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</si>
  <si>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</si>
  <si>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</si>
  <si>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</si>
  <si>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</si>
  <si>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</si>
  <si>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</si>
  <si>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</si>
  <si>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</si>
  <si>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</si>
  <si>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</si>
  <si>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</si>
  <si>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</si>
  <si>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</si>
  <si>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</si>
  <si>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</si>
  <si>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</si>
  <si>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</si>
  <si>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</si>
  <si>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</si>
  <si>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</si>
  <si>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</si>
  <si>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</si>
  <si>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</si>
  <si>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</si>
  <si>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</si>
  <si>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</si>
  <si>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</si>
  <si>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</si>
  <si>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</si>
  <si>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</si>
  <si>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</si>
  <si>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</si>
  <si>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</si>
  <si>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</si>
  <si>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</si>
  <si>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</si>
  <si>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</si>
  <si>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</si>
  <si>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</si>
  <si>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</si>
  <si>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</si>
  <si>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</si>
  <si>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</si>
  <si>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</si>
  <si>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</si>
  <si>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</si>
  <si>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</si>
  <si>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</si>
  <si>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</si>
  <si>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</si>
  <si>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</si>
  <si>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</si>
  <si>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</si>
  <si>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</si>
  <si>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</si>
  <si>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</si>
  <si>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</si>
  <si>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</si>
  <si>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</si>
  <si>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</si>
  <si>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</si>
  <si>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</si>
  <si>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</si>
  <si>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</si>
  <si>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</si>
  <si>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</si>
  <si>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</si>
  <si>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</si>
  <si>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</si>
  <si>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</si>
  <si>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</si>
  <si>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</si>
  <si>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</si>
  <si>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</si>
  <si>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</si>
  <si>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</si>
  <si>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</si>
  <si>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</si>
  <si>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</si>
  <si>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</si>
  <si>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</si>
  <si>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</si>
  <si>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</si>
  <si>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</si>
  <si>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</si>
  <si>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</si>
  <si>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</si>
  <si>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</si>
  <si>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</si>
  <si>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</si>
  <si>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</si>
  <si>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</si>
  <si>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</si>
  <si>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</si>
  <si>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</si>
  <si>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</si>
  <si>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</si>
  <si>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</si>
  <si>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</si>
  <si>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</si>
  <si>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</si>
  <si>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</si>
  <si>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</si>
  <si>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</si>
  <si>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</si>
  <si>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</si>
  <si>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</si>
  <si>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</si>
  <si>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</si>
  <si>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</si>
  <si>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</si>
  <si>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</si>
  <si>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</si>
  <si>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</si>
  <si>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</si>
  <si>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</si>
  <si>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</si>
  <si>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</si>
  <si>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</si>
  <si>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</si>
  <si>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</si>
  <si>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</si>
  <si>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</si>
  <si>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</si>
  <si>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</si>
  <si>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</si>
  <si>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</si>
  <si>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</si>
  <si>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</si>
  <si>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</si>
  <si>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</si>
  <si>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</si>
  <si>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</si>
  <si>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</si>
  <si>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</si>
  <si>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</si>
  <si>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</si>
  <si>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</si>
  <si>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</si>
  <si>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</si>
  <si>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</si>
  <si>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</si>
  <si>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</si>
  <si>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</si>
  <si>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</si>
  <si>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</si>
  <si>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</si>
  <si>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</si>
  <si>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</si>
  <si>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</si>
  <si>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</si>
  <si>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</si>
  <si>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</si>
  <si>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</si>
  <si>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</si>
  <si>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</si>
  <si>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</si>
  <si>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</si>
  <si>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</si>
  <si>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</si>
  <si>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</si>
  <si>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</si>
  <si>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</si>
  <si>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</si>
  <si>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</si>
  <si>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</si>
  <si>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</si>
  <si>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</si>
  <si>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</si>
  <si>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</si>
  <si>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</si>
  <si>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</si>
  <si>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</si>
  <si>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</si>
  <si>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</si>
  <si>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</si>
  <si>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</si>
  <si>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</si>
  <si>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</si>
  <si>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</si>
  <si>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</si>
  <si>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</si>
  <si>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</si>
  <si>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</si>
  <si>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</si>
  <si>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</si>
  <si>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</si>
  <si>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</si>
  <si>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</si>
  <si>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</si>
  <si>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</si>
  <si>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</si>
  <si>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</si>
  <si>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</si>
  <si>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</si>
  <si>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</si>
  <si>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</si>
  <si>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</si>
  <si>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</si>
  <si>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</si>
  <si>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</si>
  <si>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</si>
  <si>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</si>
  <si>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</si>
  <si>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</si>
  <si>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</si>
  <si>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</si>
  <si>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</si>
  <si>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</si>
  <si>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</si>
  <si>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</si>
  <si>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</si>
  <si>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</si>
  <si>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</si>
  <si>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</si>
  <si>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</si>
  <si>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</si>
  <si>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</si>
  <si>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</si>
  <si>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</si>
  <si>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</si>
  <si>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</si>
  <si>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</si>
  <si>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</si>
  <si>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</si>
  <si>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</si>
  <si>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</si>
  <si>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</si>
  <si>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</si>
  <si>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</si>
  <si>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</si>
  <si>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</si>
  <si>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</si>
  <si>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</si>
  <si>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</si>
  <si>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</si>
  <si>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</si>
  <si>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</si>
  <si>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</si>
  <si>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</si>
  <si>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</si>
  <si>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</si>
  <si>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</si>
  <si>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</si>
  <si>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</si>
  <si>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</si>
  <si>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</si>
  <si>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</si>
  <si>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</si>
  <si>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</si>
  <si>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</si>
  <si>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</si>
  <si>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</si>
  <si>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</si>
  <si>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</si>
  <si>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</si>
  <si>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</si>
  <si>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</si>
  <si>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</si>
  <si>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</si>
  <si>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</si>
  <si>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</si>
  <si>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</si>
  <si>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</si>
  <si>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</si>
  <si>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</si>
  <si>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</si>
  <si>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</si>
  <si>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</si>
  <si>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</si>
  <si>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</si>
  <si>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</si>
  <si>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</si>
  <si>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</si>
  <si>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</si>
  <si>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</si>
  <si>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</si>
  <si>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</si>
  <si>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</si>
  <si>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</si>
  <si>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</si>
  <si>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</si>
  <si>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</si>
  <si>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</si>
  <si>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</si>
  <si>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</si>
  <si>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</si>
  <si>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</si>
  <si>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</si>
  <si>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</si>
  <si>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</si>
  <si>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</si>
  <si>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</si>
  <si>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</si>
  <si>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</si>
  <si>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</si>
  <si>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</si>
  <si>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</si>
  <si>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</si>
  <si>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</si>
  <si>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</si>
  <si>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</si>
  <si>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</si>
  <si>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</si>
  <si>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</si>
  <si>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</si>
  <si>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</si>
  <si>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</si>
  <si>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</si>
  <si>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</si>
  <si>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</si>
  <si>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</si>
  <si>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</si>
  <si>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</si>
  <si>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</si>
  <si>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</si>
  <si>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</si>
  <si>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</si>
  <si>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</si>
  <si>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</si>
  <si>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</si>
  <si>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</si>
  <si>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</si>
  <si>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</si>
  <si>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</si>
  <si>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</si>
  <si>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</si>
  <si>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</si>
  <si>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</si>
  <si>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</si>
  <si>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</si>
  <si>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</si>
  <si>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</si>
  <si>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</si>
  <si>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</si>
  <si>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</si>
  <si>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</si>
  <si>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</si>
  <si>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</si>
  <si>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</si>
  <si>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</si>
  <si>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</si>
  <si>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</si>
  <si>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</si>
  <si>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</si>
  <si>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[0.363742]</t>
  </si>
  <si>
    <t>1 [0.769679]</t>
  </si>
  <si>
    <t>1 [1.176130]</t>
  </si>
  <si>
    <t>1 [1.584103]</t>
  </si>
  <si>
    <t>1 [1.990278]</t>
  </si>
  <si>
    <t>1 [2.394497]</t>
  </si>
  <si>
    <t>1 [2.804416]</t>
  </si>
  <si>
    <t>1 [3.209907]</t>
  </si>
  <si>
    <t>1 [3.617129]</t>
  </si>
  <si>
    <t>1 [4.021023]</t>
  </si>
  <si>
    <t>1 [4.426562]</t>
  </si>
  <si>
    <t>1 [4.835508]</t>
  </si>
  <si>
    <t>1 [5.242873]</t>
  </si>
  <si>
    <t>1 [5.648027]</t>
  </si>
  <si>
    <t>1 [6.055492]</t>
  </si>
  <si>
    <t>1 [6.460202]</t>
  </si>
  <si>
    <t>1 [6.863985]</t>
  </si>
  <si>
    <t>1 [7.273677]</t>
  </si>
  <si>
    <t>1 [7.678723]</t>
  </si>
  <si>
    <t>1 [8.082092]</t>
  </si>
  <si>
    <t>1 [8.488712]</t>
  </si>
  <si>
    <t>1 [8.895272]</t>
  </si>
  <si>
    <t>1 [9.303916]</t>
  </si>
  <si>
    <t>1 [9.711100]</t>
  </si>
  <si>
    <t>1 [10.116289]</t>
  </si>
  <si>
    <t>1 [10.520436]</t>
  </si>
  <si>
    <t>1 [10.924388]</t>
  </si>
  <si>
    <t>1 [11.334172]</t>
  </si>
  <si>
    <t>1 [11.740435]</t>
  </si>
  <si>
    <t>1 [12.146242]</t>
  </si>
  <si>
    <t>1 [12.551214]</t>
  </si>
  <si>
    <t>1 [12.960806]</t>
  </si>
  <si>
    <t>1 [13.367489]</t>
  </si>
  <si>
    <t>1 [13.771704]</t>
  </si>
  <si>
    <t>1 [14.177970]</t>
  </si>
  <si>
    <t>1 [14.583417]</t>
  </si>
  <si>
    <t>1 [14.988692]</t>
  </si>
  <si>
    <t>1 [15.396372]</t>
  </si>
  <si>
    <t>1 [15.801604]</t>
  </si>
  <si>
    <t>1 [16.210929]</t>
  </si>
  <si>
    <t>1 [16.613639]</t>
  </si>
  <si>
    <t>1 [17.019366]</t>
  </si>
  <si>
    <t>1 [17.425937]</t>
  </si>
  <si>
    <t>1 [17.835124]</t>
  </si>
  <si>
    <t>1 [18.238463]</t>
  </si>
  <si>
    <t>1 [18.648436]</t>
  </si>
  <si>
    <t>1 [19.053914]</t>
  </si>
  <si>
    <t>1 [19.458145]</t>
  </si>
  <si>
    <t>1 [19.863321]</t>
  </si>
  <si>
    <t>1 [20.274185]</t>
  </si>
  <si>
    <t>1 [20.678759]</t>
  </si>
  <si>
    <t>1 [21.083697]</t>
  </si>
  <si>
    <t>1 [21.494236]</t>
  </si>
  <si>
    <t>1 [21.895039]</t>
  </si>
  <si>
    <t>1 [22.302445]</t>
  </si>
  <si>
    <t>1 [22.711081]</t>
  </si>
  <si>
    <t>1 [23.116310]</t>
  </si>
  <si>
    <t>1 [23.522267]</t>
  </si>
  <si>
    <t>1 [23.926318]</t>
  </si>
  <si>
    <t>1 [24.333899]</t>
  </si>
  <si>
    <t>1 [24.739133]</t>
  </si>
  <si>
    <t>1 [25.147114]</t>
  </si>
  <si>
    <t>1 [25.550340]</t>
  </si>
  <si>
    <t>1 [25.959130]</t>
  </si>
  <si>
    <t>1 [26.362947]</t>
  </si>
  <si>
    <t>1 [26.772863]</t>
  </si>
  <si>
    <t>1 [27.178140]</t>
  </si>
  <si>
    <t>1 [27.583651]</t>
  </si>
  <si>
    <t>1 [27.989594]</t>
  </si>
  <si>
    <t>1 [28.395680]</t>
  </si>
  <si>
    <t>1 [28.801284]</t>
  </si>
  <si>
    <t>1 [29.209673]</t>
  </si>
  <si>
    <t>1 [29.617533]</t>
  </si>
  <si>
    <t>2 [30.023151]</t>
  </si>
  <si>
    <t>2 [30.616608]</t>
  </si>
  <si>
    <t>2 [30.991665]</t>
  </si>
  <si>
    <t>2 [31.366655]</t>
  </si>
  <si>
    <t>2 [31.740051]</t>
  </si>
  <si>
    <t>2 [32.113429]</t>
  </si>
  <si>
    <t>2 [32.519677]</t>
  </si>
  <si>
    <t>2 [32.926412]</t>
  </si>
  <si>
    <t>2 [33.334941]</t>
  </si>
  <si>
    <t>2 [33.737543]</t>
  </si>
  <si>
    <t>2 [34.144956]</t>
  </si>
  <si>
    <t>2 [34.555355]</t>
  </si>
  <si>
    <t>2 [34.960455]</t>
  </si>
  <si>
    <t>2 [35.365780]</t>
  </si>
  <si>
    <t>2 [35.770676]</t>
  </si>
  <si>
    <t>2 [36.177451]</t>
  </si>
  <si>
    <t>2 [36.583897]</t>
  </si>
  <si>
    <t>2 [36.994163]</t>
  </si>
  <si>
    <t>2 [37.397732]</t>
  </si>
  <si>
    <t>2 [37.802593]</t>
  </si>
  <si>
    <t>2 [38.206879]</t>
  </si>
  <si>
    <t>2 [38.612190]</t>
  </si>
  <si>
    <t>2 [39.024252]</t>
  </si>
  <si>
    <t>2 [39.428047]</t>
  </si>
  <si>
    <t>2 [39.832278]</t>
  </si>
  <si>
    <t>2 [40.239863]</t>
  </si>
  <si>
    <t>2 [40.647051]</t>
  </si>
  <si>
    <t>2 [41.052720]</t>
  </si>
  <si>
    <t>2 [41.458461]</t>
  </si>
  <si>
    <t>2 [41.866176]</t>
  </si>
  <si>
    <t>2 [42.271280]</t>
  </si>
  <si>
    <t>2 [42.676363]</t>
  </si>
  <si>
    <t>2 [43.084427]</t>
  </si>
  <si>
    <t>2 [43.489110]</t>
  </si>
  <si>
    <t>2 [43.894320]</t>
  </si>
  <si>
    <t>2 [44.303384]</t>
  </si>
  <si>
    <t>2 [44.707985]</t>
  </si>
  <si>
    <t>2 [45.113678]</t>
  </si>
  <si>
    <t>2 [45.521660]</t>
  </si>
  <si>
    <t>2 [45.927349]</t>
  </si>
  <si>
    <t>2 [46.332099]</t>
  </si>
  <si>
    <t>2 [46.739264]</t>
  </si>
  <si>
    <t>2 [47.149695]</t>
  </si>
  <si>
    <t>2 [47.554022]</t>
  </si>
  <si>
    <t>2 [47.958451]</t>
  </si>
  <si>
    <t>2 [48.368307]</t>
  </si>
  <si>
    <t>2 [48.771158]</t>
  </si>
  <si>
    <t>2 [49.178609]</t>
  </si>
  <si>
    <t>2 [49.586991]</t>
  </si>
  <si>
    <t>2 [49.990349]</t>
  </si>
  <si>
    <t>2 [50.396093]</t>
  </si>
  <si>
    <t>2 [50.799880]</t>
  </si>
  <si>
    <t>2 [51.208063]</t>
  </si>
  <si>
    <t>2 [51.612766]</t>
  </si>
  <si>
    <t>2 [52.018333]</t>
  </si>
  <si>
    <t>2 [52.427177]</t>
  </si>
  <si>
    <t>2 [52.834465]</t>
  </si>
  <si>
    <t>2 [53.238994]</t>
  </si>
  <si>
    <t>2 [53.645041]</t>
  </si>
  <si>
    <t>2 [54.050414]</t>
  </si>
  <si>
    <t>2 [54.458948]</t>
  </si>
  <si>
    <t>2 [54.868186]</t>
  </si>
  <si>
    <t>2 [55.271076]</t>
  </si>
  <si>
    <t>2 [55.675554]</t>
  </si>
  <si>
    <t>2 [56.082948]</t>
  </si>
  <si>
    <t>2 [56.490482]</t>
  </si>
  <si>
    <t>2 [56.897571]</t>
  </si>
  <si>
    <t>2 [57.301662]</t>
  </si>
  <si>
    <t>2 [57.710662]</t>
  </si>
  <si>
    <t>2 [58.118115]</t>
  </si>
  <si>
    <t>2 [58.523808]</t>
  </si>
  <si>
    <t>2 [58.927075]</t>
  </si>
  <si>
    <t>2 [59.333876]</t>
  </si>
  <si>
    <t>2 [59.738332]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</si>
  <si>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</si>
  <si>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</si>
  <si>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</si>
  <si>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</si>
  <si>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</si>
  <si>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</si>
  <si>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</si>
  <si>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</si>
  <si>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</si>
  <si>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</si>
  <si>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</si>
  <si>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</si>
  <si>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</si>
  <si>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边宇强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</si>
</sst>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38.164900000000003</c:v>
                </c:pt>
                <c:pt idx="1">
                  <c:v>32.382399999999997</c:v>
                </c:pt>
                <c:pt idx="2">
                  <c:v>35.050400000000003</c:v>
                </c:pt>
                <c:pt idx="3">
                  <c:v>35.2164</c:v>
                </c:pt>
                <c:pt idx="4">
                  <c:v>65.622600000000006</c:v>
                </c:pt>
                <c:pt idx="5">
                  <c:v>72.5852</c:v>
                </c:pt>
                <c:pt idx="6">
                  <c:v>22.948599999999999</c:v>
                </c:pt>
                <c:pt idx="7">
                  <c:v>70.065600000000003</c:v>
                </c:pt>
                <c:pt idx="8">
                  <c:v>13.8819</c:v>
                </c:pt>
                <c:pt idx="9">
                  <c:v>16.087900000000001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0.535266219835977</c:v>
                </c:pt>
                <c:pt idx="1">
                  <c:v>0.32597690101549692</c:v>
                </c:pt>
                <c:pt idx="2">
                  <c:v>0.13875687914852616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1803</c:v>
                </c:pt>
                <c:pt idx="7">
                  <c:v>0</c:v>
                </c:pt>
                <c:pt idx="8">
                  <c:v>7450</c:v>
                </c:pt>
                <c:pt idx="9">
                  <c:v>0</c:v>
                </c:pt>
                <c:pt idx="10">
                  <c:v>0</c:v>
                </c:pt>
                <c:pt idx="11">
                  <c:v>7972</c:v>
                </c:pt>
                <c:pt idx="12">
                  <c:v>0</c:v>
                </c:pt>
                <c:pt idx="13">
                  <c:v>9821</c:v>
                </c:pt>
                <c:pt idx="14">
                  <c:v>0</c:v>
                </c:pt>
                <c:pt idx="15">
                  <c:v>0</c:v>
                </c:pt>
                <c:pt idx="16">
                  <c:v>22122</c:v>
                </c:pt>
                <c:pt idx="17">
                  <c:v>0</c:v>
                </c:pt>
                <c:pt idx="18">
                  <c:v>0</c:v>
                </c:pt>
                <c:pt idx="19">
                  <c:v>42134</c:v>
                </c:pt>
                <c:pt idx="20">
                  <c:v>0</c:v>
                </c:pt>
                <c:pt idx="21">
                  <c:v>54257</c:v>
                </c:pt>
                <c:pt idx="22">
                  <c:v>0</c:v>
                </c:pt>
                <c:pt idx="23">
                  <c:v>0</c:v>
                </c:pt>
                <c:pt idx="24">
                  <c:v>50545</c:v>
                </c:pt>
                <c:pt idx="25">
                  <c:v>0</c:v>
                </c:pt>
                <c:pt idx="26">
                  <c:v>56083</c:v>
                </c:pt>
                <c:pt idx="27">
                  <c:v>0</c:v>
                </c:pt>
                <c:pt idx="28">
                  <c:v>0</c:v>
                </c:pt>
                <c:pt idx="29">
                  <c:v>66313</c:v>
                </c:pt>
                <c:pt idx="30">
                  <c:v>0</c:v>
                </c:pt>
                <c:pt idx="31">
                  <c:v>71839</c:v>
                </c:pt>
                <c:pt idx="32">
                  <c:v>0</c:v>
                </c:pt>
                <c:pt idx="33">
                  <c:v>0</c:v>
                </c:pt>
                <c:pt idx="34">
                  <c:v>65671</c:v>
                </c:pt>
                <c:pt idx="35">
                  <c:v>0</c:v>
                </c:pt>
                <c:pt idx="36">
                  <c:v>0</c:v>
                </c:pt>
                <c:pt idx="37">
                  <c:v>70309</c:v>
                </c:pt>
                <c:pt idx="38">
                  <c:v>0</c:v>
                </c:pt>
                <c:pt idx="39">
                  <c:v>85248</c:v>
                </c:pt>
                <c:pt idx="40">
                  <c:v>0</c:v>
                </c:pt>
                <c:pt idx="41">
                  <c:v>0</c:v>
                </c:pt>
                <c:pt idx="42">
                  <c:v>83976</c:v>
                </c:pt>
                <c:pt idx="43">
                  <c:v>0</c:v>
                </c:pt>
                <c:pt idx="44">
                  <c:v>95159</c:v>
                </c:pt>
                <c:pt idx="45">
                  <c:v>0</c:v>
                </c:pt>
                <c:pt idx="46">
                  <c:v>0</c:v>
                </c:pt>
                <c:pt idx="47">
                  <c:v>104065</c:v>
                </c:pt>
                <c:pt idx="48">
                  <c:v>0</c:v>
                </c:pt>
                <c:pt idx="49">
                  <c:v>114780</c:v>
                </c:pt>
                <c:pt idx="50">
                  <c:v>0</c:v>
                </c:pt>
                <c:pt idx="51">
                  <c:v>0</c:v>
                </c:pt>
                <c:pt idx="52">
                  <c:v>127342</c:v>
                </c:pt>
                <c:pt idx="53">
                  <c:v>0</c:v>
                </c:pt>
                <c:pt idx="54">
                  <c:v>0</c:v>
                </c:pt>
                <c:pt idx="55">
                  <c:v>141941</c:v>
                </c:pt>
                <c:pt idx="56">
                  <c:v>0</c:v>
                </c:pt>
                <c:pt idx="57">
                  <c:v>134892</c:v>
                </c:pt>
                <c:pt idx="58">
                  <c:v>0</c:v>
                </c:pt>
                <c:pt idx="59">
                  <c:v>0</c:v>
                </c:pt>
                <c:pt idx="60">
                  <c:v>137483</c:v>
                </c:pt>
                <c:pt idx="61">
                  <c:v>0</c:v>
                </c:pt>
                <c:pt idx="62">
                  <c:v>129811</c:v>
                </c:pt>
                <c:pt idx="63">
                  <c:v>0</c:v>
                </c:pt>
                <c:pt idx="64">
                  <c:v>0</c:v>
                </c:pt>
                <c:pt idx="65">
                  <c:v>145691</c:v>
                </c:pt>
                <c:pt idx="66">
                  <c:v>0</c:v>
                </c:pt>
                <c:pt idx="67">
                  <c:v>161712</c:v>
                </c:pt>
                <c:pt idx="68">
                  <c:v>0</c:v>
                </c:pt>
                <c:pt idx="69">
                  <c:v>0</c:v>
                </c:pt>
                <c:pt idx="70">
                  <c:v>155976</c:v>
                </c:pt>
                <c:pt idx="71">
                  <c:v>0</c:v>
                </c:pt>
                <c:pt idx="72">
                  <c:v>0</c:v>
                </c:pt>
                <c:pt idx="73">
                  <c:v>155652</c:v>
                </c:pt>
                <c:pt idx="74">
                  <c:v>0</c:v>
                </c:pt>
                <c:pt idx="75">
                  <c:v>155722</c:v>
                </c:pt>
                <c:pt idx="76">
                  <c:v>0</c:v>
                </c:pt>
                <c:pt idx="77">
                  <c:v>0</c:v>
                </c:pt>
                <c:pt idx="78">
                  <c:v>166685</c:v>
                </c:pt>
                <c:pt idx="79">
                  <c:v>0</c:v>
                </c:pt>
                <c:pt idx="80">
                  <c:v>157104</c:v>
                </c:pt>
                <c:pt idx="81">
                  <c:v>0</c:v>
                </c:pt>
                <c:pt idx="82">
                  <c:v>0</c:v>
                </c:pt>
                <c:pt idx="83">
                  <c:v>148440</c:v>
                </c:pt>
                <c:pt idx="84">
                  <c:v>0</c:v>
                </c:pt>
                <c:pt idx="85">
                  <c:v>0</c:v>
                </c:pt>
                <c:pt idx="86">
                  <c:v>145597</c:v>
                </c:pt>
                <c:pt idx="87">
                  <c:v>0</c:v>
                </c:pt>
                <c:pt idx="88">
                  <c:v>131444</c:v>
                </c:pt>
                <c:pt idx="89">
                  <c:v>0</c:v>
                </c:pt>
                <c:pt idx="90">
                  <c:v>0</c:v>
                </c:pt>
                <c:pt idx="91">
                  <c:v>122198</c:v>
                </c:pt>
                <c:pt idx="92">
                  <c:v>0</c:v>
                </c:pt>
                <c:pt idx="93">
                  <c:v>124787</c:v>
                </c:pt>
                <c:pt idx="94">
                  <c:v>0</c:v>
                </c:pt>
                <c:pt idx="95">
                  <c:v>0</c:v>
                </c:pt>
                <c:pt idx="96">
                  <c:v>123841</c:v>
                </c:pt>
                <c:pt idx="97">
                  <c:v>0</c:v>
                </c:pt>
                <c:pt idx="98">
                  <c:v>124322</c:v>
                </c:pt>
                <c:pt idx="99">
                  <c:v>0</c:v>
                </c:pt>
                <c:pt idx="100">
                  <c:v>0</c:v>
                </c:pt>
                <c:pt idx="101">
                  <c:v>126072</c:v>
                </c:pt>
                <c:pt idx="102">
                  <c:v>0</c:v>
                </c:pt>
                <c:pt idx="103">
                  <c:v>0</c:v>
                </c:pt>
                <c:pt idx="104">
                  <c:v>118464</c:v>
                </c:pt>
                <c:pt idx="105">
                  <c:v>0</c:v>
                </c:pt>
                <c:pt idx="106">
                  <c:v>116381</c:v>
                </c:pt>
                <c:pt idx="107">
                  <c:v>0</c:v>
                </c:pt>
                <c:pt idx="108">
                  <c:v>0</c:v>
                </c:pt>
                <c:pt idx="109">
                  <c:v>107996</c:v>
                </c:pt>
                <c:pt idx="110">
                  <c:v>0</c:v>
                </c:pt>
                <c:pt idx="111">
                  <c:v>97949</c:v>
                </c:pt>
                <c:pt idx="112">
                  <c:v>0</c:v>
                </c:pt>
                <c:pt idx="113">
                  <c:v>0</c:v>
                </c:pt>
                <c:pt idx="114">
                  <c:v>91592</c:v>
                </c:pt>
                <c:pt idx="115">
                  <c:v>0</c:v>
                </c:pt>
                <c:pt idx="116">
                  <c:v>89681</c:v>
                </c:pt>
                <c:pt idx="117">
                  <c:v>0</c:v>
                </c:pt>
                <c:pt idx="118">
                  <c:v>0</c:v>
                </c:pt>
                <c:pt idx="119">
                  <c:v>80695</c:v>
                </c:pt>
                <c:pt idx="120">
                  <c:v>0</c:v>
                </c:pt>
                <c:pt idx="121">
                  <c:v>0</c:v>
                </c:pt>
                <c:pt idx="122">
                  <c:v>78554</c:v>
                </c:pt>
                <c:pt idx="123">
                  <c:v>0</c:v>
                </c:pt>
                <c:pt idx="124">
                  <c:v>77893</c:v>
                </c:pt>
                <c:pt idx="125">
                  <c:v>0</c:v>
                </c:pt>
                <c:pt idx="126">
                  <c:v>0</c:v>
                </c:pt>
                <c:pt idx="127">
                  <c:v>75538</c:v>
                </c:pt>
                <c:pt idx="128">
                  <c:v>0</c:v>
                </c:pt>
                <c:pt idx="129">
                  <c:v>76807</c:v>
                </c:pt>
                <c:pt idx="130">
                  <c:v>0</c:v>
                </c:pt>
                <c:pt idx="131">
                  <c:v>0</c:v>
                </c:pt>
                <c:pt idx="132">
                  <c:v>74722</c:v>
                </c:pt>
                <c:pt idx="133">
                  <c:v>0</c:v>
                </c:pt>
                <c:pt idx="134">
                  <c:v>73818</c:v>
                </c:pt>
                <c:pt idx="135">
                  <c:v>0</c:v>
                </c:pt>
                <c:pt idx="136">
                  <c:v>0</c:v>
                </c:pt>
                <c:pt idx="137">
                  <c:v>67403</c:v>
                </c:pt>
                <c:pt idx="138">
                  <c:v>0</c:v>
                </c:pt>
                <c:pt idx="139">
                  <c:v>0</c:v>
                </c:pt>
                <c:pt idx="140">
                  <c:v>64248</c:v>
                </c:pt>
                <c:pt idx="141">
                  <c:v>0</c:v>
                </c:pt>
                <c:pt idx="142">
                  <c:v>53491</c:v>
                </c:pt>
                <c:pt idx="143">
                  <c:v>0</c:v>
                </c:pt>
                <c:pt idx="144">
                  <c:v>0</c:v>
                </c:pt>
                <c:pt idx="145">
                  <c:v>46559</c:v>
                </c:pt>
                <c:pt idx="146">
                  <c:v>0</c:v>
                </c:pt>
                <c:pt idx="147">
                  <c:v>40413</c:v>
                </c:pt>
                <c:pt idx="148">
                  <c:v>0</c:v>
                </c:pt>
                <c:pt idx="149">
                  <c:v>0</c:v>
                </c:pt>
                <c:pt idx="150">
                  <c:v>33285</c:v>
                </c:pt>
                <c:pt idx="151">
                  <c:v>0</c:v>
                </c:pt>
                <c:pt idx="152">
                  <c:v>26929</c:v>
                </c:pt>
                <c:pt idx="153">
                  <c:v>0</c:v>
                </c:pt>
                <c:pt idx="154">
                  <c:v>0</c:v>
                </c:pt>
                <c:pt idx="155">
                  <c:v>22788</c:v>
                </c:pt>
                <c:pt idx="156">
                  <c:v>0</c:v>
                </c:pt>
                <c:pt idx="157">
                  <c:v>0</c:v>
                </c:pt>
                <c:pt idx="158">
                  <c:v>19416</c:v>
                </c:pt>
                <c:pt idx="159">
                  <c:v>0</c:v>
                </c:pt>
                <c:pt idx="160">
                  <c:v>13796</c:v>
                </c:pt>
                <c:pt idx="161">
                  <c:v>0</c:v>
                </c:pt>
                <c:pt idx="162">
                  <c:v>0</c:v>
                </c:pt>
                <c:pt idx="163">
                  <c:v>14730</c:v>
                </c:pt>
                <c:pt idx="164">
                  <c:v>0</c:v>
                </c:pt>
                <c:pt idx="165">
                  <c:v>10277</c:v>
                </c:pt>
                <c:pt idx="166">
                  <c:v>0</c:v>
                </c:pt>
                <c:pt idx="167">
                  <c:v>0</c:v>
                </c:pt>
                <c:pt idx="168">
                  <c:v>9769</c:v>
                </c:pt>
                <c:pt idx="169">
                  <c:v>0</c:v>
                </c:pt>
                <c:pt idx="170">
                  <c:v>0</c:v>
                </c:pt>
                <c:pt idx="171">
                  <c:v>5465</c:v>
                </c:pt>
                <c:pt idx="172">
                  <c:v>0</c:v>
                </c:pt>
                <c:pt idx="173">
                  <c:v>3258</c:v>
                </c:pt>
                <c:pt idx="174">
                  <c:v>0</c:v>
                </c:pt>
                <c:pt idx="175">
                  <c:v>0</c:v>
                </c:pt>
                <c:pt idx="176">
                  <c:v>2505</c:v>
                </c:pt>
                <c:pt idx="177">
                  <c:v>0</c:v>
                </c:pt>
                <c:pt idx="178">
                  <c:v>1068</c:v>
                </c:pt>
                <c:pt idx="179">
                  <c:v>0</c:v>
                </c:pt>
                <c:pt idx="180">
                  <c:v>0</c:v>
                </c:pt>
                <c:pt idx="181">
                  <c:v>493</c:v>
                </c:pt>
                <c:pt idx="182">
                  <c:v>0</c:v>
                </c:pt>
                <c:pt idx="183">
                  <c:v>337</c:v>
                </c:pt>
                <c:pt idx="184">
                  <c:v>0</c:v>
                </c:pt>
                <c:pt idx="185">
                  <c:v>0</c:v>
                </c:pt>
                <c:pt idx="186">
                  <c:v>109</c:v>
                </c:pt>
                <c:pt idx="187">
                  <c:v>0</c:v>
                </c:pt>
                <c:pt idx="188">
                  <c:v>0</c:v>
                </c:pt>
                <c:pt idx="189">
                  <c:v>54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1.5526300000000002</c:v>
                </c:pt>
                <c:pt idx="1">
                  <c:v>1.6034799999999998</c:v>
                </c:pt>
                <c:pt idx="2">
                  <c:v>1.65211</c:v>
                </c:pt>
                <c:pt idx="3">
                  <c:v>1.6998599999999999</c:v>
                </c:pt>
                <c:pt idx="4">
                  <c:v>1.7510700000000001</c:v>
                </c:pt>
                <c:pt idx="5">
                  <c:v>1.8045</c:v>
                </c:pt>
                <c:pt idx="6">
                  <c:v>1.86365</c:v>
                </c:pt>
                <c:pt idx="7">
                  <c:v>1.9264600000000001</c:v>
                </c:pt>
                <c:pt idx="8">
                  <c:v>1.98617</c:v>
                </c:pt>
                <c:pt idx="9">
                  <c:v>2.0432600000000001</c:v>
                </c:pt>
                <c:pt idx="10">
                  <c:v>2.1009700000000002</c:v>
                </c:pt>
                <c:pt idx="11">
                  <c:v>2.1585999999999999</c:v>
                </c:pt>
                <c:pt idx="12">
                  <c:v>2.2147399999999999</c:v>
                </c:pt>
                <c:pt idx="13">
                  <c:v>2.2693599999999998</c:v>
                </c:pt>
                <c:pt idx="14">
                  <c:v>2.3231199999999999</c:v>
                </c:pt>
                <c:pt idx="15">
                  <c:v>2.3752599999999999</c:v>
                </c:pt>
                <c:pt idx="16">
                  <c:v>2.4251800000000001</c:v>
                </c:pt>
                <c:pt idx="17">
                  <c:v>2.4730300000000001</c:v>
                </c:pt>
                <c:pt idx="18">
                  <c:v>2.5188600000000001</c:v>
                </c:pt>
                <c:pt idx="19">
                  <c:v>2.5611499999999996</c:v>
                </c:pt>
                <c:pt idx="20">
                  <c:v>2.6013700000000002</c:v>
                </c:pt>
                <c:pt idx="21">
                  <c:v>2.6396700000000002</c:v>
                </c:pt>
                <c:pt idx="22">
                  <c:v>2.6759699999999995</c:v>
                </c:pt>
                <c:pt idx="23">
                  <c:v>2.71129</c:v>
                </c:pt>
                <c:pt idx="24">
                  <c:v>2.7455400000000001</c:v>
                </c:pt>
                <c:pt idx="25">
                  <c:v>2.7780399999999998</c:v>
                </c:pt>
                <c:pt idx="26">
                  <c:v>2.8100199999999997</c:v>
                </c:pt>
                <c:pt idx="27">
                  <c:v>2.8442499999999997</c:v>
                </c:pt>
                <c:pt idx="28">
                  <c:v>2.8784700000000001</c:v>
                </c:pt>
                <c:pt idx="29">
                  <c:v>2.9114</c:v>
                </c:pt>
                <c:pt idx="30">
                  <c:v>2.94265</c:v>
                </c:pt>
                <c:pt idx="31">
                  <c:v>2.9725200000000003</c:v>
                </c:pt>
                <c:pt idx="32">
                  <c:v>3.0026199999999998</c:v>
                </c:pt>
                <c:pt idx="33">
                  <c:v>3.0340600000000002</c:v>
                </c:pt>
                <c:pt idx="34">
                  <c:v>3.0659100000000001</c:v>
                </c:pt>
                <c:pt idx="35">
                  <c:v>3.0984499999999997</c:v>
                </c:pt>
                <c:pt idx="36">
                  <c:v>3.1299199999999998</c:v>
                </c:pt>
                <c:pt idx="37">
                  <c:v>3.1609500000000001</c:v>
                </c:pt>
                <c:pt idx="38">
                  <c:v>3.1913</c:v>
                </c:pt>
                <c:pt idx="39">
                  <c:v>3.2235499999999999</c:v>
                </c:pt>
                <c:pt idx="40">
                  <c:v>3.2578499999999999</c:v>
                </c:pt>
                <c:pt idx="41">
                  <c:v>3.2925399999999998</c:v>
                </c:pt>
                <c:pt idx="42">
                  <c:v>3.3288800000000003</c:v>
                </c:pt>
                <c:pt idx="43">
                  <c:v>3.3652100000000003</c:v>
                </c:pt>
                <c:pt idx="44">
                  <c:v>3.40368</c:v>
                </c:pt>
                <c:pt idx="45">
                  <c:v>3.44421</c:v>
                </c:pt>
                <c:pt idx="46">
                  <c:v>3.4854200000000004</c:v>
                </c:pt>
                <c:pt idx="47">
                  <c:v>3.5273599999999998</c:v>
                </c:pt>
                <c:pt idx="48">
                  <c:v>3.56765</c:v>
                </c:pt>
                <c:pt idx="49">
                  <c:v>3.6050700000000004</c:v>
                </c:pt>
                <c:pt idx="50">
                  <c:v>3.6337900000000003</c:v>
                </c:pt>
                <c:pt idx="51">
                  <c:v>3.67049</c:v>
                </c:pt>
                <c:pt idx="52">
                  <c:v>3.7053199999999995</c:v>
                </c:pt>
                <c:pt idx="53">
                  <c:v>3.7380200000000001</c:v>
                </c:pt>
                <c:pt idx="54">
                  <c:v>3.7647599999999999</c:v>
                </c:pt>
                <c:pt idx="55">
                  <c:v>3.7896600000000005</c:v>
                </c:pt>
                <c:pt idx="56">
                  <c:v>3.8113399999999995</c:v>
                </c:pt>
                <c:pt idx="57">
                  <c:v>3.8264300000000002</c:v>
                </c:pt>
                <c:pt idx="58">
                  <c:v>3.8379200000000004</c:v>
                </c:pt>
                <c:pt idx="59">
                  <c:v>3.84762</c:v>
                </c:pt>
                <c:pt idx="60">
                  <c:v>3.8528800000000003</c:v>
                </c:pt>
                <c:pt idx="61">
                  <c:v>3.8534800000000002</c:v>
                </c:pt>
                <c:pt idx="62">
                  <c:v>3.85073</c:v>
                </c:pt>
                <c:pt idx="63">
                  <c:v>3.8449299999999997</c:v>
                </c:pt>
                <c:pt idx="64">
                  <c:v>3.83439</c:v>
                </c:pt>
                <c:pt idx="65">
                  <c:v>3.8221699999999998</c:v>
                </c:pt>
                <c:pt idx="66">
                  <c:v>3.8088899999999999</c:v>
                </c:pt>
                <c:pt idx="67">
                  <c:v>3.7923299999999998</c:v>
                </c:pt>
                <c:pt idx="68">
                  <c:v>3.7719499999999999</c:v>
                </c:pt>
                <c:pt idx="69">
                  <c:v>3.7469400000000004</c:v>
                </c:pt>
                <c:pt idx="70">
                  <c:v>3.7191800000000002</c:v>
                </c:pt>
                <c:pt idx="71">
                  <c:v>3.6917899999999997</c:v>
                </c:pt>
                <c:pt idx="72">
                  <c:v>3.6655799999999998</c:v>
                </c:pt>
                <c:pt idx="73">
                  <c:v>3.6371700000000002</c:v>
                </c:pt>
                <c:pt idx="74">
                  <c:v>3.6084000000000001</c:v>
                </c:pt>
                <c:pt idx="75">
                  <c:v>3.5742200000000004</c:v>
                </c:pt>
                <c:pt idx="76">
                  <c:v>3.5458499999999997</c:v>
                </c:pt>
                <c:pt idx="77">
                  <c:v>3.51952</c:v>
                </c:pt>
                <c:pt idx="78">
                  <c:v>3.4985599999999999</c:v>
                </c:pt>
                <c:pt idx="79">
                  <c:v>3.4843500000000001</c:v>
                </c:pt>
                <c:pt idx="80">
                  <c:v>3.4733299999999998</c:v>
                </c:pt>
                <c:pt idx="81">
                  <c:v>3.4638</c:v>
                </c:pt>
                <c:pt idx="82">
                  <c:v>3.4549699999999999</c:v>
                </c:pt>
                <c:pt idx="83">
                  <c:v>3.4454200000000004</c:v>
                </c:pt>
                <c:pt idx="84">
                  <c:v>3.4347799999999999</c:v>
                </c:pt>
                <c:pt idx="85">
                  <c:v>3.4252500000000001</c:v>
                </c:pt>
                <c:pt idx="86">
                  <c:v>3.4193099999999998</c:v>
                </c:pt>
                <c:pt idx="87">
                  <c:v>3.4159299999999999</c:v>
                </c:pt>
                <c:pt idx="88">
                  <c:v>3.4168799999999999</c:v>
                </c:pt>
                <c:pt idx="89">
                  <c:v>3.4179599999999999</c:v>
                </c:pt>
                <c:pt idx="90">
                  <c:v>3.4183599999999998</c:v>
                </c:pt>
                <c:pt idx="91">
                  <c:v>3.4200599999999999</c:v>
                </c:pt>
                <c:pt idx="92">
                  <c:v>3.4238400000000002</c:v>
                </c:pt>
                <c:pt idx="93">
                  <c:v>3.4325000000000001</c:v>
                </c:pt>
                <c:pt idx="94">
                  <c:v>3.4432700000000001</c:v>
                </c:pt>
                <c:pt idx="95">
                  <c:v>3.4539799999999996</c:v>
                </c:pt>
                <c:pt idx="96">
                  <c:v>3.4644999999999997</c:v>
                </c:pt>
                <c:pt idx="97">
                  <c:v>3.4756499999999999</c:v>
                </c:pt>
                <c:pt idx="98">
                  <c:v>3.4897800000000001</c:v>
                </c:pt>
                <c:pt idx="99">
                  <c:v>3.5050999999999997</c:v>
                </c:pt>
                <c:pt idx="100">
                  <c:v>3.5194799999999997</c:v>
                </c:pt>
                <c:pt idx="101">
                  <c:v>3.53348</c:v>
                </c:pt>
                <c:pt idx="102">
                  <c:v>3.5472700000000001</c:v>
                </c:pt>
                <c:pt idx="103">
                  <c:v>3.5569299999999999</c:v>
                </c:pt>
                <c:pt idx="104">
                  <c:v>3.5641699999999998</c:v>
                </c:pt>
                <c:pt idx="105">
                  <c:v>3.5710299999999999</c:v>
                </c:pt>
                <c:pt idx="106">
                  <c:v>3.5769000000000002</c:v>
                </c:pt>
                <c:pt idx="107">
                  <c:v>3.58609</c:v>
                </c:pt>
                <c:pt idx="108">
                  <c:v>3.5962399999999999</c:v>
                </c:pt>
                <c:pt idx="109">
                  <c:v>3.60839</c:v>
                </c:pt>
                <c:pt idx="110">
                  <c:v>3.6217999999999999</c:v>
                </c:pt>
                <c:pt idx="111">
                  <c:v>3.6351399999999998</c:v>
                </c:pt>
                <c:pt idx="112">
                  <c:v>3.64907</c:v>
                </c:pt>
                <c:pt idx="113">
                  <c:v>3.6605700000000003</c:v>
                </c:pt>
                <c:pt idx="114">
                  <c:v>3.6705800000000002</c:v>
                </c:pt>
                <c:pt idx="115">
                  <c:v>3.67909</c:v>
                </c:pt>
                <c:pt idx="116">
                  <c:v>3.6874899999999999</c:v>
                </c:pt>
                <c:pt idx="117">
                  <c:v>3.6979099999999998</c:v>
                </c:pt>
                <c:pt idx="118">
                  <c:v>3.7092000000000001</c:v>
                </c:pt>
                <c:pt idx="119">
                  <c:v>3.7189000000000001</c:v>
                </c:pt>
                <c:pt idx="120">
                  <c:v>3.72818</c:v>
                </c:pt>
                <c:pt idx="121">
                  <c:v>3.7379600000000002</c:v>
                </c:pt>
                <c:pt idx="122">
                  <c:v>3.7497799999999999</c:v>
                </c:pt>
                <c:pt idx="123">
                  <c:v>3.7610700000000001</c:v>
                </c:pt>
                <c:pt idx="124">
                  <c:v>3.7670399999999997</c:v>
                </c:pt>
                <c:pt idx="125">
                  <c:v>3.77468</c:v>
                </c:pt>
                <c:pt idx="126">
                  <c:v>3.7841399999999998</c:v>
                </c:pt>
                <c:pt idx="127">
                  <c:v>3.7928600000000001</c:v>
                </c:pt>
                <c:pt idx="128">
                  <c:v>3.8040500000000002</c:v>
                </c:pt>
                <c:pt idx="129">
                  <c:v>3.8148200000000001</c:v>
                </c:pt>
                <c:pt idx="130">
                  <c:v>3.8248100000000003</c:v>
                </c:pt>
                <c:pt idx="131">
                  <c:v>3.8338800000000002</c:v>
                </c:pt>
                <c:pt idx="132">
                  <c:v>3.84002</c:v>
                </c:pt>
                <c:pt idx="133">
                  <c:v>3.8459700000000003</c:v>
                </c:pt>
                <c:pt idx="134">
                  <c:v>3.8514399999999998</c:v>
                </c:pt>
                <c:pt idx="135">
                  <c:v>3.8562999999999996</c:v>
                </c:pt>
                <c:pt idx="136">
                  <c:v>3.8610699999999998</c:v>
                </c:pt>
                <c:pt idx="137">
                  <c:v>3.8610499999999996</c:v>
                </c:pt>
                <c:pt idx="138">
                  <c:v>3.8610299999999995</c:v>
                </c:pt>
                <c:pt idx="139">
                  <c:v>3.8649499999999999</c:v>
                </c:pt>
                <c:pt idx="140">
                  <c:v>3.8735599999999999</c:v>
                </c:pt>
                <c:pt idx="141">
                  <c:v>3.88388</c:v>
                </c:pt>
                <c:pt idx="142">
                  <c:v>3.8876300000000001</c:v>
                </c:pt>
                <c:pt idx="143">
                  <c:v>3.8860800000000002</c:v>
                </c:pt>
                <c:pt idx="144">
                  <c:v>3.8868999999999998</c:v>
                </c:pt>
                <c:pt idx="145">
                  <c:v>3.8982200000000002</c:v>
                </c:pt>
                <c:pt idx="146">
                  <c:v>3.9155699999999998</c:v>
                </c:pt>
                <c:pt idx="147">
                  <c:v>3.9000400000000002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64.884900000000002</c:v>
                </c:pt>
                <c:pt idx="1">
                  <c:v>63.898900000000005</c:v>
                </c:pt>
                <c:pt idx="2">
                  <c:v>63.070099999999996</c:v>
                </c:pt>
                <c:pt idx="3">
                  <c:v>62.266800000000003</c:v>
                </c:pt>
                <c:pt idx="4">
                  <c:v>61.2742</c:v>
                </c:pt>
                <c:pt idx="5">
                  <c:v>60.196199999999997</c:v>
                </c:pt>
                <c:pt idx="6">
                  <c:v>58.972100000000005</c:v>
                </c:pt>
                <c:pt idx="7">
                  <c:v>57.654399999999995</c:v>
                </c:pt>
                <c:pt idx="8">
                  <c:v>56.394599999999997</c:v>
                </c:pt>
                <c:pt idx="9">
                  <c:v>55.174599999999998</c:v>
                </c:pt>
                <c:pt idx="10">
                  <c:v>53.904200000000003</c:v>
                </c:pt>
                <c:pt idx="11">
                  <c:v>52.659100000000002</c:v>
                </c:pt>
                <c:pt idx="12">
                  <c:v>51.501100000000001</c:v>
                </c:pt>
                <c:pt idx="13">
                  <c:v>50.366500000000002</c:v>
                </c:pt>
                <c:pt idx="14">
                  <c:v>49.174500000000002</c:v>
                </c:pt>
                <c:pt idx="15">
                  <c:v>48.065300000000001</c:v>
                </c:pt>
                <c:pt idx="16">
                  <c:v>46.9876</c:v>
                </c:pt>
                <c:pt idx="17">
                  <c:v>45.959200000000003</c:v>
                </c:pt>
                <c:pt idx="18">
                  <c:v>45.0045</c:v>
                </c:pt>
                <c:pt idx="19">
                  <c:v>44.213000000000001</c:v>
                </c:pt>
                <c:pt idx="20">
                  <c:v>43.590299999999999</c:v>
                </c:pt>
                <c:pt idx="21">
                  <c:v>43.0779</c:v>
                </c:pt>
                <c:pt idx="22">
                  <c:v>42.719000000000001</c:v>
                </c:pt>
                <c:pt idx="23">
                  <c:v>42.378599999999999</c:v>
                </c:pt>
                <c:pt idx="24">
                  <c:v>41.992800000000003</c:v>
                </c:pt>
                <c:pt idx="25">
                  <c:v>41.598199999999999</c:v>
                </c:pt>
                <c:pt idx="26">
                  <c:v>41.232700000000001</c:v>
                </c:pt>
                <c:pt idx="27">
                  <c:v>40.883000000000003</c:v>
                </c:pt>
                <c:pt idx="28">
                  <c:v>40.579900000000002</c:v>
                </c:pt>
                <c:pt idx="29">
                  <c:v>40.2517</c:v>
                </c:pt>
                <c:pt idx="30">
                  <c:v>39.922400000000003</c:v>
                </c:pt>
                <c:pt idx="31">
                  <c:v>39.580100000000002</c:v>
                </c:pt>
                <c:pt idx="32">
                  <c:v>39.164700000000003</c:v>
                </c:pt>
                <c:pt idx="33">
                  <c:v>38.793199999999999</c:v>
                </c:pt>
                <c:pt idx="34">
                  <c:v>38.451800000000006</c:v>
                </c:pt>
                <c:pt idx="35">
                  <c:v>38.113599999999998</c:v>
                </c:pt>
                <c:pt idx="36">
                  <c:v>37.826300000000003</c:v>
                </c:pt>
                <c:pt idx="37">
                  <c:v>37.563600000000001</c:v>
                </c:pt>
                <c:pt idx="38">
                  <c:v>37.336100000000002</c:v>
                </c:pt>
                <c:pt idx="39">
                  <c:v>37.079599999999999</c:v>
                </c:pt>
                <c:pt idx="40">
                  <c:v>36.815100000000001</c:v>
                </c:pt>
                <c:pt idx="41">
                  <c:v>36.594000000000001</c:v>
                </c:pt>
                <c:pt idx="42">
                  <c:v>36.370999999999995</c:v>
                </c:pt>
                <c:pt idx="43">
                  <c:v>36.126000000000005</c:v>
                </c:pt>
                <c:pt idx="44">
                  <c:v>35.786799999999999</c:v>
                </c:pt>
                <c:pt idx="45">
                  <c:v>35.378900000000002</c:v>
                </c:pt>
                <c:pt idx="46">
                  <c:v>34.979700000000001</c:v>
                </c:pt>
                <c:pt idx="47">
                  <c:v>34.563400000000001</c:v>
                </c:pt>
                <c:pt idx="48">
                  <c:v>34.141300000000001</c:v>
                </c:pt>
                <c:pt idx="49">
                  <c:v>33.810400000000001</c:v>
                </c:pt>
                <c:pt idx="50">
                  <c:v>33.6678</c:v>
                </c:pt>
                <c:pt idx="51">
                  <c:v>33.399099999999997</c:v>
                </c:pt>
                <c:pt idx="52">
                  <c:v>33.087000000000003</c:v>
                </c:pt>
                <c:pt idx="53">
                  <c:v>32.826000000000001</c:v>
                </c:pt>
                <c:pt idx="54">
                  <c:v>32.606999999999999</c:v>
                </c:pt>
                <c:pt idx="55">
                  <c:v>32.441900000000004</c:v>
                </c:pt>
                <c:pt idx="56">
                  <c:v>32.360299999999995</c:v>
                </c:pt>
                <c:pt idx="57">
                  <c:v>32.450099999999999</c:v>
                </c:pt>
                <c:pt idx="58">
                  <c:v>32.506299999999996</c:v>
                </c:pt>
                <c:pt idx="59">
                  <c:v>32.580300000000001</c:v>
                </c:pt>
                <c:pt idx="60">
                  <c:v>32.696599999999997</c:v>
                </c:pt>
                <c:pt idx="61">
                  <c:v>32.856900000000003</c:v>
                </c:pt>
                <c:pt idx="62">
                  <c:v>33.024300000000004</c:v>
                </c:pt>
                <c:pt idx="63">
                  <c:v>33.250600000000006</c:v>
                </c:pt>
                <c:pt idx="64">
                  <c:v>33.491900000000001</c:v>
                </c:pt>
                <c:pt idx="65">
                  <c:v>33.748899999999999</c:v>
                </c:pt>
                <c:pt idx="66">
                  <c:v>34.072000000000003</c:v>
                </c:pt>
                <c:pt idx="67">
                  <c:v>34.426499999999997</c:v>
                </c:pt>
                <c:pt idx="68">
                  <c:v>34.822800000000001</c:v>
                </c:pt>
                <c:pt idx="69">
                  <c:v>35.256399999999999</c:v>
                </c:pt>
                <c:pt idx="70">
                  <c:v>35.717500000000001</c:v>
                </c:pt>
                <c:pt idx="71">
                  <c:v>36.212200000000003</c:v>
                </c:pt>
                <c:pt idx="72">
                  <c:v>36.737400000000001</c:v>
                </c:pt>
                <c:pt idx="73">
                  <c:v>37.2652</c:v>
                </c:pt>
                <c:pt idx="74">
                  <c:v>37.767499999999998</c:v>
                </c:pt>
                <c:pt idx="75">
                  <c:v>38.269100000000002</c:v>
                </c:pt>
                <c:pt idx="76">
                  <c:v>38.771899999999995</c:v>
                </c:pt>
                <c:pt idx="77">
                  <c:v>39.272300000000001</c:v>
                </c:pt>
                <c:pt idx="78">
                  <c:v>39.678699999999999</c:v>
                </c:pt>
                <c:pt idx="79">
                  <c:v>40.039499999999997</c:v>
                </c:pt>
                <c:pt idx="80">
                  <c:v>40.3703</c:v>
                </c:pt>
                <c:pt idx="81">
                  <c:v>40.608800000000002</c:v>
                </c:pt>
                <c:pt idx="82">
                  <c:v>40.842299999999994</c:v>
                </c:pt>
                <c:pt idx="83">
                  <c:v>41.097499999999997</c:v>
                </c:pt>
                <c:pt idx="84">
                  <c:v>41.328900000000004</c:v>
                </c:pt>
                <c:pt idx="85">
                  <c:v>41.5002</c:v>
                </c:pt>
                <c:pt idx="86">
                  <c:v>41.613</c:v>
                </c:pt>
                <c:pt idx="87">
                  <c:v>41.654499999999999</c:v>
                </c:pt>
                <c:pt idx="88">
                  <c:v>41.629599999999996</c:v>
                </c:pt>
                <c:pt idx="89">
                  <c:v>41.653199999999998</c:v>
                </c:pt>
                <c:pt idx="90">
                  <c:v>41.672799999999995</c:v>
                </c:pt>
                <c:pt idx="91">
                  <c:v>41.623800000000003</c:v>
                </c:pt>
                <c:pt idx="92">
                  <c:v>41.58</c:v>
                </c:pt>
                <c:pt idx="93">
                  <c:v>41.505499999999998</c:v>
                </c:pt>
                <c:pt idx="94">
                  <c:v>41.471999999999994</c:v>
                </c:pt>
                <c:pt idx="95">
                  <c:v>41.489699999999999</c:v>
                </c:pt>
                <c:pt idx="96">
                  <c:v>41.538399999999996</c:v>
                </c:pt>
                <c:pt idx="97">
                  <c:v>41.5989</c:v>
                </c:pt>
                <c:pt idx="98">
                  <c:v>41.6999</c:v>
                </c:pt>
                <c:pt idx="99">
                  <c:v>41.798099999999998</c:v>
                </c:pt>
                <c:pt idx="100">
                  <c:v>41.950700000000005</c:v>
                </c:pt>
                <c:pt idx="101">
                  <c:v>42.181699999999999</c:v>
                </c:pt>
                <c:pt idx="102">
                  <c:v>42.431200000000004</c:v>
                </c:pt>
                <c:pt idx="103">
                  <c:v>42.716200000000001</c:v>
                </c:pt>
                <c:pt idx="104">
                  <c:v>42.896099999999997</c:v>
                </c:pt>
                <c:pt idx="105">
                  <c:v>42.9925</c:v>
                </c:pt>
                <c:pt idx="106">
                  <c:v>43.0229</c:v>
                </c:pt>
                <c:pt idx="107">
                  <c:v>42.942500000000003</c:v>
                </c:pt>
                <c:pt idx="108">
                  <c:v>42.810700000000004</c:v>
                </c:pt>
                <c:pt idx="109">
                  <c:v>42.638300000000001</c:v>
                </c:pt>
                <c:pt idx="110">
                  <c:v>42.464500000000001</c:v>
                </c:pt>
                <c:pt idx="111">
                  <c:v>42.268899999999995</c:v>
                </c:pt>
                <c:pt idx="112">
                  <c:v>42.039700000000003</c:v>
                </c:pt>
                <c:pt idx="113">
                  <c:v>41.797899999999998</c:v>
                </c:pt>
                <c:pt idx="114">
                  <c:v>41.587499999999999</c:v>
                </c:pt>
                <c:pt idx="115">
                  <c:v>41.417300000000004</c:v>
                </c:pt>
                <c:pt idx="116">
                  <c:v>41.288399999999996</c:v>
                </c:pt>
                <c:pt idx="117">
                  <c:v>41.131900000000002</c:v>
                </c:pt>
                <c:pt idx="118">
                  <c:v>40.917900000000003</c:v>
                </c:pt>
                <c:pt idx="119">
                  <c:v>40.691899999999997</c:v>
                </c:pt>
                <c:pt idx="120">
                  <c:v>40.489199999999997</c:v>
                </c:pt>
                <c:pt idx="121">
                  <c:v>40.3264</c:v>
                </c:pt>
                <c:pt idx="122">
                  <c:v>40.1907</c:v>
                </c:pt>
                <c:pt idx="123">
                  <c:v>40.121099999999998</c:v>
                </c:pt>
                <c:pt idx="124">
                  <c:v>39.989000000000004</c:v>
                </c:pt>
                <c:pt idx="125">
                  <c:v>39.832299999999996</c:v>
                </c:pt>
                <c:pt idx="126">
                  <c:v>39.652100000000004</c:v>
                </c:pt>
                <c:pt idx="127">
                  <c:v>39.453800000000001</c:v>
                </c:pt>
                <c:pt idx="128">
                  <c:v>39.259500000000003</c:v>
                </c:pt>
                <c:pt idx="129">
                  <c:v>39.095600000000005</c:v>
                </c:pt>
                <c:pt idx="130">
                  <c:v>38.987300000000005</c:v>
                </c:pt>
                <c:pt idx="131">
                  <c:v>38.909300000000002</c:v>
                </c:pt>
                <c:pt idx="132">
                  <c:v>38.844999999999999</c:v>
                </c:pt>
                <c:pt idx="133">
                  <c:v>38.828699999999998</c:v>
                </c:pt>
                <c:pt idx="134">
                  <c:v>38.870599999999996</c:v>
                </c:pt>
                <c:pt idx="135">
                  <c:v>38.904200000000003</c:v>
                </c:pt>
                <c:pt idx="136">
                  <c:v>38.968799999999995</c:v>
                </c:pt>
                <c:pt idx="137">
                  <c:v>39.1265</c:v>
                </c:pt>
                <c:pt idx="138">
                  <c:v>39.3371</c:v>
                </c:pt>
                <c:pt idx="139">
                  <c:v>39.538499999999999</c:v>
                </c:pt>
                <c:pt idx="140">
                  <c:v>39.7117</c:v>
                </c:pt>
                <c:pt idx="141">
                  <c:v>39.865299999999998</c:v>
                </c:pt>
                <c:pt idx="142">
                  <c:v>40.007599999999996</c:v>
                </c:pt>
                <c:pt idx="143">
                  <c:v>40.35</c:v>
                </c:pt>
                <c:pt idx="144">
                  <c:v>40.820099999999996</c:v>
                </c:pt>
                <c:pt idx="145">
                  <c:v>41.326099999999997</c:v>
                </c:pt>
                <c:pt idx="146">
                  <c:v>41.842199999999998</c:v>
                </c:pt>
                <c:pt idx="147">
                  <c:v>42.598599999999998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1.5526300000000002</c:v>
                </c:pt>
                <c:pt idx="1">
                  <c:v>1.6034799999999998</c:v>
                </c:pt>
                <c:pt idx="2">
                  <c:v>1.65211</c:v>
                </c:pt>
                <c:pt idx="3">
                  <c:v>1.6998599999999999</c:v>
                </c:pt>
                <c:pt idx="4">
                  <c:v>1.7510700000000001</c:v>
                </c:pt>
                <c:pt idx="5">
                  <c:v>1.8045</c:v>
                </c:pt>
                <c:pt idx="6">
                  <c:v>1.86365</c:v>
                </c:pt>
                <c:pt idx="7">
                  <c:v>1.9264600000000001</c:v>
                </c:pt>
                <c:pt idx="8">
                  <c:v>1.98617</c:v>
                </c:pt>
                <c:pt idx="9">
                  <c:v>2.0432600000000001</c:v>
                </c:pt>
                <c:pt idx="10">
                  <c:v>2.1009700000000002</c:v>
                </c:pt>
                <c:pt idx="11">
                  <c:v>2.1585999999999999</c:v>
                </c:pt>
                <c:pt idx="12">
                  <c:v>2.2147399999999999</c:v>
                </c:pt>
                <c:pt idx="13">
                  <c:v>2.2693599999999998</c:v>
                </c:pt>
                <c:pt idx="14">
                  <c:v>2.3231199999999999</c:v>
                </c:pt>
                <c:pt idx="15">
                  <c:v>2.3752599999999999</c:v>
                </c:pt>
                <c:pt idx="16">
                  <c:v>2.4251800000000001</c:v>
                </c:pt>
                <c:pt idx="17">
                  <c:v>2.4730300000000001</c:v>
                </c:pt>
                <c:pt idx="18">
                  <c:v>2.5188600000000001</c:v>
                </c:pt>
                <c:pt idx="19">
                  <c:v>2.5611499999999996</c:v>
                </c:pt>
                <c:pt idx="20">
                  <c:v>2.6013700000000002</c:v>
                </c:pt>
                <c:pt idx="21">
                  <c:v>2.6396700000000002</c:v>
                </c:pt>
                <c:pt idx="22">
                  <c:v>2.6759699999999995</c:v>
                </c:pt>
                <c:pt idx="23">
                  <c:v>2.71129</c:v>
                </c:pt>
                <c:pt idx="24">
                  <c:v>2.7455400000000001</c:v>
                </c:pt>
                <c:pt idx="25">
                  <c:v>2.7780399999999998</c:v>
                </c:pt>
                <c:pt idx="26">
                  <c:v>2.8100199999999997</c:v>
                </c:pt>
                <c:pt idx="27">
                  <c:v>2.8442499999999997</c:v>
                </c:pt>
                <c:pt idx="28">
                  <c:v>2.8784700000000001</c:v>
                </c:pt>
                <c:pt idx="29">
                  <c:v>2.9114</c:v>
                </c:pt>
                <c:pt idx="30">
                  <c:v>2.94265</c:v>
                </c:pt>
                <c:pt idx="31">
                  <c:v>2.9725200000000003</c:v>
                </c:pt>
                <c:pt idx="32">
                  <c:v>3.0026199999999998</c:v>
                </c:pt>
                <c:pt idx="33">
                  <c:v>3.0340600000000002</c:v>
                </c:pt>
                <c:pt idx="34">
                  <c:v>3.0659100000000001</c:v>
                </c:pt>
                <c:pt idx="35">
                  <c:v>3.0984499999999997</c:v>
                </c:pt>
                <c:pt idx="36">
                  <c:v>3.1299199999999998</c:v>
                </c:pt>
                <c:pt idx="37">
                  <c:v>3.1609500000000001</c:v>
                </c:pt>
                <c:pt idx="38">
                  <c:v>3.1913</c:v>
                </c:pt>
                <c:pt idx="39">
                  <c:v>3.2235499999999999</c:v>
                </c:pt>
                <c:pt idx="40">
                  <c:v>3.2578499999999999</c:v>
                </c:pt>
                <c:pt idx="41">
                  <c:v>3.2925399999999998</c:v>
                </c:pt>
                <c:pt idx="42">
                  <c:v>3.3288800000000003</c:v>
                </c:pt>
                <c:pt idx="43">
                  <c:v>3.3652100000000003</c:v>
                </c:pt>
                <c:pt idx="44">
                  <c:v>3.40368</c:v>
                </c:pt>
                <c:pt idx="45">
                  <c:v>3.44421</c:v>
                </c:pt>
                <c:pt idx="46">
                  <c:v>3.4854200000000004</c:v>
                </c:pt>
                <c:pt idx="47">
                  <c:v>3.5273599999999998</c:v>
                </c:pt>
                <c:pt idx="48">
                  <c:v>3.56765</c:v>
                </c:pt>
                <c:pt idx="49">
                  <c:v>3.6050700000000004</c:v>
                </c:pt>
                <c:pt idx="50">
                  <c:v>3.6337900000000003</c:v>
                </c:pt>
                <c:pt idx="51">
                  <c:v>3.67049</c:v>
                </c:pt>
                <c:pt idx="52">
                  <c:v>3.7053199999999995</c:v>
                </c:pt>
                <c:pt idx="53">
                  <c:v>3.7380200000000001</c:v>
                </c:pt>
                <c:pt idx="54">
                  <c:v>3.7647599999999999</c:v>
                </c:pt>
                <c:pt idx="55">
                  <c:v>3.7896600000000005</c:v>
                </c:pt>
                <c:pt idx="56">
                  <c:v>3.8113399999999995</c:v>
                </c:pt>
                <c:pt idx="57">
                  <c:v>3.8264300000000002</c:v>
                </c:pt>
                <c:pt idx="58">
                  <c:v>3.8379200000000004</c:v>
                </c:pt>
                <c:pt idx="59">
                  <c:v>3.84762</c:v>
                </c:pt>
                <c:pt idx="60">
                  <c:v>3.8528800000000003</c:v>
                </c:pt>
                <c:pt idx="61">
                  <c:v>3.8534800000000002</c:v>
                </c:pt>
                <c:pt idx="62">
                  <c:v>3.85073</c:v>
                </c:pt>
                <c:pt idx="63">
                  <c:v>3.8449299999999997</c:v>
                </c:pt>
                <c:pt idx="64">
                  <c:v>3.83439</c:v>
                </c:pt>
                <c:pt idx="65">
                  <c:v>3.8221699999999998</c:v>
                </c:pt>
                <c:pt idx="66">
                  <c:v>3.8088899999999999</c:v>
                </c:pt>
                <c:pt idx="67">
                  <c:v>3.7923299999999998</c:v>
                </c:pt>
                <c:pt idx="68">
                  <c:v>3.7719499999999999</c:v>
                </c:pt>
                <c:pt idx="69">
                  <c:v>3.7469400000000004</c:v>
                </c:pt>
                <c:pt idx="70">
                  <c:v>3.7191800000000002</c:v>
                </c:pt>
                <c:pt idx="71">
                  <c:v>3.6917899999999997</c:v>
                </c:pt>
                <c:pt idx="72">
                  <c:v>3.6655799999999998</c:v>
                </c:pt>
                <c:pt idx="73">
                  <c:v>3.6371700000000002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64.884900000000002</c:v>
                </c:pt>
                <c:pt idx="1">
                  <c:v>63.898900000000005</c:v>
                </c:pt>
                <c:pt idx="2">
                  <c:v>63.070099999999996</c:v>
                </c:pt>
                <c:pt idx="3">
                  <c:v>62.266800000000003</c:v>
                </c:pt>
                <c:pt idx="4">
                  <c:v>61.2742</c:v>
                </c:pt>
                <c:pt idx="5">
                  <c:v>60.196199999999997</c:v>
                </c:pt>
                <c:pt idx="6">
                  <c:v>58.972100000000005</c:v>
                </c:pt>
                <c:pt idx="7">
                  <c:v>57.654399999999995</c:v>
                </c:pt>
                <c:pt idx="8">
                  <c:v>56.394599999999997</c:v>
                </c:pt>
                <c:pt idx="9">
                  <c:v>55.174599999999998</c:v>
                </c:pt>
                <c:pt idx="10">
                  <c:v>53.904200000000003</c:v>
                </c:pt>
                <c:pt idx="11">
                  <c:v>52.659100000000002</c:v>
                </c:pt>
                <c:pt idx="12">
                  <c:v>51.501100000000001</c:v>
                </c:pt>
                <c:pt idx="13">
                  <c:v>50.366500000000002</c:v>
                </c:pt>
                <c:pt idx="14">
                  <c:v>49.174500000000002</c:v>
                </c:pt>
                <c:pt idx="15">
                  <c:v>48.065300000000001</c:v>
                </c:pt>
                <c:pt idx="16">
                  <c:v>46.9876</c:v>
                </c:pt>
                <c:pt idx="17">
                  <c:v>45.959200000000003</c:v>
                </c:pt>
                <c:pt idx="18">
                  <c:v>45.0045</c:v>
                </c:pt>
                <c:pt idx="19">
                  <c:v>44.213000000000001</c:v>
                </c:pt>
                <c:pt idx="20">
                  <c:v>43.590299999999999</c:v>
                </c:pt>
                <c:pt idx="21">
                  <c:v>43.0779</c:v>
                </c:pt>
                <c:pt idx="22">
                  <c:v>42.719000000000001</c:v>
                </c:pt>
                <c:pt idx="23">
                  <c:v>42.378599999999999</c:v>
                </c:pt>
                <c:pt idx="24">
                  <c:v>41.992800000000003</c:v>
                </c:pt>
                <c:pt idx="25">
                  <c:v>41.598199999999999</c:v>
                </c:pt>
                <c:pt idx="26">
                  <c:v>41.232700000000001</c:v>
                </c:pt>
                <c:pt idx="27">
                  <c:v>40.883000000000003</c:v>
                </c:pt>
                <c:pt idx="28">
                  <c:v>40.579900000000002</c:v>
                </c:pt>
                <c:pt idx="29">
                  <c:v>40.2517</c:v>
                </c:pt>
                <c:pt idx="30">
                  <c:v>39.922400000000003</c:v>
                </c:pt>
                <c:pt idx="31">
                  <c:v>39.580100000000002</c:v>
                </c:pt>
                <c:pt idx="32">
                  <c:v>39.164700000000003</c:v>
                </c:pt>
                <c:pt idx="33">
                  <c:v>38.793199999999999</c:v>
                </c:pt>
                <c:pt idx="34">
                  <c:v>38.451800000000006</c:v>
                </c:pt>
                <c:pt idx="35">
                  <c:v>38.113599999999998</c:v>
                </c:pt>
                <c:pt idx="36">
                  <c:v>37.826300000000003</c:v>
                </c:pt>
                <c:pt idx="37">
                  <c:v>37.563600000000001</c:v>
                </c:pt>
                <c:pt idx="38">
                  <c:v>37.336100000000002</c:v>
                </c:pt>
                <c:pt idx="39">
                  <c:v>37.079599999999999</c:v>
                </c:pt>
                <c:pt idx="40">
                  <c:v>36.815100000000001</c:v>
                </c:pt>
                <c:pt idx="41">
                  <c:v>36.594000000000001</c:v>
                </c:pt>
                <c:pt idx="42">
                  <c:v>36.370999999999995</c:v>
                </c:pt>
                <c:pt idx="43">
                  <c:v>36.126000000000005</c:v>
                </c:pt>
                <c:pt idx="44">
                  <c:v>35.786799999999999</c:v>
                </c:pt>
                <c:pt idx="45">
                  <c:v>35.378900000000002</c:v>
                </c:pt>
                <c:pt idx="46">
                  <c:v>34.979700000000001</c:v>
                </c:pt>
                <c:pt idx="47">
                  <c:v>34.563400000000001</c:v>
                </c:pt>
                <c:pt idx="48">
                  <c:v>34.141300000000001</c:v>
                </c:pt>
                <c:pt idx="49">
                  <c:v>33.810400000000001</c:v>
                </c:pt>
                <c:pt idx="50">
                  <c:v>33.6678</c:v>
                </c:pt>
                <c:pt idx="51">
                  <c:v>33.399099999999997</c:v>
                </c:pt>
                <c:pt idx="52">
                  <c:v>33.087000000000003</c:v>
                </c:pt>
                <c:pt idx="53">
                  <c:v>32.826000000000001</c:v>
                </c:pt>
                <c:pt idx="54">
                  <c:v>32.606999999999999</c:v>
                </c:pt>
                <c:pt idx="55">
                  <c:v>32.441900000000004</c:v>
                </c:pt>
                <c:pt idx="56">
                  <c:v>32.360299999999995</c:v>
                </c:pt>
                <c:pt idx="57">
                  <c:v>32.450099999999999</c:v>
                </c:pt>
                <c:pt idx="58">
                  <c:v>32.506299999999996</c:v>
                </c:pt>
                <c:pt idx="59">
                  <c:v>32.580300000000001</c:v>
                </c:pt>
                <c:pt idx="60">
                  <c:v>32.696599999999997</c:v>
                </c:pt>
                <c:pt idx="61">
                  <c:v>32.856900000000003</c:v>
                </c:pt>
                <c:pt idx="62">
                  <c:v>33.024300000000004</c:v>
                </c:pt>
                <c:pt idx="63">
                  <c:v>33.250600000000006</c:v>
                </c:pt>
                <c:pt idx="64">
                  <c:v>33.491900000000001</c:v>
                </c:pt>
                <c:pt idx="65">
                  <c:v>33.748899999999999</c:v>
                </c:pt>
                <c:pt idx="66">
                  <c:v>34.072000000000003</c:v>
                </c:pt>
                <c:pt idx="67">
                  <c:v>34.426499999999997</c:v>
                </c:pt>
                <c:pt idx="68">
                  <c:v>34.822800000000001</c:v>
                </c:pt>
                <c:pt idx="69">
                  <c:v>35.256399999999999</c:v>
                </c:pt>
                <c:pt idx="70">
                  <c:v>35.717500000000001</c:v>
                </c:pt>
                <c:pt idx="71">
                  <c:v>36.212200000000003</c:v>
                </c:pt>
                <c:pt idx="72">
                  <c:v>36.737400000000001</c:v>
                </c:pt>
                <c:pt idx="73">
                  <c:v>37.2652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3.6371700000000002</c:v>
                </c:pt>
                <c:pt idx="1">
                  <c:v>3.6084000000000001</c:v>
                </c:pt>
                <c:pt idx="2">
                  <c:v>3.5742200000000004</c:v>
                </c:pt>
                <c:pt idx="3">
                  <c:v>3.5458499999999997</c:v>
                </c:pt>
                <c:pt idx="4">
                  <c:v>3.51952</c:v>
                </c:pt>
                <c:pt idx="5">
                  <c:v>3.4985599999999999</c:v>
                </c:pt>
                <c:pt idx="6">
                  <c:v>3.4843500000000001</c:v>
                </c:pt>
                <c:pt idx="7">
                  <c:v>3.4733299999999998</c:v>
                </c:pt>
                <c:pt idx="8">
                  <c:v>3.4638</c:v>
                </c:pt>
                <c:pt idx="9">
                  <c:v>3.4549699999999999</c:v>
                </c:pt>
                <c:pt idx="10">
                  <c:v>3.4454200000000004</c:v>
                </c:pt>
                <c:pt idx="11">
                  <c:v>3.4347799999999999</c:v>
                </c:pt>
                <c:pt idx="12">
                  <c:v>3.4252500000000001</c:v>
                </c:pt>
                <c:pt idx="13">
                  <c:v>3.4193099999999998</c:v>
                </c:pt>
                <c:pt idx="14">
                  <c:v>3.4159299999999999</c:v>
                </c:pt>
                <c:pt idx="15">
                  <c:v>3.4168799999999999</c:v>
                </c:pt>
                <c:pt idx="16">
                  <c:v>3.4179599999999999</c:v>
                </c:pt>
                <c:pt idx="17">
                  <c:v>3.4183599999999998</c:v>
                </c:pt>
                <c:pt idx="18">
                  <c:v>3.4200599999999999</c:v>
                </c:pt>
                <c:pt idx="19">
                  <c:v>3.4238400000000002</c:v>
                </c:pt>
                <c:pt idx="20">
                  <c:v>3.4325000000000001</c:v>
                </c:pt>
                <c:pt idx="21">
                  <c:v>3.4432700000000001</c:v>
                </c:pt>
                <c:pt idx="22">
                  <c:v>3.4539799999999996</c:v>
                </c:pt>
                <c:pt idx="23">
                  <c:v>3.4644999999999997</c:v>
                </c:pt>
                <c:pt idx="24">
                  <c:v>3.4756499999999999</c:v>
                </c:pt>
                <c:pt idx="25">
                  <c:v>3.4897800000000001</c:v>
                </c:pt>
                <c:pt idx="26">
                  <c:v>3.5050999999999997</c:v>
                </c:pt>
                <c:pt idx="27">
                  <c:v>3.5194799999999997</c:v>
                </c:pt>
                <c:pt idx="28">
                  <c:v>3.53348</c:v>
                </c:pt>
                <c:pt idx="29">
                  <c:v>3.5472700000000001</c:v>
                </c:pt>
                <c:pt idx="30">
                  <c:v>3.5569299999999999</c:v>
                </c:pt>
                <c:pt idx="31">
                  <c:v>3.5641699999999998</c:v>
                </c:pt>
                <c:pt idx="32">
                  <c:v>3.5710299999999999</c:v>
                </c:pt>
                <c:pt idx="33">
                  <c:v>3.5769000000000002</c:v>
                </c:pt>
                <c:pt idx="34">
                  <c:v>3.58609</c:v>
                </c:pt>
                <c:pt idx="35">
                  <c:v>3.5962399999999999</c:v>
                </c:pt>
                <c:pt idx="36">
                  <c:v>3.60839</c:v>
                </c:pt>
                <c:pt idx="37">
                  <c:v>3.6217999999999999</c:v>
                </c:pt>
                <c:pt idx="38">
                  <c:v>3.6351399999999998</c:v>
                </c:pt>
                <c:pt idx="39">
                  <c:v>3.64907</c:v>
                </c:pt>
                <c:pt idx="40">
                  <c:v>3.6605700000000003</c:v>
                </c:pt>
                <c:pt idx="41">
                  <c:v>3.6705800000000002</c:v>
                </c:pt>
                <c:pt idx="42">
                  <c:v>3.67909</c:v>
                </c:pt>
                <c:pt idx="43">
                  <c:v>3.6874899999999999</c:v>
                </c:pt>
                <c:pt idx="44">
                  <c:v>3.6979099999999998</c:v>
                </c:pt>
                <c:pt idx="45">
                  <c:v>3.7092000000000001</c:v>
                </c:pt>
                <c:pt idx="46">
                  <c:v>3.7189000000000001</c:v>
                </c:pt>
                <c:pt idx="47">
                  <c:v>3.72818</c:v>
                </c:pt>
                <c:pt idx="48">
                  <c:v>3.7379600000000002</c:v>
                </c:pt>
                <c:pt idx="49">
                  <c:v>3.7497799999999999</c:v>
                </c:pt>
                <c:pt idx="50">
                  <c:v>3.7610700000000001</c:v>
                </c:pt>
                <c:pt idx="51">
                  <c:v>3.7670399999999997</c:v>
                </c:pt>
                <c:pt idx="52">
                  <c:v>3.77468</c:v>
                </c:pt>
                <c:pt idx="53">
                  <c:v>3.7841399999999998</c:v>
                </c:pt>
                <c:pt idx="54">
                  <c:v>3.7928600000000001</c:v>
                </c:pt>
                <c:pt idx="55">
                  <c:v>3.8040500000000002</c:v>
                </c:pt>
                <c:pt idx="56">
                  <c:v>3.8148200000000001</c:v>
                </c:pt>
                <c:pt idx="57">
                  <c:v>3.8248100000000003</c:v>
                </c:pt>
                <c:pt idx="58">
                  <c:v>3.8338800000000002</c:v>
                </c:pt>
                <c:pt idx="59">
                  <c:v>3.84002</c:v>
                </c:pt>
                <c:pt idx="60">
                  <c:v>3.8459700000000003</c:v>
                </c:pt>
                <c:pt idx="61">
                  <c:v>3.8514399999999998</c:v>
                </c:pt>
                <c:pt idx="62">
                  <c:v>3.8562999999999996</c:v>
                </c:pt>
                <c:pt idx="63">
                  <c:v>3.8610699999999998</c:v>
                </c:pt>
                <c:pt idx="64">
                  <c:v>3.8610499999999996</c:v>
                </c:pt>
                <c:pt idx="65">
                  <c:v>3.8610299999999995</c:v>
                </c:pt>
                <c:pt idx="66">
                  <c:v>3.8649499999999999</c:v>
                </c:pt>
                <c:pt idx="67">
                  <c:v>3.8735599999999999</c:v>
                </c:pt>
                <c:pt idx="68">
                  <c:v>3.88388</c:v>
                </c:pt>
                <c:pt idx="69">
                  <c:v>3.8876300000000001</c:v>
                </c:pt>
                <c:pt idx="70">
                  <c:v>3.8860800000000002</c:v>
                </c:pt>
                <c:pt idx="71">
                  <c:v>3.8868999999999998</c:v>
                </c:pt>
                <c:pt idx="72">
                  <c:v>3.8982200000000002</c:v>
                </c:pt>
                <c:pt idx="73">
                  <c:v>3.9155699999999998</c:v>
                </c:pt>
                <c:pt idx="74">
                  <c:v>3.9000400000000002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37.2652</c:v>
                </c:pt>
                <c:pt idx="1">
                  <c:v>37.767499999999998</c:v>
                </c:pt>
                <c:pt idx="2">
                  <c:v>38.269100000000002</c:v>
                </c:pt>
                <c:pt idx="3">
                  <c:v>38.771899999999995</c:v>
                </c:pt>
                <c:pt idx="4">
                  <c:v>39.272300000000001</c:v>
                </c:pt>
                <c:pt idx="5">
                  <c:v>39.678699999999999</c:v>
                </c:pt>
                <c:pt idx="6">
                  <c:v>40.039499999999997</c:v>
                </c:pt>
                <c:pt idx="7">
                  <c:v>40.3703</c:v>
                </c:pt>
                <c:pt idx="8">
                  <c:v>40.608800000000002</c:v>
                </c:pt>
                <c:pt idx="9">
                  <c:v>40.842299999999994</c:v>
                </c:pt>
                <c:pt idx="10">
                  <c:v>41.097499999999997</c:v>
                </c:pt>
                <c:pt idx="11">
                  <c:v>41.328900000000004</c:v>
                </c:pt>
                <c:pt idx="12">
                  <c:v>41.5002</c:v>
                </c:pt>
                <c:pt idx="13">
                  <c:v>41.613</c:v>
                </c:pt>
                <c:pt idx="14">
                  <c:v>41.654499999999999</c:v>
                </c:pt>
                <c:pt idx="15">
                  <c:v>41.629599999999996</c:v>
                </c:pt>
                <c:pt idx="16">
                  <c:v>41.653199999999998</c:v>
                </c:pt>
                <c:pt idx="17">
                  <c:v>41.672799999999995</c:v>
                </c:pt>
                <c:pt idx="18">
                  <c:v>41.623800000000003</c:v>
                </c:pt>
                <c:pt idx="19">
                  <c:v>41.58</c:v>
                </c:pt>
                <c:pt idx="20">
                  <c:v>41.505499999999998</c:v>
                </c:pt>
                <c:pt idx="21">
                  <c:v>41.471999999999994</c:v>
                </c:pt>
                <c:pt idx="22">
                  <c:v>41.489699999999999</c:v>
                </c:pt>
                <c:pt idx="23">
                  <c:v>41.538399999999996</c:v>
                </c:pt>
                <c:pt idx="24">
                  <c:v>41.5989</c:v>
                </c:pt>
                <c:pt idx="25">
                  <c:v>41.6999</c:v>
                </c:pt>
                <c:pt idx="26">
                  <c:v>41.798099999999998</c:v>
                </c:pt>
                <c:pt idx="27">
                  <c:v>41.950700000000005</c:v>
                </c:pt>
                <c:pt idx="28">
                  <c:v>42.181699999999999</c:v>
                </c:pt>
                <c:pt idx="29">
                  <c:v>42.431200000000004</c:v>
                </c:pt>
                <c:pt idx="30">
                  <c:v>42.716200000000001</c:v>
                </c:pt>
                <c:pt idx="31">
                  <c:v>42.896099999999997</c:v>
                </c:pt>
                <c:pt idx="32">
                  <c:v>42.9925</c:v>
                </c:pt>
                <c:pt idx="33">
                  <c:v>43.0229</c:v>
                </c:pt>
                <c:pt idx="34">
                  <c:v>42.942500000000003</c:v>
                </c:pt>
                <c:pt idx="35">
                  <c:v>42.810700000000004</c:v>
                </c:pt>
                <c:pt idx="36">
                  <c:v>42.638300000000001</c:v>
                </c:pt>
                <c:pt idx="37">
                  <c:v>42.464500000000001</c:v>
                </c:pt>
                <c:pt idx="38">
                  <c:v>42.268899999999995</c:v>
                </c:pt>
                <c:pt idx="39">
                  <c:v>42.039700000000003</c:v>
                </c:pt>
                <c:pt idx="40">
                  <c:v>41.797899999999998</c:v>
                </c:pt>
                <c:pt idx="41">
                  <c:v>41.587499999999999</c:v>
                </c:pt>
                <c:pt idx="42">
                  <c:v>41.417300000000004</c:v>
                </c:pt>
                <c:pt idx="43">
                  <c:v>41.288399999999996</c:v>
                </c:pt>
                <c:pt idx="44">
                  <c:v>41.131900000000002</c:v>
                </c:pt>
                <c:pt idx="45">
                  <c:v>40.917900000000003</c:v>
                </c:pt>
                <c:pt idx="46">
                  <c:v>40.691899999999997</c:v>
                </c:pt>
                <c:pt idx="47">
                  <c:v>40.489199999999997</c:v>
                </c:pt>
                <c:pt idx="48">
                  <c:v>40.3264</c:v>
                </c:pt>
                <c:pt idx="49">
                  <c:v>40.1907</c:v>
                </c:pt>
                <c:pt idx="50">
                  <c:v>40.121099999999998</c:v>
                </c:pt>
                <c:pt idx="51">
                  <c:v>39.989000000000004</c:v>
                </c:pt>
                <c:pt idx="52">
                  <c:v>39.832299999999996</c:v>
                </c:pt>
                <c:pt idx="53">
                  <c:v>39.652100000000004</c:v>
                </c:pt>
                <c:pt idx="54">
                  <c:v>39.453800000000001</c:v>
                </c:pt>
                <c:pt idx="55">
                  <c:v>39.259500000000003</c:v>
                </c:pt>
                <c:pt idx="56">
                  <c:v>39.095600000000005</c:v>
                </c:pt>
                <c:pt idx="57">
                  <c:v>38.987300000000005</c:v>
                </c:pt>
                <c:pt idx="58">
                  <c:v>38.909300000000002</c:v>
                </c:pt>
                <c:pt idx="59">
                  <c:v>38.844999999999999</c:v>
                </c:pt>
                <c:pt idx="60">
                  <c:v>38.828699999999998</c:v>
                </c:pt>
                <c:pt idx="61">
                  <c:v>38.870599999999996</c:v>
                </c:pt>
                <c:pt idx="62">
                  <c:v>38.904200000000003</c:v>
                </c:pt>
                <c:pt idx="63">
                  <c:v>38.968799999999995</c:v>
                </c:pt>
                <c:pt idx="64">
                  <c:v>39.1265</c:v>
                </c:pt>
                <c:pt idx="65">
                  <c:v>39.3371</c:v>
                </c:pt>
                <c:pt idx="66">
                  <c:v>39.538499999999999</c:v>
                </c:pt>
                <c:pt idx="67">
                  <c:v>39.7117</c:v>
                </c:pt>
                <c:pt idx="68">
                  <c:v>39.865299999999998</c:v>
                </c:pt>
                <c:pt idx="69">
                  <c:v>40.007599999999996</c:v>
                </c:pt>
                <c:pt idx="70">
                  <c:v>40.35</c:v>
                </c:pt>
                <c:pt idx="71">
                  <c:v>40.820099999999996</c:v>
                </c:pt>
                <c:pt idx="72">
                  <c:v>41.326099999999997</c:v>
                </c:pt>
                <c:pt idx="73">
                  <c:v>41.842199999999998</c:v>
                </c:pt>
                <c:pt idx="74">
                  <c:v>42.598599999999998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3.0340140540540546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41.349039189189192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3.6467875675675665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40.804221621621615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3.6467875675675665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40.804221621621615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0.21637237984973282</c:v>
                </c:pt>
                <c:pt idx="1">
                  <c:v>0.32660615446354163</c:v>
                </c:pt>
                <c:pt idx="2">
                  <c:v>0.45702146568672547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0.36374200000000001</c:v>
                </c:pt>
                <c:pt idx="2">
                  <c:v>0.769679</c:v>
                </c:pt>
                <c:pt idx="3">
                  <c:v>1.1761299999999999</c:v>
                </c:pt>
                <c:pt idx="4">
                  <c:v>1.5841000000000001</c:v>
                </c:pt>
                <c:pt idx="5">
                  <c:v>1.99028</c:v>
                </c:pt>
                <c:pt idx="6">
                  <c:v>2.3944999999999999</c:v>
                </c:pt>
                <c:pt idx="7">
                  <c:v>2.8044199999999999</c:v>
                </c:pt>
                <c:pt idx="8">
                  <c:v>3.2099099999999998</c:v>
                </c:pt>
                <c:pt idx="9">
                  <c:v>3.61713</c:v>
                </c:pt>
                <c:pt idx="10">
                  <c:v>4.02102</c:v>
                </c:pt>
                <c:pt idx="11">
                  <c:v>4.4265600000000003</c:v>
                </c:pt>
                <c:pt idx="12">
                  <c:v>4.8355100000000002</c:v>
                </c:pt>
                <c:pt idx="13">
                  <c:v>5.2428699999999999</c:v>
                </c:pt>
                <c:pt idx="14">
                  <c:v>5.6480300000000003</c:v>
                </c:pt>
                <c:pt idx="15">
                  <c:v>6.0554899999999998</c:v>
                </c:pt>
                <c:pt idx="16">
                  <c:v>6.4602000000000004</c:v>
                </c:pt>
                <c:pt idx="17">
                  <c:v>6.8639799999999997</c:v>
                </c:pt>
                <c:pt idx="18">
                  <c:v>7.2736799999999997</c:v>
                </c:pt>
                <c:pt idx="19">
                  <c:v>7.6787200000000002</c:v>
                </c:pt>
                <c:pt idx="20">
                  <c:v>8.0820900000000009</c:v>
                </c:pt>
                <c:pt idx="21">
                  <c:v>8.4887099999999993</c:v>
                </c:pt>
                <c:pt idx="22">
                  <c:v>8.89527</c:v>
                </c:pt>
                <c:pt idx="23">
                  <c:v>9.3039199999999997</c:v>
                </c:pt>
                <c:pt idx="24">
                  <c:v>9.7111000000000001</c:v>
                </c:pt>
                <c:pt idx="25">
                  <c:v>10.116300000000001</c:v>
                </c:pt>
                <c:pt idx="26">
                  <c:v>10.5204</c:v>
                </c:pt>
                <c:pt idx="27">
                  <c:v>10.9244</c:v>
                </c:pt>
                <c:pt idx="28">
                  <c:v>11.334199999999999</c:v>
                </c:pt>
                <c:pt idx="29">
                  <c:v>11.740399999999999</c:v>
                </c:pt>
                <c:pt idx="30">
                  <c:v>12.1462</c:v>
                </c:pt>
                <c:pt idx="31">
                  <c:v>12.5512</c:v>
                </c:pt>
                <c:pt idx="32">
                  <c:v>12.960800000000001</c:v>
                </c:pt>
                <c:pt idx="33">
                  <c:v>13.3675</c:v>
                </c:pt>
                <c:pt idx="34">
                  <c:v>13.771699999999999</c:v>
                </c:pt>
                <c:pt idx="35">
                  <c:v>14.178000000000001</c:v>
                </c:pt>
                <c:pt idx="36">
                  <c:v>14.583399999999999</c:v>
                </c:pt>
                <c:pt idx="37">
                  <c:v>14.9887</c:v>
                </c:pt>
                <c:pt idx="38">
                  <c:v>15.3964</c:v>
                </c:pt>
                <c:pt idx="39">
                  <c:v>15.801600000000001</c:v>
                </c:pt>
                <c:pt idx="40">
                  <c:v>16.210899999999999</c:v>
                </c:pt>
                <c:pt idx="41">
                  <c:v>16.613600000000002</c:v>
                </c:pt>
                <c:pt idx="42">
                  <c:v>17.019400000000001</c:v>
                </c:pt>
                <c:pt idx="43">
                  <c:v>17.425899999999999</c:v>
                </c:pt>
                <c:pt idx="44">
                  <c:v>17.835100000000001</c:v>
                </c:pt>
                <c:pt idx="45">
                  <c:v>18.238499999999998</c:v>
                </c:pt>
                <c:pt idx="46">
                  <c:v>18.648399999999999</c:v>
                </c:pt>
                <c:pt idx="47">
                  <c:v>19.053899999999999</c:v>
                </c:pt>
                <c:pt idx="48">
                  <c:v>19.458100000000002</c:v>
                </c:pt>
                <c:pt idx="49">
                  <c:v>19.863299999999999</c:v>
                </c:pt>
                <c:pt idx="50">
                  <c:v>20.2742</c:v>
                </c:pt>
                <c:pt idx="51">
                  <c:v>20.678799999999999</c:v>
                </c:pt>
                <c:pt idx="52">
                  <c:v>21.0837</c:v>
                </c:pt>
                <c:pt idx="53">
                  <c:v>21.494199999999999</c:v>
                </c:pt>
                <c:pt idx="54">
                  <c:v>21.895</c:v>
                </c:pt>
                <c:pt idx="55">
                  <c:v>22.302399999999999</c:v>
                </c:pt>
                <c:pt idx="56">
                  <c:v>22.711099999999998</c:v>
                </c:pt>
                <c:pt idx="57">
                  <c:v>23.116299999999999</c:v>
                </c:pt>
                <c:pt idx="58">
                  <c:v>23.522300000000001</c:v>
                </c:pt>
                <c:pt idx="59">
                  <c:v>23.926300000000001</c:v>
                </c:pt>
                <c:pt idx="60">
                  <c:v>24.3339</c:v>
                </c:pt>
                <c:pt idx="61">
                  <c:v>24.739100000000001</c:v>
                </c:pt>
                <c:pt idx="62">
                  <c:v>25.147099999999998</c:v>
                </c:pt>
                <c:pt idx="63">
                  <c:v>25.5503</c:v>
                </c:pt>
                <c:pt idx="64">
                  <c:v>25.959099999999999</c:v>
                </c:pt>
                <c:pt idx="65">
                  <c:v>26.3629</c:v>
                </c:pt>
                <c:pt idx="66">
                  <c:v>26.7729</c:v>
                </c:pt>
                <c:pt idx="67">
                  <c:v>27.178100000000001</c:v>
                </c:pt>
                <c:pt idx="68">
                  <c:v>27.5837</c:v>
                </c:pt>
                <c:pt idx="69">
                  <c:v>27.989599999999999</c:v>
                </c:pt>
                <c:pt idx="70">
                  <c:v>28.395700000000001</c:v>
                </c:pt>
                <c:pt idx="71">
                  <c:v>28.801300000000001</c:v>
                </c:pt>
                <c:pt idx="72">
                  <c:v>29.209700000000002</c:v>
                </c:pt>
                <c:pt idx="73">
                  <c:v>29.6175</c:v>
                </c:pt>
                <c:pt idx="74">
                  <c:v>30.023199999999999</c:v>
                </c:pt>
                <c:pt idx="75">
                  <c:v>30.616599999999998</c:v>
                </c:pt>
                <c:pt idx="76">
                  <c:v>30.991700000000002</c:v>
                </c:pt>
                <c:pt idx="77">
                  <c:v>31.366700000000002</c:v>
                </c:pt>
                <c:pt idx="78">
                  <c:v>31.740100000000002</c:v>
                </c:pt>
                <c:pt idx="79">
                  <c:v>32.113399999999999</c:v>
                </c:pt>
                <c:pt idx="80">
                  <c:v>32.5197</c:v>
                </c:pt>
                <c:pt idx="81">
                  <c:v>32.926400000000001</c:v>
                </c:pt>
                <c:pt idx="82">
                  <c:v>33.334899999999998</c:v>
                </c:pt>
                <c:pt idx="83">
                  <c:v>33.737499999999997</c:v>
                </c:pt>
                <c:pt idx="84">
                  <c:v>34.145000000000003</c:v>
                </c:pt>
                <c:pt idx="85">
                  <c:v>34.555399999999999</c:v>
                </c:pt>
                <c:pt idx="86">
                  <c:v>34.960500000000003</c:v>
                </c:pt>
                <c:pt idx="87">
                  <c:v>35.3658</c:v>
                </c:pt>
                <c:pt idx="88">
                  <c:v>35.770699999999998</c:v>
                </c:pt>
                <c:pt idx="89">
                  <c:v>36.177500000000002</c:v>
                </c:pt>
                <c:pt idx="90">
                  <c:v>36.5839</c:v>
                </c:pt>
                <c:pt idx="91">
                  <c:v>36.994199999999999</c:v>
                </c:pt>
                <c:pt idx="92">
                  <c:v>37.3977</c:v>
                </c:pt>
                <c:pt idx="93">
                  <c:v>37.802599999999998</c:v>
                </c:pt>
                <c:pt idx="94">
                  <c:v>38.206899999999997</c:v>
                </c:pt>
                <c:pt idx="95">
                  <c:v>38.612200000000001</c:v>
                </c:pt>
                <c:pt idx="96">
                  <c:v>39.024299999999997</c:v>
                </c:pt>
                <c:pt idx="97">
                  <c:v>39.427999999999997</c:v>
                </c:pt>
                <c:pt idx="98">
                  <c:v>39.832299999999996</c:v>
                </c:pt>
                <c:pt idx="99">
                  <c:v>40.239899999999999</c:v>
                </c:pt>
                <c:pt idx="100">
                  <c:v>40.647100000000002</c:v>
                </c:pt>
                <c:pt idx="101">
                  <c:v>41.052700000000002</c:v>
                </c:pt>
                <c:pt idx="102">
                  <c:v>41.458500000000001</c:v>
                </c:pt>
                <c:pt idx="103">
                  <c:v>41.866199999999999</c:v>
                </c:pt>
                <c:pt idx="104">
                  <c:v>42.271299999999997</c:v>
                </c:pt>
                <c:pt idx="105">
                  <c:v>42.676400000000001</c:v>
                </c:pt>
                <c:pt idx="106">
                  <c:v>43.084400000000002</c:v>
                </c:pt>
                <c:pt idx="107">
                  <c:v>43.489100000000001</c:v>
                </c:pt>
                <c:pt idx="108">
                  <c:v>43.894300000000001</c:v>
                </c:pt>
                <c:pt idx="109">
                  <c:v>44.303400000000003</c:v>
                </c:pt>
                <c:pt idx="110">
                  <c:v>44.707999999999998</c:v>
                </c:pt>
                <c:pt idx="111">
                  <c:v>45.113700000000001</c:v>
                </c:pt>
                <c:pt idx="112">
                  <c:v>45.521700000000003</c:v>
                </c:pt>
                <c:pt idx="113">
                  <c:v>45.927300000000002</c:v>
                </c:pt>
                <c:pt idx="114">
                  <c:v>46.332099999999997</c:v>
                </c:pt>
                <c:pt idx="115">
                  <c:v>46.7393</c:v>
                </c:pt>
                <c:pt idx="116">
                  <c:v>47.149700000000003</c:v>
                </c:pt>
                <c:pt idx="117">
                  <c:v>47.554000000000002</c:v>
                </c:pt>
                <c:pt idx="118">
                  <c:v>47.958500000000001</c:v>
                </c:pt>
                <c:pt idx="119">
                  <c:v>48.368299999999998</c:v>
                </c:pt>
                <c:pt idx="120">
                  <c:v>48.7712</c:v>
                </c:pt>
                <c:pt idx="121">
                  <c:v>49.178600000000003</c:v>
                </c:pt>
                <c:pt idx="122">
                  <c:v>49.587000000000003</c:v>
                </c:pt>
                <c:pt idx="123">
                  <c:v>49.990299999999998</c:v>
                </c:pt>
                <c:pt idx="124">
                  <c:v>50.396099999999997</c:v>
                </c:pt>
                <c:pt idx="125">
                  <c:v>50.799900000000001</c:v>
                </c:pt>
                <c:pt idx="126">
                  <c:v>51.208100000000002</c:v>
                </c:pt>
                <c:pt idx="127">
                  <c:v>51.6128</c:v>
                </c:pt>
                <c:pt idx="128">
                  <c:v>52.018300000000004</c:v>
                </c:pt>
                <c:pt idx="129">
                  <c:v>52.427199999999999</c:v>
                </c:pt>
                <c:pt idx="130">
                  <c:v>52.834499999999998</c:v>
                </c:pt>
                <c:pt idx="131">
                  <c:v>53.238999999999997</c:v>
                </c:pt>
                <c:pt idx="132">
                  <c:v>53.645000000000003</c:v>
                </c:pt>
                <c:pt idx="133">
                  <c:v>54.050400000000003</c:v>
                </c:pt>
                <c:pt idx="134">
                  <c:v>54.4589</c:v>
                </c:pt>
                <c:pt idx="135">
                  <c:v>54.868200000000002</c:v>
                </c:pt>
                <c:pt idx="136">
                  <c:v>55.271099999999997</c:v>
                </c:pt>
                <c:pt idx="137">
                  <c:v>55.675600000000003</c:v>
                </c:pt>
                <c:pt idx="138">
                  <c:v>56.082900000000002</c:v>
                </c:pt>
                <c:pt idx="139">
                  <c:v>56.490499999999997</c:v>
                </c:pt>
                <c:pt idx="140">
                  <c:v>56.897599999999997</c:v>
                </c:pt>
                <c:pt idx="141">
                  <c:v>57.301699999999997</c:v>
                </c:pt>
                <c:pt idx="142">
                  <c:v>57.710700000000003</c:v>
                </c:pt>
                <c:pt idx="143">
                  <c:v>58.118099999999998</c:v>
                </c:pt>
                <c:pt idx="144">
                  <c:v>58.523800000000001</c:v>
                </c:pt>
                <c:pt idx="145">
                  <c:v>58.927100000000003</c:v>
                </c:pt>
                <c:pt idx="146">
                  <c:v>59.3339</c:v>
                </c:pt>
                <c:pt idx="147">
                  <c:v>59.738300000000002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1.5526300000000002</c:v>
                </c:pt>
                <c:pt idx="1">
                  <c:v>1.6034799999999998</c:v>
                </c:pt>
                <c:pt idx="2">
                  <c:v>1.65211</c:v>
                </c:pt>
                <c:pt idx="3">
                  <c:v>1.6998599999999999</c:v>
                </c:pt>
                <c:pt idx="4">
                  <c:v>1.7510700000000001</c:v>
                </c:pt>
                <c:pt idx="5">
                  <c:v>1.8045</c:v>
                </c:pt>
                <c:pt idx="6">
                  <c:v>1.86365</c:v>
                </c:pt>
                <c:pt idx="7">
                  <c:v>1.9264600000000001</c:v>
                </c:pt>
                <c:pt idx="8">
                  <c:v>1.98617</c:v>
                </c:pt>
                <c:pt idx="9">
                  <c:v>2.0432600000000001</c:v>
                </c:pt>
                <c:pt idx="10">
                  <c:v>2.1009700000000002</c:v>
                </c:pt>
                <c:pt idx="11">
                  <c:v>2.1585999999999999</c:v>
                </c:pt>
                <c:pt idx="12">
                  <c:v>2.2147399999999999</c:v>
                </c:pt>
                <c:pt idx="13">
                  <c:v>2.2693599999999998</c:v>
                </c:pt>
                <c:pt idx="14">
                  <c:v>2.3231199999999999</c:v>
                </c:pt>
                <c:pt idx="15">
                  <c:v>2.3752599999999999</c:v>
                </c:pt>
                <c:pt idx="16">
                  <c:v>2.4251800000000001</c:v>
                </c:pt>
                <c:pt idx="17">
                  <c:v>2.4730300000000001</c:v>
                </c:pt>
                <c:pt idx="18">
                  <c:v>2.5188600000000001</c:v>
                </c:pt>
                <c:pt idx="19">
                  <c:v>2.5611499999999996</c:v>
                </c:pt>
                <c:pt idx="20">
                  <c:v>2.6013700000000002</c:v>
                </c:pt>
                <c:pt idx="21">
                  <c:v>2.6396700000000002</c:v>
                </c:pt>
                <c:pt idx="22">
                  <c:v>2.6759699999999995</c:v>
                </c:pt>
                <c:pt idx="23">
                  <c:v>2.71129</c:v>
                </c:pt>
                <c:pt idx="24">
                  <c:v>2.7455400000000001</c:v>
                </c:pt>
                <c:pt idx="25">
                  <c:v>2.7780399999999998</c:v>
                </c:pt>
                <c:pt idx="26">
                  <c:v>2.8100199999999997</c:v>
                </c:pt>
                <c:pt idx="27">
                  <c:v>2.8442499999999997</c:v>
                </c:pt>
                <c:pt idx="28">
                  <c:v>2.8784700000000001</c:v>
                </c:pt>
                <c:pt idx="29">
                  <c:v>2.9114</c:v>
                </c:pt>
                <c:pt idx="30">
                  <c:v>2.94265</c:v>
                </c:pt>
                <c:pt idx="31">
                  <c:v>2.9725200000000003</c:v>
                </c:pt>
                <c:pt idx="32">
                  <c:v>3.0026199999999998</c:v>
                </c:pt>
                <c:pt idx="33">
                  <c:v>3.0340600000000002</c:v>
                </c:pt>
                <c:pt idx="34">
                  <c:v>3.0659100000000001</c:v>
                </c:pt>
                <c:pt idx="35">
                  <c:v>3.0984499999999997</c:v>
                </c:pt>
                <c:pt idx="36">
                  <c:v>3.1299199999999998</c:v>
                </c:pt>
                <c:pt idx="37">
                  <c:v>3.1609500000000001</c:v>
                </c:pt>
                <c:pt idx="38">
                  <c:v>3.1913</c:v>
                </c:pt>
                <c:pt idx="39">
                  <c:v>3.2235499999999999</c:v>
                </c:pt>
                <c:pt idx="40">
                  <c:v>3.2578499999999999</c:v>
                </c:pt>
                <c:pt idx="41">
                  <c:v>3.2925399999999998</c:v>
                </c:pt>
                <c:pt idx="42">
                  <c:v>3.3288800000000003</c:v>
                </c:pt>
                <c:pt idx="43">
                  <c:v>3.3652100000000003</c:v>
                </c:pt>
                <c:pt idx="44">
                  <c:v>3.40368</c:v>
                </c:pt>
                <c:pt idx="45">
                  <c:v>3.44421</c:v>
                </c:pt>
                <c:pt idx="46">
                  <c:v>3.4854200000000004</c:v>
                </c:pt>
                <c:pt idx="47">
                  <c:v>3.5273599999999998</c:v>
                </c:pt>
                <c:pt idx="48">
                  <c:v>3.56765</c:v>
                </c:pt>
                <c:pt idx="49">
                  <c:v>3.6050700000000004</c:v>
                </c:pt>
                <c:pt idx="50">
                  <c:v>3.6337900000000003</c:v>
                </c:pt>
                <c:pt idx="51">
                  <c:v>3.67049</c:v>
                </c:pt>
                <c:pt idx="52">
                  <c:v>3.7053199999999995</c:v>
                </c:pt>
                <c:pt idx="53">
                  <c:v>3.7380200000000001</c:v>
                </c:pt>
                <c:pt idx="54">
                  <c:v>3.7647599999999999</c:v>
                </c:pt>
                <c:pt idx="55">
                  <c:v>3.7896600000000005</c:v>
                </c:pt>
                <c:pt idx="56">
                  <c:v>3.8113399999999995</c:v>
                </c:pt>
                <c:pt idx="57">
                  <c:v>3.8264300000000002</c:v>
                </c:pt>
                <c:pt idx="58">
                  <c:v>3.8379200000000004</c:v>
                </c:pt>
                <c:pt idx="59">
                  <c:v>3.84762</c:v>
                </c:pt>
                <c:pt idx="60">
                  <c:v>3.8528800000000003</c:v>
                </c:pt>
                <c:pt idx="61">
                  <c:v>3.8534800000000002</c:v>
                </c:pt>
                <c:pt idx="62">
                  <c:v>3.85073</c:v>
                </c:pt>
                <c:pt idx="63">
                  <c:v>3.8449299999999997</c:v>
                </c:pt>
                <c:pt idx="64">
                  <c:v>3.83439</c:v>
                </c:pt>
                <c:pt idx="65">
                  <c:v>3.8221699999999998</c:v>
                </c:pt>
                <c:pt idx="66">
                  <c:v>3.8088899999999999</c:v>
                </c:pt>
                <c:pt idx="67">
                  <c:v>3.7923299999999998</c:v>
                </c:pt>
                <c:pt idx="68">
                  <c:v>3.7719499999999999</c:v>
                </c:pt>
                <c:pt idx="69">
                  <c:v>3.7469400000000004</c:v>
                </c:pt>
                <c:pt idx="70">
                  <c:v>3.7191800000000002</c:v>
                </c:pt>
                <c:pt idx="71">
                  <c:v>3.6917899999999997</c:v>
                </c:pt>
                <c:pt idx="72">
                  <c:v>3.6655799999999998</c:v>
                </c:pt>
                <c:pt idx="73">
                  <c:v>3.6371700000000002</c:v>
                </c:pt>
                <c:pt idx="74">
                  <c:v>3.6084000000000001</c:v>
                </c:pt>
                <c:pt idx="75">
                  <c:v>3.5742200000000004</c:v>
                </c:pt>
                <c:pt idx="76">
                  <c:v>3.5458499999999997</c:v>
                </c:pt>
                <c:pt idx="77">
                  <c:v>3.51952</c:v>
                </c:pt>
                <c:pt idx="78">
                  <c:v>3.4985599999999999</c:v>
                </c:pt>
                <c:pt idx="79">
                  <c:v>3.4843500000000001</c:v>
                </c:pt>
                <c:pt idx="80">
                  <c:v>3.4733299999999998</c:v>
                </c:pt>
                <c:pt idx="81">
                  <c:v>3.4638</c:v>
                </c:pt>
                <c:pt idx="82">
                  <c:v>3.4549699999999999</c:v>
                </c:pt>
                <c:pt idx="83">
                  <c:v>3.4454200000000004</c:v>
                </c:pt>
                <c:pt idx="84">
                  <c:v>3.4347799999999999</c:v>
                </c:pt>
                <c:pt idx="85">
                  <c:v>3.4252500000000001</c:v>
                </c:pt>
                <c:pt idx="86">
                  <c:v>3.4193099999999998</c:v>
                </c:pt>
                <c:pt idx="87">
                  <c:v>3.4159299999999999</c:v>
                </c:pt>
                <c:pt idx="88">
                  <c:v>3.4168799999999999</c:v>
                </c:pt>
                <c:pt idx="89">
                  <c:v>3.4179599999999999</c:v>
                </c:pt>
                <c:pt idx="90">
                  <c:v>3.4183599999999998</c:v>
                </c:pt>
                <c:pt idx="91">
                  <c:v>3.4200599999999999</c:v>
                </c:pt>
                <c:pt idx="92">
                  <c:v>3.4238400000000002</c:v>
                </c:pt>
                <c:pt idx="93">
                  <c:v>3.4325000000000001</c:v>
                </c:pt>
                <c:pt idx="94">
                  <c:v>3.4432700000000001</c:v>
                </c:pt>
                <c:pt idx="95">
                  <c:v>3.4539799999999996</c:v>
                </c:pt>
                <c:pt idx="96">
                  <c:v>3.4644999999999997</c:v>
                </c:pt>
                <c:pt idx="97">
                  <c:v>3.4756499999999999</c:v>
                </c:pt>
                <c:pt idx="98">
                  <c:v>3.4897800000000001</c:v>
                </c:pt>
                <c:pt idx="99">
                  <c:v>3.5050999999999997</c:v>
                </c:pt>
                <c:pt idx="100">
                  <c:v>3.5194799999999997</c:v>
                </c:pt>
                <c:pt idx="101">
                  <c:v>3.53348</c:v>
                </c:pt>
                <c:pt idx="102">
                  <c:v>3.5472700000000001</c:v>
                </c:pt>
                <c:pt idx="103">
                  <c:v>3.5569299999999999</c:v>
                </c:pt>
                <c:pt idx="104">
                  <c:v>3.5641699999999998</c:v>
                </c:pt>
                <c:pt idx="105">
                  <c:v>3.5710299999999999</c:v>
                </c:pt>
                <c:pt idx="106">
                  <c:v>3.5769000000000002</c:v>
                </c:pt>
                <c:pt idx="107">
                  <c:v>3.58609</c:v>
                </c:pt>
                <c:pt idx="108">
                  <c:v>3.5962399999999999</c:v>
                </c:pt>
                <c:pt idx="109">
                  <c:v>3.60839</c:v>
                </c:pt>
                <c:pt idx="110">
                  <c:v>3.6217999999999999</c:v>
                </c:pt>
                <c:pt idx="111">
                  <c:v>3.6351399999999998</c:v>
                </c:pt>
                <c:pt idx="112">
                  <c:v>3.64907</c:v>
                </c:pt>
                <c:pt idx="113">
                  <c:v>3.6605700000000003</c:v>
                </c:pt>
                <c:pt idx="114">
                  <c:v>3.6705800000000002</c:v>
                </c:pt>
                <c:pt idx="115">
                  <c:v>3.67909</c:v>
                </c:pt>
                <c:pt idx="116">
                  <c:v>3.6874899999999999</c:v>
                </c:pt>
                <c:pt idx="117">
                  <c:v>3.6979099999999998</c:v>
                </c:pt>
                <c:pt idx="118">
                  <c:v>3.7092000000000001</c:v>
                </c:pt>
                <c:pt idx="119">
                  <c:v>3.7189000000000001</c:v>
                </c:pt>
                <c:pt idx="120">
                  <c:v>3.72818</c:v>
                </c:pt>
                <c:pt idx="121">
                  <c:v>3.7379600000000002</c:v>
                </c:pt>
                <c:pt idx="122">
                  <c:v>3.7497799999999999</c:v>
                </c:pt>
                <c:pt idx="123">
                  <c:v>3.7610700000000001</c:v>
                </c:pt>
                <c:pt idx="124">
                  <c:v>3.7670399999999997</c:v>
                </c:pt>
                <c:pt idx="125">
                  <c:v>3.77468</c:v>
                </c:pt>
                <c:pt idx="126">
                  <c:v>3.7841399999999998</c:v>
                </c:pt>
                <c:pt idx="127">
                  <c:v>3.7928600000000001</c:v>
                </c:pt>
                <c:pt idx="128">
                  <c:v>3.8040500000000002</c:v>
                </c:pt>
                <c:pt idx="129">
                  <c:v>3.8148200000000001</c:v>
                </c:pt>
                <c:pt idx="130">
                  <c:v>3.8248100000000003</c:v>
                </c:pt>
                <c:pt idx="131">
                  <c:v>3.8338800000000002</c:v>
                </c:pt>
                <c:pt idx="132">
                  <c:v>3.84002</c:v>
                </c:pt>
                <c:pt idx="133">
                  <c:v>3.8459700000000003</c:v>
                </c:pt>
                <c:pt idx="134">
                  <c:v>3.8514399999999998</c:v>
                </c:pt>
                <c:pt idx="135">
                  <c:v>3.8562999999999996</c:v>
                </c:pt>
                <c:pt idx="136">
                  <c:v>3.8610699999999998</c:v>
                </c:pt>
                <c:pt idx="137">
                  <c:v>3.8610499999999996</c:v>
                </c:pt>
                <c:pt idx="138">
                  <c:v>3.8610299999999995</c:v>
                </c:pt>
                <c:pt idx="139">
                  <c:v>3.8649499999999999</c:v>
                </c:pt>
                <c:pt idx="140">
                  <c:v>3.8735599999999999</c:v>
                </c:pt>
                <c:pt idx="141">
                  <c:v>3.88388</c:v>
                </c:pt>
                <c:pt idx="142">
                  <c:v>3.8876300000000001</c:v>
                </c:pt>
                <c:pt idx="143">
                  <c:v>3.8860800000000002</c:v>
                </c:pt>
                <c:pt idx="144">
                  <c:v>3.8868999999999998</c:v>
                </c:pt>
                <c:pt idx="145">
                  <c:v>3.8982200000000002</c:v>
                </c:pt>
                <c:pt idx="146">
                  <c:v>3.9155699999999998</c:v>
                </c:pt>
                <c:pt idx="147">
                  <c:v>3.9000400000000002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0.36374200000000001</c:v>
                </c:pt>
                <c:pt idx="2">
                  <c:v>0.769679</c:v>
                </c:pt>
                <c:pt idx="3">
                  <c:v>1.1761299999999999</c:v>
                </c:pt>
                <c:pt idx="4">
                  <c:v>1.5841000000000001</c:v>
                </c:pt>
                <c:pt idx="5">
                  <c:v>1.99028</c:v>
                </c:pt>
                <c:pt idx="6">
                  <c:v>2.3944999999999999</c:v>
                </c:pt>
                <c:pt idx="7">
                  <c:v>2.8044199999999999</c:v>
                </c:pt>
                <c:pt idx="8">
                  <c:v>3.2099099999999998</c:v>
                </c:pt>
                <c:pt idx="9">
                  <c:v>3.61713</c:v>
                </c:pt>
                <c:pt idx="10">
                  <c:v>4.02102</c:v>
                </c:pt>
                <c:pt idx="11">
                  <c:v>4.4265600000000003</c:v>
                </c:pt>
                <c:pt idx="12">
                  <c:v>4.8355100000000002</c:v>
                </c:pt>
                <c:pt idx="13">
                  <c:v>5.2428699999999999</c:v>
                </c:pt>
                <c:pt idx="14">
                  <c:v>5.6480300000000003</c:v>
                </c:pt>
                <c:pt idx="15">
                  <c:v>6.0554899999999998</c:v>
                </c:pt>
                <c:pt idx="16">
                  <c:v>6.4602000000000004</c:v>
                </c:pt>
                <c:pt idx="17">
                  <c:v>6.8639799999999997</c:v>
                </c:pt>
                <c:pt idx="18">
                  <c:v>7.2736799999999997</c:v>
                </c:pt>
                <c:pt idx="19">
                  <c:v>7.6787200000000002</c:v>
                </c:pt>
                <c:pt idx="20">
                  <c:v>8.0820900000000009</c:v>
                </c:pt>
                <c:pt idx="21">
                  <c:v>8.4887099999999993</c:v>
                </c:pt>
                <c:pt idx="22">
                  <c:v>8.89527</c:v>
                </c:pt>
                <c:pt idx="23">
                  <c:v>9.3039199999999997</c:v>
                </c:pt>
                <c:pt idx="24">
                  <c:v>9.7111000000000001</c:v>
                </c:pt>
                <c:pt idx="25">
                  <c:v>10.116300000000001</c:v>
                </c:pt>
                <c:pt idx="26">
                  <c:v>10.5204</c:v>
                </c:pt>
                <c:pt idx="27">
                  <c:v>10.9244</c:v>
                </c:pt>
                <c:pt idx="28">
                  <c:v>11.334199999999999</c:v>
                </c:pt>
                <c:pt idx="29">
                  <c:v>11.740399999999999</c:v>
                </c:pt>
                <c:pt idx="30">
                  <c:v>12.1462</c:v>
                </c:pt>
                <c:pt idx="31">
                  <c:v>12.5512</c:v>
                </c:pt>
                <c:pt idx="32">
                  <c:v>12.960800000000001</c:v>
                </c:pt>
                <c:pt idx="33">
                  <c:v>13.3675</c:v>
                </c:pt>
                <c:pt idx="34">
                  <c:v>13.771699999999999</c:v>
                </c:pt>
                <c:pt idx="35">
                  <c:v>14.178000000000001</c:v>
                </c:pt>
                <c:pt idx="36">
                  <c:v>14.583399999999999</c:v>
                </c:pt>
                <c:pt idx="37">
                  <c:v>14.9887</c:v>
                </c:pt>
                <c:pt idx="38">
                  <c:v>15.3964</c:v>
                </c:pt>
                <c:pt idx="39">
                  <c:v>15.801600000000001</c:v>
                </c:pt>
                <c:pt idx="40">
                  <c:v>16.210899999999999</c:v>
                </c:pt>
                <c:pt idx="41">
                  <c:v>16.613600000000002</c:v>
                </c:pt>
                <c:pt idx="42">
                  <c:v>17.019400000000001</c:v>
                </c:pt>
                <c:pt idx="43">
                  <c:v>17.425899999999999</c:v>
                </c:pt>
                <c:pt idx="44">
                  <c:v>17.835100000000001</c:v>
                </c:pt>
                <c:pt idx="45">
                  <c:v>18.238499999999998</c:v>
                </c:pt>
                <c:pt idx="46">
                  <c:v>18.648399999999999</c:v>
                </c:pt>
                <c:pt idx="47">
                  <c:v>19.053899999999999</c:v>
                </c:pt>
                <c:pt idx="48">
                  <c:v>19.458100000000002</c:v>
                </c:pt>
                <c:pt idx="49">
                  <c:v>19.863299999999999</c:v>
                </c:pt>
                <c:pt idx="50">
                  <c:v>20.2742</c:v>
                </c:pt>
                <c:pt idx="51">
                  <c:v>20.678799999999999</c:v>
                </c:pt>
                <c:pt idx="52">
                  <c:v>21.0837</c:v>
                </c:pt>
                <c:pt idx="53">
                  <c:v>21.494199999999999</c:v>
                </c:pt>
                <c:pt idx="54">
                  <c:v>21.895</c:v>
                </c:pt>
                <c:pt idx="55">
                  <c:v>22.302399999999999</c:v>
                </c:pt>
                <c:pt idx="56">
                  <c:v>22.711099999999998</c:v>
                </c:pt>
                <c:pt idx="57">
                  <c:v>23.116299999999999</c:v>
                </c:pt>
                <c:pt idx="58">
                  <c:v>23.522300000000001</c:v>
                </c:pt>
                <c:pt idx="59">
                  <c:v>23.926300000000001</c:v>
                </c:pt>
                <c:pt idx="60">
                  <c:v>24.3339</c:v>
                </c:pt>
                <c:pt idx="61">
                  <c:v>24.739100000000001</c:v>
                </c:pt>
                <c:pt idx="62">
                  <c:v>25.147099999999998</c:v>
                </c:pt>
                <c:pt idx="63">
                  <c:v>25.5503</c:v>
                </c:pt>
                <c:pt idx="64">
                  <c:v>25.959099999999999</c:v>
                </c:pt>
                <c:pt idx="65">
                  <c:v>26.3629</c:v>
                </c:pt>
                <c:pt idx="66">
                  <c:v>26.7729</c:v>
                </c:pt>
                <c:pt idx="67">
                  <c:v>27.178100000000001</c:v>
                </c:pt>
                <c:pt idx="68">
                  <c:v>27.5837</c:v>
                </c:pt>
                <c:pt idx="69">
                  <c:v>27.989599999999999</c:v>
                </c:pt>
                <c:pt idx="70">
                  <c:v>28.395700000000001</c:v>
                </c:pt>
                <c:pt idx="71">
                  <c:v>28.801300000000001</c:v>
                </c:pt>
                <c:pt idx="72">
                  <c:v>29.209700000000002</c:v>
                </c:pt>
                <c:pt idx="73">
                  <c:v>29.6175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1.5526300000000002</c:v>
                </c:pt>
                <c:pt idx="1">
                  <c:v>1.6034799999999998</c:v>
                </c:pt>
                <c:pt idx="2">
                  <c:v>1.65211</c:v>
                </c:pt>
                <c:pt idx="3">
                  <c:v>1.6998599999999999</c:v>
                </c:pt>
                <c:pt idx="4">
                  <c:v>1.7510700000000001</c:v>
                </c:pt>
                <c:pt idx="5">
                  <c:v>1.8045</c:v>
                </c:pt>
                <c:pt idx="6">
                  <c:v>1.86365</c:v>
                </c:pt>
                <c:pt idx="7">
                  <c:v>1.9264600000000001</c:v>
                </c:pt>
                <c:pt idx="8">
                  <c:v>1.98617</c:v>
                </c:pt>
                <c:pt idx="9">
                  <c:v>2.0432600000000001</c:v>
                </c:pt>
                <c:pt idx="10">
                  <c:v>2.1009700000000002</c:v>
                </c:pt>
                <c:pt idx="11">
                  <c:v>2.1585999999999999</c:v>
                </c:pt>
                <c:pt idx="12">
                  <c:v>2.2147399999999999</c:v>
                </c:pt>
                <c:pt idx="13">
                  <c:v>2.2693599999999998</c:v>
                </c:pt>
                <c:pt idx="14">
                  <c:v>2.3231199999999999</c:v>
                </c:pt>
                <c:pt idx="15">
                  <c:v>2.3752599999999999</c:v>
                </c:pt>
                <c:pt idx="16">
                  <c:v>2.4251800000000001</c:v>
                </c:pt>
                <c:pt idx="17">
                  <c:v>2.4730300000000001</c:v>
                </c:pt>
                <c:pt idx="18">
                  <c:v>2.5188600000000001</c:v>
                </c:pt>
                <c:pt idx="19">
                  <c:v>2.5611499999999996</c:v>
                </c:pt>
                <c:pt idx="20">
                  <c:v>2.6013700000000002</c:v>
                </c:pt>
                <c:pt idx="21">
                  <c:v>2.6396700000000002</c:v>
                </c:pt>
                <c:pt idx="22">
                  <c:v>2.6759699999999995</c:v>
                </c:pt>
                <c:pt idx="23">
                  <c:v>2.71129</c:v>
                </c:pt>
                <c:pt idx="24">
                  <c:v>2.7455400000000001</c:v>
                </c:pt>
                <c:pt idx="25">
                  <c:v>2.7780399999999998</c:v>
                </c:pt>
                <c:pt idx="26">
                  <c:v>2.8100199999999997</c:v>
                </c:pt>
                <c:pt idx="27">
                  <c:v>2.8442499999999997</c:v>
                </c:pt>
                <c:pt idx="28">
                  <c:v>2.8784700000000001</c:v>
                </c:pt>
                <c:pt idx="29">
                  <c:v>2.9114</c:v>
                </c:pt>
                <c:pt idx="30">
                  <c:v>2.94265</c:v>
                </c:pt>
                <c:pt idx="31">
                  <c:v>2.9725200000000003</c:v>
                </c:pt>
                <c:pt idx="32">
                  <c:v>3.0026199999999998</c:v>
                </c:pt>
                <c:pt idx="33">
                  <c:v>3.0340600000000002</c:v>
                </c:pt>
                <c:pt idx="34">
                  <c:v>3.0659100000000001</c:v>
                </c:pt>
                <c:pt idx="35">
                  <c:v>3.0984499999999997</c:v>
                </c:pt>
                <c:pt idx="36">
                  <c:v>3.1299199999999998</c:v>
                </c:pt>
                <c:pt idx="37">
                  <c:v>3.1609500000000001</c:v>
                </c:pt>
                <c:pt idx="38">
                  <c:v>3.1913</c:v>
                </c:pt>
                <c:pt idx="39">
                  <c:v>3.2235499999999999</c:v>
                </c:pt>
                <c:pt idx="40">
                  <c:v>3.2578499999999999</c:v>
                </c:pt>
                <c:pt idx="41">
                  <c:v>3.2925399999999998</c:v>
                </c:pt>
                <c:pt idx="42">
                  <c:v>3.3288800000000003</c:v>
                </c:pt>
                <c:pt idx="43">
                  <c:v>3.3652100000000003</c:v>
                </c:pt>
                <c:pt idx="44">
                  <c:v>3.40368</c:v>
                </c:pt>
                <c:pt idx="45">
                  <c:v>3.44421</c:v>
                </c:pt>
                <c:pt idx="46">
                  <c:v>3.4854200000000004</c:v>
                </c:pt>
                <c:pt idx="47">
                  <c:v>3.5273599999999998</c:v>
                </c:pt>
                <c:pt idx="48">
                  <c:v>3.56765</c:v>
                </c:pt>
                <c:pt idx="49">
                  <c:v>3.6050700000000004</c:v>
                </c:pt>
                <c:pt idx="50">
                  <c:v>3.6337900000000003</c:v>
                </c:pt>
                <c:pt idx="51">
                  <c:v>3.67049</c:v>
                </c:pt>
                <c:pt idx="52">
                  <c:v>3.7053199999999995</c:v>
                </c:pt>
                <c:pt idx="53">
                  <c:v>3.7380200000000001</c:v>
                </c:pt>
                <c:pt idx="54">
                  <c:v>3.7647599999999999</c:v>
                </c:pt>
                <c:pt idx="55">
                  <c:v>3.7896600000000005</c:v>
                </c:pt>
                <c:pt idx="56">
                  <c:v>3.8113399999999995</c:v>
                </c:pt>
                <c:pt idx="57">
                  <c:v>3.8264300000000002</c:v>
                </c:pt>
                <c:pt idx="58">
                  <c:v>3.8379200000000004</c:v>
                </c:pt>
                <c:pt idx="59">
                  <c:v>3.84762</c:v>
                </c:pt>
                <c:pt idx="60">
                  <c:v>3.8528800000000003</c:v>
                </c:pt>
                <c:pt idx="61">
                  <c:v>3.8534800000000002</c:v>
                </c:pt>
                <c:pt idx="62">
                  <c:v>3.85073</c:v>
                </c:pt>
                <c:pt idx="63">
                  <c:v>3.8449299999999997</c:v>
                </c:pt>
                <c:pt idx="64">
                  <c:v>3.83439</c:v>
                </c:pt>
                <c:pt idx="65">
                  <c:v>3.8221699999999998</c:v>
                </c:pt>
                <c:pt idx="66">
                  <c:v>3.8088899999999999</c:v>
                </c:pt>
                <c:pt idx="67">
                  <c:v>3.7923299999999998</c:v>
                </c:pt>
                <c:pt idx="68">
                  <c:v>3.7719499999999999</c:v>
                </c:pt>
                <c:pt idx="69">
                  <c:v>3.7469400000000004</c:v>
                </c:pt>
                <c:pt idx="70">
                  <c:v>3.7191800000000002</c:v>
                </c:pt>
                <c:pt idx="71">
                  <c:v>3.6917899999999997</c:v>
                </c:pt>
                <c:pt idx="72">
                  <c:v>3.6655799999999998</c:v>
                </c:pt>
                <c:pt idx="73">
                  <c:v>3.6371700000000002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29.6175</c:v>
                </c:pt>
                <c:pt idx="1">
                  <c:v>30.023199999999999</c:v>
                </c:pt>
                <c:pt idx="2">
                  <c:v>30.616599999999998</c:v>
                </c:pt>
                <c:pt idx="3">
                  <c:v>30.991700000000002</c:v>
                </c:pt>
                <c:pt idx="4">
                  <c:v>31.366700000000002</c:v>
                </c:pt>
                <c:pt idx="5">
                  <c:v>31.740100000000002</c:v>
                </c:pt>
                <c:pt idx="6">
                  <c:v>32.113399999999999</c:v>
                </c:pt>
                <c:pt idx="7">
                  <c:v>32.5197</c:v>
                </c:pt>
                <c:pt idx="8">
                  <c:v>32.926400000000001</c:v>
                </c:pt>
                <c:pt idx="9">
                  <c:v>33.334899999999998</c:v>
                </c:pt>
                <c:pt idx="10">
                  <c:v>33.737499999999997</c:v>
                </c:pt>
                <c:pt idx="11">
                  <c:v>34.145000000000003</c:v>
                </c:pt>
                <c:pt idx="12">
                  <c:v>34.555399999999999</c:v>
                </c:pt>
                <c:pt idx="13">
                  <c:v>34.960500000000003</c:v>
                </c:pt>
                <c:pt idx="14">
                  <c:v>35.3658</c:v>
                </c:pt>
                <c:pt idx="15">
                  <c:v>35.770699999999998</c:v>
                </c:pt>
                <c:pt idx="16">
                  <c:v>36.177500000000002</c:v>
                </c:pt>
                <c:pt idx="17">
                  <c:v>36.5839</c:v>
                </c:pt>
                <c:pt idx="18">
                  <c:v>36.994199999999999</c:v>
                </c:pt>
                <c:pt idx="19">
                  <c:v>37.3977</c:v>
                </c:pt>
                <c:pt idx="20">
                  <c:v>37.802599999999998</c:v>
                </c:pt>
                <c:pt idx="21">
                  <c:v>38.206899999999997</c:v>
                </c:pt>
                <c:pt idx="22">
                  <c:v>38.612200000000001</c:v>
                </c:pt>
                <c:pt idx="23">
                  <c:v>39.024299999999997</c:v>
                </c:pt>
                <c:pt idx="24">
                  <c:v>39.427999999999997</c:v>
                </c:pt>
                <c:pt idx="25">
                  <c:v>39.832299999999996</c:v>
                </c:pt>
                <c:pt idx="26">
                  <c:v>40.239899999999999</c:v>
                </c:pt>
                <c:pt idx="27">
                  <c:v>40.647100000000002</c:v>
                </c:pt>
                <c:pt idx="28">
                  <c:v>41.052700000000002</c:v>
                </c:pt>
                <c:pt idx="29">
                  <c:v>41.458500000000001</c:v>
                </c:pt>
                <c:pt idx="30">
                  <c:v>41.866199999999999</c:v>
                </c:pt>
                <c:pt idx="31">
                  <c:v>42.271299999999997</c:v>
                </c:pt>
                <c:pt idx="32">
                  <c:v>42.676400000000001</c:v>
                </c:pt>
                <c:pt idx="33">
                  <c:v>43.084400000000002</c:v>
                </c:pt>
                <c:pt idx="34">
                  <c:v>43.489100000000001</c:v>
                </c:pt>
                <c:pt idx="35">
                  <c:v>43.894300000000001</c:v>
                </c:pt>
                <c:pt idx="36">
                  <c:v>44.303400000000003</c:v>
                </c:pt>
                <c:pt idx="37">
                  <c:v>44.707999999999998</c:v>
                </c:pt>
                <c:pt idx="38">
                  <c:v>45.113700000000001</c:v>
                </c:pt>
                <c:pt idx="39">
                  <c:v>45.521700000000003</c:v>
                </c:pt>
                <c:pt idx="40">
                  <c:v>45.927300000000002</c:v>
                </c:pt>
                <c:pt idx="41">
                  <c:v>46.332099999999997</c:v>
                </c:pt>
                <c:pt idx="42">
                  <c:v>46.7393</c:v>
                </c:pt>
                <c:pt idx="43">
                  <c:v>47.149700000000003</c:v>
                </c:pt>
                <c:pt idx="44">
                  <c:v>47.554000000000002</c:v>
                </c:pt>
                <c:pt idx="45">
                  <c:v>47.958500000000001</c:v>
                </c:pt>
                <c:pt idx="46">
                  <c:v>48.368299999999998</c:v>
                </c:pt>
                <c:pt idx="47">
                  <c:v>48.7712</c:v>
                </c:pt>
                <c:pt idx="48">
                  <c:v>49.178600000000003</c:v>
                </c:pt>
                <c:pt idx="49">
                  <c:v>49.587000000000003</c:v>
                </c:pt>
                <c:pt idx="50">
                  <c:v>49.990299999999998</c:v>
                </c:pt>
                <c:pt idx="51">
                  <c:v>50.396099999999997</c:v>
                </c:pt>
                <c:pt idx="52">
                  <c:v>50.799900000000001</c:v>
                </c:pt>
                <c:pt idx="53">
                  <c:v>51.208100000000002</c:v>
                </c:pt>
                <c:pt idx="54">
                  <c:v>51.6128</c:v>
                </c:pt>
                <c:pt idx="55">
                  <c:v>52.018300000000004</c:v>
                </c:pt>
                <c:pt idx="56">
                  <c:v>52.427199999999999</c:v>
                </c:pt>
                <c:pt idx="57">
                  <c:v>52.834499999999998</c:v>
                </c:pt>
                <c:pt idx="58">
                  <c:v>53.238999999999997</c:v>
                </c:pt>
                <c:pt idx="59">
                  <c:v>53.645000000000003</c:v>
                </c:pt>
                <c:pt idx="60">
                  <c:v>54.050400000000003</c:v>
                </c:pt>
                <c:pt idx="61">
                  <c:v>54.4589</c:v>
                </c:pt>
                <c:pt idx="62">
                  <c:v>54.868200000000002</c:v>
                </c:pt>
                <c:pt idx="63">
                  <c:v>55.271099999999997</c:v>
                </c:pt>
                <c:pt idx="64">
                  <c:v>55.675600000000003</c:v>
                </c:pt>
                <c:pt idx="65">
                  <c:v>56.082900000000002</c:v>
                </c:pt>
                <c:pt idx="66">
                  <c:v>56.490499999999997</c:v>
                </c:pt>
                <c:pt idx="67">
                  <c:v>56.897599999999997</c:v>
                </c:pt>
                <c:pt idx="68">
                  <c:v>57.301699999999997</c:v>
                </c:pt>
                <c:pt idx="69">
                  <c:v>57.710700000000003</c:v>
                </c:pt>
                <c:pt idx="70">
                  <c:v>58.118099999999998</c:v>
                </c:pt>
                <c:pt idx="71">
                  <c:v>58.523800000000001</c:v>
                </c:pt>
                <c:pt idx="72">
                  <c:v>58.927100000000003</c:v>
                </c:pt>
                <c:pt idx="73">
                  <c:v>59.3339</c:v>
                </c:pt>
                <c:pt idx="74">
                  <c:v>59.738300000000002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3.6371700000000002</c:v>
                </c:pt>
                <c:pt idx="1">
                  <c:v>3.6084000000000001</c:v>
                </c:pt>
                <c:pt idx="2">
                  <c:v>3.5742200000000004</c:v>
                </c:pt>
                <c:pt idx="3">
                  <c:v>3.5458499999999997</c:v>
                </c:pt>
                <c:pt idx="4">
                  <c:v>3.51952</c:v>
                </c:pt>
                <c:pt idx="5">
                  <c:v>3.4985599999999999</c:v>
                </c:pt>
                <c:pt idx="6">
                  <c:v>3.4843500000000001</c:v>
                </c:pt>
                <c:pt idx="7">
                  <c:v>3.4733299999999998</c:v>
                </c:pt>
                <c:pt idx="8">
                  <c:v>3.4638</c:v>
                </c:pt>
                <c:pt idx="9">
                  <c:v>3.4549699999999999</c:v>
                </c:pt>
                <c:pt idx="10">
                  <c:v>3.4454200000000004</c:v>
                </c:pt>
                <c:pt idx="11">
                  <c:v>3.4347799999999999</c:v>
                </c:pt>
                <c:pt idx="12">
                  <c:v>3.4252500000000001</c:v>
                </c:pt>
                <c:pt idx="13">
                  <c:v>3.4193099999999998</c:v>
                </c:pt>
                <c:pt idx="14">
                  <c:v>3.4159299999999999</c:v>
                </c:pt>
                <c:pt idx="15">
                  <c:v>3.4168799999999999</c:v>
                </c:pt>
                <c:pt idx="16">
                  <c:v>3.4179599999999999</c:v>
                </c:pt>
                <c:pt idx="17">
                  <c:v>3.4183599999999998</c:v>
                </c:pt>
                <c:pt idx="18">
                  <c:v>3.4200599999999999</c:v>
                </c:pt>
                <c:pt idx="19">
                  <c:v>3.4238400000000002</c:v>
                </c:pt>
                <c:pt idx="20">
                  <c:v>3.4325000000000001</c:v>
                </c:pt>
                <c:pt idx="21">
                  <c:v>3.4432700000000001</c:v>
                </c:pt>
                <c:pt idx="22">
                  <c:v>3.4539799999999996</c:v>
                </c:pt>
                <c:pt idx="23">
                  <c:v>3.4644999999999997</c:v>
                </c:pt>
                <c:pt idx="24">
                  <c:v>3.4756499999999999</c:v>
                </c:pt>
                <c:pt idx="25">
                  <c:v>3.4897800000000001</c:v>
                </c:pt>
                <c:pt idx="26">
                  <c:v>3.5050999999999997</c:v>
                </c:pt>
                <c:pt idx="27">
                  <c:v>3.5194799999999997</c:v>
                </c:pt>
                <c:pt idx="28">
                  <c:v>3.53348</c:v>
                </c:pt>
                <c:pt idx="29">
                  <c:v>3.5472700000000001</c:v>
                </c:pt>
                <c:pt idx="30">
                  <c:v>3.5569299999999999</c:v>
                </c:pt>
                <c:pt idx="31">
                  <c:v>3.5641699999999998</c:v>
                </c:pt>
                <c:pt idx="32">
                  <c:v>3.5710299999999999</c:v>
                </c:pt>
                <c:pt idx="33">
                  <c:v>3.5769000000000002</c:v>
                </c:pt>
                <c:pt idx="34">
                  <c:v>3.58609</c:v>
                </c:pt>
                <c:pt idx="35">
                  <c:v>3.5962399999999999</c:v>
                </c:pt>
                <c:pt idx="36">
                  <c:v>3.60839</c:v>
                </c:pt>
                <c:pt idx="37">
                  <c:v>3.6217999999999999</c:v>
                </c:pt>
                <c:pt idx="38">
                  <c:v>3.6351399999999998</c:v>
                </c:pt>
                <c:pt idx="39">
                  <c:v>3.64907</c:v>
                </c:pt>
                <c:pt idx="40">
                  <c:v>3.6605700000000003</c:v>
                </c:pt>
                <c:pt idx="41">
                  <c:v>3.6705800000000002</c:v>
                </c:pt>
                <c:pt idx="42">
                  <c:v>3.67909</c:v>
                </c:pt>
                <c:pt idx="43">
                  <c:v>3.6874899999999999</c:v>
                </c:pt>
                <c:pt idx="44">
                  <c:v>3.6979099999999998</c:v>
                </c:pt>
                <c:pt idx="45">
                  <c:v>3.7092000000000001</c:v>
                </c:pt>
                <c:pt idx="46">
                  <c:v>3.7189000000000001</c:v>
                </c:pt>
                <c:pt idx="47">
                  <c:v>3.72818</c:v>
                </c:pt>
                <c:pt idx="48">
                  <c:v>3.7379600000000002</c:v>
                </c:pt>
                <c:pt idx="49">
                  <c:v>3.7497799999999999</c:v>
                </c:pt>
                <c:pt idx="50">
                  <c:v>3.7610700000000001</c:v>
                </c:pt>
                <c:pt idx="51">
                  <c:v>3.7670399999999997</c:v>
                </c:pt>
                <c:pt idx="52">
                  <c:v>3.77468</c:v>
                </c:pt>
                <c:pt idx="53">
                  <c:v>3.7841399999999998</c:v>
                </c:pt>
                <c:pt idx="54">
                  <c:v>3.7928600000000001</c:v>
                </c:pt>
                <c:pt idx="55">
                  <c:v>3.8040500000000002</c:v>
                </c:pt>
                <c:pt idx="56">
                  <c:v>3.8148200000000001</c:v>
                </c:pt>
                <c:pt idx="57">
                  <c:v>3.8248100000000003</c:v>
                </c:pt>
                <c:pt idx="58">
                  <c:v>3.8338800000000002</c:v>
                </c:pt>
                <c:pt idx="59">
                  <c:v>3.84002</c:v>
                </c:pt>
                <c:pt idx="60">
                  <c:v>3.8459700000000003</c:v>
                </c:pt>
                <c:pt idx="61">
                  <c:v>3.8514399999999998</c:v>
                </c:pt>
                <c:pt idx="62">
                  <c:v>3.8562999999999996</c:v>
                </c:pt>
                <c:pt idx="63">
                  <c:v>3.8610699999999998</c:v>
                </c:pt>
                <c:pt idx="64">
                  <c:v>3.8610499999999996</c:v>
                </c:pt>
                <c:pt idx="65">
                  <c:v>3.8610299999999995</c:v>
                </c:pt>
                <c:pt idx="66">
                  <c:v>3.8649499999999999</c:v>
                </c:pt>
                <c:pt idx="67">
                  <c:v>3.8735599999999999</c:v>
                </c:pt>
                <c:pt idx="68">
                  <c:v>3.88388</c:v>
                </c:pt>
                <c:pt idx="69">
                  <c:v>3.8876300000000001</c:v>
                </c:pt>
                <c:pt idx="70">
                  <c:v>3.8860800000000002</c:v>
                </c:pt>
                <c:pt idx="71">
                  <c:v>3.8868999999999998</c:v>
                </c:pt>
                <c:pt idx="72">
                  <c:v>3.8982200000000002</c:v>
                </c:pt>
                <c:pt idx="73">
                  <c:v>3.9155699999999998</c:v>
                </c:pt>
                <c:pt idx="74">
                  <c:v>3.9000400000000002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14.934575000000001</c:v>
                </c:pt>
                <c:pt idx="1">
                  <c:v>44.803725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3.0340140540540546</c:v>
                </c:pt>
                <c:pt idx="1">
                  <c:v>3.6467875675675665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0.36374200000000001</c:v>
                </c:pt>
                <c:pt idx="2">
                  <c:v>0.769679</c:v>
                </c:pt>
                <c:pt idx="3">
                  <c:v>1.1761299999999999</c:v>
                </c:pt>
                <c:pt idx="4">
                  <c:v>1.5841000000000001</c:v>
                </c:pt>
                <c:pt idx="5">
                  <c:v>1.99028</c:v>
                </c:pt>
                <c:pt idx="6">
                  <c:v>2.3944999999999999</c:v>
                </c:pt>
                <c:pt idx="7">
                  <c:v>2.8044199999999999</c:v>
                </c:pt>
                <c:pt idx="8">
                  <c:v>3.2099099999999998</c:v>
                </c:pt>
                <c:pt idx="9">
                  <c:v>3.61713</c:v>
                </c:pt>
                <c:pt idx="10">
                  <c:v>4.02102</c:v>
                </c:pt>
                <c:pt idx="11">
                  <c:v>4.4265600000000003</c:v>
                </c:pt>
                <c:pt idx="12">
                  <c:v>4.8355100000000002</c:v>
                </c:pt>
                <c:pt idx="13">
                  <c:v>5.2428699999999999</c:v>
                </c:pt>
                <c:pt idx="14">
                  <c:v>5.6480300000000003</c:v>
                </c:pt>
                <c:pt idx="15">
                  <c:v>6.0554899999999998</c:v>
                </c:pt>
                <c:pt idx="16">
                  <c:v>6.4602000000000004</c:v>
                </c:pt>
                <c:pt idx="17">
                  <c:v>6.8639799999999997</c:v>
                </c:pt>
                <c:pt idx="18">
                  <c:v>7.2736799999999997</c:v>
                </c:pt>
                <c:pt idx="19">
                  <c:v>7.6787200000000002</c:v>
                </c:pt>
                <c:pt idx="20">
                  <c:v>8.0820900000000009</c:v>
                </c:pt>
                <c:pt idx="21">
                  <c:v>8.4887099999999993</c:v>
                </c:pt>
                <c:pt idx="22">
                  <c:v>8.89527</c:v>
                </c:pt>
                <c:pt idx="23">
                  <c:v>9.3039199999999997</c:v>
                </c:pt>
                <c:pt idx="24">
                  <c:v>9.7111000000000001</c:v>
                </c:pt>
                <c:pt idx="25">
                  <c:v>10.116300000000001</c:v>
                </c:pt>
                <c:pt idx="26">
                  <c:v>10.5204</c:v>
                </c:pt>
                <c:pt idx="27">
                  <c:v>10.9244</c:v>
                </c:pt>
                <c:pt idx="28">
                  <c:v>11.334199999999999</c:v>
                </c:pt>
                <c:pt idx="29">
                  <c:v>11.740399999999999</c:v>
                </c:pt>
                <c:pt idx="30">
                  <c:v>12.1462</c:v>
                </c:pt>
                <c:pt idx="31">
                  <c:v>12.5512</c:v>
                </c:pt>
                <c:pt idx="32">
                  <c:v>12.960800000000001</c:v>
                </c:pt>
                <c:pt idx="33">
                  <c:v>13.3675</c:v>
                </c:pt>
                <c:pt idx="34">
                  <c:v>13.771699999999999</c:v>
                </c:pt>
                <c:pt idx="35">
                  <c:v>14.178000000000001</c:v>
                </c:pt>
                <c:pt idx="36">
                  <c:v>14.583399999999999</c:v>
                </c:pt>
                <c:pt idx="37">
                  <c:v>14.9887</c:v>
                </c:pt>
                <c:pt idx="38">
                  <c:v>15.3964</c:v>
                </c:pt>
                <c:pt idx="39">
                  <c:v>15.801600000000001</c:v>
                </c:pt>
                <c:pt idx="40">
                  <c:v>16.210899999999999</c:v>
                </c:pt>
                <c:pt idx="41">
                  <c:v>16.613600000000002</c:v>
                </c:pt>
                <c:pt idx="42">
                  <c:v>17.019400000000001</c:v>
                </c:pt>
                <c:pt idx="43">
                  <c:v>17.425899999999999</c:v>
                </c:pt>
                <c:pt idx="44">
                  <c:v>17.835100000000001</c:v>
                </c:pt>
                <c:pt idx="45">
                  <c:v>18.238499999999998</c:v>
                </c:pt>
                <c:pt idx="46">
                  <c:v>18.648399999999999</c:v>
                </c:pt>
                <c:pt idx="47">
                  <c:v>19.053899999999999</c:v>
                </c:pt>
                <c:pt idx="48">
                  <c:v>19.458100000000002</c:v>
                </c:pt>
                <c:pt idx="49">
                  <c:v>19.863299999999999</c:v>
                </c:pt>
                <c:pt idx="50">
                  <c:v>20.2742</c:v>
                </c:pt>
                <c:pt idx="51">
                  <c:v>20.678799999999999</c:v>
                </c:pt>
                <c:pt idx="52">
                  <c:v>21.0837</c:v>
                </c:pt>
                <c:pt idx="53">
                  <c:v>21.494199999999999</c:v>
                </c:pt>
                <c:pt idx="54">
                  <c:v>21.895</c:v>
                </c:pt>
                <c:pt idx="55">
                  <c:v>22.302399999999999</c:v>
                </c:pt>
                <c:pt idx="56">
                  <c:v>22.711099999999998</c:v>
                </c:pt>
                <c:pt idx="57">
                  <c:v>23.116299999999999</c:v>
                </c:pt>
                <c:pt idx="58">
                  <c:v>23.522300000000001</c:v>
                </c:pt>
                <c:pt idx="59">
                  <c:v>23.926300000000001</c:v>
                </c:pt>
                <c:pt idx="60">
                  <c:v>24.3339</c:v>
                </c:pt>
                <c:pt idx="61">
                  <c:v>24.739100000000001</c:v>
                </c:pt>
                <c:pt idx="62">
                  <c:v>25.147099999999998</c:v>
                </c:pt>
                <c:pt idx="63">
                  <c:v>25.5503</c:v>
                </c:pt>
                <c:pt idx="64">
                  <c:v>25.959099999999999</c:v>
                </c:pt>
                <c:pt idx="65">
                  <c:v>26.3629</c:v>
                </c:pt>
                <c:pt idx="66">
                  <c:v>26.7729</c:v>
                </c:pt>
                <c:pt idx="67">
                  <c:v>27.178100000000001</c:v>
                </c:pt>
                <c:pt idx="68">
                  <c:v>27.5837</c:v>
                </c:pt>
                <c:pt idx="69">
                  <c:v>27.989599999999999</c:v>
                </c:pt>
                <c:pt idx="70">
                  <c:v>28.395700000000001</c:v>
                </c:pt>
                <c:pt idx="71">
                  <c:v>28.801300000000001</c:v>
                </c:pt>
                <c:pt idx="72">
                  <c:v>29.209700000000002</c:v>
                </c:pt>
                <c:pt idx="73">
                  <c:v>29.6175</c:v>
                </c:pt>
                <c:pt idx="74">
                  <c:v>30.023199999999999</c:v>
                </c:pt>
                <c:pt idx="75">
                  <c:v>30.616599999999998</c:v>
                </c:pt>
                <c:pt idx="76">
                  <c:v>30.991700000000002</c:v>
                </c:pt>
                <c:pt idx="77">
                  <c:v>31.366700000000002</c:v>
                </c:pt>
                <c:pt idx="78">
                  <c:v>31.740100000000002</c:v>
                </c:pt>
                <c:pt idx="79">
                  <c:v>32.113399999999999</c:v>
                </c:pt>
                <c:pt idx="80">
                  <c:v>32.5197</c:v>
                </c:pt>
                <c:pt idx="81">
                  <c:v>32.926400000000001</c:v>
                </c:pt>
                <c:pt idx="82">
                  <c:v>33.334899999999998</c:v>
                </c:pt>
                <c:pt idx="83">
                  <c:v>33.737499999999997</c:v>
                </c:pt>
                <c:pt idx="84">
                  <c:v>34.145000000000003</c:v>
                </c:pt>
                <c:pt idx="85">
                  <c:v>34.555399999999999</c:v>
                </c:pt>
                <c:pt idx="86">
                  <c:v>34.960500000000003</c:v>
                </c:pt>
                <c:pt idx="87">
                  <c:v>35.3658</c:v>
                </c:pt>
                <c:pt idx="88">
                  <c:v>35.770699999999998</c:v>
                </c:pt>
                <c:pt idx="89">
                  <c:v>36.177500000000002</c:v>
                </c:pt>
                <c:pt idx="90">
                  <c:v>36.5839</c:v>
                </c:pt>
                <c:pt idx="91">
                  <c:v>36.994199999999999</c:v>
                </c:pt>
                <c:pt idx="92">
                  <c:v>37.3977</c:v>
                </c:pt>
                <c:pt idx="93">
                  <c:v>37.802599999999998</c:v>
                </c:pt>
                <c:pt idx="94">
                  <c:v>38.206899999999997</c:v>
                </c:pt>
                <c:pt idx="95">
                  <c:v>38.612200000000001</c:v>
                </c:pt>
                <c:pt idx="96">
                  <c:v>39.024299999999997</c:v>
                </c:pt>
                <c:pt idx="97">
                  <c:v>39.427999999999997</c:v>
                </c:pt>
                <c:pt idx="98">
                  <c:v>39.832299999999996</c:v>
                </c:pt>
                <c:pt idx="99">
                  <c:v>40.239899999999999</c:v>
                </c:pt>
                <c:pt idx="100">
                  <c:v>40.647100000000002</c:v>
                </c:pt>
                <c:pt idx="101">
                  <c:v>41.052700000000002</c:v>
                </c:pt>
                <c:pt idx="102">
                  <c:v>41.458500000000001</c:v>
                </c:pt>
                <c:pt idx="103">
                  <c:v>41.866199999999999</c:v>
                </c:pt>
                <c:pt idx="104">
                  <c:v>42.271299999999997</c:v>
                </c:pt>
                <c:pt idx="105">
                  <c:v>42.676400000000001</c:v>
                </c:pt>
                <c:pt idx="106">
                  <c:v>43.084400000000002</c:v>
                </c:pt>
                <c:pt idx="107">
                  <c:v>43.489100000000001</c:v>
                </c:pt>
                <c:pt idx="108">
                  <c:v>43.894300000000001</c:v>
                </c:pt>
                <c:pt idx="109">
                  <c:v>44.303400000000003</c:v>
                </c:pt>
                <c:pt idx="110">
                  <c:v>44.707999999999998</c:v>
                </c:pt>
                <c:pt idx="111">
                  <c:v>45.113700000000001</c:v>
                </c:pt>
                <c:pt idx="112">
                  <c:v>45.521700000000003</c:v>
                </c:pt>
                <c:pt idx="113">
                  <c:v>45.927300000000002</c:v>
                </c:pt>
                <c:pt idx="114">
                  <c:v>46.332099999999997</c:v>
                </c:pt>
                <c:pt idx="115">
                  <c:v>46.7393</c:v>
                </c:pt>
                <c:pt idx="116">
                  <c:v>47.149700000000003</c:v>
                </c:pt>
                <c:pt idx="117">
                  <c:v>47.554000000000002</c:v>
                </c:pt>
                <c:pt idx="118">
                  <c:v>47.958500000000001</c:v>
                </c:pt>
                <c:pt idx="119">
                  <c:v>48.368299999999998</c:v>
                </c:pt>
                <c:pt idx="120">
                  <c:v>48.7712</c:v>
                </c:pt>
                <c:pt idx="121">
                  <c:v>49.178600000000003</c:v>
                </c:pt>
                <c:pt idx="122">
                  <c:v>49.587000000000003</c:v>
                </c:pt>
                <c:pt idx="123">
                  <c:v>49.990299999999998</c:v>
                </c:pt>
                <c:pt idx="124">
                  <c:v>50.396099999999997</c:v>
                </c:pt>
                <c:pt idx="125">
                  <c:v>50.799900000000001</c:v>
                </c:pt>
                <c:pt idx="126">
                  <c:v>51.208100000000002</c:v>
                </c:pt>
                <c:pt idx="127">
                  <c:v>51.6128</c:v>
                </c:pt>
                <c:pt idx="128">
                  <c:v>52.018300000000004</c:v>
                </c:pt>
                <c:pt idx="129">
                  <c:v>52.427199999999999</c:v>
                </c:pt>
                <c:pt idx="130">
                  <c:v>52.834499999999998</c:v>
                </c:pt>
                <c:pt idx="131">
                  <c:v>53.238999999999997</c:v>
                </c:pt>
                <c:pt idx="132">
                  <c:v>53.645000000000003</c:v>
                </c:pt>
                <c:pt idx="133">
                  <c:v>54.050400000000003</c:v>
                </c:pt>
                <c:pt idx="134">
                  <c:v>54.4589</c:v>
                </c:pt>
                <c:pt idx="135">
                  <c:v>54.868200000000002</c:v>
                </c:pt>
                <c:pt idx="136">
                  <c:v>55.271099999999997</c:v>
                </c:pt>
                <c:pt idx="137">
                  <c:v>55.675600000000003</c:v>
                </c:pt>
                <c:pt idx="138">
                  <c:v>56.082900000000002</c:v>
                </c:pt>
                <c:pt idx="139">
                  <c:v>56.490499999999997</c:v>
                </c:pt>
                <c:pt idx="140">
                  <c:v>56.897599999999997</c:v>
                </c:pt>
                <c:pt idx="141">
                  <c:v>57.301699999999997</c:v>
                </c:pt>
                <c:pt idx="142">
                  <c:v>57.710700000000003</c:v>
                </c:pt>
                <c:pt idx="143">
                  <c:v>58.118099999999998</c:v>
                </c:pt>
                <c:pt idx="144">
                  <c:v>58.523800000000001</c:v>
                </c:pt>
                <c:pt idx="145">
                  <c:v>58.927100000000003</c:v>
                </c:pt>
                <c:pt idx="146">
                  <c:v>59.3339</c:v>
                </c:pt>
                <c:pt idx="147">
                  <c:v>59.738300000000002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64.884900000000002</c:v>
                </c:pt>
                <c:pt idx="1">
                  <c:v>63.898900000000005</c:v>
                </c:pt>
                <c:pt idx="2">
                  <c:v>63.070099999999996</c:v>
                </c:pt>
                <c:pt idx="3">
                  <c:v>62.266800000000003</c:v>
                </c:pt>
                <c:pt idx="4">
                  <c:v>61.2742</c:v>
                </c:pt>
                <c:pt idx="5">
                  <c:v>60.196199999999997</c:v>
                </c:pt>
                <c:pt idx="6">
                  <c:v>58.972100000000005</c:v>
                </c:pt>
                <c:pt idx="7">
                  <c:v>57.654399999999995</c:v>
                </c:pt>
                <c:pt idx="8">
                  <c:v>56.394599999999997</c:v>
                </c:pt>
                <c:pt idx="9">
                  <c:v>55.174599999999998</c:v>
                </c:pt>
                <c:pt idx="10">
                  <c:v>53.904200000000003</c:v>
                </c:pt>
                <c:pt idx="11">
                  <c:v>52.659100000000002</c:v>
                </c:pt>
                <c:pt idx="12">
                  <c:v>51.501100000000001</c:v>
                </c:pt>
                <c:pt idx="13">
                  <c:v>50.366500000000002</c:v>
                </c:pt>
                <c:pt idx="14">
                  <c:v>49.174500000000002</c:v>
                </c:pt>
                <c:pt idx="15">
                  <c:v>48.065300000000001</c:v>
                </c:pt>
                <c:pt idx="16">
                  <c:v>46.9876</c:v>
                </c:pt>
                <c:pt idx="17">
                  <c:v>45.959200000000003</c:v>
                </c:pt>
                <c:pt idx="18">
                  <c:v>45.0045</c:v>
                </c:pt>
                <c:pt idx="19">
                  <c:v>44.213000000000001</c:v>
                </c:pt>
                <c:pt idx="20">
                  <c:v>43.590299999999999</c:v>
                </c:pt>
                <c:pt idx="21">
                  <c:v>43.0779</c:v>
                </c:pt>
                <c:pt idx="22">
                  <c:v>42.719000000000001</c:v>
                </c:pt>
                <c:pt idx="23">
                  <c:v>42.378599999999999</c:v>
                </c:pt>
                <c:pt idx="24">
                  <c:v>41.992800000000003</c:v>
                </c:pt>
                <c:pt idx="25">
                  <c:v>41.598199999999999</c:v>
                </c:pt>
                <c:pt idx="26">
                  <c:v>41.232700000000001</c:v>
                </c:pt>
                <c:pt idx="27">
                  <c:v>40.883000000000003</c:v>
                </c:pt>
                <c:pt idx="28">
                  <c:v>40.579900000000002</c:v>
                </c:pt>
                <c:pt idx="29">
                  <c:v>40.2517</c:v>
                </c:pt>
                <c:pt idx="30">
                  <c:v>39.922400000000003</c:v>
                </c:pt>
                <c:pt idx="31">
                  <c:v>39.580100000000002</c:v>
                </c:pt>
                <c:pt idx="32">
                  <c:v>39.164700000000003</c:v>
                </c:pt>
                <c:pt idx="33">
                  <c:v>38.793199999999999</c:v>
                </c:pt>
                <c:pt idx="34">
                  <c:v>38.451800000000006</c:v>
                </c:pt>
                <c:pt idx="35">
                  <c:v>38.113599999999998</c:v>
                </c:pt>
                <c:pt idx="36">
                  <c:v>37.826300000000003</c:v>
                </c:pt>
                <c:pt idx="37">
                  <c:v>37.563600000000001</c:v>
                </c:pt>
                <c:pt idx="38">
                  <c:v>37.336100000000002</c:v>
                </c:pt>
                <c:pt idx="39">
                  <c:v>37.079599999999999</c:v>
                </c:pt>
                <c:pt idx="40">
                  <c:v>36.815100000000001</c:v>
                </c:pt>
                <c:pt idx="41">
                  <c:v>36.594000000000001</c:v>
                </c:pt>
                <c:pt idx="42">
                  <c:v>36.370999999999995</c:v>
                </c:pt>
                <c:pt idx="43">
                  <c:v>36.126000000000005</c:v>
                </c:pt>
                <c:pt idx="44">
                  <c:v>35.786799999999999</c:v>
                </c:pt>
                <c:pt idx="45">
                  <c:v>35.378900000000002</c:v>
                </c:pt>
                <c:pt idx="46">
                  <c:v>34.979700000000001</c:v>
                </c:pt>
                <c:pt idx="47">
                  <c:v>34.563400000000001</c:v>
                </c:pt>
                <c:pt idx="48">
                  <c:v>34.141300000000001</c:v>
                </c:pt>
                <c:pt idx="49">
                  <c:v>33.810400000000001</c:v>
                </c:pt>
                <c:pt idx="50">
                  <c:v>33.6678</c:v>
                </c:pt>
                <c:pt idx="51">
                  <c:v>33.399099999999997</c:v>
                </c:pt>
                <c:pt idx="52">
                  <c:v>33.087000000000003</c:v>
                </c:pt>
                <c:pt idx="53">
                  <c:v>32.826000000000001</c:v>
                </c:pt>
                <c:pt idx="54">
                  <c:v>32.606999999999999</c:v>
                </c:pt>
                <c:pt idx="55">
                  <c:v>32.441900000000004</c:v>
                </c:pt>
                <c:pt idx="56">
                  <c:v>32.360299999999995</c:v>
                </c:pt>
                <c:pt idx="57">
                  <c:v>32.450099999999999</c:v>
                </c:pt>
                <c:pt idx="58">
                  <c:v>32.506299999999996</c:v>
                </c:pt>
                <c:pt idx="59">
                  <c:v>32.580300000000001</c:v>
                </c:pt>
                <c:pt idx="60">
                  <c:v>32.696599999999997</c:v>
                </c:pt>
                <c:pt idx="61">
                  <c:v>32.856900000000003</c:v>
                </c:pt>
                <c:pt idx="62">
                  <c:v>33.024300000000004</c:v>
                </c:pt>
                <c:pt idx="63">
                  <c:v>33.250600000000006</c:v>
                </c:pt>
                <c:pt idx="64">
                  <c:v>33.491900000000001</c:v>
                </c:pt>
                <c:pt idx="65">
                  <c:v>33.748899999999999</c:v>
                </c:pt>
                <c:pt idx="66">
                  <c:v>34.072000000000003</c:v>
                </c:pt>
                <c:pt idx="67">
                  <c:v>34.426499999999997</c:v>
                </c:pt>
                <c:pt idx="68">
                  <c:v>34.822800000000001</c:v>
                </c:pt>
                <c:pt idx="69">
                  <c:v>35.256399999999999</c:v>
                </c:pt>
                <c:pt idx="70">
                  <c:v>35.717500000000001</c:v>
                </c:pt>
                <c:pt idx="71">
                  <c:v>36.212200000000003</c:v>
                </c:pt>
                <c:pt idx="72">
                  <c:v>36.737400000000001</c:v>
                </c:pt>
                <c:pt idx="73">
                  <c:v>37.2652</c:v>
                </c:pt>
                <c:pt idx="74">
                  <c:v>37.767499999999998</c:v>
                </c:pt>
                <c:pt idx="75">
                  <c:v>38.269100000000002</c:v>
                </c:pt>
                <c:pt idx="76">
                  <c:v>38.771899999999995</c:v>
                </c:pt>
                <c:pt idx="77">
                  <c:v>39.272300000000001</c:v>
                </c:pt>
                <c:pt idx="78">
                  <c:v>39.678699999999999</c:v>
                </c:pt>
                <c:pt idx="79">
                  <c:v>40.039499999999997</c:v>
                </c:pt>
                <c:pt idx="80">
                  <c:v>40.3703</c:v>
                </c:pt>
                <c:pt idx="81">
                  <c:v>40.608800000000002</c:v>
                </c:pt>
                <c:pt idx="82">
                  <c:v>40.842299999999994</c:v>
                </c:pt>
                <c:pt idx="83">
                  <c:v>41.097499999999997</c:v>
                </c:pt>
                <c:pt idx="84">
                  <c:v>41.328900000000004</c:v>
                </c:pt>
                <c:pt idx="85">
                  <c:v>41.5002</c:v>
                </c:pt>
                <c:pt idx="86">
                  <c:v>41.613</c:v>
                </c:pt>
                <c:pt idx="87">
                  <c:v>41.654499999999999</c:v>
                </c:pt>
                <c:pt idx="88">
                  <c:v>41.629599999999996</c:v>
                </c:pt>
                <c:pt idx="89">
                  <c:v>41.653199999999998</c:v>
                </c:pt>
                <c:pt idx="90">
                  <c:v>41.672799999999995</c:v>
                </c:pt>
                <c:pt idx="91">
                  <c:v>41.623800000000003</c:v>
                </c:pt>
                <c:pt idx="92">
                  <c:v>41.58</c:v>
                </c:pt>
                <c:pt idx="93">
                  <c:v>41.505499999999998</c:v>
                </c:pt>
                <c:pt idx="94">
                  <c:v>41.471999999999994</c:v>
                </c:pt>
                <c:pt idx="95">
                  <c:v>41.489699999999999</c:v>
                </c:pt>
                <c:pt idx="96">
                  <c:v>41.538399999999996</c:v>
                </c:pt>
                <c:pt idx="97">
                  <c:v>41.5989</c:v>
                </c:pt>
                <c:pt idx="98">
                  <c:v>41.6999</c:v>
                </c:pt>
                <c:pt idx="99">
                  <c:v>41.798099999999998</c:v>
                </c:pt>
                <c:pt idx="100">
                  <c:v>41.950700000000005</c:v>
                </c:pt>
                <c:pt idx="101">
                  <c:v>42.181699999999999</c:v>
                </c:pt>
                <c:pt idx="102">
                  <c:v>42.431200000000004</c:v>
                </c:pt>
                <c:pt idx="103">
                  <c:v>42.716200000000001</c:v>
                </c:pt>
                <c:pt idx="104">
                  <c:v>42.896099999999997</c:v>
                </c:pt>
                <c:pt idx="105">
                  <c:v>42.9925</c:v>
                </c:pt>
                <c:pt idx="106">
                  <c:v>43.0229</c:v>
                </c:pt>
                <c:pt idx="107">
                  <c:v>42.942500000000003</c:v>
                </c:pt>
                <c:pt idx="108">
                  <c:v>42.810700000000004</c:v>
                </c:pt>
                <c:pt idx="109">
                  <c:v>42.638300000000001</c:v>
                </c:pt>
                <c:pt idx="110">
                  <c:v>42.464500000000001</c:v>
                </c:pt>
                <c:pt idx="111">
                  <c:v>42.268899999999995</c:v>
                </c:pt>
                <c:pt idx="112">
                  <c:v>42.039700000000003</c:v>
                </c:pt>
                <c:pt idx="113">
                  <c:v>41.797899999999998</c:v>
                </c:pt>
                <c:pt idx="114">
                  <c:v>41.587499999999999</c:v>
                </c:pt>
                <c:pt idx="115">
                  <c:v>41.417300000000004</c:v>
                </c:pt>
                <c:pt idx="116">
                  <c:v>41.288399999999996</c:v>
                </c:pt>
                <c:pt idx="117">
                  <c:v>41.131900000000002</c:v>
                </c:pt>
                <c:pt idx="118">
                  <c:v>40.917900000000003</c:v>
                </c:pt>
                <c:pt idx="119">
                  <c:v>40.691899999999997</c:v>
                </c:pt>
                <c:pt idx="120">
                  <c:v>40.489199999999997</c:v>
                </c:pt>
                <c:pt idx="121">
                  <c:v>40.3264</c:v>
                </c:pt>
                <c:pt idx="122">
                  <c:v>40.1907</c:v>
                </c:pt>
                <c:pt idx="123">
                  <c:v>40.121099999999998</c:v>
                </c:pt>
                <c:pt idx="124">
                  <c:v>39.989000000000004</c:v>
                </c:pt>
                <c:pt idx="125">
                  <c:v>39.832299999999996</c:v>
                </c:pt>
                <c:pt idx="126">
                  <c:v>39.652100000000004</c:v>
                </c:pt>
                <c:pt idx="127">
                  <c:v>39.453800000000001</c:v>
                </c:pt>
                <c:pt idx="128">
                  <c:v>39.259500000000003</c:v>
                </c:pt>
                <c:pt idx="129">
                  <c:v>39.095600000000005</c:v>
                </c:pt>
                <c:pt idx="130">
                  <c:v>38.987300000000005</c:v>
                </c:pt>
                <c:pt idx="131">
                  <c:v>38.909300000000002</c:v>
                </c:pt>
                <c:pt idx="132">
                  <c:v>38.844999999999999</c:v>
                </c:pt>
                <c:pt idx="133">
                  <c:v>38.828699999999998</c:v>
                </c:pt>
                <c:pt idx="134">
                  <c:v>38.870599999999996</c:v>
                </c:pt>
                <c:pt idx="135">
                  <c:v>38.904200000000003</c:v>
                </c:pt>
                <c:pt idx="136">
                  <c:v>38.968799999999995</c:v>
                </c:pt>
                <c:pt idx="137">
                  <c:v>39.1265</c:v>
                </c:pt>
                <c:pt idx="138">
                  <c:v>39.3371</c:v>
                </c:pt>
                <c:pt idx="139">
                  <c:v>39.538499999999999</c:v>
                </c:pt>
                <c:pt idx="140">
                  <c:v>39.7117</c:v>
                </c:pt>
                <c:pt idx="141">
                  <c:v>39.865299999999998</c:v>
                </c:pt>
                <c:pt idx="142">
                  <c:v>40.007599999999996</c:v>
                </c:pt>
                <c:pt idx="143">
                  <c:v>40.35</c:v>
                </c:pt>
                <c:pt idx="144">
                  <c:v>40.820099999999996</c:v>
                </c:pt>
                <c:pt idx="145">
                  <c:v>41.326099999999997</c:v>
                </c:pt>
                <c:pt idx="146">
                  <c:v>41.842199999999998</c:v>
                </c:pt>
                <c:pt idx="147">
                  <c:v>42.598599999999998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0.36374200000000001</c:v>
                </c:pt>
                <c:pt idx="2">
                  <c:v>0.769679</c:v>
                </c:pt>
                <c:pt idx="3">
                  <c:v>1.1761299999999999</c:v>
                </c:pt>
                <c:pt idx="4">
                  <c:v>1.5841000000000001</c:v>
                </c:pt>
                <c:pt idx="5">
                  <c:v>1.99028</c:v>
                </c:pt>
                <c:pt idx="6">
                  <c:v>2.3944999999999999</c:v>
                </c:pt>
                <c:pt idx="7">
                  <c:v>2.8044199999999999</c:v>
                </c:pt>
                <c:pt idx="8">
                  <c:v>3.2099099999999998</c:v>
                </c:pt>
                <c:pt idx="9">
                  <c:v>3.61713</c:v>
                </c:pt>
                <c:pt idx="10">
                  <c:v>4.02102</c:v>
                </c:pt>
                <c:pt idx="11">
                  <c:v>4.4265600000000003</c:v>
                </c:pt>
                <c:pt idx="12">
                  <c:v>4.8355100000000002</c:v>
                </c:pt>
                <c:pt idx="13">
                  <c:v>5.2428699999999999</c:v>
                </c:pt>
                <c:pt idx="14">
                  <c:v>5.6480300000000003</c:v>
                </c:pt>
                <c:pt idx="15">
                  <c:v>6.0554899999999998</c:v>
                </c:pt>
                <c:pt idx="16">
                  <c:v>6.4602000000000004</c:v>
                </c:pt>
                <c:pt idx="17">
                  <c:v>6.8639799999999997</c:v>
                </c:pt>
                <c:pt idx="18">
                  <c:v>7.2736799999999997</c:v>
                </c:pt>
                <c:pt idx="19">
                  <c:v>7.6787200000000002</c:v>
                </c:pt>
                <c:pt idx="20">
                  <c:v>8.0820900000000009</c:v>
                </c:pt>
                <c:pt idx="21">
                  <c:v>8.4887099999999993</c:v>
                </c:pt>
                <c:pt idx="22">
                  <c:v>8.89527</c:v>
                </c:pt>
                <c:pt idx="23">
                  <c:v>9.3039199999999997</c:v>
                </c:pt>
                <c:pt idx="24">
                  <c:v>9.7111000000000001</c:v>
                </c:pt>
                <c:pt idx="25">
                  <c:v>10.116300000000001</c:v>
                </c:pt>
                <c:pt idx="26">
                  <c:v>10.5204</c:v>
                </c:pt>
                <c:pt idx="27">
                  <c:v>10.9244</c:v>
                </c:pt>
                <c:pt idx="28">
                  <c:v>11.334199999999999</c:v>
                </c:pt>
                <c:pt idx="29">
                  <c:v>11.740399999999999</c:v>
                </c:pt>
                <c:pt idx="30">
                  <c:v>12.1462</c:v>
                </c:pt>
                <c:pt idx="31">
                  <c:v>12.5512</c:v>
                </c:pt>
                <c:pt idx="32">
                  <c:v>12.960800000000001</c:v>
                </c:pt>
                <c:pt idx="33">
                  <c:v>13.3675</c:v>
                </c:pt>
                <c:pt idx="34">
                  <c:v>13.771699999999999</c:v>
                </c:pt>
                <c:pt idx="35">
                  <c:v>14.178000000000001</c:v>
                </c:pt>
                <c:pt idx="36">
                  <c:v>14.583399999999999</c:v>
                </c:pt>
                <c:pt idx="37">
                  <c:v>14.9887</c:v>
                </c:pt>
                <c:pt idx="38">
                  <c:v>15.3964</c:v>
                </c:pt>
                <c:pt idx="39">
                  <c:v>15.801600000000001</c:v>
                </c:pt>
                <c:pt idx="40">
                  <c:v>16.210899999999999</c:v>
                </c:pt>
                <c:pt idx="41">
                  <c:v>16.613600000000002</c:v>
                </c:pt>
                <c:pt idx="42">
                  <c:v>17.019400000000001</c:v>
                </c:pt>
                <c:pt idx="43">
                  <c:v>17.425899999999999</c:v>
                </c:pt>
                <c:pt idx="44">
                  <c:v>17.835100000000001</c:v>
                </c:pt>
                <c:pt idx="45">
                  <c:v>18.238499999999998</c:v>
                </c:pt>
                <c:pt idx="46">
                  <c:v>18.648399999999999</c:v>
                </c:pt>
                <c:pt idx="47">
                  <c:v>19.053899999999999</c:v>
                </c:pt>
                <c:pt idx="48">
                  <c:v>19.458100000000002</c:v>
                </c:pt>
                <c:pt idx="49">
                  <c:v>19.863299999999999</c:v>
                </c:pt>
                <c:pt idx="50">
                  <c:v>20.2742</c:v>
                </c:pt>
                <c:pt idx="51">
                  <c:v>20.678799999999999</c:v>
                </c:pt>
                <c:pt idx="52">
                  <c:v>21.0837</c:v>
                </c:pt>
                <c:pt idx="53">
                  <c:v>21.494199999999999</c:v>
                </c:pt>
                <c:pt idx="54">
                  <c:v>21.895</c:v>
                </c:pt>
                <c:pt idx="55">
                  <c:v>22.302399999999999</c:v>
                </c:pt>
                <c:pt idx="56">
                  <c:v>22.711099999999998</c:v>
                </c:pt>
                <c:pt idx="57">
                  <c:v>23.116299999999999</c:v>
                </c:pt>
                <c:pt idx="58">
                  <c:v>23.522300000000001</c:v>
                </c:pt>
                <c:pt idx="59">
                  <c:v>23.926300000000001</c:v>
                </c:pt>
                <c:pt idx="60">
                  <c:v>24.3339</c:v>
                </c:pt>
                <c:pt idx="61">
                  <c:v>24.739100000000001</c:v>
                </c:pt>
                <c:pt idx="62">
                  <c:v>25.147099999999998</c:v>
                </c:pt>
                <c:pt idx="63">
                  <c:v>25.5503</c:v>
                </c:pt>
                <c:pt idx="64">
                  <c:v>25.959099999999999</c:v>
                </c:pt>
                <c:pt idx="65">
                  <c:v>26.3629</c:v>
                </c:pt>
                <c:pt idx="66">
                  <c:v>26.7729</c:v>
                </c:pt>
                <c:pt idx="67">
                  <c:v>27.178100000000001</c:v>
                </c:pt>
                <c:pt idx="68">
                  <c:v>27.5837</c:v>
                </c:pt>
                <c:pt idx="69">
                  <c:v>27.989599999999999</c:v>
                </c:pt>
                <c:pt idx="70">
                  <c:v>28.395700000000001</c:v>
                </c:pt>
                <c:pt idx="71">
                  <c:v>28.801300000000001</c:v>
                </c:pt>
                <c:pt idx="72">
                  <c:v>29.209700000000002</c:v>
                </c:pt>
                <c:pt idx="73">
                  <c:v>29.6175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64.884900000000002</c:v>
                </c:pt>
                <c:pt idx="1">
                  <c:v>63.898900000000005</c:v>
                </c:pt>
                <c:pt idx="2">
                  <c:v>63.070099999999996</c:v>
                </c:pt>
                <c:pt idx="3">
                  <c:v>62.266800000000003</c:v>
                </c:pt>
                <c:pt idx="4">
                  <c:v>61.2742</c:v>
                </c:pt>
                <c:pt idx="5">
                  <c:v>60.196199999999997</c:v>
                </c:pt>
                <c:pt idx="6">
                  <c:v>58.972100000000005</c:v>
                </c:pt>
                <c:pt idx="7">
                  <c:v>57.654399999999995</c:v>
                </c:pt>
                <c:pt idx="8">
                  <c:v>56.394599999999997</c:v>
                </c:pt>
                <c:pt idx="9">
                  <c:v>55.174599999999998</c:v>
                </c:pt>
                <c:pt idx="10">
                  <c:v>53.904200000000003</c:v>
                </c:pt>
                <c:pt idx="11">
                  <c:v>52.659100000000002</c:v>
                </c:pt>
                <c:pt idx="12">
                  <c:v>51.501100000000001</c:v>
                </c:pt>
                <c:pt idx="13">
                  <c:v>50.366500000000002</c:v>
                </c:pt>
                <c:pt idx="14">
                  <c:v>49.174500000000002</c:v>
                </c:pt>
                <c:pt idx="15">
                  <c:v>48.065300000000001</c:v>
                </c:pt>
                <c:pt idx="16">
                  <c:v>46.9876</c:v>
                </c:pt>
                <c:pt idx="17">
                  <c:v>45.959200000000003</c:v>
                </c:pt>
                <c:pt idx="18">
                  <c:v>45.0045</c:v>
                </c:pt>
                <c:pt idx="19">
                  <c:v>44.213000000000001</c:v>
                </c:pt>
                <c:pt idx="20">
                  <c:v>43.590299999999999</c:v>
                </c:pt>
                <c:pt idx="21">
                  <c:v>43.0779</c:v>
                </c:pt>
                <c:pt idx="22">
                  <c:v>42.719000000000001</c:v>
                </c:pt>
                <c:pt idx="23">
                  <c:v>42.378599999999999</c:v>
                </c:pt>
                <c:pt idx="24">
                  <c:v>41.992800000000003</c:v>
                </c:pt>
                <c:pt idx="25">
                  <c:v>41.598199999999999</c:v>
                </c:pt>
                <c:pt idx="26">
                  <c:v>41.232700000000001</c:v>
                </c:pt>
                <c:pt idx="27">
                  <c:v>40.883000000000003</c:v>
                </c:pt>
                <c:pt idx="28">
                  <c:v>40.579900000000002</c:v>
                </c:pt>
                <c:pt idx="29">
                  <c:v>40.2517</c:v>
                </c:pt>
                <c:pt idx="30">
                  <c:v>39.922400000000003</c:v>
                </c:pt>
                <c:pt idx="31">
                  <c:v>39.580100000000002</c:v>
                </c:pt>
                <c:pt idx="32">
                  <c:v>39.164700000000003</c:v>
                </c:pt>
                <c:pt idx="33">
                  <c:v>38.793199999999999</c:v>
                </c:pt>
                <c:pt idx="34">
                  <c:v>38.451800000000006</c:v>
                </c:pt>
                <c:pt idx="35">
                  <c:v>38.113599999999998</c:v>
                </c:pt>
                <c:pt idx="36">
                  <c:v>37.826300000000003</c:v>
                </c:pt>
                <c:pt idx="37">
                  <c:v>37.563600000000001</c:v>
                </c:pt>
                <c:pt idx="38">
                  <c:v>37.336100000000002</c:v>
                </c:pt>
                <c:pt idx="39">
                  <c:v>37.079599999999999</c:v>
                </c:pt>
                <c:pt idx="40">
                  <c:v>36.815100000000001</c:v>
                </c:pt>
                <c:pt idx="41">
                  <c:v>36.594000000000001</c:v>
                </c:pt>
                <c:pt idx="42">
                  <c:v>36.370999999999995</c:v>
                </c:pt>
                <c:pt idx="43">
                  <c:v>36.126000000000005</c:v>
                </c:pt>
                <c:pt idx="44">
                  <c:v>35.786799999999999</c:v>
                </c:pt>
                <c:pt idx="45">
                  <c:v>35.378900000000002</c:v>
                </c:pt>
                <c:pt idx="46">
                  <c:v>34.979700000000001</c:v>
                </c:pt>
                <c:pt idx="47">
                  <c:v>34.563400000000001</c:v>
                </c:pt>
                <c:pt idx="48">
                  <c:v>34.141300000000001</c:v>
                </c:pt>
                <c:pt idx="49">
                  <c:v>33.810400000000001</c:v>
                </c:pt>
                <c:pt idx="50">
                  <c:v>33.6678</c:v>
                </c:pt>
                <c:pt idx="51">
                  <c:v>33.399099999999997</c:v>
                </c:pt>
                <c:pt idx="52">
                  <c:v>33.087000000000003</c:v>
                </c:pt>
                <c:pt idx="53">
                  <c:v>32.826000000000001</c:v>
                </c:pt>
                <c:pt idx="54">
                  <c:v>32.606999999999999</c:v>
                </c:pt>
                <c:pt idx="55">
                  <c:v>32.441900000000004</c:v>
                </c:pt>
                <c:pt idx="56">
                  <c:v>32.360299999999995</c:v>
                </c:pt>
                <c:pt idx="57">
                  <c:v>32.450099999999999</c:v>
                </c:pt>
                <c:pt idx="58">
                  <c:v>32.506299999999996</c:v>
                </c:pt>
                <c:pt idx="59">
                  <c:v>32.580300000000001</c:v>
                </c:pt>
                <c:pt idx="60">
                  <c:v>32.696599999999997</c:v>
                </c:pt>
                <c:pt idx="61">
                  <c:v>32.856900000000003</c:v>
                </c:pt>
                <c:pt idx="62">
                  <c:v>33.024300000000004</c:v>
                </c:pt>
                <c:pt idx="63">
                  <c:v>33.250600000000006</c:v>
                </c:pt>
                <c:pt idx="64">
                  <c:v>33.491900000000001</c:v>
                </c:pt>
                <c:pt idx="65">
                  <c:v>33.748899999999999</c:v>
                </c:pt>
                <c:pt idx="66">
                  <c:v>34.072000000000003</c:v>
                </c:pt>
                <c:pt idx="67">
                  <c:v>34.426499999999997</c:v>
                </c:pt>
                <c:pt idx="68">
                  <c:v>34.822800000000001</c:v>
                </c:pt>
                <c:pt idx="69">
                  <c:v>35.256399999999999</c:v>
                </c:pt>
                <c:pt idx="70">
                  <c:v>35.717500000000001</c:v>
                </c:pt>
                <c:pt idx="71">
                  <c:v>36.212200000000003</c:v>
                </c:pt>
                <c:pt idx="72">
                  <c:v>36.737400000000001</c:v>
                </c:pt>
                <c:pt idx="73">
                  <c:v>37.2652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29.6175</c:v>
                </c:pt>
                <c:pt idx="1">
                  <c:v>30.023199999999999</c:v>
                </c:pt>
                <c:pt idx="2">
                  <c:v>30.616599999999998</c:v>
                </c:pt>
                <c:pt idx="3">
                  <c:v>30.991700000000002</c:v>
                </c:pt>
                <c:pt idx="4">
                  <c:v>31.366700000000002</c:v>
                </c:pt>
                <c:pt idx="5">
                  <c:v>31.740100000000002</c:v>
                </c:pt>
                <c:pt idx="6">
                  <c:v>32.113399999999999</c:v>
                </c:pt>
                <c:pt idx="7">
                  <c:v>32.5197</c:v>
                </c:pt>
                <c:pt idx="8">
                  <c:v>32.926400000000001</c:v>
                </c:pt>
                <c:pt idx="9">
                  <c:v>33.334899999999998</c:v>
                </c:pt>
                <c:pt idx="10">
                  <c:v>33.737499999999997</c:v>
                </c:pt>
                <c:pt idx="11">
                  <c:v>34.145000000000003</c:v>
                </c:pt>
                <c:pt idx="12">
                  <c:v>34.555399999999999</c:v>
                </c:pt>
                <c:pt idx="13">
                  <c:v>34.960500000000003</c:v>
                </c:pt>
                <c:pt idx="14">
                  <c:v>35.3658</c:v>
                </c:pt>
                <c:pt idx="15">
                  <c:v>35.770699999999998</c:v>
                </c:pt>
                <c:pt idx="16">
                  <c:v>36.177500000000002</c:v>
                </c:pt>
                <c:pt idx="17">
                  <c:v>36.5839</c:v>
                </c:pt>
                <c:pt idx="18">
                  <c:v>36.994199999999999</c:v>
                </c:pt>
                <c:pt idx="19">
                  <c:v>37.3977</c:v>
                </c:pt>
                <c:pt idx="20">
                  <c:v>37.802599999999998</c:v>
                </c:pt>
                <c:pt idx="21">
                  <c:v>38.206899999999997</c:v>
                </c:pt>
                <c:pt idx="22">
                  <c:v>38.612200000000001</c:v>
                </c:pt>
                <c:pt idx="23">
                  <c:v>39.024299999999997</c:v>
                </c:pt>
                <c:pt idx="24">
                  <c:v>39.427999999999997</c:v>
                </c:pt>
                <c:pt idx="25">
                  <c:v>39.832299999999996</c:v>
                </c:pt>
                <c:pt idx="26">
                  <c:v>40.239899999999999</c:v>
                </c:pt>
                <c:pt idx="27">
                  <c:v>40.647100000000002</c:v>
                </c:pt>
                <c:pt idx="28">
                  <c:v>41.052700000000002</c:v>
                </c:pt>
                <c:pt idx="29">
                  <c:v>41.458500000000001</c:v>
                </c:pt>
                <c:pt idx="30">
                  <c:v>41.866199999999999</c:v>
                </c:pt>
                <c:pt idx="31">
                  <c:v>42.271299999999997</c:v>
                </c:pt>
                <c:pt idx="32">
                  <c:v>42.676400000000001</c:v>
                </c:pt>
                <c:pt idx="33">
                  <c:v>43.084400000000002</c:v>
                </c:pt>
                <c:pt idx="34">
                  <c:v>43.489100000000001</c:v>
                </c:pt>
                <c:pt idx="35">
                  <c:v>43.894300000000001</c:v>
                </c:pt>
                <c:pt idx="36">
                  <c:v>44.303400000000003</c:v>
                </c:pt>
                <c:pt idx="37">
                  <c:v>44.707999999999998</c:v>
                </c:pt>
                <c:pt idx="38">
                  <c:v>45.113700000000001</c:v>
                </c:pt>
                <c:pt idx="39">
                  <c:v>45.521700000000003</c:v>
                </c:pt>
                <c:pt idx="40">
                  <c:v>45.927300000000002</c:v>
                </c:pt>
                <c:pt idx="41">
                  <c:v>46.332099999999997</c:v>
                </c:pt>
                <c:pt idx="42">
                  <c:v>46.7393</c:v>
                </c:pt>
                <c:pt idx="43">
                  <c:v>47.149700000000003</c:v>
                </c:pt>
                <c:pt idx="44">
                  <c:v>47.554000000000002</c:v>
                </c:pt>
                <c:pt idx="45">
                  <c:v>47.958500000000001</c:v>
                </c:pt>
                <c:pt idx="46">
                  <c:v>48.368299999999998</c:v>
                </c:pt>
                <c:pt idx="47">
                  <c:v>48.7712</c:v>
                </c:pt>
                <c:pt idx="48">
                  <c:v>49.178600000000003</c:v>
                </c:pt>
                <c:pt idx="49">
                  <c:v>49.587000000000003</c:v>
                </c:pt>
                <c:pt idx="50">
                  <c:v>49.990299999999998</c:v>
                </c:pt>
                <c:pt idx="51">
                  <c:v>50.396099999999997</c:v>
                </c:pt>
                <c:pt idx="52">
                  <c:v>50.799900000000001</c:v>
                </c:pt>
                <c:pt idx="53">
                  <c:v>51.208100000000002</c:v>
                </c:pt>
                <c:pt idx="54">
                  <c:v>51.6128</c:v>
                </c:pt>
                <c:pt idx="55">
                  <c:v>52.018300000000004</c:v>
                </c:pt>
                <c:pt idx="56">
                  <c:v>52.427199999999999</c:v>
                </c:pt>
                <c:pt idx="57">
                  <c:v>52.834499999999998</c:v>
                </c:pt>
                <c:pt idx="58">
                  <c:v>53.238999999999997</c:v>
                </c:pt>
                <c:pt idx="59">
                  <c:v>53.645000000000003</c:v>
                </c:pt>
                <c:pt idx="60">
                  <c:v>54.050400000000003</c:v>
                </c:pt>
                <c:pt idx="61">
                  <c:v>54.4589</c:v>
                </c:pt>
                <c:pt idx="62">
                  <c:v>54.868200000000002</c:v>
                </c:pt>
                <c:pt idx="63">
                  <c:v>55.271099999999997</c:v>
                </c:pt>
                <c:pt idx="64">
                  <c:v>55.675600000000003</c:v>
                </c:pt>
                <c:pt idx="65">
                  <c:v>56.082900000000002</c:v>
                </c:pt>
                <c:pt idx="66">
                  <c:v>56.490499999999997</c:v>
                </c:pt>
                <c:pt idx="67">
                  <c:v>56.897599999999997</c:v>
                </c:pt>
                <c:pt idx="68">
                  <c:v>57.301699999999997</c:v>
                </c:pt>
                <c:pt idx="69">
                  <c:v>57.710700000000003</c:v>
                </c:pt>
                <c:pt idx="70">
                  <c:v>58.118099999999998</c:v>
                </c:pt>
                <c:pt idx="71">
                  <c:v>58.523800000000001</c:v>
                </c:pt>
                <c:pt idx="72">
                  <c:v>58.927100000000003</c:v>
                </c:pt>
                <c:pt idx="73">
                  <c:v>59.3339</c:v>
                </c:pt>
                <c:pt idx="74">
                  <c:v>59.738300000000002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37.2652</c:v>
                </c:pt>
                <c:pt idx="1">
                  <c:v>37.767499999999998</c:v>
                </c:pt>
                <c:pt idx="2">
                  <c:v>38.269100000000002</c:v>
                </c:pt>
                <c:pt idx="3">
                  <c:v>38.771899999999995</c:v>
                </c:pt>
                <c:pt idx="4">
                  <c:v>39.272300000000001</c:v>
                </c:pt>
                <c:pt idx="5">
                  <c:v>39.678699999999999</c:v>
                </c:pt>
                <c:pt idx="6">
                  <c:v>40.039499999999997</c:v>
                </c:pt>
                <c:pt idx="7">
                  <c:v>40.3703</c:v>
                </c:pt>
                <c:pt idx="8">
                  <c:v>40.608800000000002</c:v>
                </c:pt>
                <c:pt idx="9">
                  <c:v>40.842299999999994</c:v>
                </c:pt>
                <c:pt idx="10">
                  <c:v>41.097499999999997</c:v>
                </c:pt>
                <c:pt idx="11">
                  <c:v>41.328900000000004</c:v>
                </c:pt>
                <c:pt idx="12">
                  <c:v>41.5002</c:v>
                </c:pt>
                <c:pt idx="13">
                  <c:v>41.613</c:v>
                </c:pt>
                <c:pt idx="14">
                  <c:v>41.654499999999999</c:v>
                </c:pt>
                <c:pt idx="15">
                  <c:v>41.629599999999996</c:v>
                </c:pt>
                <c:pt idx="16">
                  <c:v>41.653199999999998</c:v>
                </c:pt>
                <c:pt idx="17">
                  <c:v>41.672799999999995</c:v>
                </c:pt>
                <c:pt idx="18">
                  <c:v>41.623800000000003</c:v>
                </c:pt>
                <c:pt idx="19">
                  <c:v>41.58</c:v>
                </c:pt>
                <c:pt idx="20">
                  <c:v>41.505499999999998</c:v>
                </c:pt>
                <c:pt idx="21">
                  <c:v>41.471999999999994</c:v>
                </c:pt>
                <c:pt idx="22">
                  <c:v>41.489699999999999</c:v>
                </c:pt>
                <c:pt idx="23">
                  <c:v>41.538399999999996</c:v>
                </c:pt>
                <c:pt idx="24">
                  <c:v>41.5989</c:v>
                </c:pt>
                <c:pt idx="25">
                  <c:v>41.6999</c:v>
                </c:pt>
                <c:pt idx="26">
                  <c:v>41.798099999999998</c:v>
                </c:pt>
                <c:pt idx="27">
                  <c:v>41.950700000000005</c:v>
                </c:pt>
                <c:pt idx="28">
                  <c:v>42.181699999999999</c:v>
                </c:pt>
                <c:pt idx="29">
                  <c:v>42.431200000000004</c:v>
                </c:pt>
                <c:pt idx="30">
                  <c:v>42.716200000000001</c:v>
                </c:pt>
                <c:pt idx="31">
                  <c:v>42.896099999999997</c:v>
                </c:pt>
                <c:pt idx="32">
                  <c:v>42.9925</c:v>
                </c:pt>
                <c:pt idx="33">
                  <c:v>43.0229</c:v>
                </c:pt>
                <c:pt idx="34">
                  <c:v>42.942500000000003</c:v>
                </c:pt>
                <c:pt idx="35">
                  <c:v>42.810700000000004</c:v>
                </c:pt>
                <c:pt idx="36">
                  <c:v>42.638300000000001</c:v>
                </c:pt>
                <c:pt idx="37">
                  <c:v>42.464500000000001</c:v>
                </c:pt>
                <c:pt idx="38">
                  <c:v>42.268899999999995</c:v>
                </c:pt>
                <c:pt idx="39">
                  <c:v>42.039700000000003</c:v>
                </c:pt>
                <c:pt idx="40">
                  <c:v>41.797899999999998</c:v>
                </c:pt>
                <c:pt idx="41">
                  <c:v>41.587499999999999</c:v>
                </c:pt>
                <c:pt idx="42">
                  <c:v>41.417300000000004</c:v>
                </c:pt>
                <c:pt idx="43">
                  <c:v>41.288399999999996</c:v>
                </c:pt>
                <c:pt idx="44">
                  <c:v>41.131900000000002</c:v>
                </c:pt>
                <c:pt idx="45">
                  <c:v>40.917900000000003</c:v>
                </c:pt>
                <c:pt idx="46">
                  <c:v>40.691899999999997</c:v>
                </c:pt>
                <c:pt idx="47">
                  <c:v>40.489199999999997</c:v>
                </c:pt>
                <c:pt idx="48">
                  <c:v>40.3264</c:v>
                </c:pt>
                <c:pt idx="49">
                  <c:v>40.1907</c:v>
                </c:pt>
                <c:pt idx="50">
                  <c:v>40.121099999999998</c:v>
                </c:pt>
                <c:pt idx="51">
                  <c:v>39.989000000000004</c:v>
                </c:pt>
                <c:pt idx="52">
                  <c:v>39.832299999999996</c:v>
                </c:pt>
                <c:pt idx="53">
                  <c:v>39.652100000000004</c:v>
                </c:pt>
                <c:pt idx="54">
                  <c:v>39.453800000000001</c:v>
                </c:pt>
                <c:pt idx="55">
                  <c:v>39.259500000000003</c:v>
                </c:pt>
                <c:pt idx="56">
                  <c:v>39.095600000000005</c:v>
                </c:pt>
                <c:pt idx="57">
                  <c:v>38.987300000000005</c:v>
                </c:pt>
                <c:pt idx="58">
                  <c:v>38.909300000000002</c:v>
                </c:pt>
                <c:pt idx="59">
                  <c:v>38.844999999999999</c:v>
                </c:pt>
                <c:pt idx="60">
                  <c:v>38.828699999999998</c:v>
                </c:pt>
                <c:pt idx="61">
                  <c:v>38.870599999999996</c:v>
                </c:pt>
                <c:pt idx="62">
                  <c:v>38.904200000000003</c:v>
                </c:pt>
                <c:pt idx="63">
                  <c:v>38.968799999999995</c:v>
                </c:pt>
                <c:pt idx="64">
                  <c:v>39.1265</c:v>
                </c:pt>
                <c:pt idx="65">
                  <c:v>39.3371</c:v>
                </c:pt>
                <c:pt idx="66">
                  <c:v>39.538499999999999</c:v>
                </c:pt>
                <c:pt idx="67">
                  <c:v>39.7117</c:v>
                </c:pt>
                <c:pt idx="68">
                  <c:v>39.865299999999998</c:v>
                </c:pt>
                <c:pt idx="69">
                  <c:v>40.007599999999996</c:v>
                </c:pt>
                <c:pt idx="70">
                  <c:v>40.35</c:v>
                </c:pt>
                <c:pt idx="71">
                  <c:v>40.820099999999996</c:v>
                </c:pt>
                <c:pt idx="72">
                  <c:v>41.326099999999997</c:v>
                </c:pt>
                <c:pt idx="73">
                  <c:v>41.842199999999998</c:v>
                </c:pt>
                <c:pt idx="74">
                  <c:v>42.598599999999998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14.934575000000001</c:v>
                </c:pt>
                <c:pt idx="1">
                  <c:v>44.803725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41.349039189189192</c:v>
                </c:pt>
                <c:pt idx="1">
                  <c:v>40.804221621621615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33.587200000000003</c:v>
                </c:pt>
                <c:pt idx="1">
                  <c:v>33.150700000000001</c:v>
                </c:pt>
                <c:pt idx="2">
                  <c:v>34.366599999999998</c:v>
                </c:pt>
                <c:pt idx="3">
                  <c:v>29.533799999999999</c:v>
                </c:pt>
                <c:pt idx="4">
                  <c:v>63.044699999999999</c:v>
                </c:pt>
                <c:pt idx="5">
                  <c:v>69.855199999999996</c:v>
                </c:pt>
                <c:pt idx="6">
                  <c:v>16.565200000000001</c:v>
                </c:pt>
                <c:pt idx="7">
                  <c:v>68.080500000000001</c:v>
                </c:pt>
                <c:pt idx="8">
                  <c:v>14.0473</c:v>
                </c:pt>
                <c:pt idx="9">
                  <c:v>19.0807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39.8367</c:v>
                </c:pt>
                <c:pt idx="1">
                  <c:v>31.109200000000001</c:v>
                </c:pt>
                <c:pt idx="2">
                  <c:v>35.843699999999998</c:v>
                </c:pt>
                <c:pt idx="3">
                  <c:v>35.938299999999998</c:v>
                </c:pt>
                <c:pt idx="4">
                  <c:v>69.067599999999999</c:v>
                </c:pt>
                <c:pt idx="5">
                  <c:v>73.248599999999996</c:v>
                </c:pt>
                <c:pt idx="6">
                  <c:v>24.587700000000002</c:v>
                </c:pt>
                <c:pt idx="7">
                  <c:v>71.334599999999995</c:v>
                </c:pt>
                <c:pt idx="8">
                  <c:v>13.733700000000001</c:v>
                </c:pt>
                <c:pt idx="9">
                  <c:v>12.1142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0.52491471019079006</c:v>
                </c:pt>
                <c:pt idx="1">
                  <c:v>0.31521651269580953</c:v>
                </c:pt>
                <c:pt idx="2">
                  <c:v>0.15986877711340053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813</c:v>
                </c:pt>
                <c:pt idx="7">
                  <c:v>0</c:v>
                </c:pt>
                <c:pt idx="8">
                  <c:v>3936</c:v>
                </c:pt>
                <c:pt idx="9">
                  <c:v>0</c:v>
                </c:pt>
                <c:pt idx="10">
                  <c:v>0</c:v>
                </c:pt>
                <c:pt idx="11">
                  <c:v>4981</c:v>
                </c:pt>
                <c:pt idx="12">
                  <c:v>0</c:v>
                </c:pt>
                <c:pt idx="13">
                  <c:v>6132</c:v>
                </c:pt>
                <c:pt idx="14">
                  <c:v>0</c:v>
                </c:pt>
                <c:pt idx="15">
                  <c:v>0</c:v>
                </c:pt>
                <c:pt idx="16">
                  <c:v>16899</c:v>
                </c:pt>
                <c:pt idx="17">
                  <c:v>0</c:v>
                </c:pt>
                <c:pt idx="18">
                  <c:v>0</c:v>
                </c:pt>
                <c:pt idx="19">
                  <c:v>35307</c:v>
                </c:pt>
                <c:pt idx="20">
                  <c:v>0</c:v>
                </c:pt>
                <c:pt idx="21">
                  <c:v>44399</c:v>
                </c:pt>
                <c:pt idx="22">
                  <c:v>0</c:v>
                </c:pt>
                <c:pt idx="23">
                  <c:v>0</c:v>
                </c:pt>
                <c:pt idx="24">
                  <c:v>40501</c:v>
                </c:pt>
                <c:pt idx="25">
                  <c:v>0</c:v>
                </c:pt>
                <c:pt idx="26">
                  <c:v>45219</c:v>
                </c:pt>
                <c:pt idx="27">
                  <c:v>0</c:v>
                </c:pt>
                <c:pt idx="28">
                  <c:v>0</c:v>
                </c:pt>
                <c:pt idx="29">
                  <c:v>56003</c:v>
                </c:pt>
                <c:pt idx="30">
                  <c:v>0</c:v>
                </c:pt>
                <c:pt idx="31">
                  <c:v>57795</c:v>
                </c:pt>
                <c:pt idx="32">
                  <c:v>0</c:v>
                </c:pt>
                <c:pt idx="33">
                  <c:v>0</c:v>
                </c:pt>
                <c:pt idx="34">
                  <c:v>54190</c:v>
                </c:pt>
                <c:pt idx="35">
                  <c:v>0</c:v>
                </c:pt>
                <c:pt idx="36">
                  <c:v>0</c:v>
                </c:pt>
                <c:pt idx="37">
                  <c:v>55664</c:v>
                </c:pt>
                <c:pt idx="38">
                  <c:v>0</c:v>
                </c:pt>
                <c:pt idx="39">
                  <c:v>65316</c:v>
                </c:pt>
                <c:pt idx="40">
                  <c:v>0</c:v>
                </c:pt>
                <c:pt idx="41">
                  <c:v>0</c:v>
                </c:pt>
                <c:pt idx="42">
                  <c:v>62334</c:v>
                </c:pt>
                <c:pt idx="43">
                  <c:v>0</c:v>
                </c:pt>
                <c:pt idx="44">
                  <c:v>66908</c:v>
                </c:pt>
                <c:pt idx="45">
                  <c:v>0</c:v>
                </c:pt>
                <c:pt idx="46">
                  <c:v>0</c:v>
                </c:pt>
                <c:pt idx="47">
                  <c:v>72296</c:v>
                </c:pt>
                <c:pt idx="48">
                  <c:v>0</c:v>
                </c:pt>
                <c:pt idx="49">
                  <c:v>76511</c:v>
                </c:pt>
                <c:pt idx="50">
                  <c:v>0</c:v>
                </c:pt>
                <c:pt idx="51">
                  <c:v>0</c:v>
                </c:pt>
                <c:pt idx="52">
                  <c:v>85734</c:v>
                </c:pt>
                <c:pt idx="53">
                  <c:v>0</c:v>
                </c:pt>
                <c:pt idx="54">
                  <c:v>0</c:v>
                </c:pt>
                <c:pt idx="55">
                  <c:v>98921</c:v>
                </c:pt>
                <c:pt idx="56">
                  <c:v>0</c:v>
                </c:pt>
                <c:pt idx="57">
                  <c:v>86897</c:v>
                </c:pt>
                <c:pt idx="58">
                  <c:v>0</c:v>
                </c:pt>
                <c:pt idx="59">
                  <c:v>0</c:v>
                </c:pt>
                <c:pt idx="60">
                  <c:v>81182</c:v>
                </c:pt>
                <c:pt idx="61">
                  <c:v>0</c:v>
                </c:pt>
                <c:pt idx="62">
                  <c:v>69765</c:v>
                </c:pt>
                <c:pt idx="63">
                  <c:v>0</c:v>
                </c:pt>
                <c:pt idx="64">
                  <c:v>0</c:v>
                </c:pt>
                <c:pt idx="65">
                  <c:v>71753</c:v>
                </c:pt>
                <c:pt idx="66">
                  <c:v>0</c:v>
                </c:pt>
                <c:pt idx="67">
                  <c:v>72281</c:v>
                </c:pt>
                <c:pt idx="68">
                  <c:v>0</c:v>
                </c:pt>
                <c:pt idx="69">
                  <c:v>0</c:v>
                </c:pt>
                <c:pt idx="70">
                  <c:v>62788</c:v>
                </c:pt>
                <c:pt idx="71">
                  <c:v>0</c:v>
                </c:pt>
                <c:pt idx="72">
                  <c:v>0</c:v>
                </c:pt>
                <c:pt idx="73">
                  <c:v>60936</c:v>
                </c:pt>
                <c:pt idx="74">
                  <c:v>0</c:v>
                </c:pt>
                <c:pt idx="75">
                  <c:v>55442</c:v>
                </c:pt>
                <c:pt idx="76">
                  <c:v>0</c:v>
                </c:pt>
                <c:pt idx="77">
                  <c:v>0</c:v>
                </c:pt>
                <c:pt idx="78">
                  <c:v>60094</c:v>
                </c:pt>
                <c:pt idx="79">
                  <c:v>0</c:v>
                </c:pt>
                <c:pt idx="80">
                  <c:v>52091</c:v>
                </c:pt>
                <c:pt idx="81">
                  <c:v>0</c:v>
                </c:pt>
                <c:pt idx="82">
                  <c:v>0</c:v>
                </c:pt>
                <c:pt idx="83">
                  <c:v>48273</c:v>
                </c:pt>
                <c:pt idx="84">
                  <c:v>0</c:v>
                </c:pt>
                <c:pt idx="85">
                  <c:v>0</c:v>
                </c:pt>
                <c:pt idx="86">
                  <c:v>47611</c:v>
                </c:pt>
                <c:pt idx="87">
                  <c:v>0</c:v>
                </c:pt>
                <c:pt idx="88">
                  <c:v>38546</c:v>
                </c:pt>
                <c:pt idx="89">
                  <c:v>0</c:v>
                </c:pt>
                <c:pt idx="90">
                  <c:v>0</c:v>
                </c:pt>
                <c:pt idx="91">
                  <c:v>40038</c:v>
                </c:pt>
                <c:pt idx="92">
                  <c:v>0</c:v>
                </c:pt>
                <c:pt idx="93">
                  <c:v>37794</c:v>
                </c:pt>
                <c:pt idx="94">
                  <c:v>0</c:v>
                </c:pt>
                <c:pt idx="95">
                  <c:v>0</c:v>
                </c:pt>
                <c:pt idx="96">
                  <c:v>36554</c:v>
                </c:pt>
                <c:pt idx="97">
                  <c:v>0</c:v>
                </c:pt>
                <c:pt idx="98">
                  <c:v>33984</c:v>
                </c:pt>
                <c:pt idx="99">
                  <c:v>0</c:v>
                </c:pt>
                <c:pt idx="100">
                  <c:v>0</c:v>
                </c:pt>
                <c:pt idx="101">
                  <c:v>35048</c:v>
                </c:pt>
                <c:pt idx="102">
                  <c:v>0</c:v>
                </c:pt>
                <c:pt idx="103">
                  <c:v>0</c:v>
                </c:pt>
                <c:pt idx="104">
                  <c:v>33741</c:v>
                </c:pt>
                <c:pt idx="105">
                  <c:v>0</c:v>
                </c:pt>
                <c:pt idx="106">
                  <c:v>31839</c:v>
                </c:pt>
                <c:pt idx="107">
                  <c:v>0</c:v>
                </c:pt>
                <c:pt idx="108">
                  <c:v>0</c:v>
                </c:pt>
                <c:pt idx="109">
                  <c:v>33185</c:v>
                </c:pt>
                <c:pt idx="110">
                  <c:v>0</c:v>
                </c:pt>
                <c:pt idx="111">
                  <c:v>28714</c:v>
                </c:pt>
                <c:pt idx="112">
                  <c:v>0</c:v>
                </c:pt>
                <c:pt idx="113">
                  <c:v>0</c:v>
                </c:pt>
                <c:pt idx="114">
                  <c:v>31254</c:v>
                </c:pt>
                <c:pt idx="115">
                  <c:v>0</c:v>
                </c:pt>
                <c:pt idx="116">
                  <c:v>28207</c:v>
                </c:pt>
                <c:pt idx="117">
                  <c:v>0</c:v>
                </c:pt>
                <c:pt idx="118">
                  <c:v>0</c:v>
                </c:pt>
                <c:pt idx="119">
                  <c:v>25571</c:v>
                </c:pt>
                <c:pt idx="120">
                  <c:v>0</c:v>
                </c:pt>
                <c:pt idx="121">
                  <c:v>0</c:v>
                </c:pt>
                <c:pt idx="122">
                  <c:v>24507</c:v>
                </c:pt>
                <c:pt idx="123">
                  <c:v>0</c:v>
                </c:pt>
                <c:pt idx="124">
                  <c:v>24146</c:v>
                </c:pt>
                <c:pt idx="125">
                  <c:v>0</c:v>
                </c:pt>
                <c:pt idx="126">
                  <c:v>0</c:v>
                </c:pt>
                <c:pt idx="127">
                  <c:v>22441</c:v>
                </c:pt>
                <c:pt idx="128">
                  <c:v>0</c:v>
                </c:pt>
                <c:pt idx="129">
                  <c:v>25116</c:v>
                </c:pt>
                <c:pt idx="130">
                  <c:v>0</c:v>
                </c:pt>
                <c:pt idx="131">
                  <c:v>0</c:v>
                </c:pt>
                <c:pt idx="132">
                  <c:v>24761</c:v>
                </c:pt>
                <c:pt idx="133">
                  <c:v>0</c:v>
                </c:pt>
                <c:pt idx="134">
                  <c:v>23830</c:v>
                </c:pt>
                <c:pt idx="135">
                  <c:v>0</c:v>
                </c:pt>
                <c:pt idx="136">
                  <c:v>0</c:v>
                </c:pt>
                <c:pt idx="137">
                  <c:v>20387</c:v>
                </c:pt>
                <c:pt idx="138">
                  <c:v>0</c:v>
                </c:pt>
                <c:pt idx="139">
                  <c:v>0</c:v>
                </c:pt>
                <c:pt idx="140">
                  <c:v>21494</c:v>
                </c:pt>
                <c:pt idx="141">
                  <c:v>0</c:v>
                </c:pt>
                <c:pt idx="142">
                  <c:v>20784</c:v>
                </c:pt>
                <c:pt idx="143">
                  <c:v>0</c:v>
                </c:pt>
                <c:pt idx="144">
                  <c:v>0</c:v>
                </c:pt>
                <c:pt idx="145">
                  <c:v>17636</c:v>
                </c:pt>
                <c:pt idx="146">
                  <c:v>0</c:v>
                </c:pt>
                <c:pt idx="147">
                  <c:v>15668</c:v>
                </c:pt>
                <c:pt idx="148">
                  <c:v>0</c:v>
                </c:pt>
                <c:pt idx="149">
                  <c:v>0</c:v>
                </c:pt>
                <c:pt idx="150">
                  <c:v>11623</c:v>
                </c:pt>
                <c:pt idx="151">
                  <c:v>0</c:v>
                </c:pt>
                <c:pt idx="152">
                  <c:v>10107</c:v>
                </c:pt>
                <c:pt idx="153">
                  <c:v>0</c:v>
                </c:pt>
                <c:pt idx="154">
                  <c:v>0</c:v>
                </c:pt>
                <c:pt idx="155">
                  <c:v>8165</c:v>
                </c:pt>
                <c:pt idx="156">
                  <c:v>0</c:v>
                </c:pt>
                <c:pt idx="157">
                  <c:v>0</c:v>
                </c:pt>
                <c:pt idx="158">
                  <c:v>7564</c:v>
                </c:pt>
                <c:pt idx="159">
                  <c:v>0</c:v>
                </c:pt>
                <c:pt idx="160">
                  <c:v>4955</c:v>
                </c:pt>
                <c:pt idx="161">
                  <c:v>0</c:v>
                </c:pt>
                <c:pt idx="162">
                  <c:v>0</c:v>
                </c:pt>
                <c:pt idx="163">
                  <c:v>5880</c:v>
                </c:pt>
                <c:pt idx="164">
                  <c:v>0</c:v>
                </c:pt>
                <c:pt idx="165">
                  <c:v>3986</c:v>
                </c:pt>
                <c:pt idx="166">
                  <c:v>0</c:v>
                </c:pt>
                <c:pt idx="167">
                  <c:v>0</c:v>
                </c:pt>
                <c:pt idx="168">
                  <c:v>3952</c:v>
                </c:pt>
                <c:pt idx="169">
                  <c:v>0</c:v>
                </c:pt>
                <c:pt idx="170">
                  <c:v>0</c:v>
                </c:pt>
                <c:pt idx="171">
                  <c:v>2165</c:v>
                </c:pt>
                <c:pt idx="172">
                  <c:v>0</c:v>
                </c:pt>
                <c:pt idx="173">
                  <c:v>1507</c:v>
                </c:pt>
                <c:pt idx="174">
                  <c:v>0</c:v>
                </c:pt>
                <c:pt idx="175">
                  <c:v>0</c:v>
                </c:pt>
                <c:pt idx="176">
                  <c:v>1395</c:v>
                </c:pt>
                <c:pt idx="177">
                  <c:v>0</c:v>
                </c:pt>
                <c:pt idx="178">
                  <c:v>640</c:v>
                </c:pt>
                <c:pt idx="179">
                  <c:v>0</c:v>
                </c:pt>
                <c:pt idx="180">
                  <c:v>0</c:v>
                </c:pt>
                <c:pt idx="181">
                  <c:v>163</c:v>
                </c:pt>
                <c:pt idx="182">
                  <c:v>0</c:v>
                </c:pt>
                <c:pt idx="183">
                  <c:v>109</c:v>
                </c:pt>
                <c:pt idx="184">
                  <c:v>0</c:v>
                </c:pt>
                <c:pt idx="185">
                  <c:v>0</c:v>
                </c:pt>
                <c:pt idx="186">
                  <c:v>109</c:v>
                </c:pt>
                <c:pt idx="187">
                  <c:v>0</c:v>
                </c:pt>
                <c:pt idx="188">
                  <c:v>0</c:v>
                </c:pt>
                <c:pt idx="189">
                  <c:v>54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997</c:v>
                </c:pt>
                <c:pt idx="7">
                  <c:v>0</c:v>
                </c:pt>
                <c:pt idx="8">
                  <c:v>3539</c:v>
                </c:pt>
                <c:pt idx="9">
                  <c:v>0</c:v>
                </c:pt>
                <c:pt idx="10">
                  <c:v>0</c:v>
                </c:pt>
                <c:pt idx="11">
                  <c:v>3007</c:v>
                </c:pt>
                <c:pt idx="12">
                  <c:v>0</c:v>
                </c:pt>
                <c:pt idx="13">
                  <c:v>3715</c:v>
                </c:pt>
                <c:pt idx="14">
                  <c:v>0</c:v>
                </c:pt>
                <c:pt idx="15">
                  <c:v>0</c:v>
                </c:pt>
                <c:pt idx="16">
                  <c:v>5228</c:v>
                </c:pt>
                <c:pt idx="17">
                  <c:v>0</c:v>
                </c:pt>
                <c:pt idx="18">
                  <c:v>0</c:v>
                </c:pt>
                <c:pt idx="19">
                  <c:v>6832</c:v>
                </c:pt>
                <c:pt idx="20">
                  <c:v>0</c:v>
                </c:pt>
                <c:pt idx="21">
                  <c:v>9865</c:v>
                </c:pt>
                <c:pt idx="22">
                  <c:v>0</c:v>
                </c:pt>
                <c:pt idx="23">
                  <c:v>0</c:v>
                </c:pt>
                <c:pt idx="24">
                  <c:v>10070</c:v>
                </c:pt>
                <c:pt idx="25">
                  <c:v>0</c:v>
                </c:pt>
                <c:pt idx="26">
                  <c:v>10940</c:v>
                </c:pt>
                <c:pt idx="27">
                  <c:v>0</c:v>
                </c:pt>
                <c:pt idx="28">
                  <c:v>0</c:v>
                </c:pt>
                <c:pt idx="29">
                  <c:v>10392</c:v>
                </c:pt>
                <c:pt idx="30">
                  <c:v>0</c:v>
                </c:pt>
                <c:pt idx="31">
                  <c:v>14183</c:v>
                </c:pt>
                <c:pt idx="32">
                  <c:v>0</c:v>
                </c:pt>
                <c:pt idx="33">
                  <c:v>0</c:v>
                </c:pt>
                <c:pt idx="34">
                  <c:v>11600</c:v>
                </c:pt>
                <c:pt idx="35">
                  <c:v>0</c:v>
                </c:pt>
                <c:pt idx="36">
                  <c:v>0</c:v>
                </c:pt>
                <c:pt idx="37">
                  <c:v>14695</c:v>
                </c:pt>
                <c:pt idx="38">
                  <c:v>0</c:v>
                </c:pt>
                <c:pt idx="39">
                  <c:v>20099</c:v>
                </c:pt>
                <c:pt idx="40">
                  <c:v>0</c:v>
                </c:pt>
                <c:pt idx="41">
                  <c:v>0</c:v>
                </c:pt>
                <c:pt idx="42">
                  <c:v>21746</c:v>
                </c:pt>
                <c:pt idx="43">
                  <c:v>0</c:v>
                </c:pt>
                <c:pt idx="44">
                  <c:v>28345</c:v>
                </c:pt>
                <c:pt idx="45">
                  <c:v>0</c:v>
                </c:pt>
                <c:pt idx="46">
                  <c:v>0</c:v>
                </c:pt>
                <c:pt idx="47">
                  <c:v>31909</c:v>
                </c:pt>
                <c:pt idx="48">
                  <c:v>0</c:v>
                </c:pt>
                <c:pt idx="49">
                  <c:v>38379</c:v>
                </c:pt>
                <c:pt idx="50">
                  <c:v>0</c:v>
                </c:pt>
                <c:pt idx="51">
                  <c:v>0</c:v>
                </c:pt>
                <c:pt idx="52">
                  <c:v>41923</c:v>
                </c:pt>
                <c:pt idx="53">
                  <c:v>0</c:v>
                </c:pt>
                <c:pt idx="54">
                  <c:v>0</c:v>
                </c:pt>
                <c:pt idx="55">
                  <c:v>43353</c:v>
                </c:pt>
                <c:pt idx="56">
                  <c:v>0</c:v>
                </c:pt>
                <c:pt idx="57">
                  <c:v>48388</c:v>
                </c:pt>
                <c:pt idx="58">
                  <c:v>0</c:v>
                </c:pt>
                <c:pt idx="59">
                  <c:v>0</c:v>
                </c:pt>
                <c:pt idx="60">
                  <c:v>56783</c:v>
                </c:pt>
                <c:pt idx="61">
                  <c:v>0</c:v>
                </c:pt>
                <c:pt idx="62">
                  <c:v>60490</c:v>
                </c:pt>
                <c:pt idx="63">
                  <c:v>0</c:v>
                </c:pt>
                <c:pt idx="64">
                  <c:v>0</c:v>
                </c:pt>
                <c:pt idx="65">
                  <c:v>74340</c:v>
                </c:pt>
                <c:pt idx="66">
                  <c:v>0</c:v>
                </c:pt>
                <c:pt idx="67">
                  <c:v>89718</c:v>
                </c:pt>
                <c:pt idx="68">
                  <c:v>0</c:v>
                </c:pt>
                <c:pt idx="69">
                  <c:v>0</c:v>
                </c:pt>
                <c:pt idx="70">
                  <c:v>93399</c:v>
                </c:pt>
                <c:pt idx="71">
                  <c:v>0</c:v>
                </c:pt>
                <c:pt idx="72">
                  <c:v>0</c:v>
                </c:pt>
                <c:pt idx="73">
                  <c:v>94892</c:v>
                </c:pt>
                <c:pt idx="74">
                  <c:v>0</c:v>
                </c:pt>
                <c:pt idx="75">
                  <c:v>100707</c:v>
                </c:pt>
                <c:pt idx="76">
                  <c:v>0</c:v>
                </c:pt>
                <c:pt idx="77">
                  <c:v>0</c:v>
                </c:pt>
                <c:pt idx="78">
                  <c:v>106939</c:v>
                </c:pt>
                <c:pt idx="79">
                  <c:v>0</c:v>
                </c:pt>
                <c:pt idx="80">
                  <c:v>105307</c:v>
                </c:pt>
                <c:pt idx="81">
                  <c:v>0</c:v>
                </c:pt>
                <c:pt idx="82">
                  <c:v>0</c:v>
                </c:pt>
                <c:pt idx="83">
                  <c:v>100534</c:v>
                </c:pt>
                <c:pt idx="84">
                  <c:v>0</c:v>
                </c:pt>
                <c:pt idx="85">
                  <c:v>0</c:v>
                </c:pt>
                <c:pt idx="86">
                  <c:v>98360</c:v>
                </c:pt>
                <c:pt idx="87">
                  <c:v>0</c:v>
                </c:pt>
                <c:pt idx="88">
                  <c:v>93186</c:v>
                </c:pt>
                <c:pt idx="89">
                  <c:v>0</c:v>
                </c:pt>
                <c:pt idx="90">
                  <c:v>0</c:v>
                </c:pt>
                <c:pt idx="91">
                  <c:v>82517</c:v>
                </c:pt>
                <c:pt idx="92">
                  <c:v>0</c:v>
                </c:pt>
                <c:pt idx="93">
                  <c:v>87245</c:v>
                </c:pt>
                <c:pt idx="94">
                  <c:v>0</c:v>
                </c:pt>
                <c:pt idx="95">
                  <c:v>0</c:v>
                </c:pt>
                <c:pt idx="96">
                  <c:v>87544</c:v>
                </c:pt>
                <c:pt idx="97">
                  <c:v>0</c:v>
                </c:pt>
                <c:pt idx="98">
                  <c:v>90645</c:v>
                </c:pt>
                <c:pt idx="99">
                  <c:v>0</c:v>
                </c:pt>
                <c:pt idx="100">
                  <c:v>0</c:v>
                </c:pt>
                <c:pt idx="101">
                  <c:v>91460</c:v>
                </c:pt>
                <c:pt idx="102">
                  <c:v>0</c:v>
                </c:pt>
                <c:pt idx="103">
                  <c:v>0</c:v>
                </c:pt>
                <c:pt idx="104">
                  <c:v>85018</c:v>
                </c:pt>
                <c:pt idx="105">
                  <c:v>0</c:v>
                </c:pt>
                <c:pt idx="106">
                  <c:v>85107</c:v>
                </c:pt>
                <c:pt idx="107">
                  <c:v>0</c:v>
                </c:pt>
                <c:pt idx="108">
                  <c:v>0</c:v>
                </c:pt>
                <c:pt idx="109">
                  <c:v>75299</c:v>
                </c:pt>
                <c:pt idx="110">
                  <c:v>0</c:v>
                </c:pt>
                <c:pt idx="111">
                  <c:v>69828</c:v>
                </c:pt>
                <c:pt idx="112">
                  <c:v>0</c:v>
                </c:pt>
                <c:pt idx="113">
                  <c:v>0</c:v>
                </c:pt>
                <c:pt idx="114">
                  <c:v>60674</c:v>
                </c:pt>
                <c:pt idx="115">
                  <c:v>0</c:v>
                </c:pt>
                <c:pt idx="116">
                  <c:v>61926</c:v>
                </c:pt>
                <c:pt idx="117">
                  <c:v>0</c:v>
                </c:pt>
                <c:pt idx="118">
                  <c:v>0</c:v>
                </c:pt>
                <c:pt idx="119">
                  <c:v>55627</c:v>
                </c:pt>
                <c:pt idx="120">
                  <c:v>0</c:v>
                </c:pt>
                <c:pt idx="121">
                  <c:v>0</c:v>
                </c:pt>
                <c:pt idx="122">
                  <c:v>54574</c:v>
                </c:pt>
                <c:pt idx="123">
                  <c:v>0</c:v>
                </c:pt>
                <c:pt idx="124">
                  <c:v>54267</c:v>
                </c:pt>
                <c:pt idx="125">
                  <c:v>0</c:v>
                </c:pt>
                <c:pt idx="126">
                  <c:v>0</c:v>
                </c:pt>
                <c:pt idx="127">
                  <c:v>53478</c:v>
                </c:pt>
                <c:pt idx="128">
                  <c:v>0</c:v>
                </c:pt>
                <c:pt idx="129">
                  <c:v>52123</c:v>
                </c:pt>
                <c:pt idx="130">
                  <c:v>0</c:v>
                </c:pt>
                <c:pt idx="131">
                  <c:v>0</c:v>
                </c:pt>
                <c:pt idx="132">
                  <c:v>50306</c:v>
                </c:pt>
                <c:pt idx="133">
                  <c:v>0</c:v>
                </c:pt>
                <c:pt idx="134">
                  <c:v>50321</c:v>
                </c:pt>
                <c:pt idx="135">
                  <c:v>0</c:v>
                </c:pt>
                <c:pt idx="136">
                  <c:v>0</c:v>
                </c:pt>
                <c:pt idx="137">
                  <c:v>47483</c:v>
                </c:pt>
                <c:pt idx="138">
                  <c:v>0</c:v>
                </c:pt>
                <c:pt idx="139">
                  <c:v>0</c:v>
                </c:pt>
                <c:pt idx="140">
                  <c:v>43230</c:v>
                </c:pt>
                <c:pt idx="141">
                  <c:v>0</c:v>
                </c:pt>
                <c:pt idx="142">
                  <c:v>33029</c:v>
                </c:pt>
                <c:pt idx="143">
                  <c:v>0</c:v>
                </c:pt>
                <c:pt idx="144">
                  <c:v>0</c:v>
                </c:pt>
                <c:pt idx="145">
                  <c:v>29400</c:v>
                </c:pt>
                <c:pt idx="146">
                  <c:v>0</c:v>
                </c:pt>
                <c:pt idx="147">
                  <c:v>25077</c:v>
                </c:pt>
                <c:pt idx="148">
                  <c:v>0</c:v>
                </c:pt>
                <c:pt idx="149">
                  <c:v>0</c:v>
                </c:pt>
                <c:pt idx="150">
                  <c:v>21746</c:v>
                </c:pt>
                <c:pt idx="151">
                  <c:v>0</c:v>
                </c:pt>
                <c:pt idx="152">
                  <c:v>17062</c:v>
                </c:pt>
                <c:pt idx="153">
                  <c:v>0</c:v>
                </c:pt>
                <c:pt idx="154">
                  <c:v>0</c:v>
                </c:pt>
                <c:pt idx="155">
                  <c:v>14800</c:v>
                </c:pt>
                <c:pt idx="156">
                  <c:v>0</c:v>
                </c:pt>
                <c:pt idx="157">
                  <c:v>0</c:v>
                </c:pt>
                <c:pt idx="158">
                  <c:v>11934</c:v>
                </c:pt>
                <c:pt idx="159">
                  <c:v>0</c:v>
                </c:pt>
                <c:pt idx="160">
                  <c:v>8933</c:v>
                </c:pt>
                <c:pt idx="161">
                  <c:v>0</c:v>
                </c:pt>
                <c:pt idx="162">
                  <c:v>0</c:v>
                </c:pt>
                <c:pt idx="163">
                  <c:v>9141</c:v>
                </c:pt>
                <c:pt idx="164">
                  <c:v>0</c:v>
                </c:pt>
                <c:pt idx="165">
                  <c:v>6404</c:v>
                </c:pt>
                <c:pt idx="166">
                  <c:v>0</c:v>
                </c:pt>
                <c:pt idx="167">
                  <c:v>0</c:v>
                </c:pt>
                <c:pt idx="168">
                  <c:v>6046</c:v>
                </c:pt>
                <c:pt idx="169">
                  <c:v>0</c:v>
                </c:pt>
                <c:pt idx="170">
                  <c:v>0</c:v>
                </c:pt>
                <c:pt idx="171">
                  <c:v>3366</c:v>
                </c:pt>
                <c:pt idx="172">
                  <c:v>0</c:v>
                </c:pt>
                <c:pt idx="173">
                  <c:v>1774</c:v>
                </c:pt>
                <c:pt idx="174">
                  <c:v>0</c:v>
                </c:pt>
                <c:pt idx="175">
                  <c:v>0</c:v>
                </c:pt>
                <c:pt idx="176">
                  <c:v>1141</c:v>
                </c:pt>
                <c:pt idx="177">
                  <c:v>0</c:v>
                </c:pt>
                <c:pt idx="178">
                  <c:v>428</c:v>
                </c:pt>
                <c:pt idx="179">
                  <c:v>0</c:v>
                </c:pt>
                <c:pt idx="180">
                  <c:v>0</c:v>
                </c:pt>
                <c:pt idx="181">
                  <c:v>330</c:v>
                </c:pt>
                <c:pt idx="182">
                  <c:v>0</c:v>
                </c:pt>
                <c:pt idx="183">
                  <c:v>228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0.24752763226026897</c:v>
                </c:pt>
                <c:pt idx="1">
                  <c:v>0.36396218827807131</c:v>
                </c:pt>
                <c:pt idx="2">
                  <c:v>0.38851017946165989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0.55063395877892729</c:v>
                </c:pt>
                <c:pt idx="1">
                  <c:v>0.32988298954704148</c:v>
                </c:pt>
                <c:pt idx="2">
                  <c:v>0.11948305167403117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5.2583250000000001</c:v>
                </c:pt>
                <c:pt idx="1">
                  <c:v>11.02699</c:v>
                </c:pt>
                <c:pt idx="2">
                  <c:v>30.52092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0.36374200000000001</c:v>
                </c:pt>
                <c:pt idx="2">
                  <c:v>0.769679</c:v>
                </c:pt>
                <c:pt idx="3">
                  <c:v>1.1761299999999999</c:v>
                </c:pt>
                <c:pt idx="4">
                  <c:v>1.5841000000000001</c:v>
                </c:pt>
                <c:pt idx="5">
                  <c:v>1.99028</c:v>
                </c:pt>
                <c:pt idx="6">
                  <c:v>2.3944999999999999</c:v>
                </c:pt>
                <c:pt idx="7">
                  <c:v>2.8044199999999999</c:v>
                </c:pt>
                <c:pt idx="8">
                  <c:v>3.2099099999999998</c:v>
                </c:pt>
                <c:pt idx="9">
                  <c:v>3.61713</c:v>
                </c:pt>
                <c:pt idx="10">
                  <c:v>4.02102</c:v>
                </c:pt>
                <c:pt idx="11">
                  <c:v>4.4265600000000003</c:v>
                </c:pt>
                <c:pt idx="12">
                  <c:v>4.8355100000000002</c:v>
                </c:pt>
                <c:pt idx="13">
                  <c:v>5.2428699999999999</c:v>
                </c:pt>
                <c:pt idx="14">
                  <c:v>5.6480300000000003</c:v>
                </c:pt>
                <c:pt idx="15">
                  <c:v>6.0554899999999998</c:v>
                </c:pt>
                <c:pt idx="16">
                  <c:v>6.4602000000000004</c:v>
                </c:pt>
                <c:pt idx="17">
                  <c:v>6.8639799999999997</c:v>
                </c:pt>
                <c:pt idx="18">
                  <c:v>7.2736799999999997</c:v>
                </c:pt>
                <c:pt idx="19">
                  <c:v>7.6787200000000002</c:v>
                </c:pt>
                <c:pt idx="20">
                  <c:v>8.0820900000000009</c:v>
                </c:pt>
                <c:pt idx="21">
                  <c:v>8.4887099999999993</c:v>
                </c:pt>
                <c:pt idx="22">
                  <c:v>8.89527</c:v>
                </c:pt>
                <c:pt idx="23">
                  <c:v>9.3039199999999997</c:v>
                </c:pt>
                <c:pt idx="24">
                  <c:v>9.7111000000000001</c:v>
                </c:pt>
                <c:pt idx="25">
                  <c:v>10.116300000000001</c:v>
                </c:pt>
                <c:pt idx="26">
                  <c:v>10.5204</c:v>
                </c:pt>
                <c:pt idx="27">
                  <c:v>10.9244</c:v>
                </c:pt>
                <c:pt idx="28">
                  <c:v>11.334199999999999</c:v>
                </c:pt>
                <c:pt idx="29">
                  <c:v>11.740399999999999</c:v>
                </c:pt>
                <c:pt idx="30">
                  <c:v>12.1462</c:v>
                </c:pt>
                <c:pt idx="31">
                  <c:v>12.5512</c:v>
                </c:pt>
                <c:pt idx="32">
                  <c:v>12.960800000000001</c:v>
                </c:pt>
                <c:pt idx="33">
                  <c:v>13.3675</c:v>
                </c:pt>
                <c:pt idx="34">
                  <c:v>13.771699999999999</c:v>
                </c:pt>
                <c:pt idx="35">
                  <c:v>14.178000000000001</c:v>
                </c:pt>
                <c:pt idx="36">
                  <c:v>14.583399999999999</c:v>
                </c:pt>
                <c:pt idx="37">
                  <c:v>14.9887</c:v>
                </c:pt>
                <c:pt idx="38">
                  <c:v>15.3964</c:v>
                </c:pt>
                <c:pt idx="39">
                  <c:v>15.801600000000001</c:v>
                </c:pt>
                <c:pt idx="40">
                  <c:v>16.210899999999999</c:v>
                </c:pt>
                <c:pt idx="41">
                  <c:v>16.613600000000002</c:v>
                </c:pt>
                <c:pt idx="42">
                  <c:v>17.019400000000001</c:v>
                </c:pt>
                <c:pt idx="43">
                  <c:v>17.425899999999999</c:v>
                </c:pt>
                <c:pt idx="44">
                  <c:v>17.835100000000001</c:v>
                </c:pt>
                <c:pt idx="45">
                  <c:v>18.238499999999998</c:v>
                </c:pt>
                <c:pt idx="46">
                  <c:v>18.648399999999999</c:v>
                </c:pt>
                <c:pt idx="47">
                  <c:v>19.053899999999999</c:v>
                </c:pt>
                <c:pt idx="48">
                  <c:v>19.458100000000002</c:v>
                </c:pt>
                <c:pt idx="49">
                  <c:v>19.863299999999999</c:v>
                </c:pt>
                <c:pt idx="50">
                  <c:v>20.2742</c:v>
                </c:pt>
                <c:pt idx="51">
                  <c:v>20.678799999999999</c:v>
                </c:pt>
                <c:pt idx="52">
                  <c:v>21.0837</c:v>
                </c:pt>
                <c:pt idx="53">
                  <c:v>21.494199999999999</c:v>
                </c:pt>
                <c:pt idx="54">
                  <c:v>21.895</c:v>
                </c:pt>
                <c:pt idx="55">
                  <c:v>22.302399999999999</c:v>
                </c:pt>
                <c:pt idx="56">
                  <c:v>22.711099999999998</c:v>
                </c:pt>
                <c:pt idx="57">
                  <c:v>23.116299999999999</c:v>
                </c:pt>
                <c:pt idx="58">
                  <c:v>23.522300000000001</c:v>
                </c:pt>
                <c:pt idx="59">
                  <c:v>23.926300000000001</c:v>
                </c:pt>
                <c:pt idx="60">
                  <c:v>24.3339</c:v>
                </c:pt>
                <c:pt idx="61">
                  <c:v>24.739100000000001</c:v>
                </c:pt>
                <c:pt idx="62">
                  <c:v>25.147099999999998</c:v>
                </c:pt>
                <c:pt idx="63">
                  <c:v>25.5503</c:v>
                </c:pt>
                <c:pt idx="64">
                  <c:v>25.959099999999999</c:v>
                </c:pt>
                <c:pt idx="65">
                  <c:v>26.3629</c:v>
                </c:pt>
                <c:pt idx="66">
                  <c:v>26.7729</c:v>
                </c:pt>
                <c:pt idx="67">
                  <c:v>27.178100000000001</c:v>
                </c:pt>
                <c:pt idx="68">
                  <c:v>27.5837</c:v>
                </c:pt>
                <c:pt idx="69">
                  <c:v>27.989599999999999</c:v>
                </c:pt>
                <c:pt idx="70">
                  <c:v>28.395700000000001</c:v>
                </c:pt>
                <c:pt idx="71">
                  <c:v>28.801300000000001</c:v>
                </c:pt>
                <c:pt idx="72">
                  <c:v>29.209700000000002</c:v>
                </c:pt>
                <c:pt idx="73">
                  <c:v>29.6175</c:v>
                </c:pt>
                <c:pt idx="74">
                  <c:v>30.023199999999999</c:v>
                </c:pt>
                <c:pt idx="75">
                  <c:v>30.616599999999998</c:v>
                </c:pt>
                <c:pt idx="76">
                  <c:v>30.991700000000002</c:v>
                </c:pt>
                <c:pt idx="77">
                  <c:v>31.366700000000002</c:v>
                </c:pt>
                <c:pt idx="78">
                  <c:v>31.740100000000002</c:v>
                </c:pt>
                <c:pt idx="79">
                  <c:v>32.113399999999999</c:v>
                </c:pt>
                <c:pt idx="80">
                  <c:v>32.5197</c:v>
                </c:pt>
                <c:pt idx="81">
                  <c:v>32.926400000000001</c:v>
                </c:pt>
                <c:pt idx="82">
                  <c:v>33.334899999999998</c:v>
                </c:pt>
                <c:pt idx="83">
                  <c:v>33.737499999999997</c:v>
                </c:pt>
                <c:pt idx="84">
                  <c:v>34.145000000000003</c:v>
                </c:pt>
                <c:pt idx="85">
                  <c:v>34.555399999999999</c:v>
                </c:pt>
                <c:pt idx="86">
                  <c:v>34.960500000000003</c:v>
                </c:pt>
                <c:pt idx="87">
                  <c:v>35.3658</c:v>
                </c:pt>
                <c:pt idx="88">
                  <c:v>35.770699999999998</c:v>
                </c:pt>
                <c:pt idx="89">
                  <c:v>36.177500000000002</c:v>
                </c:pt>
                <c:pt idx="90">
                  <c:v>36.5839</c:v>
                </c:pt>
                <c:pt idx="91">
                  <c:v>36.994199999999999</c:v>
                </c:pt>
                <c:pt idx="92">
                  <c:v>37.3977</c:v>
                </c:pt>
                <c:pt idx="93">
                  <c:v>37.802599999999998</c:v>
                </c:pt>
                <c:pt idx="94">
                  <c:v>38.206899999999997</c:v>
                </c:pt>
                <c:pt idx="95">
                  <c:v>38.612200000000001</c:v>
                </c:pt>
                <c:pt idx="96">
                  <c:v>39.024299999999997</c:v>
                </c:pt>
                <c:pt idx="97">
                  <c:v>39.427999999999997</c:v>
                </c:pt>
                <c:pt idx="98">
                  <c:v>39.832299999999996</c:v>
                </c:pt>
                <c:pt idx="99">
                  <c:v>40.239899999999999</c:v>
                </c:pt>
                <c:pt idx="100">
                  <c:v>40.647100000000002</c:v>
                </c:pt>
                <c:pt idx="101">
                  <c:v>41.052700000000002</c:v>
                </c:pt>
                <c:pt idx="102">
                  <c:v>41.458500000000001</c:v>
                </c:pt>
                <c:pt idx="103">
                  <c:v>41.866199999999999</c:v>
                </c:pt>
                <c:pt idx="104">
                  <c:v>42.271299999999997</c:v>
                </c:pt>
                <c:pt idx="105">
                  <c:v>42.676400000000001</c:v>
                </c:pt>
                <c:pt idx="106">
                  <c:v>43.084400000000002</c:v>
                </c:pt>
                <c:pt idx="107">
                  <c:v>43.489100000000001</c:v>
                </c:pt>
                <c:pt idx="108">
                  <c:v>43.894300000000001</c:v>
                </c:pt>
                <c:pt idx="109">
                  <c:v>44.303400000000003</c:v>
                </c:pt>
                <c:pt idx="110">
                  <c:v>44.707999999999998</c:v>
                </c:pt>
                <c:pt idx="111">
                  <c:v>45.113700000000001</c:v>
                </c:pt>
                <c:pt idx="112">
                  <c:v>45.521700000000003</c:v>
                </c:pt>
                <c:pt idx="113">
                  <c:v>45.927300000000002</c:v>
                </c:pt>
                <c:pt idx="114">
                  <c:v>46.332099999999997</c:v>
                </c:pt>
                <c:pt idx="115">
                  <c:v>46.7393</c:v>
                </c:pt>
                <c:pt idx="116">
                  <c:v>47.149700000000003</c:v>
                </c:pt>
                <c:pt idx="117">
                  <c:v>47.554000000000002</c:v>
                </c:pt>
                <c:pt idx="118">
                  <c:v>47.958500000000001</c:v>
                </c:pt>
                <c:pt idx="119">
                  <c:v>48.368299999999998</c:v>
                </c:pt>
                <c:pt idx="120">
                  <c:v>48.7712</c:v>
                </c:pt>
                <c:pt idx="121">
                  <c:v>49.178600000000003</c:v>
                </c:pt>
                <c:pt idx="122">
                  <c:v>49.587000000000003</c:v>
                </c:pt>
                <c:pt idx="123">
                  <c:v>49.990299999999998</c:v>
                </c:pt>
                <c:pt idx="124">
                  <c:v>50.396099999999997</c:v>
                </c:pt>
                <c:pt idx="125">
                  <c:v>50.799900000000001</c:v>
                </c:pt>
                <c:pt idx="126">
                  <c:v>51.208100000000002</c:v>
                </c:pt>
                <c:pt idx="127">
                  <c:v>51.6128</c:v>
                </c:pt>
                <c:pt idx="128">
                  <c:v>52.018300000000004</c:v>
                </c:pt>
                <c:pt idx="129">
                  <c:v>52.427199999999999</c:v>
                </c:pt>
                <c:pt idx="130">
                  <c:v>52.834499999999998</c:v>
                </c:pt>
                <c:pt idx="131">
                  <c:v>53.238999999999997</c:v>
                </c:pt>
                <c:pt idx="132">
                  <c:v>53.645000000000003</c:v>
                </c:pt>
                <c:pt idx="133">
                  <c:v>54.050400000000003</c:v>
                </c:pt>
                <c:pt idx="134">
                  <c:v>54.4589</c:v>
                </c:pt>
                <c:pt idx="135">
                  <c:v>54.868200000000002</c:v>
                </c:pt>
                <c:pt idx="136">
                  <c:v>55.271099999999997</c:v>
                </c:pt>
                <c:pt idx="137">
                  <c:v>55.675600000000003</c:v>
                </c:pt>
                <c:pt idx="138">
                  <c:v>56.082900000000002</c:v>
                </c:pt>
                <c:pt idx="139">
                  <c:v>56.490499999999997</c:v>
                </c:pt>
                <c:pt idx="140">
                  <c:v>56.897599999999997</c:v>
                </c:pt>
                <c:pt idx="141">
                  <c:v>57.301699999999997</c:v>
                </c:pt>
                <c:pt idx="142">
                  <c:v>57.710700000000003</c:v>
                </c:pt>
                <c:pt idx="143">
                  <c:v>58.118099999999998</c:v>
                </c:pt>
                <c:pt idx="144">
                  <c:v>58.523800000000001</c:v>
                </c:pt>
                <c:pt idx="145">
                  <c:v>58.927100000000003</c:v>
                </c:pt>
                <c:pt idx="146">
                  <c:v>59.3339</c:v>
                </c:pt>
                <c:pt idx="147">
                  <c:v>59.738300000000002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1.5526300000000002</c:v>
                </c:pt>
                <c:pt idx="1">
                  <c:v>1.6034799999999998</c:v>
                </c:pt>
                <c:pt idx="2">
                  <c:v>1.65211</c:v>
                </c:pt>
                <c:pt idx="3">
                  <c:v>1.6998599999999999</c:v>
                </c:pt>
                <c:pt idx="4">
                  <c:v>1.7510700000000001</c:v>
                </c:pt>
                <c:pt idx="5">
                  <c:v>1.8045</c:v>
                </c:pt>
                <c:pt idx="6">
                  <c:v>1.86365</c:v>
                </c:pt>
                <c:pt idx="7">
                  <c:v>1.9264600000000001</c:v>
                </c:pt>
                <c:pt idx="8">
                  <c:v>1.98617</c:v>
                </c:pt>
                <c:pt idx="9">
                  <c:v>2.0432600000000001</c:v>
                </c:pt>
                <c:pt idx="10">
                  <c:v>2.1009700000000002</c:v>
                </c:pt>
                <c:pt idx="11">
                  <c:v>2.1585999999999999</c:v>
                </c:pt>
                <c:pt idx="12">
                  <c:v>2.2147399999999999</c:v>
                </c:pt>
                <c:pt idx="13">
                  <c:v>2.2693599999999998</c:v>
                </c:pt>
                <c:pt idx="14">
                  <c:v>2.3231199999999999</c:v>
                </c:pt>
                <c:pt idx="15">
                  <c:v>2.3752599999999999</c:v>
                </c:pt>
                <c:pt idx="16">
                  <c:v>2.4251800000000001</c:v>
                </c:pt>
                <c:pt idx="17">
                  <c:v>2.4730300000000001</c:v>
                </c:pt>
                <c:pt idx="18">
                  <c:v>2.5188600000000001</c:v>
                </c:pt>
                <c:pt idx="19">
                  <c:v>2.5611499999999996</c:v>
                </c:pt>
                <c:pt idx="20">
                  <c:v>2.6013700000000002</c:v>
                </c:pt>
                <c:pt idx="21">
                  <c:v>2.6396700000000002</c:v>
                </c:pt>
                <c:pt idx="22">
                  <c:v>2.6759699999999995</c:v>
                </c:pt>
                <c:pt idx="23">
                  <c:v>2.71129</c:v>
                </c:pt>
                <c:pt idx="24">
                  <c:v>2.7455400000000001</c:v>
                </c:pt>
                <c:pt idx="25">
                  <c:v>2.7780399999999998</c:v>
                </c:pt>
                <c:pt idx="26">
                  <c:v>2.8100199999999997</c:v>
                </c:pt>
                <c:pt idx="27">
                  <c:v>2.8442499999999997</c:v>
                </c:pt>
                <c:pt idx="28">
                  <c:v>2.8784700000000001</c:v>
                </c:pt>
                <c:pt idx="29">
                  <c:v>2.9114</c:v>
                </c:pt>
                <c:pt idx="30">
                  <c:v>2.94265</c:v>
                </c:pt>
                <c:pt idx="31">
                  <c:v>2.9725200000000003</c:v>
                </c:pt>
                <c:pt idx="32">
                  <c:v>3.0026199999999998</c:v>
                </c:pt>
                <c:pt idx="33">
                  <c:v>3.0340600000000002</c:v>
                </c:pt>
                <c:pt idx="34">
                  <c:v>3.0659100000000001</c:v>
                </c:pt>
                <c:pt idx="35">
                  <c:v>3.0984499999999997</c:v>
                </c:pt>
                <c:pt idx="36">
                  <c:v>3.1299199999999998</c:v>
                </c:pt>
                <c:pt idx="37">
                  <c:v>3.1609500000000001</c:v>
                </c:pt>
                <c:pt idx="38">
                  <c:v>3.1913</c:v>
                </c:pt>
                <c:pt idx="39">
                  <c:v>3.2235499999999999</c:v>
                </c:pt>
                <c:pt idx="40">
                  <c:v>3.2578499999999999</c:v>
                </c:pt>
                <c:pt idx="41">
                  <c:v>3.2925399999999998</c:v>
                </c:pt>
                <c:pt idx="42">
                  <c:v>3.3288800000000003</c:v>
                </c:pt>
                <c:pt idx="43">
                  <c:v>3.3652100000000003</c:v>
                </c:pt>
                <c:pt idx="44">
                  <c:v>3.40368</c:v>
                </c:pt>
                <c:pt idx="45">
                  <c:v>3.44421</c:v>
                </c:pt>
                <c:pt idx="46">
                  <c:v>3.4854200000000004</c:v>
                </c:pt>
                <c:pt idx="47">
                  <c:v>3.5273599999999998</c:v>
                </c:pt>
                <c:pt idx="48">
                  <c:v>3.56765</c:v>
                </c:pt>
                <c:pt idx="49">
                  <c:v>3.6050700000000004</c:v>
                </c:pt>
                <c:pt idx="50">
                  <c:v>3.6337900000000003</c:v>
                </c:pt>
                <c:pt idx="51">
                  <c:v>3.67049</c:v>
                </c:pt>
                <c:pt idx="52">
                  <c:v>3.7053199999999995</c:v>
                </c:pt>
                <c:pt idx="53">
                  <c:v>3.7380200000000001</c:v>
                </c:pt>
                <c:pt idx="54">
                  <c:v>3.7647599999999999</c:v>
                </c:pt>
                <c:pt idx="55">
                  <c:v>3.7896600000000005</c:v>
                </c:pt>
                <c:pt idx="56">
                  <c:v>3.8113399999999995</c:v>
                </c:pt>
                <c:pt idx="57">
                  <c:v>3.8264300000000002</c:v>
                </c:pt>
                <c:pt idx="58">
                  <c:v>3.8379200000000004</c:v>
                </c:pt>
                <c:pt idx="59">
                  <c:v>3.84762</c:v>
                </c:pt>
                <c:pt idx="60">
                  <c:v>3.8528800000000003</c:v>
                </c:pt>
                <c:pt idx="61">
                  <c:v>3.8534800000000002</c:v>
                </c:pt>
                <c:pt idx="62">
                  <c:v>3.85073</c:v>
                </c:pt>
                <c:pt idx="63">
                  <c:v>3.8449299999999997</c:v>
                </c:pt>
                <c:pt idx="64">
                  <c:v>3.83439</c:v>
                </c:pt>
                <c:pt idx="65">
                  <c:v>3.8221699999999998</c:v>
                </c:pt>
                <c:pt idx="66">
                  <c:v>3.8088899999999999</c:v>
                </c:pt>
                <c:pt idx="67">
                  <c:v>3.7923299999999998</c:v>
                </c:pt>
                <c:pt idx="68">
                  <c:v>3.7719499999999999</c:v>
                </c:pt>
                <c:pt idx="69">
                  <c:v>3.7469400000000004</c:v>
                </c:pt>
                <c:pt idx="70">
                  <c:v>3.7191800000000002</c:v>
                </c:pt>
                <c:pt idx="71">
                  <c:v>3.6917899999999997</c:v>
                </c:pt>
                <c:pt idx="72">
                  <c:v>3.6655799999999998</c:v>
                </c:pt>
                <c:pt idx="73">
                  <c:v>3.6371700000000002</c:v>
                </c:pt>
                <c:pt idx="74">
                  <c:v>3.6084000000000001</c:v>
                </c:pt>
                <c:pt idx="75">
                  <c:v>3.5742200000000004</c:v>
                </c:pt>
                <c:pt idx="76">
                  <c:v>3.5458499999999997</c:v>
                </c:pt>
                <c:pt idx="77">
                  <c:v>3.51952</c:v>
                </c:pt>
                <c:pt idx="78">
                  <c:v>3.4985599999999999</c:v>
                </c:pt>
                <c:pt idx="79">
                  <c:v>3.4843500000000001</c:v>
                </c:pt>
                <c:pt idx="80">
                  <c:v>3.4733299999999998</c:v>
                </c:pt>
                <c:pt idx="81">
                  <c:v>3.4638</c:v>
                </c:pt>
                <c:pt idx="82">
                  <c:v>3.4549699999999999</c:v>
                </c:pt>
                <c:pt idx="83">
                  <c:v>3.4454200000000004</c:v>
                </c:pt>
                <c:pt idx="84">
                  <c:v>3.4347799999999999</c:v>
                </c:pt>
                <c:pt idx="85">
                  <c:v>3.4252500000000001</c:v>
                </c:pt>
                <c:pt idx="86">
                  <c:v>3.4193099999999998</c:v>
                </c:pt>
                <c:pt idx="87">
                  <c:v>3.4159299999999999</c:v>
                </c:pt>
                <c:pt idx="88">
                  <c:v>3.4168799999999999</c:v>
                </c:pt>
                <c:pt idx="89">
                  <c:v>3.4179599999999999</c:v>
                </c:pt>
                <c:pt idx="90">
                  <c:v>3.4183599999999998</c:v>
                </c:pt>
                <c:pt idx="91">
                  <c:v>3.4200599999999999</c:v>
                </c:pt>
                <c:pt idx="92">
                  <c:v>3.4238400000000002</c:v>
                </c:pt>
                <c:pt idx="93">
                  <c:v>3.4325000000000001</c:v>
                </c:pt>
                <c:pt idx="94">
                  <c:v>3.4432700000000001</c:v>
                </c:pt>
                <c:pt idx="95">
                  <c:v>3.4539799999999996</c:v>
                </c:pt>
                <c:pt idx="96">
                  <c:v>3.4644999999999997</c:v>
                </c:pt>
                <c:pt idx="97">
                  <c:v>3.4756499999999999</c:v>
                </c:pt>
                <c:pt idx="98">
                  <c:v>3.4897800000000001</c:v>
                </c:pt>
                <c:pt idx="99">
                  <c:v>3.5050999999999997</c:v>
                </c:pt>
                <c:pt idx="100">
                  <c:v>3.5194799999999997</c:v>
                </c:pt>
                <c:pt idx="101">
                  <c:v>3.53348</c:v>
                </c:pt>
                <c:pt idx="102">
                  <c:v>3.5472700000000001</c:v>
                </c:pt>
                <c:pt idx="103">
                  <c:v>3.5569299999999999</c:v>
                </c:pt>
                <c:pt idx="104">
                  <c:v>3.5641699999999998</c:v>
                </c:pt>
                <c:pt idx="105">
                  <c:v>3.5710299999999999</c:v>
                </c:pt>
                <c:pt idx="106">
                  <c:v>3.5769000000000002</c:v>
                </c:pt>
                <c:pt idx="107">
                  <c:v>3.58609</c:v>
                </c:pt>
                <c:pt idx="108">
                  <c:v>3.5962399999999999</c:v>
                </c:pt>
                <c:pt idx="109">
                  <c:v>3.60839</c:v>
                </c:pt>
                <c:pt idx="110">
                  <c:v>3.6217999999999999</c:v>
                </c:pt>
                <c:pt idx="111">
                  <c:v>3.6351399999999998</c:v>
                </c:pt>
                <c:pt idx="112">
                  <c:v>3.64907</c:v>
                </c:pt>
                <c:pt idx="113">
                  <c:v>3.6605700000000003</c:v>
                </c:pt>
                <c:pt idx="114">
                  <c:v>3.6705800000000002</c:v>
                </c:pt>
                <c:pt idx="115">
                  <c:v>3.67909</c:v>
                </c:pt>
                <c:pt idx="116">
                  <c:v>3.6874899999999999</c:v>
                </c:pt>
                <c:pt idx="117">
                  <c:v>3.6979099999999998</c:v>
                </c:pt>
                <c:pt idx="118">
                  <c:v>3.7092000000000001</c:v>
                </c:pt>
                <c:pt idx="119">
                  <c:v>3.7189000000000001</c:v>
                </c:pt>
                <c:pt idx="120">
                  <c:v>3.72818</c:v>
                </c:pt>
                <c:pt idx="121">
                  <c:v>3.7379600000000002</c:v>
                </c:pt>
                <c:pt idx="122">
                  <c:v>3.7497799999999999</c:v>
                </c:pt>
                <c:pt idx="123">
                  <c:v>3.7610700000000001</c:v>
                </c:pt>
                <c:pt idx="124">
                  <c:v>3.7670399999999997</c:v>
                </c:pt>
                <c:pt idx="125">
                  <c:v>3.77468</c:v>
                </c:pt>
                <c:pt idx="126">
                  <c:v>3.7841399999999998</c:v>
                </c:pt>
                <c:pt idx="127">
                  <c:v>3.7928600000000001</c:v>
                </c:pt>
                <c:pt idx="128">
                  <c:v>3.8040500000000002</c:v>
                </c:pt>
                <c:pt idx="129">
                  <c:v>3.8148200000000001</c:v>
                </c:pt>
                <c:pt idx="130">
                  <c:v>3.8248100000000003</c:v>
                </c:pt>
                <c:pt idx="131">
                  <c:v>3.8338800000000002</c:v>
                </c:pt>
                <c:pt idx="132">
                  <c:v>3.84002</c:v>
                </c:pt>
                <c:pt idx="133">
                  <c:v>3.8459700000000003</c:v>
                </c:pt>
                <c:pt idx="134">
                  <c:v>3.8514399999999998</c:v>
                </c:pt>
                <c:pt idx="135">
                  <c:v>3.8562999999999996</c:v>
                </c:pt>
                <c:pt idx="136">
                  <c:v>3.8610699999999998</c:v>
                </c:pt>
                <c:pt idx="137">
                  <c:v>3.8610499999999996</c:v>
                </c:pt>
                <c:pt idx="138">
                  <c:v>3.8610299999999995</c:v>
                </c:pt>
                <c:pt idx="139">
                  <c:v>3.8649499999999999</c:v>
                </c:pt>
                <c:pt idx="140">
                  <c:v>3.8735599999999999</c:v>
                </c:pt>
                <c:pt idx="141">
                  <c:v>3.88388</c:v>
                </c:pt>
                <c:pt idx="142">
                  <c:v>3.8876300000000001</c:v>
                </c:pt>
                <c:pt idx="143">
                  <c:v>3.8860800000000002</c:v>
                </c:pt>
                <c:pt idx="144">
                  <c:v>3.8868999999999998</c:v>
                </c:pt>
                <c:pt idx="145">
                  <c:v>3.8982200000000002</c:v>
                </c:pt>
                <c:pt idx="146">
                  <c:v>3.9155699999999998</c:v>
                </c:pt>
                <c:pt idx="147">
                  <c:v>3.9000400000000002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0.36374200000000001</c:v>
                </c:pt>
                <c:pt idx="2">
                  <c:v>0.769679</c:v>
                </c:pt>
                <c:pt idx="3">
                  <c:v>1.1761299999999999</c:v>
                </c:pt>
                <c:pt idx="4">
                  <c:v>1.5841000000000001</c:v>
                </c:pt>
                <c:pt idx="5">
                  <c:v>1.99028</c:v>
                </c:pt>
                <c:pt idx="6">
                  <c:v>2.3944999999999999</c:v>
                </c:pt>
                <c:pt idx="7">
                  <c:v>2.8044199999999999</c:v>
                </c:pt>
                <c:pt idx="8">
                  <c:v>3.2099099999999998</c:v>
                </c:pt>
                <c:pt idx="9">
                  <c:v>3.61713</c:v>
                </c:pt>
                <c:pt idx="10">
                  <c:v>4.02102</c:v>
                </c:pt>
                <c:pt idx="11">
                  <c:v>4.4265600000000003</c:v>
                </c:pt>
                <c:pt idx="12">
                  <c:v>4.8355100000000002</c:v>
                </c:pt>
                <c:pt idx="13">
                  <c:v>5.2428699999999999</c:v>
                </c:pt>
                <c:pt idx="14">
                  <c:v>5.6480300000000003</c:v>
                </c:pt>
                <c:pt idx="15">
                  <c:v>6.0554899999999998</c:v>
                </c:pt>
                <c:pt idx="16">
                  <c:v>6.4602000000000004</c:v>
                </c:pt>
                <c:pt idx="17">
                  <c:v>6.8639799999999997</c:v>
                </c:pt>
                <c:pt idx="18">
                  <c:v>7.2736799999999997</c:v>
                </c:pt>
                <c:pt idx="19">
                  <c:v>7.6787200000000002</c:v>
                </c:pt>
                <c:pt idx="20">
                  <c:v>8.0820900000000009</c:v>
                </c:pt>
                <c:pt idx="21">
                  <c:v>8.4887099999999993</c:v>
                </c:pt>
                <c:pt idx="22">
                  <c:v>8.89527</c:v>
                </c:pt>
                <c:pt idx="23">
                  <c:v>9.3039199999999997</c:v>
                </c:pt>
                <c:pt idx="24">
                  <c:v>9.7111000000000001</c:v>
                </c:pt>
                <c:pt idx="25">
                  <c:v>10.116300000000001</c:v>
                </c:pt>
                <c:pt idx="26">
                  <c:v>10.5204</c:v>
                </c:pt>
                <c:pt idx="27">
                  <c:v>10.9244</c:v>
                </c:pt>
                <c:pt idx="28">
                  <c:v>11.334199999999999</c:v>
                </c:pt>
                <c:pt idx="29">
                  <c:v>11.740399999999999</c:v>
                </c:pt>
                <c:pt idx="30">
                  <c:v>12.1462</c:v>
                </c:pt>
                <c:pt idx="31">
                  <c:v>12.5512</c:v>
                </c:pt>
                <c:pt idx="32">
                  <c:v>12.960800000000001</c:v>
                </c:pt>
                <c:pt idx="33">
                  <c:v>13.3675</c:v>
                </c:pt>
                <c:pt idx="34">
                  <c:v>13.771699999999999</c:v>
                </c:pt>
                <c:pt idx="35">
                  <c:v>14.178000000000001</c:v>
                </c:pt>
                <c:pt idx="36">
                  <c:v>14.583399999999999</c:v>
                </c:pt>
                <c:pt idx="37">
                  <c:v>14.9887</c:v>
                </c:pt>
                <c:pt idx="38">
                  <c:v>15.3964</c:v>
                </c:pt>
                <c:pt idx="39">
                  <c:v>15.801600000000001</c:v>
                </c:pt>
                <c:pt idx="40">
                  <c:v>16.210899999999999</c:v>
                </c:pt>
                <c:pt idx="41">
                  <c:v>16.613600000000002</c:v>
                </c:pt>
                <c:pt idx="42">
                  <c:v>17.019400000000001</c:v>
                </c:pt>
                <c:pt idx="43">
                  <c:v>17.425899999999999</c:v>
                </c:pt>
                <c:pt idx="44">
                  <c:v>17.835100000000001</c:v>
                </c:pt>
                <c:pt idx="45">
                  <c:v>18.238499999999998</c:v>
                </c:pt>
                <c:pt idx="46">
                  <c:v>18.648399999999999</c:v>
                </c:pt>
                <c:pt idx="47">
                  <c:v>19.053899999999999</c:v>
                </c:pt>
                <c:pt idx="48">
                  <c:v>19.458100000000002</c:v>
                </c:pt>
                <c:pt idx="49">
                  <c:v>19.863299999999999</c:v>
                </c:pt>
                <c:pt idx="50">
                  <c:v>20.2742</c:v>
                </c:pt>
                <c:pt idx="51">
                  <c:v>20.678799999999999</c:v>
                </c:pt>
                <c:pt idx="52">
                  <c:v>21.0837</c:v>
                </c:pt>
                <c:pt idx="53">
                  <c:v>21.494199999999999</c:v>
                </c:pt>
                <c:pt idx="54">
                  <c:v>21.895</c:v>
                </c:pt>
                <c:pt idx="55">
                  <c:v>22.302399999999999</c:v>
                </c:pt>
                <c:pt idx="56">
                  <c:v>22.711099999999998</c:v>
                </c:pt>
                <c:pt idx="57">
                  <c:v>23.116299999999999</c:v>
                </c:pt>
                <c:pt idx="58">
                  <c:v>23.522300000000001</c:v>
                </c:pt>
                <c:pt idx="59">
                  <c:v>23.926300000000001</c:v>
                </c:pt>
                <c:pt idx="60">
                  <c:v>24.3339</c:v>
                </c:pt>
                <c:pt idx="61">
                  <c:v>24.739100000000001</c:v>
                </c:pt>
                <c:pt idx="62">
                  <c:v>25.147099999999998</c:v>
                </c:pt>
                <c:pt idx="63">
                  <c:v>25.5503</c:v>
                </c:pt>
                <c:pt idx="64">
                  <c:v>25.959099999999999</c:v>
                </c:pt>
                <c:pt idx="65">
                  <c:v>26.3629</c:v>
                </c:pt>
                <c:pt idx="66">
                  <c:v>26.7729</c:v>
                </c:pt>
                <c:pt idx="67">
                  <c:v>27.178100000000001</c:v>
                </c:pt>
                <c:pt idx="68">
                  <c:v>27.5837</c:v>
                </c:pt>
                <c:pt idx="69">
                  <c:v>27.989599999999999</c:v>
                </c:pt>
                <c:pt idx="70">
                  <c:v>28.395700000000001</c:v>
                </c:pt>
                <c:pt idx="71">
                  <c:v>28.801300000000001</c:v>
                </c:pt>
                <c:pt idx="72">
                  <c:v>29.209700000000002</c:v>
                </c:pt>
                <c:pt idx="73">
                  <c:v>29.6175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1.5526300000000002</c:v>
                </c:pt>
                <c:pt idx="1">
                  <c:v>1.6034799999999998</c:v>
                </c:pt>
                <c:pt idx="2">
                  <c:v>1.65211</c:v>
                </c:pt>
                <c:pt idx="3">
                  <c:v>1.6998599999999999</c:v>
                </c:pt>
                <c:pt idx="4">
                  <c:v>1.7510700000000001</c:v>
                </c:pt>
                <c:pt idx="5">
                  <c:v>1.8045</c:v>
                </c:pt>
                <c:pt idx="6">
                  <c:v>1.86365</c:v>
                </c:pt>
                <c:pt idx="7">
                  <c:v>1.9264600000000001</c:v>
                </c:pt>
                <c:pt idx="8">
                  <c:v>1.98617</c:v>
                </c:pt>
                <c:pt idx="9">
                  <c:v>2.0432600000000001</c:v>
                </c:pt>
                <c:pt idx="10">
                  <c:v>2.1009700000000002</c:v>
                </c:pt>
                <c:pt idx="11">
                  <c:v>2.1585999999999999</c:v>
                </c:pt>
                <c:pt idx="12">
                  <c:v>2.2147399999999999</c:v>
                </c:pt>
                <c:pt idx="13">
                  <c:v>2.2693599999999998</c:v>
                </c:pt>
                <c:pt idx="14">
                  <c:v>2.3231199999999999</c:v>
                </c:pt>
                <c:pt idx="15">
                  <c:v>2.3752599999999999</c:v>
                </c:pt>
                <c:pt idx="16">
                  <c:v>2.4251800000000001</c:v>
                </c:pt>
                <c:pt idx="17">
                  <c:v>2.4730300000000001</c:v>
                </c:pt>
                <c:pt idx="18">
                  <c:v>2.5188600000000001</c:v>
                </c:pt>
                <c:pt idx="19">
                  <c:v>2.5611499999999996</c:v>
                </c:pt>
                <c:pt idx="20">
                  <c:v>2.6013700000000002</c:v>
                </c:pt>
                <c:pt idx="21">
                  <c:v>2.6396700000000002</c:v>
                </c:pt>
                <c:pt idx="22">
                  <c:v>2.6759699999999995</c:v>
                </c:pt>
                <c:pt idx="23">
                  <c:v>2.71129</c:v>
                </c:pt>
                <c:pt idx="24">
                  <c:v>2.7455400000000001</c:v>
                </c:pt>
                <c:pt idx="25">
                  <c:v>2.7780399999999998</c:v>
                </c:pt>
                <c:pt idx="26">
                  <c:v>2.8100199999999997</c:v>
                </c:pt>
                <c:pt idx="27">
                  <c:v>2.8442499999999997</c:v>
                </c:pt>
                <c:pt idx="28">
                  <c:v>2.8784700000000001</c:v>
                </c:pt>
                <c:pt idx="29">
                  <c:v>2.9114</c:v>
                </c:pt>
                <c:pt idx="30">
                  <c:v>2.94265</c:v>
                </c:pt>
                <c:pt idx="31">
                  <c:v>2.9725200000000003</c:v>
                </c:pt>
                <c:pt idx="32">
                  <c:v>3.0026199999999998</c:v>
                </c:pt>
                <c:pt idx="33">
                  <c:v>3.0340600000000002</c:v>
                </c:pt>
                <c:pt idx="34">
                  <c:v>3.0659100000000001</c:v>
                </c:pt>
                <c:pt idx="35">
                  <c:v>3.0984499999999997</c:v>
                </c:pt>
                <c:pt idx="36">
                  <c:v>3.1299199999999998</c:v>
                </c:pt>
                <c:pt idx="37">
                  <c:v>3.1609500000000001</c:v>
                </c:pt>
                <c:pt idx="38">
                  <c:v>3.1913</c:v>
                </c:pt>
                <c:pt idx="39">
                  <c:v>3.2235499999999999</c:v>
                </c:pt>
                <c:pt idx="40">
                  <c:v>3.2578499999999999</c:v>
                </c:pt>
                <c:pt idx="41">
                  <c:v>3.2925399999999998</c:v>
                </c:pt>
                <c:pt idx="42">
                  <c:v>3.3288800000000003</c:v>
                </c:pt>
                <c:pt idx="43">
                  <c:v>3.3652100000000003</c:v>
                </c:pt>
                <c:pt idx="44">
                  <c:v>3.40368</c:v>
                </c:pt>
                <c:pt idx="45">
                  <c:v>3.44421</c:v>
                </c:pt>
                <c:pt idx="46">
                  <c:v>3.4854200000000004</c:v>
                </c:pt>
                <c:pt idx="47">
                  <c:v>3.5273599999999998</c:v>
                </c:pt>
                <c:pt idx="48">
                  <c:v>3.56765</c:v>
                </c:pt>
                <c:pt idx="49">
                  <c:v>3.6050700000000004</c:v>
                </c:pt>
                <c:pt idx="50">
                  <c:v>3.6337900000000003</c:v>
                </c:pt>
                <c:pt idx="51">
                  <c:v>3.67049</c:v>
                </c:pt>
                <c:pt idx="52">
                  <c:v>3.7053199999999995</c:v>
                </c:pt>
                <c:pt idx="53">
                  <c:v>3.7380200000000001</c:v>
                </c:pt>
                <c:pt idx="54">
                  <c:v>3.7647599999999999</c:v>
                </c:pt>
                <c:pt idx="55">
                  <c:v>3.7896600000000005</c:v>
                </c:pt>
                <c:pt idx="56">
                  <c:v>3.8113399999999995</c:v>
                </c:pt>
                <c:pt idx="57">
                  <c:v>3.8264300000000002</c:v>
                </c:pt>
                <c:pt idx="58">
                  <c:v>3.8379200000000004</c:v>
                </c:pt>
                <c:pt idx="59">
                  <c:v>3.84762</c:v>
                </c:pt>
                <c:pt idx="60">
                  <c:v>3.8528800000000003</c:v>
                </c:pt>
                <c:pt idx="61">
                  <c:v>3.8534800000000002</c:v>
                </c:pt>
                <c:pt idx="62">
                  <c:v>3.85073</c:v>
                </c:pt>
                <c:pt idx="63">
                  <c:v>3.8449299999999997</c:v>
                </c:pt>
                <c:pt idx="64">
                  <c:v>3.83439</c:v>
                </c:pt>
                <c:pt idx="65">
                  <c:v>3.8221699999999998</c:v>
                </c:pt>
                <c:pt idx="66">
                  <c:v>3.8088899999999999</c:v>
                </c:pt>
                <c:pt idx="67">
                  <c:v>3.7923299999999998</c:v>
                </c:pt>
                <c:pt idx="68">
                  <c:v>3.7719499999999999</c:v>
                </c:pt>
                <c:pt idx="69">
                  <c:v>3.7469400000000004</c:v>
                </c:pt>
                <c:pt idx="70">
                  <c:v>3.7191800000000002</c:v>
                </c:pt>
                <c:pt idx="71">
                  <c:v>3.6917899999999997</c:v>
                </c:pt>
                <c:pt idx="72">
                  <c:v>3.6655799999999998</c:v>
                </c:pt>
                <c:pt idx="73">
                  <c:v>3.6371700000000002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29.6175</c:v>
                </c:pt>
                <c:pt idx="1">
                  <c:v>30.023199999999999</c:v>
                </c:pt>
                <c:pt idx="2">
                  <c:v>30.616599999999998</c:v>
                </c:pt>
                <c:pt idx="3">
                  <c:v>30.991700000000002</c:v>
                </c:pt>
                <c:pt idx="4">
                  <c:v>31.366700000000002</c:v>
                </c:pt>
                <c:pt idx="5">
                  <c:v>31.740100000000002</c:v>
                </c:pt>
                <c:pt idx="6">
                  <c:v>32.113399999999999</c:v>
                </c:pt>
                <c:pt idx="7">
                  <c:v>32.5197</c:v>
                </c:pt>
                <c:pt idx="8">
                  <c:v>32.926400000000001</c:v>
                </c:pt>
                <c:pt idx="9">
                  <c:v>33.334899999999998</c:v>
                </c:pt>
                <c:pt idx="10">
                  <c:v>33.737499999999997</c:v>
                </c:pt>
                <c:pt idx="11">
                  <c:v>34.145000000000003</c:v>
                </c:pt>
                <c:pt idx="12">
                  <c:v>34.555399999999999</c:v>
                </c:pt>
                <c:pt idx="13">
                  <c:v>34.960500000000003</c:v>
                </c:pt>
                <c:pt idx="14">
                  <c:v>35.3658</c:v>
                </c:pt>
                <c:pt idx="15">
                  <c:v>35.770699999999998</c:v>
                </c:pt>
                <c:pt idx="16">
                  <c:v>36.177500000000002</c:v>
                </c:pt>
                <c:pt idx="17">
                  <c:v>36.5839</c:v>
                </c:pt>
                <c:pt idx="18">
                  <c:v>36.994199999999999</c:v>
                </c:pt>
                <c:pt idx="19">
                  <c:v>37.3977</c:v>
                </c:pt>
                <c:pt idx="20">
                  <c:v>37.802599999999998</c:v>
                </c:pt>
                <c:pt idx="21">
                  <c:v>38.206899999999997</c:v>
                </c:pt>
                <c:pt idx="22">
                  <c:v>38.612200000000001</c:v>
                </c:pt>
                <c:pt idx="23">
                  <c:v>39.024299999999997</c:v>
                </c:pt>
                <c:pt idx="24">
                  <c:v>39.427999999999997</c:v>
                </c:pt>
                <c:pt idx="25">
                  <c:v>39.832299999999996</c:v>
                </c:pt>
                <c:pt idx="26">
                  <c:v>40.239899999999999</c:v>
                </c:pt>
                <c:pt idx="27">
                  <c:v>40.647100000000002</c:v>
                </c:pt>
                <c:pt idx="28">
                  <c:v>41.052700000000002</c:v>
                </c:pt>
                <c:pt idx="29">
                  <c:v>41.458500000000001</c:v>
                </c:pt>
                <c:pt idx="30">
                  <c:v>41.866199999999999</c:v>
                </c:pt>
                <c:pt idx="31">
                  <c:v>42.271299999999997</c:v>
                </c:pt>
                <c:pt idx="32">
                  <c:v>42.676400000000001</c:v>
                </c:pt>
                <c:pt idx="33">
                  <c:v>43.084400000000002</c:v>
                </c:pt>
                <c:pt idx="34">
                  <c:v>43.489100000000001</c:v>
                </c:pt>
                <c:pt idx="35">
                  <c:v>43.894300000000001</c:v>
                </c:pt>
                <c:pt idx="36">
                  <c:v>44.303400000000003</c:v>
                </c:pt>
                <c:pt idx="37">
                  <c:v>44.707999999999998</c:v>
                </c:pt>
                <c:pt idx="38">
                  <c:v>45.113700000000001</c:v>
                </c:pt>
                <c:pt idx="39">
                  <c:v>45.521700000000003</c:v>
                </c:pt>
                <c:pt idx="40">
                  <c:v>45.927300000000002</c:v>
                </c:pt>
                <c:pt idx="41">
                  <c:v>46.332099999999997</c:v>
                </c:pt>
                <c:pt idx="42">
                  <c:v>46.7393</c:v>
                </c:pt>
                <c:pt idx="43">
                  <c:v>47.149700000000003</c:v>
                </c:pt>
                <c:pt idx="44">
                  <c:v>47.554000000000002</c:v>
                </c:pt>
                <c:pt idx="45">
                  <c:v>47.958500000000001</c:v>
                </c:pt>
                <c:pt idx="46">
                  <c:v>48.368299999999998</c:v>
                </c:pt>
                <c:pt idx="47">
                  <c:v>48.7712</c:v>
                </c:pt>
                <c:pt idx="48">
                  <c:v>49.178600000000003</c:v>
                </c:pt>
                <c:pt idx="49">
                  <c:v>49.587000000000003</c:v>
                </c:pt>
                <c:pt idx="50">
                  <c:v>49.990299999999998</c:v>
                </c:pt>
                <c:pt idx="51">
                  <c:v>50.396099999999997</c:v>
                </c:pt>
                <c:pt idx="52">
                  <c:v>50.799900000000001</c:v>
                </c:pt>
                <c:pt idx="53">
                  <c:v>51.208100000000002</c:v>
                </c:pt>
                <c:pt idx="54">
                  <c:v>51.6128</c:v>
                </c:pt>
                <c:pt idx="55">
                  <c:v>52.018300000000004</c:v>
                </c:pt>
                <c:pt idx="56">
                  <c:v>52.427199999999999</c:v>
                </c:pt>
                <c:pt idx="57">
                  <c:v>52.834499999999998</c:v>
                </c:pt>
                <c:pt idx="58">
                  <c:v>53.238999999999997</c:v>
                </c:pt>
                <c:pt idx="59">
                  <c:v>53.645000000000003</c:v>
                </c:pt>
                <c:pt idx="60">
                  <c:v>54.050400000000003</c:v>
                </c:pt>
                <c:pt idx="61">
                  <c:v>54.4589</c:v>
                </c:pt>
                <c:pt idx="62">
                  <c:v>54.868200000000002</c:v>
                </c:pt>
                <c:pt idx="63">
                  <c:v>55.271099999999997</c:v>
                </c:pt>
                <c:pt idx="64">
                  <c:v>55.675600000000003</c:v>
                </c:pt>
                <c:pt idx="65">
                  <c:v>56.082900000000002</c:v>
                </c:pt>
                <c:pt idx="66">
                  <c:v>56.490499999999997</c:v>
                </c:pt>
                <c:pt idx="67">
                  <c:v>56.897599999999997</c:v>
                </c:pt>
                <c:pt idx="68">
                  <c:v>57.301699999999997</c:v>
                </c:pt>
                <c:pt idx="69">
                  <c:v>57.710700000000003</c:v>
                </c:pt>
                <c:pt idx="70">
                  <c:v>58.118099999999998</c:v>
                </c:pt>
                <c:pt idx="71">
                  <c:v>58.523800000000001</c:v>
                </c:pt>
                <c:pt idx="72">
                  <c:v>58.927100000000003</c:v>
                </c:pt>
                <c:pt idx="73">
                  <c:v>59.3339</c:v>
                </c:pt>
                <c:pt idx="74">
                  <c:v>59.738300000000002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3.6371700000000002</c:v>
                </c:pt>
                <c:pt idx="1">
                  <c:v>3.6084000000000001</c:v>
                </c:pt>
                <c:pt idx="2">
                  <c:v>3.5742200000000004</c:v>
                </c:pt>
                <c:pt idx="3">
                  <c:v>3.5458499999999997</c:v>
                </c:pt>
                <c:pt idx="4">
                  <c:v>3.51952</c:v>
                </c:pt>
                <c:pt idx="5">
                  <c:v>3.4985599999999999</c:v>
                </c:pt>
                <c:pt idx="6">
                  <c:v>3.4843500000000001</c:v>
                </c:pt>
                <c:pt idx="7">
                  <c:v>3.4733299999999998</c:v>
                </c:pt>
                <c:pt idx="8">
                  <c:v>3.4638</c:v>
                </c:pt>
                <c:pt idx="9">
                  <c:v>3.4549699999999999</c:v>
                </c:pt>
                <c:pt idx="10">
                  <c:v>3.4454200000000004</c:v>
                </c:pt>
                <c:pt idx="11">
                  <c:v>3.4347799999999999</c:v>
                </c:pt>
                <c:pt idx="12">
                  <c:v>3.4252500000000001</c:v>
                </c:pt>
                <c:pt idx="13">
                  <c:v>3.4193099999999998</c:v>
                </c:pt>
                <c:pt idx="14">
                  <c:v>3.4159299999999999</c:v>
                </c:pt>
                <c:pt idx="15">
                  <c:v>3.4168799999999999</c:v>
                </c:pt>
                <c:pt idx="16">
                  <c:v>3.4179599999999999</c:v>
                </c:pt>
                <c:pt idx="17">
                  <c:v>3.4183599999999998</c:v>
                </c:pt>
                <c:pt idx="18">
                  <c:v>3.4200599999999999</c:v>
                </c:pt>
                <c:pt idx="19">
                  <c:v>3.4238400000000002</c:v>
                </c:pt>
                <c:pt idx="20">
                  <c:v>3.4325000000000001</c:v>
                </c:pt>
                <c:pt idx="21">
                  <c:v>3.4432700000000001</c:v>
                </c:pt>
                <c:pt idx="22">
                  <c:v>3.4539799999999996</c:v>
                </c:pt>
                <c:pt idx="23">
                  <c:v>3.4644999999999997</c:v>
                </c:pt>
                <c:pt idx="24">
                  <c:v>3.4756499999999999</c:v>
                </c:pt>
                <c:pt idx="25">
                  <c:v>3.4897800000000001</c:v>
                </c:pt>
                <c:pt idx="26">
                  <c:v>3.5050999999999997</c:v>
                </c:pt>
                <c:pt idx="27">
                  <c:v>3.5194799999999997</c:v>
                </c:pt>
                <c:pt idx="28">
                  <c:v>3.53348</c:v>
                </c:pt>
                <c:pt idx="29">
                  <c:v>3.5472700000000001</c:v>
                </c:pt>
                <c:pt idx="30">
                  <c:v>3.5569299999999999</c:v>
                </c:pt>
                <c:pt idx="31">
                  <c:v>3.5641699999999998</c:v>
                </c:pt>
                <c:pt idx="32">
                  <c:v>3.5710299999999999</c:v>
                </c:pt>
                <c:pt idx="33">
                  <c:v>3.5769000000000002</c:v>
                </c:pt>
                <c:pt idx="34">
                  <c:v>3.58609</c:v>
                </c:pt>
                <c:pt idx="35">
                  <c:v>3.5962399999999999</c:v>
                </c:pt>
                <c:pt idx="36">
                  <c:v>3.60839</c:v>
                </c:pt>
                <c:pt idx="37">
                  <c:v>3.6217999999999999</c:v>
                </c:pt>
                <c:pt idx="38">
                  <c:v>3.6351399999999998</c:v>
                </c:pt>
                <c:pt idx="39">
                  <c:v>3.64907</c:v>
                </c:pt>
                <c:pt idx="40">
                  <c:v>3.6605700000000003</c:v>
                </c:pt>
                <c:pt idx="41">
                  <c:v>3.6705800000000002</c:v>
                </c:pt>
                <c:pt idx="42">
                  <c:v>3.67909</c:v>
                </c:pt>
                <c:pt idx="43">
                  <c:v>3.6874899999999999</c:v>
                </c:pt>
                <c:pt idx="44">
                  <c:v>3.6979099999999998</c:v>
                </c:pt>
                <c:pt idx="45">
                  <c:v>3.7092000000000001</c:v>
                </c:pt>
                <c:pt idx="46">
                  <c:v>3.7189000000000001</c:v>
                </c:pt>
                <c:pt idx="47">
                  <c:v>3.72818</c:v>
                </c:pt>
                <c:pt idx="48">
                  <c:v>3.7379600000000002</c:v>
                </c:pt>
                <c:pt idx="49">
                  <c:v>3.7497799999999999</c:v>
                </c:pt>
                <c:pt idx="50">
                  <c:v>3.7610700000000001</c:v>
                </c:pt>
                <c:pt idx="51">
                  <c:v>3.7670399999999997</c:v>
                </c:pt>
                <c:pt idx="52">
                  <c:v>3.77468</c:v>
                </c:pt>
                <c:pt idx="53">
                  <c:v>3.7841399999999998</c:v>
                </c:pt>
                <c:pt idx="54">
                  <c:v>3.7928600000000001</c:v>
                </c:pt>
                <c:pt idx="55">
                  <c:v>3.8040500000000002</c:v>
                </c:pt>
                <c:pt idx="56">
                  <c:v>3.8148200000000001</c:v>
                </c:pt>
                <c:pt idx="57">
                  <c:v>3.8248100000000003</c:v>
                </c:pt>
                <c:pt idx="58">
                  <c:v>3.8338800000000002</c:v>
                </c:pt>
                <c:pt idx="59">
                  <c:v>3.84002</c:v>
                </c:pt>
                <c:pt idx="60">
                  <c:v>3.8459700000000003</c:v>
                </c:pt>
                <c:pt idx="61">
                  <c:v>3.8514399999999998</c:v>
                </c:pt>
                <c:pt idx="62">
                  <c:v>3.8562999999999996</c:v>
                </c:pt>
                <c:pt idx="63">
                  <c:v>3.8610699999999998</c:v>
                </c:pt>
                <c:pt idx="64">
                  <c:v>3.8610499999999996</c:v>
                </c:pt>
                <c:pt idx="65">
                  <c:v>3.8610299999999995</c:v>
                </c:pt>
                <c:pt idx="66">
                  <c:v>3.8649499999999999</c:v>
                </c:pt>
                <c:pt idx="67">
                  <c:v>3.8735599999999999</c:v>
                </c:pt>
                <c:pt idx="68">
                  <c:v>3.88388</c:v>
                </c:pt>
                <c:pt idx="69">
                  <c:v>3.8876300000000001</c:v>
                </c:pt>
                <c:pt idx="70">
                  <c:v>3.8860800000000002</c:v>
                </c:pt>
                <c:pt idx="71">
                  <c:v>3.8868999999999998</c:v>
                </c:pt>
                <c:pt idx="72">
                  <c:v>3.8982200000000002</c:v>
                </c:pt>
                <c:pt idx="73">
                  <c:v>3.9155699999999998</c:v>
                </c:pt>
                <c:pt idx="74">
                  <c:v>3.9000400000000002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14.934575000000001</c:v>
                </c:pt>
                <c:pt idx="1">
                  <c:v>44.803725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3.0340140540540546</c:v>
                </c:pt>
                <c:pt idx="1">
                  <c:v>3.6467875675675665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0.36374200000000001</c:v>
                </c:pt>
                <c:pt idx="2">
                  <c:v>0.769679</c:v>
                </c:pt>
                <c:pt idx="3">
                  <c:v>1.1761299999999999</c:v>
                </c:pt>
                <c:pt idx="4">
                  <c:v>1.5841000000000001</c:v>
                </c:pt>
                <c:pt idx="5">
                  <c:v>1.99028</c:v>
                </c:pt>
                <c:pt idx="6">
                  <c:v>2.3944999999999999</c:v>
                </c:pt>
                <c:pt idx="7">
                  <c:v>2.8044199999999999</c:v>
                </c:pt>
                <c:pt idx="8">
                  <c:v>3.2099099999999998</c:v>
                </c:pt>
                <c:pt idx="9">
                  <c:v>3.61713</c:v>
                </c:pt>
                <c:pt idx="10">
                  <c:v>4.02102</c:v>
                </c:pt>
                <c:pt idx="11">
                  <c:v>4.4265600000000003</c:v>
                </c:pt>
                <c:pt idx="12">
                  <c:v>4.8355100000000002</c:v>
                </c:pt>
                <c:pt idx="13">
                  <c:v>5.2428699999999999</c:v>
                </c:pt>
                <c:pt idx="14">
                  <c:v>5.6480300000000003</c:v>
                </c:pt>
                <c:pt idx="15">
                  <c:v>6.0554899999999998</c:v>
                </c:pt>
                <c:pt idx="16">
                  <c:v>6.4602000000000004</c:v>
                </c:pt>
                <c:pt idx="17">
                  <c:v>6.8639799999999997</c:v>
                </c:pt>
                <c:pt idx="18">
                  <c:v>7.2736799999999997</c:v>
                </c:pt>
                <c:pt idx="19">
                  <c:v>7.6787200000000002</c:v>
                </c:pt>
                <c:pt idx="20">
                  <c:v>8.0820900000000009</c:v>
                </c:pt>
                <c:pt idx="21">
                  <c:v>8.4887099999999993</c:v>
                </c:pt>
                <c:pt idx="22">
                  <c:v>8.89527</c:v>
                </c:pt>
                <c:pt idx="23">
                  <c:v>9.3039199999999997</c:v>
                </c:pt>
                <c:pt idx="24">
                  <c:v>9.7111000000000001</c:v>
                </c:pt>
                <c:pt idx="25">
                  <c:v>10.116300000000001</c:v>
                </c:pt>
                <c:pt idx="26">
                  <c:v>10.5204</c:v>
                </c:pt>
                <c:pt idx="27">
                  <c:v>10.9244</c:v>
                </c:pt>
                <c:pt idx="28">
                  <c:v>11.334199999999999</c:v>
                </c:pt>
                <c:pt idx="29">
                  <c:v>11.740399999999999</c:v>
                </c:pt>
                <c:pt idx="30">
                  <c:v>12.1462</c:v>
                </c:pt>
                <c:pt idx="31">
                  <c:v>12.5512</c:v>
                </c:pt>
                <c:pt idx="32">
                  <c:v>12.960800000000001</c:v>
                </c:pt>
                <c:pt idx="33">
                  <c:v>13.3675</c:v>
                </c:pt>
                <c:pt idx="34">
                  <c:v>13.771699999999999</c:v>
                </c:pt>
                <c:pt idx="35">
                  <c:v>14.178000000000001</c:v>
                </c:pt>
                <c:pt idx="36">
                  <c:v>14.583399999999999</c:v>
                </c:pt>
                <c:pt idx="37">
                  <c:v>14.9887</c:v>
                </c:pt>
                <c:pt idx="38">
                  <c:v>15.3964</c:v>
                </c:pt>
                <c:pt idx="39">
                  <c:v>15.801600000000001</c:v>
                </c:pt>
                <c:pt idx="40">
                  <c:v>16.210899999999999</c:v>
                </c:pt>
                <c:pt idx="41">
                  <c:v>16.613600000000002</c:v>
                </c:pt>
                <c:pt idx="42">
                  <c:v>17.019400000000001</c:v>
                </c:pt>
                <c:pt idx="43">
                  <c:v>17.425899999999999</c:v>
                </c:pt>
                <c:pt idx="44">
                  <c:v>17.835100000000001</c:v>
                </c:pt>
                <c:pt idx="45">
                  <c:v>18.238499999999998</c:v>
                </c:pt>
                <c:pt idx="46">
                  <c:v>18.648399999999999</c:v>
                </c:pt>
                <c:pt idx="47">
                  <c:v>19.053899999999999</c:v>
                </c:pt>
                <c:pt idx="48">
                  <c:v>19.458100000000002</c:v>
                </c:pt>
                <c:pt idx="49">
                  <c:v>19.863299999999999</c:v>
                </c:pt>
                <c:pt idx="50">
                  <c:v>20.2742</c:v>
                </c:pt>
                <c:pt idx="51">
                  <c:v>20.678799999999999</c:v>
                </c:pt>
                <c:pt idx="52">
                  <c:v>21.0837</c:v>
                </c:pt>
                <c:pt idx="53">
                  <c:v>21.494199999999999</c:v>
                </c:pt>
                <c:pt idx="54">
                  <c:v>21.895</c:v>
                </c:pt>
                <c:pt idx="55">
                  <c:v>22.302399999999999</c:v>
                </c:pt>
                <c:pt idx="56">
                  <c:v>22.711099999999998</c:v>
                </c:pt>
                <c:pt idx="57">
                  <c:v>23.116299999999999</c:v>
                </c:pt>
                <c:pt idx="58">
                  <c:v>23.522300000000001</c:v>
                </c:pt>
                <c:pt idx="59">
                  <c:v>23.926300000000001</c:v>
                </c:pt>
                <c:pt idx="60">
                  <c:v>24.3339</c:v>
                </c:pt>
                <c:pt idx="61">
                  <c:v>24.739100000000001</c:v>
                </c:pt>
                <c:pt idx="62">
                  <c:v>25.147099999999998</c:v>
                </c:pt>
                <c:pt idx="63">
                  <c:v>25.5503</c:v>
                </c:pt>
                <c:pt idx="64">
                  <c:v>25.959099999999999</c:v>
                </c:pt>
                <c:pt idx="65">
                  <c:v>26.3629</c:v>
                </c:pt>
                <c:pt idx="66">
                  <c:v>26.7729</c:v>
                </c:pt>
                <c:pt idx="67">
                  <c:v>27.178100000000001</c:v>
                </c:pt>
                <c:pt idx="68">
                  <c:v>27.5837</c:v>
                </c:pt>
                <c:pt idx="69">
                  <c:v>27.989599999999999</c:v>
                </c:pt>
                <c:pt idx="70">
                  <c:v>28.395700000000001</c:v>
                </c:pt>
                <c:pt idx="71">
                  <c:v>28.801300000000001</c:v>
                </c:pt>
                <c:pt idx="72">
                  <c:v>29.209700000000002</c:v>
                </c:pt>
                <c:pt idx="73">
                  <c:v>29.6175</c:v>
                </c:pt>
                <c:pt idx="74">
                  <c:v>30.023199999999999</c:v>
                </c:pt>
                <c:pt idx="75">
                  <c:v>30.616599999999998</c:v>
                </c:pt>
                <c:pt idx="76">
                  <c:v>30.991700000000002</c:v>
                </c:pt>
                <c:pt idx="77">
                  <c:v>31.366700000000002</c:v>
                </c:pt>
                <c:pt idx="78">
                  <c:v>31.740100000000002</c:v>
                </c:pt>
                <c:pt idx="79">
                  <c:v>32.113399999999999</c:v>
                </c:pt>
                <c:pt idx="80">
                  <c:v>32.5197</c:v>
                </c:pt>
                <c:pt idx="81">
                  <c:v>32.926400000000001</c:v>
                </c:pt>
                <c:pt idx="82">
                  <c:v>33.334899999999998</c:v>
                </c:pt>
                <c:pt idx="83">
                  <c:v>33.737499999999997</c:v>
                </c:pt>
                <c:pt idx="84">
                  <c:v>34.145000000000003</c:v>
                </c:pt>
                <c:pt idx="85">
                  <c:v>34.555399999999999</c:v>
                </c:pt>
                <c:pt idx="86">
                  <c:v>34.960500000000003</c:v>
                </c:pt>
                <c:pt idx="87">
                  <c:v>35.3658</c:v>
                </c:pt>
                <c:pt idx="88">
                  <c:v>35.770699999999998</c:v>
                </c:pt>
                <c:pt idx="89">
                  <c:v>36.177500000000002</c:v>
                </c:pt>
                <c:pt idx="90">
                  <c:v>36.5839</c:v>
                </c:pt>
                <c:pt idx="91">
                  <c:v>36.994199999999999</c:v>
                </c:pt>
                <c:pt idx="92">
                  <c:v>37.3977</c:v>
                </c:pt>
                <c:pt idx="93">
                  <c:v>37.802599999999998</c:v>
                </c:pt>
                <c:pt idx="94">
                  <c:v>38.206899999999997</c:v>
                </c:pt>
                <c:pt idx="95">
                  <c:v>38.612200000000001</c:v>
                </c:pt>
                <c:pt idx="96">
                  <c:v>39.024299999999997</c:v>
                </c:pt>
                <c:pt idx="97">
                  <c:v>39.427999999999997</c:v>
                </c:pt>
                <c:pt idx="98">
                  <c:v>39.832299999999996</c:v>
                </c:pt>
                <c:pt idx="99">
                  <c:v>40.239899999999999</c:v>
                </c:pt>
                <c:pt idx="100">
                  <c:v>40.647100000000002</c:v>
                </c:pt>
                <c:pt idx="101">
                  <c:v>41.052700000000002</c:v>
                </c:pt>
                <c:pt idx="102">
                  <c:v>41.458500000000001</c:v>
                </c:pt>
                <c:pt idx="103">
                  <c:v>41.866199999999999</c:v>
                </c:pt>
                <c:pt idx="104">
                  <c:v>42.271299999999997</c:v>
                </c:pt>
                <c:pt idx="105">
                  <c:v>42.676400000000001</c:v>
                </c:pt>
                <c:pt idx="106">
                  <c:v>43.084400000000002</c:v>
                </c:pt>
                <c:pt idx="107">
                  <c:v>43.489100000000001</c:v>
                </c:pt>
                <c:pt idx="108">
                  <c:v>43.894300000000001</c:v>
                </c:pt>
                <c:pt idx="109">
                  <c:v>44.303400000000003</c:v>
                </c:pt>
                <c:pt idx="110">
                  <c:v>44.707999999999998</c:v>
                </c:pt>
                <c:pt idx="111">
                  <c:v>45.113700000000001</c:v>
                </c:pt>
                <c:pt idx="112">
                  <c:v>45.521700000000003</c:v>
                </c:pt>
                <c:pt idx="113">
                  <c:v>45.927300000000002</c:v>
                </c:pt>
                <c:pt idx="114">
                  <c:v>46.332099999999997</c:v>
                </c:pt>
                <c:pt idx="115">
                  <c:v>46.7393</c:v>
                </c:pt>
                <c:pt idx="116">
                  <c:v>47.149700000000003</c:v>
                </c:pt>
                <c:pt idx="117">
                  <c:v>47.554000000000002</c:v>
                </c:pt>
                <c:pt idx="118">
                  <c:v>47.958500000000001</c:v>
                </c:pt>
                <c:pt idx="119">
                  <c:v>48.368299999999998</c:v>
                </c:pt>
                <c:pt idx="120">
                  <c:v>48.7712</c:v>
                </c:pt>
                <c:pt idx="121">
                  <c:v>49.178600000000003</c:v>
                </c:pt>
                <c:pt idx="122">
                  <c:v>49.587000000000003</c:v>
                </c:pt>
                <c:pt idx="123">
                  <c:v>49.990299999999998</c:v>
                </c:pt>
                <c:pt idx="124">
                  <c:v>50.396099999999997</c:v>
                </c:pt>
                <c:pt idx="125">
                  <c:v>50.799900000000001</c:v>
                </c:pt>
                <c:pt idx="126">
                  <c:v>51.208100000000002</c:v>
                </c:pt>
                <c:pt idx="127">
                  <c:v>51.6128</c:v>
                </c:pt>
                <c:pt idx="128">
                  <c:v>52.018300000000004</c:v>
                </c:pt>
                <c:pt idx="129">
                  <c:v>52.427199999999999</c:v>
                </c:pt>
                <c:pt idx="130">
                  <c:v>52.834499999999998</c:v>
                </c:pt>
                <c:pt idx="131">
                  <c:v>53.238999999999997</c:v>
                </c:pt>
                <c:pt idx="132">
                  <c:v>53.645000000000003</c:v>
                </c:pt>
                <c:pt idx="133">
                  <c:v>54.050400000000003</c:v>
                </c:pt>
                <c:pt idx="134">
                  <c:v>54.4589</c:v>
                </c:pt>
                <c:pt idx="135">
                  <c:v>54.868200000000002</c:v>
                </c:pt>
                <c:pt idx="136">
                  <c:v>55.271099999999997</c:v>
                </c:pt>
                <c:pt idx="137">
                  <c:v>55.675600000000003</c:v>
                </c:pt>
                <c:pt idx="138">
                  <c:v>56.082900000000002</c:v>
                </c:pt>
                <c:pt idx="139">
                  <c:v>56.490499999999997</c:v>
                </c:pt>
                <c:pt idx="140">
                  <c:v>56.897599999999997</c:v>
                </c:pt>
                <c:pt idx="141">
                  <c:v>57.301699999999997</c:v>
                </c:pt>
                <c:pt idx="142">
                  <c:v>57.710700000000003</c:v>
                </c:pt>
                <c:pt idx="143">
                  <c:v>58.118099999999998</c:v>
                </c:pt>
                <c:pt idx="144">
                  <c:v>58.523800000000001</c:v>
                </c:pt>
                <c:pt idx="145">
                  <c:v>58.927100000000003</c:v>
                </c:pt>
                <c:pt idx="146">
                  <c:v>59.3339</c:v>
                </c:pt>
                <c:pt idx="147">
                  <c:v>59.738300000000002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64.884900000000002</c:v>
                </c:pt>
                <c:pt idx="1">
                  <c:v>63.898900000000005</c:v>
                </c:pt>
                <c:pt idx="2">
                  <c:v>63.070099999999996</c:v>
                </c:pt>
                <c:pt idx="3">
                  <c:v>62.266800000000003</c:v>
                </c:pt>
                <c:pt idx="4">
                  <c:v>61.2742</c:v>
                </c:pt>
                <c:pt idx="5">
                  <c:v>60.196199999999997</c:v>
                </c:pt>
                <c:pt idx="6">
                  <c:v>58.972100000000005</c:v>
                </c:pt>
                <c:pt idx="7">
                  <c:v>57.654399999999995</c:v>
                </c:pt>
                <c:pt idx="8">
                  <c:v>56.394599999999997</c:v>
                </c:pt>
                <c:pt idx="9">
                  <c:v>55.174599999999998</c:v>
                </c:pt>
                <c:pt idx="10">
                  <c:v>53.904200000000003</c:v>
                </c:pt>
                <c:pt idx="11">
                  <c:v>52.659100000000002</c:v>
                </c:pt>
                <c:pt idx="12">
                  <c:v>51.501100000000001</c:v>
                </c:pt>
                <c:pt idx="13">
                  <c:v>50.366500000000002</c:v>
                </c:pt>
                <c:pt idx="14">
                  <c:v>49.174500000000002</c:v>
                </c:pt>
                <c:pt idx="15">
                  <c:v>48.065300000000001</c:v>
                </c:pt>
                <c:pt idx="16">
                  <c:v>46.9876</c:v>
                </c:pt>
                <c:pt idx="17">
                  <c:v>45.959200000000003</c:v>
                </c:pt>
                <c:pt idx="18">
                  <c:v>45.0045</c:v>
                </c:pt>
                <c:pt idx="19">
                  <c:v>44.213000000000001</c:v>
                </c:pt>
                <c:pt idx="20">
                  <c:v>43.590299999999999</c:v>
                </c:pt>
                <c:pt idx="21">
                  <c:v>43.0779</c:v>
                </c:pt>
                <c:pt idx="22">
                  <c:v>42.719000000000001</c:v>
                </c:pt>
                <c:pt idx="23">
                  <c:v>42.378599999999999</c:v>
                </c:pt>
                <c:pt idx="24">
                  <c:v>41.992800000000003</c:v>
                </c:pt>
                <c:pt idx="25">
                  <c:v>41.598199999999999</c:v>
                </c:pt>
                <c:pt idx="26">
                  <c:v>41.232700000000001</c:v>
                </c:pt>
                <c:pt idx="27">
                  <c:v>40.883000000000003</c:v>
                </c:pt>
                <c:pt idx="28">
                  <c:v>40.579900000000002</c:v>
                </c:pt>
                <c:pt idx="29">
                  <c:v>40.2517</c:v>
                </c:pt>
                <c:pt idx="30">
                  <c:v>39.922400000000003</c:v>
                </c:pt>
                <c:pt idx="31">
                  <c:v>39.580100000000002</c:v>
                </c:pt>
                <c:pt idx="32">
                  <c:v>39.164700000000003</c:v>
                </c:pt>
                <c:pt idx="33">
                  <c:v>38.793199999999999</c:v>
                </c:pt>
                <c:pt idx="34">
                  <c:v>38.451800000000006</c:v>
                </c:pt>
                <c:pt idx="35">
                  <c:v>38.113599999999998</c:v>
                </c:pt>
                <c:pt idx="36">
                  <c:v>37.826300000000003</c:v>
                </c:pt>
                <c:pt idx="37">
                  <c:v>37.563600000000001</c:v>
                </c:pt>
                <c:pt idx="38">
                  <c:v>37.336100000000002</c:v>
                </c:pt>
                <c:pt idx="39">
                  <c:v>37.079599999999999</c:v>
                </c:pt>
                <c:pt idx="40">
                  <c:v>36.815100000000001</c:v>
                </c:pt>
                <c:pt idx="41">
                  <c:v>36.594000000000001</c:v>
                </c:pt>
                <c:pt idx="42">
                  <c:v>36.370999999999995</c:v>
                </c:pt>
                <c:pt idx="43">
                  <c:v>36.126000000000005</c:v>
                </c:pt>
                <c:pt idx="44">
                  <c:v>35.786799999999999</c:v>
                </c:pt>
                <c:pt idx="45">
                  <c:v>35.378900000000002</c:v>
                </c:pt>
                <c:pt idx="46">
                  <c:v>34.979700000000001</c:v>
                </c:pt>
                <c:pt idx="47">
                  <c:v>34.563400000000001</c:v>
                </c:pt>
                <c:pt idx="48">
                  <c:v>34.141300000000001</c:v>
                </c:pt>
                <c:pt idx="49">
                  <c:v>33.810400000000001</c:v>
                </c:pt>
                <c:pt idx="50">
                  <c:v>33.6678</c:v>
                </c:pt>
                <c:pt idx="51">
                  <c:v>33.399099999999997</c:v>
                </c:pt>
                <c:pt idx="52">
                  <c:v>33.087000000000003</c:v>
                </c:pt>
                <c:pt idx="53">
                  <c:v>32.826000000000001</c:v>
                </c:pt>
                <c:pt idx="54">
                  <c:v>32.606999999999999</c:v>
                </c:pt>
                <c:pt idx="55">
                  <c:v>32.441900000000004</c:v>
                </c:pt>
                <c:pt idx="56">
                  <c:v>32.360299999999995</c:v>
                </c:pt>
                <c:pt idx="57">
                  <c:v>32.450099999999999</c:v>
                </c:pt>
                <c:pt idx="58">
                  <c:v>32.506299999999996</c:v>
                </c:pt>
                <c:pt idx="59">
                  <c:v>32.580300000000001</c:v>
                </c:pt>
                <c:pt idx="60">
                  <c:v>32.696599999999997</c:v>
                </c:pt>
                <c:pt idx="61">
                  <c:v>32.856900000000003</c:v>
                </c:pt>
                <c:pt idx="62">
                  <c:v>33.024300000000004</c:v>
                </c:pt>
                <c:pt idx="63">
                  <c:v>33.250600000000006</c:v>
                </c:pt>
                <c:pt idx="64">
                  <c:v>33.491900000000001</c:v>
                </c:pt>
                <c:pt idx="65">
                  <c:v>33.748899999999999</c:v>
                </c:pt>
                <c:pt idx="66">
                  <c:v>34.072000000000003</c:v>
                </c:pt>
                <c:pt idx="67">
                  <c:v>34.426499999999997</c:v>
                </c:pt>
                <c:pt idx="68">
                  <c:v>34.822800000000001</c:v>
                </c:pt>
                <c:pt idx="69">
                  <c:v>35.256399999999999</c:v>
                </c:pt>
                <c:pt idx="70">
                  <c:v>35.717500000000001</c:v>
                </c:pt>
                <c:pt idx="71">
                  <c:v>36.212200000000003</c:v>
                </c:pt>
                <c:pt idx="72">
                  <c:v>36.737400000000001</c:v>
                </c:pt>
                <c:pt idx="73">
                  <c:v>37.2652</c:v>
                </c:pt>
                <c:pt idx="74">
                  <c:v>37.767499999999998</c:v>
                </c:pt>
                <c:pt idx="75">
                  <c:v>38.269100000000002</c:v>
                </c:pt>
                <c:pt idx="76">
                  <c:v>38.771899999999995</c:v>
                </c:pt>
                <c:pt idx="77">
                  <c:v>39.272300000000001</c:v>
                </c:pt>
                <c:pt idx="78">
                  <c:v>39.678699999999999</c:v>
                </c:pt>
                <c:pt idx="79">
                  <c:v>40.039499999999997</c:v>
                </c:pt>
                <c:pt idx="80">
                  <c:v>40.3703</c:v>
                </c:pt>
                <c:pt idx="81">
                  <c:v>40.608800000000002</c:v>
                </c:pt>
                <c:pt idx="82">
                  <c:v>40.842299999999994</c:v>
                </c:pt>
                <c:pt idx="83">
                  <c:v>41.097499999999997</c:v>
                </c:pt>
                <c:pt idx="84">
                  <c:v>41.328900000000004</c:v>
                </c:pt>
                <c:pt idx="85">
                  <c:v>41.5002</c:v>
                </c:pt>
                <c:pt idx="86">
                  <c:v>41.613</c:v>
                </c:pt>
                <c:pt idx="87">
                  <c:v>41.654499999999999</c:v>
                </c:pt>
                <c:pt idx="88">
                  <c:v>41.629599999999996</c:v>
                </c:pt>
                <c:pt idx="89">
                  <c:v>41.653199999999998</c:v>
                </c:pt>
                <c:pt idx="90">
                  <c:v>41.672799999999995</c:v>
                </c:pt>
                <c:pt idx="91">
                  <c:v>41.623800000000003</c:v>
                </c:pt>
                <c:pt idx="92">
                  <c:v>41.58</c:v>
                </c:pt>
                <c:pt idx="93">
                  <c:v>41.505499999999998</c:v>
                </c:pt>
                <c:pt idx="94">
                  <c:v>41.471999999999994</c:v>
                </c:pt>
                <c:pt idx="95">
                  <c:v>41.489699999999999</c:v>
                </c:pt>
                <c:pt idx="96">
                  <c:v>41.538399999999996</c:v>
                </c:pt>
                <c:pt idx="97">
                  <c:v>41.5989</c:v>
                </c:pt>
                <c:pt idx="98">
                  <c:v>41.6999</c:v>
                </c:pt>
                <c:pt idx="99">
                  <c:v>41.798099999999998</c:v>
                </c:pt>
                <c:pt idx="100">
                  <c:v>41.950700000000005</c:v>
                </c:pt>
                <c:pt idx="101">
                  <c:v>42.181699999999999</c:v>
                </c:pt>
                <c:pt idx="102">
                  <c:v>42.431200000000004</c:v>
                </c:pt>
                <c:pt idx="103">
                  <c:v>42.716200000000001</c:v>
                </c:pt>
                <c:pt idx="104">
                  <c:v>42.896099999999997</c:v>
                </c:pt>
                <c:pt idx="105">
                  <c:v>42.9925</c:v>
                </c:pt>
                <c:pt idx="106">
                  <c:v>43.0229</c:v>
                </c:pt>
                <c:pt idx="107">
                  <c:v>42.942500000000003</c:v>
                </c:pt>
                <c:pt idx="108">
                  <c:v>42.810700000000004</c:v>
                </c:pt>
                <c:pt idx="109">
                  <c:v>42.638300000000001</c:v>
                </c:pt>
                <c:pt idx="110">
                  <c:v>42.464500000000001</c:v>
                </c:pt>
                <c:pt idx="111">
                  <c:v>42.268899999999995</c:v>
                </c:pt>
                <c:pt idx="112">
                  <c:v>42.039700000000003</c:v>
                </c:pt>
                <c:pt idx="113">
                  <c:v>41.797899999999998</c:v>
                </c:pt>
                <c:pt idx="114">
                  <c:v>41.587499999999999</c:v>
                </c:pt>
                <c:pt idx="115">
                  <c:v>41.417300000000004</c:v>
                </c:pt>
                <c:pt idx="116">
                  <c:v>41.288399999999996</c:v>
                </c:pt>
                <c:pt idx="117">
                  <c:v>41.131900000000002</c:v>
                </c:pt>
                <c:pt idx="118">
                  <c:v>40.917900000000003</c:v>
                </c:pt>
                <c:pt idx="119">
                  <c:v>40.691899999999997</c:v>
                </c:pt>
                <c:pt idx="120">
                  <c:v>40.489199999999997</c:v>
                </c:pt>
                <c:pt idx="121">
                  <c:v>40.3264</c:v>
                </c:pt>
                <c:pt idx="122">
                  <c:v>40.1907</c:v>
                </c:pt>
                <c:pt idx="123">
                  <c:v>40.121099999999998</c:v>
                </c:pt>
                <c:pt idx="124">
                  <c:v>39.989000000000004</c:v>
                </c:pt>
                <c:pt idx="125">
                  <c:v>39.832299999999996</c:v>
                </c:pt>
                <c:pt idx="126">
                  <c:v>39.652100000000004</c:v>
                </c:pt>
                <c:pt idx="127">
                  <c:v>39.453800000000001</c:v>
                </c:pt>
                <c:pt idx="128">
                  <c:v>39.259500000000003</c:v>
                </c:pt>
                <c:pt idx="129">
                  <c:v>39.095600000000005</c:v>
                </c:pt>
                <c:pt idx="130">
                  <c:v>38.987300000000005</c:v>
                </c:pt>
                <c:pt idx="131">
                  <c:v>38.909300000000002</c:v>
                </c:pt>
                <c:pt idx="132">
                  <c:v>38.844999999999999</c:v>
                </c:pt>
                <c:pt idx="133">
                  <c:v>38.828699999999998</c:v>
                </c:pt>
                <c:pt idx="134">
                  <c:v>38.870599999999996</c:v>
                </c:pt>
                <c:pt idx="135">
                  <c:v>38.904200000000003</c:v>
                </c:pt>
                <c:pt idx="136">
                  <c:v>38.968799999999995</c:v>
                </c:pt>
                <c:pt idx="137">
                  <c:v>39.1265</c:v>
                </c:pt>
                <c:pt idx="138">
                  <c:v>39.3371</c:v>
                </c:pt>
                <c:pt idx="139">
                  <c:v>39.538499999999999</c:v>
                </c:pt>
                <c:pt idx="140">
                  <c:v>39.7117</c:v>
                </c:pt>
                <c:pt idx="141">
                  <c:v>39.865299999999998</c:v>
                </c:pt>
                <c:pt idx="142">
                  <c:v>40.007599999999996</c:v>
                </c:pt>
                <c:pt idx="143">
                  <c:v>40.35</c:v>
                </c:pt>
                <c:pt idx="144">
                  <c:v>40.820099999999996</c:v>
                </c:pt>
                <c:pt idx="145">
                  <c:v>41.326099999999997</c:v>
                </c:pt>
                <c:pt idx="146">
                  <c:v>41.842199999999998</c:v>
                </c:pt>
                <c:pt idx="147">
                  <c:v>42.598599999999998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0.36374200000000001</c:v>
                </c:pt>
                <c:pt idx="2">
                  <c:v>0.769679</c:v>
                </c:pt>
                <c:pt idx="3">
                  <c:v>1.1761299999999999</c:v>
                </c:pt>
                <c:pt idx="4">
                  <c:v>1.5841000000000001</c:v>
                </c:pt>
                <c:pt idx="5">
                  <c:v>1.99028</c:v>
                </c:pt>
                <c:pt idx="6">
                  <c:v>2.3944999999999999</c:v>
                </c:pt>
                <c:pt idx="7">
                  <c:v>2.8044199999999999</c:v>
                </c:pt>
                <c:pt idx="8">
                  <c:v>3.2099099999999998</c:v>
                </c:pt>
                <c:pt idx="9">
                  <c:v>3.61713</c:v>
                </c:pt>
                <c:pt idx="10">
                  <c:v>4.02102</c:v>
                </c:pt>
                <c:pt idx="11">
                  <c:v>4.4265600000000003</c:v>
                </c:pt>
                <c:pt idx="12">
                  <c:v>4.8355100000000002</c:v>
                </c:pt>
                <c:pt idx="13">
                  <c:v>5.2428699999999999</c:v>
                </c:pt>
                <c:pt idx="14">
                  <c:v>5.6480300000000003</c:v>
                </c:pt>
                <c:pt idx="15">
                  <c:v>6.0554899999999998</c:v>
                </c:pt>
                <c:pt idx="16">
                  <c:v>6.4602000000000004</c:v>
                </c:pt>
                <c:pt idx="17">
                  <c:v>6.8639799999999997</c:v>
                </c:pt>
                <c:pt idx="18">
                  <c:v>7.2736799999999997</c:v>
                </c:pt>
                <c:pt idx="19">
                  <c:v>7.6787200000000002</c:v>
                </c:pt>
                <c:pt idx="20">
                  <c:v>8.0820900000000009</c:v>
                </c:pt>
                <c:pt idx="21">
                  <c:v>8.4887099999999993</c:v>
                </c:pt>
                <c:pt idx="22">
                  <c:v>8.89527</c:v>
                </c:pt>
                <c:pt idx="23">
                  <c:v>9.3039199999999997</c:v>
                </c:pt>
                <c:pt idx="24">
                  <c:v>9.7111000000000001</c:v>
                </c:pt>
                <c:pt idx="25">
                  <c:v>10.116300000000001</c:v>
                </c:pt>
                <c:pt idx="26">
                  <c:v>10.5204</c:v>
                </c:pt>
                <c:pt idx="27">
                  <c:v>10.9244</c:v>
                </c:pt>
                <c:pt idx="28">
                  <c:v>11.334199999999999</c:v>
                </c:pt>
                <c:pt idx="29">
                  <c:v>11.740399999999999</c:v>
                </c:pt>
                <c:pt idx="30">
                  <c:v>12.1462</c:v>
                </c:pt>
                <c:pt idx="31">
                  <c:v>12.5512</c:v>
                </c:pt>
                <c:pt idx="32">
                  <c:v>12.960800000000001</c:v>
                </c:pt>
                <c:pt idx="33">
                  <c:v>13.3675</c:v>
                </c:pt>
                <c:pt idx="34">
                  <c:v>13.771699999999999</c:v>
                </c:pt>
                <c:pt idx="35">
                  <c:v>14.178000000000001</c:v>
                </c:pt>
                <c:pt idx="36">
                  <c:v>14.583399999999999</c:v>
                </c:pt>
                <c:pt idx="37">
                  <c:v>14.9887</c:v>
                </c:pt>
                <c:pt idx="38">
                  <c:v>15.3964</c:v>
                </c:pt>
                <c:pt idx="39">
                  <c:v>15.801600000000001</c:v>
                </c:pt>
                <c:pt idx="40">
                  <c:v>16.210899999999999</c:v>
                </c:pt>
                <c:pt idx="41">
                  <c:v>16.613600000000002</c:v>
                </c:pt>
                <c:pt idx="42">
                  <c:v>17.019400000000001</c:v>
                </c:pt>
                <c:pt idx="43">
                  <c:v>17.425899999999999</c:v>
                </c:pt>
                <c:pt idx="44">
                  <c:v>17.835100000000001</c:v>
                </c:pt>
                <c:pt idx="45">
                  <c:v>18.238499999999998</c:v>
                </c:pt>
                <c:pt idx="46">
                  <c:v>18.648399999999999</c:v>
                </c:pt>
                <c:pt idx="47">
                  <c:v>19.053899999999999</c:v>
                </c:pt>
                <c:pt idx="48">
                  <c:v>19.458100000000002</c:v>
                </c:pt>
                <c:pt idx="49">
                  <c:v>19.863299999999999</c:v>
                </c:pt>
                <c:pt idx="50">
                  <c:v>20.2742</c:v>
                </c:pt>
                <c:pt idx="51">
                  <c:v>20.678799999999999</c:v>
                </c:pt>
                <c:pt idx="52">
                  <c:v>21.0837</c:v>
                </c:pt>
                <c:pt idx="53">
                  <c:v>21.494199999999999</c:v>
                </c:pt>
                <c:pt idx="54">
                  <c:v>21.895</c:v>
                </c:pt>
                <c:pt idx="55">
                  <c:v>22.302399999999999</c:v>
                </c:pt>
                <c:pt idx="56">
                  <c:v>22.711099999999998</c:v>
                </c:pt>
                <c:pt idx="57">
                  <c:v>23.116299999999999</c:v>
                </c:pt>
                <c:pt idx="58">
                  <c:v>23.522300000000001</c:v>
                </c:pt>
                <c:pt idx="59">
                  <c:v>23.926300000000001</c:v>
                </c:pt>
                <c:pt idx="60">
                  <c:v>24.3339</c:v>
                </c:pt>
                <c:pt idx="61">
                  <c:v>24.739100000000001</c:v>
                </c:pt>
                <c:pt idx="62">
                  <c:v>25.147099999999998</c:v>
                </c:pt>
                <c:pt idx="63">
                  <c:v>25.5503</c:v>
                </c:pt>
                <c:pt idx="64">
                  <c:v>25.959099999999999</c:v>
                </c:pt>
                <c:pt idx="65">
                  <c:v>26.3629</c:v>
                </c:pt>
                <c:pt idx="66">
                  <c:v>26.7729</c:v>
                </c:pt>
                <c:pt idx="67">
                  <c:v>27.178100000000001</c:v>
                </c:pt>
                <c:pt idx="68">
                  <c:v>27.5837</c:v>
                </c:pt>
                <c:pt idx="69">
                  <c:v>27.989599999999999</c:v>
                </c:pt>
                <c:pt idx="70">
                  <c:v>28.395700000000001</c:v>
                </c:pt>
                <c:pt idx="71">
                  <c:v>28.801300000000001</c:v>
                </c:pt>
                <c:pt idx="72">
                  <c:v>29.209700000000002</c:v>
                </c:pt>
                <c:pt idx="73">
                  <c:v>29.6175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64.884900000000002</c:v>
                </c:pt>
                <c:pt idx="1">
                  <c:v>63.898900000000005</c:v>
                </c:pt>
                <c:pt idx="2">
                  <c:v>63.070099999999996</c:v>
                </c:pt>
                <c:pt idx="3">
                  <c:v>62.266800000000003</c:v>
                </c:pt>
                <c:pt idx="4">
                  <c:v>61.2742</c:v>
                </c:pt>
                <c:pt idx="5">
                  <c:v>60.196199999999997</c:v>
                </c:pt>
                <c:pt idx="6">
                  <c:v>58.972100000000005</c:v>
                </c:pt>
                <c:pt idx="7">
                  <c:v>57.654399999999995</c:v>
                </c:pt>
                <c:pt idx="8">
                  <c:v>56.394599999999997</c:v>
                </c:pt>
                <c:pt idx="9">
                  <c:v>55.174599999999998</c:v>
                </c:pt>
                <c:pt idx="10">
                  <c:v>53.904200000000003</c:v>
                </c:pt>
                <c:pt idx="11">
                  <c:v>52.659100000000002</c:v>
                </c:pt>
                <c:pt idx="12">
                  <c:v>51.501100000000001</c:v>
                </c:pt>
                <c:pt idx="13">
                  <c:v>50.366500000000002</c:v>
                </c:pt>
                <c:pt idx="14">
                  <c:v>49.174500000000002</c:v>
                </c:pt>
                <c:pt idx="15">
                  <c:v>48.065300000000001</c:v>
                </c:pt>
                <c:pt idx="16">
                  <c:v>46.9876</c:v>
                </c:pt>
                <c:pt idx="17">
                  <c:v>45.959200000000003</c:v>
                </c:pt>
                <c:pt idx="18">
                  <c:v>45.0045</c:v>
                </c:pt>
                <c:pt idx="19">
                  <c:v>44.213000000000001</c:v>
                </c:pt>
                <c:pt idx="20">
                  <c:v>43.590299999999999</c:v>
                </c:pt>
                <c:pt idx="21">
                  <c:v>43.0779</c:v>
                </c:pt>
                <c:pt idx="22">
                  <c:v>42.719000000000001</c:v>
                </c:pt>
                <c:pt idx="23">
                  <c:v>42.378599999999999</c:v>
                </c:pt>
                <c:pt idx="24">
                  <c:v>41.992800000000003</c:v>
                </c:pt>
                <c:pt idx="25">
                  <c:v>41.598199999999999</c:v>
                </c:pt>
                <c:pt idx="26">
                  <c:v>41.232700000000001</c:v>
                </c:pt>
                <c:pt idx="27">
                  <c:v>40.883000000000003</c:v>
                </c:pt>
                <c:pt idx="28">
                  <c:v>40.579900000000002</c:v>
                </c:pt>
                <c:pt idx="29">
                  <c:v>40.2517</c:v>
                </c:pt>
                <c:pt idx="30">
                  <c:v>39.922400000000003</c:v>
                </c:pt>
                <c:pt idx="31">
                  <c:v>39.580100000000002</c:v>
                </c:pt>
                <c:pt idx="32">
                  <c:v>39.164700000000003</c:v>
                </c:pt>
                <c:pt idx="33">
                  <c:v>38.793199999999999</c:v>
                </c:pt>
                <c:pt idx="34">
                  <c:v>38.451800000000006</c:v>
                </c:pt>
                <c:pt idx="35">
                  <c:v>38.113599999999998</c:v>
                </c:pt>
                <c:pt idx="36">
                  <c:v>37.826300000000003</c:v>
                </c:pt>
                <c:pt idx="37">
                  <c:v>37.563600000000001</c:v>
                </c:pt>
                <c:pt idx="38">
                  <c:v>37.336100000000002</c:v>
                </c:pt>
                <c:pt idx="39">
                  <c:v>37.079599999999999</c:v>
                </c:pt>
                <c:pt idx="40">
                  <c:v>36.815100000000001</c:v>
                </c:pt>
                <c:pt idx="41">
                  <c:v>36.594000000000001</c:v>
                </c:pt>
                <c:pt idx="42">
                  <c:v>36.370999999999995</c:v>
                </c:pt>
                <c:pt idx="43">
                  <c:v>36.126000000000005</c:v>
                </c:pt>
                <c:pt idx="44">
                  <c:v>35.786799999999999</c:v>
                </c:pt>
                <c:pt idx="45">
                  <c:v>35.378900000000002</c:v>
                </c:pt>
                <c:pt idx="46">
                  <c:v>34.979700000000001</c:v>
                </c:pt>
                <c:pt idx="47">
                  <c:v>34.563400000000001</c:v>
                </c:pt>
                <c:pt idx="48">
                  <c:v>34.141300000000001</c:v>
                </c:pt>
                <c:pt idx="49">
                  <c:v>33.810400000000001</c:v>
                </c:pt>
                <c:pt idx="50">
                  <c:v>33.6678</c:v>
                </c:pt>
                <c:pt idx="51">
                  <c:v>33.399099999999997</c:v>
                </c:pt>
                <c:pt idx="52">
                  <c:v>33.087000000000003</c:v>
                </c:pt>
                <c:pt idx="53">
                  <c:v>32.826000000000001</c:v>
                </c:pt>
                <c:pt idx="54">
                  <c:v>32.606999999999999</c:v>
                </c:pt>
                <c:pt idx="55">
                  <c:v>32.441900000000004</c:v>
                </c:pt>
                <c:pt idx="56">
                  <c:v>32.360299999999995</c:v>
                </c:pt>
                <c:pt idx="57">
                  <c:v>32.450099999999999</c:v>
                </c:pt>
                <c:pt idx="58">
                  <c:v>32.506299999999996</c:v>
                </c:pt>
                <c:pt idx="59">
                  <c:v>32.580300000000001</c:v>
                </c:pt>
                <c:pt idx="60">
                  <c:v>32.696599999999997</c:v>
                </c:pt>
                <c:pt idx="61">
                  <c:v>32.856900000000003</c:v>
                </c:pt>
                <c:pt idx="62">
                  <c:v>33.024300000000004</c:v>
                </c:pt>
                <c:pt idx="63">
                  <c:v>33.250600000000006</c:v>
                </c:pt>
                <c:pt idx="64">
                  <c:v>33.491900000000001</c:v>
                </c:pt>
                <c:pt idx="65">
                  <c:v>33.748899999999999</c:v>
                </c:pt>
                <c:pt idx="66">
                  <c:v>34.072000000000003</c:v>
                </c:pt>
                <c:pt idx="67">
                  <c:v>34.426499999999997</c:v>
                </c:pt>
                <c:pt idx="68">
                  <c:v>34.822800000000001</c:v>
                </c:pt>
                <c:pt idx="69">
                  <c:v>35.256399999999999</c:v>
                </c:pt>
                <c:pt idx="70">
                  <c:v>35.717500000000001</c:v>
                </c:pt>
                <c:pt idx="71">
                  <c:v>36.212200000000003</c:v>
                </c:pt>
                <c:pt idx="72">
                  <c:v>36.737400000000001</c:v>
                </c:pt>
                <c:pt idx="73">
                  <c:v>37.2652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29.6175</c:v>
                </c:pt>
                <c:pt idx="1">
                  <c:v>30.023199999999999</c:v>
                </c:pt>
                <c:pt idx="2">
                  <c:v>30.616599999999998</c:v>
                </c:pt>
                <c:pt idx="3">
                  <c:v>30.991700000000002</c:v>
                </c:pt>
                <c:pt idx="4">
                  <c:v>31.366700000000002</c:v>
                </c:pt>
                <c:pt idx="5">
                  <c:v>31.740100000000002</c:v>
                </c:pt>
                <c:pt idx="6">
                  <c:v>32.113399999999999</c:v>
                </c:pt>
                <c:pt idx="7">
                  <c:v>32.5197</c:v>
                </c:pt>
                <c:pt idx="8">
                  <c:v>32.926400000000001</c:v>
                </c:pt>
                <c:pt idx="9">
                  <c:v>33.334899999999998</c:v>
                </c:pt>
                <c:pt idx="10">
                  <c:v>33.737499999999997</c:v>
                </c:pt>
                <c:pt idx="11">
                  <c:v>34.145000000000003</c:v>
                </c:pt>
                <c:pt idx="12">
                  <c:v>34.555399999999999</c:v>
                </c:pt>
                <c:pt idx="13">
                  <c:v>34.960500000000003</c:v>
                </c:pt>
                <c:pt idx="14">
                  <c:v>35.3658</c:v>
                </c:pt>
                <c:pt idx="15">
                  <c:v>35.770699999999998</c:v>
                </c:pt>
                <c:pt idx="16">
                  <c:v>36.177500000000002</c:v>
                </c:pt>
                <c:pt idx="17">
                  <c:v>36.5839</c:v>
                </c:pt>
                <c:pt idx="18">
                  <c:v>36.994199999999999</c:v>
                </c:pt>
                <c:pt idx="19">
                  <c:v>37.3977</c:v>
                </c:pt>
                <c:pt idx="20">
                  <c:v>37.802599999999998</c:v>
                </c:pt>
                <c:pt idx="21">
                  <c:v>38.206899999999997</c:v>
                </c:pt>
                <c:pt idx="22">
                  <c:v>38.612200000000001</c:v>
                </c:pt>
                <c:pt idx="23">
                  <c:v>39.024299999999997</c:v>
                </c:pt>
                <c:pt idx="24">
                  <c:v>39.427999999999997</c:v>
                </c:pt>
                <c:pt idx="25">
                  <c:v>39.832299999999996</c:v>
                </c:pt>
                <c:pt idx="26">
                  <c:v>40.239899999999999</c:v>
                </c:pt>
                <c:pt idx="27">
                  <c:v>40.647100000000002</c:v>
                </c:pt>
                <c:pt idx="28">
                  <c:v>41.052700000000002</c:v>
                </c:pt>
                <c:pt idx="29">
                  <c:v>41.458500000000001</c:v>
                </c:pt>
                <c:pt idx="30">
                  <c:v>41.866199999999999</c:v>
                </c:pt>
                <c:pt idx="31">
                  <c:v>42.271299999999997</c:v>
                </c:pt>
                <c:pt idx="32">
                  <c:v>42.676400000000001</c:v>
                </c:pt>
                <c:pt idx="33">
                  <c:v>43.084400000000002</c:v>
                </c:pt>
                <c:pt idx="34">
                  <c:v>43.489100000000001</c:v>
                </c:pt>
                <c:pt idx="35">
                  <c:v>43.894300000000001</c:v>
                </c:pt>
                <c:pt idx="36">
                  <c:v>44.303400000000003</c:v>
                </c:pt>
                <c:pt idx="37">
                  <c:v>44.707999999999998</c:v>
                </c:pt>
                <c:pt idx="38">
                  <c:v>45.113700000000001</c:v>
                </c:pt>
                <c:pt idx="39">
                  <c:v>45.521700000000003</c:v>
                </c:pt>
                <c:pt idx="40">
                  <c:v>45.927300000000002</c:v>
                </c:pt>
                <c:pt idx="41">
                  <c:v>46.332099999999997</c:v>
                </c:pt>
                <c:pt idx="42">
                  <c:v>46.7393</c:v>
                </c:pt>
                <c:pt idx="43">
                  <c:v>47.149700000000003</c:v>
                </c:pt>
                <c:pt idx="44">
                  <c:v>47.554000000000002</c:v>
                </c:pt>
                <c:pt idx="45">
                  <c:v>47.958500000000001</c:v>
                </c:pt>
                <c:pt idx="46">
                  <c:v>48.368299999999998</c:v>
                </c:pt>
                <c:pt idx="47">
                  <c:v>48.7712</c:v>
                </c:pt>
                <c:pt idx="48">
                  <c:v>49.178600000000003</c:v>
                </c:pt>
                <c:pt idx="49">
                  <c:v>49.587000000000003</c:v>
                </c:pt>
                <c:pt idx="50">
                  <c:v>49.990299999999998</c:v>
                </c:pt>
                <c:pt idx="51">
                  <c:v>50.396099999999997</c:v>
                </c:pt>
                <c:pt idx="52">
                  <c:v>50.799900000000001</c:v>
                </c:pt>
                <c:pt idx="53">
                  <c:v>51.208100000000002</c:v>
                </c:pt>
                <c:pt idx="54">
                  <c:v>51.6128</c:v>
                </c:pt>
                <c:pt idx="55">
                  <c:v>52.018300000000004</c:v>
                </c:pt>
                <c:pt idx="56">
                  <c:v>52.427199999999999</c:v>
                </c:pt>
                <c:pt idx="57">
                  <c:v>52.834499999999998</c:v>
                </c:pt>
                <c:pt idx="58">
                  <c:v>53.238999999999997</c:v>
                </c:pt>
                <c:pt idx="59">
                  <c:v>53.645000000000003</c:v>
                </c:pt>
                <c:pt idx="60">
                  <c:v>54.050400000000003</c:v>
                </c:pt>
                <c:pt idx="61">
                  <c:v>54.4589</c:v>
                </c:pt>
                <c:pt idx="62">
                  <c:v>54.868200000000002</c:v>
                </c:pt>
                <c:pt idx="63">
                  <c:v>55.271099999999997</c:v>
                </c:pt>
                <c:pt idx="64">
                  <c:v>55.675600000000003</c:v>
                </c:pt>
                <c:pt idx="65">
                  <c:v>56.082900000000002</c:v>
                </c:pt>
                <c:pt idx="66">
                  <c:v>56.490499999999997</c:v>
                </c:pt>
                <c:pt idx="67">
                  <c:v>56.897599999999997</c:v>
                </c:pt>
                <c:pt idx="68">
                  <c:v>57.301699999999997</c:v>
                </c:pt>
                <c:pt idx="69">
                  <c:v>57.710700000000003</c:v>
                </c:pt>
                <c:pt idx="70">
                  <c:v>58.118099999999998</c:v>
                </c:pt>
                <c:pt idx="71">
                  <c:v>58.523800000000001</c:v>
                </c:pt>
                <c:pt idx="72">
                  <c:v>58.927100000000003</c:v>
                </c:pt>
                <c:pt idx="73">
                  <c:v>59.3339</c:v>
                </c:pt>
                <c:pt idx="74">
                  <c:v>59.738300000000002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37.2652</c:v>
                </c:pt>
                <c:pt idx="1">
                  <c:v>37.767499999999998</c:v>
                </c:pt>
                <c:pt idx="2">
                  <c:v>38.269100000000002</c:v>
                </c:pt>
                <c:pt idx="3">
                  <c:v>38.771899999999995</c:v>
                </c:pt>
                <c:pt idx="4">
                  <c:v>39.272300000000001</c:v>
                </c:pt>
                <c:pt idx="5">
                  <c:v>39.678699999999999</c:v>
                </c:pt>
                <c:pt idx="6">
                  <c:v>40.039499999999997</c:v>
                </c:pt>
                <c:pt idx="7">
                  <c:v>40.3703</c:v>
                </c:pt>
                <c:pt idx="8">
                  <c:v>40.608800000000002</c:v>
                </c:pt>
                <c:pt idx="9">
                  <c:v>40.842299999999994</c:v>
                </c:pt>
                <c:pt idx="10">
                  <c:v>41.097499999999997</c:v>
                </c:pt>
                <c:pt idx="11">
                  <c:v>41.328900000000004</c:v>
                </c:pt>
                <c:pt idx="12">
                  <c:v>41.5002</c:v>
                </c:pt>
                <c:pt idx="13">
                  <c:v>41.613</c:v>
                </c:pt>
                <c:pt idx="14">
                  <c:v>41.654499999999999</c:v>
                </c:pt>
                <c:pt idx="15">
                  <c:v>41.629599999999996</c:v>
                </c:pt>
                <c:pt idx="16">
                  <c:v>41.653199999999998</c:v>
                </c:pt>
                <c:pt idx="17">
                  <c:v>41.672799999999995</c:v>
                </c:pt>
                <c:pt idx="18">
                  <c:v>41.623800000000003</c:v>
                </c:pt>
                <c:pt idx="19">
                  <c:v>41.58</c:v>
                </c:pt>
                <c:pt idx="20">
                  <c:v>41.505499999999998</c:v>
                </c:pt>
                <c:pt idx="21">
                  <c:v>41.471999999999994</c:v>
                </c:pt>
                <c:pt idx="22">
                  <c:v>41.489699999999999</c:v>
                </c:pt>
                <c:pt idx="23">
                  <c:v>41.538399999999996</c:v>
                </c:pt>
                <c:pt idx="24">
                  <c:v>41.5989</c:v>
                </c:pt>
                <c:pt idx="25">
                  <c:v>41.6999</c:v>
                </c:pt>
                <c:pt idx="26">
                  <c:v>41.798099999999998</c:v>
                </c:pt>
                <c:pt idx="27">
                  <c:v>41.950700000000005</c:v>
                </c:pt>
                <c:pt idx="28">
                  <c:v>42.181699999999999</c:v>
                </c:pt>
                <c:pt idx="29">
                  <c:v>42.431200000000004</c:v>
                </c:pt>
                <c:pt idx="30">
                  <c:v>42.716200000000001</c:v>
                </c:pt>
                <c:pt idx="31">
                  <c:v>42.896099999999997</c:v>
                </c:pt>
                <c:pt idx="32">
                  <c:v>42.9925</c:v>
                </c:pt>
                <c:pt idx="33">
                  <c:v>43.0229</c:v>
                </c:pt>
                <c:pt idx="34">
                  <c:v>42.942500000000003</c:v>
                </c:pt>
                <c:pt idx="35">
                  <c:v>42.810700000000004</c:v>
                </c:pt>
                <c:pt idx="36">
                  <c:v>42.638300000000001</c:v>
                </c:pt>
                <c:pt idx="37">
                  <c:v>42.464500000000001</c:v>
                </c:pt>
                <c:pt idx="38">
                  <c:v>42.268899999999995</c:v>
                </c:pt>
                <c:pt idx="39">
                  <c:v>42.039700000000003</c:v>
                </c:pt>
                <c:pt idx="40">
                  <c:v>41.797899999999998</c:v>
                </c:pt>
                <c:pt idx="41">
                  <c:v>41.587499999999999</c:v>
                </c:pt>
                <c:pt idx="42">
                  <c:v>41.417300000000004</c:v>
                </c:pt>
                <c:pt idx="43">
                  <c:v>41.288399999999996</c:v>
                </c:pt>
                <c:pt idx="44">
                  <c:v>41.131900000000002</c:v>
                </c:pt>
                <c:pt idx="45">
                  <c:v>40.917900000000003</c:v>
                </c:pt>
                <c:pt idx="46">
                  <c:v>40.691899999999997</c:v>
                </c:pt>
                <c:pt idx="47">
                  <c:v>40.489199999999997</c:v>
                </c:pt>
                <c:pt idx="48">
                  <c:v>40.3264</c:v>
                </c:pt>
                <c:pt idx="49">
                  <c:v>40.1907</c:v>
                </c:pt>
                <c:pt idx="50">
                  <c:v>40.121099999999998</c:v>
                </c:pt>
                <c:pt idx="51">
                  <c:v>39.989000000000004</c:v>
                </c:pt>
                <c:pt idx="52">
                  <c:v>39.832299999999996</c:v>
                </c:pt>
                <c:pt idx="53">
                  <c:v>39.652100000000004</c:v>
                </c:pt>
                <c:pt idx="54">
                  <c:v>39.453800000000001</c:v>
                </c:pt>
                <c:pt idx="55">
                  <c:v>39.259500000000003</c:v>
                </c:pt>
                <c:pt idx="56">
                  <c:v>39.095600000000005</c:v>
                </c:pt>
                <c:pt idx="57">
                  <c:v>38.987300000000005</c:v>
                </c:pt>
                <c:pt idx="58">
                  <c:v>38.909300000000002</c:v>
                </c:pt>
                <c:pt idx="59">
                  <c:v>38.844999999999999</c:v>
                </c:pt>
                <c:pt idx="60">
                  <c:v>38.828699999999998</c:v>
                </c:pt>
                <c:pt idx="61">
                  <c:v>38.870599999999996</c:v>
                </c:pt>
                <c:pt idx="62">
                  <c:v>38.904200000000003</c:v>
                </c:pt>
                <c:pt idx="63">
                  <c:v>38.968799999999995</c:v>
                </c:pt>
                <c:pt idx="64">
                  <c:v>39.1265</c:v>
                </c:pt>
                <c:pt idx="65">
                  <c:v>39.3371</c:v>
                </c:pt>
                <c:pt idx="66">
                  <c:v>39.538499999999999</c:v>
                </c:pt>
                <c:pt idx="67">
                  <c:v>39.7117</c:v>
                </c:pt>
                <c:pt idx="68">
                  <c:v>39.865299999999998</c:v>
                </c:pt>
                <c:pt idx="69">
                  <c:v>40.007599999999996</c:v>
                </c:pt>
                <c:pt idx="70">
                  <c:v>40.35</c:v>
                </c:pt>
                <c:pt idx="71">
                  <c:v>40.820099999999996</c:v>
                </c:pt>
                <c:pt idx="72">
                  <c:v>41.326099999999997</c:v>
                </c:pt>
                <c:pt idx="73">
                  <c:v>41.842199999999998</c:v>
                </c:pt>
                <c:pt idx="74">
                  <c:v>42.598599999999998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14.934575000000001</c:v>
                </c:pt>
                <c:pt idx="1">
                  <c:v>44.803725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41.349039189189192</c:v>
                </c:pt>
                <c:pt idx="1">
                  <c:v>40.804221621621615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1.5526300000000002</c:v>
                </c:pt>
                <c:pt idx="1">
                  <c:v>1.6034799999999998</c:v>
                </c:pt>
                <c:pt idx="2">
                  <c:v>1.65211</c:v>
                </c:pt>
                <c:pt idx="3">
                  <c:v>1.6998599999999999</c:v>
                </c:pt>
                <c:pt idx="4">
                  <c:v>1.7510700000000001</c:v>
                </c:pt>
                <c:pt idx="5">
                  <c:v>1.8045</c:v>
                </c:pt>
                <c:pt idx="6">
                  <c:v>1.86365</c:v>
                </c:pt>
                <c:pt idx="7">
                  <c:v>1.9264600000000001</c:v>
                </c:pt>
                <c:pt idx="8">
                  <c:v>1.98617</c:v>
                </c:pt>
                <c:pt idx="9">
                  <c:v>2.0432600000000001</c:v>
                </c:pt>
                <c:pt idx="10">
                  <c:v>2.1009700000000002</c:v>
                </c:pt>
                <c:pt idx="11">
                  <c:v>2.1585999999999999</c:v>
                </c:pt>
                <c:pt idx="12">
                  <c:v>2.2147399999999999</c:v>
                </c:pt>
                <c:pt idx="13">
                  <c:v>2.2693599999999998</c:v>
                </c:pt>
                <c:pt idx="14">
                  <c:v>2.3231199999999999</c:v>
                </c:pt>
                <c:pt idx="15">
                  <c:v>2.3752599999999999</c:v>
                </c:pt>
                <c:pt idx="16">
                  <c:v>2.4251800000000001</c:v>
                </c:pt>
                <c:pt idx="17">
                  <c:v>2.4730300000000001</c:v>
                </c:pt>
                <c:pt idx="18">
                  <c:v>2.5188600000000001</c:v>
                </c:pt>
                <c:pt idx="19">
                  <c:v>2.5611499999999996</c:v>
                </c:pt>
                <c:pt idx="20">
                  <c:v>2.6013700000000002</c:v>
                </c:pt>
                <c:pt idx="21">
                  <c:v>2.6396700000000002</c:v>
                </c:pt>
                <c:pt idx="22">
                  <c:v>2.6759699999999995</c:v>
                </c:pt>
                <c:pt idx="23">
                  <c:v>2.71129</c:v>
                </c:pt>
                <c:pt idx="24">
                  <c:v>2.7455400000000001</c:v>
                </c:pt>
                <c:pt idx="25">
                  <c:v>2.7780399999999998</c:v>
                </c:pt>
                <c:pt idx="26">
                  <c:v>2.8100199999999997</c:v>
                </c:pt>
                <c:pt idx="27">
                  <c:v>2.8442499999999997</c:v>
                </c:pt>
                <c:pt idx="28">
                  <c:v>2.8784700000000001</c:v>
                </c:pt>
                <c:pt idx="29">
                  <c:v>2.9114</c:v>
                </c:pt>
                <c:pt idx="30">
                  <c:v>2.94265</c:v>
                </c:pt>
                <c:pt idx="31">
                  <c:v>2.9725200000000003</c:v>
                </c:pt>
                <c:pt idx="32">
                  <c:v>3.0026199999999998</c:v>
                </c:pt>
                <c:pt idx="33">
                  <c:v>3.0340600000000002</c:v>
                </c:pt>
                <c:pt idx="34">
                  <c:v>3.0659100000000001</c:v>
                </c:pt>
                <c:pt idx="35">
                  <c:v>3.0984499999999997</c:v>
                </c:pt>
                <c:pt idx="36">
                  <c:v>3.1299199999999998</c:v>
                </c:pt>
                <c:pt idx="37">
                  <c:v>3.1609500000000001</c:v>
                </c:pt>
                <c:pt idx="38">
                  <c:v>3.1913</c:v>
                </c:pt>
                <c:pt idx="39">
                  <c:v>3.2235499999999999</c:v>
                </c:pt>
                <c:pt idx="40">
                  <c:v>3.2578499999999999</c:v>
                </c:pt>
                <c:pt idx="41">
                  <c:v>3.2925399999999998</c:v>
                </c:pt>
                <c:pt idx="42">
                  <c:v>3.3288800000000003</c:v>
                </c:pt>
                <c:pt idx="43">
                  <c:v>3.3652100000000003</c:v>
                </c:pt>
                <c:pt idx="44">
                  <c:v>3.40368</c:v>
                </c:pt>
                <c:pt idx="45">
                  <c:v>3.44421</c:v>
                </c:pt>
                <c:pt idx="46">
                  <c:v>3.4854200000000004</c:v>
                </c:pt>
                <c:pt idx="47">
                  <c:v>3.5273599999999998</c:v>
                </c:pt>
                <c:pt idx="48">
                  <c:v>3.56765</c:v>
                </c:pt>
                <c:pt idx="49">
                  <c:v>3.6050700000000004</c:v>
                </c:pt>
                <c:pt idx="50">
                  <c:v>3.6337900000000003</c:v>
                </c:pt>
                <c:pt idx="51">
                  <c:v>3.67049</c:v>
                </c:pt>
                <c:pt idx="52">
                  <c:v>3.7053199999999995</c:v>
                </c:pt>
                <c:pt idx="53">
                  <c:v>3.7380200000000001</c:v>
                </c:pt>
                <c:pt idx="54">
                  <c:v>3.7647599999999999</c:v>
                </c:pt>
                <c:pt idx="55">
                  <c:v>3.7896600000000005</c:v>
                </c:pt>
                <c:pt idx="56">
                  <c:v>3.8113399999999995</c:v>
                </c:pt>
                <c:pt idx="57">
                  <c:v>3.8264300000000002</c:v>
                </c:pt>
                <c:pt idx="58">
                  <c:v>3.8379200000000004</c:v>
                </c:pt>
                <c:pt idx="59">
                  <c:v>3.84762</c:v>
                </c:pt>
                <c:pt idx="60">
                  <c:v>3.8528800000000003</c:v>
                </c:pt>
                <c:pt idx="61">
                  <c:v>3.8534800000000002</c:v>
                </c:pt>
                <c:pt idx="62">
                  <c:v>3.85073</c:v>
                </c:pt>
                <c:pt idx="63">
                  <c:v>3.8449299999999997</c:v>
                </c:pt>
                <c:pt idx="64">
                  <c:v>3.83439</c:v>
                </c:pt>
                <c:pt idx="65">
                  <c:v>3.8221699999999998</c:v>
                </c:pt>
                <c:pt idx="66">
                  <c:v>3.8088899999999999</c:v>
                </c:pt>
                <c:pt idx="67">
                  <c:v>3.7923299999999998</c:v>
                </c:pt>
                <c:pt idx="68">
                  <c:v>3.7719499999999999</c:v>
                </c:pt>
                <c:pt idx="69">
                  <c:v>3.7469400000000004</c:v>
                </c:pt>
                <c:pt idx="70">
                  <c:v>3.7191800000000002</c:v>
                </c:pt>
                <c:pt idx="71">
                  <c:v>3.6917899999999997</c:v>
                </c:pt>
                <c:pt idx="72">
                  <c:v>3.6655799999999998</c:v>
                </c:pt>
                <c:pt idx="73">
                  <c:v>3.6371700000000002</c:v>
                </c:pt>
                <c:pt idx="74">
                  <c:v>3.6084000000000001</c:v>
                </c:pt>
                <c:pt idx="75">
                  <c:v>3.5742200000000004</c:v>
                </c:pt>
                <c:pt idx="76">
                  <c:v>3.5458499999999997</c:v>
                </c:pt>
                <c:pt idx="77">
                  <c:v>3.51952</c:v>
                </c:pt>
                <c:pt idx="78">
                  <c:v>3.4985599999999999</c:v>
                </c:pt>
                <c:pt idx="79">
                  <c:v>3.4843500000000001</c:v>
                </c:pt>
                <c:pt idx="80">
                  <c:v>3.4733299999999998</c:v>
                </c:pt>
                <c:pt idx="81">
                  <c:v>3.4638</c:v>
                </c:pt>
                <c:pt idx="82">
                  <c:v>3.4549699999999999</c:v>
                </c:pt>
                <c:pt idx="83">
                  <c:v>3.4454200000000004</c:v>
                </c:pt>
                <c:pt idx="84">
                  <c:v>3.4347799999999999</c:v>
                </c:pt>
                <c:pt idx="85">
                  <c:v>3.4252500000000001</c:v>
                </c:pt>
                <c:pt idx="86">
                  <c:v>3.4193099999999998</c:v>
                </c:pt>
                <c:pt idx="87">
                  <c:v>3.4159299999999999</c:v>
                </c:pt>
                <c:pt idx="88">
                  <c:v>3.4168799999999999</c:v>
                </c:pt>
                <c:pt idx="89">
                  <c:v>3.4179599999999999</c:v>
                </c:pt>
                <c:pt idx="90">
                  <c:v>3.4183599999999998</c:v>
                </c:pt>
                <c:pt idx="91">
                  <c:v>3.4200599999999999</c:v>
                </c:pt>
                <c:pt idx="92">
                  <c:v>3.4238400000000002</c:v>
                </c:pt>
                <c:pt idx="93">
                  <c:v>3.4325000000000001</c:v>
                </c:pt>
                <c:pt idx="94">
                  <c:v>3.4432700000000001</c:v>
                </c:pt>
                <c:pt idx="95">
                  <c:v>3.4539799999999996</c:v>
                </c:pt>
                <c:pt idx="96">
                  <c:v>3.4644999999999997</c:v>
                </c:pt>
                <c:pt idx="97">
                  <c:v>3.4756499999999999</c:v>
                </c:pt>
                <c:pt idx="98">
                  <c:v>3.4897800000000001</c:v>
                </c:pt>
                <c:pt idx="99">
                  <c:v>3.5050999999999997</c:v>
                </c:pt>
                <c:pt idx="100">
                  <c:v>3.5194799999999997</c:v>
                </c:pt>
                <c:pt idx="101">
                  <c:v>3.53348</c:v>
                </c:pt>
                <c:pt idx="102">
                  <c:v>3.5472700000000001</c:v>
                </c:pt>
                <c:pt idx="103">
                  <c:v>3.5569299999999999</c:v>
                </c:pt>
                <c:pt idx="104">
                  <c:v>3.5641699999999998</c:v>
                </c:pt>
                <c:pt idx="105">
                  <c:v>3.5710299999999999</c:v>
                </c:pt>
                <c:pt idx="106">
                  <c:v>3.5769000000000002</c:v>
                </c:pt>
                <c:pt idx="107">
                  <c:v>3.58609</c:v>
                </c:pt>
                <c:pt idx="108">
                  <c:v>3.5962399999999999</c:v>
                </c:pt>
                <c:pt idx="109">
                  <c:v>3.60839</c:v>
                </c:pt>
                <c:pt idx="110">
                  <c:v>3.6217999999999999</c:v>
                </c:pt>
                <c:pt idx="111">
                  <c:v>3.6351399999999998</c:v>
                </c:pt>
                <c:pt idx="112">
                  <c:v>3.64907</c:v>
                </c:pt>
                <c:pt idx="113">
                  <c:v>3.6605700000000003</c:v>
                </c:pt>
                <c:pt idx="114">
                  <c:v>3.6705800000000002</c:v>
                </c:pt>
                <c:pt idx="115">
                  <c:v>3.67909</c:v>
                </c:pt>
                <c:pt idx="116">
                  <c:v>3.6874899999999999</c:v>
                </c:pt>
                <c:pt idx="117">
                  <c:v>3.6979099999999998</c:v>
                </c:pt>
                <c:pt idx="118">
                  <c:v>3.7092000000000001</c:v>
                </c:pt>
                <c:pt idx="119">
                  <c:v>3.7189000000000001</c:v>
                </c:pt>
                <c:pt idx="120">
                  <c:v>3.72818</c:v>
                </c:pt>
                <c:pt idx="121">
                  <c:v>3.7379600000000002</c:v>
                </c:pt>
                <c:pt idx="122">
                  <c:v>3.7497799999999999</c:v>
                </c:pt>
                <c:pt idx="123">
                  <c:v>3.7610700000000001</c:v>
                </c:pt>
                <c:pt idx="124">
                  <c:v>3.7670399999999997</c:v>
                </c:pt>
                <c:pt idx="125">
                  <c:v>3.77468</c:v>
                </c:pt>
                <c:pt idx="126">
                  <c:v>3.7841399999999998</c:v>
                </c:pt>
                <c:pt idx="127">
                  <c:v>3.7928600000000001</c:v>
                </c:pt>
                <c:pt idx="128">
                  <c:v>3.8040500000000002</c:v>
                </c:pt>
                <c:pt idx="129">
                  <c:v>3.8148200000000001</c:v>
                </c:pt>
                <c:pt idx="130">
                  <c:v>3.8248100000000003</c:v>
                </c:pt>
                <c:pt idx="131">
                  <c:v>3.8338800000000002</c:v>
                </c:pt>
                <c:pt idx="132">
                  <c:v>3.84002</c:v>
                </c:pt>
                <c:pt idx="133">
                  <c:v>3.8459700000000003</c:v>
                </c:pt>
                <c:pt idx="134">
                  <c:v>3.8514399999999998</c:v>
                </c:pt>
                <c:pt idx="135">
                  <c:v>3.8562999999999996</c:v>
                </c:pt>
                <c:pt idx="136">
                  <c:v>3.8610699999999998</c:v>
                </c:pt>
                <c:pt idx="137">
                  <c:v>3.8610499999999996</c:v>
                </c:pt>
                <c:pt idx="138">
                  <c:v>3.8610299999999995</c:v>
                </c:pt>
                <c:pt idx="139">
                  <c:v>3.8649499999999999</c:v>
                </c:pt>
                <c:pt idx="140">
                  <c:v>3.8735599999999999</c:v>
                </c:pt>
                <c:pt idx="141">
                  <c:v>3.88388</c:v>
                </c:pt>
                <c:pt idx="142">
                  <c:v>3.8876300000000001</c:v>
                </c:pt>
                <c:pt idx="143">
                  <c:v>3.8860800000000002</c:v>
                </c:pt>
                <c:pt idx="144">
                  <c:v>3.8868999999999998</c:v>
                </c:pt>
                <c:pt idx="145">
                  <c:v>3.8982200000000002</c:v>
                </c:pt>
                <c:pt idx="146">
                  <c:v>3.9155699999999998</c:v>
                </c:pt>
                <c:pt idx="147">
                  <c:v>3.9000400000000002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64.884900000000002</c:v>
                </c:pt>
                <c:pt idx="1">
                  <c:v>63.898900000000005</c:v>
                </c:pt>
                <c:pt idx="2">
                  <c:v>63.070099999999996</c:v>
                </c:pt>
                <c:pt idx="3">
                  <c:v>62.266800000000003</c:v>
                </c:pt>
                <c:pt idx="4">
                  <c:v>61.2742</c:v>
                </c:pt>
                <c:pt idx="5">
                  <c:v>60.196199999999997</c:v>
                </c:pt>
                <c:pt idx="6">
                  <c:v>58.972100000000005</c:v>
                </c:pt>
                <c:pt idx="7">
                  <c:v>57.654399999999995</c:v>
                </c:pt>
                <c:pt idx="8">
                  <c:v>56.394599999999997</c:v>
                </c:pt>
                <c:pt idx="9">
                  <c:v>55.174599999999998</c:v>
                </c:pt>
                <c:pt idx="10">
                  <c:v>53.904200000000003</c:v>
                </c:pt>
                <c:pt idx="11">
                  <c:v>52.659100000000002</c:v>
                </c:pt>
                <c:pt idx="12">
                  <c:v>51.501100000000001</c:v>
                </c:pt>
                <c:pt idx="13">
                  <c:v>50.366500000000002</c:v>
                </c:pt>
                <c:pt idx="14">
                  <c:v>49.174500000000002</c:v>
                </c:pt>
                <c:pt idx="15">
                  <c:v>48.065300000000001</c:v>
                </c:pt>
                <c:pt idx="16">
                  <c:v>46.9876</c:v>
                </c:pt>
                <c:pt idx="17">
                  <c:v>45.959200000000003</c:v>
                </c:pt>
                <c:pt idx="18">
                  <c:v>45.0045</c:v>
                </c:pt>
                <c:pt idx="19">
                  <c:v>44.213000000000001</c:v>
                </c:pt>
                <c:pt idx="20">
                  <c:v>43.590299999999999</c:v>
                </c:pt>
                <c:pt idx="21">
                  <c:v>43.0779</c:v>
                </c:pt>
                <c:pt idx="22">
                  <c:v>42.719000000000001</c:v>
                </c:pt>
                <c:pt idx="23">
                  <c:v>42.378599999999999</c:v>
                </c:pt>
                <c:pt idx="24">
                  <c:v>41.992800000000003</c:v>
                </c:pt>
                <c:pt idx="25">
                  <c:v>41.598199999999999</c:v>
                </c:pt>
                <c:pt idx="26">
                  <c:v>41.232700000000001</c:v>
                </c:pt>
                <c:pt idx="27">
                  <c:v>40.883000000000003</c:v>
                </c:pt>
                <c:pt idx="28">
                  <c:v>40.579900000000002</c:v>
                </c:pt>
                <c:pt idx="29">
                  <c:v>40.2517</c:v>
                </c:pt>
                <c:pt idx="30">
                  <c:v>39.922400000000003</c:v>
                </c:pt>
                <c:pt idx="31">
                  <c:v>39.580100000000002</c:v>
                </c:pt>
                <c:pt idx="32">
                  <c:v>39.164700000000003</c:v>
                </c:pt>
                <c:pt idx="33">
                  <c:v>38.793199999999999</c:v>
                </c:pt>
                <c:pt idx="34">
                  <c:v>38.451800000000006</c:v>
                </c:pt>
                <c:pt idx="35">
                  <c:v>38.113599999999998</c:v>
                </c:pt>
                <c:pt idx="36">
                  <c:v>37.826300000000003</c:v>
                </c:pt>
                <c:pt idx="37">
                  <c:v>37.563600000000001</c:v>
                </c:pt>
                <c:pt idx="38">
                  <c:v>37.336100000000002</c:v>
                </c:pt>
                <c:pt idx="39">
                  <c:v>37.079599999999999</c:v>
                </c:pt>
                <c:pt idx="40">
                  <c:v>36.815100000000001</c:v>
                </c:pt>
                <c:pt idx="41">
                  <c:v>36.594000000000001</c:v>
                </c:pt>
                <c:pt idx="42">
                  <c:v>36.370999999999995</c:v>
                </c:pt>
                <c:pt idx="43">
                  <c:v>36.126000000000005</c:v>
                </c:pt>
                <c:pt idx="44">
                  <c:v>35.786799999999999</c:v>
                </c:pt>
                <c:pt idx="45">
                  <c:v>35.378900000000002</c:v>
                </c:pt>
                <c:pt idx="46">
                  <c:v>34.979700000000001</c:v>
                </c:pt>
                <c:pt idx="47">
                  <c:v>34.563400000000001</c:v>
                </c:pt>
                <c:pt idx="48">
                  <c:v>34.141300000000001</c:v>
                </c:pt>
                <c:pt idx="49">
                  <c:v>33.810400000000001</c:v>
                </c:pt>
                <c:pt idx="50">
                  <c:v>33.6678</c:v>
                </c:pt>
                <c:pt idx="51">
                  <c:v>33.399099999999997</c:v>
                </c:pt>
                <c:pt idx="52">
                  <c:v>33.087000000000003</c:v>
                </c:pt>
                <c:pt idx="53">
                  <c:v>32.826000000000001</c:v>
                </c:pt>
                <c:pt idx="54">
                  <c:v>32.606999999999999</c:v>
                </c:pt>
                <c:pt idx="55">
                  <c:v>32.441900000000004</c:v>
                </c:pt>
                <c:pt idx="56">
                  <c:v>32.360299999999995</c:v>
                </c:pt>
                <c:pt idx="57">
                  <c:v>32.450099999999999</c:v>
                </c:pt>
                <c:pt idx="58">
                  <c:v>32.506299999999996</c:v>
                </c:pt>
                <c:pt idx="59">
                  <c:v>32.580300000000001</c:v>
                </c:pt>
                <c:pt idx="60">
                  <c:v>32.696599999999997</c:v>
                </c:pt>
                <c:pt idx="61">
                  <c:v>32.856900000000003</c:v>
                </c:pt>
                <c:pt idx="62">
                  <c:v>33.024300000000004</c:v>
                </c:pt>
                <c:pt idx="63">
                  <c:v>33.250600000000006</c:v>
                </c:pt>
                <c:pt idx="64">
                  <c:v>33.491900000000001</c:v>
                </c:pt>
                <c:pt idx="65">
                  <c:v>33.748899999999999</c:v>
                </c:pt>
                <c:pt idx="66">
                  <c:v>34.072000000000003</c:v>
                </c:pt>
                <c:pt idx="67">
                  <c:v>34.426499999999997</c:v>
                </c:pt>
                <c:pt idx="68">
                  <c:v>34.822800000000001</c:v>
                </c:pt>
                <c:pt idx="69">
                  <c:v>35.256399999999999</c:v>
                </c:pt>
                <c:pt idx="70">
                  <c:v>35.717500000000001</c:v>
                </c:pt>
                <c:pt idx="71">
                  <c:v>36.212200000000003</c:v>
                </c:pt>
                <c:pt idx="72">
                  <c:v>36.737400000000001</c:v>
                </c:pt>
                <c:pt idx="73">
                  <c:v>37.2652</c:v>
                </c:pt>
                <c:pt idx="74">
                  <c:v>37.767499999999998</c:v>
                </c:pt>
                <c:pt idx="75">
                  <c:v>38.269100000000002</c:v>
                </c:pt>
                <c:pt idx="76">
                  <c:v>38.771899999999995</c:v>
                </c:pt>
                <c:pt idx="77">
                  <c:v>39.272300000000001</c:v>
                </c:pt>
                <c:pt idx="78">
                  <c:v>39.678699999999999</c:v>
                </c:pt>
                <c:pt idx="79">
                  <c:v>40.039499999999997</c:v>
                </c:pt>
                <c:pt idx="80">
                  <c:v>40.3703</c:v>
                </c:pt>
                <c:pt idx="81">
                  <c:v>40.608800000000002</c:v>
                </c:pt>
                <c:pt idx="82">
                  <c:v>40.842299999999994</c:v>
                </c:pt>
                <c:pt idx="83">
                  <c:v>41.097499999999997</c:v>
                </c:pt>
                <c:pt idx="84">
                  <c:v>41.328900000000004</c:v>
                </c:pt>
                <c:pt idx="85">
                  <c:v>41.5002</c:v>
                </c:pt>
                <c:pt idx="86">
                  <c:v>41.613</c:v>
                </c:pt>
                <c:pt idx="87">
                  <c:v>41.654499999999999</c:v>
                </c:pt>
                <c:pt idx="88">
                  <c:v>41.629599999999996</c:v>
                </c:pt>
                <c:pt idx="89">
                  <c:v>41.653199999999998</c:v>
                </c:pt>
                <c:pt idx="90">
                  <c:v>41.672799999999995</c:v>
                </c:pt>
                <c:pt idx="91">
                  <c:v>41.623800000000003</c:v>
                </c:pt>
                <c:pt idx="92">
                  <c:v>41.58</c:v>
                </c:pt>
                <c:pt idx="93">
                  <c:v>41.505499999999998</c:v>
                </c:pt>
                <c:pt idx="94">
                  <c:v>41.471999999999994</c:v>
                </c:pt>
                <c:pt idx="95">
                  <c:v>41.489699999999999</c:v>
                </c:pt>
                <c:pt idx="96">
                  <c:v>41.538399999999996</c:v>
                </c:pt>
                <c:pt idx="97">
                  <c:v>41.5989</c:v>
                </c:pt>
                <c:pt idx="98">
                  <c:v>41.6999</c:v>
                </c:pt>
                <c:pt idx="99">
                  <c:v>41.798099999999998</c:v>
                </c:pt>
                <c:pt idx="100">
                  <c:v>41.950700000000005</c:v>
                </c:pt>
                <c:pt idx="101">
                  <c:v>42.181699999999999</c:v>
                </c:pt>
                <c:pt idx="102">
                  <c:v>42.431200000000004</c:v>
                </c:pt>
                <c:pt idx="103">
                  <c:v>42.716200000000001</c:v>
                </c:pt>
                <c:pt idx="104">
                  <c:v>42.896099999999997</c:v>
                </c:pt>
                <c:pt idx="105">
                  <c:v>42.9925</c:v>
                </c:pt>
                <c:pt idx="106">
                  <c:v>43.0229</c:v>
                </c:pt>
                <c:pt idx="107">
                  <c:v>42.942500000000003</c:v>
                </c:pt>
                <c:pt idx="108">
                  <c:v>42.810700000000004</c:v>
                </c:pt>
                <c:pt idx="109">
                  <c:v>42.638300000000001</c:v>
                </c:pt>
                <c:pt idx="110">
                  <c:v>42.464500000000001</c:v>
                </c:pt>
                <c:pt idx="111">
                  <c:v>42.268899999999995</c:v>
                </c:pt>
                <c:pt idx="112">
                  <c:v>42.039700000000003</c:v>
                </c:pt>
                <c:pt idx="113">
                  <c:v>41.797899999999998</c:v>
                </c:pt>
                <c:pt idx="114">
                  <c:v>41.587499999999999</c:v>
                </c:pt>
                <c:pt idx="115">
                  <c:v>41.417300000000004</c:v>
                </c:pt>
                <c:pt idx="116">
                  <c:v>41.288399999999996</c:v>
                </c:pt>
                <c:pt idx="117">
                  <c:v>41.131900000000002</c:v>
                </c:pt>
                <c:pt idx="118">
                  <c:v>40.917900000000003</c:v>
                </c:pt>
                <c:pt idx="119">
                  <c:v>40.691899999999997</c:v>
                </c:pt>
                <c:pt idx="120">
                  <c:v>40.489199999999997</c:v>
                </c:pt>
                <c:pt idx="121">
                  <c:v>40.3264</c:v>
                </c:pt>
                <c:pt idx="122">
                  <c:v>40.1907</c:v>
                </c:pt>
                <c:pt idx="123">
                  <c:v>40.121099999999998</c:v>
                </c:pt>
                <c:pt idx="124">
                  <c:v>39.989000000000004</c:v>
                </c:pt>
                <c:pt idx="125">
                  <c:v>39.832299999999996</c:v>
                </c:pt>
                <c:pt idx="126">
                  <c:v>39.652100000000004</c:v>
                </c:pt>
                <c:pt idx="127">
                  <c:v>39.453800000000001</c:v>
                </c:pt>
                <c:pt idx="128">
                  <c:v>39.259500000000003</c:v>
                </c:pt>
                <c:pt idx="129">
                  <c:v>39.095600000000005</c:v>
                </c:pt>
                <c:pt idx="130">
                  <c:v>38.987300000000005</c:v>
                </c:pt>
                <c:pt idx="131">
                  <c:v>38.909300000000002</c:v>
                </c:pt>
                <c:pt idx="132">
                  <c:v>38.844999999999999</c:v>
                </c:pt>
                <c:pt idx="133">
                  <c:v>38.828699999999998</c:v>
                </c:pt>
                <c:pt idx="134">
                  <c:v>38.870599999999996</c:v>
                </c:pt>
                <c:pt idx="135">
                  <c:v>38.904200000000003</c:v>
                </c:pt>
                <c:pt idx="136">
                  <c:v>38.968799999999995</c:v>
                </c:pt>
                <c:pt idx="137">
                  <c:v>39.1265</c:v>
                </c:pt>
                <c:pt idx="138">
                  <c:v>39.3371</c:v>
                </c:pt>
                <c:pt idx="139">
                  <c:v>39.538499999999999</c:v>
                </c:pt>
                <c:pt idx="140">
                  <c:v>39.7117</c:v>
                </c:pt>
                <c:pt idx="141">
                  <c:v>39.865299999999998</c:v>
                </c:pt>
                <c:pt idx="142">
                  <c:v>40.007599999999996</c:v>
                </c:pt>
                <c:pt idx="143">
                  <c:v>40.35</c:v>
                </c:pt>
                <c:pt idx="144">
                  <c:v>40.820099999999996</c:v>
                </c:pt>
                <c:pt idx="145">
                  <c:v>41.326099999999997</c:v>
                </c:pt>
                <c:pt idx="146">
                  <c:v>41.842199999999998</c:v>
                </c:pt>
                <c:pt idx="147">
                  <c:v>42.598599999999998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1.5526300000000002</c:v>
                </c:pt>
                <c:pt idx="1">
                  <c:v>1.6034799999999998</c:v>
                </c:pt>
                <c:pt idx="2">
                  <c:v>1.65211</c:v>
                </c:pt>
                <c:pt idx="3">
                  <c:v>1.6998599999999999</c:v>
                </c:pt>
                <c:pt idx="4">
                  <c:v>1.7510700000000001</c:v>
                </c:pt>
                <c:pt idx="5">
                  <c:v>1.8045</c:v>
                </c:pt>
                <c:pt idx="6">
                  <c:v>1.86365</c:v>
                </c:pt>
                <c:pt idx="7">
                  <c:v>1.9264600000000001</c:v>
                </c:pt>
                <c:pt idx="8">
                  <c:v>1.98617</c:v>
                </c:pt>
                <c:pt idx="9">
                  <c:v>2.0432600000000001</c:v>
                </c:pt>
                <c:pt idx="10">
                  <c:v>2.1009700000000002</c:v>
                </c:pt>
                <c:pt idx="11">
                  <c:v>2.1585999999999999</c:v>
                </c:pt>
                <c:pt idx="12">
                  <c:v>2.2147399999999999</c:v>
                </c:pt>
                <c:pt idx="13">
                  <c:v>2.2693599999999998</c:v>
                </c:pt>
                <c:pt idx="14">
                  <c:v>2.3231199999999999</c:v>
                </c:pt>
                <c:pt idx="15">
                  <c:v>2.3752599999999999</c:v>
                </c:pt>
                <c:pt idx="16">
                  <c:v>2.4251800000000001</c:v>
                </c:pt>
                <c:pt idx="17">
                  <c:v>2.4730300000000001</c:v>
                </c:pt>
                <c:pt idx="18">
                  <c:v>2.5188600000000001</c:v>
                </c:pt>
                <c:pt idx="19">
                  <c:v>2.5611499999999996</c:v>
                </c:pt>
                <c:pt idx="20">
                  <c:v>2.6013700000000002</c:v>
                </c:pt>
                <c:pt idx="21">
                  <c:v>2.6396700000000002</c:v>
                </c:pt>
                <c:pt idx="22">
                  <c:v>2.6759699999999995</c:v>
                </c:pt>
                <c:pt idx="23">
                  <c:v>2.71129</c:v>
                </c:pt>
                <c:pt idx="24">
                  <c:v>2.7455400000000001</c:v>
                </c:pt>
                <c:pt idx="25">
                  <c:v>2.7780399999999998</c:v>
                </c:pt>
                <c:pt idx="26">
                  <c:v>2.8100199999999997</c:v>
                </c:pt>
                <c:pt idx="27">
                  <c:v>2.8442499999999997</c:v>
                </c:pt>
                <c:pt idx="28">
                  <c:v>2.8784700000000001</c:v>
                </c:pt>
                <c:pt idx="29">
                  <c:v>2.9114</c:v>
                </c:pt>
                <c:pt idx="30">
                  <c:v>2.94265</c:v>
                </c:pt>
                <c:pt idx="31">
                  <c:v>2.9725200000000003</c:v>
                </c:pt>
                <c:pt idx="32">
                  <c:v>3.0026199999999998</c:v>
                </c:pt>
                <c:pt idx="33">
                  <c:v>3.0340600000000002</c:v>
                </c:pt>
                <c:pt idx="34">
                  <c:v>3.0659100000000001</c:v>
                </c:pt>
                <c:pt idx="35">
                  <c:v>3.0984499999999997</c:v>
                </c:pt>
                <c:pt idx="36">
                  <c:v>3.1299199999999998</c:v>
                </c:pt>
                <c:pt idx="37">
                  <c:v>3.1609500000000001</c:v>
                </c:pt>
                <c:pt idx="38">
                  <c:v>3.1913</c:v>
                </c:pt>
                <c:pt idx="39">
                  <c:v>3.2235499999999999</c:v>
                </c:pt>
                <c:pt idx="40">
                  <c:v>3.2578499999999999</c:v>
                </c:pt>
                <c:pt idx="41">
                  <c:v>3.2925399999999998</c:v>
                </c:pt>
                <c:pt idx="42">
                  <c:v>3.3288800000000003</c:v>
                </c:pt>
                <c:pt idx="43">
                  <c:v>3.3652100000000003</c:v>
                </c:pt>
                <c:pt idx="44">
                  <c:v>3.40368</c:v>
                </c:pt>
                <c:pt idx="45">
                  <c:v>3.44421</c:v>
                </c:pt>
                <c:pt idx="46">
                  <c:v>3.4854200000000004</c:v>
                </c:pt>
                <c:pt idx="47">
                  <c:v>3.5273599999999998</c:v>
                </c:pt>
                <c:pt idx="48">
                  <c:v>3.56765</c:v>
                </c:pt>
                <c:pt idx="49">
                  <c:v>3.6050700000000004</c:v>
                </c:pt>
                <c:pt idx="50">
                  <c:v>3.6337900000000003</c:v>
                </c:pt>
                <c:pt idx="51">
                  <c:v>3.67049</c:v>
                </c:pt>
                <c:pt idx="52">
                  <c:v>3.7053199999999995</c:v>
                </c:pt>
                <c:pt idx="53">
                  <c:v>3.7380200000000001</c:v>
                </c:pt>
                <c:pt idx="54">
                  <c:v>3.7647599999999999</c:v>
                </c:pt>
                <c:pt idx="55">
                  <c:v>3.7896600000000005</c:v>
                </c:pt>
                <c:pt idx="56">
                  <c:v>3.8113399999999995</c:v>
                </c:pt>
                <c:pt idx="57">
                  <c:v>3.8264300000000002</c:v>
                </c:pt>
                <c:pt idx="58">
                  <c:v>3.8379200000000004</c:v>
                </c:pt>
                <c:pt idx="59">
                  <c:v>3.84762</c:v>
                </c:pt>
                <c:pt idx="60">
                  <c:v>3.8528800000000003</c:v>
                </c:pt>
                <c:pt idx="61">
                  <c:v>3.8534800000000002</c:v>
                </c:pt>
                <c:pt idx="62">
                  <c:v>3.85073</c:v>
                </c:pt>
                <c:pt idx="63">
                  <c:v>3.8449299999999997</c:v>
                </c:pt>
                <c:pt idx="64">
                  <c:v>3.83439</c:v>
                </c:pt>
                <c:pt idx="65">
                  <c:v>3.8221699999999998</c:v>
                </c:pt>
                <c:pt idx="66">
                  <c:v>3.8088899999999999</c:v>
                </c:pt>
                <c:pt idx="67">
                  <c:v>3.7923299999999998</c:v>
                </c:pt>
                <c:pt idx="68">
                  <c:v>3.7719499999999999</c:v>
                </c:pt>
                <c:pt idx="69">
                  <c:v>3.7469400000000004</c:v>
                </c:pt>
                <c:pt idx="70">
                  <c:v>3.7191800000000002</c:v>
                </c:pt>
                <c:pt idx="71">
                  <c:v>3.6917899999999997</c:v>
                </c:pt>
                <c:pt idx="72">
                  <c:v>3.6655799999999998</c:v>
                </c:pt>
                <c:pt idx="73">
                  <c:v>3.6371700000000002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64.884900000000002</c:v>
                </c:pt>
                <c:pt idx="1">
                  <c:v>63.898900000000005</c:v>
                </c:pt>
                <c:pt idx="2">
                  <c:v>63.070099999999996</c:v>
                </c:pt>
                <c:pt idx="3">
                  <c:v>62.266800000000003</c:v>
                </c:pt>
                <c:pt idx="4">
                  <c:v>61.2742</c:v>
                </c:pt>
                <c:pt idx="5">
                  <c:v>60.196199999999997</c:v>
                </c:pt>
                <c:pt idx="6">
                  <c:v>58.972100000000005</c:v>
                </c:pt>
                <c:pt idx="7">
                  <c:v>57.654399999999995</c:v>
                </c:pt>
                <c:pt idx="8">
                  <c:v>56.394599999999997</c:v>
                </c:pt>
                <c:pt idx="9">
                  <c:v>55.174599999999998</c:v>
                </c:pt>
                <c:pt idx="10">
                  <c:v>53.904200000000003</c:v>
                </c:pt>
                <c:pt idx="11">
                  <c:v>52.659100000000002</c:v>
                </c:pt>
                <c:pt idx="12">
                  <c:v>51.501100000000001</c:v>
                </c:pt>
                <c:pt idx="13">
                  <c:v>50.366500000000002</c:v>
                </c:pt>
                <c:pt idx="14">
                  <c:v>49.174500000000002</c:v>
                </c:pt>
                <c:pt idx="15">
                  <c:v>48.065300000000001</c:v>
                </c:pt>
                <c:pt idx="16">
                  <c:v>46.9876</c:v>
                </c:pt>
                <c:pt idx="17">
                  <c:v>45.959200000000003</c:v>
                </c:pt>
                <c:pt idx="18">
                  <c:v>45.0045</c:v>
                </c:pt>
                <c:pt idx="19">
                  <c:v>44.213000000000001</c:v>
                </c:pt>
                <c:pt idx="20">
                  <c:v>43.590299999999999</c:v>
                </c:pt>
                <c:pt idx="21">
                  <c:v>43.0779</c:v>
                </c:pt>
                <c:pt idx="22">
                  <c:v>42.719000000000001</c:v>
                </c:pt>
                <c:pt idx="23">
                  <c:v>42.378599999999999</c:v>
                </c:pt>
                <c:pt idx="24">
                  <c:v>41.992800000000003</c:v>
                </c:pt>
                <c:pt idx="25">
                  <c:v>41.598199999999999</c:v>
                </c:pt>
                <c:pt idx="26">
                  <c:v>41.232700000000001</c:v>
                </c:pt>
                <c:pt idx="27">
                  <c:v>40.883000000000003</c:v>
                </c:pt>
                <c:pt idx="28">
                  <c:v>40.579900000000002</c:v>
                </c:pt>
                <c:pt idx="29">
                  <c:v>40.2517</c:v>
                </c:pt>
                <c:pt idx="30">
                  <c:v>39.922400000000003</c:v>
                </c:pt>
                <c:pt idx="31">
                  <c:v>39.580100000000002</c:v>
                </c:pt>
                <c:pt idx="32">
                  <c:v>39.164700000000003</c:v>
                </c:pt>
                <c:pt idx="33">
                  <c:v>38.793199999999999</c:v>
                </c:pt>
                <c:pt idx="34">
                  <c:v>38.451800000000006</c:v>
                </c:pt>
                <c:pt idx="35">
                  <c:v>38.113599999999998</c:v>
                </c:pt>
                <c:pt idx="36">
                  <c:v>37.826300000000003</c:v>
                </c:pt>
                <c:pt idx="37">
                  <c:v>37.563600000000001</c:v>
                </c:pt>
                <c:pt idx="38">
                  <c:v>37.336100000000002</c:v>
                </c:pt>
                <c:pt idx="39">
                  <c:v>37.079599999999999</c:v>
                </c:pt>
                <c:pt idx="40">
                  <c:v>36.815100000000001</c:v>
                </c:pt>
                <c:pt idx="41">
                  <c:v>36.594000000000001</c:v>
                </c:pt>
                <c:pt idx="42">
                  <c:v>36.370999999999995</c:v>
                </c:pt>
                <c:pt idx="43">
                  <c:v>36.126000000000005</c:v>
                </c:pt>
                <c:pt idx="44">
                  <c:v>35.786799999999999</c:v>
                </c:pt>
                <c:pt idx="45">
                  <c:v>35.378900000000002</c:v>
                </c:pt>
                <c:pt idx="46">
                  <c:v>34.979700000000001</c:v>
                </c:pt>
                <c:pt idx="47">
                  <c:v>34.563400000000001</c:v>
                </c:pt>
                <c:pt idx="48">
                  <c:v>34.141300000000001</c:v>
                </c:pt>
                <c:pt idx="49">
                  <c:v>33.810400000000001</c:v>
                </c:pt>
                <c:pt idx="50">
                  <c:v>33.6678</c:v>
                </c:pt>
                <c:pt idx="51">
                  <c:v>33.399099999999997</c:v>
                </c:pt>
                <c:pt idx="52">
                  <c:v>33.087000000000003</c:v>
                </c:pt>
                <c:pt idx="53">
                  <c:v>32.826000000000001</c:v>
                </c:pt>
                <c:pt idx="54">
                  <c:v>32.606999999999999</c:v>
                </c:pt>
                <c:pt idx="55">
                  <c:v>32.441900000000004</c:v>
                </c:pt>
                <c:pt idx="56">
                  <c:v>32.360299999999995</c:v>
                </c:pt>
                <c:pt idx="57">
                  <c:v>32.450099999999999</c:v>
                </c:pt>
                <c:pt idx="58">
                  <c:v>32.506299999999996</c:v>
                </c:pt>
                <c:pt idx="59">
                  <c:v>32.580300000000001</c:v>
                </c:pt>
                <c:pt idx="60">
                  <c:v>32.696599999999997</c:v>
                </c:pt>
                <c:pt idx="61">
                  <c:v>32.856900000000003</c:v>
                </c:pt>
                <c:pt idx="62">
                  <c:v>33.024300000000004</c:v>
                </c:pt>
                <c:pt idx="63">
                  <c:v>33.250600000000006</c:v>
                </c:pt>
                <c:pt idx="64">
                  <c:v>33.491900000000001</c:v>
                </c:pt>
                <c:pt idx="65">
                  <c:v>33.748899999999999</c:v>
                </c:pt>
                <c:pt idx="66">
                  <c:v>34.072000000000003</c:v>
                </c:pt>
                <c:pt idx="67">
                  <c:v>34.426499999999997</c:v>
                </c:pt>
                <c:pt idx="68">
                  <c:v>34.822800000000001</c:v>
                </c:pt>
                <c:pt idx="69">
                  <c:v>35.256399999999999</c:v>
                </c:pt>
                <c:pt idx="70">
                  <c:v>35.717500000000001</c:v>
                </c:pt>
                <c:pt idx="71">
                  <c:v>36.212200000000003</c:v>
                </c:pt>
                <c:pt idx="72">
                  <c:v>36.737400000000001</c:v>
                </c:pt>
                <c:pt idx="73">
                  <c:v>37.2652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3.6371700000000002</c:v>
                </c:pt>
                <c:pt idx="1">
                  <c:v>3.6084000000000001</c:v>
                </c:pt>
                <c:pt idx="2">
                  <c:v>3.5742200000000004</c:v>
                </c:pt>
                <c:pt idx="3">
                  <c:v>3.5458499999999997</c:v>
                </c:pt>
                <c:pt idx="4">
                  <c:v>3.51952</c:v>
                </c:pt>
                <c:pt idx="5">
                  <c:v>3.4985599999999999</c:v>
                </c:pt>
                <c:pt idx="6">
                  <c:v>3.4843500000000001</c:v>
                </c:pt>
                <c:pt idx="7">
                  <c:v>3.4733299999999998</c:v>
                </c:pt>
                <c:pt idx="8">
                  <c:v>3.4638</c:v>
                </c:pt>
                <c:pt idx="9">
                  <c:v>3.4549699999999999</c:v>
                </c:pt>
                <c:pt idx="10">
                  <c:v>3.4454200000000004</c:v>
                </c:pt>
                <c:pt idx="11">
                  <c:v>3.4347799999999999</c:v>
                </c:pt>
                <c:pt idx="12">
                  <c:v>3.4252500000000001</c:v>
                </c:pt>
                <c:pt idx="13">
                  <c:v>3.4193099999999998</c:v>
                </c:pt>
                <c:pt idx="14">
                  <c:v>3.4159299999999999</c:v>
                </c:pt>
                <c:pt idx="15">
                  <c:v>3.4168799999999999</c:v>
                </c:pt>
                <c:pt idx="16">
                  <c:v>3.4179599999999999</c:v>
                </c:pt>
                <c:pt idx="17">
                  <c:v>3.4183599999999998</c:v>
                </c:pt>
                <c:pt idx="18">
                  <c:v>3.4200599999999999</c:v>
                </c:pt>
                <c:pt idx="19">
                  <c:v>3.4238400000000002</c:v>
                </c:pt>
                <c:pt idx="20">
                  <c:v>3.4325000000000001</c:v>
                </c:pt>
                <c:pt idx="21">
                  <c:v>3.4432700000000001</c:v>
                </c:pt>
                <c:pt idx="22">
                  <c:v>3.4539799999999996</c:v>
                </c:pt>
                <c:pt idx="23">
                  <c:v>3.4644999999999997</c:v>
                </c:pt>
                <c:pt idx="24">
                  <c:v>3.4756499999999999</c:v>
                </c:pt>
                <c:pt idx="25">
                  <c:v>3.4897800000000001</c:v>
                </c:pt>
                <c:pt idx="26">
                  <c:v>3.5050999999999997</c:v>
                </c:pt>
                <c:pt idx="27">
                  <c:v>3.5194799999999997</c:v>
                </c:pt>
                <c:pt idx="28">
                  <c:v>3.53348</c:v>
                </c:pt>
                <c:pt idx="29">
                  <c:v>3.5472700000000001</c:v>
                </c:pt>
                <c:pt idx="30">
                  <c:v>3.5569299999999999</c:v>
                </c:pt>
                <c:pt idx="31">
                  <c:v>3.5641699999999998</c:v>
                </c:pt>
                <c:pt idx="32">
                  <c:v>3.5710299999999999</c:v>
                </c:pt>
                <c:pt idx="33">
                  <c:v>3.5769000000000002</c:v>
                </c:pt>
                <c:pt idx="34">
                  <c:v>3.58609</c:v>
                </c:pt>
                <c:pt idx="35">
                  <c:v>3.5962399999999999</c:v>
                </c:pt>
                <c:pt idx="36">
                  <c:v>3.60839</c:v>
                </c:pt>
                <c:pt idx="37">
                  <c:v>3.6217999999999999</c:v>
                </c:pt>
                <c:pt idx="38">
                  <c:v>3.6351399999999998</c:v>
                </c:pt>
                <c:pt idx="39">
                  <c:v>3.64907</c:v>
                </c:pt>
                <c:pt idx="40">
                  <c:v>3.6605700000000003</c:v>
                </c:pt>
                <c:pt idx="41">
                  <c:v>3.6705800000000002</c:v>
                </c:pt>
                <c:pt idx="42">
                  <c:v>3.67909</c:v>
                </c:pt>
                <c:pt idx="43">
                  <c:v>3.6874899999999999</c:v>
                </c:pt>
                <c:pt idx="44">
                  <c:v>3.6979099999999998</c:v>
                </c:pt>
                <c:pt idx="45">
                  <c:v>3.7092000000000001</c:v>
                </c:pt>
                <c:pt idx="46">
                  <c:v>3.7189000000000001</c:v>
                </c:pt>
                <c:pt idx="47">
                  <c:v>3.72818</c:v>
                </c:pt>
                <c:pt idx="48">
                  <c:v>3.7379600000000002</c:v>
                </c:pt>
                <c:pt idx="49">
                  <c:v>3.7497799999999999</c:v>
                </c:pt>
                <c:pt idx="50">
                  <c:v>3.7610700000000001</c:v>
                </c:pt>
                <c:pt idx="51">
                  <c:v>3.7670399999999997</c:v>
                </c:pt>
                <c:pt idx="52">
                  <c:v>3.77468</c:v>
                </c:pt>
                <c:pt idx="53">
                  <c:v>3.7841399999999998</c:v>
                </c:pt>
                <c:pt idx="54">
                  <c:v>3.7928600000000001</c:v>
                </c:pt>
                <c:pt idx="55">
                  <c:v>3.8040500000000002</c:v>
                </c:pt>
                <c:pt idx="56">
                  <c:v>3.8148200000000001</c:v>
                </c:pt>
                <c:pt idx="57">
                  <c:v>3.8248100000000003</c:v>
                </c:pt>
                <c:pt idx="58">
                  <c:v>3.8338800000000002</c:v>
                </c:pt>
                <c:pt idx="59">
                  <c:v>3.84002</c:v>
                </c:pt>
                <c:pt idx="60">
                  <c:v>3.8459700000000003</c:v>
                </c:pt>
                <c:pt idx="61">
                  <c:v>3.8514399999999998</c:v>
                </c:pt>
                <c:pt idx="62">
                  <c:v>3.8562999999999996</c:v>
                </c:pt>
                <c:pt idx="63">
                  <c:v>3.8610699999999998</c:v>
                </c:pt>
                <c:pt idx="64">
                  <c:v>3.8610499999999996</c:v>
                </c:pt>
                <c:pt idx="65">
                  <c:v>3.8610299999999995</c:v>
                </c:pt>
                <c:pt idx="66">
                  <c:v>3.8649499999999999</c:v>
                </c:pt>
                <c:pt idx="67">
                  <c:v>3.8735599999999999</c:v>
                </c:pt>
                <c:pt idx="68">
                  <c:v>3.88388</c:v>
                </c:pt>
                <c:pt idx="69">
                  <c:v>3.8876300000000001</c:v>
                </c:pt>
                <c:pt idx="70">
                  <c:v>3.8860800000000002</c:v>
                </c:pt>
                <c:pt idx="71">
                  <c:v>3.8868999999999998</c:v>
                </c:pt>
                <c:pt idx="72">
                  <c:v>3.8982200000000002</c:v>
                </c:pt>
                <c:pt idx="73">
                  <c:v>3.9155699999999998</c:v>
                </c:pt>
                <c:pt idx="74">
                  <c:v>3.9000400000000002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37.2652</c:v>
                </c:pt>
                <c:pt idx="1">
                  <c:v>37.767499999999998</c:v>
                </c:pt>
                <c:pt idx="2">
                  <c:v>38.269100000000002</c:v>
                </c:pt>
                <c:pt idx="3">
                  <c:v>38.771899999999995</c:v>
                </c:pt>
                <c:pt idx="4">
                  <c:v>39.272300000000001</c:v>
                </c:pt>
                <c:pt idx="5">
                  <c:v>39.678699999999999</c:v>
                </c:pt>
                <c:pt idx="6">
                  <c:v>40.039499999999997</c:v>
                </c:pt>
                <c:pt idx="7">
                  <c:v>40.3703</c:v>
                </c:pt>
                <c:pt idx="8">
                  <c:v>40.608800000000002</c:v>
                </c:pt>
                <c:pt idx="9">
                  <c:v>40.842299999999994</c:v>
                </c:pt>
                <c:pt idx="10">
                  <c:v>41.097499999999997</c:v>
                </c:pt>
                <c:pt idx="11">
                  <c:v>41.328900000000004</c:v>
                </c:pt>
                <c:pt idx="12">
                  <c:v>41.5002</c:v>
                </c:pt>
                <c:pt idx="13">
                  <c:v>41.613</c:v>
                </c:pt>
                <c:pt idx="14">
                  <c:v>41.654499999999999</c:v>
                </c:pt>
                <c:pt idx="15">
                  <c:v>41.629599999999996</c:v>
                </c:pt>
                <c:pt idx="16">
                  <c:v>41.653199999999998</c:v>
                </c:pt>
                <c:pt idx="17">
                  <c:v>41.672799999999995</c:v>
                </c:pt>
                <c:pt idx="18">
                  <c:v>41.623800000000003</c:v>
                </c:pt>
                <c:pt idx="19">
                  <c:v>41.58</c:v>
                </c:pt>
                <c:pt idx="20">
                  <c:v>41.505499999999998</c:v>
                </c:pt>
                <c:pt idx="21">
                  <c:v>41.471999999999994</c:v>
                </c:pt>
                <c:pt idx="22">
                  <c:v>41.489699999999999</c:v>
                </c:pt>
                <c:pt idx="23">
                  <c:v>41.538399999999996</c:v>
                </c:pt>
                <c:pt idx="24">
                  <c:v>41.5989</c:v>
                </c:pt>
                <c:pt idx="25">
                  <c:v>41.6999</c:v>
                </c:pt>
                <c:pt idx="26">
                  <c:v>41.798099999999998</c:v>
                </c:pt>
                <c:pt idx="27">
                  <c:v>41.950700000000005</c:v>
                </c:pt>
                <c:pt idx="28">
                  <c:v>42.181699999999999</c:v>
                </c:pt>
                <c:pt idx="29">
                  <c:v>42.431200000000004</c:v>
                </c:pt>
                <c:pt idx="30">
                  <c:v>42.716200000000001</c:v>
                </c:pt>
                <c:pt idx="31">
                  <c:v>42.896099999999997</c:v>
                </c:pt>
                <c:pt idx="32">
                  <c:v>42.9925</c:v>
                </c:pt>
                <c:pt idx="33">
                  <c:v>43.0229</c:v>
                </c:pt>
                <c:pt idx="34">
                  <c:v>42.942500000000003</c:v>
                </c:pt>
                <c:pt idx="35">
                  <c:v>42.810700000000004</c:v>
                </c:pt>
                <c:pt idx="36">
                  <c:v>42.638300000000001</c:v>
                </c:pt>
                <c:pt idx="37">
                  <c:v>42.464500000000001</c:v>
                </c:pt>
                <c:pt idx="38">
                  <c:v>42.268899999999995</c:v>
                </c:pt>
                <c:pt idx="39">
                  <c:v>42.039700000000003</c:v>
                </c:pt>
                <c:pt idx="40">
                  <c:v>41.797899999999998</c:v>
                </c:pt>
                <c:pt idx="41">
                  <c:v>41.587499999999999</c:v>
                </c:pt>
                <c:pt idx="42">
                  <c:v>41.417300000000004</c:v>
                </c:pt>
                <c:pt idx="43">
                  <c:v>41.288399999999996</c:v>
                </c:pt>
                <c:pt idx="44">
                  <c:v>41.131900000000002</c:v>
                </c:pt>
                <c:pt idx="45">
                  <c:v>40.917900000000003</c:v>
                </c:pt>
                <c:pt idx="46">
                  <c:v>40.691899999999997</c:v>
                </c:pt>
                <c:pt idx="47">
                  <c:v>40.489199999999997</c:v>
                </c:pt>
                <c:pt idx="48">
                  <c:v>40.3264</c:v>
                </c:pt>
                <c:pt idx="49">
                  <c:v>40.1907</c:v>
                </c:pt>
                <c:pt idx="50">
                  <c:v>40.121099999999998</c:v>
                </c:pt>
                <c:pt idx="51">
                  <c:v>39.989000000000004</c:v>
                </c:pt>
                <c:pt idx="52">
                  <c:v>39.832299999999996</c:v>
                </c:pt>
                <c:pt idx="53">
                  <c:v>39.652100000000004</c:v>
                </c:pt>
                <c:pt idx="54">
                  <c:v>39.453800000000001</c:v>
                </c:pt>
                <c:pt idx="55">
                  <c:v>39.259500000000003</c:v>
                </c:pt>
                <c:pt idx="56">
                  <c:v>39.095600000000005</c:v>
                </c:pt>
                <c:pt idx="57">
                  <c:v>38.987300000000005</c:v>
                </c:pt>
                <c:pt idx="58">
                  <c:v>38.909300000000002</c:v>
                </c:pt>
                <c:pt idx="59">
                  <c:v>38.844999999999999</c:v>
                </c:pt>
                <c:pt idx="60">
                  <c:v>38.828699999999998</c:v>
                </c:pt>
                <c:pt idx="61">
                  <c:v>38.870599999999996</c:v>
                </c:pt>
                <c:pt idx="62">
                  <c:v>38.904200000000003</c:v>
                </c:pt>
                <c:pt idx="63">
                  <c:v>38.968799999999995</c:v>
                </c:pt>
                <c:pt idx="64">
                  <c:v>39.1265</c:v>
                </c:pt>
                <c:pt idx="65">
                  <c:v>39.3371</c:v>
                </c:pt>
                <c:pt idx="66">
                  <c:v>39.538499999999999</c:v>
                </c:pt>
                <c:pt idx="67">
                  <c:v>39.7117</c:v>
                </c:pt>
                <c:pt idx="68">
                  <c:v>39.865299999999998</c:v>
                </c:pt>
                <c:pt idx="69">
                  <c:v>40.007599999999996</c:v>
                </c:pt>
                <c:pt idx="70">
                  <c:v>40.35</c:v>
                </c:pt>
                <c:pt idx="71">
                  <c:v>40.820099999999996</c:v>
                </c:pt>
                <c:pt idx="72">
                  <c:v>41.326099999999997</c:v>
                </c:pt>
                <c:pt idx="73">
                  <c:v>41.842199999999998</c:v>
                </c:pt>
                <c:pt idx="74">
                  <c:v>42.598599999999998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1.5526300000000002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64.884900000000002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3.0340140540540546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41.349039189189192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3.6467875675675665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40.804221621621615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3.6467875675675665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40.804221621621615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570</v>
      </c>
      <c r="D5" s="191"/>
      <c r="E5" s="191"/>
      <c r="F5" s="192"/>
      <c r="G5" s="48" t="str">
        <f>lang!B27</f>
        <v>编号</v>
      </c>
      <c r="H5" s="190">
        <v>10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569</v>
      </c>
      <c r="D6" s="145"/>
      <c r="E6" s="145"/>
      <c r="F6" s="146"/>
      <c r="G6" s="49" t="str">
        <f>lang!B28</f>
        <v xml:space="preserve"> 日期</v>
      </c>
      <c r="H6" s="129">
        <f>FH_info!A2</f>
        <v>43612.683275462965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43</v>
      </c>
      <c r="D7" s="148"/>
      <c r="E7" s="148"/>
      <c r="F7" s="149"/>
      <c r="G7" s="50" t="str">
        <f>lang!B29</f>
        <v>误差率（%）</v>
      </c>
      <c r="H7" s="132">
        <f>M!B17*1</f>
        <v>18.6325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38.164900000000003</v>
      </c>
      <c r="O8" s="59">
        <f>M!C5*1</f>
        <v>10.168699999999999</v>
      </c>
      <c r="P8" s="59">
        <f>M!D5*1</f>
        <v>26.644100000000002</v>
      </c>
      <c r="Q8" s="59">
        <f>M!E5*1</f>
        <v>20</v>
      </c>
      <c r="R8" s="59">
        <f>M!F5*1</f>
        <v>8.0234000000000005</v>
      </c>
      <c r="S8" s="59">
        <f>M!G5*1</f>
        <v>50</v>
      </c>
      <c r="T8" s="59">
        <f>M!H5*1</f>
        <v>53.403199999999998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32.382399999999997</v>
      </c>
      <c r="O9" s="59">
        <f>M!C6*1</f>
        <v>4.0868900000000004</v>
      </c>
      <c r="P9" s="59">
        <f>M!D6*1</f>
        <v>12.620699999999999</v>
      </c>
      <c r="Q9" s="59">
        <f>M!E6*1</f>
        <v>20</v>
      </c>
      <c r="R9" s="59">
        <f>M!F6*1</f>
        <v>17.8309</v>
      </c>
      <c r="S9" s="59">
        <f>M!G6*1</f>
        <v>40</v>
      </c>
      <c r="T9" s="59">
        <f>M!H6*1</f>
        <v>36.093899999999998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8.0234000000000005</v>
      </c>
      <c r="D10" s="99">
        <f>N8</f>
        <v>38.164900000000003</v>
      </c>
      <c r="E10" s="100">
        <f>T8</f>
        <v>53.403199999999998</v>
      </c>
      <c r="F10" s="91">
        <f>P8</f>
        <v>26.644100000000002</v>
      </c>
      <c r="G10" s="81" t="str">
        <f>CONCATENATE(M9,"
(20 ~ 40)")</f>
        <v>压力
(20 ~ 40)</v>
      </c>
      <c r="H10" s="98">
        <f>R9</f>
        <v>17.8309</v>
      </c>
      <c r="I10" s="108">
        <f>N9</f>
        <v>32.382399999999997</v>
      </c>
      <c r="J10" s="98">
        <f>T9</f>
        <v>36.093899999999998</v>
      </c>
      <c r="K10" s="92">
        <f>P9</f>
        <v>12.620699999999999</v>
      </c>
      <c r="L10" s="6"/>
      <c r="M10" s="27" t="str">
        <f>lang!B16</f>
        <v>焦虑</v>
      </c>
      <c r="N10" s="59">
        <f>M!B7*1</f>
        <v>35.050400000000003</v>
      </c>
      <c r="O10" s="59">
        <f>M!C7*1</f>
        <v>8.4961800000000007</v>
      </c>
      <c r="P10" s="59">
        <f>M!D7*1</f>
        <v>24.239899999999999</v>
      </c>
      <c r="Q10" s="59">
        <f>M!E7*1</f>
        <v>15</v>
      </c>
      <c r="R10" s="59">
        <f>M!F7*1</f>
        <v>6.3394700000000004</v>
      </c>
      <c r="S10" s="59">
        <f>M!G7*1</f>
        <v>40</v>
      </c>
      <c r="T10" s="59">
        <f>M!H7*1</f>
        <v>50.210700000000003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6.3394700000000004</v>
      </c>
      <c r="D11" s="102">
        <f>N10</f>
        <v>35.050400000000003</v>
      </c>
      <c r="E11" s="103">
        <f>T10</f>
        <v>50.210700000000003</v>
      </c>
      <c r="F11" s="94">
        <f>P10</f>
        <v>24.239899999999999</v>
      </c>
      <c r="G11" s="52" t="str">
        <f>CONCATENATE(M11,"
(20 ~ 50)")</f>
        <v>可疑
(20 ~ 50)</v>
      </c>
      <c r="H11" s="101">
        <f>R11</f>
        <v>21.500299999999999</v>
      </c>
      <c r="I11" s="104">
        <f>N11</f>
        <v>35.2164</v>
      </c>
      <c r="J11" s="101">
        <f>T11</f>
        <v>40.729199999999999</v>
      </c>
      <c r="K11" s="95">
        <f>P11</f>
        <v>15.3752</v>
      </c>
      <c r="L11" s="4"/>
      <c r="M11" s="27" t="str">
        <f>lang!B17</f>
        <v>可疑</v>
      </c>
      <c r="N11" s="59">
        <f>M!B8*1</f>
        <v>35.2164</v>
      </c>
      <c r="O11" s="59">
        <f>M!C8*1</f>
        <v>5.4145700000000003</v>
      </c>
      <c r="P11" s="59">
        <f>M!D8*1</f>
        <v>15.3752</v>
      </c>
      <c r="Q11" s="59">
        <f>M!E8*1</f>
        <v>20</v>
      </c>
      <c r="R11" s="59">
        <f>M!F8*1</f>
        <v>21.500299999999999</v>
      </c>
      <c r="S11" s="59">
        <f>M!G8*1</f>
        <v>50</v>
      </c>
      <c r="T11" s="59">
        <f>M!H8*1</f>
        <v>40.729199999999999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40.318800000000003</v>
      </c>
      <c r="D12" s="104">
        <f>N12</f>
        <v>65.622600000000006</v>
      </c>
      <c r="E12" s="101">
        <f>T12</f>
        <v>79.423500000000004</v>
      </c>
      <c r="F12" s="93">
        <f>P12</f>
        <v>11.798999999999999</v>
      </c>
      <c r="G12" s="52" t="str">
        <f>CONCATENATE(M13,"
(40 ~ 100)")</f>
        <v>自信
(40 ~ 100)</v>
      </c>
      <c r="H12" s="101">
        <f>R13</f>
        <v>65.891800000000003</v>
      </c>
      <c r="I12" s="104">
        <f>N13</f>
        <v>72.5852</v>
      </c>
      <c r="J12" s="101">
        <f>T13</f>
        <v>88.321600000000004</v>
      </c>
      <c r="K12" s="95">
        <f>P13</f>
        <v>7.5126499999999998</v>
      </c>
      <c r="L12" s="4"/>
      <c r="M12" s="27" t="str">
        <f>lang!B18</f>
        <v>平衡</v>
      </c>
      <c r="N12" s="59">
        <f>M!B9*1</f>
        <v>65.622600000000006</v>
      </c>
      <c r="O12" s="59">
        <f>M!C9*1</f>
        <v>7.7427799999999998</v>
      </c>
      <c r="P12" s="59">
        <f>M!D9*1</f>
        <v>11.798999999999999</v>
      </c>
      <c r="Q12" s="59">
        <f>M!E9*1</f>
        <v>50</v>
      </c>
      <c r="R12" s="59">
        <f>M!F9*1</f>
        <v>40.318800000000003</v>
      </c>
      <c r="S12" s="59">
        <f>M!G9*1</f>
        <v>100</v>
      </c>
      <c r="T12" s="59">
        <f>M!H9*1</f>
        <v>79.423500000000004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6.5768700000000004</v>
      </c>
      <c r="D13" s="102">
        <f>N14</f>
        <v>22.948599999999999</v>
      </c>
      <c r="E13" s="103">
        <f>T14</f>
        <v>27.587499999999999</v>
      </c>
      <c r="F13" s="94">
        <f>P14</f>
        <v>25.8262</v>
      </c>
      <c r="G13" s="52" t="str">
        <f>CONCATENATE(M15,"
(50 ~ 100)")</f>
        <v>自我调节
(50 ~ 100)</v>
      </c>
      <c r="H13" s="101">
        <f>R15</f>
        <v>53.957900000000002</v>
      </c>
      <c r="I13" s="104">
        <f>N15</f>
        <v>70.065600000000003</v>
      </c>
      <c r="J13" s="101">
        <f>T15</f>
        <v>78.347499999999997</v>
      </c>
      <c r="K13" s="95">
        <f>P15</f>
        <v>7.1190699999999998</v>
      </c>
      <c r="L13" s="4"/>
      <c r="M13" s="27" t="str">
        <f>lang!B19</f>
        <v>自信</v>
      </c>
      <c r="N13" s="59">
        <f>M!B10*1</f>
        <v>72.5852</v>
      </c>
      <c r="O13" s="59">
        <f>M!C10*1</f>
        <v>5.4530700000000003</v>
      </c>
      <c r="P13" s="59">
        <f>M!D10*1</f>
        <v>7.5126499999999998</v>
      </c>
      <c r="Q13" s="59">
        <f>M!E10*1</f>
        <v>40</v>
      </c>
      <c r="R13" s="59">
        <f>M!F10*1</f>
        <v>65.891800000000003</v>
      </c>
      <c r="S13" s="59">
        <f>M!G10*1</f>
        <v>100</v>
      </c>
      <c r="T13" s="59">
        <f>M!H10*1</f>
        <v>88.321600000000004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11.5655</v>
      </c>
      <c r="D14" s="106">
        <f>N16</f>
        <v>13.8819</v>
      </c>
      <c r="E14" s="107">
        <f>T16</f>
        <v>23.704000000000001</v>
      </c>
      <c r="F14" s="96">
        <f>P16</f>
        <v>11.5892</v>
      </c>
      <c r="G14" s="112" t="str">
        <f>CONCATENATE(M17,"
(10 ~ 50)")</f>
        <v>神经质
(10 ~ 50)</v>
      </c>
      <c r="H14" s="105">
        <f>R17</f>
        <v>0.90299200000000002</v>
      </c>
      <c r="I14" s="106">
        <f>N17</f>
        <v>16.087900000000001</v>
      </c>
      <c r="J14" s="107">
        <f>T17</f>
        <v>29.5685</v>
      </c>
      <c r="K14" s="97">
        <f>P17</f>
        <v>43.599299999999999</v>
      </c>
      <c r="M14" s="27" t="str">
        <f>lang!B20</f>
        <v>活力</v>
      </c>
      <c r="N14" s="59">
        <f>M!B11*1</f>
        <v>22.948599999999999</v>
      </c>
      <c r="O14" s="59">
        <f>M!C11*1</f>
        <v>5.9267500000000002</v>
      </c>
      <c r="P14" s="59">
        <f>M!D11*1</f>
        <v>25.8262</v>
      </c>
      <c r="Q14" s="59">
        <f>M!E11*1</f>
        <v>10</v>
      </c>
      <c r="R14" s="59">
        <f>M!F11*1</f>
        <v>6.5768700000000004</v>
      </c>
      <c r="S14" s="59">
        <f>M!G11*1</f>
        <v>50</v>
      </c>
      <c r="T14" s="59">
        <f>M!H11*1</f>
        <v>27.587499999999999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70.065600000000003</v>
      </c>
      <c r="O15" s="59">
        <f>M!C12*1</f>
        <v>4.9880199999999997</v>
      </c>
      <c r="P15" s="59">
        <f>M!D12*1</f>
        <v>7.1190699999999998</v>
      </c>
      <c r="Q15" s="59">
        <f>M!E12*1</f>
        <v>50</v>
      </c>
      <c r="R15" s="59">
        <f>M!F12*1</f>
        <v>53.957900000000002</v>
      </c>
      <c r="S15" s="59">
        <f>M!G12*1</f>
        <v>100</v>
      </c>
      <c r="T15" s="59">
        <f>M!H12*1</f>
        <v>78.347499999999997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13.8819</v>
      </c>
      <c r="O16" s="59">
        <f>M!C13*1</f>
        <v>1.6087899999999999</v>
      </c>
      <c r="P16" s="59">
        <f>M!D13*1</f>
        <v>11.5892</v>
      </c>
      <c r="Q16" s="59">
        <f>M!E13*1</f>
        <v>10</v>
      </c>
      <c r="R16" s="59">
        <f>M!F13*1</f>
        <v>11.5655</v>
      </c>
      <c r="S16" s="59">
        <f>M!G13*1</f>
        <v>25</v>
      </c>
      <c r="T16" s="59">
        <f>M!H13*1</f>
        <v>23.704000000000001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16.087900000000001</v>
      </c>
      <c r="O17" s="59">
        <f>M!C14*1</f>
        <v>7.0142300000000004</v>
      </c>
      <c r="P17" s="59">
        <f>M!D14*1</f>
        <v>43.599299999999999</v>
      </c>
      <c r="Q17" s="59">
        <f>M!E14*1</f>
        <v>10</v>
      </c>
      <c r="R17" s="59">
        <f>M!F14*1</f>
        <v>0.90299200000000002</v>
      </c>
      <c r="S17" s="59">
        <f>M!G14*1</f>
        <v>50</v>
      </c>
      <c r="T17" s="59">
        <f>M!H14*1</f>
        <v>29.5685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57.805500000000009</v>
      </c>
      <c r="O18" s="22">
        <f>N18/(N18+N19+N20)</f>
        <v>0.535266219835977</v>
      </c>
      <c r="P18" s="65">
        <f>SUM(P12:P15)/4</f>
        <v>13.06423</v>
      </c>
      <c r="Q18" s="22">
        <f>P18/(P18+P19+P20)</f>
        <v>0.21637237984973282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35.203524999999999</v>
      </c>
      <c r="O19" s="22">
        <f>N19/(N18+N19+N20)</f>
        <v>0.32597690101549692</v>
      </c>
      <c r="P19" s="18">
        <f>SUM(P8:P11)/4</f>
        <v>19.719974999999998</v>
      </c>
      <c r="Q19" s="22">
        <f>P19/(P18+P19+P20)</f>
        <v>0.32660615446354163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14.9849</v>
      </c>
      <c r="O20" s="22">
        <f>N20/(N18+N19+N20)</f>
        <v>0.13875687914852616</v>
      </c>
      <c r="P20" s="18">
        <f>(P16+P17)/2</f>
        <v>27.594249999999999</v>
      </c>
      <c r="Q20" s="22">
        <f>P20/(P18+P19+P20)</f>
        <v>0.45702146568672547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-6.6725527027026998E-2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1.6046394267121327</v>
      </c>
      <c r="D25" s="44" t="str">
        <f>lang!B11</f>
        <v>频率方差</v>
      </c>
      <c r="E25" s="182">
        <f ca="1">FH!L3</f>
        <v>0.66638405008696755</v>
      </c>
      <c r="F25" s="183"/>
      <c r="G25" s="174" t="str">
        <f>lang!B12</f>
        <v>生理变化率</v>
      </c>
      <c r="H25" s="175"/>
      <c r="I25" s="62" t="str">
        <f ca="1">CONCATENATE(info!M7,"-",info!M8)</f>
        <v>32.4-64.9</v>
      </c>
      <c r="J25" s="42" t="str">
        <f>lang!B13</f>
        <v>千卡l/分钟</v>
      </c>
      <c r="K25" s="41" t="str">
        <f ca="1">CONCATENATE(info!M5,"-",info!M6)</f>
        <v>1.6-3.9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44.328899999999997</v>
      </c>
      <c r="F28" s="121"/>
      <c r="G28" s="135" t="str">
        <f>lang!B33</f>
        <v>稳定性</v>
      </c>
      <c r="H28" s="136"/>
      <c r="I28" s="137"/>
      <c r="J28" s="138">
        <f>M!B19*100</f>
        <v>67.271699999999996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43612.683275462965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6.2494999999999976</v>
      </c>
      <c r="O7" s="59">
        <f t="shared" ref="O7:T7" si="2">AG7-X7</f>
        <v>-7.8264500000000004</v>
      </c>
      <c r="P7" s="59">
        <f t="shared" si="2"/>
        <v>-25.199199999999998</v>
      </c>
      <c r="Q7" s="59">
        <f t="shared" si="2"/>
        <v>0</v>
      </c>
      <c r="R7" s="59">
        <f t="shared" si="2"/>
        <v>28.677299999999995</v>
      </c>
      <c r="S7" s="59">
        <f t="shared" si="2"/>
        <v>0</v>
      </c>
      <c r="T7" s="59">
        <f t="shared" si="2"/>
        <v>-0.52989999999999782</v>
      </c>
      <c r="U7" s="14"/>
      <c r="V7" s="27" t="str">
        <f>M7</f>
        <v>攻击性</v>
      </c>
      <c r="W7" s="59">
        <f>'M1'!B5*1</f>
        <v>33.587200000000003</v>
      </c>
      <c r="X7" s="59">
        <f>'M1'!C5*1</f>
        <v>11.888400000000001</v>
      </c>
      <c r="Y7" s="59">
        <f>'M1'!D5*1</f>
        <v>35.395699999999998</v>
      </c>
      <c r="Z7" s="59">
        <f>'M1'!E5*1</f>
        <v>20</v>
      </c>
      <c r="AA7" s="59">
        <f>'M1'!F5*1</f>
        <v>8.0234000000000005</v>
      </c>
      <c r="AB7" s="59">
        <f>'M1'!G5*1</f>
        <v>50</v>
      </c>
      <c r="AC7" s="59">
        <f>'M1'!H5*1</f>
        <v>53.403199999999998</v>
      </c>
      <c r="AE7" s="27" t="str">
        <f>V7</f>
        <v>攻击性</v>
      </c>
      <c r="AF7" s="59">
        <f>'M2'!B5*1</f>
        <v>39.8367</v>
      </c>
      <c r="AG7" s="59">
        <f>'M2'!C5*1</f>
        <v>4.0619500000000004</v>
      </c>
      <c r="AH7" s="59">
        <f>'M2'!D5*1</f>
        <v>10.1965</v>
      </c>
      <c r="AI7" s="59">
        <f>'M2'!E5*1</f>
        <v>20</v>
      </c>
      <c r="AJ7" s="59">
        <f>'M2'!F5*1</f>
        <v>36.700699999999998</v>
      </c>
      <c r="AK7" s="59">
        <f>'M2'!G5*1</f>
        <v>50</v>
      </c>
      <c r="AL7" s="59">
        <f>'M2'!H5*1</f>
        <v>52.8733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-2.0414999999999992</v>
      </c>
      <c r="O8" s="59">
        <f t="shared" ref="O8:O16" si="5">AG8-X8</f>
        <v>-2.2933100000000004</v>
      </c>
      <c r="P8" s="59">
        <f t="shared" ref="P8:P16" si="6">AH8-Y8</f>
        <v>-6.380980000000001</v>
      </c>
      <c r="Q8" s="59">
        <f t="shared" ref="Q8:Q16" si="7">AI8-Z8</f>
        <v>0</v>
      </c>
      <c r="R8" s="59">
        <f t="shared" ref="R8:R16" si="8">AJ8-AA8</f>
        <v>9.4864999999999995</v>
      </c>
      <c r="S8" s="59">
        <f t="shared" ref="S8:S16" si="9">AK8-AB8</f>
        <v>0</v>
      </c>
      <c r="T8" s="59">
        <f t="shared" ref="T8:T16" si="10">AL8-AC8</f>
        <v>1.7042000000000002</v>
      </c>
      <c r="U8" s="15"/>
      <c r="V8" s="27" t="str">
        <f t="shared" ref="V8:V16" si="11">M8</f>
        <v>压力</v>
      </c>
      <c r="W8" s="59">
        <f>'M1'!B6*1</f>
        <v>33.150700000000001</v>
      </c>
      <c r="X8" s="59">
        <f>'M1'!C6*1</f>
        <v>5.0053900000000002</v>
      </c>
      <c r="Y8" s="59">
        <f>'M1'!D6*1</f>
        <v>15.0989</v>
      </c>
      <c r="Z8" s="59">
        <f>'M1'!E6*1</f>
        <v>20</v>
      </c>
      <c r="AA8" s="59">
        <f>'M1'!F6*1</f>
        <v>17.8309</v>
      </c>
      <c r="AB8" s="59">
        <f>'M1'!G6*1</f>
        <v>40</v>
      </c>
      <c r="AC8" s="59">
        <f>'M1'!H6*1</f>
        <v>34.389699999999998</v>
      </c>
      <c r="AE8" s="27" t="str">
        <f t="shared" ref="AE8:AE16" si="12">V8</f>
        <v>压力</v>
      </c>
      <c r="AF8" s="59">
        <f>'M2'!B6*1</f>
        <v>31.109200000000001</v>
      </c>
      <c r="AG8" s="59">
        <f>'M2'!C6*1</f>
        <v>2.7120799999999998</v>
      </c>
      <c r="AH8" s="59">
        <f>'M2'!D6*1</f>
        <v>8.7179199999999994</v>
      </c>
      <c r="AI8" s="59">
        <f>'M2'!E6*1</f>
        <v>20</v>
      </c>
      <c r="AJ8" s="59">
        <f>'M2'!F6*1</f>
        <v>27.317399999999999</v>
      </c>
      <c r="AK8" s="59">
        <f>'M2'!G6*1</f>
        <v>40</v>
      </c>
      <c r="AL8" s="59">
        <f>'M2'!H6*1</f>
        <v>36.093899999999998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28.677299999999995</v>
      </c>
      <c r="D9" s="78">
        <f>N7</f>
        <v>6.2494999999999976</v>
      </c>
      <c r="E9" s="79">
        <f>T7</f>
        <v>-0.52989999999999782</v>
      </c>
      <c r="F9" s="79">
        <f>P7</f>
        <v>-25.199199999999998</v>
      </c>
      <c r="G9" s="80" t="str">
        <f>CONCATENATE(M8,"
(20 ~ 40)")</f>
        <v>压力
(20 ~ 40)</v>
      </c>
      <c r="H9" s="77">
        <f>R8</f>
        <v>9.4864999999999995</v>
      </c>
      <c r="I9" s="81">
        <f>N8</f>
        <v>-2.0414999999999992</v>
      </c>
      <c r="J9" s="77">
        <f>T8</f>
        <v>1.7042000000000002</v>
      </c>
      <c r="K9" s="82">
        <f>P8</f>
        <v>-6.380980000000001</v>
      </c>
      <c r="L9" s="6"/>
      <c r="M9" s="27" t="str">
        <f>lang!B16</f>
        <v>焦虑</v>
      </c>
      <c r="N9" s="59">
        <f t="shared" si="4"/>
        <v>1.4771000000000001</v>
      </c>
      <c r="O9" s="59">
        <f t="shared" si="5"/>
        <v>-4.27637</v>
      </c>
      <c r="P9" s="59">
        <f t="shared" si="6"/>
        <v>-13.164300000000001</v>
      </c>
      <c r="Q9" s="59">
        <f t="shared" si="7"/>
        <v>0</v>
      </c>
      <c r="R9" s="59">
        <f t="shared" si="8"/>
        <v>11.596829999999999</v>
      </c>
      <c r="S9" s="59">
        <f t="shared" si="9"/>
        <v>0</v>
      </c>
      <c r="T9" s="59">
        <f t="shared" si="10"/>
        <v>-3.9527000000000001</v>
      </c>
      <c r="U9" s="14"/>
      <c r="V9" s="27" t="str">
        <f t="shared" si="11"/>
        <v>焦虑</v>
      </c>
      <c r="W9" s="59">
        <f>'M1'!B7*1</f>
        <v>34.366599999999998</v>
      </c>
      <c r="X9" s="59">
        <f>'M1'!C7*1</f>
        <v>10.2888</v>
      </c>
      <c r="Y9" s="59">
        <f>'M1'!D7*1</f>
        <v>29.938300000000002</v>
      </c>
      <c r="Z9" s="59">
        <f>'M1'!E7*1</f>
        <v>15</v>
      </c>
      <c r="AA9" s="59">
        <f>'M1'!F7*1</f>
        <v>6.3394700000000004</v>
      </c>
      <c r="AB9" s="59">
        <f>'M1'!G7*1</f>
        <v>40</v>
      </c>
      <c r="AC9" s="59">
        <f>'M1'!H7*1</f>
        <v>50.210700000000003</v>
      </c>
      <c r="AE9" s="27" t="str">
        <f t="shared" si="12"/>
        <v>焦虑</v>
      </c>
      <c r="AF9" s="59">
        <f>'M2'!B7*1</f>
        <v>35.843699999999998</v>
      </c>
      <c r="AG9" s="59">
        <f>'M2'!C7*1</f>
        <v>6.0124300000000002</v>
      </c>
      <c r="AH9" s="59">
        <f>'M2'!D7*1</f>
        <v>16.774000000000001</v>
      </c>
      <c r="AI9" s="59">
        <f>'M2'!E7*1</f>
        <v>15</v>
      </c>
      <c r="AJ9" s="59">
        <f>'M2'!F7*1</f>
        <v>17.936299999999999</v>
      </c>
      <c r="AK9" s="59">
        <f>'M2'!G7*1</f>
        <v>40</v>
      </c>
      <c r="AL9" s="59">
        <f>'M2'!H7*1</f>
        <v>46.258000000000003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11.596829999999999</v>
      </c>
      <c r="D10" s="51">
        <f>N9</f>
        <v>1.4771000000000001</v>
      </c>
      <c r="E10" s="53">
        <f>T9</f>
        <v>-3.9527000000000001</v>
      </c>
      <c r="F10" s="53">
        <f>P9</f>
        <v>-13.164300000000001</v>
      </c>
      <c r="G10" s="73" t="str">
        <f>CONCATENATE(M10,"
(20 ~ 50)")</f>
        <v>可疑
(20 ~ 50)</v>
      </c>
      <c r="H10" s="24">
        <f>R10</f>
        <v>8.020500000000002</v>
      </c>
      <c r="I10" s="52">
        <f>N10</f>
        <v>6.4044999999999987</v>
      </c>
      <c r="J10" s="24">
        <f>T10</f>
        <v>-0.28069999999999595</v>
      </c>
      <c r="K10" s="25">
        <f>P10</f>
        <v>-11.830260000000001</v>
      </c>
      <c r="L10" s="4"/>
      <c r="M10" s="27" t="str">
        <f>lang!B17</f>
        <v>可疑</v>
      </c>
      <c r="N10" s="59">
        <f t="shared" si="4"/>
        <v>6.4044999999999987</v>
      </c>
      <c r="O10" s="59">
        <f t="shared" si="5"/>
        <v>-2.9546899999999998</v>
      </c>
      <c r="P10" s="59">
        <f t="shared" si="6"/>
        <v>-11.830260000000001</v>
      </c>
      <c r="Q10" s="59">
        <f t="shared" si="7"/>
        <v>0</v>
      </c>
      <c r="R10" s="59">
        <f t="shared" si="8"/>
        <v>8.020500000000002</v>
      </c>
      <c r="S10" s="59">
        <f t="shared" si="9"/>
        <v>0</v>
      </c>
      <c r="T10" s="59">
        <f t="shared" si="10"/>
        <v>-0.28069999999999595</v>
      </c>
      <c r="U10" s="14"/>
      <c r="V10" s="27" t="str">
        <f t="shared" si="11"/>
        <v>可疑</v>
      </c>
      <c r="W10" s="59">
        <f>'M1'!B8*1</f>
        <v>29.533799999999999</v>
      </c>
      <c r="X10" s="59">
        <f>'M1'!C8*1</f>
        <v>5.9805299999999999</v>
      </c>
      <c r="Y10" s="59">
        <f>'M1'!D8*1</f>
        <v>20.2498</v>
      </c>
      <c r="Z10" s="59">
        <f>'M1'!E8*1</f>
        <v>20</v>
      </c>
      <c r="AA10" s="59">
        <f>'M1'!F8*1</f>
        <v>21.500299999999999</v>
      </c>
      <c r="AB10" s="59">
        <f>'M1'!G8*1</f>
        <v>50</v>
      </c>
      <c r="AC10" s="59">
        <f>'M1'!H8*1</f>
        <v>40.729199999999999</v>
      </c>
      <c r="AE10" s="27" t="str">
        <f t="shared" si="12"/>
        <v>可疑</v>
      </c>
      <c r="AF10" s="59">
        <f>'M2'!B8*1</f>
        <v>35.938299999999998</v>
      </c>
      <c r="AG10" s="59">
        <f>'M2'!C8*1</f>
        <v>3.0258400000000001</v>
      </c>
      <c r="AH10" s="59">
        <f>'M2'!D8*1</f>
        <v>8.4195399999999996</v>
      </c>
      <c r="AI10" s="59">
        <f>'M2'!E8*1</f>
        <v>20</v>
      </c>
      <c r="AJ10" s="59">
        <f>'M2'!F8*1</f>
        <v>29.520800000000001</v>
      </c>
      <c r="AK10" s="59">
        <f>'M2'!G8*1</f>
        <v>50</v>
      </c>
      <c r="AL10" s="59">
        <f>'M2'!H8*1</f>
        <v>40.448500000000003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15.029299999999999</v>
      </c>
      <c r="D11" s="52">
        <f>N11</f>
        <v>6.0228999999999999</v>
      </c>
      <c r="E11" s="24">
        <f>T11</f>
        <v>5.4335000000000093</v>
      </c>
      <c r="F11" s="24">
        <f>P11</f>
        <v>-5.1263700000000005</v>
      </c>
      <c r="G11" s="73" t="str">
        <f>CONCATENATE(M12,"
(40 ~ 100)")</f>
        <v>自信
(40 ~ 100)</v>
      </c>
      <c r="H11" s="24">
        <f>R12</f>
        <v>-1.6496999999999957</v>
      </c>
      <c r="I11" s="52">
        <f>N12</f>
        <v>3.3933999999999997</v>
      </c>
      <c r="J11" s="24">
        <f>T12</f>
        <v>-10.799400000000006</v>
      </c>
      <c r="K11" s="25">
        <f>P12</f>
        <v>-7.3987299999999996</v>
      </c>
      <c r="L11" s="4"/>
      <c r="M11" s="27" t="str">
        <f>lang!B18</f>
        <v>平衡</v>
      </c>
      <c r="N11" s="59">
        <f t="shared" si="4"/>
        <v>6.0228999999999999</v>
      </c>
      <c r="O11" s="59">
        <f t="shared" si="5"/>
        <v>-2.7655399999999997</v>
      </c>
      <c r="P11" s="59">
        <f t="shared" si="6"/>
        <v>-5.1263700000000005</v>
      </c>
      <c r="Q11" s="59">
        <f t="shared" si="7"/>
        <v>0</v>
      </c>
      <c r="R11" s="59">
        <f t="shared" si="8"/>
        <v>15.029299999999999</v>
      </c>
      <c r="S11" s="59">
        <f t="shared" si="9"/>
        <v>0</v>
      </c>
      <c r="T11" s="59">
        <f t="shared" si="10"/>
        <v>5.4335000000000093</v>
      </c>
      <c r="U11" s="14"/>
      <c r="V11" s="27" t="str">
        <f t="shared" si="11"/>
        <v>平衡</v>
      </c>
      <c r="W11" s="59">
        <f>'M1'!B9*1</f>
        <v>63.044699999999999</v>
      </c>
      <c r="X11" s="59">
        <f>'M1'!C9*1</f>
        <v>8.1135999999999999</v>
      </c>
      <c r="Y11" s="59">
        <f>'M1'!D9*1</f>
        <v>12.8696</v>
      </c>
      <c r="Z11" s="59">
        <f>'M1'!E9*1</f>
        <v>50</v>
      </c>
      <c r="AA11" s="59">
        <f>'M1'!F9*1</f>
        <v>40.318800000000003</v>
      </c>
      <c r="AB11" s="59">
        <f>'M1'!G9*1</f>
        <v>100</v>
      </c>
      <c r="AC11" s="59">
        <f>'M1'!H9*1</f>
        <v>73.989999999999995</v>
      </c>
      <c r="AE11" s="27" t="str">
        <f t="shared" si="12"/>
        <v>平衡</v>
      </c>
      <c r="AF11" s="59">
        <f>'M2'!B9*1</f>
        <v>69.067599999999999</v>
      </c>
      <c r="AG11" s="59">
        <f>'M2'!C9*1</f>
        <v>5.3480600000000003</v>
      </c>
      <c r="AH11" s="59">
        <f>'M2'!D9*1</f>
        <v>7.7432299999999996</v>
      </c>
      <c r="AI11" s="59">
        <f>'M2'!E9*1</f>
        <v>50</v>
      </c>
      <c r="AJ11" s="59">
        <f>'M2'!F9*1</f>
        <v>55.348100000000002</v>
      </c>
      <c r="AK11" s="59">
        <f>'M2'!G9*1</f>
        <v>100</v>
      </c>
      <c r="AL11" s="59">
        <f>'M2'!H9*1</f>
        <v>79.423500000000004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14.026430000000001</v>
      </c>
      <c r="D12" s="51">
        <f>N13</f>
        <v>8.0225000000000009</v>
      </c>
      <c r="E12" s="53">
        <f>T13</f>
        <v>1.2773000000000003</v>
      </c>
      <c r="F12" s="53">
        <f>P13</f>
        <v>-29.515620000000002</v>
      </c>
      <c r="G12" s="73" t="str">
        <f>CONCATENATE(M14,"
(50 ~ 100)")</f>
        <v>自我调节
(50 ~ 100)</v>
      </c>
      <c r="H12" s="24">
        <f>R14</f>
        <v>11.069799999999994</v>
      </c>
      <c r="I12" s="52">
        <f>N14</f>
        <v>3.254099999999994</v>
      </c>
      <c r="J12" s="24">
        <f>T14</f>
        <v>-2.3312999999999988</v>
      </c>
      <c r="K12" s="25">
        <f>P14</f>
        <v>-5.3994399999999994</v>
      </c>
      <c r="L12" s="4"/>
      <c r="M12" s="27" t="str">
        <f>lang!B19</f>
        <v>自信</v>
      </c>
      <c r="N12" s="59">
        <f t="shared" si="4"/>
        <v>3.3933999999999997</v>
      </c>
      <c r="O12" s="59">
        <f t="shared" si="5"/>
        <v>-5.065430000000001</v>
      </c>
      <c r="P12" s="59">
        <f t="shared" si="6"/>
        <v>-7.3987299999999996</v>
      </c>
      <c r="Q12" s="59">
        <f t="shared" si="7"/>
        <v>0</v>
      </c>
      <c r="R12" s="59">
        <f t="shared" si="8"/>
        <v>-1.6496999999999957</v>
      </c>
      <c r="S12" s="59">
        <f t="shared" si="9"/>
        <v>0</v>
      </c>
      <c r="T12" s="59">
        <f t="shared" si="10"/>
        <v>-10.799400000000006</v>
      </c>
      <c r="U12" s="15"/>
      <c r="V12" s="27" t="str">
        <f t="shared" si="11"/>
        <v>自信</v>
      </c>
      <c r="W12" s="59">
        <f>'M1'!B10*1</f>
        <v>69.855199999999996</v>
      </c>
      <c r="X12" s="59">
        <f>'M1'!C10*1</f>
        <v>7.2875500000000004</v>
      </c>
      <c r="Y12" s="59">
        <f>'M1'!D10*1</f>
        <v>10.432399999999999</v>
      </c>
      <c r="Z12" s="59">
        <f>'M1'!E10*1</f>
        <v>40</v>
      </c>
      <c r="AA12" s="59">
        <f>'M1'!F10*1</f>
        <v>67.541499999999999</v>
      </c>
      <c r="AB12" s="59">
        <f>'M1'!G10*1</f>
        <v>100</v>
      </c>
      <c r="AC12" s="59">
        <f>'M1'!H10*1</f>
        <v>88.321600000000004</v>
      </c>
      <c r="AE12" s="27" t="str">
        <f t="shared" si="12"/>
        <v>自信</v>
      </c>
      <c r="AF12" s="59">
        <f>'M2'!B10*1</f>
        <v>73.248599999999996</v>
      </c>
      <c r="AG12" s="59">
        <f>'M2'!C10*1</f>
        <v>2.2221199999999999</v>
      </c>
      <c r="AH12" s="59">
        <f>'M2'!D10*1</f>
        <v>3.0336699999999999</v>
      </c>
      <c r="AI12" s="59">
        <f>'M2'!E10*1</f>
        <v>40</v>
      </c>
      <c r="AJ12" s="59">
        <f>'M2'!F10*1</f>
        <v>65.891800000000003</v>
      </c>
      <c r="AK12" s="59">
        <f>'M2'!G10*1</f>
        <v>100</v>
      </c>
      <c r="AL12" s="59">
        <f>'M2'!H10*1</f>
        <v>77.522199999999998</v>
      </c>
    </row>
    <row r="13" spans="2:38" ht="25.5" customHeight="1" thickBot="1">
      <c r="B13" s="72" t="str">
        <f>CONCATENATE(M15,"
(10 ~ 25)")</f>
        <v>抑郁
(10 ~ 25)</v>
      </c>
      <c r="C13" s="54">
        <f>R15</f>
        <v>0.80499999999999972</v>
      </c>
      <c r="D13" s="55">
        <f>N15</f>
        <v>-0.31359999999999921</v>
      </c>
      <c r="E13" s="56">
        <f>T15</f>
        <v>-6.2872000000000021</v>
      </c>
      <c r="F13" s="56">
        <f>P15</f>
        <v>-4.762459999999999</v>
      </c>
      <c r="G13" s="74" t="str">
        <f>CONCATENATE(M16,"
(10 ~ 50)")</f>
        <v>神经质
(10 ~ 50)</v>
      </c>
      <c r="H13" s="54">
        <f>R16</f>
        <v>7.7296000000000031E-2</v>
      </c>
      <c r="I13" s="55">
        <f>N16</f>
        <v>-6.9664999999999999</v>
      </c>
      <c r="J13" s="56">
        <f>T16</f>
        <v>-10.503399999999999</v>
      </c>
      <c r="K13" s="57">
        <f>P16</f>
        <v>12.067599999999999</v>
      </c>
      <c r="M13" s="27" t="str">
        <f>lang!B20</f>
        <v>活力</v>
      </c>
      <c r="N13" s="59">
        <f t="shared" si="4"/>
        <v>8.0225000000000009</v>
      </c>
      <c r="O13" s="59">
        <f t="shared" si="5"/>
        <v>-4.3679499999999996</v>
      </c>
      <c r="P13" s="59">
        <f t="shared" si="6"/>
        <v>-29.515620000000002</v>
      </c>
      <c r="Q13" s="59">
        <f t="shared" si="7"/>
        <v>0</v>
      </c>
      <c r="R13" s="59">
        <f t="shared" si="8"/>
        <v>14.026430000000001</v>
      </c>
      <c r="S13" s="59">
        <f t="shared" si="9"/>
        <v>0</v>
      </c>
      <c r="T13" s="59">
        <f t="shared" si="10"/>
        <v>1.2773000000000003</v>
      </c>
      <c r="U13" s="14"/>
      <c r="V13" s="27" t="str">
        <f t="shared" si="11"/>
        <v>活力</v>
      </c>
      <c r="W13" s="59">
        <f>'M1'!B11*1</f>
        <v>16.565200000000001</v>
      </c>
      <c r="X13" s="59">
        <f>'M1'!C11*1</f>
        <v>5.9658499999999997</v>
      </c>
      <c r="Y13" s="59">
        <f>'M1'!D11*1</f>
        <v>36.014400000000002</v>
      </c>
      <c r="Z13" s="59">
        <f>'M1'!E11*1</f>
        <v>10</v>
      </c>
      <c r="AA13" s="59">
        <f>'M1'!F11*1</f>
        <v>6.5768700000000004</v>
      </c>
      <c r="AB13" s="59">
        <f>'M1'!G11*1</f>
        <v>50</v>
      </c>
      <c r="AC13" s="59">
        <f>'M1'!H11*1</f>
        <v>26.310199999999998</v>
      </c>
      <c r="AE13" s="27" t="str">
        <f t="shared" si="12"/>
        <v>活力</v>
      </c>
      <c r="AF13" s="59">
        <f>'M2'!B11*1</f>
        <v>24.587700000000002</v>
      </c>
      <c r="AG13" s="59">
        <f>'M2'!C11*1</f>
        <v>1.5979000000000001</v>
      </c>
      <c r="AH13" s="59">
        <f>'M2'!D11*1</f>
        <v>6.49878</v>
      </c>
      <c r="AI13" s="59">
        <f>'M2'!E11*1</f>
        <v>10</v>
      </c>
      <c r="AJ13" s="59">
        <f>'M2'!F11*1</f>
        <v>20.603300000000001</v>
      </c>
      <c r="AK13" s="59">
        <f>'M2'!G11*1</f>
        <v>50</v>
      </c>
      <c r="AL13" s="59">
        <f>'M2'!H11*1</f>
        <v>27.587499999999999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3.254099999999994</v>
      </c>
      <c r="O14" s="59">
        <f t="shared" si="5"/>
        <v>-3.5536799999999999</v>
      </c>
      <c r="P14" s="59">
        <f t="shared" si="6"/>
        <v>-5.3994399999999994</v>
      </c>
      <c r="Q14" s="59">
        <f t="shared" si="7"/>
        <v>0</v>
      </c>
      <c r="R14" s="59">
        <f t="shared" si="8"/>
        <v>11.069799999999994</v>
      </c>
      <c r="S14" s="59">
        <f t="shared" si="9"/>
        <v>0</v>
      </c>
      <c r="T14" s="59">
        <f t="shared" si="10"/>
        <v>-2.3312999999999988</v>
      </c>
      <c r="U14" s="14"/>
      <c r="V14" s="27" t="str">
        <f t="shared" si="11"/>
        <v>自我调节</v>
      </c>
      <c r="W14" s="59">
        <f>'M1'!B12*1</f>
        <v>68.080500000000001</v>
      </c>
      <c r="X14" s="59">
        <f>'M1'!C12*1</f>
        <v>6.2341699999999998</v>
      </c>
      <c r="Y14" s="59">
        <f>'M1'!D12*1</f>
        <v>9.1570599999999995</v>
      </c>
      <c r="Z14" s="59">
        <f>'M1'!E12*1</f>
        <v>50</v>
      </c>
      <c r="AA14" s="59">
        <f>'M1'!F12*1</f>
        <v>53.957900000000002</v>
      </c>
      <c r="AB14" s="59">
        <f>'M1'!G12*1</f>
        <v>100</v>
      </c>
      <c r="AC14" s="59">
        <f>'M1'!H12*1</f>
        <v>78.347499999999997</v>
      </c>
      <c r="AE14" s="27" t="str">
        <f t="shared" si="12"/>
        <v>自我调节</v>
      </c>
      <c r="AF14" s="59">
        <f>'M2'!B12*1</f>
        <v>71.334599999999995</v>
      </c>
      <c r="AG14" s="59">
        <f>'M2'!C12*1</f>
        <v>2.6804899999999998</v>
      </c>
      <c r="AH14" s="59">
        <f>'M2'!D12*1</f>
        <v>3.7576200000000002</v>
      </c>
      <c r="AI14" s="59">
        <f>'M2'!E12*1</f>
        <v>50</v>
      </c>
      <c r="AJ14" s="59">
        <f>'M2'!F12*1</f>
        <v>65.027699999999996</v>
      </c>
      <c r="AK14" s="59">
        <f>'M2'!G12*1</f>
        <v>100</v>
      </c>
      <c r="AL14" s="59">
        <f>'M2'!H12*1</f>
        <v>76.016199999999998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-0.31359999999999921</v>
      </c>
      <c r="O15" s="59">
        <f t="shared" si="5"/>
        <v>-0.69664999999999999</v>
      </c>
      <c r="P15" s="59">
        <f t="shared" si="6"/>
        <v>-4.762459999999999</v>
      </c>
      <c r="Q15" s="59">
        <f t="shared" si="7"/>
        <v>0</v>
      </c>
      <c r="R15" s="59">
        <f t="shared" si="8"/>
        <v>0.80499999999999972</v>
      </c>
      <c r="S15" s="59">
        <f t="shared" si="9"/>
        <v>0</v>
      </c>
      <c r="T15" s="59">
        <f t="shared" si="10"/>
        <v>-6.2872000000000021</v>
      </c>
      <c r="U15" s="14"/>
      <c r="V15" s="27" t="str">
        <f t="shared" si="11"/>
        <v>抑郁</v>
      </c>
      <c r="W15" s="59">
        <f>'M1'!B13*1</f>
        <v>14.0473</v>
      </c>
      <c r="X15" s="59">
        <f>'M1'!C13*1</f>
        <v>1.9080699999999999</v>
      </c>
      <c r="Y15" s="59">
        <f>'M1'!D13*1</f>
        <v>13.5832</v>
      </c>
      <c r="Z15" s="59">
        <f>'M1'!E13*1</f>
        <v>10</v>
      </c>
      <c r="AA15" s="59">
        <f>'M1'!F13*1</f>
        <v>11.5655</v>
      </c>
      <c r="AB15" s="59">
        <f>'M1'!G13*1</f>
        <v>25</v>
      </c>
      <c r="AC15" s="59">
        <f>'M1'!H13*1</f>
        <v>23.704000000000001</v>
      </c>
      <c r="AE15" s="27" t="str">
        <f t="shared" si="12"/>
        <v>抑郁</v>
      </c>
      <c r="AF15" s="59">
        <f>'M2'!B13*1</f>
        <v>13.733700000000001</v>
      </c>
      <c r="AG15" s="59">
        <f>'M2'!C13*1</f>
        <v>1.2114199999999999</v>
      </c>
      <c r="AH15" s="59">
        <f>'M2'!D13*1</f>
        <v>8.8207400000000007</v>
      </c>
      <c r="AI15" s="59">
        <f>'M2'!E13*1</f>
        <v>10</v>
      </c>
      <c r="AJ15" s="59">
        <f>'M2'!F13*1</f>
        <v>12.3705</v>
      </c>
      <c r="AK15" s="59">
        <f>'M2'!G13*1</f>
        <v>25</v>
      </c>
      <c r="AL15" s="59">
        <f>'M2'!H13*1</f>
        <v>17.416799999999999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-6.9664999999999999</v>
      </c>
      <c r="O16" s="59">
        <f t="shared" si="5"/>
        <v>-1.3354300000000006</v>
      </c>
      <c r="P16" s="59">
        <f t="shared" si="6"/>
        <v>12.067599999999999</v>
      </c>
      <c r="Q16" s="59">
        <f t="shared" si="7"/>
        <v>0</v>
      </c>
      <c r="R16" s="59">
        <f t="shared" si="8"/>
        <v>7.7296000000000031E-2</v>
      </c>
      <c r="S16" s="59">
        <f t="shared" si="9"/>
        <v>0</v>
      </c>
      <c r="T16" s="59">
        <f t="shared" si="10"/>
        <v>-10.503399999999999</v>
      </c>
      <c r="U16" s="15"/>
      <c r="V16" s="27" t="str">
        <f t="shared" si="11"/>
        <v>神经质</v>
      </c>
      <c r="W16" s="59">
        <f>'M1'!B14*1</f>
        <v>19.0807</v>
      </c>
      <c r="X16" s="59">
        <f>'M1'!C14*1</f>
        <v>7.6615700000000002</v>
      </c>
      <c r="Y16" s="59">
        <f>'M1'!D14*1</f>
        <v>40.153500000000001</v>
      </c>
      <c r="Z16" s="59">
        <f>'M1'!E14*1</f>
        <v>10</v>
      </c>
      <c r="AA16" s="59">
        <f>'M1'!F14*1</f>
        <v>0.90299200000000002</v>
      </c>
      <c r="AB16" s="59">
        <f>'M1'!G14*1</f>
        <v>50</v>
      </c>
      <c r="AC16" s="59">
        <f>'M1'!H14*1</f>
        <v>29.5685</v>
      </c>
      <c r="AE16" s="27" t="str">
        <f t="shared" si="12"/>
        <v>神经质</v>
      </c>
      <c r="AF16" s="59">
        <f>'M2'!B14*1</f>
        <v>12.1142</v>
      </c>
      <c r="AG16" s="59">
        <f>'M2'!C14*1</f>
        <v>6.3261399999999997</v>
      </c>
      <c r="AH16" s="59">
        <f>'M2'!D14*1</f>
        <v>52.2211</v>
      </c>
      <c r="AI16" s="59">
        <f>'M2'!E14*1</f>
        <v>10</v>
      </c>
      <c r="AJ16" s="59">
        <f>'M2'!F14*1</f>
        <v>0.98028800000000005</v>
      </c>
      <c r="AK16" s="59">
        <f>'M2'!G14*1</f>
        <v>50</v>
      </c>
      <c r="AL16" s="59">
        <f>'M2'!H14*1</f>
        <v>19.065100000000001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5.1732249999999986</v>
      </c>
      <c r="O17" s="22">
        <f>N17/(N17+N18+N19)</f>
        <v>1.135581128617134</v>
      </c>
      <c r="P17" s="65">
        <f>SUM(P11:P14)/4</f>
        <v>-11.86004</v>
      </c>
      <c r="Q17" s="22">
        <f>P17/(P17+P18+P19)</f>
        <v>0.53062313781994719</v>
      </c>
      <c r="R17" s="14"/>
      <c r="S17" s="14"/>
      <c r="T17" s="14"/>
      <c r="U17" s="14"/>
      <c r="V17" s="21" t="str">
        <f>M17</f>
        <v>Positive</v>
      </c>
      <c r="W17" s="65">
        <f>SUM(W11:W14)/4</f>
        <v>54.386400000000002</v>
      </c>
      <c r="X17" s="22">
        <f>W17/(W17+W18+W19)</f>
        <v>0.52491471019079006</v>
      </c>
      <c r="Y17" s="65">
        <f>SUM(Y11:Y14)/4</f>
        <v>17.118365000000001</v>
      </c>
      <c r="Z17" s="22">
        <f>Y17/(Y17+Y18+Y19)</f>
        <v>0.24752763226026897</v>
      </c>
      <c r="AA17" s="14"/>
      <c r="AB17" s="14"/>
      <c r="AC17" s="14"/>
      <c r="AE17" s="21" t="str">
        <f>V17</f>
        <v>Positive</v>
      </c>
      <c r="AF17" s="65">
        <f>SUM(AF11:AF14)/4</f>
        <v>59.559624999999997</v>
      </c>
      <c r="AG17" s="22">
        <f>AF17/(AF17+AF18+AF19)</f>
        <v>0.55063395877892729</v>
      </c>
      <c r="AH17" s="65">
        <f>SUM(AH11:AH14)/4</f>
        <v>5.2583250000000001</v>
      </c>
      <c r="AI17" s="22">
        <f>AH17/(AH17+AH18+AH19)</f>
        <v>0.11234240480995748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3.0223999999999993</v>
      </c>
      <c r="O18" s="22">
        <f>N18/(N17+N18+N19)</f>
        <v>0.66345082673427624</v>
      </c>
      <c r="P18" s="18">
        <f>SUM(P7:P10)/4</f>
        <v>-14.143685</v>
      </c>
      <c r="Q18" s="22">
        <f>P18/(P17+P18+P19)</f>
        <v>0.63279436789731902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32.659575000000004</v>
      </c>
      <c r="X18" s="22">
        <f>W18/(W17+W18+W19)</f>
        <v>0.31521651269580953</v>
      </c>
      <c r="Y18" s="18">
        <f>SUM(Y7:Y10)/4</f>
        <v>25.170675000000003</v>
      </c>
      <c r="Z18" s="22">
        <f>Y18/(Y17+Y18+Y19)</f>
        <v>0.36396218827807131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35.681974999999994</v>
      </c>
      <c r="AG18" s="22">
        <f>AF18/(AF17+AF18+AF19)</f>
        <v>0.32988298954704148</v>
      </c>
      <c r="AH18" s="18">
        <f>SUM(AH7:AH10)/4</f>
        <v>11.02699</v>
      </c>
      <c r="AI18" s="22">
        <f>AH18/(AH17+AH18+AH19)</f>
        <v>0.235588057873059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-3.6400499999999996</v>
      </c>
      <c r="O19" s="22">
        <f>N19/(N17+N18+N19)</f>
        <v>-0.79903195535141025</v>
      </c>
      <c r="P19" s="18">
        <f>(P15+P16)/2</f>
        <v>3.6525699999999999</v>
      </c>
      <c r="Q19" s="22">
        <f>P19/(P17+P18+P19)</f>
        <v>-0.16341750571726607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16.564</v>
      </c>
      <c r="X19" s="22">
        <f>W19/(W17+W18+W19)</f>
        <v>0.15986877711340053</v>
      </c>
      <c r="Y19" s="18">
        <f>(Y15+Y16)/2</f>
        <v>26.86835</v>
      </c>
      <c r="Z19" s="22">
        <f>Y19/(Y17+Y18+Y19)</f>
        <v>0.38851017946165989</v>
      </c>
      <c r="AA19" s="14"/>
      <c r="AB19" s="14"/>
      <c r="AC19" s="14"/>
      <c r="AE19" s="21" t="str">
        <f t="shared" si="14"/>
        <v>Physiological</v>
      </c>
      <c r="AF19" s="18">
        <f>(AF15+AF16)/2</f>
        <v>12.923950000000001</v>
      </c>
      <c r="AG19" s="22">
        <f>AF19/(AF17+AF18+AF19)</f>
        <v>0.11948305167403117</v>
      </c>
      <c r="AH19" s="18">
        <f>(AH15+AH16)/2</f>
        <v>30.52092</v>
      </c>
      <c r="AI19" s="22">
        <f>AH19/(AH17+AH18+AH19)</f>
        <v>0.65206953731698347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1.39/1.78</v>
      </c>
      <c r="D24" s="44" t="str">
        <f>lang!B11</f>
        <v>频率方差</v>
      </c>
      <c r="E24" s="182" t="str">
        <f ca="1">CONCATENATE(ROUND('FH1'!L3,2),"/",ROUND('FH2'!L3,2))</f>
        <v>0.69/0.59</v>
      </c>
      <c r="F24" s="183"/>
      <c r="G24" s="174" t="str">
        <f>lang!B12</f>
        <v>生理变化率</v>
      </c>
      <c r="H24" s="175"/>
      <c r="I24" s="62" t="str">
        <f ca="1">CONCATENATE(info!M7,"-",info!M8)</f>
        <v>32.4-64.9</v>
      </c>
      <c r="J24" s="42" t="str">
        <f>lang!B13</f>
        <v>千卡l/分钟</v>
      </c>
      <c r="K24" s="41" t="str">
        <f ca="1">CONCATENATE(info!M5,"-",info!M6)</f>
        <v>1.6-3.9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-6.7303999999999977</v>
      </c>
      <c r="F27" s="121"/>
      <c r="G27" s="135" t="str">
        <f>lang!B33</f>
        <v>稳定性</v>
      </c>
      <c r="H27" s="136"/>
      <c r="I27" s="137"/>
      <c r="J27" s="138">
        <f>dM!B19*100</f>
        <v>12.791399999999998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-0.96619422744703998</v>
      </c>
      <c r="C2">
        <f t="array" aca="1" ref="C2" ca="1">CORREL(FT_E02,FT_PH02)</f>
        <v>-0.45080574880053365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1.5526300000000002</v>
      </c>
      <c r="G2" s="61">
        <f>IF(FT!B2&lt;&gt;"",FT!B2*100,"")</f>
        <v>64.884900000000002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1.6034799999999998</v>
      </c>
      <c r="G3" s="61">
        <f>IF(FT!B3&lt;&gt;"",FT!B3*100,"")</f>
        <v>63.898900000000005</v>
      </c>
      <c r="H3" s="61">
        <f t="shared" ref="H3:H66" si="1">(IF(F3&lt;&gt;"",1,""))</f>
        <v>1</v>
      </c>
      <c r="I3" t="str">
        <f>IF(FT!B3&lt;&gt;"",FT!E3,"")</f>
        <v>1 [0.363742]</v>
      </c>
      <c r="J3">
        <f>IF(FT!B3&lt;&gt;"",FT!C3,"")</f>
        <v>0.36374200000000001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0.41349039189189191</v>
      </c>
      <c r="V3">
        <f ca="1">AVERAGE(OFFSET(FT!B2,info!$L$3/2,0,info!$L$3/2,1))</f>
        <v>0.40804221621621611</v>
      </c>
      <c r="W3">
        <f ca="1">AVERAGE(OFFSET(FT!A2,0,0,info!$L$3/2,1))</f>
        <v>0.30340140540540544</v>
      </c>
      <c r="X3">
        <f ca="1">AVERAGE(OFFSET(FT!A2,info!$L$3/2,0,info!$L$3/2,1))</f>
        <v>0.36467875675675665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1.65211</v>
      </c>
      <c r="G4" s="61">
        <f>IF(FT!B4&lt;&gt;"",FT!B4*100,"")</f>
        <v>63.070099999999996</v>
      </c>
      <c r="H4" s="61">
        <f t="shared" si="1"/>
        <v>1</v>
      </c>
      <c r="I4" t="str">
        <f>IF(FT!B4&lt;&gt;"",FT!E4,"")</f>
        <v>1 [0.769679]</v>
      </c>
      <c r="J4">
        <f>IF(FT!B4&lt;&gt;"",FT!C4,"")</f>
        <v>0.769679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14.934575000000001</v>
      </c>
      <c r="V4">
        <f>U4*3</f>
        <v>44.803725</v>
      </c>
      <c r="W4">
        <f>U4</f>
        <v>14.934575000000001</v>
      </c>
      <c r="X4">
        <f>V4</f>
        <v>44.803725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1.6998599999999999</v>
      </c>
      <c r="G5" s="61">
        <f>IF(FT!B5&lt;&gt;"",FT!B5*100,"")</f>
        <v>62.266800000000003</v>
      </c>
      <c r="H5" s="61">
        <f t="shared" si="1"/>
        <v>1</v>
      </c>
      <c r="I5" t="str">
        <f>IF(FT!B5&lt;&gt;"",FT!E5,"")</f>
        <v>1 [1.176130]</v>
      </c>
      <c r="J5">
        <f>IF(FT!B5&lt;&gt;"",FT!C5,"")</f>
        <v>1.1761299999999999</v>
      </c>
      <c r="K5" t="s">
        <v>53</v>
      </c>
      <c r="L5" s="63">
        <f ca="1">MIN(FT_E)</f>
        <v>1.5526300000000002</v>
      </c>
      <c r="M5" s="63">
        <f ca="1">ROUND(L5,1)</f>
        <v>1.6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41.349039189189192</v>
      </c>
      <c r="V5">
        <f ca="1">V3*100</f>
        <v>40.804221621621615</v>
      </c>
      <c r="W5">
        <f ca="1">W3*10</f>
        <v>3.0340140540540546</v>
      </c>
      <c r="X5">
        <f ca="1">X3*10</f>
        <v>3.6467875675675665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1.7510700000000001</v>
      </c>
      <c r="G6" s="61">
        <f>IF(FT!B6&lt;&gt;"",FT!B6*100,"")</f>
        <v>61.2742</v>
      </c>
      <c r="H6" s="61">
        <f t="shared" si="1"/>
        <v>1</v>
      </c>
      <c r="I6" t="str">
        <f>IF(FT!B6&lt;&gt;"",FT!E6,"")</f>
        <v>1 [1.584103]</v>
      </c>
      <c r="J6">
        <f>IF(FT!B6&lt;&gt;"",FT!C6,"")</f>
        <v>1.5841000000000001</v>
      </c>
      <c r="K6" t="s">
        <v>54</v>
      </c>
      <c r="L6" s="63">
        <f ca="1">MAX(FT_E)</f>
        <v>3.9155699999999998</v>
      </c>
      <c r="M6" s="63">
        <f ca="1">ROUND(L6,1)</f>
        <v>3.9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1.8045</v>
      </c>
      <c r="G7" s="61">
        <f>IF(FT!B7&lt;&gt;"",FT!B7*100,"")</f>
        <v>60.196199999999997</v>
      </c>
      <c r="H7" s="61">
        <f t="shared" si="1"/>
        <v>1</v>
      </c>
      <c r="I7" t="str">
        <f>IF(FT!B7&lt;&gt;"",FT!E7,"")</f>
        <v>1 [1.990278]</v>
      </c>
      <c r="J7">
        <f>IF(FT!B7&lt;&gt;"",FT!C7,"")</f>
        <v>1.99028</v>
      </c>
      <c r="K7" t="s">
        <v>55</v>
      </c>
      <c r="L7" s="63">
        <f ca="1">MIN(FT_PH)</f>
        <v>32.360299999999995</v>
      </c>
      <c r="M7" s="63">
        <f ca="1">ROUND(L7,1)</f>
        <v>32.4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1803</v>
      </c>
      <c r="D8" s="61">
        <f>FH!B8*1</f>
        <v>1803</v>
      </c>
      <c r="E8">
        <f t="shared" si="3"/>
        <v>6</v>
      </c>
      <c r="F8" s="61">
        <f>IF(FT!A8&lt;&gt;"",FT!A8*10,"")</f>
        <v>1.86365</v>
      </c>
      <c r="G8" s="61">
        <f>IF(FT!B8&lt;&gt;"",FT!B8*100,"")</f>
        <v>58.972100000000005</v>
      </c>
      <c r="H8" s="61">
        <f t="shared" si="1"/>
        <v>1</v>
      </c>
      <c r="I8" t="str">
        <f>IF(FT!B8&lt;&gt;"",FT!E8,"")</f>
        <v>1 [2.394497]</v>
      </c>
      <c r="J8">
        <f>IF(FT!B8&lt;&gt;"",FT!C8,"")</f>
        <v>2.3944999999999999</v>
      </c>
      <c r="K8" t="s">
        <v>56</v>
      </c>
      <c r="L8" s="63">
        <f ca="1">MAX(FT_PH)</f>
        <v>64.884900000000002</v>
      </c>
      <c r="M8" s="63">
        <f ca="1">ROUND(L8,1)</f>
        <v>64.900000000000006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1.9264600000000001</v>
      </c>
      <c r="G9" s="61">
        <f>IF(FT!B9&lt;&gt;"",FT!B9*100,"")</f>
        <v>57.654399999999995</v>
      </c>
      <c r="H9" s="61">
        <f t="shared" si="1"/>
        <v>1</v>
      </c>
      <c r="I9" t="str">
        <f>IF(FT!B9&lt;&gt;"",FT!E9,"")</f>
        <v>1 [2.804416]</v>
      </c>
      <c r="J9">
        <f>IF(FT!B9&lt;&gt;"",FT!C9,"")</f>
        <v>2.8044199999999999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7450</v>
      </c>
      <c r="D10" s="61">
        <f>FH!B10*1</f>
        <v>7450</v>
      </c>
      <c r="E10">
        <f t="shared" si="3"/>
        <v>8</v>
      </c>
      <c r="F10" s="61">
        <f>IF(FT!A10&lt;&gt;"",FT!A10*10,"")</f>
        <v>1.98617</v>
      </c>
      <c r="G10" s="61">
        <f>IF(FT!B10&lt;&gt;"",FT!B10*100,"")</f>
        <v>56.394599999999997</v>
      </c>
      <c r="H10" s="61">
        <f t="shared" si="1"/>
        <v>1</v>
      </c>
      <c r="I10" t="str">
        <f>IF(FT!B10&lt;&gt;"",FT!E10,"")</f>
        <v>1 [3.209907]</v>
      </c>
      <c r="J10">
        <f>IF(FT!B10&lt;&gt;"",FT!C10,"")</f>
        <v>3.2099099999999998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2.0432600000000001</v>
      </c>
      <c r="G11" s="61">
        <f>IF(FT!B11&lt;&gt;"",FT!B11*100,"")</f>
        <v>55.174599999999998</v>
      </c>
      <c r="H11" s="61">
        <f t="shared" si="1"/>
        <v>1</v>
      </c>
      <c r="I11" t="str">
        <f>IF(FT!B11&lt;&gt;"",FT!E11,"")</f>
        <v>1 [3.617129]</v>
      </c>
      <c r="J11">
        <f>IF(FT!B11&lt;&gt;"",FT!C11,"")</f>
        <v>3.61713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2.1009700000000002</v>
      </c>
      <c r="G12" s="61">
        <f>IF(FT!B12&lt;&gt;"",FT!B12*100,"")</f>
        <v>53.904200000000003</v>
      </c>
      <c r="H12" s="61">
        <f t="shared" si="1"/>
        <v>1</v>
      </c>
      <c r="I12" t="str">
        <f>IF(FT!B12&lt;&gt;"",FT!E12,"")</f>
        <v>1 [4.021023]</v>
      </c>
      <c r="J12">
        <f>IF(FT!B12&lt;&gt;"",FT!C12,"")</f>
        <v>4.02102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7972</v>
      </c>
      <c r="D13" s="61">
        <f>FH!B13*1</f>
        <v>7972</v>
      </c>
      <c r="E13">
        <f t="shared" si="3"/>
        <v>11</v>
      </c>
      <c r="F13" s="61">
        <f>IF(FT!A13&lt;&gt;"",FT!A13*10,"")</f>
        <v>2.1585999999999999</v>
      </c>
      <c r="G13" s="61">
        <f>IF(FT!B13&lt;&gt;"",FT!B13*100,"")</f>
        <v>52.659100000000002</v>
      </c>
      <c r="H13" s="61">
        <f t="shared" si="1"/>
        <v>1</v>
      </c>
      <c r="I13" t="str">
        <f>IF(FT!B13&lt;&gt;"",FT!E13,"")</f>
        <v>1 [4.426562]</v>
      </c>
      <c r="J13">
        <f>IF(FT!B13&lt;&gt;"",FT!C13,"")</f>
        <v>4.4265600000000003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2.2147399999999999</v>
      </c>
      <c r="G14" s="61">
        <f>IF(FT!B14&lt;&gt;"",FT!B14*100,"")</f>
        <v>51.501100000000001</v>
      </c>
      <c r="H14" s="61">
        <f t="shared" si="1"/>
        <v>1</v>
      </c>
      <c r="I14" t="str">
        <f>IF(FT!B14&lt;&gt;"",FT!E14,"")</f>
        <v>1 [4.835508]</v>
      </c>
      <c r="J14">
        <f>IF(FT!B14&lt;&gt;"",FT!C14,"")</f>
        <v>4.8355100000000002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9821</v>
      </c>
      <c r="D15" s="61">
        <f>FH!B15*1</f>
        <v>9821</v>
      </c>
      <c r="E15">
        <f t="shared" si="3"/>
        <v>13</v>
      </c>
      <c r="F15" s="61">
        <f>IF(FT!A15&lt;&gt;"",FT!A15*10,"")</f>
        <v>2.2693599999999998</v>
      </c>
      <c r="G15" s="61">
        <f>IF(FT!B15&lt;&gt;"",FT!B15*100,"")</f>
        <v>50.366500000000002</v>
      </c>
      <c r="H15" s="61">
        <f t="shared" si="1"/>
        <v>1</v>
      </c>
      <c r="I15" t="str">
        <f>IF(FT!B15&lt;&gt;"",FT!E15,"")</f>
        <v>1 [5.242873]</v>
      </c>
      <c r="J15">
        <f>IF(FT!B15&lt;&gt;"",FT!C15,"")</f>
        <v>5.2428699999999999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2.3231199999999999</v>
      </c>
      <c r="G16" s="61">
        <f>IF(FT!B16&lt;&gt;"",FT!B16*100,"")</f>
        <v>49.174500000000002</v>
      </c>
      <c r="H16" s="61">
        <f t="shared" si="1"/>
        <v>1</v>
      </c>
      <c r="I16" t="str">
        <f>IF(FT!B16&lt;&gt;"",FT!E16,"")</f>
        <v>1 [5.648027]</v>
      </c>
      <c r="J16">
        <f>IF(FT!B16&lt;&gt;"",FT!C16,"")</f>
        <v>5.6480300000000003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2.3752599999999999</v>
      </c>
      <c r="G17" s="61">
        <f>IF(FT!B17&lt;&gt;"",FT!B17*100,"")</f>
        <v>48.065300000000001</v>
      </c>
      <c r="H17" s="61">
        <f t="shared" si="1"/>
        <v>1</v>
      </c>
      <c r="I17" t="str">
        <f>IF(FT!B17&lt;&gt;"",FT!E17,"")</f>
        <v>1 [6.055492]</v>
      </c>
      <c r="J17">
        <f>IF(FT!B17&lt;&gt;"",FT!C17,"")</f>
        <v>6.0554899999999998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22122</v>
      </c>
      <c r="D18" s="61">
        <f>FH!B18*1</f>
        <v>22122</v>
      </c>
      <c r="E18">
        <f t="shared" si="3"/>
        <v>16</v>
      </c>
      <c r="F18" s="61">
        <f>IF(FT!A18&lt;&gt;"",FT!A18*10,"")</f>
        <v>2.4251800000000001</v>
      </c>
      <c r="G18" s="61">
        <f>IF(FT!B18&lt;&gt;"",FT!B18*100,"")</f>
        <v>46.9876</v>
      </c>
      <c r="H18" s="61">
        <f t="shared" si="1"/>
        <v>1</v>
      </c>
      <c r="I18" t="str">
        <f>IF(FT!B18&lt;&gt;"",FT!E18,"")</f>
        <v>1 [6.460202]</v>
      </c>
      <c r="J18">
        <f>IF(FT!B18&lt;&gt;"",FT!C18,"")</f>
        <v>6.4602000000000004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2.4730300000000001</v>
      </c>
      <c r="G19" s="61">
        <f>IF(FT!B19&lt;&gt;"",FT!B19*100,"")</f>
        <v>45.959200000000003</v>
      </c>
      <c r="H19" s="61">
        <f t="shared" si="1"/>
        <v>1</v>
      </c>
      <c r="I19" t="str">
        <f>IF(FT!B19&lt;&gt;"",FT!E19,"")</f>
        <v>1 [6.863985]</v>
      </c>
      <c r="J19">
        <f>IF(FT!B19&lt;&gt;"",FT!C19,"")</f>
        <v>6.8639799999999997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2.5188600000000001</v>
      </c>
      <c r="G20" s="61">
        <f>IF(FT!B20&lt;&gt;"",FT!B20*100,"")</f>
        <v>45.0045</v>
      </c>
      <c r="H20" s="61">
        <f t="shared" si="1"/>
        <v>1</v>
      </c>
      <c r="I20" t="str">
        <f>IF(FT!B20&lt;&gt;"",FT!E20,"")</f>
        <v>1 [7.273677]</v>
      </c>
      <c r="J20">
        <f>IF(FT!B20&lt;&gt;"",FT!C20,"")</f>
        <v>7.2736799999999997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42134</v>
      </c>
      <c r="D21" s="61">
        <f>FH!B21*1</f>
        <v>42134</v>
      </c>
      <c r="E21">
        <f t="shared" si="3"/>
        <v>19</v>
      </c>
      <c r="F21" s="61">
        <f>IF(FT!A21&lt;&gt;"",FT!A21*10,"")</f>
        <v>2.5611499999999996</v>
      </c>
      <c r="G21" s="61">
        <f>IF(FT!B21&lt;&gt;"",FT!B21*100,"")</f>
        <v>44.213000000000001</v>
      </c>
      <c r="H21" s="61">
        <f t="shared" si="1"/>
        <v>1</v>
      </c>
      <c r="I21" t="str">
        <f>IF(FT!B21&lt;&gt;"",FT!E21,"")</f>
        <v>1 [7.678723]</v>
      </c>
      <c r="J21">
        <f>IF(FT!B21&lt;&gt;"",FT!C21,"")</f>
        <v>7.6787200000000002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2.6013700000000002</v>
      </c>
      <c r="G22" s="61">
        <f>IF(FT!B22&lt;&gt;"",FT!B22*100,"")</f>
        <v>43.590299999999999</v>
      </c>
      <c r="H22" s="61">
        <f t="shared" si="1"/>
        <v>1</v>
      </c>
      <c r="I22" t="str">
        <f>IF(FT!B22&lt;&gt;"",FT!E22,"")</f>
        <v>1 [8.082092]</v>
      </c>
      <c r="J22">
        <f>IF(FT!B22&lt;&gt;"",FT!C22,"")</f>
        <v>8.0820900000000009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54257</v>
      </c>
      <c r="D23" s="61">
        <f>FH!B23*1</f>
        <v>54257</v>
      </c>
      <c r="E23">
        <f t="shared" si="3"/>
        <v>21</v>
      </c>
      <c r="F23" s="61">
        <f>IF(FT!A23&lt;&gt;"",FT!A23*10,"")</f>
        <v>2.6396700000000002</v>
      </c>
      <c r="G23" s="61">
        <f>IF(FT!B23&lt;&gt;"",FT!B23*100,"")</f>
        <v>43.0779</v>
      </c>
      <c r="H23" s="61">
        <f t="shared" si="1"/>
        <v>1</v>
      </c>
      <c r="I23" t="str">
        <f>IF(FT!B23&lt;&gt;"",FT!E23,"")</f>
        <v>1 [8.488712]</v>
      </c>
      <c r="J23">
        <f>IF(FT!B23&lt;&gt;"",FT!C23,"")</f>
        <v>8.4887099999999993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2.6759699999999995</v>
      </c>
      <c r="G24" s="61">
        <f>IF(FT!B24&lt;&gt;"",FT!B24*100,"")</f>
        <v>42.719000000000001</v>
      </c>
      <c r="H24" s="61">
        <f t="shared" si="1"/>
        <v>1</v>
      </c>
      <c r="I24" t="str">
        <f>IF(FT!B24&lt;&gt;"",FT!E24,"")</f>
        <v>1 [8.895272]</v>
      </c>
      <c r="J24">
        <f>IF(FT!B24&lt;&gt;"",FT!C24,"")</f>
        <v>8.89527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2.71129</v>
      </c>
      <c r="G25" s="61">
        <f>IF(FT!B25&lt;&gt;"",FT!B25*100,"")</f>
        <v>42.378599999999999</v>
      </c>
      <c r="H25" s="61">
        <f t="shared" si="1"/>
        <v>1</v>
      </c>
      <c r="I25" t="str">
        <f>IF(FT!B25&lt;&gt;"",FT!E25,"")</f>
        <v>1 [9.303916]</v>
      </c>
      <c r="J25">
        <f>IF(FT!B25&lt;&gt;"",FT!C25,"")</f>
        <v>9.3039199999999997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50545</v>
      </c>
      <c r="D26" s="61">
        <f>FH!B26*1</f>
        <v>50545</v>
      </c>
      <c r="E26">
        <f t="shared" si="3"/>
        <v>24</v>
      </c>
      <c r="F26" s="61">
        <f>IF(FT!A26&lt;&gt;"",FT!A26*10,"")</f>
        <v>2.7455400000000001</v>
      </c>
      <c r="G26" s="61">
        <f>IF(FT!B26&lt;&gt;"",FT!B26*100,"")</f>
        <v>41.992800000000003</v>
      </c>
      <c r="H26" s="61">
        <f t="shared" si="1"/>
        <v>1</v>
      </c>
      <c r="I26" t="str">
        <f>IF(FT!B26&lt;&gt;"",FT!E26,"")</f>
        <v>1 [9.711100]</v>
      </c>
      <c r="J26">
        <f>IF(FT!B26&lt;&gt;"",FT!C26,"")</f>
        <v>9.7111000000000001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2.7780399999999998</v>
      </c>
      <c r="G27" s="61">
        <f>IF(FT!B27&lt;&gt;"",FT!B27*100,"")</f>
        <v>41.598199999999999</v>
      </c>
      <c r="H27" s="61">
        <f t="shared" si="1"/>
        <v>1</v>
      </c>
      <c r="I27" t="str">
        <f>IF(FT!B27&lt;&gt;"",FT!E27,"")</f>
        <v>1 [10.116289]</v>
      </c>
      <c r="J27">
        <f>IF(FT!B27&lt;&gt;"",FT!C27,"")</f>
        <v>10.116300000000001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56083</v>
      </c>
      <c r="D28" s="61">
        <f>FH!B28*1</f>
        <v>56083</v>
      </c>
      <c r="E28">
        <f t="shared" si="3"/>
        <v>26</v>
      </c>
      <c r="F28" s="61">
        <f>IF(FT!A28&lt;&gt;"",FT!A28*10,"")</f>
        <v>2.8100199999999997</v>
      </c>
      <c r="G28" s="61">
        <f>IF(FT!B28&lt;&gt;"",FT!B28*100,"")</f>
        <v>41.232700000000001</v>
      </c>
      <c r="H28" s="61">
        <f t="shared" si="1"/>
        <v>1</v>
      </c>
      <c r="I28" t="str">
        <f>IF(FT!B28&lt;&gt;"",FT!E28,"")</f>
        <v>1 [10.520436]</v>
      </c>
      <c r="J28">
        <f>IF(FT!B28&lt;&gt;"",FT!C28,"")</f>
        <v>10.5204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2.8442499999999997</v>
      </c>
      <c r="G29" s="61">
        <f>IF(FT!B29&lt;&gt;"",FT!B29*100,"")</f>
        <v>40.883000000000003</v>
      </c>
      <c r="H29" s="61">
        <f t="shared" si="1"/>
        <v>1</v>
      </c>
      <c r="I29" t="str">
        <f>IF(FT!B29&lt;&gt;"",FT!E29,"")</f>
        <v>1 [10.924388]</v>
      </c>
      <c r="J29">
        <f>IF(FT!B29&lt;&gt;"",FT!C29,"")</f>
        <v>10.9244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2.8784700000000001</v>
      </c>
      <c r="G30" s="61">
        <f>IF(FT!B30&lt;&gt;"",FT!B30*100,"")</f>
        <v>40.579900000000002</v>
      </c>
      <c r="H30" s="61">
        <f t="shared" si="1"/>
        <v>1</v>
      </c>
      <c r="I30" t="str">
        <f>IF(FT!B30&lt;&gt;"",FT!E30,"")</f>
        <v>1 [11.334172]</v>
      </c>
      <c r="J30">
        <f>IF(FT!B30&lt;&gt;"",FT!C30,"")</f>
        <v>11.334199999999999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66313</v>
      </c>
      <c r="D31" s="61">
        <f>FH!B31*1</f>
        <v>66313</v>
      </c>
      <c r="E31">
        <f t="shared" si="3"/>
        <v>29</v>
      </c>
      <c r="F31" s="61">
        <f>IF(FT!A31&lt;&gt;"",FT!A31*10,"")</f>
        <v>2.9114</v>
      </c>
      <c r="G31" s="61">
        <f>IF(FT!B31&lt;&gt;"",FT!B31*100,"")</f>
        <v>40.2517</v>
      </c>
      <c r="H31" s="61">
        <f t="shared" si="1"/>
        <v>1</v>
      </c>
      <c r="I31" t="str">
        <f>IF(FT!B31&lt;&gt;"",FT!E31,"")</f>
        <v>1 [11.740435]</v>
      </c>
      <c r="J31">
        <f>IF(FT!B31&lt;&gt;"",FT!C31,"")</f>
        <v>11.740399999999999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2.94265</v>
      </c>
      <c r="G32" s="61">
        <f>IF(FT!B32&lt;&gt;"",FT!B32*100,"")</f>
        <v>39.922400000000003</v>
      </c>
      <c r="H32" s="61">
        <f t="shared" si="1"/>
        <v>1</v>
      </c>
      <c r="I32" t="str">
        <f>IF(FT!B32&lt;&gt;"",FT!E32,"")</f>
        <v>1 [12.146242]</v>
      </c>
      <c r="J32">
        <f>IF(FT!B32&lt;&gt;"",FT!C32,"")</f>
        <v>12.1462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71839</v>
      </c>
      <c r="D33" s="61">
        <f>FH!B33*1</f>
        <v>71839</v>
      </c>
      <c r="E33">
        <f t="shared" si="3"/>
        <v>31</v>
      </c>
      <c r="F33" s="61">
        <f>IF(FT!A33&lt;&gt;"",FT!A33*10,"")</f>
        <v>2.9725200000000003</v>
      </c>
      <c r="G33" s="61">
        <f>IF(FT!B33&lt;&gt;"",FT!B33*100,"")</f>
        <v>39.580100000000002</v>
      </c>
      <c r="H33" s="61">
        <f t="shared" si="1"/>
        <v>1</v>
      </c>
      <c r="I33" t="str">
        <f>IF(FT!B33&lt;&gt;"",FT!E33,"")</f>
        <v>1 [12.551214]</v>
      </c>
      <c r="J33">
        <f>IF(FT!B33&lt;&gt;"",FT!C33,"")</f>
        <v>12.5512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3.0026199999999998</v>
      </c>
      <c r="G34" s="61">
        <f>IF(FT!B34&lt;&gt;"",FT!B34*100,"")</f>
        <v>39.164700000000003</v>
      </c>
      <c r="H34" s="61">
        <f t="shared" si="1"/>
        <v>1</v>
      </c>
      <c r="I34" t="str">
        <f>IF(FT!B34&lt;&gt;"",FT!E34,"")</f>
        <v>1 [12.960806]</v>
      </c>
      <c r="J34">
        <f>IF(FT!B34&lt;&gt;"",FT!C34,"")</f>
        <v>12.960800000000001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3.0340600000000002</v>
      </c>
      <c r="G35" s="61">
        <f>IF(FT!B35&lt;&gt;"",FT!B35*100,"")</f>
        <v>38.793199999999999</v>
      </c>
      <c r="H35" s="61">
        <f t="shared" si="1"/>
        <v>1</v>
      </c>
      <c r="I35" t="str">
        <f>IF(FT!B35&lt;&gt;"",FT!E35,"")</f>
        <v>1 [13.367489]</v>
      </c>
      <c r="J35">
        <f>IF(FT!B35&lt;&gt;"",FT!C35,"")</f>
        <v>13.3675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65671</v>
      </c>
      <c r="D36" s="61">
        <f>FH!B36*1</f>
        <v>65671</v>
      </c>
      <c r="E36">
        <f t="shared" si="3"/>
        <v>34</v>
      </c>
      <c r="F36" s="61">
        <f>IF(FT!A36&lt;&gt;"",FT!A36*10,"")</f>
        <v>3.0659100000000001</v>
      </c>
      <c r="G36" s="61">
        <f>IF(FT!B36&lt;&gt;"",FT!B36*100,"")</f>
        <v>38.451800000000006</v>
      </c>
      <c r="H36" s="61">
        <f t="shared" si="1"/>
        <v>1</v>
      </c>
      <c r="I36" t="str">
        <f>IF(FT!B36&lt;&gt;"",FT!E36,"")</f>
        <v>1 [13.771704]</v>
      </c>
      <c r="J36">
        <f>IF(FT!B36&lt;&gt;"",FT!C36,"")</f>
        <v>13.771699999999999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3.0984499999999997</v>
      </c>
      <c r="G37" s="61">
        <f>IF(FT!B37&lt;&gt;"",FT!B37*100,"")</f>
        <v>38.113599999999998</v>
      </c>
      <c r="H37" s="61">
        <f t="shared" si="1"/>
        <v>1</v>
      </c>
      <c r="I37" t="str">
        <f>IF(FT!B37&lt;&gt;"",FT!E37,"")</f>
        <v>1 [14.177970]</v>
      </c>
      <c r="J37">
        <f>IF(FT!B37&lt;&gt;"",FT!C37,"")</f>
        <v>14.178000000000001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3.1299199999999998</v>
      </c>
      <c r="G38" s="61">
        <f>IF(FT!B38&lt;&gt;"",FT!B38*100,"")</f>
        <v>37.826300000000003</v>
      </c>
      <c r="H38" s="61">
        <f t="shared" si="1"/>
        <v>1</v>
      </c>
      <c r="I38" t="str">
        <f>IF(FT!B38&lt;&gt;"",FT!E38,"")</f>
        <v>1 [14.583417]</v>
      </c>
      <c r="J38">
        <f>IF(FT!B38&lt;&gt;"",FT!C38,"")</f>
        <v>14.583399999999999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70309</v>
      </c>
      <c r="D39" s="61">
        <f>FH!B39*1</f>
        <v>70309</v>
      </c>
      <c r="E39">
        <f t="shared" si="3"/>
        <v>37</v>
      </c>
      <c r="F39" s="61">
        <f>IF(FT!A39&lt;&gt;"",FT!A39*10,"")</f>
        <v>3.1609500000000001</v>
      </c>
      <c r="G39" s="61">
        <f>IF(FT!B39&lt;&gt;"",FT!B39*100,"")</f>
        <v>37.563600000000001</v>
      </c>
      <c r="H39" s="61">
        <f t="shared" si="1"/>
        <v>1</v>
      </c>
      <c r="I39" t="str">
        <f>IF(FT!B39&lt;&gt;"",FT!E39,"")</f>
        <v>1 [14.988692]</v>
      </c>
      <c r="J39">
        <f>IF(FT!B39&lt;&gt;"",FT!C39,"")</f>
        <v>14.9887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3.1913</v>
      </c>
      <c r="G40" s="61">
        <f>IF(FT!B40&lt;&gt;"",FT!B40*100,"")</f>
        <v>37.336100000000002</v>
      </c>
      <c r="H40" s="61">
        <f t="shared" si="1"/>
        <v>1</v>
      </c>
      <c r="I40" t="str">
        <f>IF(FT!B40&lt;&gt;"",FT!E40,"")</f>
        <v>1 [15.396372]</v>
      </c>
      <c r="J40">
        <f>IF(FT!B40&lt;&gt;"",FT!C40,"")</f>
        <v>15.3964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85248</v>
      </c>
      <c r="D41" s="61">
        <f>FH!B41*1</f>
        <v>85248</v>
      </c>
      <c r="E41">
        <f t="shared" si="3"/>
        <v>39</v>
      </c>
      <c r="F41" s="61">
        <f>IF(FT!A41&lt;&gt;"",FT!A41*10,"")</f>
        <v>3.2235499999999999</v>
      </c>
      <c r="G41" s="61">
        <f>IF(FT!B41&lt;&gt;"",FT!B41*100,"")</f>
        <v>37.079599999999999</v>
      </c>
      <c r="H41" s="61">
        <f t="shared" si="1"/>
        <v>1</v>
      </c>
      <c r="I41" t="str">
        <f>IF(FT!B41&lt;&gt;"",FT!E41,"")</f>
        <v>1 [15.801604]</v>
      </c>
      <c r="J41">
        <f>IF(FT!B41&lt;&gt;"",FT!C41,"")</f>
        <v>15.801600000000001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3.2578499999999999</v>
      </c>
      <c r="G42" s="61">
        <f>IF(FT!B42&lt;&gt;"",FT!B42*100,"")</f>
        <v>36.815100000000001</v>
      </c>
      <c r="H42" s="61">
        <f t="shared" si="1"/>
        <v>1</v>
      </c>
      <c r="I42" t="str">
        <f>IF(FT!B42&lt;&gt;"",FT!E42,"")</f>
        <v>1 [16.210929]</v>
      </c>
      <c r="J42">
        <f>IF(FT!B42&lt;&gt;"",FT!C42,"")</f>
        <v>16.210899999999999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3.2925399999999998</v>
      </c>
      <c r="G43" s="61">
        <f>IF(FT!B43&lt;&gt;"",FT!B43*100,"")</f>
        <v>36.594000000000001</v>
      </c>
      <c r="H43" s="61">
        <f t="shared" si="1"/>
        <v>1</v>
      </c>
      <c r="I43" t="str">
        <f>IF(FT!B43&lt;&gt;"",FT!E43,"")</f>
        <v>1 [16.613639]</v>
      </c>
      <c r="J43">
        <f>IF(FT!B43&lt;&gt;"",FT!C43,"")</f>
        <v>16.613600000000002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83976</v>
      </c>
      <c r="D44" s="61">
        <f>FH!B44*1</f>
        <v>83976</v>
      </c>
      <c r="E44">
        <f t="shared" si="3"/>
        <v>42</v>
      </c>
      <c r="F44" s="61">
        <f>IF(FT!A44&lt;&gt;"",FT!A44*10,"")</f>
        <v>3.3288800000000003</v>
      </c>
      <c r="G44" s="61">
        <f>IF(FT!B44&lt;&gt;"",FT!B44*100,"")</f>
        <v>36.370999999999995</v>
      </c>
      <c r="H44" s="61">
        <f t="shared" si="1"/>
        <v>1</v>
      </c>
      <c r="I44" t="str">
        <f>IF(FT!B44&lt;&gt;"",FT!E44,"")</f>
        <v>1 [17.019366]</v>
      </c>
      <c r="J44">
        <f>IF(FT!B44&lt;&gt;"",FT!C44,"")</f>
        <v>17.019400000000001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3.3652100000000003</v>
      </c>
      <c r="G45" s="61">
        <f>IF(FT!B45&lt;&gt;"",FT!B45*100,"")</f>
        <v>36.126000000000005</v>
      </c>
      <c r="H45" s="61">
        <f t="shared" si="1"/>
        <v>1</v>
      </c>
      <c r="I45" t="str">
        <f>IF(FT!B45&lt;&gt;"",FT!E45,"")</f>
        <v>1 [17.425937]</v>
      </c>
      <c r="J45">
        <f>IF(FT!B45&lt;&gt;"",FT!C45,"")</f>
        <v>17.425899999999999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95159</v>
      </c>
      <c r="D46" s="61">
        <f>FH!B46*1</f>
        <v>95159</v>
      </c>
      <c r="E46">
        <f t="shared" si="3"/>
        <v>44</v>
      </c>
      <c r="F46" s="61">
        <f>IF(FT!A46&lt;&gt;"",FT!A46*10,"")</f>
        <v>3.40368</v>
      </c>
      <c r="G46" s="61">
        <f>IF(FT!B46&lt;&gt;"",FT!B46*100,"")</f>
        <v>35.786799999999999</v>
      </c>
      <c r="H46" s="61">
        <f t="shared" si="1"/>
        <v>1</v>
      </c>
      <c r="I46" t="str">
        <f>IF(FT!B46&lt;&gt;"",FT!E46,"")</f>
        <v>1 [17.835124]</v>
      </c>
      <c r="J46">
        <f>IF(FT!B46&lt;&gt;"",FT!C46,"")</f>
        <v>17.835100000000001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3.44421</v>
      </c>
      <c r="G47" s="61">
        <f>IF(FT!B47&lt;&gt;"",FT!B47*100,"")</f>
        <v>35.378900000000002</v>
      </c>
      <c r="H47" s="61">
        <f t="shared" si="1"/>
        <v>1</v>
      </c>
      <c r="I47" t="str">
        <f>IF(FT!B47&lt;&gt;"",FT!E47,"")</f>
        <v>1 [18.238463]</v>
      </c>
      <c r="J47">
        <f>IF(FT!B47&lt;&gt;"",FT!C47,"")</f>
        <v>18.238499999999998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3.4854200000000004</v>
      </c>
      <c r="G48" s="61">
        <f>IF(FT!B48&lt;&gt;"",FT!B48*100,"")</f>
        <v>34.979700000000001</v>
      </c>
      <c r="H48" s="61">
        <f t="shared" si="1"/>
        <v>1</v>
      </c>
      <c r="I48" t="str">
        <f>IF(FT!B48&lt;&gt;"",FT!E48,"")</f>
        <v>1 [18.648436]</v>
      </c>
      <c r="J48">
        <f>IF(FT!B48&lt;&gt;"",FT!C48,"")</f>
        <v>18.648399999999999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104065</v>
      </c>
      <c r="D49" s="61">
        <f>FH!B49*1</f>
        <v>104065</v>
      </c>
      <c r="E49">
        <f t="shared" si="3"/>
        <v>47</v>
      </c>
      <c r="F49" s="61">
        <f>IF(FT!A49&lt;&gt;"",FT!A49*10,"")</f>
        <v>3.5273599999999998</v>
      </c>
      <c r="G49" s="61">
        <f>IF(FT!B49&lt;&gt;"",FT!B49*100,"")</f>
        <v>34.563400000000001</v>
      </c>
      <c r="H49" s="61">
        <f t="shared" si="1"/>
        <v>1</v>
      </c>
      <c r="I49" t="str">
        <f>IF(FT!B49&lt;&gt;"",FT!E49,"")</f>
        <v>1 [19.053914]</v>
      </c>
      <c r="J49">
        <f>IF(FT!B49&lt;&gt;"",FT!C49,"")</f>
        <v>19.053899999999999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3.56765</v>
      </c>
      <c r="G50" s="61">
        <f>IF(FT!B50&lt;&gt;"",FT!B50*100,"")</f>
        <v>34.141300000000001</v>
      </c>
      <c r="H50" s="61">
        <f t="shared" si="1"/>
        <v>1</v>
      </c>
      <c r="I50" t="str">
        <f>IF(FT!B50&lt;&gt;"",FT!E50,"")</f>
        <v>1 [19.458145]</v>
      </c>
      <c r="J50">
        <f>IF(FT!B50&lt;&gt;"",FT!C50,"")</f>
        <v>19.458100000000002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114780</v>
      </c>
      <c r="D51" s="61">
        <f>FH!B51*1</f>
        <v>114780</v>
      </c>
      <c r="E51">
        <f t="shared" si="3"/>
        <v>49</v>
      </c>
      <c r="F51" s="61">
        <f>IF(FT!A51&lt;&gt;"",FT!A51*10,"")</f>
        <v>3.6050700000000004</v>
      </c>
      <c r="G51" s="61">
        <f>IF(FT!B51&lt;&gt;"",FT!B51*100,"")</f>
        <v>33.810400000000001</v>
      </c>
      <c r="H51" s="61">
        <f t="shared" si="1"/>
        <v>1</v>
      </c>
      <c r="I51" t="str">
        <f>IF(FT!B51&lt;&gt;"",FT!E51,"")</f>
        <v>1 [19.863321]</v>
      </c>
      <c r="J51">
        <f>IF(FT!B51&lt;&gt;"",FT!C51,"")</f>
        <v>19.863299999999999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3.6337900000000003</v>
      </c>
      <c r="G52" s="61">
        <f>IF(FT!B52&lt;&gt;"",FT!B52*100,"")</f>
        <v>33.6678</v>
      </c>
      <c r="H52" s="61">
        <f t="shared" si="1"/>
        <v>1</v>
      </c>
      <c r="I52" t="str">
        <f>IF(FT!B52&lt;&gt;"",FT!E52,"")</f>
        <v>1 [20.274185]</v>
      </c>
      <c r="J52">
        <f>IF(FT!B52&lt;&gt;"",FT!C52,"")</f>
        <v>20.2742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3.67049</v>
      </c>
      <c r="G53" s="61">
        <f>IF(FT!B53&lt;&gt;"",FT!B53*100,"")</f>
        <v>33.399099999999997</v>
      </c>
      <c r="H53" s="61">
        <f t="shared" si="1"/>
        <v>1</v>
      </c>
      <c r="I53" t="str">
        <f>IF(FT!B53&lt;&gt;"",FT!E53,"")</f>
        <v>1 [20.678759]</v>
      </c>
      <c r="J53">
        <f>IF(FT!B53&lt;&gt;"",FT!C53,"")</f>
        <v>20.678799999999999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127342</v>
      </c>
      <c r="D54" s="61">
        <f>FH!B54*1</f>
        <v>127342</v>
      </c>
      <c r="E54">
        <f t="shared" si="3"/>
        <v>52</v>
      </c>
      <c r="F54" s="61">
        <f>IF(FT!A54&lt;&gt;"",FT!A54*10,"")</f>
        <v>3.7053199999999995</v>
      </c>
      <c r="G54" s="61">
        <f>IF(FT!B54&lt;&gt;"",FT!B54*100,"")</f>
        <v>33.087000000000003</v>
      </c>
      <c r="H54" s="61">
        <f t="shared" si="1"/>
        <v>1</v>
      </c>
      <c r="I54" t="str">
        <f>IF(FT!B54&lt;&gt;"",FT!E54,"")</f>
        <v>1 [21.083697]</v>
      </c>
      <c r="J54">
        <f>IF(FT!B54&lt;&gt;"",FT!C54,"")</f>
        <v>21.0837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3.7380200000000001</v>
      </c>
      <c r="G55" s="61">
        <f>IF(FT!B55&lt;&gt;"",FT!B55*100,"")</f>
        <v>32.826000000000001</v>
      </c>
      <c r="H55" s="61">
        <f t="shared" si="1"/>
        <v>1</v>
      </c>
      <c r="I55" t="str">
        <f>IF(FT!B55&lt;&gt;"",FT!E55,"")</f>
        <v>1 [21.494236]</v>
      </c>
      <c r="J55">
        <f>IF(FT!B55&lt;&gt;"",FT!C55,"")</f>
        <v>21.494199999999999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3.7647599999999999</v>
      </c>
      <c r="G56" s="61">
        <f>IF(FT!B56&lt;&gt;"",FT!B56*100,"")</f>
        <v>32.606999999999999</v>
      </c>
      <c r="H56" s="61">
        <f t="shared" si="1"/>
        <v>1</v>
      </c>
      <c r="I56" t="str">
        <f>IF(FT!B56&lt;&gt;"",FT!E56,"")</f>
        <v>1 [21.895039]</v>
      </c>
      <c r="J56">
        <f>IF(FT!B56&lt;&gt;"",FT!C56,"")</f>
        <v>21.895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141941</v>
      </c>
      <c r="D57" s="61">
        <f>FH!B57*1</f>
        <v>141941</v>
      </c>
      <c r="E57">
        <f t="shared" si="3"/>
        <v>55</v>
      </c>
      <c r="F57" s="61">
        <f>IF(FT!A57&lt;&gt;"",FT!A57*10,"")</f>
        <v>3.7896600000000005</v>
      </c>
      <c r="G57" s="61">
        <f>IF(FT!B57&lt;&gt;"",FT!B57*100,"")</f>
        <v>32.441900000000004</v>
      </c>
      <c r="H57" s="61">
        <f t="shared" si="1"/>
        <v>1</v>
      </c>
      <c r="I57" t="str">
        <f>IF(FT!B57&lt;&gt;"",FT!E57,"")</f>
        <v>1 [22.302445]</v>
      </c>
      <c r="J57">
        <f>IF(FT!B57&lt;&gt;"",FT!C57,"")</f>
        <v>22.302399999999999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3.8113399999999995</v>
      </c>
      <c r="G58" s="61">
        <f>IF(FT!B58&lt;&gt;"",FT!B58*100,"")</f>
        <v>32.360299999999995</v>
      </c>
      <c r="H58" s="61">
        <f t="shared" si="1"/>
        <v>1</v>
      </c>
      <c r="I58" t="str">
        <f>IF(FT!B58&lt;&gt;"",FT!E58,"")</f>
        <v>1 [22.711081]</v>
      </c>
      <c r="J58">
        <f>IF(FT!B58&lt;&gt;"",FT!C58,"")</f>
        <v>22.711099999999998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134892</v>
      </c>
      <c r="D59" s="61">
        <f>FH!B59*1</f>
        <v>134892</v>
      </c>
      <c r="E59">
        <f t="shared" si="3"/>
        <v>57</v>
      </c>
      <c r="F59" s="61">
        <f>IF(FT!A59&lt;&gt;"",FT!A59*10,"")</f>
        <v>3.8264300000000002</v>
      </c>
      <c r="G59" s="61">
        <f>IF(FT!B59&lt;&gt;"",FT!B59*100,"")</f>
        <v>32.450099999999999</v>
      </c>
      <c r="H59" s="61">
        <f t="shared" si="1"/>
        <v>1</v>
      </c>
      <c r="I59" t="str">
        <f>IF(FT!B59&lt;&gt;"",FT!E59,"")</f>
        <v>1 [23.116310]</v>
      </c>
      <c r="J59">
        <f>IF(FT!B59&lt;&gt;"",FT!C59,"")</f>
        <v>23.116299999999999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3.8379200000000004</v>
      </c>
      <c r="G60" s="61">
        <f>IF(FT!B60&lt;&gt;"",FT!B60*100,"")</f>
        <v>32.506299999999996</v>
      </c>
      <c r="H60" s="61">
        <f t="shared" si="1"/>
        <v>1</v>
      </c>
      <c r="I60" t="str">
        <f>IF(FT!B60&lt;&gt;"",FT!E60,"")</f>
        <v>1 [23.522267]</v>
      </c>
      <c r="J60">
        <f>IF(FT!B60&lt;&gt;"",FT!C60,"")</f>
        <v>23.522300000000001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3.84762</v>
      </c>
      <c r="G61" s="61">
        <f>IF(FT!B61&lt;&gt;"",FT!B61*100,"")</f>
        <v>32.580300000000001</v>
      </c>
      <c r="H61" s="61">
        <f t="shared" si="1"/>
        <v>1</v>
      </c>
      <c r="I61" t="str">
        <f>IF(FT!B61&lt;&gt;"",FT!E61,"")</f>
        <v>1 [23.926318]</v>
      </c>
      <c r="J61">
        <f>IF(FT!B61&lt;&gt;"",FT!C61,"")</f>
        <v>23.926300000000001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137483</v>
      </c>
      <c r="D62" s="61">
        <f>FH!B62*1</f>
        <v>137483</v>
      </c>
      <c r="E62">
        <f t="shared" si="3"/>
        <v>60</v>
      </c>
      <c r="F62" s="61">
        <f>IF(FT!A62&lt;&gt;"",FT!A62*10,"")</f>
        <v>3.8528800000000003</v>
      </c>
      <c r="G62" s="61">
        <f>IF(FT!B62&lt;&gt;"",FT!B62*100,"")</f>
        <v>32.696599999999997</v>
      </c>
      <c r="H62" s="61">
        <f t="shared" si="1"/>
        <v>1</v>
      </c>
      <c r="I62" t="str">
        <f>IF(FT!B62&lt;&gt;"",FT!E62,"")</f>
        <v>1 [24.333899]</v>
      </c>
      <c r="J62">
        <f>IF(FT!B62&lt;&gt;"",FT!C62,"")</f>
        <v>24.3339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3.8534800000000002</v>
      </c>
      <c r="G63" s="61">
        <f>IF(FT!B63&lt;&gt;"",FT!B63*100,"")</f>
        <v>32.856900000000003</v>
      </c>
      <c r="H63" s="61">
        <f t="shared" si="1"/>
        <v>1</v>
      </c>
      <c r="I63" t="str">
        <f>IF(FT!B63&lt;&gt;"",FT!E63,"")</f>
        <v>1 [24.739133]</v>
      </c>
      <c r="J63">
        <f>IF(FT!B63&lt;&gt;"",FT!C63,"")</f>
        <v>24.739100000000001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129811</v>
      </c>
      <c r="D64" s="61">
        <f>FH!B64*1</f>
        <v>129811</v>
      </c>
      <c r="E64">
        <f t="shared" si="3"/>
        <v>62</v>
      </c>
      <c r="F64" s="61">
        <f>IF(FT!A64&lt;&gt;"",FT!A64*10,"")</f>
        <v>3.85073</v>
      </c>
      <c r="G64" s="61">
        <f>IF(FT!B64&lt;&gt;"",FT!B64*100,"")</f>
        <v>33.024300000000004</v>
      </c>
      <c r="H64" s="61">
        <f t="shared" si="1"/>
        <v>1</v>
      </c>
      <c r="I64" t="str">
        <f>IF(FT!B64&lt;&gt;"",FT!E64,"")</f>
        <v>1 [25.147114]</v>
      </c>
      <c r="J64">
        <f>IF(FT!B64&lt;&gt;"",FT!C64,"")</f>
        <v>25.147099999999998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3.8449299999999997</v>
      </c>
      <c r="G65" s="61">
        <f>IF(FT!B65&lt;&gt;"",FT!B65*100,"")</f>
        <v>33.250600000000006</v>
      </c>
      <c r="H65" s="61">
        <f t="shared" si="1"/>
        <v>1</v>
      </c>
      <c r="I65" t="str">
        <f>IF(FT!B65&lt;&gt;"",FT!E65,"")</f>
        <v>1 [25.550340]</v>
      </c>
      <c r="J65">
        <f>IF(FT!B65&lt;&gt;"",FT!C65,"")</f>
        <v>25.5503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3.83439</v>
      </c>
      <c r="G66" s="61">
        <f>IF(FT!B66&lt;&gt;"",FT!B66*100,"")</f>
        <v>33.491900000000001</v>
      </c>
      <c r="H66" s="61">
        <f t="shared" si="1"/>
        <v>1</v>
      </c>
      <c r="I66" t="str">
        <f>IF(FT!B66&lt;&gt;"",FT!E66,"")</f>
        <v>1 [25.959130]</v>
      </c>
      <c r="J66">
        <f>IF(FT!B66&lt;&gt;"",FT!C66,"")</f>
        <v>25.959099999999999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145691</v>
      </c>
      <c r="D67" s="61">
        <f>FH!B67*1</f>
        <v>145691</v>
      </c>
      <c r="E67">
        <f t="shared" si="3"/>
        <v>65</v>
      </c>
      <c r="F67" s="61">
        <f>IF(FT!A67&lt;&gt;"",FT!A67*10,"")</f>
        <v>3.8221699999999998</v>
      </c>
      <c r="G67" s="61">
        <f>IF(FT!B67&lt;&gt;"",FT!B67*100,"")</f>
        <v>33.748899999999999</v>
      </c>
      <c r="H67" s="61">
        <f t="shared" ref="H67:H130" si="9">(IF(F67&lt;&gt;"",1,""))</f>
        <v>1</v>
      </c>
      <c r="I67" t="str">
        <f>IF(FT!B67&lt;&gt;"",FT!E67,"")</f>
        <v>1 [26.362947]</v>
      </c>
      <c r="J67">
        <f>IF(FT!B67&lt;&gt;"",FT!C67,"")</f>
        <v>26.3629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3.8088899999999999</v>
      </c>
      <c r="G68" s="61">
        <f>IF(FT!B68&lt;&gt;"",FT!B68*100,"")</f>
        <v>34.072000000000003</v>
      </c>
      <c r="H68" s="61">
        <f t="shared" si="9"/>
        <v>1</v>
      </c>
      <c r="I68" t="str">
        <f>IF(FT!B68&lt;&gt;"",FT!E68,"")</f>
        <v>1 [26.772863]</v>
      </c>
      <c r="J68">
        <f>IF(FT!B68&lt;&gt;"",FT!C68,"")</f>
        <v>26.7729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161712</v>
      </c>
      <c r="D69" s="61">
        <f>FH!B69*1</f>
        <v>161712</v>
      </c>
      <c r="E69">
        <f t="shared" si="11"/>
        <v>67</v>
      </c>
      <c r="F69" s="61">
        <f>IF(FT!A69&lt;&gt;"",FT!A69*10,"")</f>
        <v>3.7923299999999998</v>
      </c>
      <c r="G69" s="61">
        <f>IF(FT!B69&lt;&gt;"",FT!B69*100,"")</f>
        <v>34.426499999999997</v>
      </c>
      <c r="H69" s="61">
        <f t="shared" si="9"/>
        <v>1</v>
      </c>
      <c r="I69" t="str">
        <f>IF(FT!B69&lt;&gt;"",FT!E69,"")</f>
        <v>1 [27.178140]</v>
      </c>
      <c r="J69">
        <f>IF(FT!B69&lt;&gt;"",FT!C69,"")</f>
        <v>27.178100000000001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3.7719499999999999</v>
      </c>
      <c r="G70" s="61">
        <f>IF(FT!B70&lt;&gt;"",FT!B70*100,"")</f>
        <v>34.822800000000001</v>
      </c>
      <c r="H70" s="61">
        <f t="shared" si="9"/>
        <v>1</v>
      </c>
      <c r="I70" t="str">
        <f>IF(FT!B70&lt;&gt;"",FT!E70,"")</f>
        <v>1 [27.583651]</v>
      </c>
      <c r="J70">
        <f>IF(FT!B70&lt;&gt;"",FT!C70,"")</f>
        <v>27.5837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3.7469400000000004</v>
      </c>
      <c r="G71" s="61">
        <f>IF(FT!B71&lt;&gt;"",FT!B71*100,"")</f>
        <v>35.256399999999999</v>
      </c>
      <c r="H71" s="61">
        <f t="shared" si="9"/>
        <v>1</v>
      </c>
      <c r="I71" t="str">
        <f>IF(FT!B71&lt;&gt;"",FT!E71,"")</f>
        <v>1 [27.989594]</v>
      </c>
      <c r="J71">
        <f>IF(FT!B71&lt;&gt;"",FT!C71,"")</f>
        <v>27.989599999999999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155976</v>
      </c>
      <c r="D72" s="61">
        <f>FH!B72*1</f>
        <v>155976</v>
      </c>
      <c r="E72">
        <f t="shared" si="11"/>
        <v>70</v>
      </c>
      <c r="F72" s="61">
        <f>IF(FT!A72&lt;&gt;"",FT!A72*10,"")</f>
        <v>3.7191800000000002</v>
      </c>
      <c r="G72" s="61">
        <f>IF(FT!B72&lt;&gt;"",FT!B72*100,"")</f>
        <v>35.717500000000001</v>
      </c>
      <c r="H72" s="61">
        <f t="shared" si="9"/>
        <v>1</v>
      </c>
      <c r="I72" t="str">
        <f>IF(FT!B72&lt;&gt;"",FT!E72,"")</f>
        <v>1 [28.395680]</v>
      </c>
      <c r="J72">
        <f>IF(FT!B72&lt;&gt;"",FT!C72,"")</f>
        <v>28.395700000000001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3.6917899999999997</v>
      </c>
      <c r="G73" s="61">
        <f>IF(FT!B73&lt;&gt;"",FT!B73*100,"")</f>
        <v>36.212200000000003</v>
      </c>
      <c r="H73" s="61">
        <f t="shared" si="9"/>
        <v>1</v>
      </c>
      <c r="I73" t="str">
        <f>IF(FT!B73&lt;&gt;"",FT!E73,"")</f>
        <v>1 [28.801284]</v>
      </c>
      <c r="J73">
        <f>IF(FT!B73&lt;&gt;"",FT!C73,"")</f>
        <v>28.801300000000001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3.6655799999999998</v>
      </c>
      <c r="G74" s="61">
        <f>IF(FT!B74&lt;&gt;"",FT!B74*100,"")</f>
        <v>36.737400000000001</v>
      </c>
      <c r="H74" s="61">
        <f t="shared" si="9"/>
        <v>1</v>
      </c>
      <c r="I74" t="str">
        <f>IF(FT!B74&lt;&gt;"",FT!E74,"")</f>
        <v>1 [29.209673]</v>
      </c>
      <c r="J74">
        <f>IF(FT!B74&lt;&gt;"",FT!C74,"")</f>
        <v>29.209700000000002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155652</v>
      </c>
      <c r="D75" s="61">
        <f>FH!B75*1</f>
        <v>155652</v>
      </c>
      <c r="E75">
        <f t="shared" si="11"/>
        <v>73</v>
      </c>
      <c r="F75" s="61">
        <f>IF(FT!A75&lt;&gt;"",FT!A75*10,"")</f>
        <v>3.6371700000000002</v>
      </c>
      <c r="G75" s="61">
        <f>IF(FT!B75&lt;&gt;"",FT!B75*100,"")</f>
        <v>37.2652</v>
      </c>
      <c r="H75" s="61">
        <f t="shared" si="9"/>
        <v>1</v>
      </c>
      <c r="I75" t="str">
        <f>IF(FT!B75&lt;&gt;"",FT!E75,"")</f>
        <v>1 [29.617533]</v>
      </c>
      <c r="J75">
        <f>IF(FT!B75&lt;&gt;"",FT!C75,"")</f>
        <v>29.6175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3.6084000000000001</v>
      </c>
      <c r="G76" s="61">
        <f>IF(FT!B76&lt;&gt;"",FT!B76*100,"")</f>
        <v>37.767499999999998</v>
      </c>
      <c r="H76" s="61">
        <f t="shared" si="9"/>
        <v>1</v>
      </c>
      <c r="I76" t="str">
        <f>IF(FT!B76&lt;&gt;"",FT!E76,"")</f>
        <v>2 [30.023151]</v>
      </c>
      <c r="J76">
        <f>IF(FT!B76&lt;&gt;"",FT!C76,"")</f>
        <v>30.023199999999999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155722</v>
      </c>
      <c r="D77" s="61">
        <f>FH!B77*1</f>
        <v>155722</v>
      </c>
      <c r="E77">
        <f t="shared" si="11"/>
        <v>75</v>
      </c>
      <c r="F77" s="61">
        <f>IF(FT!A77&lt;&gt;"",FT!A77*10,"")</f>
        <v>3.5742200000000004</v>
      </c>
      <c r="G77" s="61">
        <f>IF(FT!B77&lt;&gt;"",FT!B77*100,"")</f>
        <v>38.269100000000002</v>
      </c>
      <c r="H77" s="61">
        <f t="shared" si="9"/>
        <v>1</v>
      </c>
      <c r="I77" t="str">
        <f>IF(FT!B77&lt;&gt;"",FT!E77,"")</f>
        <v>2 [30.616608]</v>
      </c>
      <c r="J77">
        <f>IF(FT!B77&lt;&gt;"",FT!C77,"")</f>
        <v>30.616599999999998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3.5458499999999997</v>
      </c>
      <c r="G78" s="61">
        <f>IF(FT!B78&lt;&gt;"",FT!B78*100,"")</f>
        <v>38.771899999999995</v>
      </c>
      <c r="H78" s="61">
        <f t="shared" si="9"/>
        <v>1</v>
      </c>
      <c r="I78" t="str">
        <f>IF(FT!B78&lt;&gt;"",FT!E78,"")</f>
        <v>2 [30.991665]</v>
      </c>
      <c r="J78">
        <f>IF(FT!B78&lt;&gt;"",FT!C78,"")</f>
        <v>30.991700000000002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3.51952</v>
      </c>
      <c r="G79" s="61">
        <f>IF(FT!B79&lt;&gt;"",FT!B79*100,"")</f>
        <v>39.272300000000001</v>
      </c>
      <c r="H79" s="61">
        <f t="shared" si="9"/>
        <v>1</v>
      </c>
      <c r="I79" t="str">
        <f>IF(FT!B79&lt;&gt;"",FT!E79,"")</f>
        <v>2 [31.366655]</v>
      </c>
      <c r="J79">
        <f>IF(FT!B79&lt;&gt;"",FT!C79,"")</f>
        <v>31.366700000000002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166685</v>
      </c>
      <c r="D80" s="61">
        <f>FH!B80*1</f>
        <v>166685</v>
      </c>
      <c r="E80">
        <f t="shared" si="11"/>
        <v>78</v>
      </c>
      <c r="F80" s="61">
        <f>IF(FT!A80&lt;&gt;"",FT!A80*10,"")</f>
        <v>3.4985599999999999</v>
      </c>
      <c r="G80" s="61">
        <f>IF(FT!B80&lt;&gt;"",FT!B80*100,"")</f>
        <v>39.678699999999999</v>
      </c>
      <c r="H80" s="61">
        <f t="shared" si="9"/>
        <v>1</v>
      </c>
      <c r="I80" t="str">
        <f>IF(FT!B80&lt;&gt;"",FT!E80,"")</f>
        <v>2 [31.740051]</v>
      </c>
      <c r="J80">
        <f>IF(FT!B80&lt;&gt;"",FT!C80,"")</f>
        <v>31.740100000000002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3.4843500000000001</v>
      </c>
      <c r="G81" s="61">
        <f>IF(FT!B81&lt;&gt;"",FT!B81*100,"")</f>
        <v>40.039499999999997</v>
      </c>
      <c r="H81" s="61">
        <f t="shared" si="9"/>
        <v>1</v>
      </c>
      <c r="I81" t="str">
        <f>IF(FT!B81&lt;&gt;"",FT!E81,"")</f>
        <v>2 [32.113429]</v>
      </c>
      <c r="J81">
        <f>IF(FT!B81&lt;&gt;"",FT!C81,"")</f>
        <v>32.113399999999999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157104</v>
      </c>
      <c r="D82" s="61">
        <f>FH!B82*1</f>
        <v>157104</v>
      </c>
      <c r="E82">
        <f t="shared" si="11"/>
        <v>80</v>
      </c>
      <c r="F82" s="61">
        <f>IF(FT!A82&lt;&gt;"",FT!A82*10,"")</f>
        <v>3.4733299999999998</v>
      </c>
      <c r="G82" s="61">
        <f>IF(FT!B82&lt;&gt;"",FT!B82*100,"")</f>
        <v>40.3703</v>
      </c>
      <c r="H82" s="61">
        <f t="shared" si="9"/>
        <v>1</v>
      </c>
      <c r="I82" t="str">
        <f>IF(FT!B82&lt;&gt;"",FT!E82,"")</f>
        <v>2 [32.519677]</v>
      </c>
      <c r="J82">
        <f>IF(FT!B82&lt;&gt;"",FT!C82,"")</f>
        <v>32.5197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3.4638</v>
      </c>
      <c r="G83" s="61">
        <f>IF(FT!B83&lt;&gt;"",FT!B83*100,"")</f>
        <v>40.608800000000002</v>
      </c>
      <c r="H83" s="61">
        <f t="shared" si="9"/>
        <v>1</v>
      </c>
      <c r="I83" t="str">
        <f>IF(FT!B83&lt;&gt;"",FT!E83,"")</f>
        <v>2 [32.926412]</v>
      </c>
      <c r="J83">
        <f>IF(FT!B83&lt;&gt;"",FT!C83,"")</f>
        <v>32.926400000000001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3.4549699999999999</v>
      </c>
      <c r="G84" s="61">
        <f>IF(FT!B84&lt;&gt;"",FT!B84*100,"")</f>
        <v>40.842299999999994</v>
      </c>
      <c r="H84" s="61">
        <f t="shared" si="9"/>
        <v>1</v>
      </c>
      <c r="I84" t="str">
        <f>IF(FT!B84&lt;&gt;"",FT!E84,"")</f>
        <v>2 [33.334941]</v>
      </c>
      <c r="J84">
        <f>IF(FT!B84&lt;&gt;"",FT!C84,"")</f>
        <v>33.334899999999998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148440</v>
      </c>
      <c r="D85" s="61">
        <f>FH!B85*1</f>
        <v>148440</v>
      </c>
      <c r="E85">
        <f t="shared" si="11"/>
        <v>83</v>
      </c>
      <c r="F85" s="61">
        <f>IF(FT!A85&lt;&gt;"",FT!A85*10,"")</f>
        <v>3.4454200000000004</v>
      </c>
      <c r="G85" s="61">
        <f>IF(FT!B85&lt;&gt;"",FT!B85*100,"")</f>
        <v>41.097499999999997</v>
      </c>
      <c r="H85" s="61">
        <f t="shared" si="9"/>
        <v>1</v>
      </c>
      <c r="I85" t="str">
        <f>IF(FT!B85&lt;&gt;"",FT!E85,"")</f>
        <v>2 [33.737543]</v>
      </c>
      <c r="J85">
        <f>IF(FT!B85&lt;&gt;"",FT!C85,"")</f>
        <v>33.737499999999997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3.4347799999999999</v>
      </c>
      <c r="G86" s="61">
        <f>IF(FT!B86&lt;&gt;"",FT!B86*100,"")</f>
        <v>41.328900000000004</v>
      </c>
      <c r="H86" s="61">
        <f t="shared" si="9"/>
        <v>1</v>
      </c>
      <c r="I86" t="str">
        <f>IF(FT!B86&lt;&gt;"",FT!E86,"")</f>
        <v>2 [34.144956]</v>
      </c>
      <c r="J86">
        <f>IF(FT!B86&lt;&gt;"",FT!C86,"")</f>
        <v>34.145000000000003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3.4252500000000001</v>
      </c>
      <c r="G87" s="61">
        <f>IF(FT!B87&lt;&gt;"",FT!B87*100,"")</f>
        <v>41.5002</v>
      </c>
      <c r="H87" s="61">
        <f t="shared" si="9"/>
        <v>1</v>
      </c>
      <c r="I87" t="str">
        <f>IF(FT!B87&lt;&gt;"",FT!E87,"")</f>
        <v>2 [34.555355]</v>
      </c>
      <c r="J87">
        <f>IF(FT!B87&lt;&gt;"",FT!C87,"")</f>
        <v>34.555399999999999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145597</v>
      </c>
      <c r="D88" s="61">
        <f>FH!B88*1</f>
        <v>145597</v>
      </c>
      <c r="E88">
        <f t="shared" si="11"/>
        <v>86</v>
      </c>
      <c r="F88" s="61">
        <f>IF(FT!A88&lt;&gt;"",FT!A88*10,"")</f>
        <v>3.4193099999999998</v>
      </c>
      <c r="G88" s="61">
        <f>IF(FT!B88&lt;&gt;"",FT!B88*100,"")</f>
        <v>41.613</v>
      </c>
      <c r="H88" s="61">
        <f t="shared" si="9"/>
        <v>1</v>
      </c>
      <c r="I88" t="str">
        <f>IF(FT!B88&lt;&gt;"",FT!E88,"")</f>
        <v>2 [34.960455]</v>
      </c>
      <c r="J88">
        <f>IF(FT!B88&lt;&gt;"",FT!C88,"")</f>
        <v>34.960500000000003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3.4159299999999999</v>
      </c>
      <c r="G89" s="61">
        <f>IF(FT!B89&lt;&gt;"",FT!B89*100,"")</f>
        <v>41.654499999999999</v>
      </c>
      <c r="H89" s="61">
        <f t="shared" si="9"/>
        <v>1</v>
      </c>
      <c r="I89" t="str">
        <f>IF(FT!B89&lt;&gt;"",FT!E89,"")</f>
        <v>2 [35.365780]</v>
      </c>
      <c r="J89">
        <f>IF(FT!B89&lt;&gt;"",FT!C89,"")</f>
        <v>35.3658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131444</v>
      </c>
      <c r="D90" s="61">
        <f>FH!B90*1</f>
        <v>131444</v>
      </c>
      <c r="E90">
        <f t="shared" si="11"/>
        <v>88</v>
      </c>
      <c r="F90" s="61">
        <f>IF(FT!A90&lt;&gt;"",FT!A90*10,"")</f>
        <v>3.4168799999999999</v>
      </c>
      <c r="G90" s="61">
        <f>IF(FT!B90&lt;&gt;"",FT!B90*100,"")</f>
        <v>41.629599999999996</v>
      </c>
      <c r="H90" s="61">
        <f t="shared" si="9"/>
        <v>1</v>
      </c>
      <c r="I90" t="str">
        <f>IF(FT!B90&lt;&gt;"",FT!E90,"")</f>
        <v>2 [35.770676]</v>
      </c>
      <c r="J90">
        <f>IF(FT!B90&lt;&gt;"",FT!C90,"")</f>
        <v>35.770699999999998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3.4179599999999999</v>
      </c>
      <c r="G91" s="61">
        <f>IF(FT!B91&lt;&gt;"",FT!B91*100,"")</f>
        <v>41.653199999999998</v>
      </c>
      <c r="H91" s="61">
        <f t="shared" si="9"/>
        <v>1</v>
      </c>
      <c r="I91" t="str">
        <f>IF(FT!B91&lt;&gt;"",FT!E91,"")</f>
        <v>2 [36.177451]</v>
      </c>
      <c r="J91">
        <f>IF(FT!B91&lt;&gt;"",FT!C91,"")</f>
        <v>36.177500000000002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3.4183599999999998</v>
      </c>
      <c r="G92" s="61">
        <f>IF(FT!B92&lt;&gt;"",FT!B92*100,"")</f>
        <v>41.672799999999995</v>
      </c>
      <c r="H92" s="61">
        <f t="shared" si="9"/>
        <v>1</v>
      </c>
      <c r="I92" t="str">
        <f>IF(FT!B92&lt;&gt;"",FT!E92,"")</f>
        <v>2 [36.583897]</v>
      </c>
      <c r="J92">
        <f>IF(FT!B92&lt;&gt;"",FT!C92,"")</f>
        <v>36.5839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122198</v>
      </c>
      <c r="D93" s="61">
        <f>FH!B93*1</f>
        <v>122198</v>
      </c>
      <c r="E93">
        <f t="shared" si="11"/>
        <v>91</v>
      </c>
      <c r="F93" s="61">
        <f>IF(FT!A93&lt;&gt;"",FT!A93*10,"")</f>
        <v>3.4200599999999999</v>
      </c>
      <c r="G93" s="61">
        <f>IF(FT!B93&lt;&gt;"",FT!B93*100,"")</f>
        <v>41.623800000000003</v>
      </c>
      <c r="H93" s="61">
        <f t="shared" si="9"/>
        <v>1</v>
      </c>
      <c r="I93" t="str">
        <f>IF(FT!B93&lt;&gt;"",FT!E93,"")</f>
        <v>2 [36.994163]</v>
      </c>
      <c r="J93">
        <f>IF(FT!B93&lt;&gt;"",FT!C93,"")</f>
        <v>36.994199999999999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3.4238400000000002</v>
      </c>
      <c r="G94" s="61">
        <f>IF(FT!B94&lt;&gt;"",FT!B94*100,"")</f>
        <v>41.58</v>
      </c>
      <c r="H94" s="61">
        <f t="shared" si="9"/>
        <v>1</v>
      </c>
      <c r="I94" t="str">
        <f>IF(FT!B94&lt;&gt;"",FT!E94,"")</f>
        <v>2 [37.397732]</v>
      </c>
      <c r="J94">
        <f>IF(FT!B94&lt;&gt;"",FT!C94,"")</f>
        <v>37.3977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124787</v>
      </c>
      <c r="D95" s="61">
        <f>FH!B95*1</f>
        <v>124787</v>
      </c>
      <c r="E95">
        <f t="shared" si="11"/>
        <v>93</v>
      </c>
      <c r="F95" s="61">
        <f>IF(FT!A95&lt;&gt;"",FT!A95*10,"")</f>
        <v>3.4325000000000001</v>
      </c>
      <c r="G95" s="61">
        <f>IF(FT!B95&lt;&gt;"",FT!B95*100,"")</f>
        <v>41.505499999999998</v>
      </c>
      <c r="H95" s="61">
        <f t="shared" si="9"/>
        <v>1</v>
      </c>
      <c r="I95" t="str">
        <f>IF(FT!B95&lt;&gt;"",FT!E95,"")</f>
        <v>2 [37.802593]</v>
      </c>
      <c r="J95">
        <f>IF(FT!B95&lt;&gt;"",FT!C95,"")</f>
        <v>37.802599999999998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3.4432700000000001</v>
      </c>
      <c r="G96" s="61">
        <f>IF(FT!B96&lt;&gt;"",FT!B96*100,"")</f>
        <v>41.471999999999994</v>
      </c>
      <c r="H96" s="61">
        <f t="shared" si="9"/>
        <v>1</v>
      </c>
      <c r="I96" t="str">
        <f>IF(FT!B96&lt;&gt;"",FT!E96,"")</f>
        <v>2 [38.206879]</v>
      </c>
      <c r="J96">
        <f>IF(FT!B96&lt;&gt;"",FT!C96,"")</f>
        <v>38.206899999999997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3.4539799999999996</v>
      </c>
      <c r="G97" s="61">
        <f>IF(FT!B97&lt;&gt;"",FT!B97*100,"")</f>
        <v>41.489699999999999</v>
      </c>
      <c r="H97" s="61">
        <f t="shared" si="9"/>
        <v>1</v>
      </c>
      <c r="I97" t="str">
        <f>IF(FT!B97&lt;&gt;"",FT!E97,"")</f>
        <v>2 [38.612190]</v>
      </c>
      <c r="J97">
        <f>IF(FT!B97&lt;&gt;"",FT!C97,"")</f>
        <v>38.612200000000001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123841</v>
      </c>
      <c r="D98" s="61">
        <f>FH!B98*1</f>
        <v>123841</v>
      </c>
      <c r="E98">
        <f t="shared" si="11"/>
        <v>96</v>
      </c>
      <c r="F98" s="61">
        <f>IF(FT!A98&lt;&gt;"",FT!A98*10,"")</f>
        <v>3.4644999999999997</v>
      </c>
      <c r="G98" s="61">
        <f>IF(FT!B98&lt;&gt;"",FT!B98*100,"")</f>
        <v>41.538399999999996</v>
      </c>
      <c r="H98" s="61">
        <f t="shared" si="9"/>
        <v>1</v>
      </c>
      <c r="I98" t="str">
        <f>IF(FT!B98&lt;&gt;"",FT!E98,"")</f>
        <v>2 [39.024252]</v>
      </c>
      <c r="J98">
        <f>IF(FT!B98&lt;&gt;"",FT!C98,"")</f>
        <v>39.024299999999997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3.4756499999999999</v>
      </c>
      <c r="G99" s="61">
        <f>IF(FT!B99&lt;&gt;"",FT!B99*100,"")</f>
        <v>41.5989</v>
      </c>
      <c r="H99" s="61">
        <f t="shared" si="9"/>
        <v>1</v>
      </c>
      <c r="I99" t="str">
        <f>IF(FT!B99&lt;&gt;"",FT!E99,"")</f>
        <v>2 [39.428047]</v>
      </c>
      <c r="J99">
        <f>IF(FT!B99&lt;&gt;"",FT!C99,"")</f>
        <v>39.427999999999997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124322</v>
      </c>
      <c r="D100" s="61">
        <f>FH!B100*1</f>
        <v>124322</v>
      </c>
      <c r="E100">
        <f t="shared" si="11"/>
        <v>98</v>
      </c>
      <c r="F100" s="61">
        <f>IF(FT!A100&lt;&gt;"",FT!A100*10,"")</f>
        <v>3.4897800000000001</v>
      </c>
      <c r="G100" s="61">
        <f>IF(FT!B100&lt;&gt;"",FT!B100*100,"")</f>
        <v>41.6999</v>
      </c>
      <c r="H100" s="61">
        <f t="shared" si="9"/>
        <v>1</v>
      </c>
      <c r="I100" t="str">
        <f>IF(FT!B100&lt;&gt;"",FT!E100,"")</f>
        <v>2 [39.832278]</v>
      </c>
      <c r="J100">
        <f>IF(FT!B100&lt;&gt;"",FT!C100,"")</f>
        <v>39.832299999999996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3.5050999999999997</v>
      </c>
      <c r="G101" s="61">
        <f>IF(FT!B101&lt;&gt;"",FT!B101*100,"")</f>
        <v>41.798099999999998</v>
      </c>
      <c r="H101" s="61">
        <f t="shared" si="9"/>
        <v>1</v>
      </c>
      <c r="I101" t="str">
        <f>IF(FT!B101&lt;&gt;"",FT!E101,"")</f>
        <v>2 [40.239863]</v>
      </c>
      <c r="J101">
        <f>IF(FT!B101&lt;&gt;"",FT!C101,"")</f>
        <v>40.239899999999999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3.5194799999999997</v>
      </c>
      <c r="G102" s="61">
        <f>IF(FT!B102&lt;&gt;"",FT!B102*100,"")</f>
        <v>41.950700000000005</v>
      </c>
      <c r="H102" s="61">
        <f t="shared" si="9"/>
        <v>1</v>
      </c>
      <c r="I102" t="str">
        <f>IF(FT!B102&lt;&gt;"",FT!E102,"")</f>
        <v>2 [40.647051]</v>
      </c>
      <c r="J102">
        <f>IF(FT!B102&lt;&gt;"",FT!C102,"")</f>
        <v>40.647100000000002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126072</v>
      </c>
      <c r="D103" s="61">
        <f>FH!B103*1</f>
        <v>126072</v>
      </c>
      <c r="E103">
        <f t="shared" si="11"/>
        <v>101</v>
      </c>
      <c r="F103" s="61">
        <f>IF(FT!A103&lt;&gt;"",FT!A103*10,"")</f>
        <v>3.53348</v>
      </c>
      <c r="G103" s="61">
        <f>IF(FT!B103&lt;&gt;"",FT!B103*100,"")</f>
        <v>42.181699999999999</v>
      </c>
      <c r="H103" s="61">
        <f t="shared" si="9"/>
        <v>1</v>
      </c>
      <c r="I103" t="str">
        <f>IF(FT!B103&lt;&gt;"",FT!E103,"")</f>
        <v>2 [41.052720]</v>
      </c>
      <c r="J103">
        <f>IF(FT!B103&lt;&gt;"",FT!C103,"")</f>
        <v>41.052700000000002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3.5472700000000001</v>
      </c>
      <c r="G104" s="61">
        <f>IF(FT!B104&lt;&gt;"",FT!B104*100,"")</f>
        <v>42.431200000000004</v>
      </c>
      <c r="H104" s="61">
        <f t="shared" si="9"/>
        <v>1</v>
      </c>
      <c r="I104" t="str">
        <f>IF(FT!B104&lt;&gt;"",FT!E104,"")</f>
        <v>2 [41.458461]</v>
      </c>
      <c r="J104">
        <f>IF(FT!B104&lt;&gt;"",FT!C104,"")</f>
        <v>41.458500000000001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3.5569299999999999</v>
      </c>
      <c r="G105" s="61">
        <f>IF(FT!B105&lt;&gt;"",FT!B105*100,"")</f>
        <v>42.716200000000001</v>
      </c>
      <c r="H105" s="61">
        <f t="shared" si="9"/>
        <v>1</v>
      </c>
      <c r="I105" t="str">
        <f>IF(FT!B105&lt;&gt;"",FT!E105,"")</f>
        <v>2 [41.866176]</v>
      </c>
      <c r="J105">
        <f>IF(FT!B105&lt;&gt;"",FT!C105,"")</f>
        <v>41.866199999999999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118464</v>
      </c>
      <c r="D106" s="61">
        <f>FH!B106*1</f>
        <v>118464</v>
      </c>
      <c r="E106">
        <f t="shared" si="11"/>
        <v>104</v>
      </c>
      <c r="F106" s="61">
        <f>IF(FT!A106&lt;&gt;"",FT!A106*10,"")</f>
        <v>3.5641699999999998</v>
      </c>
      <c r="G106" s="61">
        <f>IF(FT!B106&lt;&gt;"",FT!B106*100,"")</f>
        <v>42.896099999999997</v>
      </c>
      <c r="H106" s="61">
        <f t="shared" si="9"/>
        <v>1</v>
      </c>
      <c r="I106" t="str">
        <f>IF(FT!B106&lt;&gt;"",FT!E106,"")</f>
        <v>2 [42.271280]</v>
      </c>
      <c r="J106">
        <f>IF(FT!B106&lt;&gt;"",FT!C106,"")</f>
        <v>42.271299999999997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3.5710299999999999</v>
      </c>
      <c r="G107" s="61">
        <f>IF(FT!B107&lt;&gt;"",FT!B107*100,"")</f>
        <v>42.9925</v>
      </c>
      <c r="H107" s="61">
        <f t="shared" si="9"/>
        <v>1</v>
      </c>
      <c r="I107" t="str">
        <f>IF(FT!B107&lt;&gt;"",FT!E107,"")</f>
        <v>2 [42.676363]</v>
      </c>
      <c r="J107">
        <f>IF(FT!B107&lt;&gt;"",FT!C107,"")</f>
        <v>42.676400000000001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116381</v>
      </c>
      <c r="D108" s="61">
        <f>FH!B108*1</f>
        <v>116381</v>
      </c>
      <c r="E108">
        <f t="shared" si="11"/>
        <v>106</v>
      </c>
      <c r="F108" s="61">
        <f>IF(FT!A108&lt;&gt;"",FT!A108*10,"")</f>
        <v>3.5769000000000002</v>
      </c>
      <c r="G108" s="61">
        <f>IF(FT!B108&lt;&gt;"",FT!B108*100,"")</f>
        <v>43.0229</v>
      </c>
      <c r="H108" s="61">
        <f t="shared" si="9"/>
        <v>1</v>
      </c>
      <c r="I108" t="str">
        <f>IF(FT!B108&lt;&gt;"",FT!E108,"")</f>
        <v>2 [43.084427]</v>
      </c>
      <c r="J108">
        <f>IF(FT!B108&lt;&gt;"",FT!C108,"")</f>
        <v>43.084400000000002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3.58609</v>
      </c>
      <c r="G109" s="61">
        <f>IF(FT!B109&lt;&gt;"",FT!B109*100,"")</f>
        <v>42.942500000000003</v>
      </c>
      <c r="H109" s="61">
        <f t="shared" si="9"/>
        <v>1</v>
      </c>
      <c r="I109" t="str">
        <f>IF(FT!B109&lt;&gt;"",FT!E109,"")</f>
        <v>2 [43.489110]</v>
      </c>
      <c r="J109">
        <f>IF(FT!B109&lt;&gt;"",FT!C109,"")</f>
        <v>43.489100000000001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3.5962399999999999</v>
      </c>
      <c r="G110" s="61">
        <f>IF(FT!B110&lt;&gt;"",FT!B110*100,"")</f>
        <v>42.810700000000004</v>
      </c>
      <c r="H110" s="61">
        <f t="shared" si="9"/>
        <v>1</v>
      </c>
      <c r="I110" t="str">
        <f>IF(FT!B110&lt;&gt;"",FT!E110,"")</f>
        <v>2 [43.894320]</v>
      </c>
      <c r="J110">
        <f>IF(FT!B110&lt;&gt;"",FT!C110,"")</f>
        <v>43.894300000000001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107996</v>
      </c>
      <c r="D111" s="61">
        <f>FH!B111*1</f>
        <v>107996</v>
      </c>
      <c r="E111">
        <f t="shared" si="11"/>
        <v>109</v>
      </c>
      <c r="F111" s="61">
        <f>IF(FT!A111&lt;&gt;"",FT!A111*10,"")</f>
        <v>3.60839</v>
      </c>
      <c r="G111" s="61">
        <f>IF(FT!B111&lt;&gt;"",FT!B111*100,"")</f>
        <v>42.638300000000001</v>
      </c>
      <c r="H111" s="61">
        <f t="shared" si="9"/>
        <v>1</v>
      </c>
      <c r="I111" t="str">
        <f>IF(FT!B111&lt;&gt;"",FT!E111,"")</f>
        <v>2 [44.303384]</v>
      </c>
      <c r="J111">
        <f>IF(FT!B111&lt;&gt;"",FT!C111,"")</f>
        <v>44.303400000000003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3.6217999999999999</v>
      </c>
      <c r="G112" s="61">
        <f>IF(FT!B112&lt;&gt;"",FT!B112*100,"")</f>
        <v>42.464500000000001</v>
      </c>
      <c r="H112" s="61">
        <f t="shared" si="9"/>
        <v>1</v>
      </c>
      <c r="I112" t="str">
        <f>IF(FT!B112&lt;&gt;"",FT!E112,"")</f>
        <v>2 [44.707985]</v>
      </c>
      <c r="J112">
        <f>IF(FT!B112&lt;&gt;"",FT!C112,"")</f>
        <v>44.707999999999998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97949</v>
      </c>
      <c r="D113" s="61">
        <f>FH!B113*1</f>
        <v>97949</v>
      </c>
      <c r="E113">
        <f t="shared" si="11"/>
        <v>111</v>
      </c>
      <c r="F113" s="61">
        <f>IF(FT!A113&lt;&gt;"",FT!A113*10,"")</f>
        <v>3.6351399999999998</v>
      </c>
      <c r="G113" s="61">
        <f>IF(FT!B113&lt;&gt;"",FT!B113*100,"")</f>
        <v>42.268899999999995</v>
      </c>
      <c r="H113" s="61">
        <f t="shared" si="9"/>
        <v>1</v>
      </c>
      <c r="I113" t="str">
        <f>IF(FT!B113&lt;&gt;"",FT!E113,"")</f>
        <v>2 [45.113678]</v>
      </c>
      <c r="J113">
        <f>IF(FT!B113&lt;&gt;"",FT!C113,"")</f>
        <v>45.113700000000001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3.64907</v>
      </c>
      <c r="G114" s="61">
        <f>IF(FT!B114&lt;&gt;"",FT!B114*100,"")</f>
        <v>42.039700000000003</v>
      </c>
      <c r="H114" s="61">
        <f t="shared" si="9"/>
        <v>1</v>
      </c>
      <c r="I114" t="str">
        <f>IF(FT!B114&lt;&gt;"",FT!E114,"")</f>
        <v>2 [45.521660]</v>
      </c>
      <c r="J114">
        <f>IF(FT!B114&lt;&gt;"",FT!C114,"")</f>
        <v>45.521700000000003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3.6605700000000003</v>
      </c>
      <c r="G115" s="61">
        <f>IF(FT!B115&lt;&gt;"",FT!B115*100,"")</f>
        <v>41.797899999999998</v>
      </c>
      <c r="H115" s="61">
        <f t="shared" si="9"/>
        <v>1</v>
      </c>
      <c r="I115" t="str">
        <f>IF(FT!B115&lt;&gt;"",FT!E115,"")</f>
        <v>2 [45.927349]</v>
      </c>
      <c r="J115">
        <f>IF(FT!B115&lt;&gt;"",FT!C115,"")</f>
        <v>45.927300000000002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91592</v>
      </c>
      <c r="D116" s="61">
        <f>FH!B116*1</f>
        <v>91592</v>
      </c>
      <c r="E116">
        <f t="shared" si="11"/>
        <v>114</v>
      </c>
      <c r="F116" s="61">
        <f>IF(FT!A116&lt;&gt;"",FT!A116*10,"")</f>
        <v>3.6705800000000002</v>
      </c>
      <c r="G116" s="61">
        <f>IF(FT!B116&lt;&gt;"",FT!B116*100,"")</f>
        <v>41.587499999999999</v>
      </c>
      <c r="H116" s="61">
        <f t="shared" si="9"/>
        <v>1</v>
      </c>
      <c r="I116" t="str">
        <f>IF(FT!B116&lt;&gt;"",FT!E116,"")</f>
        <v>2 [46.332099]</v>
      </c>
      <c r="J116">
        <f>IF(FT!B116&lt;&gt;"",FT!C116,"")</f>
        <v>46.332099999999997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3.67909</v>
      </c>
      <c r="G117" s="61">
        <f>IF(FT!B117&lt;&gt;"",FT!B117*100,"")</f>
        <v>41.417300000000004</v>
      </c>
      <c r="H117" s="61">
        <f t="shared" si="9"/>
        <v>1</v>
      </c>
      <c r="I117" t="str">
        <f>IF(FT!B117&lt;&gt;"",FT!E117,"")</f>
        <v>2 [46.739264]</v>
      </c>
      <c r="J117">
        <f>IF(FT!B117&lt;&gt;"",FT!C117,"")</f>
        <v>46.7393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89681</v>
      </c>
      <c r="D118" s="61">
        <f>FH!B118*1</f>
        <v>89681</v>
      </c>
      <c r="E118">
        <f t="shared" si="11"/>
        <v>116</v>
      </c>
      <c r="F118" s="61">
        <f>IF(FT!A118&lt;&gt;"",FT!A118*10,"")</f>
        <v>3.6874899999999999</v>
      </c>
      <c r="G118" s="61">
        <f>IF(FT!B118&lt;&gt;"",FT!B118*100,"")</f>
        <v>41.288399999999996</v>
      </c>
      <c r="H118" s="61">
        <f t="shared" si="9"/>
        <v>1</v>
      </c>
      <c r="I118" t="str">
        <f>IF(FT!B118&lt;&gt;"",FT!E118,"")</f>
        <v>2 [47.149695]</v>
      </c>
      <c r="J118">
        <f>IF(FT!B118&lt;&gt;"",FT!C118,"")</f>
        <v>47.149700000000003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3.6979099999999998</v>
      </c>
      <c r="G119" s="61">
        <f>IF(FT!B119&lt;&gt;"",FT!B119*100,"")</f>
        <v>41.131900000000002</v>
      </c>
      <c r="H119" s="61">
        <f t="shared" si="9"/>
        <v>1</v>
      </c>
      <c r="I119" t="str">
        <f>IF(FT!B119&lt;&gt;"",FT!E119,"")</f>
        <v>2 [47.554022]</v>
      </c>
      <c r="J119">
        <f>IF(FT!B119&lt;&gt;"",FT!C119,"")</f>
        <v>47.554000000000002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3.7092000000000001</v>
      </c>
      <c r="G120" s="61">
        <f>IF(FT!B120&lt;&gt;"",FT!B120*100,"")</f>
        <v>40.917900000000003</v>
      </c>
      <c r="H120" s="61">
        <f t="shared" si="9"/>
        <v>1</v>
      </c>
      <c r="I120" t="str">
        <f>IF(FT!B120&lt;&gt;"",FT!E120,"")</f>
        <v>2 [47.958451]</v>
      </c>
      <c r="J120">
        <f>IF(FT!B120&lt;&gt;"",FT!C120,"")</f>
        <v>47.958500000000001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80695</v>
      </c>
      <c r="D121" s="61">
        <f>FH!B121*1</f>
        <v>80695</v>
      </c>
      <c r="E121">
        <f t="shared" si="11"/>
        <v>119</v>
      </c>
      <c r="F121" s="61">
        <f>IF(FT!A121&lt;&gt;"",FT!A121*10,"")</f>
        <v>3.7189000000000001</v>
      </c>
      <c r="G121" s="61">
        <f>IF(FT!B121&lt;&gt;"",FT!B121*100,"")</f>
        <v>40.691899999999997</v>
      </c>
      <c r="H121" s="61">
        <f t="shared" si="9"/>
        <v>1</v>
      </c>
      <c r="I121" t="str">
        <f>IF(FT!B121&lt;&gt;"",FT!E121,"")</f>
        <v>2 [48.368307]</v>
      </c>
      <c r="J121">
        <f>IF(FT!B121&lt;&gt;"",FT!C121,"")</f>
        <v>48.368299999999998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3.72818</v>
      </c>
      <c r="G122" s="61">
        <f>IF(FT!B122&lt;&gt;"",FT!B122*100,"")</f>
        <v>40.489199999999997</v>
      </c>
      <c r="H122" s="61">
        <f t="shared" si="9"/>
        <v>1</v>
      </c>
      <c r="I122" t="str">
        <f>IF(FT!B122&lt;&gt;"",FT!E122,"")</f>
        <v>2 [48.771158]</v>
      </c>
      <c r="J122">
        <f>IF(FT!B122&lt;&gt;"",FT!C122,"")</f>
        <v>48.7712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3.7379600000000002</v>
      </c>
      <c r="G123" s="61">
        <f>IF(FT!B123&lt;&gt;"",FT!B123*100,"")</f>
        <v>40.3264</v>
      </c>
      <c r="H123" s="61">
        <f t="shared" si="9"/>
        <v>1</v>
      </c>
      <c r="I123" t="str">
        <f>IF(FT!B123&lt;&gt;"",FT!E123,"")</f>
        <v>2 [49.178609]</v>
      </c>
      <c r="J123">
        <f>IF(FT!B123&lt;&gt;"",FT!C123,"")</f>
        <v>49.178600000000003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78554</v>
      </c>
      <c r="D124" s="61">
        <f>FH!B124*1</f>
        <v>78554</v>
      </c>
      <c r="E124">
        <f t="shared" si="11"/>
        <v>122</v>
      </c>
      <c r="F124" s="61">
        <f>IF(FT!A124&lt;&gt;"",FT!A124*10,"")</f>
        <v>3.7497799999999999</v>
      </c>
      <c r="G124" s="61">
        <f>IF(FT!B124&lt;&gt;"",FT!B124*100,"")</f>
        <v>40.1907</v>
      </c>
      <c r="H124" s="61">
        <f t="shared" si="9"/>
        <v>1</v>
      </c>
      <c r="I124" t="str">
        <f>IF(FT!B124&lt;&gt;"",FT!E124,"")</f>
        <v>2 [49.586991]</v>
      </c>
      <c r="J124">
        <f>IF(FT!B124&lt;&gt;"",FT!C124,"")</f>
        <v>49.587000000000003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3.7610700000000001</v>
      </c>
      <c r="G125" s="61">
        <f>IF(FT!B125&lt;&gt;"",FT!B125*100,"")</f>
        <v>40.121099999999998</v>
      </c>
      <c r="H125" s="61">
        <f t="shared" si="9"/>
        <v>1</v>
      </c>
      <c r="I125" t="str">
        <f>IF(FT!B125&lt;&gt;"",FT!E125,"")</f>
        <v>2 [49.990349]</v>
      </c>
      <c r="J125">
        <f>IF(FT!B125&lt;&gt;"",FT!C125,"")</f>
        <v>49.990299999999998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77893</v>
      </c>
      <c r="D126" s="61">
        <f>FH!B126*1</f>
        <v>77893</v>
      </c>
      <c r="E126">
        <f t="shared" si="11"/>
        <v>124</v>
      </c>
      <c r="F126" s="61">
        <f>IF(FT!A126&lt;&gt;"",FT!A126*10,"")</f>
        <v>3.7670399999999997</v>
      </c>
      <c r="G126" s="61">
        <f>IF(FT!B126&lt;&gt;"",FT!B126*100,"")</f>
        <v>39.989000000000004</v>
      </c>
      <c r="H126" s="61">
        <f t="shared" si="9"/>
        <v>1</v>
      </c>
      <c r="I126" t="str">
        <f>IF(FT!B126&lt;&gt;"",FT!E126,"")</f>
        <v>2 [50.396093]</v>
      </c>
      <c r="J126">
        <f>IF(FT!B126&lt;&gt;"",FT!C126,"")</f>
        <v>50.396099999999997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3.77468</v>
      </c>
      <c r="G127" s="61">
        <f>IF(FT!B127&lt;&gt;"",FT!B127*100,"")</f>
        <v>39.832299999999996</v>
      </c>
      <c r="H127" s="61">
        <f t="shared" si="9"/>
        <v>1</v>
      </c>
      <c r="I127" t="str">
        <f>IF(FT!B127&lt;&gt;"",FT!E127,"")</f>
        <v>2 [50.799880]</v>
      </c>
      <c r="J127">
        <f>IF(FT!B127&lt;&gt;"",FT!C127,"")</f>
        <v>50.799900000000001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3.7841399999999998</v>
      </c>
      <c r="G128" s="61">
        <f>IF(FT!B128&lt;&gt;"",FT!B128*100,"")</f>
        <v>39.652100000000004</v>
      </c>
      <c r="H128" s="61">
        <f t="shared" si="9"/>
        <v>1</v>
      </c>
      <c r="I128" t="str">
        <f>IF(FT!B128&lt;&gt;"",FT!E128,"")</f>
        <v>2 [51.208063]</v>
      </c>
      <c r="J128">
        <f>IF(FT!B128&lt;&gt;"",FT!C128,"")</f>
        <v>51.208100000000002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75538</v>
      </c>
      <c r="D129" s="61">
        <f>FH!B129*1</f>
        <v>75538</v>
      </c>
      <c r="E129">
        <f t="shared" si="11"/>
        <v>127</v>
      </c>
      <c r="F129" s="61">
        <f>IF(FT!A129&lt;&gt;"",FT!A129*10,"")</f>
        <v>3.7928600000000001</v>
      </c>
      <c r="G129" s="61">
        <f>IF(FT!B129&lt;&gt;"",FT!B129*100,"")</f>
        <v>39.453800000000001</v>
      </c>
      <c r="H129" s="61">
        <f t="shared" si="9"/>
        <v>1</v>
      </c>
      <c r="I129" t="str">
        <f>IF(FT!B129&lt;&gt;"",FT!E129,"")</f>
        <v>2 [51.612766]</v>
      </c>
      <c r="J129">
        <f>IF(FT!B129&lt;&gt;"",FT!C129,"")</f>
        <v>51.6128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3.8040500000000002</v>
      </c>
      <c r="G130" s="61">
        <f>IF(FT!B130&lt;&gt;"",FT!B130*100,"")</f>
        <v>39.259500000000003</v>
      </c>
      <c r="H130" s="61">
        <f t="shared" si="9"/>
        <v>1</v>
      </c>
      <c r="I130" t="str">
        <f>IF(FT!B130&lt;&gt;"",FT!E130,"")</f>
        <v>2 [52.018333]</v>
      </c>
      <c r="J130">
        <f>IF(FT!B130&lt;&gt;"",FT!C130,"")</f>
        <v>52.018300000000004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76807</v>
      </c>
      <c r="D131" s="61">
        <f>FH!B131*1</f>
        <v>76807</v>
      </c>
      <c r="E131">
        <f t="shared" si="11"/>
        <v>129</v>
      </c>
      <c r="F131" s="61">
        <f>IF(FT!A131&lt;&gt;"",FT!A131*10,"")</f>
        <v>3.8148200000000001</v>
      </c>
      <c r="G131" s="61">
        <f>IF(FT!B131&lt;&gt;"",FT!B131*100,"")</f>
        <v>39.095600000000005</v>
      </c>
      <c r="H131" s="61">
        <f t="shared" ref="H131:H194" si="13">(IF(F131&lt;&gt;"",1,""))</f>
        <v>1</v>
      </c>
      <c r="I131" t="str">
        <f>IF(FT!B131&lt;&gt;"",FT!E131,"")</f>
        <v>2 [52.427177]</v>
      </c>
      <c r="J131">
        <f>IF(FT!B131&lt;&gt;"",FT!C131,"")</f>
        <v>52.427199999999999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3.8248100000000003</v>
      </c>
      <c r="G132" s="61">
        <f>IF(FT!B132&lt;&gt;"",FT!B132*100,"")</f>
        <v>38.987300000000005</v>
      </c>
      <c r="H132" s="61">
        <f t="shared" si="13"/>
        <v>1</v>
      </c>
      <c r="I132" t="str">
        <f>IF(FT!B132&lt;&gt;"",FT!E132,"")</f>
        <v>2 [52.834465]</v>
      </c>
      <c r="J132">
        <f>IF(FT!B132&lt;&gt;"",FT!C132,"")</f>
        <v>52.834499999999998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3.8338800000000002</v>
      </c>
      <c r="G133" s="61">
        <f>IF(FT!B133&lt;&gt;"",FT!B133*100,"")</f>
        <v>38.909300000000002</v>
      </c>
      <c r="H133" s="61">
        <f t="shared" si="13"/>
        <v>1</v>
      </c>
      <c r="I133" t="str">
        <f>IF(FT!B133&lt;&gt;"",FT!E133,"")</f>
        <v>2 [53.238994]</v>
      </c>
      <c r="J133">
        <f>IF(FT!B133&lt;&gt;"",FT!C133,"")</f>
        <v>53.238999999999997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74722</v>
      </c>
      <c r="D134" s="61">
        <f>FH!B134*1</f>
        <v>74722</v>
      </c>
      <c r="E134">
        <f t="shared" si="15"/>
        <v>132</v>
      </c>
      <c r="F134" s="61">
        <f>IF(FT!A134&lt;&gt;"",FT!A134*10,"")</f>
        <v>3.84002</v>
      </c>
      <c r="G134" s="61">
        <f>IF(FT!B134&lt;&gt;"",FT!B134*100,"")</f>
        <v>38.844999999999999</v>
      </c>
      <c r="H134" s="61">
        <f t="shared" si="13"/>
        <v>1</v>
      </c>
      <c r="I134" t="str">
        <f>IF(FT!B134&lt;&gt;"",FT!E134,"")</f>
        <v>2 [53.645041]</v>
      </c>
      <c r="J134">
        <f>IF(FT!B134&lt;&gt;"",FT!C134,"")</f>
        <v>53.645000000000003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3.8459700000000003</v>
      </c>
      <c r="G135" s="61">
        <f>IF(FT!B135&lt;&gt;"",FT!B135*100,"")</f>
        <v>38.828699999999998</v>
      </c>
      <c r="H135" s="61">
        <f t="shared" si="13"/>
        <v>1</v>
      </c>
      <c r="I135" t="str">
        <f>IF(FT!B135&lt;&gt;"",FT!E135,"")</f>
        <v>2 [54.050414]</v>
      </c>
      <c r="J135">
        <f>IF(FT!B135&lt;&gt;"",FT!C135,"")</f>
        <v>54.050400000000003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73818</v>
      </c>
      <c r="D136" s="61">
        <f>FH!B136*1</f>
        <v>73818</v>
      </c>
      <c r="E136">
        <f t="shared" si="15"/>
        <v>134</v>
      </c>
      <c r="F136" s="61">
        <f>IF(FT!A136&lt;&gt;"",FT!A136*10,"")</f>
        <v>3.8514399999999998</v>
      </c>
      <c r="G136" s="61">
        <f>IF(FT!B136&lt;&gt;"",FT!B136*100,"")</f>
        <v>38.870599999999996</v>
      </c>
      <c r="H136" s="61">
        <f t="shared" si="13"/>
        <v>1</v>
      </c>
      <c r="I136" t="str">
        <f>IF(FT!B136&lt;&gt;"",FT!E136,"")</f>
        <v>2 [54.458948]</v>
      </c>
      <c r="J136">
        <f>IF(FT!B136&lt;&gt;"",FT!C136,"")</f>
        <v>54.4589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3.8562999999999996</v>
      </c>
      <c r="G137" s="61">
        <f>IF(FT!B137&lt;&gt;"",FT!B137*100,"")</f>
        <v>38.904200000000003</v>
      </c>
      <c r="H137" s="61">
        <f t="shared" si="13"/>
        <v>1</v>
      </c>
      <c r="I137" t="str">
        <f>IF(FT!B137&lt;&gt;"",FT!E137,"")</f>
        <v>2 [54.868186]</v>
      </c>
      <c r="J137">
        <f>IF(FT!B137&lt;&gt;"",FT!C137,"")</f>
        <v>54.868200000000002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3.8610699999999998</v>
      </c>
      <c r="G138" s="61">
        <f>IF(FT!B138&lt;&gt;"",FT!B138*100,"")</f>
        <v>38.968799999999995</v>
      </c>
      <c r="H138" s="61">
        <f t="shared" si="13"/>
        <v>1</v>
      </c>
      <c r="I138" t="str">
        <f>IF(FT!B138&lt;&gt;"",FT!E138,"")</f>
        <v>2 [55.271076]</v>
      </c>
      <c r="J138">
        <f>IF(FT!B138&lt;&gt;"",FT!C138,"")</f>
        <v>55.271099999999997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67403</v>
      </c>
      <c r="D139" s="61">
        <f>FH!B139*1</f>
        <v>67403</v>
      </c>
      <c r="E139">
        <f t="shared" si="15"/>
        <v>137</v>
      </c>
      <c r="F139" s="61">
        <f>IF(FT!A139&lt;&gt;"",FT!A139*10,"")</f>
        <v>3.8610499999999996</v>
      </c>
      <c r="G139" s="61">
        <f>IF(FT!B139&lt;&gt;"",FT!B139*100,"")</f>
        <v>39.1265</v>
      </c>
      <c r="H139" s="61">
        <f t="shared" si="13"/>
        <v>1</v>
      </c>
      <c r="I139" t="str">
        <f>IF(FT!B139&lt;&gt;"",FT!E139,"")</f>
        <v>2 [55.675554]</v>
      </c>
      <c r="J139">
        <f>IF(FT!B139&lt;&gt;"",FT!C139,"")</f>
        <v>55.675600000000003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3.8610299999999995</v>
      </c>
      <c r="G140" s="61">
        <f>IF(FT!B140&lt;&gt;"",FT!B140*100,"")</f>
        <v>39.3371</v>
      </c>
      <c r="H140" s="61">
        <f t="shared" si="13"/>
        <v>1</v>
      </c>
      <c r="I140" t="str">
        <f>IF(FT!B140&lt;&gt;"",FT!E140,"")</f>
        <v>2 [56.082948]</v>
      </c>
      <c r="J140">
        <f>IF(FT!B140&lt;&gt;"",FT!C140,"")</f>
        <v>56.082900000000002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3.8649499999999999</v>
      </c>
      <c r="G141" s="61">
        <f>IF(FT!B141&lt;&gt;"",FT!B141*100,"")</f>
        <v>39.538499999999999</v>
      </c>
      <c r="H141" s="61">
        <f t="shared" si="13"/>
        <v>1</v>
      </c>
      <c r="I141" t="str">
        <f>IF(FT!B141&lt;&gt;"",FT!E141,"")</f>
        <v>2 [56.490482]</v>
      </c>
      <c r="J141">
        <f>IF(FT!B141&lt;&gt;"",FT!C141,"")</f>
        <v>56.490499999999997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64248</v>
      </c>
      <c r="D142" s="61">
        <f>FH!B142*1</f>
        <v>64248</v>
      </c>
      <c r="E142">
        <f t="shared" si="15"/>
        <v>140</v>
      </c>
      <c r="F142" s="61">
        <f>IF(FT!A142&lt;&gt;"",FT!A142*10,"")</f>
        <v>3.8735599999999999</v>
      </c>
      <c r="G142" s="61">
        <f>IF(FT!B142&lt;&gt;"",FT!B142*100,"")</f>
        <v>39.7117</v>
      </c>
      <c r="H142" s="61">
        <f t="shared" si="13"/>
        <v>1</v>
      </c>
      <c r="I142" t="str">
        <f>IF(FT!B142&lt;&gt;"",FT!E142,"")</f>
        <v>2 [56.897571]</v>
      </c>
      <c r="J142">
        <f>IF(FT!B142&lt;&gt;"",FT!C142,"")</f>
        <v>56.897599999999997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3.88388</v>
      </c>
      <c r="G143" s="61">
        <f>IF(FT!B143&lt;&gt;"",FT!B143*100,"")</f>
        <v>39.865299999999998</v>
      </c>
      <c r="H143" s="61">
        <f t="shared" si="13"/>
        <v>1</v>
      </c>
      <c r="I143" t="str">
        <f>IF(FT!B143&lt;&gt;"",FT!E143,"")</f>
        <v>2 [57.301662]</v>
      </c>
      <c r="J143">
        <f>IF(FT!B143&lt;&gt;"",FT!C143,"")</f>
        <v>57.301699999999997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53491</v>
      </c>
      <c r="D144" s="61">
        <f>FH!B144*1</f>
        <v>53491</v>
      </c>
      <c r="E144">
        <f t="shared" si="15"/>
        <v>142</v>
      </c>
      <c r="F144" s="61">
        <f>IF(FT!A144&lt;&gt;"",FT!A144*10,"")</f>
        <v>3.8876300000000001</v>
      </c>
      <c r="G144" s="61">
        <f>IF(FT!B144&lt;&gt;"",FT!B144*100,"")</f>
        <v>40.007599999999996</v>
      </c>
      <c r="H144" s="61">
        <f t="shared" si="13"/>
        <v>1</v>
      </c>
      <c r="I144" t="str">
        <f>IF(FT!B144&lt;&gt;"",FT!E144,"")</f>
        <v>2 [57.710662]</v>
      </c>
      <c r="J144">
        <f>IF(FT!B144&lt;&gt;"",FT!C144,"")</f>
        <v>57.710700000000003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3.8860800000000002</v>
      </c>
      <c r="G145" s="61">
        <f>IF(FT!B145&lt;&gt;"",FT!B145*100,"")</f>
        <v>40.35</v>
      </c>
      <c r="H145" s="61">
        <f t="shared" si="13"/>
        <v>1</v>
      </c>
      <c r="I145" t="str">
        <f>IF(FT!B145&lt;&gt;"",FT!E145,"")</f>
        <v>2 [58.118115]</v>
      </c>
      <c r="J145">
        <f>IF(FT!B145&lt;&gt;"",FT!C145,"")</f>
        <v>58.118099999999998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3.8868999999999998</v>
      </c>
      <c r="G146" s="61">
        <f>IF(FT!B146&lt;&gt;"",FT!B146*100,"")</f>
        <v>40.820099999999996</v>
      </c>
      <c r="H146" s="61">
        <f t="shared" si="13"/>
        <v>1</v>
      </c>
      <c r="I146" t="str">
        <f>IF(FT!B146&lt;&gt;"",FT!E146,"")</f>
        <v>2 [58.523808]</v>
      </c>
      <c r="J146">
        <f>IF(FT!B146&lt;&gt;"",FT!C146,"")</f>
        <v>58.523800000000001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46559</v>
      </c>
      <c r="D147" s="61">
        <f>FH!B147*1</f>
        <v>46559</v>
      </c>
      <c r="E147">
        <f t="shared" si="15"/>
        <v>145</v>
      </c>
      <c r="F147" s="61">
        <f>IF(FT!A147&lt;&gt;"",FT!A147*10,"")</f>
        <v>3.8982200000000002</v>
      </c>
      <c r="G147" s="61">
        <f>IF(FT!B147&lt;&gt;"",FT!B147*100,"")</f>
        <v>41.326099999999997</v>
      </c>
      <c r="H147" s="61">
        <f t="shared" si="13"/>
        <v>1</v>
      </c>
      <c r="I147" t="str">
        <f>IF(FT!B147&lt;&gt;"",FT!E147,"")</f>
        <v>2 [58.927075]</v>
      </c>
      <c r="J147">
        <f>IF(FT!B147&lt;&gt;"",FT!C147,"")</f>
        <v>58.927100000000003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3.9155699999999998</v>
      </c>
      <c r="G148" s="61">
        <f>IF(FT!B148&lt;&gt;"",FT!B148*100,"")</f>
        <v>41.842199999999998</v>
      </c>
      <c r="H148" s="61">
        <f t="shared" si="13"/>
        <v>1</v>
      </c>
      <c r="I148" t="str">
        <f>IF(FT!B148&lt;&gt;"",FT!E148,"")</f>
        <v>2 [59.333876]</v>
      </c>
      <c r="J148">
        <f>IF(FT!B148&lt;&gt;"",FT!C148,"")</f>
        <v>59.3339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40413</v>
      </c>
      <c r="D149" s="61">
        <f>FH!B149*1</f>
        <v>40413</v>
      </c>
      <c r="E149">
        <f t="shared" si="15"/>
        <v>147</v>
      </c>
      <c r="F149" s="61">
        <f>IF(FT!A149&lt;&gt;"",FT!A149*10,"")</f>
        <v>3.9000400000000002</v>
      </c>
      <c r="G149" s="61">
        <f>IF(FT!B149&lt;&gt;"",FT!B149*100,"")</f>
        <v>42.598599999999998</v>
      </c>
      <c r="H149" s="61">
        <f t="shared" si="13"/>
        <v>1</v>
      </c>
      <c r="I149" t="str">
        <f>IF(FT!B149&lt;&gt;"",FT!E149,"")</f>
        <v>2 [59.738332]</v>
      </c>
      <c r="J149">
        <f>IF(FT!B149&lt;&gt;"",FT!C149,"")</f>
        <v>59.738300000000002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33285</v>
      </c>
      <c r="D152" s="61">
        <f>FH!B152*1</f>
        <v>33285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26929</v>
      </c>
      <c r="D154" s="61">
        <f>FH!B154*1</f>
        <v>26929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22788</v>
      </c>
      <c r="D157" s="61">
        <f>FH!B157*1</f>
        <v>22788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19416</v>
      </c>
      <c r="D160" s="61">
        <f>FH!B160*1</f>
        <v>19416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13796</v>
      </c>
      <c r="D162" s="61">
        <f>FH!B162*1</f>
        <v>13796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14730</v>
      </c>
      <c r="D165" s="61">
        <f>FH!B165*1</f>
        <v>14730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10277</v>
      </c>
      <c r="D167" s="61">
        <f>FH!B167*1</f>
        <v>10277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9769</v>
      </c>
      <c r="D170" s="61">
        <f>FH!B170*1</f>
        <v>9769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5465</v>
      </c>
      <c r="D173" s="61">
        <f>FH!B173*1</f>
        <v>5465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3258</v>
      </c>
      <c r="D175" s="61">
        <f>FH!B175*1</f>
        <v>3258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2505</v>
      </c>
      <c r="D178" s="61">
        <f>FH!B178*1</f>
        <v>2505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1068</v>
      </c>
      <c r="D180" s="61">
        <f>FH!B180*1</f>
        <v>1068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493</v>
      </c>
      <c r="D183" s="61">
        <f>FH!B183*1</f>
        <v>493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337</v>
      </c>
      <c r="D185" s="61">
        <f>FH!B185*1</f>
        <v>337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109</v>
      </c>
      <c r="D188" s="61">
        <f>FH!B188*1</f>
        <v>109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54</v>
      </c>
      <c r="D191" s="61">
        <f>FH!B191*1</f>
        <v>54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38.164900000000003</v>
      </c>
      <c r="C5" s="66">
        <v>10.168699999999999</v>
      </c>
      <c r="D5" s="66">
        <v>26.644100000000002</v>
      </c>
      <c r="E5" s="66">
        <v>20</v>
      </c>
      <c r="F5" s="66">
        <v>8.0234000000000005</v>
      </c>
      <c r="G5" s="66">
        <v>50</v>
      </c>
      <c r="H5" s="66">
        <v>53.403199999999998</v>
      </c>
    </row>
    <row r="6" spans="1:8">
      <c r="A6" s="58" t="s">
        <v>303</v>
      </c>
      <c r="B6" s="66">
        <v>32.382399999999997</v>
      </c>
      <c r="C6" s="66">
        <v>4.0868900000000004</v>
      </c>
      <c r="D6" s="66">
        <v>12.620699999999999</v>
      </c>
      <c r="E6" s="66">
        <v>20</v>
      </c>
      <c r="F6" s="66">
        <v>17.8309</v>
      </c>
      <c r="G6" s="66">
        <v>40</v>
      </c>
      <c r="H6" s="66">
        <v>36.093899999999998</v>
      </c>
    </row>
    <row r="7" spans="1:8">
      <c r="A7" s="58" t="s">
        <v>304</v>
      </c>
      <c r="B7" s="66">
        <v>35.050400000000003</v>
      </c>
      <c r="C7" s="66">
        <v>8.4961800000000007</v>
      </c>
      <c r="D7" s="66">
        <v>24.239899999999999</v>
      </c>
      <c r="E7" s="66">
        <v>15</v>
      </c>
      <c r="F7" s="66">
        <v>6.3394700000000004</v>
      </c>
      <c r="G7" s="66">
        <v>40</v>
      </c>
      <c r="H7" s="66">
        <v>50.210700000000003</v>
      </c>
    </row>
    <row r="8" spans="1:8">
      <c r="A8" s="58" t="s">
        <v>305</v>
      </c>
      <c r="B8" s="66">
        <v>35.2164</v>
      </c>
      <c r="C8" s="66">
        <v>5.4145700000000003</v>
      </c>
      <c r="D8" s="66">
        <v>15.3752</v>
      </c>
      <c r="E8" s="66">
        <v>20</v>
      </c>
      <c r="F8" s="66">
        <v>21.500299999999999</v>
      </c>
      <c r="G8" s="66">
        <v>50</v>
      </c>
      <c r="H8" s="66">
        <v>40.729199999999999</v>
      </c>
    </row>
    <row r="9" spans="1:8">
      <c r="A9" s="58" t="s">
        <v>306</v>
      </c>
      <c r="B9" s="66">
        <v>65.622600000000006</v>
      </c>
      <c r="C9" s="66">
        <v>7.7427799999999998</v>
      </c>
      <c r="D9" s="66">
        <v>11.798999999999999</v>
      </c>
      <c r="E9" s="66">
        <v>50</v>
      </c>
      <c r="F9" s="66">
        <v>40.318800000000003</v>
      </c>
      <c r="G9" s="66">
        <v>100</v>
      </c>
      <c r="H9" s="66">
        <v>79.423500000000004</v>
      </c>
    </row>
    <row r="10" spans="1:8">
      <c r="A10" s="58" t="s">
        <v>307</v>
      </c>
      <c r="B10" s="66">
        <v>72.5852</v>
      </c>
      <c r="C10" s="66">
        <v>5.4530700000000003</v>
      </c>
      <c r="D10" s="66">
        <v>7.5126499999999998</v>
      </c>
      <c r="E10" s="66">
        <v>40</v>
      </c>
      <c r="F10" s="66">
        <v>65.891800000000003</v>
      </c>
      <c r="G10" s="66">
        <v>100</v>
      </c>
      <c r="H10" s="66">
        <v>88.321600000000004</v>
      </c>
    </row>
    <row r="11" spans="1:8">
      <c r="A11" s="58" t="s">
        <v>308</v>
      </c>
      <c r="B11" s="66">
        <v>22.948599999999999</v>
      </c>
      <c r="C11" s="66">
        <v>5.9267500000000002</v>
      </c>
      <c r="D11" s="66">
        <v>25.8262</v>
      </c>
      <c r="E11" s="66">
        <v>10</v>
      </c>
      <c r="F11" s="66">
        <v>6.5768700000000004</v>
      </c>
      <c r="G11" s="66">
        <v>50</v>
      </c>
      <c r="H11" s="66">
        <v>27.587499999999999</v>
      </c>
    </row>
    <row r="12" spans="1:8">
      <c r="A12" s="58" t="s">
        <v>309</v>
      </c>
      <c r="B12" s="66">
        <v>70.065600000000003</v>
      </c>
      <c r="C12" s="66">
        <v>4.9880199999999997</v>
      </c>
      <c r="D12" s="66">
        <v>7.1190699999999998</v>
      </c>
      <c r="E12" s="66">
        <v>50</v>
      </c>
      <c r="F12" s="66">
        <v>53.957900000000002</v>
      </c>
      <c r="G12" s="66">
        <v>100</v>
      </c>
      <c r="H12" s="66">
        <v>78.347499999999997</v>
      </c>
    </row>
    <row r="13" spans="1:8">
      <c r="A13" s="58" t="s">
        <v>310</v>
      </c>
      <c r="B13" s="66">
        <v>13.8819</v>
      </c>
      <c r="C13" s="66">
        <v>1.6087899999999999</v>
      </c>
      <c r="D13" s="66">
        <v>11.5892</v>
      </c>
      <c r="E13" s="66">
        <v>10</v>
      </c>
      <c r="F13" s="66">
        <v>11.5655</v>
      </c>
      <c r="G13" s="66">
        <v>25</v>
      </c>
      <c r="H13" s="66">
        <v>23.704000000000001</v>
      </c>
    </row>
    <row r="14" spans="1:8">
      <c r="A14" s="58" t="s">
        <v>311</v>
      </c>
      <c r="B14" s="66">
        <v>16.087900000000001</v>
      </c>
      <c r="C14" s="66">
        <v>7.0142300000000004</v>
      </c>
      <c r="D14" s="66">
        <v>43.599299999999999</v>
      </c>
      <c r="E14" s="66">
        <v>10</v>
      </c>
      <c r="F14" s="66">
        <v>0.90299200000000002</v>
      </c>
      <c r="G14" s="66">
        <v>50</v>
      </c>
      <c r="H14" s="66">
        <v>29.5685</v>
      </c>
    </row>
    <row r="15" spans="1:8">
      <c r="A15" s="58" t="s">
        <v>312</v>
      </c>
      <c r="B15" s="66">
        <v>9.5237199999999994E-2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0.140899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18.6325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0.44328899999999999</v>
      </c>
      <c r="C18" s="66">
        <v>6.3203700000000002E-2</v>
      </c>
      <c r="D18" s="66">
        <v>0.14257900000000001</v>
      </c>
      <c r="E18" s="66">
        <v>0</v>
      </c>
      <c r="F18" s="66">
        <v>0.38008500000000001</v>
      </c>
      <c r="G18" s="66">
        <v>0</v>
      </c>
      <c r="H18" s="66">
        <v>0.50649299999999997</v>
      </c>
    </row>
    <row r="19" spans="1:8">
      <c r="A19" s="58" t="s">
        <v>316</v>
      </c>
      <c r="B19" s="66">
        <v>0.67271700000000001</v>
      </c>
      <c r="C19" s="66">
        <v>5.7675299999999999E-2</v>
      </c>
      <c r="D19" s="66">
        <v>8.57348E-2</v>
      </c>
      <c r="E19" s="66">
        <v>0</v>
      </c>
      <c r="F19" s="66">
        <v>0.61504199999999998</v>
      </c>
      <c r="G19" s="66">
        <v>0</v>
      </c>
      <c r="H19" s="66">
        <v>0.73039200000000004</v>
      </c>
    </row>
    <row r="20" spans="1:8">
      <c r="A20" s="58" t="s">
        <v>317</v>
      </c>
      <c r="B20" s="66">
        <v>8.6647500000000006E-3</v>
      </c>
      <c r="C20" s="66">
        <v>0.15989999999999999</v>
      </c>
      <c r="D20" s="66">
        <v>18.4541</v>
      </c>
      <c r="E20" s="66">
        <v>0</v>
      </c>
      <c r="F20" s="66">
        <v>0</v>
      </c>
      <c r="G20" s="66">
        <v>0</v>
      </c>
      <c r="H20" s="66">
        <v>2.31568</v>
      </c>
    </row>
    <row r="21" spans="1:8">
      <c r="A21" s="58" t="s">
        <v>318</v>
      </c>
      <c r="B21" s="66">
        <v>0.119296</v>
      </c>
      <c r="C21" s="66">
        <v>0.751637</v>
      </c>
      <c r="D21" s="66">
        <v>6.3006000000000002</v>
      </c>
      <c r="E21" s="66">
        <v>0</v>
      </c>
      <c r="F21" s="66">
        <v>1.9544800000000002E-3</v>
      </c>
      <c r="G21" s="66">
        <v>0</v>
      </c>
      <c r="H21" s="66">
        <v>7.4488399999999997</v>
      </c>
    </row>
    <row r="22" spans="1:8">
      <c r="A22" s="58" t="s">
        <v>319</v>
      </c>
      <c r="B22" s="66">
        <v>44.096499999999999</v>
      </c>
      <c r="C22" s="66">
        <v>18.979199999999999</v>
      </c>
      <c r="D22" s="66">
        <v>0.43040099999999998</v>
      </c>
      <c r="E22" s="66">
        <v>0</v>
      </c>
      <c r="F22" s="66">
        <v>25.7255</v>
      </c>
      <c r="G22" s="66">
        <v>0</v>
      </c>
      <c r="H22" s="66">
        <v>167.92099999999999</v>
      </c>
    </row>
    <row r="23" spans="1:8">
      <c r="A23" s="58" t="s">
        <v>320</v>
      </c>
      <c r="B23" s="66">
        <v>17.6891</v>
      </c>
      <c r="C23" s="66">
        <v>4.3846800000000004</v>
      </c>
      <c r="D23" s="66">
        <v>0.24787500000000001</v>
      </c>
      <c r="E23" s="66">
        <v>0</v>
      </c>
      <c r="F23" s="66">
        <v>7.5808600000000004</v>
      </c>
      <c r="G23" s="66">
        <v>0</v>
      </c>
      <c r="H23" s="66">
        <v>23.364000000000001</v>
      </c>
    </row>
    <row r="24" spans="1:8">
      <c r="A24" s="58" t="s">
        <v>321</v>
      </c>
      <c r="B24" s="66">
        <v>1.31962E-2</v>
      </c>
      <c r="C24" s="66">
        <v>0.13349800000000001</v>
      </c>
      <c r="D24" s="66">
        <v>10.116400000000001</v>
      </c>
      <c r="E24" s="66">
        <v>0</v>
      </c>
      <c r="F24" s="196">
        <v>5.9846100000000003E-5</v>
      </c>
      <c r="G24" s="66">
        <v>0</v>
      </c>
      <c r="H24" s="66">
        <v>1.4778899999999999</v>
      </c>
    </row>
    <row r="25" spans="1:8">
      <c r="A25" s="58" t="s">
        <v>322</v>
      </c>
      <c r="B25" s="66">
        <v>0.14210500000000001</v>
      </c>
      <c r="C25" s="66">
        <v>0.48214699999999999</v>
      </c>
      <c r="D25" s="66">
        <v>3.3929</v>
      </c>
      <c r="E25" s="66">
        <v>0</v>
      </c>
      <c r="F25" s="66">
        <v>4.7717500000000003E-2</v>
      </c>
      <c r="G25" s="66">
        <v>0</v>
      </c>
      <c r="H25" s="66">
        <v>3.1333700000000002</v>
      </c>
    </row>
    <row r="26" spans="1:8">
      <c r="A26" s="58" t="s">
        <v>323</v>
      </c>
      <c r="B26" s="66">
        <v>1.55758E-3</v>
      </c>
      <c r="C26" s="66">
        <v>1.1337399999999999E-2</v>
      </c>
      <c r="D26" s="66">
        <v>7.2788500000000003</v>
      </c>
      <c r="E26" s="66">
        <v>0</v>
      </c>
      <c r="F26" s="66">
        <v>0</v>
      </c>
      <c r="G26" s="66">
        <v>0</v>
      </c>
      <c r="H26" s="66">
        <v>0.162129</v>
      </c>
    </row>
    <row r="27" spans="1:8">
      <c r="A27" s="58" t="s">
        <v>324</v>
      </c>
      <c r="B27" s="196">
        <v>2.2977899999999999E-5</v>
      </c>
      <c r="C27" s="66">
        <v>3.4817699999999999E-3</v>
      </c>
      <c r="D27" s="66">
        <v>151.52699999999999</v>
      </c>
      <c r="E27" s="66">
        <v>0</v>
      </c>
      <c r="F27" s="66">
        <v>-3.36102E-2</v>
      </c>
      <c r="G27" s="66">
        <v>0</v>
      </c>
      <c r="H27" s="66">
        <v>3.2257800000000003E-2</v>
      </c>
    </row>
    <row r="28" spans="1:8">
      <c r="A28" s="58" t="s">
        <v>325</v>
      </c>
      <c r="B28" s="66">
        <v>1.52181E-2</v>
      </c>
      <c r="C28" s="66">
        <v>3.3080600000000002E-2</v>
      </c>
      <c r="D28" s="66">
        <v>2.1737700000000002</v>
      </c>
      <c r="E28" s="66">
        <v>0</v>
      </c>
      <c r="F28" s="66">
        <v>6.3802100000000001E-4</v>
      </c>
      <c r="G28" s="66">
        <v>0</v>
      </c>
      <c r="H28" s="66">
        <v>0.2707</v>
      </c>
    </row>
    <row r="29" spans="1:8">
      <c r="A29" s="58" t="s">
        <v>326</v>
      </c>
      <c r="B29" s="66">
        <v>72.953199999999995</v>
      </c>
      <c r="C29" s="66">
        <v>7.9093400000000003</v>
      </c>
      <c r="D29" s="66">
        <v>0.108417</v>
      </c>
      <c r="E29" s="66">
        <v>0</v>
      </c>
      <c r="F29" s="66">
        <v>56.088200000000001</v>
      </c>
      <c r="G29" s="66">
        <v>0</v>
      </c>
      <c r="H29" s="66">
        <v>118.196</v>
      </c>
    </row>
    <row r="30" spans="1:8">
      <c r="A30" s="58" t="s">
        <v>327</v>
      </c>
      <c r="B30" s="66">
        <v>22.272300000000001</v>
      </c>
      <c r="C30" s="66">
        <v>4.4760999999999997</v>
      </c>
      <c r="D30" s="66">
        <v>0.20097200000000001</v>
      </c>
      <c r="E30" s="66">
        <v>0</v>
      </c>
      <c r="F30" s="66">
        <v>8.9695199999999993</v>
      </c>
      <c r="G30" s="66">
        <v>0</v>
      </c>
      <c r="H30" s="66">
        <v>27.415400000000002</v>
      </c>
    </row>
    <row r="31" spans="1:8">
      <c r="A31" s="58" t="s">
        <v>328</v>
      </c>
      <c r="B31" s="66">
        <v>197.55799999999999</v>
      </c>
      <c r="C31" s="66">
        <v>53.570500000000003</v>
      </c>
      <c r="D31" s="66">
        <v>0.27116299999999999</v>
      </c>
      <c r="E31" s="66">
        <v>0</v>
      </c>
      <c r="F31" s="66">
        <v>43.601399999999998</v>
      </c>
      <c r="G31" s="66">
        <v>0</v>
      </c>
      <c r="H31" s="66">
        <v>264.846</v>
      </c>
    </row>
    <row r="32" spans="1:8">
      <c r="A32" s="58" t="s">
        <v>329</v>
      </c>
      <c r="B32" s="66">
        <v>0.35050399999999998</v>
      </c>
      <c r="C32" s="66">
        <v>8.4961800000000004E-2</v>
      </c>
      <c r="D32" s="66">
        <v>0.242399</v>
      </c>
      <c r="E32" s="66">
        <v>0.15</v>
      </c>
      <c r="F32" s="66">
        <v>6.3394699999999998E-2</v>
      </c>
      <c r="G32" s="66">
        <v>0.4</v>
      </c>
      <c r="H32" s="66">
        <v>0.50210699999999997</v>
      </c>
    </row>
    <row r="33" spans="1:8">
      <c r="A33" s="58" t="s">
        <v>330</v>
      </c>
      <c r="B33" s="66">
        <v>0.26586700000000002</v>
      </c>
      <c r="C33" s="66">
        <v>6.9952500000000001E-2</v>
      </c>
      <c r="D33" s="66">
        <v>0.26311000000000001</v>
      </c>
      <c r="E33" s="66">
        <v>0</v>
      </c>
      <c r="F33" s="66">
        <v>0.18551899999999999</v>
      </c>
      <c r="G33" s="66">
        <v>0</v>
      </c>
      <c r="H33" s="66">
        <v>0.46930699999999997</v>
      </c>
    </row>
    <row r="34" spans="1:8">
      <c r="A34" s="58" t="s">
        <v>331</v>
      </c>
      <c r="B34" s="66">
        <v>0.138819</v>
      </c>
      <c r="C34" s="66">
        <v>1.6087899999999999E-2</v>
      </c>
      <c r="D34" s="66">
        <v>0.115892</v>
      </c>
      <c r="E34" s="66">
        <v>0.1</v>
      </c>
      <c r="F34" s="66">
        <v>0.11565499999999999</v>
      </c>
      <c r="G34" s="66">
        <v>0.25</v>
      </c>
      <c r="H34" s="66">
        <v>0.23704</v>
      </c>
    </row>
    <row r="35" spans="1:8">
      <c r="A35" s="58" t="s">
        <v>332</v>
      </c>
      <c r="B35" s="66">
        <v>3.9068100000000001E-2</v>
      </c>
      <c r="C35" s="66">
        <v>2.5383200000000002E-2</v>
      </c>
      <c r="D35" s="66">
        <v>0.64971699999999999</v>
      </c>
      <c r="E35" s="66">
        <v>0</v>
      </c>
      <c r="F35" s="66">
        <v>1.13052E-2</v>
      </c>
      <c r="G35" s="66">
        <v>0</v>
      </c>
      <c r="H35" s="66">
        <v>0.13525400000000001</v>
      </c>
    </row>
    <row r="36" spans="1:8">
      <c r="A36" s="58" t="s">
        <v>333</v>
      </c>
      <c r="B36" s="66">
        <v>0.130797</v>
      </c>
      <c r="C36" s="66">
        <v>5.3000100000000001E-2</v>
      </c>
      <c r="D36" s="66">
        <v>0.40521000000000001</v>
      </c>
      <c r="E36" s="66">
        <v>0</v>
      </c>
      <c r="F36" s="66">
        <v>5.1531199999999999E-2</v>
      </c>
      <c r="G36" s="66">
        <v>0</v>
      </c>
      <c r="H36" s="66">
        <v>0.44572600000000001</v>
      </c>
    </row>
    <row r="37" spans="1:8">
      <c r="A37" s="58" t="s">
        <v>334</v>
      </c>
      <c r="B37" s="66">
        <v>0.16087899999999999</v>
      </c>
      <c r="C37" s="66">
        <v>7.0142300000000005E-2</v>
      </c>
      <c r="D37" s="66">
        <v>0.43599300000000002</v>
      </c>
      <c r="E37" s="66">
        <v>0.1</v>
      </c>
      <c r="F37" s="66">
        <v>9.0299200000000003E-3</v>
      </c>
      <c r="G37" s="66">
        <v>0.5</v>
      </c>
      <c r="H37" s="66">
        <v>0.29568499999999998</v>
      </c>
    </row>
    <row r="38" spans="1:8">
      <c r="A38" s="58" t="s">
        <v>335</v>
      </c>
      <c r="B38" s="66">
        <v>-26.560400000000001</v>
      </c>
      <c r="C38" s="66">
        <v>43.634799999999998</v>
      </c>
      <c r="D38" s="66">
        <v>-1.6428499999999999</v>
      </c>
      <c r="E38" s="66">
        <v>0</v>
      </c>
      <c r="F38" s="66">
        <v>-295.476</v>
      </c>
      <c r="G38" s="66">
        <v>0</v>
      </c>
      <c r="H38" s="66">
        <v>83.196299999999994</v>
      </c>
    </row>
    <row r="39" spans="1:8">
      <c r="A39" s="58" t="s">
        <v>336</v>
      </c>
      <c r="B39" s="66">
        <v>-10.8691</v>
      </c>
      <c r="C39" s="66">
        <v>6.8517200000000003</v>
      </c>
      <c r="D39" s="66">
        <v>-0.630382</v>
      </c>
      <c r="E39" s="66">
        <v>0</v>
      </c>
      <c r="F39" s="66">
        <v>-48.818800000000003</v>
      </c>
      <c r="G39" s="66">
        <v>0</v>
      </c>
      <c r="H39" s="66">
        <v>0.174041</v>
      </c>
    </row>
    <row r="40" spans="1:8">
      <c r="A40" s="58" t="s">
        <v>337</v>
      </c>
      <c r="B40" s="66">
        <v>-4.9863200000000001</v>
      </c>
      <c r="C40" s="66">
        <v>2.9408400000000001</v>
      </c>
      <c r="D40" s="66">
        <v>-0.58978200000000003</v>
      </c>
      <c r="E40" s="66">
        <v>0</v>
      </c>
      <c r="F40" s="66">
        <v>-10.795</v>
      </c>
      <c r="G40" s="66">
        <v>0</v>
      </c>
      <c r="H40" s="66">
        <v>-1.44584</v>
      </c>
    </row>
    <row r="41" spans="1:8">
      <c r="A41" s="58" t="s">
        <v>338</v>
      </c>
      <c r="B41" s="66">
        <v>-0.166603</v>
      </c>
      <c r="C41" s="66">
        <v>0.25637500000000002</v>
      </c>
      <c r="D41" s="66">
        <v>-1.53884</v>
      </c>
      <c r="E41" s="66">
        <v>0</v>
      </c>
      <c r="F41" s="66">
        <v>-1</v>
      </c>
      <c r="G41" s="66">
        <v>0</v>
      </c>
      <c r="H41" s="66">
        <v>0.92105300000000001</v>
      </c>
    </row>
    <row r="42" spans="1:8">
      <c r="A42" s="58" t="s">
        <v>339</v>
      </c>
      <c r="B42" s="66">
        <v>-0.236925</v>
      </c>
      <c r="C42" s="66">
        <v>7.1577299999999996E-2</v>
      </c>
      <c r="D42" s="66">
        <v>-0.30210900000000002</v>
      </c>
      <c r="E42" s="66">
        <v>0</v>
      </c>
      <c r="F42" s="66">
        <v>-0.49024899999999999</v>
      </c>
      <c r="G42" s="66">
        <v>0</v>
      </c>
      <c r="H42" s="66">
        <v>-7.6509199999999999E-2</v>
      </c>
    </row>
    <row r="43" spans="1:8">
      <c r="A43" s="58" t="s">
        <v>340</v>
      </c>
      <c r="B43" s="66">
        <v>-0.235343</v>
      </c>
      <c r="C43" s="66">
        <v>3.7574000000000003E-2</v>
      </c>
      <c r="D43" s="66">
        <v>-0.15965699999999999</v>
      </c>
      <c r="E43" s="66">
        <v>0</v>
      </c>
      <c r="F43" s="66">
        <v>-0.29359600000000002</v>
      </c>
      <c r="G43" s="66">
        <v>0</v>
      </c>
      <c r="H43" s="66">
        <v>-0.132962</v>
      </c>
    </row>
    <row r="44" spans="1:8">
      <c r="A44" s="58" t="s">
        <v>341</v>
      </c>
      <c r="B44" s="66">
        <v>-17.096699999999998</v>
      </c>
      <c r="C44" s="66">
        <v>12.4482</v>
      </c>
      <c r="D44" s="66">
        <v>-0.72810799999999998</v>
      </c>
      <c r="E44" s="66">
        <v>0</v>
      </c>
      <c r="F44" s="66">
        <v>-48.676900000000003</v>
      </c>
      <c r="G44" s="66">
        <v>0</v>
      </c>
      <c r="H44" s="66">
        <v>-0.15212999999999999</v>
      </c>
    </row>
    <row r="45" spans="1:8">
      <c r="A45" s="58" t="s">
        <v>342</v>
      </c>
      <c r="B45" s="66">
        <v>52.477800000000002</v>
      </c>
      <c r="C45" s="66">
        <v>6.2553400000000003</v>
      </c>
      <c r="D45" s="66">
        <v>0.1192</v>
      </c>
      <c r="E45" s="66">
        <v>0</v>
      </c>
      <c r="F45" s="66">
        <v>35.506399999999999</v>
      </c>
      <c r="G45" s="66">
        <v>0</v>
      </c>
      <c r="H45" s="66">
        <v>67.474199999999996</v>
      </c>
    </row>
    <row r="46" spans="1:8">
      <c r="A46" s="58" t="s">
        <v>343</v>
      </c>
      <c r="B46" s="66">
        <v>29.1496</v>
      </c>
      <c r="C46" s="66">
        <v>7.6197499999999998</v>
      </c>
      <c r="D46" s="66">
        <v>0.26140099999999999</v>
      </c>
      <c r="E46" s="66">
        <v>0</v>
      </c>
      <c r="F46" s="66">
        <v>5.8257099999999999</v>
      </c>
      <c r="G46" s="66">
        <v>0</v>
      </c>
      <c r="H46" s="66">
        <v>37.219099999999997</v>
      </c>
    </row>
    <row r="47" spans="1:8">
      <c r="A47" s="58" t="s">
        <v>344</v>
      </c>
      <c r="B47" s="66">
        <v>1.1326499999999999</v>
      </c>
      <c r="C47" s="66">
        <v>0.42249199999999998</v>
      </c>
      <c r="D47" s="66">
        <v>0.37301299999999998</v>
      </c>
      <c r="E47" s="66">
        <v>0</v>
      </c>
      <c r="F47" s="66">
        <v>0.42461700000000002</v>
      </c>
      <c r="G47" s="66">
        <v>0</v>
      </c>
      <c r="H47" s="66">
        <v>3.7836400000000001</v>
      </c>
    </row>
    <row r="48" spans="1:8">
      <c r="A48" s="58" t="s">
        <v>345</v>
      </c>
      <c r="B48" s="66">
        <v>0.87543899999999997</v>
      </c>
      <c r="C48" s="66">
        <v>0.16894899999999999</v>
      </c>
      <c r="D48" s="66">
        <v>0.19298799999999999</v>
      </c>
      <c r="E48" s="66">
        <v>0</v>
      </c>
      <c r="F48" s="66">
        <v>0.50589300000000004</v>
      </c>
      <c r="G48" s="66">
        <v>0</v>
      </c>
      <c r="H48" s="66">
        <v>1.19669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6.2494999999999976</v>
      </c>
      <c r="C5" s="66">
        <f>'M2'!C5-'M1'!C5</f>
        <v>-7.8264500000000004</v>
      </c>
      <c r="D5" s="66">
        <f>'M2'!D5-'M1'!D5</f>
        <v>-25.199199999999998</v>
      </c>
      <c r="E5" s="66">
        <f>'M2'!E5-'M1'!E5</f>
        <v>0</v>
      </c>
      <c r="F5" s="66">
        <f>'M2'!F5-'M1'!F5</f>
        <v>28.677299999999995</v>
      </c>
      <c r="G5" s="66">
        <f>'M2'!G5-'M1'!G5</f>
        <v>0</v>
      </c>
      <c r="H5" s="66">
        <f>'M2'!H5-'M1'!H5</f>
        <v>-0.52989999999999782</v>
      </c>
    </row>
    <row r="6" spans="1:8">
      <c r="A6" s="66" t="s">
        <v>244</v>
      </c>
      <c r="B6" s="66">
        <f>'M2'!B6-'M1'!B6</f>
        <v>-2.0414999999999992</v>
      </c>
      <c r="C6" s="66">
        <f>'M2'!C6-'M1'!C6</f>
        <v>-2.2933100000000004</v>
      </c>
      <c r="D6" s="66">
        <f>'M2'!D6-'M1'!D6</f>
        <v>-6.380980000000001</v>
      </c>
      <c r="E6" s="66">
        <f>'M2'!E6-'M1'!E6</f>
        <v>0</v>
      </c>
      <c r="F6" s="66">
        <f>'M2'!F6-'M1'!F6</f>
        <v>9.4864999999999995</v>
      </c>
      <c r="G6" s="66">
        <f>'M2'!G6-'M1'!G6</f>
        <v>0</v>
      </c>
      <c r="H6" s="66">
        <f>'M2'!H6-'M1'!H6</f>
        <v>1.7042000000000002</v>
      </c>
    </row>
    <row r="7" spans="1:8">
      <c r="A7" s="66" t="s">
        <v>245</v>
      </c>
      <c r="B7" s="66">
        <f>'M2'!B7-'M1'!B7</f>
        <v>1.4771000000000001</v>
      </c>
      <c r="C7" s="66">
        <f>'M2'!C7-'M1'!C7</f>
        <v>-4.27637</v>
      </c>
      <c r="D7" s="66">
        <f>'M2'!D7-'M1'!D7</f>
        <v>-13.164300000000001</v>
      </c>
      <c r="E7" s="66">
        <f>'M2'!E7-'M1'!E7</f>
        <v>0</v>
      </c>
      <c r="F7" s="66">
        <f>'M2'!F7-'M1'!F7</f>
        <v>11.596829999999999</v>
      </c>
      <c r="G7" s="66">
        <f>'M2'!G7-'M1'!G7</f>
        <v>0</v>
      </c>
      <c r="H7" s="66">
        <f>'M2'!H7-'M1'!H7</f>
        <v>-3.9527000000000001</v>
      </c>
    </row>
    <row r="8" spans="1:8">
      <c r="A8" s="66" t="s">
        <v>246</v>
      </c>
      <c r="B8" s="66">
        <f>'M2'!B8-'M1'!B8</f>
        <v>6.4044999999999987</v>
      </c>
      <c r="C8" s="66">
        <f>'M2'!C8-'M1'!C8</f>
        <v>-2.9546899999999998</v>
      </c>
      <c r="D8" s="66">
        <f>'M2'!D8-'M1'!D8</f>
        <v>-11.830260000000001</v>
      </c>
      <c r="E8" s="66">
        <f>'M2'!E8-'M1'!E8</f>
        <v>0</v>
      </c>
      <c r="F8" s="66">
        <f>'M2'!F8-'M1'!F8</f>
        <v>8.020500000000002</v>
      </c>
      <c r="G8" s="66">
        <f>'M2'!G8-'M1'!G8</f>
        <v>0</v>
      </c>
      <c r="H8" s="66">
        <f>'M2'!H8-'M1'!H8</f>
        <v>-0.28069999999999595</v>
      </c>
    </row>
    <row r="9" spans="1:8">
      <c r="A9" s="66" t="s">
        <v>247</v>
      </c>
      <c r="B9" s="66">
        <f>'M2'!B9-'M1'!B9</f>
        <v>6.0228999999999999</v>
      </c>
      <c r="C9" s="66">
        <f>'M2'!C9-'M1'!C9</f>
        <v>-2.7655399999999997</v>
      </c>
      <c r="D9" s="66">
        <f>'M2'!D9-'M1'!D9</f>
        <v>-5.1263700000000005</v>
      </c>
      <c r="E9" s="66">
        <f>'M2'!E9-'M1'!E9</f>
        <v>0</v>
      </c>
      <c r="F9" s="66">
        <f>'M2'!F9-'M1'!F9</f>
        <v>15.029299999999999</v>
      </c>
      <c r="G9" s="66">
        <f>'M2'!G9-'M1'!G9</f>
        <v>0</v>
      </c>
      <c r="H9" s="66">
        <f>'M2'!H9-'M1'!H9</f>
        <v>5.4335000000000093</v>
      </c>
    </row>
    <row r="10" spans="1:8">
      <c r="A10" s="66" t="s">
        <v>248</v>
      </c>
      <c r="B10" s="66">
        <f>'M2'!B10-'M1'!B10</f>
        <v>3.3933999999999997</v>
      </c>
      <c r="C10" s="66">
        <f>'M2'!C10-'M1'!C10</f>
        <v>-5.065430000000001</v>
      </c>
      <c r="D10" s="66">
        <f>'M2'!D10-'M1'!D10</f>
        <v>-7.3987299999999996</v>
      </c>
      <c r="E10" s="66">
        <f>'M2'!E10-'M1'!E10</f>
        <v>0</v>
      </c>
      <c r="F10" s="66">
        <f>'M2'!F10-'M1'!F10</f>
        <v>-1.6496999999999957</v>
      </c>
      <c r="G10" s="66">
        <f>'M2'!G10-'M1'!G10</f>
        <v>0</v>
      </c>
      <c r="H10" s="66">
        <f>'M2'!H10-'M1'!H10</f>
        <v>-10.799400000000006</v>
      </c>
    </row>
    <row r="11" spans="1:8">
      <c r="A11" s="66" t="s">
        <v>249</v>
      </c>
      <c r="B11" s="66">
        <f>'M2'!B11-'M1'!B11</f>
        <v>8.0225000000000009</v>
      </c>
      <c r="C11" s="66">
        <f>'M2'!C11-'M1'!C11</f>
        <v>-4.3679499999999996</v>
      </c>
      <c r="D11" s="66">
        <f>'M2'!D11-'M1'!D11</f>
        <v>-29.515620000000002</v>
      </c>
      <c r="E11" s="66">
        <f>'M2'!E11-'M1'!E11</f>
        <v>0</v>
      </c>
      <c r="F11" s="66">
        <f>'M2'!F11-'M1'!F11</f>
        <v>14.026430000000001</v>
      </c>
      <c r="G11" s="66">
        <f>'M2'!G11-'M1'!G11</f>
        <v>0</v>
      </c>
      <c r="H11" s="66">
        <f>'M2'!H11-'M1'!H11</f>
        <v>1.2773000000000003</v>
      </c>
    </row>
    <row r="12" spans="1:8">
      <c r="A12" s="66" t="s">
        <v>250</v>
      </c>
      <c r="B12" s="66">
        <f>'M2'!B12-'M1'!B12</f>
        <v>3.254099999999994</v>
      </c>
      <c r="C12" s="66">
        <f>'M2'!C12-'M1'!C12</f>
        <v>-3.5536799999999999</v>
      </c>
      <c r="D12" s="66">
        <f>'M2'!D12-'M1'!D12</f>
        <v>-5.3994399999999994</v>
      </c>
      <c r="E12" s="66">
        <f>'M2'!E12-'M1'!E12</f>
        <v>0</v>
      </c>
      <c r="F12" s="66">
        <f>'M2'!F12-'M1'!F12</f>
        <v>11.069799999999994</v>
      </c>
      <c r="G12" s="66">
        <f>'M2'!G12-'M1'!G12</f>
        <v>0</v>
      </c>
      <c r="H12" s="66">
        <f>'M2'!H12-'M1'!H12</f>
        <v>-2.3312999999999988</v>
      </c>
    </row>
    <row r="13" spans="1:8">
      <c r="A13" s="66" t="s">
        <v>251</v>
      </c>
      <c r="B13" s="66">
        <f>'M2'!B13-'M1'!B13</f>
        <v>-0.31359999999999921</v>
      </c>
      <c r="C13" s="66">
        <f>'M2'!C13-'M1'!C13</f>
        <v>-0.69664999999999999</v>
      </c>
      <c r="D13" s="66">
        <f>'M2'!D13-'M1'!D13</f>
        <v>-4.762459999999999</v>
      </c>
      <c r="E13" s="66">
        <f>'M2'!E13-'M1'!E13</f>
        <v>0</v>
      </c>
      <c r="F13" s="66">
        <f>'M2'!F13-'M1'!F13</f>
        <v>0.80499999999999972</v>
      </c>
      <c r="G13" s="66">
        <f>'M2'!G13-'M1'!G13</f>
        <v>0</v>
      </c>
      <c r="H13" s="66">
        <f>'M2'!H13-'M1'!H13</f>
        <v>-6.2872000000000021</v>
      </c>
    </row>
    <row r="14" spans="1:8">
      <c r="A14" s="66" t="s">
        <v>252</v>
      </c>
      <c r="B14" s="66">
        <f>'M2'!B14-'M1'!B14</f>
        <v>-6.9664999999999999</v>
      </c>
      <c r="C14" s="66">
        <f>'M2'!C14-'M1'!C14</f>
        <v>-1.3354300000000006</v>
      </c>
      <c r="D14" s="66">
        <f>'M2'!D14-'M1'!D14</f>
        <v>12.067599999999999</v>
      </c>
      <c r="E14" s="66">
        <f>'M2'!E14-'M1'!E14</f>
        <v>0</v>
      </c>
      <c r="F14" s="66">
        <f>'M2'!F14-'M1'!F14</f>
        <v>7.7296000000000031E-2</v>
      </c>
      <c r="G14" s="66">
        <f>'M2'!G14-'M1'!G14</f>
        <v>0</v>
      </c>
      <c r="H14" s="66">
        <f>'M2'!H14-'M1'!H14</f>
        <v>-10.503399999999999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-6.7303999999999975E-2</v>
      </c>
      <c r="C18" s="66">
        <f>'M2'!C18-'M1'!C18</f>
        <v>6.3203700000000002E-2</v>
      </c>
      <c r="D18" s="66">
        <f>'M2'!D18-'M1'!D18</f>
        <v>0.14257900000000001</v>
      </c>
      <c r="E18" s="66">
        <f>'M2'!E18-'M1'!E18</f>
        <v>0</v>
      </c>
      <c r="F18" s="66">
        <f>'M2'!F18-'M1'!F18</f>
        <v>0.38008500000000001</v>
      </c>
      <c r="G18" s="66">
        <f>'M2'!G18-'M1'!G18</f>
        <v>0</v>
      </c>
      <c r="H18" s="66">
        <f>'M2'!H18-'M1'!H18</f>
        <v>0.50649299999999997</v>
      </c>
    </row>
    <row r="19" spans="1:8">
      <c r="A19" s="66" t="s">
        <v>256</v>
      </c>
      <c r="B19" s="66">
        <f>'M2'!B19-'M1'!B19</f>
        <v>0.12791399999999997</v>
      </c>
      <c r="C19" s="66">
        <f>'M2'!C19-'M1'!C19</f>
        <v>5.7675299999999999E-2</v>
      </c>
      <c r="D19" s="66">
        <f>'M2'!D19-'M1'!D19</f>
        <v>8.57348E-2</v>
      </c>
      <c r="E19" s="66">
        <f>'M2'!E19-'M1'!E19</f>
        <v>0</v>
      </c>
      <c r="F19" s="66">
        <f>'M2'!F19-'M1'!F19</f>
        <v>0.61504199999999998</v>
      </c>
      <c r="G19" s="66">
        <f>'M2'!G19-'M1'!G19</f>
        <v>0</v>
      </c>
      <c r="H19" s="66">
        <f>'M2'!H19-'M1'!H19</f>
        <v>0.73039200000000004</v>
      </c>
    </row>
    <row r="20" spans="1:8">
      <c r="A20" s="66" t="s">
        <v>63</v>
      </c>
      <c r="B20" s="66">
        <f>'M2'!B20-'M1'!B20</f>
        <v>-4.0961599999999997E-3</v>
      </c>
      <c r="C20" s="66">
        <f>'M2'!C20-'M1'!C20</f>
        <v>-0.19773489999999999</v>
      </c>
      <c r="D20" s="66">
        <f>'M2'!D20-'M1'!D20</f>
        <v>-17.167310000000001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-2.1236700000000002</v>
      </c>
    </row>
    <row r="21" spans="1:8">
      <c r="A21" s="66" t="s">
        <v>64</v>
      </c>
      <c r="B21" s="66">
        <f>'M2'!B21-'M1'!B21</f>
        <v>-1.895899999999999E-2</v>
      </c>
      <c r="C21" s="66">
        <f>'M2'!C21-'M1'!C21</f>
        <v>-0.76670799999999995</v>
      </c>
      <c r="D21" s="66">
        <f>'M2'!D21-'M1'!D21</f>
        <v>-5.5184800000000003</v>
      </c>
      <c r="E21" s="66">
        <f>'M2'!E21-'M1'!E21</f>
        <v>0</v>
      </c>
      <c r="F21" s="66">
        <f>'M2'!F21-'M1'!F21</f>
        <v>-2.4624299999999994E-3</v>
      </c>
      <c r="G21" s="66">
        <f>'M2'!G21-'M1'!G21</f>
        <v>0</v>
      </c>
      <c r="H21" s="66">
        <f>'M2'!H21-'M1'!H21</f>
        <v>-5.5820399999999992</v>
      </c>
    </row>
    <row r="22" spans="1:8">
      <c r="A22" s="66" t="s">
        <v>65</v>
      </c>
      <c r="B22" s="66">
        <f>'M2'!B22-'M1'!B22</f>
        <v>-2.5217000000000027</v>
      </c>
      <c r="C22" s="66">
        <f>'M2'!C22-'M1'!C22</f>
        <v>-14.895340000000001</v>
      </c>
      <c r="D22" s="66">
        <f>'M2'!D22-'M1'!D22</f>
        <v>-0.31607700000000005</v>
      </c>
      <c r="E22" s="66">
        <f>'M2'!E22-'M1'!E22</f>
        <v>0</v>
      </c>
      <c r="F22" s="66">
        <f>'M2'!F22-'M1'!F22</f>
        <v>-6.8135000000000012</v>
      </c>
      <c r="G22" s="66">
        <f>'M2'!G22-'M1'!G22</f>
        <v>0</v>
      </c>
      <c r="H22" s="66">
        <f>'M2'!H22-'M1'!H22</f>
        <v>-96.202799999999996</v>
      </c>
    </row>
    <row r="23" spans="1:8">
      <c r="A23" s="66" t="s">
        <v>66</v>
      </c>
      <c r="B23" s="66">
        <f>'M2'!B23-'M1'!B23</f>
        <v>-4.8832000000000022</v>
      </c>
      <c r="C23" s="66">
        <f>'M2'!C23-'M1'!C23</f>
        <v>-4.8638199999999996</v>
      </c>
      <c r="D23" s="66">
        <f>'M2'!D23-'M1'!D23</f>
        <v>-0.20223199999999997</v>
      </c>
      <c r="E23" s="66">
        <f>'M2'!E23-'M1'!E23</f>
        <v>0</v>
      </c>
      <c r="F23" s="66">
        <f>'M2'!F23-'M1'!F23</f>
        <v>6.9705399999999988</v>
      </c>
      <c r="G23" s="66">
        <f>'M2'!G23-'M1'!G23</f>
        <v>0</v>
      </c>
      <c r="H23" s="66">
        <f>'M2'!H23-'M1'!H23</f>
        <v>-1.3304000000000009</v>
      </c>
    </row>
    <row r="24" spans="1:8">
      <c r="A24" s="66" t="s">
        <v>67</v>
      </c>
      <c r="B24" s="66">
        <f>'M2'!B24-'M1'!B24</f>
        <v>-2.5424000000000002E-3</v>
      </c>
      <c r="C24" s="66">
        <f>'M2'!C24-'M1'!C24</f>
        <v>-0.1690441</v>
      </c>
      <c r="D24" s="66">
        <f>'M2'!D24-'M1'!D24</f>
        <v>-11.40166</v>
      </c>
      <c r="E24" s="66">
        <f>'M2'!E24-'M1'!E24</f>
        <v>0</v>
      </c>
      <c r="F24" s="66">
        <f>'M2'!F24-'M1'!F24</f>
        <v>-2.5956889999999999E-4</v>
      </c>
      <c r="G24" s="66">
        <f>'M2'!G24-'M1'!G24</f>
        <v>0</v>
      </c>
      <c r="H24" s="66">
        <f>'M2'!H24-'M1'!H24</f>
        <v>-1.373068</v>
      </c>
    </row>
    <row r="25" spans="1:8">
      <c r="A25" s="66" t="s">
        <v>68</v>
      </c>
      <c r="B25" s="66">
        <f>'M2'!B25-'M1'!B25</f>
        <v>-5.2800000000000069E-3</v>
      </c>
      <c r="C25" s="66">
        <f>'M2'!C25-'M1'!C25</f>
        <v>-0.467196</v>
      </c>
      <c r="D25" s="66">
        <f>'M2'!D25-'M1'!D25</f>
        <v>-3.1676400000000005</v>
      </c>
      <c r="E25" s="66">
        <f>'M2'!E25-'M1'!E25</f>
        <v>0</v>
      </c>
      <c r="F25" s="66">
        <f>'M2'!F25-'M1'!F25</f>
        <v>-3.3117199999999992E-2</v>
      </c>
      <c r="G25" s="66">
        <f>'M2'!G25-'M1'!G25</f>
        <v>0</v>
      </c>
      <c r="H25" s="66">
        <f>'M2'!H25-'M1'!H25</f>
        <v>-2.2124670000000002</v>
      </c>
    </row>
    <row r="26" spans="1:8">
      <c r="A26" s="66" t="s">
        <v>69</v>
      </c>
      <c r="B26" s="66">
        <f>'M2'!B26-'M1'!B26</f>
        <v>-4.5463999999999986E-4</v>
      </c>
      <c r="C26" s="66">
        <f>'M2'!C26-'M1'!C26</f>
        <v>-1.2951529999999999E-2</v>
      </c>
      <c r="D26" s="66">
        <f>'M2'!D26-'M1'!D26</f>
        <v>-6.6654199999999992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-0.13789709999999999</v>
      </c>
    </row>
    <row r="27" spans="1:8">
      <c r="A27" s="66" t="s">
        <v>70</v>
      </c>
      <c r="B27" s="66">
        <f>'M2'!B27-'M1'!B27</f>
        <v>-1.64128E-5</v>
      </c>
      <c r="C27" s="66">
        <f>'M2'!C27-'M1'!C27</f>
        <v>-2.33936E-3</v>
      </c>
      <c r="D27" s="66">
        <f>'M2'!D27-'M1'!D27</f>
        <v>-16.043000000000006</v>
      </c>
      <c r="E27" s="66">
        <f>'M2'!E27-'M1'!E27</f>
        <v>0</v>
      </c>
      <c r="F27" s="66">
        <f>'M2'!F27-'M1'!F27</f>
        <v>2.3444099999999999E-2</v>
      </c>
      <c r="G27" s="66">
        <f>'M2'!G27-'M1'!G27</f>
        <v>0</v>
      </c>
      <c r="H27" s="66">
        <f>'M2'!H27-'M1'!H27</f>
        <v>-2.3224190000000006E-2</v>
      </c>
    </row>
    <row r="28" spans="1:8">
      <c r="A28" s="66" t="s">
        <v>71</v>
      </c>
      <c r="B28" s="66">
        <f>'M2'!B28-'M1'!B28</f>
        <v>-2.1142000000000001E-3</v>
      </c>
      <c r="C28" s="66">
        <f>'M2'!C28-'M1'!C28</f>
        <v>-2.2817100000000003E-2</v>
      </c>
      <c r="D28" s="66">
        <f>'M2'!D28-'M1'!D28</f>
        <v>-1.2286799999999998</v>
      </c>
      <c r="E28" s="66">
        <f>'M2'!E28-'M1'!E28</f>
        <v>0</v>
      </c>
      <c r="F28" s="66">
        <f>'M2'!F28-'M1'!F28</f>
        <v>-1.6275999999999964E-5</v>
      </c>
      <c r="G28" s="66">
        <f>'M2'!G28-'M1'!G28</f>
        <v>0</v>
      </c>
      <c r="H28" s="66">
        <f>'M2'!H28-'M1'!H28</f>
        <v>-0.151947</v>
      </c>
    </row>
    <row r="29" spans="1:8">
      <c r="A29" s="66" t="s">
        <v>72</v>
      </c>
      <c r="B29" s="66">
        <f>'M2'!B29-'M1'!B29</f>
        <v>1.2741999999999933</v>
      </c>
      <c r="C29" s="66">
        <f>'M2'!C29-'M1'!C29</f>
        <v>-3.0523099999999994</v>
      </c>
      <c r="D29" s="66">
        <f>'M2'!D29-'M1'!D29</f>
        <v>-4.3532699999999994E-2</v>
      </c>
      <c r="E29" s="66">
        <f>'M2'!E29-'M1'!E29</f>
        <v>0</v>
      </c>
      <c r="F29" s="66">
        <f>'M2'!F29-'M1'!F29</f>
        <v>0.82699999999999818</v>
      </c>
      <c r="G29" s="66">
        <f>'M2'!G29-'M1'!G29</f>
        <v>0</v>
      </c>
      <c r="H29" s="66">
        <f>'M2'!H29-'M1'!H29</f>
        <v>-28.676299999999998</v>
      </c>
    </row>
    <row r="30" spans="1:8">
      <c r="A30" s="66" t="s">
        <v>73</v>
      </c>
      <c r="B30" s="66">
        <f>'M2'!B30-'M1'!B30</f>
        <v>0.61400000000000077</v>
      </c>
      <c r="C30" s="66">
        <f>'M2'!C30-'M1'!C30</f>
        <v>-2.3395300000000003</v>
      </c>
      <c r="D30" s="66">
        <f>'M2'!D30-'M1'!D30</f>
        <v>-0.110045</v>
      </c>
      <c r="E30" s="66">
        <f>'M2'!E30-'M1'!E30</f>
        <v>0</v>
      </c>
      <c r="F30" s="66">
        <f>'M2'!F30-'M1'!F30</f>
        <v>7.6872800000000012</v>
      </c>
      <c r="G30" s="66">
        <f>'M2'!G30-'M1'!G30</f>
        <v>0</v>
      </c>
      <c r="H30" s="66">
        <f>'M2'!H30-'M1'!H30</f>
        <v>3.4975000000000023</v>
      </c>
    </row>
    <row r="31" spans="1:8">
      <c r="A31" s="66" t="s">
        <v>74</v>
      </c>
      <c r="B31" s="66">
        <f>'M2'!B31-'M1'!B31</f>
        <v>-17.923000000000002</v>
      </c>
      <c r="C31" s="66">
        <f>'M2'!C31-'M1'!C31</f>
        <v>-46.136899999999997</v>
      </c>
      <c r="D31" s="66">
        <f>'M2'!D31-'M1'!D31</f>
        <v>-0.20423000000000002</v>
      </c>
      <c r="E31" s="66">
        <f>'M2'!E31-'M1'!E31</f>
        <v>0</v>
      </c>
      <c r="F31" s="66">
        <f>'M2'!F31-'M1'!F31</f>
        <v>82.508600000000001</v>
      </c>
      <c r="G31" s="66">
        <f>'M2'!G31-'M1'!G31</f>
        <v>0</v>
      </c>
      <c r="H31" s="66">
        <f>'M2'!H31-'M1'!H31</f>
        <v>-34.175000000000011</v>
      </c>
    </row>
    <row r="32" spans="1:8">
      <c r="A32" s="66" t="s">
        <v>75</v>
      </c>
      <c r="B32" s="66">
        <f>'M2'!B32-'M1'!B32</f>
        <v>1.4770999999999979E-2</v>
      </c>
      <c r="C32" s="66">
        <f>'M2'!C32-'M1'!C32</f>
        <v>-4.2763699999999995E-2</v>
      </c>
      <c r="D32" s="66">
        <f>'M2'!D32-'M1'!D32</f>
        <v>-0.13164300000000001</v>
      </c>
      <c r="E32" s="66">
        <f>'M2'!E32-'M1'!E32</f>
        <v>0</v>
      </c>
      <c r="F32" s="66">
        <f>'M2'!F32-'M1'!F32</f>
        <v>0.1159683</v>
      </c>
      <c r="G32" s="66">
        <f>'M2'!G32-'M1'!G32</f>
        <v>0</v>
      </c>
      <c r="H32" s="66">
        <f>'M2'!H32-'M1'!H32</f>
        <v>-3.9526999999999979E-2</v>
      </c>
    </row>
    <row r="33" spans="1:8">
      <c r="A33" s="66" t="s">
        <v>76</v>
      </c>
      <c r="B33" s="66">
        <f>'M2'!B33-'M1'!B33</f>
        <v>0.12538199999999999</v>
      </c>
      <c r="C33" s="66">
        <f>'M2'!C33-'M1'!C33</f>
        <v>3.4049800000000005E-2</v>
      </c>
      <c r="D33" s="66">
        <f>'M2'!D33-'M1'!D33</f>
        <v>3.3100999999999992E-2</v>
      </c>
      <c r="E33" s="66">
        <f>'M2'!E33-'M1'!E33</f>
        <v>0</v>
      </c>
      <c r="F33" s="66">
        <f>'M2'!F33-'M1'!F33</f>
        <v>-2.153000000000016E-3</v>
      </c>
      <c r="G33" s="66">
        <f>'M2'!G33-'M1'!G33</f>
        <v>0</v>
      </c>
      <c r="H33" s="66">
        <f>'M2'!H33-'M1'!H33</f>
        <v>9.0632999999999964E-2</v>
      </c>
    </row>
    <row r="34" spans="1:8">
      <c r="A34" s="66" t="s">
        <v>77</v>
      </c>
      <c r="B34" s="66">
        <f>'M2'!B34-'M1'!B34</f>
        <v>-3.1359999999999999E-3</v>
      </c>
      <c r="C34" s="66">
        <f>'M2'!C34-'M1'!C34</f>
        <v>-6.9664999999999987E-3</v>
      </c>
      <c r="D34" s="66">
        <f>'M2'!D34-'M1'!D34</f>
        <v>-4.7624600000000003E-2</v>
      </c>
      <c r="E34" s="66">
        <f>'M2'!E34-'M1'!E34</f>
        <v>0</v>
      </c>
      <c r="F34" s="66">
        <f>'M2'!F34-'M1'!F34</f>
        <v>8.0500000000000016E-3</v>
      </c>
      <c r="G34" s="66">
        <f>'M2'!G34-'M1'!G34</f>
        <v>0</v>
      </c>
      <c r="H34" s="66">
        <f>'M2'!H34-'M1'!H34</f>
        <v>-6.2872000000000011E-2</v>
      </c>
    </row>
    <row r="35" spans="1:8">
      <c r="A35" s="66" t="s">
        <v>78</v>
      </c>
      <c r="B35" s="66">
        <f>'M2'!B35-'M1'!B35</f>
        <v>-3.8020000000000415E-4</v>
      </c>
      <c r="C35" s="66">
        <f>'M2'!C35-'M1'!C35</f>
        <v>-4.9866000000000008E-3</v>
      </c>
      <c r="D35" s="66">
        <f>'M2'!D35-'M1'!D35</f>
        <v>-0.12154799999999999</v>
      </c>
      <c r="E35" s="66">
        <f>'M2'!E35-'M1'!E35</f>
        <v>0</v>
      </c>
      <c r="F35" s="66">
        <f>'M2'!F35-'M1'!F35</f>
        <v>-1.41500000000001E-4</v>
      </c>
      <c r="G35" s="66">
        <f>'M2'!G35-'M1'!G35</f>
        <v>0</v>
      </c>
      <c r="H35" s="66">
        <f>'M2'!H35-'M1'!H35</f>
        <v>-3.0944000000000013E-2</v>
      </c>
    </row>
    <row r="36" spans="1:8">
      <c r="A36" s="66" t="s">
        <v>79</v>
      </c>
      <c r="B36" s="66">
        <f>'M2'!B36-'M1'!B36</f>
        <v>-9.9899999999999989E-4</v>
      </c>
      <c r="C36" s="66">
        <f>'M2'!C36-'M1'!C36</f>
        <v>-3.3646999999999982E-3</v>
      </c>
      <c r="D36" s="66">
        <f>'M2'!D36-'M1'!D36</f>
        <v>-2.2643999999999997E-2</v>
      </c>
      <c r="E36" s="66">
        <f>'M2'!E36-'M1'!E36</f>
        <v>0</v>
      </c>
      <c r="F36" s="66">
        <f>'M2'!F36-'M1'!F36</f>
        <v>1.794999999999991E-4</v>
      </c>
      <c r="G36" s="66">
        <f>'M2'!G36-'M1'!G36</f>
        <v>0</v>
      </c>
      <c r="H36" s="66">
        <f>'M2'!H36-'M1'!H36</f>
        <v>-6.8877000000000022E-2</v>
      </c>
    </row>
    <row r="37" spans="1:8">
      <c r="A37" s="66" t="s">
        <v>80</v>
      </c>
      <c r="B37" s="66">
        <f>'M2'!B37-'M1'!B37</f>
        <v>-6.9665000000000005E-2</v>
      </c>
      <c r="C37" s="66">
        <f>'M2'!C37-'M1'!C37</f>
        <v>-1.33543E-2</v>
      </c>
      <c r="D37" s="66">
        <f>'M2'!D37-'M1'!D37</f>
        <v>0.12067600000000001</v>
      </c>
      <c r="E37" s="66">
        <f>'M2'!E37-'M1'!E37</f>
        <v>0</v>
      </c>
      <c r="F37" s="66">
        <f>'M2'!F37-'M1'!F37</f>
        <v>7.7295999999999962E-4</v>
      </c>
      <c r="G37" s="66">
        <f>'M2'!G37-'M1'!G37</f>
        <v>0</v>
      </c>
      <c r="H37" s="66">
        <f>'M2'!H37-'M1'!H37</f>
        <v>-0.10503399999999999</v>
      </c>
    </row>
    <row r="38" spans="1:8">
      <c r="A38" s="66" t="s">
        <v>81</v>
      </c>
      <c r="B38" s="66">
        <f>'M2'!B38-'M1'!B38</f>
        <v>4.0984000000000016</v>
      </c>
      <c r="C38" s="66">
        <f>'M2'!C38-'M1'!C38</f>
        <v>1.1709000000000032</v>
      </c>
      <c r="D38" s="66">
        <f>'M2'!D38-'M1'!D38</f>
        <v>-0.32179000000000002</v>
      </c>
      <c r="E38" s="66">
        <f>'M2'!E38-'M1'!E38</f>
        <v>0</v>
      </c>
      <c r="F38" s="66">
        <f>'M2'!F38-'M1'!F38</f>
        <v>-112.18100000000001</v>
      </c>
      <c r="G38" s="66">
        <f>'M2'!G38-'M1'!G38</f>
        <v>0</v>
      </c>
      <c r="H38" s="66">
        <f>'M2'!H38-'M1'!H38</f>
        <v>-9.9761999999999915</v>
      </c>
    </row>
    <row r="39" spans="1:8">
      <c r="A39" s="66" t="s">
        <v>82</v>
      </c>
      <c r="B39" s="66">
        <f>'M2'!B39-'M1'!B39</f>
        <v>2.7773600000000016</v>
      </c>
      <c r="C39" s="66">
        <f>'M2'!C39-'M1'!C39</f>
        <v>-3.9364400000000002</v>
      </c>
      <c r="D39" s="66">
        <f>'M2'!D39-'M1'!D39</f>
        <v>0.21932500000000005</v>
      </c>
      <c r="E39" s="66">
        <f>'M2'!E39-'M1'!E39</f>
        <v>0</v>
      </c>
      <c r="F39" s="66">
        <f>'M2'!F39-'M1'!F39</f>
        <v>26.730800000000002</v>
      </c>
      <c r="G39" s="66">
        <f>'M2'!G39-'M1'!G39</f>
        <v>0</v>
      </c>
      <c r="H39" s="66">
        <f>'M2'!H39-'M1'!H39</f>
        <v>4.0601710000000004</v>
      </c>
    </row>
    <row r="40" spans="1:8">
      <c r="A40" s="66" t="s">
        <v>83</v>
      </c>
      <c r="B40" s="66">
        <f>'M2'!B40-'M1'!B40</f>
        <v>5.3014600000000005</v>
      </c>
      <c r="C40" s="66">
        <f>'M2'!C40-'M1'!C40</f>
        <v>-2.3850699999999998</v>
      </c>
      <c r="D40" s="66">
        <f>'M2'!D40-'M1'!D40</f>
        <v>8.3948999999999996E-2</v>
      </c>
      <c r="E40" s="66">
        <f>'M2'!E40-'M1'!E40</f>
        <v>0</v>
      </c>
      <c r="F40" s="66">
        <f>'M2'!F40-'M1'!F40</f>
        <v>1.0521799999999999</v>
      </c>
      <c r="G40" s="66">
        <f>'M2'!G40-'M1'!G40</f>
        <v>0</v>
      </c>
      <c r="H40" s="66">
        <f>'M2'!H40-'M1'!H40</f>
        <v>-2.5150100000000002</v>
      </c>
    </row>
    <row r="41" spans="1:8">
      <c r="A41" s="66" t="s">
        <v>84</v>
      </c>
      <c r="B41" s="66">
        <f>'M2'!B41-'M1'!B41</f>
        <v>2.0880000000000065E-3</v>
      </c>
      <c r="C41" s="66">
        <f>'M2'!C41-'M1'!C41</f>
        <v>6.0070999999999986E-2</v>
      </c>
      <c r="D41" s="66">
        <f>'M2'!D41-'M1'!D41</f>
        <v>-0.38103999999999982</v>
      </c>
      <c r="E41" s="66">
        <f>'M2'!E41-'M1'!E41</f>
        <v>0</v>
      </c>
      <c r="F41" s="66">
        <f>'M2'!F41-'M1'!F41</f>
        <v>-0.17903899999999995</v>
      </c>
      <c r="G41" s="66">
        <f>'M2'!G41-'M1'!G41</f>
        <v>0</v>
      </c>
      <c r="H41" s="66">
        <f>'M2'!H41-'M1'!H41</f>
        <v>0.27692499999999998</v>
      </c>
    </row>
    <row r="42" spans="1:8">
      <c r="A42" s="66" t="s">
        <v>85</v>
      </c>
      <c r="B42" s="66">
        <f>'M2'!B42-'M1'!B42</f>
        <v>4.2510000000000048E-3</v>
      </c>
      <c r="C42" s="66">
        <f>'M2'!C42-'M1'!C42</f>
        <v>-9.9892000000000036E-3</v>
      </c>
      <c r="D42" s="66">
        <f>'M2'!D42-'M1'!D42</f>
        <v>3.6820999999999993E-2</v>
      </c>
      <c r="E42" s="66">
        <f>'M2'!E42-'M1'!E42</f>
        <v>0</v>
      </c>
      <c r="F42" s="66">
        <f>'M2'!F42-'M1'!F42</f>
        <v>9.970699999999999E-2</v>
      </c>
      <c r="G42" s="66">
        <f>'M2'!G42-'M1'!G42</f>
        <v>0</v>
      </c>
      <c r="H42" s="66">
        <f>'M2'!H42-'M1'!H42</f>
        <v>2.0697400000000005E-2</v>
      </c>
    </row>
    <row r="43" spans="1:8">
      <c r="A43" s="66" t="s">
        <v>86</v>
      </c>
      <c r="B43" s="66">
        <f>'M2'!B43-'M1'!B43</f>
        <v>-7.7129999999999976E-3</v>
      </c>
      <c r="C43" s="66">
        <f>'M2'!C43-'M1'!C43</f>
        <v>-2.9471900000000002E-2</v>
      </c>
      <c r="D43" s="66">
        <f>'M2'!D43-'M1'!D43</f>
        <v>0.12984419999999999</v>
      </c>
      <c r="E43" s="66">
        <f>'M2'!E43-'M1'!E43</f>
        <v>0</v>
      </c>
      <c r="F43" s="66">
        <f>'M2'!F43-'M1'!F43</f>
        <v>-1.4839000000000047E-2</v>
      </c>
      <c r="G43" s="66">
        <f>'M2'!G43-'M1'!G43</f>
        <v>0</v>
      </c>
      <c r="H43" s="66">
        <f>'M2'!H43-'M1'!H43</f>
        <v>-5.138899999999999E-2</v>
      </c>
    </row>
    <row r="44" spans="1:8">
      <c r="A44" s="66" t="s">
        <v>87</v>
      </c>
      <c r="B44" s="66">
        <f>'M2'!B44-'M1'!B44</f>
        <v>10.3162</v>
      </c>
      <c r="C44" s="66">
        <f>'M2'!C44-'M1'!C44</f>
        <v>-7.2618600000000004</v>
      </c>
      <c r="D44" s="66">
        <f>'M2'!D44-'M1'!D44</f>
        <v>0.10309200000000007</v>
      </c>
      <c r="E44" s="66">
        <f>'M2'!E44-'M1'!E44</f>
        <v>0</v>
      </c>
      <c r="F44" s="66">
        <f>'M2'!F44-'M1'!F44</f>
        <v>14.451000000000001</v>
      </c>
      <c r="G44" s="66">
        <f>'M2'!G44-'M1'!G44</f>
        <v>0</v>
      </c>
      <c r="H44" s="66">
        <f>'M2'!H44-'M1'!H44</f>
        <v>2.8577300000000001</v>
      </c>
    </row>
    <row r="45" spans="1:8">
      <c r="A45" s="66" t="s">
        <v>88</v>
      </c>
      <c r="B45" s="66">
        <f>'M2'!B45-'M1'!B45</f>
        <v>2.8237999999999985</v>
      </c>
      <c r="C45" s="66">
        <f>'M2'!C45-'M1'!C45</f>
        <v>-1.1221800000000002</v>
      </c>
      <c r="D45" s="66">
        <f>'M2'!D45-'M1'!D45</f>
        <v>-2.7712999999999988E-2</v>
      </c>
      <c r="E45" s="66">
        <f>'M2'!E45-'M1'!E45</f>
        <v>0</v>
      </c>
      <c r="F45" s="66">
        <f>'M2'!F45-'M1'!F45</f>
        <v>5.6991999999999976</v>
      </c>
      <c r="G45" s="66">
        <f>'M2'!G45-'M1'!G45</f>
        <v>0</v>
      </c>
      <c r="H45" s="66">
        <f>'M2'!H45-'M1'!H45</f>
        <v>0.22929999999999495</v>
      </c>
    </row>
    <row r="46" spans="1:8">
      <c r="A46" s="66" t="s">
        <v>89</v>
      </c>
      <c r="B46" s="66">
        <f>'M2'!B46-'M1'!B46</f>
        <v>5.4013000000000027</v>
      </c>
      <c r="C46" s="66">
        <f>'M2'!C46-'M1'!C46</f>
        <v>-6.1140500000000007</v>
      </c>
      <c r="D46" s="66">
        <f>'M2'!D46-'M1'!D46</f>
        <v>-0.24469859999999999</v>
      </c>
      <c r="E46" s="66">
        <f>'M2'!E46-'M1'!E46</f>
        <v>0</v>
      </c>
      <c r="F46" s="66">
        <f>'M2'!F46-'M1'!F46</f>
        <v>22.755689999999998</v>
      </c>
      <c r="G46" s="66">
        <f>'M2'!G46-'M1'!G46</f>
        <v>0</v>
      </c>
      <c r="H46" s="66">
        <f>'M2'!H46-'M1'!H46</f>
        <v>-0.69439999999999458</v>
      </c>
    </row>
    <row r="47" spans="1:8">
      <c r="A47" s="66" t="s">
        <v>90</v>
      </c>
      <c r="B47" s="66">
        <f>'M2'!B47-'M1'!B47</f>
        <v>-0.10404000000000013</v>
      </c>
      <c r="C47" s="66">
        <f>'M2'!C47-'M1'!C47</f>
        <v>-1.9138999999999962E-2</v>
      </c>
      <c r="D47" s="66">
        <f>'M2'!D47-'M1'!D47</f>
        <v>1.8158000000000007E-2</v>
      </c>
      <c r="E47" s="66">
        <f>'M2'!E47-'M1'!E47</f>
        <v>0</v>
      </c>
      <c r="F47" s="66">
        <f>'M2'!F47-'M1'!F47</f>
        <v>-0.19207299999999994</v>
      </c>
      <c r="G47" s="66">
        <f>'M2'!G47-'M1'!G47</f>
        <v>0</v>
      </c>
      <c r="H47" s="66">
        <f>'M2'!H47-'M1'!H47</f>
        <v>-0.75301000000000018</v>
      </c>
    </row>
    <row r="48" spans="1:8">
      <c r="A48" s="66" t="s">
        <v>91</v>
      </c>
      <c r="B48" s="66">
        <f>'M2'!B48-'M1'!B48</f>
        <v>0.24134100000000003</v>
      </c>
      <c r="C48" s="66">
        <f>'M2'!C48-'M1'!C48</f>
        <v>-4.0302000000000004E-2</v>
      </c>
      <c r="D48" s="66">
        <f>'M2'!D48-'M1'!D48</f>
        <v>-9.3856999999999996E-2</v>
      </c>
      <c r="E48" s="66">
        <f>'M2'!E48-'M1'!E48</f>
        <v>0</v>
      </c>
      <c r="F48" s="66">
        <f>'M2'!F48-'M1'!F48</f>
        <v>0.22471699999999994</v>
      </c>
      <c r="G48" s="66">
        <f>'M2'!G48-'M1'!G48</f>
        <v>0</v>
      </c>
      <c r="H48" s="66">
        <f>'M2'!H48-'M1'!H48</f>
        <v>1.6299999999999981E-2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33.587200000000003</v>
      </c>
      <c r="C5" s="66">
        <v>11.888400000000001</v>
      </c>
      <c r="D5" s="66">
        <v>35.395699999999998</v>
      </c>
      <c r="E5" s="66">
        <v>20</v>
      </c>
      <c r="F5" s="66">
        <v>8.0234000000000005</v>
      </c>
      <c r="G5" s="66">
        <v>50</v>
      </c>
      <c r="H5" s="66">
        <v>53.403199999999998</v>
      </c>
    </row>
    <row r="6" spans="1:8">
      <c r="A6" s="66" t="s">
        <v>358</v>
      </c>
      <c r="B6" s="66">
        <v>33.150700000000001</v>
      </c>
      <c r="C6" s="66">
        <v>5.0053900000000002</v>
      </c>
      <c r="D6" s="66">
        <v>15.0989</v>
      </c>
      <c r="E6" s="66">
        <v>20</v>
      </c>
      <c r="F6" s="66">
        <v>17.8309</v>
      </c>
      <c r="G6" s="66">
        <v>40</v>
      </c>
      <c r="H6" s="66">
        <v>34.389699999999998</v>
      </c>
    </row>
    <row r="7" spans="1:8">
      <c r="A7" s="66" t="s">
        <v>359</v>
      </c>
      <c r="B7" s="66">
        <v>34.366599999999998</v>
      </c>
      <c r="C7" s="66">
        <v>10.2888</v>
      </c>
      <c r="D7" s="66">
        <v>29.938300000000002</v>
      </c>
      <c r="E7" s="66">
        <v>15</v>
      </c>
      <c r="F7" s="66">
        <v>6.3394700000000004</v>
      </c>
      <c r="G7" s="66">
        <v>40</v>
      </c>
      <c r="H7" s="66">
        <v>50.210700000000003</v>
      </c>
    </row>
    <row r="8" spans="1:8">
      <c r="A8" s="66" t="s">
        <v>360</v>
      </c>
      <c r="B8" s="66">
        <v>29.533799999999999</v>
      </c>
      <c r="C8" s="66">
        <v>5.9805299999999999</v>
      </c>
      <c r="D8" s="66">
        <v>20.2498</v>
      </c>
      <c r="E8" s="66">
        <v>20</v>
      </c>
      <c r="F8" s="66">
        <v>21.500299999999999</v>
      </c>
      <c r="G8" s="66">
        <v>50</v>
      </c>
      <c r="H8" s="66">
        <v>40.729199999999999</v>
      </c>
    </row>
    <row r="9" spans="1:8">
      <c r="A9" s="66" t="s">
        <v>361</v>
      </c>
      <c r="B9" s="66">
        <v>63.044699999999999</v>
      </c>
      <c r="C9" s="66">
        <v>8.1135999999999999</v>
      </c>
      <c r="D9" s="66">
        <v>12.8696</v>
      </c>
      <c r="E9" s="66">
        <v>50</v>
      </c>
      <c r="F9" s="66">
        <v>40.318800000000003</v>
      </c>
      <c r="G9" s="66">
        <v>100</v>
      </c>
      <c r="H9" s="66">
        <v>73.989999999999995</v>
      </c>
    </row>
    <row r="10" spans="1:8">
      <c r="A10" s="66" t="s">
        <v>362</v>
      </c>
      <c r="B10" s="66">
        <v>69.855199999999996</v>
      </c>
      <c r="C10" s="66">
        <v>7.2875500000000004</v>
      </c>
      <c r="D10" s="66">
        <v>10.432399999999999</v>
      </c>
      <c r="E10" s="66">
        <v>40</v>
      </c>
      <c r="F10" s="66">
        <v>67.541499999999999</v>
      </c>
      <c r="G10" s="66">
        <v>100</v>
      </c>
      <c r="H10" s="66">
        <v>88.321600000000004</v>
      </c>
    </row>
    <row r="11" spans="1:8">
      <c r="A11" s="66" t="s">
        <v>363</v>
      </c>
      <c r="B11" s="66">
        <v>16.565200000000001</v>
      </c>
      <c r="C11" s="66">
        <v>5.9658499999999997</v>
      </c>
      <c r="D11" s="66">
        <v>36.014400000000002</v>
      </c>
      <c r="E11" s="66">
        <v>10</v>
      </c>
      <c r="F11" s="66">
        <v>6.5768700000000004</v>
      </c>
      <c r="G11" s="66">
        <v>50</v>
      </c>
      <c r="H11" s="66">
        <v>26.310199999999998</v>
      </c>
    </row>
    <row r="12" spans="1:8">
      <c r="A12" s="66" t="s">
        <v>364</v>
      </c>
      <c r="B12" s="66">
        <v>68.080500000000001</v>
      </c>
      <c r="C12" s="66">
        <v>6.2341699999999998</v>
      </c>
      <c r="D12" s="66">
        <v>9.1570599999999995</v>
      </c>
      <c r="E12" s="66">
        <v>50</v>
      </c>
      <c r="F12" s="66">
        <v>53.957900000000002</v>
      </c>
      <c r="G12" s="66">
        <v>100</v>
      </c>
      <c r="H12" s="66">
        <v>78.347499999999997</v>
      </c>
    </row>
    <row r="13" spans="1:8">
      <c r="A13" s="66" t="s">
        <v>365</v>
      </c>
      <c r="B13" s="66">
        <v>14.0473</v>
      </c>
      <c r="C13" s="66">
        <v>1.9080699999999999</v>
      </c>
      <c r="D13" s="66">
        <v>13.5832</v>
      </c>
      <c r="E13" s="66">
        <v>10</v>
      </c>
      <c r="F13" s="66">
        <v>11.5655</v>
      </c>
      <c r="G13" s="66">
        <v>25</v>
      </c>
      <c r="H13" s="66">
        <v>23.704000000000001</v>
      </c>
    </row>
    <row r="14" spans="1:8">
      <c r="A14" s="66" t="s">
        <v>366</v>
      </c>
      <c r="B14" s="66">
        <v>19.0807</v>
      </c>
      <c r="C14" s="66">
        <v>7.6615700000000002</v>
      </c>
      <c r="D14" s="66">
        <v>40.153500000000001</v>
      </c>
      <c r="E14" s="66">
        <v>10</v>
      </c>
      <c r="F14" s="66">
        <v>0.90299200000000002</v>
      </c>
      <c r="G14" s="66">
        <v>50</v>
      </c>
      <c r="H14" s="66">
        <v>29.5685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0.51059299999999996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0.54480300000000004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1.05822E-2</v>
      </c>
      <c r="C20" s="66">
        <v>0.22317699999999999</v>
      </c>
      <c r="D20" s="66">
        <v>21.0899</v>
      </c>
      <c r="E20" s="66">
        <v>0</v>
      </c>
      <c r="F20" s="66">
        <v>0</v>
      </c>
      <c r="G20" s="66">
        <v>0</v>
      </c>
      <c r="H20" s="66">
        <v>2.31568</v>
      </c>
    </row>
    <row r="21" spans="1:8">
      <c r="A21" s="66" t="s">
        <v>373</v>
      </c>
      <c r="B21" s="66">
        <v>0.13109999999999999</v>
      </c>
      <c r="C21" s="66">
        <v>1.0224599999999999</v>
      </c>
      <c r="D21" s="66">
        <v>7.7991000000000001</v>
      </c>
      <c r="E21" s="66">
        <v>0</v>
      </c>
      <c r="F21" s="66">
        <v>4.4169099999999996E-3</v>
      </c>
      <c r="G21" s="66">
        <v>0</v>
      </c>
      <c r="H21" s="66">
        <v>7.4488399999999997</v>
      </c>
    </row>
    <row r="22" spans="1:8">
      <c r="A22" s="66" t="s">
        <v>374</v>
      </c>
      <c r="B22" s="66">
        <v>45.339700000000001</v>
      </c>
      <c r="C22" s="66">
        <v>24.4801</v>
      </c>
      <c r="D22" s="66">
        <v>0.53992600000000002</v>
      </c>
      <c r="E22" s="66">
        <v>0</v>
      </c>
      <c r="F22" s="66">
        <v>32.539000000000001</v>
      </c>
      <c r="G22" s="66">
        <v>0</v>
      </c>
      <c r="H22" s="66">
        <v>167.92099999999999</v>
      </c>
    </row>
    <row r="23" spans="1:8">
      <c r="A23" s="66" t="s">
        <v>375</v>
      </c>
      <c r="B23" s="66">
        <v>22.374400000000001</v>
      </c>
      <c r="C23" s="66">
        <v>6.0781099999999997</v>
      </c>
      <c r="D23" s="66">
        <v>0.27165499999999998</v>
      </c>
      <c r="E23" s="66">
        <v>0</v>
      </c>
      <c r="F23" s="66">
        <v>7.5808600000000004</v>
      </c>
      <c r="G23" s="66">
        <v>0</v>
      </c>
      <c r="H23" s="66">
        <v>23.364000000000001</v>
      </c>
    </row>
    <row r="24" spans="1:8">
      <c r="A24" s="66" t="s">
        <v>376</v>
      </c>
      <c r="B24" s="66">
        <v>1.45072E-2</v>
      </c>
      <c r="C24" s="66">
        <v>0.186165</v>
      </c>
      <c r="D24" s="66">
        <v>12.832599999999999</v>
      </c>
      <c r="E24" s="66">
        <v>0</v>
      </c>
      <c r="F24" s="66">
        <v>3.1941499999999998E-4</v>
      </c>
      <c r="G24" s="66">
        <v>0</v>
      </c>
      <c r="H24" s="66">
        <v>1.4778899999999999</v>
      </c>
    </row>
    <row r="25" spans="1:8">
      <c r="A25" s="66" t="s">
        <v>377</v>
      </c>
      <c r="B25" s="66">
        <v>0.145394</v>
      </c>
      <c r="C25" s="66">
        <v>0.643424</v>
      </c>
      <c r="D25" s="66">
        <v>4.4253900000000002</v>
      </c>
      <c r="E25" s="66">
        <v>0</v>
      </c>
      <c r="F25" s="66">
        <v>8.0834699999999995E-2</v>
      </c>
      <c r="G25" s="66">
        <v>0</v>
      </c>
      <c r="H25" s="66">
        <v>3.1333700000000002</v>
      </c>
    </row>
    <row r="26" spans="1:8">
      <c r="A26" s="66" t="s">
        <v>378</v>
      </c>
      <c r="B26" s="66">
        <v>1.8054099999999999E-3</v>
      </c>
      <c r="C26" s="66">
        <v>1.5678299999999999E-2</v>
      </c>
      <c r="D26" s="66">
        <v>8.6840899999999994</v>
      </c>
      <c r="E26" s="66">
        <v>0</v>
      </c>
      <c r="F26" s="66">
        <v>0</v>
      </c>
      <c r="G26" s="66">
        <v>0</v>
      </c>
      <c r="H26" s="66">
        <v>0.162129</v>
      </c>
    </row>
    <row r="27" spans="1:8">
      <c r="A27" s="66" t="s">
        <v>379</v>
      </c>
      <c r="B27" s="196">
        <v>3.6108200000000001E-5</v>
      </c>
      <c r="C27" s="66">
        <v>4.4514300000000001E-3</v>
      </c>
      <c r="D27" s="66">
        <v>123.28</v>
      </c>
      <c r="E27" s="66">
        <v>0</v>
      </c>
      <c r="F27" s="66">
        <v>-3.36102E-2</v>
      </c>
      <c r="G27" s="66">
        <v>0</v>
      </c>
      <c r="H27" s="66">
        <v>3.2257800000000003E-2</v>
      </c>
    </row>
    <row r="28" spans="1:8">
      <c r="A28" s="66" t="s">
        <v>380</v>
      </c>
      <c r="B28" s="66">
        <v>1.6209299999999999E-2</v>
      </c>
      <c r="C28" s="66">
        <v>4.2157800000000002E-2</v>
      </c>
      <c r="D28" s="66">
        <v>2.6008399999999998</v>
      </c>
      <c r="E28" s="66">
        <v>0</v>
      </c>
      <c r="F28" s="66">
        <v>6.5429699999999997E-4</v>
      </c>
      <c r="G28" s="66">
        <v>0</v>
      </c>
      <c r="H28" s="66">
        <v>0.2707</v>
      </c>
    </row>
    <row r="29" spans="1:8">
      <c r="A29" s="66" t="s">
        <v>381</v>
      </c>
      <c r="B29" s="66">
        <v>72.575100000000006</v>
      </c>
      <c r="C29" s="66">
        <v>9.2590699999999995</v>
      </c>
      <c r="D29" s="66">
        <v>0.127579</v>
      </c>
      <c r="E29" s="66">
        <v>0</v>
      </c>
      <c r="F29" s="66">
        <v>56.088200000000001</v>
      </c>
      <c r="G29" s="66">
        <v>0</v>
      </c>
      <c r="H29" s="66">
        <v>118.196</v>
      </c>
    </row>
    <row r="30" spans="1:8">
      <c r="A30" s="66" t="s">
        <v>382</v>
      </c>
      <c r="B30" s="66">
        <v>21.876899999999999</v>
      </c>
      <c r="C30" s="66">
        <v>4.8263600000000002</v>
      </c>
      <c r="D30" s="66">
        <v>0.22061500000000001</v>
      </c>
      <c r="E30" s="66">
        <v>0</v>
      </c>
      <c r="F30" s="66">
        <v>8.9695199999999993</v>
      </c>
      <c r="G30" s="66">
        <v>0</v>
      </c>
      <c r="H30" s="66">
        <v>23.917899999999999</v>
      </c>
    </row>
    <row r="31" spans="1:8">
      <c r="A31" s="66" t="s">
        <v>383</v>
      </c>
      <c r="B31" s="66">
        <v>214.73099999999999</v>
      </c>
      <c r="C31" s="66">
        <v>71.200699999999998</v>
      </c>
      <c r="D31" s="66">
        <v>0.33158100000000001</v>
      </c>
      <c r="E31" s="66">
        <v>0</v>
      </c>
      <c r="F31" s="66">
        <v>43.601399999999998</v>
      </c>
      <c r="G31" s="66">
        <v>0</v>
      </c>
      <c r="H31" s="66">
        <v>264.846</v>
      </c>
    </row>
    <row r="32" spans="1:8">
      <c r="A32" s="66" t="s">
        <v>384</v>
      </c>
      <c r="B32" s="66">
        <v>0.34366600000000003</v>
      </c>
      <c r="C32" s="66">
        <v>0.10288799999999999</v>
      </c>
      <c r="D32" s="66">
        <v>0.29938300000000001</v>
      </c>
      <c r="E32" s="66">
        <v>0.15</v>
      </c>
      <c r="F32" s="66">
        <v>6.3394699999999998E-2</v>
      </c>
      <c r="G32" s="66">
        <v>0.4</v>
      </c>
      <c r="H32" s="66">
        <v>0.50210699999999997</v>
      </c>
    </row>
    <row r="33" spans="1:8">
      <c r="A33" s="66" t="s">
        <v>385</v>
      </c>
      <c r="B33" s="66">
        <v>0.209426</v>
      </c>
      <c r="C33" s="66">
        <v>3.8362199999999999E-2</v>
      </c>
      <c r="D33" s="66">
        <v>0.18317800000000001</v>
      </c>
      <c r="E33" s="66">
        <v>0</v>
      </c>
      <c r="F33" s="66">
        <v>0.18767200000000001</v>
      </c>
      <c r="G33" s="66">
        <v>0</v>
      </c>
      <c r="H33" s="66">
        <v>0.37867400000000001</v>
      </c>
    </row>
    <row r="34" spans="1:8">
      <c r="A34" s="66" t="s">
        <v>386</v>
      </c>
      <c r="B34" s="66">
        <v>0.14047299999999999</v>
      </c>
      <c r="C34" s="66">
        <v>1.9080699999999999E-2</v>
      </c>
      <c r="D34" s="66">
        <v>0.13583200000000001</v>
      </c>
      <c r="E34" s="66">
        <v>0.1</v>
      </c>
      <c r="F34" s="66">
        <v>0.11565499999999999</v>
      </c>
      <c r="G34" s="66">
        <v>0.25</v>
      </c>
      <c r="H34" s="66">
        <v>0.23704</v>
      </c>
    </row>
    <row r="35" spans="1:8">
      <c r="A35" s="66" t="s">
        <v>387</v>
      </c>
      <c r="B35" s="66">
        <v>3.9188300000000002E-2</v>
      </c>
      <c r="C35" s="66">
        <v>2.7789700000000001E-2</v>
      </c>
      <c r="D35" s="66">
        <v>0.70913199999999998</v>
      </c>
      <c r="E35" s="66">
        <v>0</v>
      </c>
      <c r="F35" s="66">
        <v>1.1446700000000001E-2</v>
      </c>
      <c r="G35" s="66">
        <v>0</v>
      </c>
      <c r="H35" s="66">
        <v>0.13525400000000001</v>
      </c>
    </row>
    <row r="36" spans="1:8">
      <c r="A36" s="66" t="s">
        <v>388</v>
      </c>
      <c r="B36" s="66">
        <v>0.131219</v>
      </c>
      <c r="C36" s="66">
        <v>5.4625199999999999E-2</v>
      </c>
      <c r="D36" s="66">
        <v>0.41628999999999999</v>
      </c>
      <c r="E36" s="66">
        <v>0</v>
      </c>
      <c r="F36" s="66">
        <v>5.1531199999999999E-2</v>
      </c>
      <c r="G36" s="66">
        <v>0</v>
      </c>
      <c r="H36" s="66">
        <v>0.44572600000000001</v>
      </c>
    </row>
    <row r="37" spans="1:8">
      <c r="A37" s="66" t="s">
        <v>389</v>
      </c>
      <c r="B37" s="66">
        <v>0.190807</v>
      </c>
      <c r="C37" s="66">
        <v>7.6615699999999995E-2</v>
      </c>
      <c r="D37" s="66">
        <v>0.40153499999999998</v>
      </c>
      <c r="E37" s="66">
        <v>0.1</v>
      </c>
      <c r="F37" s="66">
        <v>9.0299200000000003E-3</v>
      </c>
      <c r="G37" s="66">
        <v>0.5</v>
      </c>
      <c r="H37" s="66">
        <v>0.29568499999999998</v>
      </c>
    </row>
    <row r="38" spans="1:8">
      <c r="A38" s="66" t="s">
        <v>390</v>
      </c>
      <c r="B38" s="66">
        <v>-27.537700000000001</v>
      </c>
      <c r="C38" s="66">
        <v>42.811399999999999</v>
      </c>
      <c r="D38" s="66">
        <v>-1.5546500000000001</v>
      </c>
      <c r="E38" s="66">
        <v>0</v>
      </c>
      <c r="F38" s="66">
        <v>-183.29499999999999</v>
      </c>
      <c r="G38" s="66">
        <v>0</v>
      </c>
      <c r="H38" s="66">
        <v>83.196299999999994</v>
      </c>
    </row>
    <row r="39" spans="1:8">
      <c r="A39" s="66" t="s">
        <v>391</v>
      </c>
      <c r="B39" s="66">
        <v>-12.285500000000001</v>
      </c>
      <c r="C39" s="66">
        <v>8.1880100000000002</v>
      </c>
      <c r="D39" s="66">
        <v>-0.66647500000000004</v>
      </c>
      <c r="E39" s="66">
        <v>0</v>
      </c>
      <c r="F39" s="66">
        <v>-48.818800000000003</v>
      </c>
      <c r="G39" s="66">
        <v>0</v>
      </c>
      <c r="H39" s="66">
        <v>-3.8861300000000001</v>
      </c>
    </row>
    <row r="40" spans="1:8">
      <c r="A40" s="66" t="s">
        <v>392</v>
      </c>
      <c r="B40" s="66">
        <v>-9.6020900000000005</v>
      </c>
      <c r="C40" s="66">
        <v>3.6659600000000001</v>
      </c>
      <c r="D40" s="66">
        <v>-0.38178699999999999</v>
      </c>
      <c r="E40" s="66">
        <v>0</v>
      </c>
      <c r="F40" s="66">
        <v>-10.795</v>
      </c>
      <c r="G40" s="66">
        <v>0</v>
      </c>
      <c r="H40" s="66">
        <v>-1.44584</v>
      </c>
    </row>
    <row r="41" spans="1:8">
      <c r="A41" s="66" t="s">
        <v>393</v>
      </c>
      <c r="B41" s="66">
        <v>-0.16709599999999999</v>
      </c>
      <c r="C41" s="66">
        <v>0.224441</v>
      </c>
      <c r="D41" s="66">
        <v>-1.3431900000000001</v>
      </c>
      <c r="E41" s="66">
        <v>0</v>
      </c>
      <c r="F41" s="66">
        <v>-0.82096100000000005</v>
      </c>
      <c r="G41" s="66">
        <v>0</v>
      </c>
      <c r="H41" s="66">
        <v>0.64412800000000003</v>
      </c>
    </row>
    <row r="42" spans="1:8">
      <c r="A42" s="66" t="s">
        <v>394</v>
      </c>
      <c r="B42" s="66">
        <v>-0.238709</v>
      </c>
      <c r="C42" s="66">
        <v>7.6153200000000004E-2</v>
      </c>
      <c r="D42" s="66">
        <v>-0.319021</v>
      </c>
      <c r="E42" s="66">
        <v>0</v>
      </c>
      <c r="F42" s="66">
        <v>-0.49024899999999999</v>
      </c>
      <c r="G42" s="66">
        <v>0</v>
      </c>
      <c r="H42" s="66">
        <v>-9.7206600000000004E-2</v>
      </c>
    </row>
    <row r="43" spans="1:8">
      <c r="A43" s="66" t="s">
        <v>395</v>
      </c>
      <c r="B43" s="66">
        <v>-0.23084499999999999</v>
      </c>
      <c r="C43" s="66">
        <v>4.4997200000000001E-2</v>
      </c>
      <c r="D43" s="66">
        <v>-0.19492399999999999</v>
      </c>
      <c r="E43" s="66">
        <v>0</v>
      </c>
      <c r="F43" s="66">
        <v>-0.27875699999999998</v>
      </c>
      <c r="G43" s="66">
        <v>0</v>
      </c>
      <c r="H43" s="66">
        <v>-0.132962</v>
      </c>
    </row>
    <row r="44" spans="1:8">
      <c r="A44" s="66" t="s">
        <v>396</v>
      </c>
      <c r="B44" s="66">
        <v>-23.594100000000001</v>
      </c>
      <c r="C44" s="66">
        <v>13.4778</v>
      </c>
      <c r="D44" s="66">
        <v>-0.57123500000000005</v>
      </c>
      <c r="E44" s="66">
        <v>0</v>
      </c>
      <c r="F44" s="66">
        <v>-48.676900000000003</v>
      </c>
      <c r="G44" s="66">
        <v>0</v>
      </c>
      <c r="H44" s="66">
        <v>-3.0098600000000002</v>
      </c>
    </row>
    <row r="45" spans="1:8">
      <c r="A45" s="66" t="s">
        <v>397</v>
      </c>
      <c r="B45" s="66">
        <v>50.890500000000003</v>
      </c>
      <c r="C45" s="66">
        <v>6.6038300000000003</v>
      </c>
      <c r="D45" s="66">
        <v>0.12976499999999999</v>
      </c>
      <c r="E45" s="66">
        <v>0</v>
      </c>
      <c r="F45" s="66">
        <v>35.506399999999999</v>
      </c>
      <c r="G45" s="66">
        <v>0</v>
      </c>
      <c r="H45" s="66">
        <v>67.244900000000001</v>
      </c>
    </row>
    <row r="46" spans="1:8">
      <c r="A46" s="66" t="s">
        <v>398</v>
      </c>
      <c r="B46" s="66">
        <v>26.698899999999998</v>
      </c>
      <c r="C46" s="66">
        <v>8.60501</v>
      </c>
      <c r="D46" s="66">
        <v>0.32229799999999997</v>
      </c>
      <c r="E46" s="66">
        <v>0</v>
      </c>
      <c r="F46" s="66">
        <v>5.8257099999999999</v>
      </c>
      <c r="G46" s="66">
        <v>0</v>
      </c>
      <c r="H46" s="66">
        <v>37.219099999999997</v>
      </c>
    </row>
    <row r="47" spans="1:8">
      <c r="A47" s="66" t="s">
        <v>399</v>
      </c>
      <c r="B47" s="66">
        <v>1.1640200000000001</v>
      </c>
      <c r="C47" s="66">
        <v>0.42946699999999999</v>
      </c>
      <c r="D47" s="66">
        <v>0.36895099999999997</v>
      </c>
      <c r="E47" s="66">
        <v>0</v>
      </c>
      <c r="F47" s="66">
        <v>0.61668999999999996</v>
      </c>
      <c r="G47" s="66">
        <v>0</v>
      </c>
      <c r="H47" s="66">
        <v>3.7836400000000001</v>
      </c>
    </row>
    <row r="48" spans="1:8">
      <c r="A48" s="66" t="s">
        <v>400</v>
      </c>
      <c r="B48" s="66">
        <v>0.74510900000000002</v>
      </c>
      <c r="C48" s="66">
        <v>0.161415</v>
      </c>
      <c r="D48" s="66">
        <v>0.21663299999999999</v>
      </c>
      <c r="E48" s="66">
        <v>0</v>
      </c>
      <c r="F48" s="66">
        <v>0.50589300000000004</v>
      </c>
      <c r="G48" s="66">
        <v>0</v>
      </c>
      <c r="H48" s="66">
        <v>1.1803900000000001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39.8367</v>
      </c>
      <c r="C5" s="66">
        <v>4.0619500000000004</v>
      </c>
      <c r="D5" s="66">
        <v>10.1965</v>
      </c>
      <c r="E5" s="66">
        <v>20</v>
      </c>
      <c r="F5" s="66">
        <v>36.700699999999998</v>
      </c>
      <c r="G5" s="66">
        <v>50</v>
      </c>
      <c r="H5" s="66">
        <v>52.8733</v>
      </c>
    </row>
    <row r="6" spans="1:8">
      <c r="A6" s="66" t="s">
        <v>358</v>
      </c>
      <c r="B6" s="66">
        <v>31.109200000000001</v>
      </c>
      <c r="C6" s="66">
        <v>2.7120799999999998</v>
      </c>
      <c r="D6" s="66">
        <v>8.7179199999999994</v>
      </c>
      <c r="E6" s="66">
        <v>20</v>
      </c>
      <c r="F6" s="66">
        <v>27.317399999999999</v>
      </c>
      <c r="G6" s="66">
        <v>40</v>
      </c>
      <c r="H6" s="66">
        <v>36.093899999999998</v>
      </c>
    </row>
    <row r="7" spans="1:8">
      <c r="A7" s="66" t="s">
        <v>359</v>
      </c>
      <c r="B7" s="66">
        <v>35.843699999999998</v>
      </c>
      <c r="C7" s="66">
        <v>6.0124300000000002</v>
      </c>
      <c r="D7" s="66">
        <v>16.774000000000001</v>
      </c>
      <c r="E7" s="66">
        <v>15</v>
      </c>
      <c r="F7" s="66">
        <v>17.936299999999999</v>
      </c>
      <c r="G7" s="66">
        <v>40</v>
      </c>
      <c r="H7" s="66">
        <v>46.258000000000003</v>
      </c>
    </row>
    <row r="8" spans="1:8">
      <c r="A8" s="66" t="s">
        <v>360</v>
      </c>
      <c r="B8" s="66">
        <v>35.938299999999998</v>
      </c>
      <c r="C8" s="66">
        <v>3.0258400000000001</v>
      </c>
      <c r="D8" s="66">
        <v>8.4195399999999996</v>
      </c>
      <c r="E8" s="66">
        <v>20</v>
      </c>
      <c r="F8" s="66">
        <v>29.520800000000001</v>
      </c>
      <c r="G8" s="66">
        <v>50</v>
      </c>
      <c r="H8" s="66">
        <v>40.448500000000003</v>
      </c>
    </row>
    <row r="9" spans="1:8">
      <c r="A9" s="66" t="s">
        <v>361</v>
      </c>
      <c r="B9" s="66">
        <v>69.067599999999999</v>
      </c>
      <c r="C9" s="66">
        <v>5.3480600000000003</v>
      </c>
      <c r="D9" s="66">
        <v>7.7432299999999996</v>
      </c>
      <c r="E9" s="66">
        <v>50</v>
      </c>
      <c r="F9" s="66">
        <v>55.348100000000002</v>
      </c>
      <c r="G9" s="66">
        <v>100</v>
      </c>
      <c r="H9" s="66">
        <v>79.423500000000004</v>
      </c>
    </row>
    <row r="10" spans="1:8">
      <c r="A10" s="66" t="s">
        <v>362</v>
      </c>
      <c r="B10" s="66">
        <v>73.248599999999996</v>
      </c>
      <c r="C10" s="66">
        <v>2.2221199999999999</v>
      </c>
      <c r="D10" s="66">
        <v>3.0336699999999999</v>
      </c>
      <c r="E10" s="66">
        <v>40</v>
      </c>
      <c r="F10" s="66">
        <v>65.891800000000003</v>
      </c>
      <c r="G10" s="66">
        <v>100</v>
      </c>
      <c r="H10" s="66">
        <v>77.522199999999998</v>
      </c>
    </row>
    <row r="11" spans="1:8">
      <c r="A11" s="66" t="s">
        <v>363</v>
      </c>
      <c r="B11" s="66">
        <v>24.587700000000002</v>
      </c>
      <c r="C11" s="66">
        <v>1.5979000000000001</v>
      </c>
      <c r="D11" s="66">
        <v>6.49878</v>
      </c>
      <c r="E11" s="66">
        <v>10</v>
      </c>
      <c r="F11" s="66">
        <v>20.603300000000001</v>
      </c>
      <c r="G11" s="66">
        <v>50</v>
      </c>
      <c r="H11" s="66">
        <v>27.587499999999999</v>
      </c>
    </row>
    <row r="12" spans="1:8">
      <c r="A12" s="66" t="s">
        <v>364</v>
      </c>
      <c r="B12" s="66">
        <v>71.334599999999995</v>
      </c>
      <c r="C12" s="66">
        <v>2.6804899999999998</v>
      </c>
      <c r="D12" s="66">
        <v>3.7576200000000002</v>
      </c>
      <c r="E12" s="66">
        <v>50</v>
      </c>
      <c r="F12" s="66">
        <v>65.027699999999996</v>
      </c>
      <c r="G12" s="66">
        <v>100</v>
      </c>
      <c r="H12" s="66">
        <v>76.016199999999998</v>
      </c>
    </row>
    <row r="13" spans="1:8">
      <c r="A13" s="66" t="s">
        <v>365</v>
      </c>
      <c r="B13" s="66">
        <v>13.733700000000001</v>
      </c>
      <c r="C13" s="66">
        <v>1.2114199999999999</v>
      </c>
      <c r="D13" s="66">
        <v>8.8207400000000007</v>
      </c>
      <c r="E13" s="66">
        <v>10</v>
      </c>
      <c r="F13" s="66">
        <v>12.3705</v>
      </c>
      <c r="G13" s="66">
        <v>25</v>
      </c>
      <c r="H13" s="66">
        <v>17.416799999999999</v>
      </c>
    </row>
    <row r="14" spans="1:8">
      <c r="A14" s="66" t="s">
        <v>366</v>
      </c>
      <c r="B14" s="66">
        <v>12.1142</v>
      </c>
      <c r="C14" s="66">
        <v>6.3261399999999997</v>
      </c>
      <c r="D14" s="66">
        <v>52.2211</v>
      </c>
      <c r="E14" s="66">
        <v>10</v>
      </c>
      <c r="F14" s="66">
        <v>0.98028800000000005</v>
      </c>
      <c r="G14" s="66">
        <v>50</v>
      </c>
      <c r="H14" s="66">
        <v>19.065100000000001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0.44328899999999999</v>
      </c>
      <c r="C18" s="66">
        <v>6.3203700000000002E-2</v>
      </c>
      <c r="D18" s="66">
        <v>0.14257900000000001</v>
      </c>
      <c r="E18" s="66">
        <v>0</v>
      </c>
      <c r="F18" s="66">
        <v>0.38008500000000001</v>
      </c>
      <c r="G18" s="66">
        <v>0</v>
      </c>
      <c r="H18" s="66">
        <v>0.50649299999999997</v>
      </c>
    </row>
    <row r="19" spans="1:8">
      <c r="A19" s="66" t="s">
        <v>371</v>
      </c>
      <c r="B19" s="66">
        <v>0.67271700000000001</v>
      </c>
      <c r="C19" s="66">
        <v>5.7675299999999999E-2</v>
      </c>
      <c r="D19" s="66">
        <v>8.57348E-2</v>
      </c>
      <c r="E19" s="66">
        <v>0</v>
      </c>
      <c r="F19" s="66">
        <v>0.61504199999999998</v>
      </c>
      <c r="G19" s="66">
        <v>0</v>
      </c>
      <c r="H19" s="66">
        <v>0.73039200000000004</v>
      </c>
    </row>
    <row r="20" spans="1:8">
      <c r="A20" s="66" t="s">
        <v>401</v>
      </c>
      <c r="B20" s="66">
        <v>6.4860400000000002E-3</v>
      </c>
      <c r="C20" s="66">
        <v>2.5442099999999999E-2</v>
      </c>
      <c r="D20" s="66">
        <v>3.92259</v>
      </c>
      <c r="E20" s="66">
        <v>0</v>
      </c>
      <c r="F20" s="66">
        <v>0</v>
      </c>
      <c r="G20" s="66">
        <v>0</v>
      </c>
      <c r="H20" s="66">
        <v>0.19200999999999999</v>
      </c>
    </row>
    <row r="21" spans="1:8">
      <c r="A21" s="66" t="s">
        <v>373</v>
      </c>
      <c r="B21" s="66">
        <v>0.112141</v>
      </c>
      <c r="C21" s="66">
        <v>0.25575199999999998</v>
      </c>
      <c r="D21" s="66">
        <v>2.2806199999999999</v>
      </c>
      <c r="E21" s="66">
        <v>0</v>
      </c>
      <c r="F21" s="66">
        <v>1.9544800000000002E-3</v>
      </c>
      <c r="G21" s="66">
        <v>0</v>
      </c>
      <c r="H21" s="66">
        <v>1.8668</v>
      </c>
    </row>
    <row r="22" spans="1:8">
      <c r="A22" s="66" t="s">
        <v>374</v>
      </c>
      <c r="B22" s="66">
        <v>42.817999999999998</v>
      </c>
      <c r="C22" s="66">
        <v>9.5847599999999993</v>
      </c>
      <c r="D22" s="66">
        <v>0.22384899999999999</v>
      </c>
      <c r="E22" s="66">
        <v>0</v>
      </c>
      <c r="F22" s="66">
        <v>25.7255</v>
      </c>
      <c r="G22" s="66">
        <v>0</v>
      </c>
      <c r="H22" s="66">
        <v>71.718199999999996</v>
      </c>
    </row>
    <row r="23" spans="1:8">
      <c r="A23" s="66" t="s">
        <v>375</v>
      </c>
      <c r="B23" s="66">
        <v>17.491199999999999</v>
      </c>
      <c r="C23" s="66">
        <v>1.2142900000000001</v>
      </c>
      <c r="D23" s="66">
        <v>6.9422999999999999E-2</v>
      </c>
      <c r="E23" s="66">
        <v>0</v>
      </c>
      <c r="F23" s="66">
        <v>14.551399999999999</v>
      </c>
      <c r="G23" s="66">
        <v>0</v>
      </c>
      <c r="H23" s="66">
        <v>22.0336</v>
      </c>
    </row>
    <row r="24" spans="1:8">
      <c r="A24" s="66" t="s">
        <v>376</v>
      </c>
      <c r="B24" s="66">
        <v>1.1964799999999999E-2</v>
      </c>
      <c r="C24" s="66">
        <v>1.7120900000000001E-2</v>
      </c>
      <c r="D24" s="66">
        <v>1.4309400000000001</v>
      </c>
      <c r="E24" s="66">
        <v>0</v>
      </c>
      <c r="F24" s="196">
        <v>5.9846100000000003E-5</v>
      </c>
      <c r="G24" s="66">
        <v>0</v>
      </c>
      <c r="H24" s="66">
        <v>0.104822</v>
      </c>
    </row>
    <row r="25" spans="1:8">
      <c r="A25" s="66" t="s">
        <v>377</v>
      </c>
      <c r="B25" s="66">
        <v>0.14011399999999999</v>
      </c>
      <c r="C25" s="66">
        <v>0.176228</v>
      </c>
      <c r="D25" s="66">
        <v>1.2577499999999999</v>
      </c>
      <c r="E25" s="66">
        <v>0</v>
      </c>
      <c r="F25" s="66">
        <v>4.7717500000000003E-2</v>
      </c>
      <c r="G25" s="66">
        <v>0</v>
      </c>
      <c r="H25" s="66">
        <v>0.92090300000000003</v>
      </c>
    </row>
    <row r="26" spans="1:8">
      <c r="A26" s="66" t="s">
        <v>378</v>
      </c>
      <c r="B26" s="66">
        <v>1.3507700000000001E-3</v>
      </c>
      <c r="C26" s="66">
        <v>2.7267699999999999E-3</v>
      </c>
      <c r="D26" s="66">
        <v>2.0186700000000002</v>
      </c>
      <c r="E26" s="66">
        <v>0</v>
      </c>
      <c r="F26" s="66">
        <v>0</v>
      </c>
      <c r="G26" s="66">
        <v>0</v>
      </c>
      <c r="H26" s="66">
        <v>2.4231900000000001E-2</v>
      </c>
    </row>
    <row r="27" spans="1:8">
      <c r="A27" s="66" t="s">
        <v>379</v>
      </c>
      <c r="B27" s="196">
        <v>1.9695400000000001E-5</v>
      </c>
      <c r="C27" s="66">
        <v>2.1120700000000002E-3</v>
      </c>
      <c r="D27" s="66">
        <v>107.23699999999999</v>
      </c>
      <c r="E27" s="66">
        <v>0</v>
      </c>
      <c r="F27" s="66">
        <v>-1.0166100000000001E-2</v>
      </c>
      <c r="G27" s="66">
        <v>0</v>
      </c>
      <c r="H27" s="66">
        <v>9.0336099999999992E-3</v>
      </c>
    </row>
    <row r="28" spans="1:8">
      <c r="A28" s="66" t="s">
        <v>380</v>
      </c>
      <c r="B28" s="66">
        <v>1.4095099999999999E-2</v>
      </c>
      <c r="C28" s="66">
        <v>1.9340699999999999E-2</v>
      </c>
      <c r="D28" s="66">
        <v>1.37216</v>
      </c>
      <c r="E28" s="66">
        <v>0</v>
      </c>
      <c r="F28" s="66">
        <v>6.3802100000000001E-4</v>
      </c>
      <c r="G28" s="66">
        <v>0</v>
      </c>
      <c r="H28" s="66">
        <v>0.118753</v>
      </c>
    </row>
    <row r="29" spans="1:8">
      <c r="A29" s="66" t="s">
        <v>381</v>
      </c>
      <c r="B29" s="66">
        <v>73.849299999999999</v>
      </c>
      <c r="C29" s="66">
        <v>6.2067600000000001</v>
      </c>
      <c r="D29" s="66">
        <v>8.4046300000000004E-2</v>
      </c>
      <c r="E29" s="66">
        <v>0</v>
      </c>
      <c r="F29" s="66">
        <v>56.915199999999999</v>
      </c>
      <c r="G29" s="66">
        <v>0</v>
      </c>
      <c r="H29" s="66">
        <v>89.5197</v>
      </c>
    </row>
    <row r="30" spans="1:8">
      <c r="A30" s="66" t="s">
        <v>382</v>
      </c>
      <c r="B30" s="66">
        <v>22.4909</v>
      </c>
      <c r="C30" s="66">
        <v>2.4868299999999999</v>
      </c>
      <c r="D30" s="66">
        <v>0.11057</v>
      </c>
      <c r="E30" s="66">
        <v>0</v>
      </c>
      <c r="F30" s="66">
        <v>16.6568</v>
      </c>
      <c r="G30" s="66">
        <v>0</v>
      </c>
      <c r="H30" s="66">
        <v>27.415400000000002</v>
      </c>
    </row>
    <row r="31" spans="1:8">
      <c r="A31" s="66" t="s">
        <v>383</v>
      </c>
      <c r="B31" s="66">
        <v>196.80799999999999</v>
      </c>
      <c r="C31" s="66">
        <v>25.063800000000001</v>
      </c>
      <c r="D31" s="66">
        <v>0.12735099999999999</v>
      </c>
      <c r="E31" s="66">
        <v>0</v>
      </c>
      <c r="F31" s="66">
        <v>126.11</v>
      </c>
      <c r="G31" s="66">
        <v>0</v>
      </c>
      <c r="H31" s="66">
        <v>230.67099999999999</v>
      </c>
    </row>
    <row r="32" spans="1:8">
      <c r="A32" s="66" t="s">
        <v>384</v>
      </c>
      <c r="B32" s="66">
        <v>0.35843700000000001</v>
      </c>
      <c r="C32" s="66">
        <v>6.0124299999999999E-2</v>
      </c>
      <c r="D32" s="66">
        <v>0.16774</v>
      </c>
      <c r="E32" s="66">
        <v>0.15</v>
      </c>
      <c r="F32" s="66">
        <v>0.17936299999999999</v>
      </c>
      <c r="G32" s="66">
        <v>0.4</v>
      </c>
      <c r="H32" s="66">
        <v>0.46257999999999999</v>
      </c>
    </row>
    <row r="33" spans="1:8">
      <c r="A33" s="66" t="s">
        <v>385</v>
      </c>
      <c r="B33" s="66">
        <v>0.33480799999999999</v>
      </c>
      <c r="C33" s="66">
        <v>7.2412000000000004E-2</v>
      </c>
      <c r="D33" s="66">
        <v>0.216279</v>
      </c>
      <c r="E33" s="66">
        <v>0</v>
      </c>
      <c r="F33" s="66">
        <v>0.18551899999999999</v>
      </c>
      <c r="G33" s="66">
        <v>0</v>
      </c>
      <c r="H33" s="66">
        <v>0.46930699999999997</v>
      </c>
    </row>
    <row r="34" spans="1:8">
      <c r="A34" s="66" t="s">
        <v>386</v>
      </c>
      <c r="B34" s="66">
        <v>0.13733699999999999</v>
      </c>
      <c r="C34" s="66">
        <v>1.21142E-2</v>
      </c>
      <c r="D34" s="66">
        <v>8.8207400000000005E-2</v>
      </c>
      <c r="E34" s="66">
        <v>0.1</v>
      </c>
      <c r="F34" s="66">
        <v>0.123705</v>
      </c>
      <c r="G34" s="66">
        <v>0.25</v>
      </c>
      <c r="H34" s="66">
        <v>0.17416799999999999</v>
      </c>
    </row>
    <row r="35" spans="1:8">
      <c r="A35" s="66" t="s">
        <v>387</v>
      </c>
      <c r="B35" s="66">
        <v>3.8808099999999998E-2</v>
      </c>
      <c r="C35" s="66">
        <v>2.28031E-2</v>
      </c>
      <c r="D35" s="66">
        <v>0.587584</v>
      </c>
      <c r="E35" s="66">
        <v>0</v>
      </c>
      <c r="F35" s="66">
        <v>1.13052E-2</v>
      </c>
      <c r="G35" s="66">
        <v>0</v>
      </c>
      <c r="H35" s="66">
        <v>0.10431</v>
      </c>
    </row>
    <row r="36" spans="1:8">
      <c r="A36" s="66" t="s">
        <v>388</v>
      </c>
      <c r="B36" s="66">
        <v>0.13022</v>
      </c>
      <c r="C36" s="66">
        <v>5.1260500000000001E-2</v>
      </c>
      <c r="D36" s="66">
        <v>0.393646</v>
      </c>
      <c r="E36" s="66">
        <v>0</v>
      </c>
      <c r="F36" s="66">
        <v>5.1710699999999998E-2</v>
      </c>
      <c r="G36" s="66">
        <v>0</v>
      </c>
      <c r="H36" s="66">
        <v>0.37684899999999999</v>
      </c>
    </row>
    <row r="37" spans="1:8">
      <c r="A37" s="66" t="s">
        <v>389</v>
      </c>
      <c r="B37" s="66">
        <v>0.121142</v>
      </c>
      <c r="C37" s="66">
        <v>6.3261399999999995E-2</v>
      </c>
      <c r="D37" s="66">
        <v>0.52221099999999998</v>
      </c>
      <c r="E37" s="66">
        <v>0.1</v>
      </c>
      <c r="F37" s="66">
        <v>9.8028799999999999E-3</v>
      </c>
      <c r="G37" s="66">
        <v>0.5</v>
      </c>
      <c r="H37" s="66">
        <v>0.19065099999999999</v>
      </c>
    </row>
    <row r="38" spans="1:8">
      <c r="A38" s="66" t="s">
        <v>390</v>
      </c>
      <c r="B38" s="66">
        <v>-23.439299999999999</v>
      </c>
      <c r="C38" s="66">
        <v>43.982300000000002</v>
      </c>
      <c r="D38" s="66">
        <v>-1.8764400000000001</v>
      </c>
      <c r="E38" s="66">
        <v>0</v>
      </c>
      <c r="F38" s="66">
        <v>-295.476</v>
      </c>
      <c r="G38" s="66">
        <v>0</v>
      </c>
      <c r="H38" s="66">
        <v>73.220100000000002</v>
      </c>
    </row>
    <row r="39" spans="1:8">
      <c r="A39" s="66" t="s">
        <v>391</v>
      </c>
      <c r="B39" s="66">
        <v>-9.5081399999999991</v>
      </c>
      <c r="C39" s="66">
        <v>4.2515700000000001</v>
      </c>
      <c r="D39" s="66">
        <v>-0.44714999999999999</v>
      </c>
      <c r="E39" s="66">
        <v>0</v>
      </c>
      <c r="F39" s="66">
        <v>-22.088000000000001</v>
      </c>
      <c r="G39" s="66">
        <v>0</v>
      </c>
      <c r="H39" s="66">
        <v>0.174041</v>
      </c>
    </row>
    <row r="40" spans="1:8">
      <c r="A40" s="66" t="s">
        <v>392</v>
      </c>
      <c r="B40" s="66">
        <v>-4.30063</v>
      </c>
      <c r="C40" s="66">
        <v>1.2808900000000001</v>
      </c>
      <c r="D40" s="66">
        <v>-0.29783799999999999</v>
      </c>
      <c r="E40" s="66">
        <v>0</v>
      </c>
      <c r="F40" s="66">
        <v>-9.74282</v>
      </c>
      <c r="G40" s="66">
        <v>0</v>
      </c>
      <c r="H40" s="66">
        <v>-3.9608500000000002</v>
      </c>
    </row>
    <row r="41" spans="1:8">
      <c r="A41" s="66" t="s">
        <v>393</v>
      </c>
      <c r="B41" s="66">
        <v>-0.16500799999999999</v>
      </c>
      <c r="C41" s="66">
        <v>0.28451199999999999</v>
      </c>
      <c r="D41" s="66">
        <v>-1.7242299999999999</v>
      </c>
      <c r="E41" s="66">
        <v>0</v>
      </c>
      <c r="F41" s="66">
        <v>-1</v>
      </c>
      <c r="G41" s="66">
        <v>0</v>
      </c>
      <c r="H41" s="66">
        <v>0.92105300000000001</v>
      </c>
    </row>
    <row r="42" spans="1:8">
      <c r="A42" s="66" t="s">
        <v>394</v>
      </c>
      <c r="B42" s="66">
        <v>-0.234458</v>
      </c>
      <c r="C42" s="66">
        <v>6.6164000000000001E-2</v>
      </c>
      <c r="D42" s="66">
        <v>-0.28220000000000001</v>
      </c>
      <c r="E42" s="66">
        <v>0</v>
      </c>
      <c r="F42" s="66">
        <v>-0.390542</v>
      </c>
      <c r="G42" s="66">
        <v>0</v>
      </c>
      <c r="H42" s="66">
        <v>-7.6509199999999999E-2</v>
      </c>
    </row>
    <row r="43" spans="1:8">
      <c r="A43" s="66" t="s">
        <v>395</v>
      </c>
      <c r="B43" s="66">
        <v>-0.23855799999999999</v>
      </c>
      <c r="C43" s="66">
        <v>1.5525300000000001E-2</v>
      </c>
      <c r="D43" s="66">
        <v>-6.5079799999999993E-2</v>
      </c>
      <c r="E43" s="66">
        <v>0</v>
      </c>
      <c r="F43" s="66">
        <v>-0.29359600000000002</v>
      </c>
      <c r="G43" s="66">
        <v>0</v>
      </c>
      <c r="H43" s="66">
        <v>-0.18435099999999999</v>
      </c>
    </row>
    <row r="44" spans="1:8">
      <c r="A44" s="66" t="s">
        <v>396</v>
      </c>
      <c r="B44" s="66">
        <v>-13.277900000000001</v>
      </c>
      <c r="C44" s="66">
        <v>6.2159399999999998</v>
      </c>
      <c r="D44" s="66">
        <v>-0.46814299999999998</v>
      </c>
      <c r="E44" s="66">
        <v>0</v>
      </c>
      <c r="F44" s="66">
        <v>-34.225900000000003</v>
      </c>
      <c r="G44" s="66">
        <v>0</v>
      </c>
      <c r="H44" s="66">
        <v>-0.15212999999999999</v>
      </c>
    </row>
    <row r="45" spans="1:8">
      <c r="A45" s="66" t="s">
        <v>397</v>
      </c>
      <c r="B45" s="66">
        <v>53.714300000000001</v>
      </c>
      <c r="C45" s="66">
        <v>5.4816500000000001</v>
      </c>
      <c r="D45" s="66">
        <v>0.102052</v>
      </c>
      <c r="E45" s="66">
        <v>0</v>
      </c>
      <c r="F45" s="66">
        <v>41.205599999999997</v>
      </c>
      <c r="G45" s="66">
        <v>0</v>
      </c>
      <c r="H45" s="66">
        <v>67.474199999999996</v>
      </c>
    </row>
    <row r="46" spans="1:8">
      <c r="A46" s="66" t="s">
        <v>398</v>
      </c>
      <c r="B46" s="66">
        <v>32.100200000000001</v>
      </c>
      <c r="C46" s="66">
        <v>2.4909599999999998</v>
      </c>
      <c r="D46" s="66">
        <v>7.7599399999999999E-2</v>
      </c>
      <c r="E46" s="66">
        <v>0</v>
      </c>
      <c r="F46" s="66">
        <v>28.581399999999999</v>
      </c>
      <c r="G46" s="66">
        <v>0</v>
      </c>
      <c r="H46" s="66">
        <v>36.524700000000003</v>
      </c>
    </row>
    <row r="47" spans="1:8">
      <c r="A47" s="66" t="s">
        <v>399</v>
      </c>
      <c r="B47" s="66">
        <v>1.0599799999999999</v>
      </c>
      <c r="C47" s="66">
        <v>0.41032800000000003</v>
      </c>
      <c r="D47" s="66">
        <v>0.38710899999999998</v>
      </c>
      <c r="E47" s="66">
        <v>0</v>
      </c>
      <c r="F47" s="66">
        <v>0.42461700000000002</v>
      </c>
      <c r="G47" s="66">
        <v>0</v>
      </c>
      <c r="H47" s="66">
        <v>3.0306299999999999</v>
      </c>
    </row>
    <row r="48" spans="1:8">
      <c r="A48" s="66" t="s">
        <v>400</v>
      </c>
      <c r="B48" s="66">
        <v>0.98645000000000005</v>
      </c>
      <c r="C48" s="66">
        <v>0.121113</v>
      </c>
      <c r="D48" s="66">
        <v>0.122776</v>
      </c>
      <c r="E48" s="66">
        <v>0</v>
      </c>
      <c r="F48" s="66">
        <v>0.73060999999999998</v>
      </c>
      <c r="G48" s="66">
        <v>0</v>
      </c>
      <c r="H48" s="66">
        <v>1.19669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83.109684915859916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1.6046394267121327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0.66638405008696755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1803</v>
      </c>
      <c r="B8" s="66">
        <v>1803</v>
      </c>
      <c r="D8">
        <f t="shared" si="0"/>
        <v>1.0816810150883403E-2</v>
      </c>
      <c r="E8">
        <f t="shared" si="0"/>
        <v>1.0816810150883403E-2</v>
      </c>
      <c r="G8">
        <f t="shared" ca="1" si="1"/>
        <v>6</v>
      </c>
      <c r="H8">
        <f t="shared" ca="1" si="2"/>
        <v>6.4900860905300423E-2</v>
      </c>
      <c r="I8">
        <f t="shared" ca="1" si="3"/>
        <v>64.315709419595166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7450</v>
      </c>
      <c r="B10" s="66">
        <v>7450</v>
      </c>
      <c r="D10">
        <f t="shared" si="0"/>
        <v>4.4695083540810511E-2</v>
      </c>
      <c r="E10">
        <f t="shared" si="0"/>
        <v>4.4695083540810511E-2</v>
      </c>
      <c r="G10">
        <f t="shared" ca="1" si="1"/>
        <v>8</v>
      </c>
      <c r="H10">
        <f t="shared" ca="1" si="2"/>
        <v>0.35756066832648409</v>
      </c>
      <c r="I10">
        <f t="shared" ca="1" si="3"/>
        <v>252.14573910543942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7972</v>
      </c>
      <c r="B13" s="66">
        <v>7972</v>
      </c>
      <c r="D13">
        <f t="shared" si="0"/>
        <v>4.7826739058703542E-2</v>
      </c>
      <c r="E13">
        <f t="shared" si="0"/>
        <v>4.7826739058703542E-2</v>
      </c>
      <c r="G13">
        <f t="shared" ca="1" si="1"/>
        <v>11</v>
      </c>
      <c r="H13">
        <f t="shared" ca="1" si="2"/>
        <v>0.52609412964573898</v>
      </c>
      <c r="I13">
        <f t="shared" ca="1" si="3"/>
        <v>248.68979621966076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9821</v>
      </c>
      <c r="B15" s="66">
        <v>9821</v>
      </c>
      <c r="D15">
        <f t="shared" si="0"/>
        <v>5.8919518852926178E-2</v>
      </c>
      <c r="E15">
        <f t="shared" si="0"/>
        <v>5.8919518852926178E-2</v>
      </c>
      <c r="G15">
        <f t="shared" ca="1" si="1"/>
        <v>13</v>
      </c>
      <c r="H15">
        <f t="shared" ca="1" si="2"/>
        <v>0.76595374508804026</v>
      </c>
      <c r="I15">
        <f t="shared" ca="1" si="3"/>
        <v>289.61111277265707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22122</v>
      </c>
      <c r="B18" s="66">
        <v>22122</v>
      </c>
      <c r="D18">
        <f t="shared" si="0"/>
        <v>0.13271740108588057</v>
      </c>
      <c r="E18">
        <f t="shared" si="0"/>
        <v>0.13271740108588057</v>
      </c>
      <c r="G18">
        <f t="shared" ca="1" si="1"/>
        <v>16</v>
      </c>
      <c r="H18">
        <f t="shared" ca="1" si="2"/>
        <v>2.123478417374089</v>
      </c>
      <c r="I18">
        <f t="shared" ca="1" si="3"/>
        <v>597.72066116262192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42134</v>
      </c>
      <c r="B21" s="66">
        <v>42134</v>
      </c>
      <c r="D21">
        <f t="shared" si="0"/>
        <v>0.25277619461859197</v>
      </c>
      <c r="E21">
        <f t="shared" si="0"/>
        <v>0.25277619461859197</v>
      </c>
      <c r="G21">
        <f t="shared" ca="1" si="1"/>
        <v>19</v>
      </c>
      <c r="H21">
        <f t="shared" ca="1" si="2"/>
        <v>4.8027476977532473</v>
      </c>
      <c r="I21">
        <f t="shared" ca="1" si="3"/>
        <v>1038.9232284144141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54257</v>
      </c>
      <c r="B23" s="66">
        <v>54257</v>
      </c>
      <c r="D23">
        <f t="shared" si="0"/>
        <v>0.32550619431862493</v>
      </c>
      <c r="E23">
        <f t="shared" si="0"/>
        <v>0.32550619431862493</v>
      </c>
      <c r="G23">
        <f t="shared" ca="1" si="1"/>
        <v>21</v>
      </c>
      <c r="H23">
        <f t="shared" ca="1" si="2"/>
        <v>6.8356300806911232</v>
      </c>
      <c r="I23">
        <f t="shared" ca="1" si="3"/>
        <v>1255.6769138768857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50545</v>
      </c>
      <c r="B26" s="66">
        <v>50545</v>
      </c>
      <c r="D26">
        <f t="shared" si="0"/>
        <v>0.30323664396916339</v>
      </c>
      <c r="E26">
        <f t="shared" si="0"/>
        <v>0.30323664396916339</v>
      </c>
      <c r="G26">
        <f t="shared" ca="1" si="1"/>
        <v>24</v>
      </c>
      <c r="H26">
        <f t="shared" ca="1" si="2"/>
        <v>7.2776794552599213</v>
      </c>
      <c r="I26">
        <f t="shared" ca="1" si="3"/>
        <v>1059.4951431522111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56083</v>
      </c>
      <c r="B28" s="66">
        <v>56083</v>
      </c>
      <c r="D28">
        <f t="shared" si="0"/>
        <v>0.33646098929117796</v>
      </c>
      <c r="E28">
        <f t="shared" si="0"/>
        <v>0.33646098929117796</v>
      </c>
      <c r="G28">
        <f t="shared" ca="1" si="1"/>
        <v>26</v>
      </c>
      <c r="H28">
        <f t="shared" ca="1" si="2"/>
        <v>8.7479857215706271</v>
      </c>
      <c r="I28">
        <f t="shared" ca="1" si="3"/>
        <v>1097.3729373596984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66313</v>
      </c>
      <c r="B31" s="66">
        <v>66313</v>
      </c>
      <c r="D31">
        <f t="shared" si="0"/>
        <v>0.39783423823379427</v>
      </c>
      <c r="E31">
        <f t="shared" si="0"/>
        <v>0.39783423823379427</v>
      </c>
      <c r="G31">
        <f t="shared" ca="1" si="1"/>
        <v>29</v>
      </c>
      <c r="H31">
        <f t="shared" ca="1" si="2"/>
        <v>11.537192908780034</v>
      </c>
      <c r="I31">
        <f t="shared" ca="1" si="3"/>
        <v>1164.8021577605075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71839</v>
      </c>
      <c r="B33" s="66">
        <v>71839</v>
      </c>
      <c r="D33">
        <f t="shared" si="0"/>
        <v>0.43098659147493773</v>
      </c>
      <c r="E33">
        <f t="shared" si="0"/>
        <v>0.43098659147493773</v>
      </c>
      <c r="G33">
        <f t="shared" ca="1" si="1"/>
        <v>31</v>
      </c>
      <c r="H33">
        <f t="shared" ca="1" si="2"/>
        <v>13.36058433572307</v>
      </c>
      <c r="I33">
        <f t="shared" ca="1" si="3"/>
        <v>1170.309292167786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65671</v>
      </c>
      <c r="B36" s="66">
        <v>65671</v>
      </c>
      <c r="D36">
        <f t="shared" si="0"/>
        <v>0.39398266190719022</v>
      </c>
      <c r="E36">
        <f t="shared" si="0"/>
        <v>0.39398266190719022</v>
      </c>
      <c r="G36">
        <f t="shared" ca="1" si="1"/>
        <v>34</v>
      </c>
      <c r="H36">
        <f t="shared" ca="1" si="2"/>
        <v>13.395410504844467</v>
      </c>
      <c r="I36">
        <f t="shared" ca="1" si="3"/>
        <v>950.19207876010773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70309</v>
      </c>
      <c r="B39" s="66">
        <v>70309</v>
      </c>
      <c r="D39">
        <f t="shared" si="0"/>
        <v>0.42180760116387195</v>
      </c>
      <c r="E39">
        <f t="shared" si="0"/>
        <v>0.42180760116387195</v>
      </c>
      <c r="G39">
        <f t="shared" ca="1" si="1"/>
        <v>37</v>
      </c>
      <c r="H39">
        <f t="shared" ca="1" si="2"/>
        <v>15.606881243063262</v>
      </c>
      <c r="I39">
        <f t="shared" ca="1" si="3"/>
        <v>896.80642441186001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85248</v>
      </c>
      <c r="B41" s="66">
        <v>85248</v>
      </c>
      <c r="D41">
        <f t="shared" si="0"/>
        <v>0.51143174250832413</v>
      </c>
      <c r="E41">
        <f t="shared" si="0"/>
        <v>0.51143174250832413</v>
      </c>
      <c r="G41">
        <f t="shared" ca="1" si="1"/>
        <v>39</v>
      </c>
      <c r="H41">
        <f t="shared" ca="1" si="2"/>
        <v>19.94583795782464</v>
      </c>
      <c r="I41">
        <f t="shared" ca="1" si="3"/>
        <v>995.07448501205727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83976</v>
      </c>
      <c r="B44" s="66">
        <v>83976</v>
      </c>
      <c r="D44">
        <f t="shared" si="0"/>
        <v>0.50380058193598709</v>
      </c>
      <c r="E44">
        <f t="shared" si="0"/>
        <v>0.50380058193598709</v>
      </c>
      <c r="G44">
        <f t="shared" ca="1" si="1"/>
        <v>42</v>
      </c>
      <c r="H44">
        <f t="shared" ca="1" si="2"/>
        <v>21.159624441311458</v>
      </c>
      <c r="I44">
        <f t="shared" ca="1" si="3"/>
        <v>851.42610395281167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95159</v>
      </c>
      <c r="B46" s="66">
        <v>95159</v>
      </c>
      <c r="D46">
        <f t="shared" si="0"/>
        <v>0.57089120196778353</v>
      </c>
      <c r="E46">
        <f t="shared" si="0"/>
        <v>0.57089120196778353</v>
      </c>
      <c r="G46">
        <f t="shared" ca="1" si="1"/>
        <v>44</v>
      </c>
      <c r="H46">
        <f t="shared" ca="1" si="2"/>
        <v>25.119212886582474</v>
      </c>
      <c r="I46">
        <f t="shared" ca="1" si="3"/>
        <v>873.21660242922576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104065</v>
      </c>
      <c r="B49" s="66">
        <v>104065</v>
      </c>
      <c r="D49">
        <f t="shared" si="0"/>
        <v>0.62432132465428802</v>
      </c>
      <c r="E49">
        <f t="shared" si="0"/>
        <v>0.62432132465428802</v>
      </c>
      <c r="G49">
        <f t="shared" ca="1" si="1"/>
        <v>47</v>
      </c>
      <c r="H49">
        <f t="shared" ca="1" si="2"/>
        <v>29.343102258751536</v>
      </c>
      <c r="I49">
        <f t="shared" ca="1" si="3"/>
        <v>814.05840932636897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114780</v>
      </c>
      <c r="B51" s="66">
        <v>114780</v>
      </c>
      <c r="D51">
        <f t="shared" si="0"/>
        <v>0.68860425353211152</v>
      </c>
      <c r="E51">
        <f t="shared" si="0"/>
        <v>0.68860425353211152</v>
      </c>
      <c r="G51">
        <f t="shared" ca="1" si="1"/>
        <v>49</v>
      </c>
      <c r="H51">
        <f t="shared" ca="1" si="2"/>
        <v>33.741608423073465</v>
      </c>
      <c r="I51">
        <f t="shared" ca="1" si="3"/>
        <v>801.17080750337311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127342</v>
      </c>
      <c r="B54" s="66">
        <v>127342</v>
      </c>
      <c r="D54">
        <f t="shared" si="0"/>
        <v>0.76396796352401231</v>
      </c>
      <c r="E54">
        <f t="shared" si="0"/>
        <v>0.76396796352401231</v>
      </c>
      <c r="G54">
        <f t="shared" ca="1" si="1"/>
        <v>52</v>
      </c>
      <c r="H54">
        <f t="shared" ca="1" si="2"/>
        <v>39.726334103248639</v>
      </c>
      <c r="I54">
        <f t="shared" ca="1" si="3"/>
        <v>739.37774130918388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141941</v>
      </c>
      <c r="B57" s="66">
        <v>141941</v>
      </c>
      <c r="D57">
        <f t="shared" si="0"/>
        <v>0.85155232924378321</v>
      </c>
      <c r="E57">
        <f t="shared" si="0"/>
        <v>0.85155232924378321</v>
      </c>
      <c r="G57">
        <f t="shared" ca="1" si="1"/>
        <v>55</v>
      </c>
      <c r="H57">
        <f t="shared" ca="1" si="2"/>
        <v>46.835378108408079</v>
      </c>
      <c r="I57">
        <f t="shared" ca="1" si="3"/>
        <v>672.85780791918251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134892</v>
      </c>
      <c r="B59" s="66">
        <v>134892</v>
      </c>
      <c r="D59">
        <f t="shared" si="0"/>
        <v>0.80926298107208205</v>
      </c>
      <c r="E59">
        <f t="shared" si="0"/>
        <v>0.80926298107208205</v>
      </c>
      <c r="G59">
        <f t="shared" ca="1" si="1"/>
        <v>57</v>
      </c>
      <c r="H59">
        <f t="shared" ca="1" si="2"/>
        <v>46.127989921108679</v>
      </c>
      <c r="I59">
        <f t="shared" ca="1" si="3"/>
        <v>551.68723625358245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137483</v>
      </c>
      <c r="B62" s="66">
        <v>137483</v>
      </c>
      <c r="D62">
        <f t="shared" si="0"/>
        <v>0.82480727120016795</v>
      </c>
      <c r="E62">
        <f t="shared" si="0"/>
        <v>0.82480727120016795</v>
      </c>
      <c r="G62">
        <f t="shared" ca="1" si="1"/>
        <v>60</v>
      </c>
      <c r="H62">
        <f t="shared" ca="1" si="2"/>
        <v>49.488436272010077</v>
      </c>
      <c r="I62">
        <f t="shared" ca="1" si="3"/>
        <v>440.49453968288674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129811</v>
      </c>
      <c r="B64" s="66">
        <v>129811</v>
      </c>
      <c r="D64">
        <f t="shared" si="0"/>
        <v>0.77878033416324199</v>
      </c>
      <c r="E64">
        <f t="shared" si="0"/>
        <v>0.77878033416324199</v>
      </c>
      <c r="G64">
        <f t="shared" ca="1" si="1"/>
        <v>62</v>
      </c>
      <c r="H64">
        <f t="shared" ca="1" si="2"/>
        <v>48.284380718121007</v>
      </c>
      <c r="I64">
        <f t="shared" ca="1" si="3"/>
        <v>347.03915582935002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145691</v>
      </c>
      <c r="B67" s="66">
        <v>145691</v>
      </c>
      <c r="D67">
        <f t="shared" ref="D67:E130" si="4">IFERROR( A67/MAX(A$2:A$257), 0 )</f>
        <v>0.87404985451600326</v>
      </c>
      <c r="E67">
        <f t="shared" si="4"/>
        <v>0.87404985451600326</v>
      </c>
      <c r="G67">
        <f t="shared" ref="G67:G130" ca="1" si="5">CELL("row",D67)-2</f>
        <v>65</v>
      </c>
      <c r="H67">
        <f t="shared" ref="H67:H130" ca="1" si="6">D67*G67</f>
        <v>56.813240543540211</v>
      </c>
      <c r="I67">
        <f t="shared" ref="I67:I130" ca="1" si="7">D67*((G67-$L$1)^2)</f>
        <v>286.65399141636289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161712</v>
      </c>
      <c r="B69" s="66">
        <v>161712</v>
      </c>
      <c r="D69">
        <f t="shared" si="4"/>
        <v>0.97016528181899986</v>
      </c>
      <c r="E69">
        <f t="shared" si="4"/>
        <v>0.97016528181899986</v>
      </c>
      <c r="G69">
        <f t="shared" ca="1" si="5"/>
        <v>67</v>
      </c>
      <c r="H69">
        <f t="shared" ca="1" si="6"/>
        <v>65.001073881872998</v>
      </c>
      <c r="I69">
        <f t="shared" ca="1" si="7"/>
        <v>251.77918390528637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155976</v>
      </c>
      <c r="B72" s="66">
        <v>155976</v>
      </c>
      <c r="D72">
        <f t="shared" si="4"/>
        <v>0.93575306716261208</v>
      </c>
      <c r="E72">
        <f t="shared" si="4"/>
        <v>0.93575306716261208</v>
      </c>
      <c r="G72">
        <f t="shared" ca="1" si="5"/>
        <v>70</v>
      </c>
      <c r="H72">
        <f t="shared" ca="1" si="6"/>
        <v>65.502714701382843</v>
      </c>
      <c r="I72">
        <f t="shared" ca="1" si="7"/>
        <v>160.82211409785683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155652</v>
      </c>
      <c r="B75" s="66">
        <v>155652</v>
      </c>
      <c r="D75">
        <f t="shared" si="4"/>
        <v>0.93380928097909233</v>
      </c>
      <c r="E75">
        <f t="shared" si="4"/>
        <v>0.93380928097909233</v>
      </c>
      <c r="G75">
        <f t="shared" ca="1" si="5"/>
        <v>73</v>
      </c>
      <c r="H75">
        <f t="shared" ca="1" si="6"/>
        <v>68.16807751147374</v>
      </c>
      <c r="I75">
        <f t="shared" ca="1" si="7"/>
        <v>95.440658400915055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155722</v>
      </c>
      <c r="B77" s="66">
        <v>155722</v>
      </c>
      <c r="D77">
        <f t="shared" si="4"/>
        <v>0.93422923478417375</v>
      </c>
      <c r="E77">
        <f t="shared" si="4"/>
        <v>0.93422923478417375</v>
      </c>
      <c r="G77">
        <f t="shared" ca="1" si="5"/>
        <v>75</v>
      </c>
      <c r="H77">
        <f t="shared" ca="1" si="6"/>
        <v>70.067192608813031</v>
      </c>
      <c r="I77">
        <f t="shared" ca="1" si="7"/>
        <v>61.441444213475918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166685</v>
      </c>
      <c r="B80" s="66">
        <v>166685</v>
      </c>
      <c r="D80">
        <f t="shared" si="4"/>
        <v>1</v>
      </c>
      <c r="E80">
        <f t="shared" si="4"/>
        <v>1</v>
      </c>
      <c r="G80">
        <f t="shared" ca="1" si="5"/>
        <v>78</v>
      </c>
      <c r="H80">
        <f t="shared" ca="1" si="6"/>
        <v>78</v>
      </c>
      <c r="I80">
        <f t="shared" ca="1" si="7"/>
        <v>26.108879939366354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157104</v>
      </c>
      <c r="B82" s="66">
        <v>157104</v>
      </c>
      <c r="D82">
        <f t="shared" si="4"/>
        <v>0.94252032276449593</v>
      </c>
      <c r="E82">
        <f t="shared" si="4"/>
        <v>0.94252032276449593</v>
      </c>
      <c r="G82">
        <f t="shared" ca="1" si="5"/>
        <v>80</v>
      </c>
      <c r="H82">
        <f t="shared" ca="1" si="6"/>
        <v>75.401625821159669</v>
      </c>
      <c r="I82">
        <f t="shared" ca="1" si="7"/>
        <v>9.1143037340443751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148440</v>
      </c>
      <c r="B85" s="66">
        <v>148440</v>
      </c>
      <c r="D85">
        <f t="shared" si="4"/>
        <v>0.89054204037555873</v>
      </c>
      <c r="E85">
        <f t="shared" si="4"/>
        <v>0.89054204037555873</v>
      </c>
      <c r="G85">
        <f t="shared" ca="1" si="5"/>
        <v>83</v>
      </c>
      <c r="H85">
        <f t="shared" ca="1" si="6"/>
        <v>73.914989351171371</v>
      </c>
      <c r="I85">
        <f t="shared" ca="1" si="7"/>
        <v>1.0713916051730431E-2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145597</v>
      </c>
      <c r="B88" s="66">
        <v>145597</v>
      </c>
      <c r="D88">
        <f t="shared" si="4"/>
        <v>0.87348591654917962</v>
      </c>
      <c r="E88">
        <f t="shared" si="4"/>
        <v>0.87348591654917962</v>
      </c>
      <c r="G88">
        <f t="shared" ca="1" si="5"/>
        <v>86</v>
      </c>
      <c r="H88">
        <f t="shared" ca="1" si="6"/>
        <v>75.119788823229442</v>
      </c>
      <c r="I88">
        <f t="shared" ca="1" si="7"/>
        <v>7.2970325909387448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131444</v>
      </c>
      <c r="B90" s="66">
        <v>131444</v>
      </c>
      <c r="D90">
        <f t="shared" si="4"/>
        <v>0.78857725650178478</v>
      </c>
      <c r="E90">
        <f t="shared" si="4"/>
        <v>0.78857725650178478</v>
      </c>
      <c r="G90">
        <f t="shared" ca="1" si="5"/>
        <v>88</v>
      </c>
      <c r="H90">
        <f t="shared" ca="1" si="6"/>
        <v>69.394798572157057</v>
      </c>
      <c r="I90">
        <f t="shared" ca="1" si="7"/>
        <v>18.858968312351177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122198</v>
      </c>
      <c r="B93" s="66">
        <v>122198</v>
      </c>
      <c r="D93">
        <f t="shared" si="4"/>
        <v>0.73310735819059902</v>
      </c>
      <c r="E93">
        <f t="shared" si="4"/>
        <v>0.73310735819059902</v>
      </c>
      <c r="G93">
        <f t="shared" ca="1" si="5"/>
        <v>91</v>
      </c>
      <c r="H93">
        <f t="shared" ca="1" si="6"/>
        <v>66.712769595344511</v>
      </c>
      <c r="I93">
        <f t="shared" ca="1" si="7"/>
        <v>45.641117675712813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124787</v>
      </c>
      <c r="B95" s="66">
        <v>124787</v>
      </c>
      <c r="D95">
        <f t="shared" si="4"/>
        <v>0.74863964963853979</v>
      </c>
      <c r="E95">
        <f t="shared" si="4"/>
        <v>0.74863964963853979</v>
      </c>
      <c r="G95">
        <f t="shared" ca="1" si="5"/>
        <v>93</v>
      </c>
      <c r="H95">
        <f t="shared" ca="1" si="6"/>
        <v>69.623487416384208</v>
      </c>
      <c r="I95">
        <f t="shared" ca="1" si="7"/>
        <v>73.230682143752404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123841</v>
      </c>
      <c r="B98" s="66">
        <v>123841</v>
      </c>
      <c r="D98">
        <f t="shared" si="4"/>
        <v>0.74296427392986775</v>
      </c>
      <c r="E98">
        <f t="shared" si="4"/>
        <v>0.74296427392986775</v>
      </c>
      <c r="G98">
        <f t="shared" ca="1" si="5"/>
        <v>96</v>
      </c>
      <c r="H98">
        <f t="shared" ca="1" si="6"/>
        <v>71.3245702972673</v>
      </c>
      <c r="I98">
        <f t="shared" ca="1" si="7"/>
        <v>123.45110941374921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124322</v>
      </c>
      <c r="B100" s="66">
        <v>124322</v>
      </c>
      <c r="D100">
        <f t="shared" si="4"/>
        <v>0.74584995650478447</v>
      </c>
      <c r="E100">
        <f t="shared" si="4"/>
        <v>0.74584995650478447</v>
      </c>
      <c r="G100">
        <f t="shared" ca="1" si="5"/>
        <v>98</v>
      </c>
      <c r="H100">
        <f t="shared" ca="1" si="6"/>
        <v>73.093295737468878</v>
      </c>
      <c r="I100">
        <f t="shared" ca="1" si="7"/>
        <v>165.37095867918796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126072</v>
      </c>
      <c r="B103" s="66">
        <v>126072</v>
      </c>
      <c r="D103">
        <f t="shared" si="4"/>
        <v>0.7563488016318205</v>
      </c>
      <c r="E103">
        <f t="shared" si="4"/>
        <v>0.7563488016318205</v>
      </c>
      <c r="G103">
        <f t="shared" ca="1" si="5"/>
        <v>101</v>
      </c>
      <c r="H103">
        <f t="shared" ca="1" si="6"/>
        <v>76.391228964813877</v>
      </c>
      <c r="I103">
        <f t="shared" ca="1" si="7"/>
        <v>242.07954922728737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118464</v>
      </c>
      <c r="B106" s="66">
        <v>118464</v>
      </c>
      <c r="D106">
        <f t="shared" si="4"/>
        <v>0.7107058223595405</v>
      </c>
      <c r="E106">
        <f t="shared" si="4"/>
        <v>0.7107058223595405</v>
      </c>
      <c r="G106">
        <f t="shared" ca="1" si="5"/>
        <v>104</v>
      </c>
      <c r="H106">
        <f t="shared" ca="1" si="6"/>
        <v>73.913405525392207</v>
      </c>
      <c r="I106">
        <f t="shared" ca="1" si="7"/>
        <v>310.15576225677648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116381</v>
      </c>
      <c r="B108" s="66">
        <v>116381</v>
      </c>
      <c r="D108">
        <f t="shared" si="4"/>
        <v>0.69820919698833128</v>
      </c>
      <c r="E108">
        <f t="shared" si="4"/>
        <v>0.69820919698833128</v>
      </c>
      <c r="G108">
        <f t="shared" ca="1" si="5"/>
        <v>106</v>
      </c>
      <c r="H108">
        <f t="shared" ca="1" si="6"/>
        <v>74.010174880763117</v>
      </c>
      <c r="I108">
        <f t="shared" ca="1" si="7"/>
        <v>365.83824642548882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107996</v>
      </c>
      <c r="B111" s="66">
        <v>107996</v>
      </c>
      <c r="D111">
        <f t="shared" si="4"/>
        <v>0.64790473047964725</v>
      </c>
      <c r="E111">
        <f t="shared" si="4"/>
        <v>0.64790473047964725</v>
      </c>
      <c r="G111">
        <f t="shared" ca="1" si="5"/>
        <v>109</v>
      </c>
      <c r="H111">
        <f t="shared" ca="1" si="6"/>
        <v>70.621615622281553</v>
      </c>
      <c r="I111">
        <f t="shared" ca="1" si="7"/>
        <v>434.29599305992116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97949</v>
      </c>
      <c r="B113" s="66">
        <v>97949</v>
      </c>
      <c r="D113">
        <f t="shared" si="4"/>
        <v>0.58762936077031525</v>
      </c>
      <c r="E113">
        <f t="shared" si="4"/>
        <v>0.58762936077031525</v>
      </c>
      <c r="G113">
        <f t="shared" ca="1" si="5"/>
        <v>111</v>
      </c>
      <c r="H113">
        <f t="shared" ca="1" si="6"/>
        <v>65.226859045504995</v>
      </c>
      <c r="I113">
        <f t="shared" ca="1" si="7"/>
        <v>457.09906017233612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91592</v>
      </c>
      <c r="B116" s="66">
        <v>91592</v>
      </c>
      <c r="D116">
        <f t="shared" si="4"/>
        <v>0.5494915559288478</v>
      </c>
      <c r="E116">
        <f t="shared" si="4"/>
        <v>0.5494915559288478</v>
      </c>
      <c r="G116">
        <f t="shared" ca="1" si="5"/>
        <v>114</v>
      </c>
      <c r="H116">
        <f t="shared" ca="1" si="6"/>
        <v>62.642037375888648</v>
      </c>
      <c r="I116">
        <f t="shared" ca="1" si="7"/>
        <v>524.33119808524259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89681</v>
      </c>
      <c r="B118" s="66">
        <v>89681</v>
      </c>
      <c r="D118">
        <f t="shared" si="4"/>
        <v>0.53802681705012445</v>
      </c>
      <c r="E118">
        <f t="shared" si="4"/>
        <v>0.53802681705012445</v>
      </c>
      <c r="G118">
        <f t="shared" ca="1" si="5"/>
        <v>116</v>
      </c>
      <c r="H118">
        <f t="shared" ca="1" si="6"/>
        <v>62.411110777814436</v>
      </c>
      <c r="I118">
        <f t="shared" ca="1" si="7"/>
        <v>582.02279052380595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80695</v>
      </c>
      <c r="B121" s="66">
        <v>80695</v>
      </c>
      <c r="D121">
        <f t="shared" si="4"/>
        <v>0.48411674715781267</v>
      </c>
      <c r="E121">
        <f t="shared" si="4"/>
        <v>0.48411674715781267</v>
      </c>
      <c r="G121">
        <f t="shared" ca="1" si="5"/>
        <v>119</v>
      </c>
      <c r="H121">
        <f t="shared" ca="1" si="6"/>
        <v>57.60989291177971</v>
      </c>
      <c r="I121">
        <f t="shared" ca="1" si="7"/>
        <v>623.59790668213259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78554</v>
      </c>
      <c r="B124" s="66">
        <v>78554</v>
      </c>
      <c r="D124">
        <f t="shared" si="4"/>
        <v>0.47127216006239314</v>
      </c>
      <c r="E124">
        <f t="shared" si="4"/>
        <v>0.47127216006239314</v>
      </c>
      <c r="G124">
        <f t="shared" ca="1" si="5"/>
        <v>122</v>
      </c>
      <c r="H124">
        <f t="shared" ca="1" si="6"/>
        <v>57.495203527611963</v>
      </c>
      <c r="I124">
        <f t="shared" ca="1" si="7"/>
        <v>712.77869234350135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77893</v>
      </c>
      <c r="B126" s="66">
        <v>77893</v>
      </c>
      <c r="D126">
        <f t="shared" si="4"/>
        <v>0.46730659627440979</v>
      </c>
      <c r="E126">
        <f t="shared" si="4"/>
        <v>0.46730659627440979</v>
      </c>
      <c r="G126">
        <f t="shared" ca="1" si="5"/>
        <v>124</v>
      </c>
      <c r="H126">
        <f t="shared" ca="1" si="6"/>
        <v>57.946017938026813</v>
      </c>
      <c r="I126">
        <f t="shared" ca="1" si="7"/>
        <v>781.34497865565606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75538</v>
      </c>
      <c r="B129" s="66">
        <v>75538</v>
      </c>
      <c r="D129">
        <f t="shared" si="4"/>
        <v>0.4531781504034556</v>
      </c>
      <c r="E129">
        <f t="shared" si="4"/>
        <v>0.4531781504034556</v>
      </c>
      <c r="G129">
        <f t="shared" ca="1" si="5"/>
        <v>127</v>
      </c>
      <c r="H129">
        <f t="shared" ca="1" si="6"/>
        <v>57.553625101238865</v>
      </c>
      <c r="I129">
        <f t="shared" ca="1" si="7"/>
        <v>872.98415222596918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76807</v>
      </c>
      <c r="B131" s="66">
        <v>76807</v>
      </c>
      <c r="D131">
        <f t="shared" ref="D131:E194" si="8">IFERROR( A131/MAX(A$2:A$257), 0 )</f>
        <v>0.46079131295557491</v>
      </c>
      <c r="E131">
        <f t="shared" si="8"/>
        <v>0.46079131295557491</v>
      </c>
      <c r="G131">
        <f t="shared" ref="G131:G194" ca="1" si="9">CELL("row",D131)-2</f>
        <v>129</v>
      </c>
      <c r="H131">
        <f t="shared" ref="H131:H194" ca="1" si="10">D131*G131</f>
        <v>59.442079371269166</v>
      </c>
      <c r="I131">
        <f t="shared" ref="I131:I194" ca="1" si="11">D131*((G131-$L$1)^2)</f>
        <v>970.39011110533488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74722</v>
      </c>
      <c r="B134" s="66">
        <v>74722</v>
      </c>
      <c r="D134">
        <f t="shared" si="8"/>
        <v>0.44828268890422052</v>
      </c>
      <c r="E134">
        <f t="shared" si="8"/>
        <v>0.44828268890422052</v>
      </c>
      <c r="G134">
        <f t="shared" ca="1" si="9"/>
        <v>132</v>
      </c>
      <c r="H134">
        <f t="shared" ca="1" si="10"/>
        <v>59.173314935357105</v>
      </c>
      <c r="I134">
        <f t="shared" ca="1" si="11"/>
        <v>1071.5134840464216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73818</v>
      </c>
      <c r="B136" s="66">
        <v>73818</v>
      </c>
      <c r="D136">
        <f t="shared" si="8"/>
        <v>0.44285928547859738</v>
      </c>
      <c r="E136">
        <f t="shared" si="8"/>
        <v>0.44285928547859738</v>
      </c>
      <c r="G136">
        <f t="shared" ca="1" si="9"/>
        <v>134</v>
      </c>
      <c r="H136">
        <f t="shared" ca="1" si="10"/>
        <v>59.343144254132049</v>
      </c>
      <c r="I136">
        <f t="shared" ca="1" si="11"/>
        <v>1146.9276811593247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67403</v>
      </c>
      <c r="B139" s="66">
        <v>67403</v>
      </c>
      <c r="D139">
        <f t="shared" si="8"/>
        <v>0.40437351891291956</v>
      </c>
      <c r="E139">
        <f t="shared" si="8"/>
        <v>0.40437351891291956</v>
      </c>
      <c r="G139">
        <f t="shared" ca="1" si="9"/>
        <v>137</v>
      </c>
      <c r="H139">
        <f t="shared" ca="1" si="10"/>
        <v>55.399172091069978</v>
      </c>
      <c r="I139">
        <f t="shared" ca="1" si="11"/>
        <v>1174.3678491362498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64248</v>
      </c>
      <c r="B142" s="66">
        <v>64248</v>
      </c>
      <c r="D142">
        <f t="shared" si="8"/>
        <v>0.38544560098389175</v>
      </c>
      <c r="E142">
        <f t="shared" si="8"/>
        <v>0.38544560098389175</v>
      </c>
      <c r="G142">
        <f t="shared" ca="1" si="9"/>
        <v>140</v>
      </c>
      <c r="H142">
        <f t="shared" ca="1" si="10"/>
        <v>53.962384137744841</v>
      </c>
      <c r="I142">
        <f t="shared" ca="1" si="11"/>
        <v>1247.4977520205632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53491</v>
      </c>
      <c r="B144" s="66">
        <v>53491</v>
      </c>
      <c r="D144">
        <f t="shared" si="8"/>
        <v>0.32091069982301945</v>
      </c>
      <c r="E144">
        <f t="shared" si="8"/>
        <v>0.32091069982301945</v>
      </c>
      <c r="G144">
        <f t="shared" ca="1" si="9"/>
        <v>142</v>
      </c>
      <c r="H144">
        <f t="shared" ca="1" si="10"/>
        <v>45.569319374868762</v>
      </c>
      <c r="I144">
        <f t="shared" ca="1" si="11"/>
        <v>1112.9405174433873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46559</v>
      </c>
      <c r="B147" s="66">
        <v>46559</v>
      </c>
      <c r="D147">
        <f t="shared" si="8"/>
        <v>0.27932327443981164</v>
      </c>
      <c r="E147">
        <f t="shared" si="8"/>
        <v>0.27932327443981164</v>
      </c>
      <c r="G147">
        <f t="shared" ca="1" si="9"/>
        <v>145</v>
      </c>
      <c r="H147">
        <f t="shared" ca="1" si="10"/>
        <v>40.501874793772686</v>
      </c>
      <c r="I147">
        <f t="shared" ca="1" si="11"/>
        <v>1069.9229712417377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40413</v>
      </c>
      <c r="B149" s="66">
        <v>40413</v>
      </c>
      <c r="D149">
        <f t="shared" si="8"/>
        <v>0.24245133035366109</v>
      </c>
      <c r="E149">
        <f t="shared" si="8"/>
        <v>0.24245133035366109</v>
      </c>
      <c r="G149">
        <f t="shared" ca="1" si="9"/>
        <v>147</v>
      </c>
      <c r="H149">
        <f t="shared" ca="1" si="10"/>
        <v>35.640345561988184</v>
      </c>
      <c r="I149">
        <f t="shared" ca="1" si="11"/>
        <v>989.67962952484243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33285</v>
      </c>
      <c r="B152" s="66">
        <v>33285</v>
      </c>
      <c r="D152">
        <f t="shared" si="8"/>
        <v>0.19968803431622523</v>
      </c>
      <c r="E152">
        <f t="shared" si="8"/>
        <v>0.19968803431622523</v>
      </c>
      <c r="G152">
        <f t="shared" ca="1" si="9"/>
        <v>150</v>
      </c>
      <c r="H152">
        <f t="shared" ca="1" si="10"/>
        <v>29.953205147433785</v>
      </c>
      <c r="I152">
        <f t="shared" ca="1" si="11"/>
        <v>893.46701790604197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26929</v>
      </c>
      <c r="B154" s="66">
        <v>26929</v>
      </c>
      <c r="D154">
        <f t="shared" si="8"/>
        <v>0.16155622881483037</v>
      </c>
      <c r="E154">
        <f t="shared" si="8"/>
        <v>0.16155622881483037</v>
      </c>
      <c r="G154">
        <f t="shared" ca="1" si="9"/>
        <v>152</v>
      </c>
      <c r="H154">
        <f t="shared" ca="1" si="10"/>
        <v>24.556546779854216</v>
      </c>
      <c r="I154">
        <f t="shared" ca="1" si="11"/>
        <v>766.72575020671832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22788</v>
      </c>
      <c r="B157" s="66">
        <v>22788</v>
      </c>
      <c r="D157">
        <f t="shared" si="8"/>
        <v>0.13671296157422683</v>
      </c>
      <c r="E157">
        <f t="shared" si="8"/>
        <v>0.13671296157422683</v>
      </c>
      <c r="G157">
        <f t="shared" ca="1" si="9"/>
        <v>155</v>
      </c>
      <c r="H157">
        <f t="shared" ca="1" si="10"/>
        <v>21.190509044005157</v>
      </c>
      <c r="I157">
        <f t="shared" ca="1" si="11"/>
        <v>706.56230720949964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19416</v>
      </c>
      <c r="B160" s="66">
        <v>19416</v>
      </c>
      <c r="D160">
        <f t="shared" si="8"/>
        <v>0.11648318684944656</v>
      </c>
      <c r="E160">
        <f t="shared" si="8"/>
        <v>0.11648318684944656</v>
      </c>
      <c r="G160">
        <f t="shared" ca="1" si="9"/>
        <v>158</v>
      </c>
      <c r="H160">
        <f t="shared" ca="1" si="10"/>
        <v>18.404343522212557</v>
      </c>
      <c r="I160">
        <f t="shared" ca="1" si="11"/>
        <v>653.30286012951944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13796</v>
      </c>
      <c r="B162" s="66">
        <v>13796</v>
      </c>
      <c r="D162">
        <f t="shared" si="8"/>
        <v>8.2766895641479432E-2</v>
      </c>
      <c r="E162">
        <f t="shared" si="8"/>
        <v>8.2766895641479432E-2</v>
      </c>
      <c r="G162">
        <f t="shared" ca="1" si="9"/>
        <v>160</v>
      </c>
      <c r="H162">
        <f t="shared" ca="1" si="10"/>
        <v>13.242703302636709</v>
      </c>
      <c r="I162">
        <f t="shared" ca="1" si="11"/>
        <v>489.3278648911068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14730</v>
      </c>
      <c r="B165" s="66">
        <v>14730</v>
      </c>
      <c r="D165">
        <f t="shared" si="8"/>
        <v>8.8370279269280386E-2</v>
      </c>
      <c r="E165">
        <f t="shared" si="8"/>
        <v>8.8370279269280386E-2</v>
      </c>
      <c r="G165">
        <f t="shared" ca="1" si="9"/>
        <v>163</v>
      </c>
      <c r="H165">
        <f t="shared" ca="1" si="10"/>
        <v>14.404355520892702</v>
      </c>
      <c r="I165">
        <f t="shared" ca="1" si="11"/>
        <v>564.01998862346375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10277</v>
      </c>
      <c r="B167" s="66">
        <v>10277</v>
      </c>
      <c r="D167">
        <f t="shared" si="8"/>
        <v>6.1655217926028134E-2</v>
      </c>
      <c r="E167">
        <f t="shared" si="8"/>
        <v>6.1655217926028134E-2</v>
      </c>
      <c r="G167">
        <f t="shared" ca="1" si="9"/>
        <v>165</v>
      </c>
      <c r="H167">
        <f t="shared" ca="1" si="10"/>
        <v>10.173110957794643</v>
      </c>
      <c r="I167">
        <f t="shared" ca="1" si="11"/>
        <v>413.46135292297447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9769</v>
      </c>
      <c r="B170" s="66">
        <v>9769</v>
      </c>
      <c r="D170">
        <f t="shared" si="8"/>
        <v>5.8607553169151394E-2</v>
      </c>
      <c r="E170">
        <f t="shared" si="8"/>
        <v>5.8607553169151394E-2</v>
      </c>
      <c r="G170">
        <f t="shared" ca="1" si="9"/>
        <v>168</v>
      </c>
      <c r="H170">
        <f t="shared" ca="1" si="10"/>
        <v>9.8460689324174346</v>
      </c>
      <c r="I170">
        <f t="shared" ca="1" si="11"/>
        <v>422.34745477026291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5465</v>
      </c>
      <c r="B173" s="66">
        <v>5465</v>
      </c>
      <c r="D173">
        <f t="shared" si="8"/>
        <v>3.278639349671536E-2</v>
      </c>
      <c r="E173">
        <f t="shared" si="8"/>
        <v>3.278639349671536E-2</v>
      </c>
      <c r="G173">
        <f t="shared" ca="1" si="9"/>
        <v>171</v>
      </c>
      <c r="H173">
        <f t="shared" ca="1" si="10"/>
        <v>5.6064732879383268</v>
      </c>
      <c r="I173">
        <f t="shared" ca="1" si="11"/>
        <v>253.26529926955752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3258</v>
      </c>
      <c r="B175" s="66">
        <v>3258</v>
      </c>
      <c r="D175">
        <f t="shared" si="8"/>
        <v>1.9545849956504786E-2</v>
      </c>
      <c r="E175">
        <f t="shared" si="8"/>
        <v>1.9545849956504786E-2</v>
      </c>
      <c r="G175">
        <f t="shared" ca="1" si="9"/>
        <v>173</v>
      </c>
      <c r="H175">
        <f t="shared" ca="1" si="10"/>
        <v>3.3814320424753279</v>
      </c>
      <c r="I175">
        <f t="shared" ca="1" si="11"/>
        <v>157.93572051610434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2505</v>
      </c>
      <c r="B178" s="66">
        <v>2505</v>
      </c>
      <c r="D178">
        <f t="shared" si="8"/>
        <v>1.5028346881842998E-2</v>
      </c>
      <c r="E178">
        <f t="shared" si="8"/>
        <v>1.5028346881842998E-2</v>
      </c>
      <c r="G178">
        <f t="shared" ca="1" si="9"/>
        <v>176</v>
      </c>
      <c r="H178">
        <f t="shared" ca="1" si="10"/>
        <v>2.6449890512043677</v>
      </c>
      <c r="I178">
        <f t="shared" ca="1" si="11"/>
        <v>129.67375375264248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1068</v>
      </c>
      <c r="B180" s="66">
        <v>1068</v>
      </c>
      <c r="D180">
        <f t="shared" si="8"/>
        <v>6.4072951975282719E-3</v>
      </c>
      <c r="E180">
        <f t="shared" si="8"/>
        <v>6.4072951975282719E-3</v>
      </c>
      <c r="G180">
        <f t="shared" ca="1" si="9"/>
        <v>178</v>
      </c>
      <c r="H180">
        <f t="shared" ca="1" si="10"/>
        <v>1.1404985451600325</v>
      </c>
      <c r="I180">
        <f t="shared" ca="1" si="11"/>
        <v>57.692387351876683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493</v>
      </c>
      <c r="B183" s="66">
        <v>493</v>
      </c>
      <c r="D183">
        <f t="shared" si="8"/>
        <v>2.9576746557878632E-3</v>
      </c>
      <c r="E183">
        <f t="shared" si="8"/>
        <v>2.9576746557878632E-3</v>
      </c>
      <c r="G183">
        <f t="shared" ca="1" si="9"/>
        <v>181</v>
      </c>
      <c r="H183">
        <f t="shared" ca="1" si="10"/>
        <v>0.53533911269760326</v>
      </c>
      <c r="I183">
        <f t="shared" ca="1" si="11"/>
        <v>28.341958167352828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337</v>
      </c>
      <c r="B185" s="66">
        <v>337</v>
      </c>
      <c r="D185">
        <f t="shared" si="8"/>
        <v>2.021777604463509E-3</v>
      </c>
      <c r="E185">
        <f t="shared" si="8"/>
        <v>2.021777604463509E-3</v>
      </c>
      <c r="G185">
        <f t="shared" ca="1" si="9"/>
        <v>183</v>
      </c>
      <c r="H185">
        <f t="shared" ca="1" si="10"/>
        <v>0.36998530161682214</v>
      </c>
      <c r="I185">
        <f t="shared" ca="1" si="11"/>
        <v>20.1734486669116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109</v>
      </c>
      <c r="B188" s="66">
        <v>109</v>
      </c>
      <c r="D188">
        <f t="shared" si="8"/>
        <v>6.5392806791252957E-4</v>
      </c>
      <c r="E188">
        <f t="shared" si="8"/>
        <v>6.5392806791252957E-4</v>
      </c>
      <c r="G188">
        <f t="shared" ca="1" si="9"/>
        <v>186</v>
      </c>
      <c r="H188">
        <f t="shared" ca="1" si="10"/>
        <v>0.1216306206317305</v>
      </c>
      <c r="I188">
        <f t="shared" ca="1" si="11"/>
        <v>6.9227551744571203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54</v>
      </c>
      <c r="B191" s="66">
        <v>54</v>
      </c>
      <c r="D191">
        <f t="shared" si="8"/>
        <v>3.239643639199688E-4</v>
      </c>
      <c r="E191">
        <f t="shared" si="8"/>
        <v>3.239643639199688E-4</v>
      </c>
      <c r="G191">
        <f t="shared" ca="1" si="9"/>
        <v>189</v>
      </c>
      <c r="H191">
        <f t="shared" ca="1" si="10"/>
        <v>6.1229264780874107E-2</v>
      </c>
      <c r="I191">
        <f t="shared" ca="1" si="11"/>
        <v>3.6325342817013957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71.972894144772127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1.3896159480835786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0.68519116959038717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813</v>
      </c>
      <c r="B8" s="66">
        <v>813</v>
      </c>
      <c r="D8">
        <f t="shared" si="0"/>
        <v>0.82186795523700729</v>
      </c>
      <c r="E8">
        <f t="shared" si="1"/>
        <v>0.82186795523700729</v>
      </c>
      <c r="G8">
        <f t="shared" ca="1" si="2"/>
        <v>6</v>
      </c>
      <c r="H8">
        <f t="shared" ca="1" si="3"/>
        <v>4.9312077314220435</v>
      </c>
      <c r="I8">
        <f t="shared" ca="1" si="4"/>
        <v>3577.1167955982369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3936</v>
      </c>
      <c r="B10" s="66">
        <v>3936</v>
      </c>
      <c r="D10">
        <f t="shared" si="0"/>
        <v>3.9789326836566552</v>
      </c>
      <c r="E10">
        <f t="shared" si="1"/>
        <v>3.9789326836566552</v>
      </c>
      <c r="G10">
        <f t="shared" ca="1" si="2"/>
        <v>8</v>
      </c>
      <c r="H10">
        <f t="shared" ca="1" si="3"/>
        <v>31.831461469253242</v>
      </c>
      <c r="I10">
        <f t="shared" ca="1" si="4"/>
        <v>16283.90609190804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4981</v>
      </c>
      <c r="B13" s="66">
        <v>4981</v>
      </c>
      <c r="D13">
        <f t="shared" si="0"/>
        <v>5.0353312239059456</v>
      </c>
      <c r="E13">
        <f t="shared" si="1"/>
        <v>5.0353312239059456</v>
      </c>
      <c r="G13">
        <f t="shared" ca="1" si="2"/>
        <v>11</v>
      </c>
      <c r="H13">
        <f t="shared" ca="1" si="3"/>
        <v>55.388643462965405</v>
      </c>
      <c r="I13">
        <f t="shared" ca="1" si="4"/>
        <v>18719.819774729869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6132</v>
      </c>
      <c r="B15" s="66">
        <v>6132</v>
      </c>
      <c r="D15">
        <f t="shared" si="0"/>
        <v>6.1988859797211919</v>
      </c>
      <c r="E15">
        <f t="shared" si="1"/>
        <v>6.1988859797211919</v>
      </c>
      <c r="G15">
        <f t="shared" ca="1" si="2"/>
        <v>13</v>
      </c>
      <c r="H15">
        <f t="shared" ca="1" si="3"/>
        <v>80.585517736375493</v>
      </c>
      <c r="I15">
        <f t="shared" ca="1" si="4"/>
        <v>21558.499569399803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16899</v>
      </c>
      <c r="B18" s="66">
        <v>16899</v>
      </c>
      <c r="D18">
        <f t="shared" si="0"/>
        <v>17.083329121217943</v>
      </c>
      <c r="E18">
        <f t="shared" si="1"/>
        <v>17.083329121217943</v>
      </c>
      <c r="G18">
        <f t="shared" ca="1" si="2"/>
        <v>16</v>
      </c>
      <c r="H18">
        <f t="shared" ca="1" si="3"/>
        <v>273.33326593948709</v>
      </c>
      <c r="I18">
        <f t="shared" ca="1" si="4"/>
        <v>53521.47015218062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35307</v>
      </c>
      <c r="B21" s="66">
        <v>35307</v>
      </c>
      <c r="D21">
        <f t="shared" si="0"/>
        <v>35.692117952709737</v>
      </c>
      <c r="E21">
        <f t="shared" si="1"/>
        <v>35.692117952709737</v>
      </c>
      <c r="G21">
        <f t="shared" ca="1" si="2"/>
        <v>19</v>
      </c>
      <c r="H21">
        <f t="shared" ca="1" si="3"/>
        <v>678.15024110148499</v>
      </c>
      <c r="I21">
        <f t="shared" ca="1" si="4"/>
        <v>100156.634222646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44399</v>
      </c>
      <c r="B23" s="66">
        <v>44399</v>
      </c>
      <c r="D23">
        <f t="shared" si="0"/>
        <v>44.883290706725568</v>
      </c>
      <c r="E23">
        <f t="shared" si="1"/>
        <v>44.883290706725568</v>
      </c>
      <c r="G23">
        <f t="shared" ca="1" si="2"/>
        <v>21</v>
      </c>
      <c r="H23">
        <f t="shared" ca="1" si="3"/>
        <v>942.54910484123695</v>
      </c>
      <c r="I23">
        <f t="shared" ca="1" si="4"/>
        <v>116617.37890721134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40501</v>
      </c>
      <c r="B26" s="66">
        <v>40501</v>
      </c>
      <c r="D26">
        <f t="shared" si="0"/>
        <v>40.942772515441618</v>
      </c>
      <c r="E26">
        <f t="shared" si="1"/>
        <v>40.942772515441618</v>
      </c>
      <c r="G26">
        <f t="shared" ca="1" si="2"/>
        <v>24</v>
      </c>
      <c r="H26">
        <f t="shared" ca="1" si="3"/>
        <v>982.62654037059883</v>
      </c>
      <c r="I26">
        <f t="shared" ca="1" si="4"/>
        <v>94225.638226368377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45219</v>
      </c>
      <c r="B28" s="66">
        <v>45219</v>
      </c>
      <c r="D28">
        <f t="shared" si="0"/>
        <v>45.712235015820703</v>
      </c>
      <c r="E28">
        <f t="shared" si="1"/>
        <v>45.712235015820703</v>
      </c>
      <c r="G28">
        <f t="shared" ca="1" si="2"/>
        <v>26</v>
      </c>
      <c r="H28">
        <f t="shared" ca="1" si="3"/>
        <v>1188.5181104113383</v>
      </c>
      <c r="I28">
        <f t="shared" ca="1" si="4"/>
        <v>96613.128510855342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56003</v>
      </c>
      <c r="B31" s="66">
        <v>56003</v>
      </c>
      <c r="D31">
        <f t="shared" si="0"/>
        <v>56.61386358811577</v>
      </c>
      <c r="E31">
        <f t="shared" si="1"/>
        <v>56.61386358811577</v>
      </c>
      <c r="G31">
        <f t="shared" ca="1" si="2"/>
        <v>29</v>
      </c>
      <c r="H31">
        <f t="shared" ca="1" si="3"/>
        <v>1641.8020440553573</v>
      </c>
      <c r="I31">
        <f t="shared" ca="1" si="4"/>
        <v>104547.10259181549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57795</v>
      </c>
      <c r="B33" s="66">
        <v>57795</v>
      </c>
      <c r="D33">
        <f t="shared" si="0"/>
        <v>58.425410175796848</v>
      </c>
      <c r="E33">
        <f t="shared" si="1"/>
        <v>58.425410175796848</v>
      </c>
      <c r="G33">
        <f t="shared" ca="1" si="2"/>
        <v>31</v>
      </c>
      <c r="H33">
        <f t="shared" ca="1" si="3"/>
        <v>1811.1877154497024</v>
      </c>
      <c r="I33">
        <f t="shared" ca="1" si="4"/>
        <v>98083.296434055446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54190</v>
      </c>
      <c r="B36" s="66">
        <v>54190</v>
      </c>
      <c r="D36">
        <f t="shared" si="0"/>
        <v>54.781087938860303</v>
      </c>
      <c r="E36">
        <f t="shared" si="1"/>
        <v>54.781087938860303</v>
      </c>
      <c r="G36">
        <f t="shared" ca="1" si="2"/>
        <v>34</v>
      </c>
      <c r="H36">
        <f t="shared" ca="1" si="3"/>
        <v>1862.5569899212503</v>
      </c>
      <c r="I36">
        <f t="shared" ca="1" si="4"/>
        <v>78991.079726723809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55664</v>
      </c>
      <c r="B39" s="66">
        <v>55664</v>
      </c>
      <c r="D39">
        <f t="shared" si="0"/>
        <v>56.271165879843508</v>
      </c>
      <c r="E39">
        <f t="shared" si="1"/>
        <v>56.271165879843508</v>
      </c>
      <c r="G39">
        <f t="shared" ca="1" si="2"/>
        <v>37</v>
      </c>
      <c r="H39">
        <f t="shared" ca="1" si="3"/>
        <v>2082.0331375542096</v>
      </c>
      <c r="I39">
        <f t="shared" ca="1" si="4"/>
        <v>68825.450081466013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65316</v>
      </c>
      <c r="B41" s="66">
        <v>65316</v>
      </c>
      <c r="D41">
        <f t="shared" si="0"/>
        <v>66.028446942509674</v>
      </c>
      <c r="E41">
        <f t="shared" si="1"/>
        <v>66.028446942509674</v>
      </c>
      <c r="G41">
        <f t="shared" ca="1" si="2"/>
        <v>39</v>
      </c>
      <c r="H41">
        <f t="shared" ca="1" si="3"/>
        <v>2575.1094307578774</v>
      </c>
      <c r="I41">
        <f t="shared" ca="1" si="4"/>
        <v>71786.903236734201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62334</v>
      </c>
      <c r="B44" s="66">
        <v>62334</v>
      </c>
      <c r="D44">
        <f t="shared" si="0"/>
        <v>63.013920198946636</v>
      </c>
      <c r="E44">
        <f t="shared" si="1"/>
        <v>63.013920198946636</v>
      </c>
      <c r="G44">
        <f t="shared" ca="1" si="2"/>
        <v>42</v>
      </c>
      <c r="H44">
        <f t="shared" ca="1" si="3"/>
        <v>2646.5846483557589</v>
      </c>
      <c r="I44">
        <f t="shared" ca="1" si="4"/>
        <v>56610.091705209743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66908</v>
      </c>
      <c r="B46" s="66">
        <v>66908</v>
      </c>
      <c r="D46">
        <f t="shared" si="0"/>
        <v>67.637811991387068</v>
      </c>
      <c r="E46">
        <f t="shared" si="1"/>
        <v>67.637811991387068</v>
      </c>
      <c r="G46">
        <f t="shared" ca="1" si="2"/>
        <v>44</v>
      </c>
      <c r="H46">
        <f t="shared" ca="1" si="3"/>
        <v>2976.0637276210309</v>
      </c>
      <c r="I46">
        <f t="shared" ca="1" si="4"/>
        <v>52925.42497517333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72296</v>
      </c>
      <c r="B49" s="66">
        <v>72296</v>
      </c>
      <c r="D49">
        <f t="shared" si="0"/>
        <v>73.08458264675852</v>
      </c>
      <c r="E49">
        <f t="shared" si="1"/>
        <v>73.08458264675852</v>
      </c>
      <c r="G49">
        <f t="shared" ca="1" si="2"/>
        <v>47</v>
      </c>
      <c r="H49">
        <f t="shared" ca="1" si="3"/>
        <v>3434.9753843976505</v>
      </c>
      <c r="I49">
        <f t="shared" ca="1" si="4"/>
        <v>45578.866845637931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76511</v>
      </c>
      <c r="B51" s="66">
        <v>76511</v>
      </c>
      <c r="D51">
        <f t="shared" si="0"/>
        <v>77.345558577046333</v>
      </c>
      <c r="E51">
        <f t="shared" si="1"/>
        <v>77.345558577046333</v>
      </c>
      <c r="G51">
        <f t="shared" ca="1" si="2"/>
        <v>49</v>
      </c>
      <c r="H51">
        <f t="shared" ca="1" si="3"/>
        <v>3789.9323702752704</v>
      </c>
      <c r="I51">
        <f t="shared" ca="1" si="4"/>
        <v>40819.417509545521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85734</v>
      </c>
      <c r="B54" s="66">
        <v>85734</v>
      </c>
      <c r="D54">
        <f t="shared" si="0"/>
        <v>86.669160238978577</v>
      </c>
      <c r="E54">
        <f t="shared" si="1"/>
        <v>86.669160238978577</v>
      </c>
      <c r="G54">
        <f t="shared" ca="1" si="2"/>
        <v>52</v>
      </c>
      <c r="H54">
        <f t="shared" ca="1" si="3"/>
        <v>4506.7963324268858</v>
      </c>
      <c r="I54">
        <f t="shared" ca="1" si="4"/>
        <v>34573.758105390756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98921</v>
      </c>
      <c r="B57" s="66">
        <v>98921</v>
      </c>
      <c r="D57">
        <f t="shared" si="0"/>
        <v>100</v>
      </c>
      <c r="E57">
        <f t="shared" si="1"/>
        <v>100</v>
      </c>
      <c r="G57">
        <f t="shared" ca="1" si="2"/>
        <v>55</v>
      </c>
      <c r="H57">
        <f t="shared" ca="1" si="3"/>
        <v>5500</v>
      </c>
      <c r="I57">
        <f t="shared" ca="1" si="4"/>
        <v>28807.913564963997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86897</v>
      </c>
      <c r="B59" s="66">
        <v>86897</v>
      </c>
      <c r="D59">
        <f t="shared" si="0"/>
        <v>87.844845887122048</v>
      </c>
      <c r="E59">
        <f t="shared" si="1"/>
        <v>87.844845887122048</v>
      </c>
      <c r="G59">
        <f t="shared" ca="1" si="2"/>
        <v>57</v>
      </c>
      <c r="H59">
        <f t="shared" ca="1" si="3"/>
        <v>5007.1562155659567</v>
      </c>
      <c r="I59">
        <f t="shared" ca="1" si="4"/>
        <v>19693.721576362663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81182</v>
      </c>
      <c r="B62" s="66">
        <v>81182</v>
      </c>
      <c r="D62">
        <f t="shared" si="0"/>
        <v>82.067508415806557</v>
      </c>
      <c r="E62">
        <f t="shared" si="1"/>
        <v>82.067508415806557</v>
      </c>
      <c r="G62">
        <f t="shared" ca="1" si="2"/>
        <v>60</v>
      </c>
      <c r="H62">
        <f t="shared" ca="1" si="3"/>
        <v>4924.0505049483936</v>
      </c>
      <c r="I62">
        <f t="shared" ca="1" si="4"/>
        <v>11764.393269073465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69765</v>
      </c>
      <c r="B64" s="66">
        <v>69765</v>
      </c>
      <c r="D64">
        <f t="shared" si="0"/>
        <v>70.525975273197801</v>
      </c>
      <c r="E64">
        <f t="shared" si="1"/>
        <v>70.525975273197801</v>
      </c>
      <c r="G64">
        <f t="shared" ca="1" si="2"/>
        <v>62</v>
      </c>
      <c r="H64">
        <f t="shared" ca="1" si="3"/>
        <v>4372.6104669382639</v>
      </c>
      <c r="I64">
        <f t="shared" ca="1" si="4"/>
        <v>7014.4160071741562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71753</v>
      </c>
      <c r="B67" s="66">
        <v>71753</v>
      </c>
      <c r="D67">
        <f t="shared" ref="D67:D130" si="5">IFERROR( 100*A67/MAX(A$2:A$257), 0 )</f>
        <v>72.535659768906498</v>
      </c>
      <c r="E67">
        <f t="shared" ref="E67:E130" si="6">IFERROR( 100*B67/MAX(B$2:B$257), 0 )</f>
        <v>72.535659768906498</v>
      </c>
      <c r="G67">
        <f t="shared" ref="G67:G130" ca="1" si="7">CELL("row",D67)-2</f>
        <v>65</v>
      </c>
      <c r="H67">
        <f t="shared" ref="H67:H130" ca="1" si="8">D67*G67</f>
        <v>4714.8178849789219</v>
      </c>
      <c r="I67">
        <f t="shared" ref="I67:I130" ca="1" si="9">D67*((G67-$L$1)^2)</f>
        <v>3526.7746473164716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72281</v>
      </c>
      <c r="B69" s="66">
        <v>72281</v>
      </c>
      <c r="D69">
        <f t="shared" si="5"/>
        <v>73.069419031348247</v>
      </c>
      <c r="E69">
        <f t="shared" si="6"/>
        <v>73.069419031348247</v>
      </c>
      <c r="G69">
        <f t="shared" ca="1" si="7"/>
        <v>67</v>
      </c>
      <c r="H69">
        <f t="shared" ca="1" si="8"/>
        <v>4895.6510751003325</v>
      </c>
      <c r="I69">
        <f t="shared" ca="1" si="9"/>
        <v>1806.9830709485818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62788</v>
      </c>
      <c r="B72" s="66">
        <v>62788</v>
      </c>
      <c r="D72">
        <f t="shared" si="5"/>
        <v>63.472872292031013</v>
      </c>
      <c r="E72">
        <f t="shared" si="6"/>
        <v>63.472872292031013</v>
      </c>
      <c r="G72">
        <f t="shared" ca="1" si="7"/>
        <v>70</v>
      </c>
      <c r="H72">
        <f t="shared" ca="1" si="8"/>
        <v>4443.1010604421708</v>
      </c>
      <c r="I72">
        <f t="shared" ca="1" si="9"/>
        <v>247.05617847678855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60936</v>
      </c>
      <c r="B75" s="66">
        <v>60936</v>
      </c>
      <c r="D75">
        <f t="shared" si="5"/>
        <v>61.600671242708827</v>
      </c>
      <c r="E75">
        <f t="shared" si="6"/>
        <v>61.600671242708827</v>
      </c>
      <c r="G75">
        <f t="shared" ca="1" si="7"/>
        <v>73</v>
      </c>
      <c r="H75">
        <f t="shared" ca="1" si="8"/>
        <v>4496.8490007177443</v>
      </c>
      <c r="I75">
        <f t="shared" ca="1" si="9"/>
        <v>64.985408696256854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55442</v>
      </c>
      <c r="B77" s="66">
        <v>55442</v>
      </c>
      <c r="D77">
        <f t="shared" si="5"/>
        <v>56.04674437177141</v>
      </c>
      <c r="E77">
        <f t="shared" si="6"/>
        <v>56.04674437177141</v>
      </c>
      <c r="G77">
        <f t="shared" ca="1" si="7"/>
        <v>75</v>
      </c>
      <c r="H77">
        <f t="shared" ca="1" si="8"/>
        <v>4203.5058278828556</v>
      </c>
      <c r="I77">
        <f t="shared" ca="1" si="9"/>
        <v>513.57704805762944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60094</v>
      </c>
      <c r="B80" s="66">
        <v>60094</v>
      </c>
      <c r="D80">
        <f t="shared" si="5"/>
        <v>60.749486964345287</v>
      </c>
      <c r="E80">
        <f t="shared" si="6"/>
        <v>60.749486964345287</v>
      </c>
      <c r="G80">
        <f t="shared" ca="1" si="7"/>
        <v>78</v>
      </c>
      <c r="H80">
        <f t="shared" ca="1" si="8"/>
        <v>4738.4599832189324</v>
      </c>
      <c r="I80">
        <f t="shared" ca="1" si="9"/>
        <v>2206.7861666141653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52091</v>
      </c>
      <c r="B82" s="66">
        <v>52091</v>
      </c>
      <c r="D82">
        <f t="shared" si="5"/>
        <v>52.659192689115557</v>
      </c>
      <c r="E82">
        <f t="shared" si="6"/>
        <v>52.659192689115557</v>
      </c>
      <c r="G82">
        <f t="shared" ca="1" si="7"/>
        <v>80</v>
      </c>
      <c r="H82">
        <f t="shared" ca="1" si="8"/>
        <v>4212.7354151292448</v>
      </c>
      <c r="I82">
        <f t="shared" ca="1" si="9"/>
        <v>3393.0649815096408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48273</v>
      </c>
      <c r="B85" s="66">
        <v>48273</v>
      </c>
      <c r="D85">
        <f t="shared" si="5"/>
        <v>48.799547113353078</v>
      </c>
      <c r="E85">
        <f t="shared" si="6"/>
        <v>48.799547113353078</v>
      </c>
      <c r="G85">
        <f t="shared" ca="1" si="7"/>
        <v>83</v>
      </c>
      <c r="H85">
        <f t="shared" ca="1" si="8"/>
        <v>4050.3624104083055</v>
      </c>
      <c r="I85">
        <f t="shared" ca="1" si="9"/>
        <v>5933.8816311827777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47611</v>
      </c>
      <c r="B88" s="66">
        <v>47611</v>
      </c>
      <c r="D88">
        <f t="shared" si="5"/>
        <v>48.13032621991286</v>
      </c>
      <c r="E88">
        <f t="shared" si="6"/>
        <v>48.13032621991286</v>
      </c>
      <c r="G88">
        <f t="shared" ca="1" si="7"/>
        <v>86</v>
      </c>
      <c r="H88">
        <f t="shared" ca="1" si="8"/>
        <v>4139.2080549125058</v>
      </c>
      <c r="I88">
        <f t="shared" ca="1" si="9"/>
        <v>9470.1084841002121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38546</v>
      </c>
      <c r="B90" s="66">
        <v>38546</v>
      </c>
      <c r="D90">
        <f t="shared" si="5"/>
        <v>38.966447973635525</v>
      </c>
      <c r="E90">
        <f t="shared" si="6"/>
        <v>38.966447973635525</v>
      </c>
      <c r="G90">
        <f t="shared" ca="1" si="7"/>
        <v>88</v>
      </c>
      <c r="H90">
        <f t="shared" ca="1" si="8"/>
        <v>3429.0474216799262</v>
      </c>
      <c r="I90">
        <f t="shared" ca="1" si="9"/>
        <v>10009.23831568779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40038</v>
      </c>
      <c r="B93" s="66">
        <v>40038</v>
      </c>
      <c r="D93">
        <f t="shared" si="5"/>
        <v>40.474722253111068</v>
      </c>
      <c r="E93">
        <f t="shared" si="6"/>
        <v>40.474722253111068</v>
      </c>
      <c r="G93">
        <f t="shared" ca="1" si="7"/>
        <v>91</v>
      </c>
      <c r="H93">
        <f t="shared" ca="1" si="8"/>
        <v>3683.1997250331074</v>
      </c>
      <c r="I93">
        <f t="shared" ca="1" si="9"/>
        <v>14653.094345807729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37794</v>
      </c>
      <c r="B95" s="66">
        <v>37794</v>
      </c>
      <c r="D95">
        <f t="shared" si="5"/>
        <v>38.206245387733645</v>
      </c>
      <c r="E95">
        <f t="shared" si="6"/>
        <v>38.206245387733645</v>
      </c>
      <c r="G95">
        <f t="shared" ca="1" si="7"/>
        <v>93</v>
      </c>
      <c r="H95">
        <f t="shared" ca="1" si="8"/>
        <v>3553.1808210592289</v>
      </c>
      <c r="I95">
        <f t="shared" ca="1" si="9"/>
        <v>16892.478031329185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36554</v>
      </c>
      <c r="B98" s="66">
        <v>36554</v>
      </c>
      <c r="D98">
        <f t="shared" si="5"/>
        <v>36.952719847150753</v>
      </c>
      <c r="E98">
        <f t="shared" si="6"/>
        <v>36.952719847150753</v>
      </c>
      <c r="G98">
        <f t="shared" ca="1" si="7"/>
        <v>96</v>
      </c>
      <c r="H98">
        <f t="shared" ca="1" si="8"/>
        <v>3547.4611053264725</v>
      </c>
      <c r="I98">
        <f t="shared" ca="1" si="9"/>
        <v>21332.872265707902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33984</v>
      </c>
      <c r="B100" s="66">
        <v>33984</v>
      </c>
      <c r="D100">
        <f t="shared" si="5"/>
        <v>34.354687073523316</v>
      </c>
      <c r="E100">
        <f t="shared" si="6"/>
        <v>34.354687073523316</v>
      </c>
      <c r="G100">
        <f t="shared" ca="1" si="7"/>
        <v>98</v>
      </c>
      <c r="H100">
        <f t="shared" ca="1" si="8"/>
        <v>3366.7593332052847</v>
      </c>
      <c r="I100">
        <f t="shared" ca="1" si="9"/>
        <v>23272.216788090365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35048</v>
      </c>
      <c r="B103" s="66">
        <v>35048</v>
      </c>
      <c r="D103">
        <f t="shared" si="5"/>
        <v>35.430292859958961</v>
      </c>
      <c r="E103">
        <f t="shared" si="6"/>
        <v>35.430292859958961</v>
      </c>
      <c r="G103">
        <f t="shared" ca="1" si="7"/>
        <v>101</v>
      </c>
      <c r="H103">
        <f t="shared" ca="1" si="8"/>
        <v>3578.4595788558549</v>
      </c>
      <c r="I103">
        <f t="shared" ca="1" si="9"/>
        <v>29852.603693390705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33741</v>
      </c>
      <c r="B106" s="66">
        <v>33741</v>
      </c>
      <c r="D106">
        <f t="shared" si="5"/>
        <v>34.10903650387683</v>
      </c>
      <c r="E106">
        <f t="shared" si="6"/>
        <v>34.10903650387683</v>
      </c>
      <c r="G106">
        <f t="shared" ca="1" si="7"/>
        <v>104</v>
      </c>
      <c r="H106">
        <f t="shared" ca="1" si="8"/>
        <v>3547.3397964031901</v>
      </c>
      <c r="I106">
        <f t="shared" ca="1" si="9"/>
        <v>34986.849935561084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31839</v>
      </c>
      <c r="B108" s="66">
        <v>31839</v>
      </c>
      <c r="D108">
        <f t="shared" si="5"/>
        <v>32.186290069853719</v>
      </c>
      <c r="E108">
        <f t="shared" si="6"/>
        <v>32.186290069853719</v>
      </c>
      <c r="G108">
        <f t="shared" ca="1" si="7"/>
        <v>106</v>
      </c>
      <c r="H108">
        <f t="shared" ca="1" si="8"/>
        <v>3411.7467474044943</v>
      </c>
      <c r="I108">
        <f t="shared" ca="1" si="9"/>
        <v>37266.700679388719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33185</v>
      </c>
      <c r="B111" s="66">
        <v>33185</v>
      </c>
      <c r="D111">
        <f t="shared" si="5"/>
        <v>33.546971826002569</v>
      </c>
      <c r="E111">
        <f t="shared" si="6"/>
        <v>33.546971826002569</v>
      </c>
      <c r="G111">
        <f t="shared" ca="1" si="7"/>
        <v>109</v>
      </c>
      <c r="H111">
        <f t="shared" ca="1" si="8"/>
        <v>3656.6199290342802</v>
      </c>
      <c r="I111">
        <f t="shared" ca="1" si="9"/>
        <v>45993.118710438524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28714</v>
      </c>
      <c r="B113" s="66">
        <v>28714</v>
      </c>
      <c r="D113">
        <f t="shared" si="5"/>
        <v>29.027203526046037</v>
      </c>
      <c r="E113">
        <f t="shared" si="6"/>
        <v>29.027203526046037</v>
      </c>
      <c r="G113">
        <f t="shared" ca="1" si="7"/>
        <v>111</v>
      </c>
      <c r="H113">
        <f t="shared" ca="1" si="8"/>
        <v>3222.0195913911102</v>
      </c>
      <c r="I113">
        <f t="shared" ca="1" si="9"/>
        <v>44211.76884996031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31254</v>
      </c>
      <c r="B116" s="66">
        <v>31254</v>
      </c>
      <c r="D116">
        <f t="shared" si="5"/>
        <v>31.594909068852925</v>
      </c>
      <c r="E116">
        <f t="shared" si="6"/>
        <v>31.594909068852925</v>
      </c>
      <c r="G116">
        <f t="shared" ca="1" si="7"/>
        <v>114</v>
      </c>
      <c r="H116">
        <f t="shared" ca="1" si="8"/>
        <v>3601.8196338492335</v>
      </c>
      <c r="I116">
        <f t="shared" ca="1" si="9"/>
        <v>55805.381001718852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28207</v>
      </c>
      <c r="B118" s="66">
        <v>28207</v>
      </c>
      <c r="D118">
        <f t="shared" si="5"/>
        <v>28.514673325178677</v>
      </c>
      <c r="E118">
        <f t="shared" si="6"/>
        <v>28.514673325178677</v>
      </c>
      <c r="G118">
        <f t="shared" ca="1" si="7"/>
        <v>116</v>
      </c>
      <c r="H118">
        <f t="shared" ca="1" si="8"/>
        <v>3307.7021057207266</v>
      </c>
      <c r="I118">
        <f t="shared" ca="1" si="9"/>
        <v>55272.444993475328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25571</v>
      </c>
      <c r="B121" s="66">
        <v>25571</v>
      </c>
      <c r="D121">
        <f t="shared" si="5"/>
        <v>25.849920643746021</v>
      </c>
      <c r="E121">
        <f t="shared" si="6"/>
        <v>25.849920643746021</v>
      </c>
      <c r="G121">
        <f t="shared" ca="1" si="7"/>
        <v>119</v>
      </c>
      <c r="H121">
        <f t="shared" ca="1" si="8"/>
        <v>3076.1405566057765</v>
      </c>
      <c r="I121">
        <f t="shared" ca="1" si="9"/>
        <v>57168.358010102027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24507</v>
      </c>
      <c r="B124" s="66">
        <v>24507</v>
      </c>
      <c r="D124">
        <f t="shared" si="5"/>
        <v>24.77431485731038</v>
      </c>
      <c r="E124">
        <f t="shared" si="6"/>
        <v>24.77431485731038</v>
      </c>
      <c r="G124">
        <f t="shared" ca="1" si="7"/>
        <v>122</v>
      </c>
      <c r="H124">
        <f t="shared" ca="1" si="8"/>
        <v>3022.4664125918662</v>
      </c>
      <c r="I124">
        <f t="shared" ca="1" si="9"/>
        <v>62002.958244832786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24146</v>
      </c>
      <c r="B126" s="66">
        <v>24146</v>
      </c>
      <c r="D126">
        <f t="shared" si="5"/>
        <v>24.409377179769717</v>
      </c>
      <c r="E126">
        <f t="shared" si="6"/>
        <v>24.409377179769717</v>
      </c>
      <c r="G126">
        <f t="shared" ca="1" si="7"/>
        <v>124</v>
      </c>
      <c r="H126">
        <f t="shared" ca="1" si="8"/>
        <v>3026.7627702914447</v>
      </c>
      <c r="I126">
        <f t="shared" ca="1" si="9"/>
        <v>66071.784080915138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22441</v>
      </c>
      <c r="B129" s="66">
        <v>22441</v>
      </c>
      <c r="D129">
        <f t="shared" si="5"/>
        <v>22.685779561468241</v>
      </c>
      <c r="E129">
        <f t="shared" si="6"/>
        <v>22.685779561468241</v>
      </c>
      <c r="G129">
        <f t="shared" ca="1" si="7"/>
        <v>127</v>
      </c>
      <c r="H129">
        <f t="shared" ca="1" si="8"/>
        <v>2881.0940043064666</v>
      </c>
      <c r="I129">
        <f t="shared" ca="1" si="9"/>
        <v>68692.140761522693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25116</v>
      </c>
      <c r="B131" s="66">
        <v>25116</v>
      </c>
      <c r="D131">
        <f t="shared" ref="D131:D194" si="10">IFERROR( 100*A131/MAX(A$2:A$257), 0 )</f>
        <v>25.389957642967619</v>
      </c>
      <c r="E131">
        <f t="shared" ref="E131:E194" si="11">IFERROR( 100*B131/MAX(B$2:B$257), 0 )</f>
        <v>25.389957642967619</v>
      </c>
      <c r="G131">
        <f t="shared" ref="G131:G194" ca="1" si="12">CELL("row",D131)-2</f>
        <v>129</v>
      </c>
      <c r="H131">
        <f t="shared" ref="H131:H194" ca="1" si="13">D131*G131</f>
        <v>3275.3045359428229</v>
      </c>
      <c r="I131">
        <f t="shared" ref="I131:I194" ca="1" si="14">D131*((G131-$L$1)^2)</f>
        <v>82570.447719535834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24761</v>
      </c>
      <c r="B134" s="66">
        <v>24761</v>
      </c>
      <c r="D134">
        <f t="shared" si="10"/>
        <v>25.031085411591068</v>
      </c>
      <c r="E134">
        <f t="shared" si="11"/>
        <v>25.031085411591068</v>
      </c>
      <c r="G134">
        <f t="shared" ca="1" si="12"/>
        <v>132</v>
      </c>
      <c r="H134">
        <f t="shared" ca="1" si="13"/>
        <v>3304.1032743300211</v>
      </c>
      <c r="I134">
        <f t="shared" ca="1" si="14"/>
        <v>90193.344550035414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23830</v>
      </c>
      <c r="B136" s="66">
        <v>23830</v>
      </c>
      <c r="D136">
        <f t="shared" si="10"/>
        <v>24.089930348459884</v>
      </c>
      <c r="E136">
        <f t="shared" si="11"/>
        <v>24.089930348459884</v>
      </c>
      <c r="G136">
        <f t="shared" ca="1" si="12"/>
        <v>134</v>
      </c>
      <c r="H136">
        <f t="shared" ca="1" si="13"/>
        <v>3228.0506666936244</v>
      </c>
      <c r="I136">
        <f t="shared" ca="1" si="14"/>
        <v>92682.679251406269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20387</v>
      </c>
      <c r="B139" s="66">
        <v>20387</v>
      </c>
      <c r="D139">
        <f t="shared" si="10"/>
        <v>20.609375157954329</v>
      </c>
      <c r="E139">
        <f t="shared" si="11"/>
        <v>20.609375157954329</v>
      </c>
      <c r="G139">
        <f t="shared" ca="1" si="12"/>
        <v>137</v>
      </c>
      <c r="H139">
        <f t="shared" ca="1" si="13"/>
        <v>2823.484396639743</v>
      </c>
      <c r="I139">
        <f t="shared" ca="1" si="14"/>
        <v>87147.247700747306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21494</v>
      </c>
      <c r="B142" s="66">
        <v>21494</v>
      </c>
      <c r="D142">
        <f t="shared" si="10"/>
        <v>21.72844997523276</v>
      </c>
      <c r="E142">
        <f t="shared" si="11"/>
        <v>21.72844997523276</v>
      </c>
      <c r="G142">
        <f t="shared" ca="1" si="12"/>
        <v>140</v>
      </c>
      <c r="H142">
        <f t="shared" ca="1" si="13"/>
        <v>3041.9829965325862</v>
      </c>
      <c r="I142">
        <f t="shared" ca="1" si="14"/>
        <v>100552.46832779581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20784</v>
      </c>
      <c r="B144" s="66">
        <v>20784</v>
      </c>
      <c r="D144">
        <f t="shared" si="10"/>
        <v>21.010705512479657</v>
      </c>
      <c r="E144">
        <f t="shared" si="11"/>
        <v>21.010705512479657</v>
      </c>
      <c r="G144">
        <f t="shared" ca="1" si="12"/>
        <v>142</v>
      </c>
      <c r="H144">
        <f t="shared" ca="1" si="13"/>
        <v>2983.5201827721112</v>
      </c>
      <c r="I144">
        <f t="shared" ca="1" si="14"/>
        <v>103032.20428815103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17636</v>
      </c>
      <c r="B147" s="66">
        <v>17636</v>
      </c>
      <c r="D147">
        <f t="shared" si="10"/>
        <v>17.828368091709546</v>
      </c>
      <c r="E147">
        <f t="shared" si="11"/>
        <v>17.828368091709546</v>
      </c>
      <c r="G147">
        <f t="shared" ca="1" si="12"/>
        <v>145</v>
      </c>
      <c r="H147">
        <f t="shared" ca="1" si="13"/>
        <v>2585.1133732978842</v>
      </c>
      <c r="I147">
        <f t="shared" ca="1" si="14"/>
        <v>95077.941621719176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15668</v>
      </c>
      <c r="B149" s="66">
        <v>15668</v>
      </c>
      <c r="D149">
        <f t="shared" si="10"/>
        <v>15.838901749881218</v>
      </c>
      <c r="E149">
        <f t="shared" si="11"/>
        <v>15.838901749881218</v>
      </c>
      <c r="G149">
        <f t="shared" ca="1" si="12"/>
        <v>147</v>
      </c>
      <c r="H149">
        <f t="shared" ca="1" si="13"/>
        <v>2328.3185572325392</v>
      </c>
      <c r="I149">
        <f t="shared" ca="1" si="14"/>
        <v>89158.233027026872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11623</v>
      </c>
      <c r="B152" s="66">
        <v>11623</v>
      </c>
      <c r="D152">
        <f t="shared" si="10"/>
        <v>11.749780127576551</v>
      </c>
      <c r="E152">
        <f t="shared" si="11"/>
        <v>11.749780127576551</v>
      </c>
      <c r="G152">
        <f t="shared" ca="1" si="12"/>
        <v>150</v>
      </c>
      <c r="H152">
        <f t="shared" ca="1" si="13"/>
        <v>1762.4670191364828</v>
      </c>
      <c r="I152">
        <f t="shared" ca="1" si="14"/>
        <v>71535.355031960193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10107</v>
      </c>
      <c r="B154" s="66">
        <v>10107</v>
      </c>
      <c r="D154">
        <f t="shared" si="10"/>
        <v>10.217244063444566</v>
      </c>
      <c r="E154">
        <f t="shared" si="11"/>
        <v>10.217244063444566</v>
      </c>
      <c r="G154">
        <f t="shared" ca="1" si="12"/>
        <v>152</v>
      </c>
      <c r="H154">
        <f t="shared" ca="1" si="13"/>
        <v>1553.021097643574</v>
      </c>
      <c r="I154">
        <f t="shared" ca="1" si="14"/>
        <v>65434.681055080109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8165</v>
      </c>
      <c r="B157" s="66">
        <v>8165</v>
      </c>
      <c r="D157">
        <f t="shared" si="10"/>
        <v>8.2540613216607195</v>
      </c>
      <c r="E157">
        <f t="shared" si="11"/>
        <v>8.2540613216607195</v>
      </c>
      <c r="G157">
        <f t="shared" ca="1" si="12"/>
        <v>155</v>
      </c>
      <c r="H157">
        <f t="shared" ca="1" si="13"/>
        <v>1279.3795048574116</v>
      </c>
      <c r="I157">
        <f t="shared" ca="1" si="14"/>
        <v>56899.374252349284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7564</v>
      </c>
      <c r="B160" s="66">
        <v>7564</v>
      </c>
      <c r="D160">
        <f t="shared" si="10"/>
        <v>7.6465057975556254</v>
      </c>
      <c r="E160">
        <f t="shared" si="11"/>
        <v>7.6465057975556254</v>
      </c>
      <c r="G160">
        <f t="shared" ca="1" si="12"/>
        <v>158</v>
      </c>
      <c r="H160">
        <f t="shared" ca="1" si="13"/>
        <v>1208.1479160137887</v>
      </c>
      <c r="I160">
        <f t="shared" ca="1" si="14"/>
        <v>56589.212090432033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4955</v>
      </c>
      <c r="B162" s="66">
        <v>4955</v>
      </c>
      <c r="D162">
        <f t="shared" si="10"/>
        <v>5.0090476238614654</v>
      </c>
      <c r="E162">
        <f t="shared" si="11"/>
        <v>5.0090476238614654</v>
      </c>
      <c r="G162">
        <f t="shared" ca="1" si="12"/>
        <v>160</v>
      </c>
      <c r="H162">
        <f t="shared" ca="1" si="13"/>
        <v>801.44761981783449</v>
      </c>
      <c r="I162">
        <f t="shared" ca="1" si="14"/>
        <v>38813.964794938722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5880</v>
      </c>
      <c r="B165" s="66">
        <v>5880</v>
      </c>
      <c r="D165">
        <f t="shared" si="10"/>
        <v>5.9441372408285398</v>
      </c>
      <c r="E165">
        <f t="shared" si="11"/>
        <v>5.9441372408285398</v>
      </c>
      <c r="G165">
        <f t="shared" ca="1" si="12"/>
        <v>163</v>
      </c>
      <c r="H165">
        <f t="shared" ca="1" si="13"/>
        <v>968.89437025505197</v>
      </c>
      <c r="I165">
        <f t="shared" ca="1" si="14"/>
        <v>49252.728866699385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3986</v>
      </c>
      <c r="B167" s="66">
        <v>3986</v>
      </c>
      <c r="D167">
        <f t="shared" si="10"/>
        <v>4.0294780683575784</v>
      </c>
      <c r="E167">
        <f t="shared" si="11"/>
        <v>4.0294780683575784</v>
      </c>
      <c r="G167">
        <f t="shared" ca="1" si="12"/>
        <v>165</v>
      </c>
      <c r="H167">
        <f t="shared" ca="1" si="13"/>
        <v>664.86388127900045</v>
      </c>
      <c r="I167">
        <f t="shared" ca="1" si="14"/>
        <v>34871.274149337245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3952</v>
      </c>
      <c r="B170" s="66">
        <v>3952</v>
      </c>
      <c r="D170">
        <f t="shared" si="10"/>
        <v>3.9951072067609505</v>
      </c>
      <c r="E170">
        <f t="shared" si="11"/>
        <v>3.9951072067609505</v>
      </c>
      <c r="G170">
        <f t="shared" ca="1" si="12"/>
        <v>168</v>
      </c>
      <c r="H170">
        <f t="shared" ca="1" si="13"/>
        <v>671.17801073583973</v>
      </c>
      <c r="I170">
        <f t="shared" ca="1" si="14"/>
        <v>36839.702785956324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2165</v>
      </c>
      <c r="B173" s="66">
        <v>2165</v>
      </c>
      <c r="D173">
        <f t="shared" si="10"/>
        <v>2.1886151575499642</v>
      </c>
      <c r="E173">
        <f t="shared" si="11"/>
        <v>2.1886151575499642</v>
      </c>
      <c r="G173">
        <f t="shared" ca="1" si="12"/>
        <v>171</v>
      </c>
      <c r="H173">
        <f t="shared" ca="1" si="13"/>
        <v>374.25319194104389</v>
      </c>
      <c r="I173">
        <f t="shared" ca="1" si="14"/>
        <v>21462.36497573349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1507</v>
      </c>
      <c r="B175" s="66">
        <v>1507</v>
      </c>
      <c r="D175">
        <f t="shared" si="10"/>
        <v>1.523437894885818</v>
      </c>
      <c r="E175">
        <f t="shared" si="11"/>
        <v>1.523437894885818</v>
      </c>
      <c r="G175">
        <f t="shared" ca="1" si="12"/>
        <v>173</v>
      </c>
      <c r="H175">
        <f t="shared" ca="1" si="13"/>
        <v>263.55475581524649</v>
      </c>
      <c r="I175">
        <f t="shared" ca="1" si="14"/>
        <v>15548.932490621317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1395</v>
      </c>
      <c r="B178" s="66">
        <v>1395</v>
      </c>
      <c r="D178">
        <f t="shared" si="10"/>
        <v>1.4102162331557506</v>
      </c>
      <c r="E178">
        <f t="shared" si="11"/>
        <v>1.4102162331557506</v>
      </c>
      <c r="G178">
        <f t="shared" ca="1" si="12"/>
        <v>176</v>
      </c>
      <c r="H178">
        <f t="shared" ca="1" si="13"/>
        <v>248.19805703541212</v>
      </c>
      <c r="I178">
        <f t="shared" ca="1" si="14"/>
        <v>15260.850638284717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640</v>
      </c>
      <c r="B180" s="66">
        <v>640</v>
      </c>
      <c r="D180">
        <f t="shared" si="10"/>
        <v>0.64698092417181385</v>
      </c>
      <c r="E180">
        <f t="shared" si="11"/>
        <v>0.64698092417181385</v>
      </c>
      <c r="G180">
        <f t="shared" ca="1" si="12"/>
        <v>178</v>
      </c>
      <c r="H180">
        <f t="shared" ca="1" si="13"/>
        <v>115.16260450258287</v>
      </c>
      <c r="I180">
        <f t="shared" ca="1" si="14"/>
        <v>7273.1959772574537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163</v>
      </c>
      <c r="B183" s="66">
        <v>163</v>
      </c>
      <c r="D183">
        <f t="shared" si="10"/>
        <v>0.16477795412500884</v>
      </c>
      <c r="E183">
        <f t="shared" si="11"/>
        <v>0.16477795412500884</v>
      </c>
      <c r="G183">
        <f t="shared" ca="1" si="12"/>
        <v>181</v>
      </c>
      <c r="H183">
        <f t="shared" ca="1" si="13"/>
        <v>29.824809696626602</v>
      </c>
      <c r="I183">
        <f t="shared" ca="1" si="14"/>
        <v>1958.700679552604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109</v>
      </c>
      <c r="B185" s="66">
        <v>109</v>
      </c>
      <c r="D185">
        <f t="shared" si="10"/>
        <v>0.11018893864801205</v>
      </c>
      <c r="E185">
        <f t="shared" si="11"/>
        <v>0.11018893864801205</v>
      </c>
      <c r="G185">
        <f t="shared" ca="1" si="12"/>
        <v>183</v>
      </c>
      <c r="H185">
        <f t="shared" ca="1" si="13"/>
        <v>20.164575772586204</v>
      </c>
      <c r="I185">
        <f t="shared" ca="1" si="14"/>
        <v>1358.3010559639401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109</v>
      </c>
      <c r="B188" s="66">
        <v>109</v>
      </c>
      <c r="D188">
        <f t="shared" si="10"/>
        <v>0.11018893864801205</v>
      </c>
      <c r="E188">
        <f t="shared" si="11"/>
        <v>0.11018893864801205</v>
      </c>
      <c r="G188">
        <f t="shared" ca="1" si="12"/>
        <v>186</v>
      </c>
      <c r="H188">
        <f t="shared" ca="1" si="13"/>
        <v>20.495142588530239</v>
      </c>
      <c r="I188">
        <f t="shared" ca="1" si="14"/>
        <v>1432.6965101438607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54</v>
      </c>
      <c r="B191" s="66">
        <v>54</v>
      </c>
      <c r="D191">
        <f t="shared" si="10"/>
        <v>5.4589015476996794E-2</v>
      </c>
      <c r="E191">
        <f t="shared" si="11"/>
        <v>5.4589015476996794E-2</v>
      </c>
      <c r="G191">
        <f t="shared" ca="1" si="12"/>
        <v>189</v>
      </c>
      <c r="H191">
        <f t="shared" ca="1" si="13"/>
        <v>10.317323925152394</v>
      </c>
      <c r="I191">
        <f t="shared" ca="1" si="14"/>
        <v>747.61531854908299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92.390977186544973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1.783837886235323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0.59490592302423828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997</v>
      </c>
      <c r="B8" s="66">
        <v>997</v>
      </c>
      <c r="D8">
        <f t="shared" si="0"/>
        <v>0.93230720317190174</v>
      </c>
      <c r="E8">
        <f t="shared" si="1"/>
        <v>0.93230720317190174</v>
      </c>
      <c r="G8">
        <f t="shared" ca="1" si="2"/>
        <v>6</v>
      </c>
      <c r="H8">
        <f t="shared" ca="1" si="3"/>
        <v>5.5938432190314105</v>
      </c>
      <c r="I8">
        <f t="shared" ca="1" si="4"/>
        <v>6958.1824558191074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3539</v>
      </c>
      <c r="B10" s="66">
        <v>3539</v>
      </c>
      <c r="D10">
        <f t="shared" si="0"/>
        <v>3.3093632818709731</v>
      </c>
      <c r="E10">
        <f t="shared" si="1"/>
        <v>3.3093632818709731</v>
      </c>
      <c r="G10">
        <f t="shared" ca="1" si="2"/>
        <v>8</v>
      </c>
      <c r="H10">
        <f t="shared" ca="1" si="3"/>
        <v>26.474906254967784</v>
      </c>
      <c r="I10">
        <f t="shared" ca="1" si="4"/>
        <v>23568.745968205556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3007</v>
      </c>
      <c r="B13" s="66">
        <v>3007</v>
      </c>
      <c r="D13">
        <f t="shared" si="0"/>
        <v>2.8118834101684138</v>
      </c>
      <c r="E13">
        <f t="shared" si="1"/>
        <v>2.8118834101684138</v>
      </c>
      <c r="G13">
        <f t="shared" ca="1" si="2"/>
        <v>11</v>
      </c>
      <c r="H13">
        <f t="shared" ca="1" si="3"/>
        <v>30.930717511852553</v>
      </c>
      <c r="I13">
        <f t="shared" ca="1" si="4"/>
        <v>18627.296814364938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3715</v>
      </c>
      <c r="B15" s="66">
        <v>3715</v>
      </c>
      <c r="D15">
        <f t="shared" si="0"/>
        <v>3.4739430890507674</v>
      </c>
      <c r="E15">
        <f t="shared" si="1"/>
        <v>3.4739430890507674</v>
      </c>
      <c r="G15">
        <f t="shared" ca="1" si="2"/>
        <v>13</v>
      </c>
      <c r="H15">
        <f t="shared" ca="1" si="3"/>
        <v>45.161260157659974</v>
      </c>
      <c r="I15">
        <f t="shared" ca="1" si="4"/>
        <v>21896.010590923033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5228</v>
      </c>
      <c r="B18" s="66">
        <v>5228</v>
      </c>
      <c r="D18">
        <f t="shared" si="0"/>
        <v>4.8887683632725203</v>
      </c>
      <c r="E18">
        <f t="shared" si="1"/>
        <v>4.8887683632725203</v>
      </c>
      <c r="G18">
        <f t="shared" ca="1" si="2"/>
        <v>16</v>
      </c>
      <c r="H18">
        <f t="shared" ca="1" si="3"/>
        <v>78.220293812360325</v>
      </c>
      <c r="I18">
        <f t="shared" ca="1" si="4"/>
        <v>28528.805707696582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6832</v>
      </c>
      <c r="B21" s="66">
        <v>6832</v>
      </c>
      <c r="D21">
        <f t="shared" si="0"/>
        <v>6.3886888787065521</v>
      </c>
      <c r="E21">
        <f t="shared" si="1"/>
        <v>6.3886888787065521</v>
      </c>
      <c r="G21">
        <f t="shared" ca="1" si="2"/>
        <v>19</v>
      </c>
      <c r="H21">
        <f t="shared" ca="1" si="3"/>
        <v>121.38508869542449</v>
      </c>
      <c r="I21">
        <f t="shared" ca="1" si="4"/>
        <v>34410.983043912165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9865</v>
      </c>
      <c r="B23" s="66">
        <v>9865</v>
      </c>
      <c r="D23">
        <f t="shared" si="0"/>
        <v>9.2248852149356182</v>
      </c>
      <c r="E23">
        <f t="shared" si="1"/>
        <v>9.2248852149356182</v>
      </c>
      <c r="G23">
        <f t="shared" ca="1" si="2"/>
        <v>21</v>
      </c>
      <c r="H23">
        <f t="shared" ca="1" si="3"/>
        <v>193.72258951364799</v>
      </c>
      <c r="I23">
        <f t="shared" ca="1" si="4"/>
        <v>47016.210706388811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10070</v>
      </c>
      <c r="B26" s="66">
        <v>10070</v>
      </c>
      <c r="D26">
        <f t="shared" si="0"/>
        <v>9.4165832857984455</v>
      </c>
      <c r="E26">
        <f t="shared" si="1"/>
        <v>9.4165832857984455</v>
      </c>
      <c r="G26">
        <f t="shared" ca="1" si="2"/>
        <v>24</v>
      </c>
      <c r="H26">
        <f t="shared" ca="1" si="3"/>
        <v>225.99799885916269</v>
      </c>
      <c r="I26">
        <f t="shared" ca="1" si="4"/>
        <v>44044.427578846153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10940</v>
      </c>
      <c r="B28" s="66">
        <v>10940</v>
      </c>
      <c r="D28">
        <f t="shared" si="0"/>
        <v>10.230131196289474</v>
      </c>
      <c r="E28">
        <f t="shared" si="1"/>
        <v>10.230131196289474</v>
      </c>
      <c r="G28">
        <f t="shared" ca="1" si="2"/>
        <v>26</v>
      </c>
      <c r="H28">
        <f t="shared" ca="1" si="3"/>
        <v>265.98341110352629</v>
      </c>
      <c r="I28">
        <f t="shared" ca="1" si="4"/>
        <v>45091.982025753583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10392</v>
      </c>
      <c r="B31" s="66">
        <v>10392</v>
      </c>
      <c r="D31">
        <f t="shared" si="0"/>
        <v>9.7176895239342063</v>
      </c>
      <c r="E31">
        <f t="shared" si="1"/>
        <v>9.7176895239342063</v>
      </c>
      <c r="G31">
        <f t="shared" ca="1" si="2"/>
        <v>29</v>
      </c>
      <c r="H31">
        <f t="shared" ca="1" si="3"/>
        <v>281.81299619409197</v>
      </c>
      <c r="I31">
        <f t="shared" ca="1" si="4"/>
        <v>39049.718955860219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14183</v>
      </c>
      <c r="B33" s="66">
        <v>14183</v>
      </c>
      <c r="D33">
        <f t="shared" si="0"/>
        <v>13.262701166085339</v>
      </c>
      <c r="E33">
        <f t="shared" si="1"/>
        <v>13.262701166085339</v>
      </c>
      <c r="G33">
        <f t="shared" ca="1" si="2"/>
        <v>31</v>
      </c>
      <c r="H33">
        <f t="shared" ca="1" si="3"/>
        <v>411.14373614864553</v>
      </c>
      <c r="I33">
        <f t="shared" ca="1" si="4"/>
        <v>49985.158875143359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11600</v>
      </c>
      <c r="B36" s="66">
        <v>11600</v>
      </c>
      <c r="D36">
        <f t="shared" si="0"/>
        <v>10.847305473213702</v>
      </c>
      <c r="E36">
        <f t="shared" si="1"/>
        <v>10.847305473213702</v>
      </c>
      <c r="G36">
        <f t="shared" ca="1" si="2"/>
        <v>34</v>
      </c>
      <c r="H36">
        <f t="shared" ca="1" si="3"/>
        <v>368.80838608926587</v>
      </c>
      <c r="I36">
        <f t="shared" ca="1" si="4"/>
        <v>36983.955446446605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14695</v>
      </c>
      <c r="B39" s="66">
        <v>14695</v>
      </c>
      <c r="D39">
        <f t="shared" si="0"/>
        <v>13.741478786972012</v>
      </c>
      <c r="E39">
        <f t="shared" si="1"/>
        <v>13.741478786972012</v>
      </c>
      <c r="G39">
        <f t="shared" ca="1" si="2"/>
        <v>37</v>
      </c>
      <c r="H39">
        <f t="shared" ca="1" si="3"/>
        <v>508.43471511796446</v>
      </c>
      <c r="I39">
        <f t="shared" ca="1" si="4"/>
        <v>42161.060415127009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20099</v>
      </c>
      <c r="B41" s="66">
        <v>20099</v>
      </c>
      <c r="D41">
        <f t="shared" si="0"/>
        <v>18.794826957424327</v>
      </c>
      <c r="E41">
        <f t="shared" si="1"/>
        <v>18.794826957424327</v>
      </c>
      <c r="G41">
        <f t="shared" ca="1" si="2"/>
        <v>39</v>
      </c>
      <c r="H41">
        <f t="shared" ca="1" si="3"/>
        <v>732.9982513395488</v>
      </c>
      <c r="I41">
        <f t="shared" ca="1" si="4"/>
        <v>53576.466907986614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21746</v>
      </c>
      <c r="B44" s="66">
        <v>21746</v>
      </c>
      <c r="D44">
        <f t="shared" si="0"/>
        <v>20.334957312112511</v>
      </c>
      <c r="E44">
        <f t="shared" si="1"/>
        <v>20.334957312112511</v>
      </c>
      <c r="G44">
        <f t="shared" ca="1" si="2"/>
        <v>42</v>
      </c>
      <c r="H44">
        <f t="shared" ca="1" si="3"/>
        <v>854.06820710872546</v>
      </c>
      <c r="I44">
        <f t="shared" ca="1" si="4"/>
        <v>51635.552185962762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28345</v>
      </c>
      <c r="B46" s="66">
        <v>28345</v>
      </c>
      <c r="D46">
        <f t="shared" si="0"/>
        <v>26.505764968813995</v>
      </c>
      <c r="E46">
        <f t="shared" si="1"/>
        <v>26.505764968813995</v>
      </c>
      <c r="G46">
        <f t="shared" ca="1" si="2"/>
        <v>44</v>
      </c>
      <c r="H46">
        <f t="shared" ca="1" si="3"/>
        <v>1166.2536586278159</v>
      </c>
      <c r="I46">
        <f t="shared" ca="1" si="4"/>
        <v>62068.196586963364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31909</v>
      </c>
      <c r="B49" s="66">
        <v>31909</v>
      </c>
      <c r="D49">
        <f t="shared" si="0"/>
        <v>29.838506064204829</v>
      </c>
      <c r="E49">
        <f t="shared" si="1"/>
        <v>29.838506064204829</v>
      </c>
      <c r="G49">
        <f t="shared" ca="1" si="2"/>
        <v>47</v>
      </c>
      <c r="H49">
        <f t="shared" ca="1" si="3"/>
        <v>1402.409785017627</v>
      </c>
      <c r="I49">
        <f t="shared" ca="1" si="4"/>
        <v>61477.49175200524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38379</v>
      </c>
      <c r="B51" s="66">
        <v>38379</v>
      </c>
      <c r="D51">
        <f t="shared" si="0"/>
        <v>35.888684203143846</v>
      </c>
      <c r="E51">
        <f t="shared" si="1"/>
        <v>35.888684203143846</v>
      </c>
      <c r="G51">
        <f t="shared" ca="1" si="2"/>
        <v>49</v>
      </c>
      <c r="H51">
        <f t="shared" ca="1" si="3"/>
        <v>1758.5455259540486</v>
      </c>
      <c r="I51">
        <f t="shared" ca="1" si="4"/>
        <v>67570.385632257792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41923</v>
      </c>
      <c r="B54" s="66">
        <v>41923</v>
      </c>
      <c r="D54">
        <f t="shared" si="0"/>
        <v>39.202723047718791</v>
      </c>
      <c r="E54">
        <f t="shared" si="1"/>
        <v>39.202723047718791</v>
      </c>
      <c r="G54">
        <f t="shared" ca="1" si="2"/>
        <v>52</v>
      </c>
      <c r="H54">
        <f t="shared" ca="1" si="3"/>
        <v>2038.5415984813772</v>
      </c>
      <c r="I54">
        <f t="shared" ca="1" si="4"/>
        <v>63956.53915745928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43353</v>
      </c>
      <c r="B57" s="66">
        <v>43353</v>
      </c>
      <c r="D57">
        <f t="shared" si="0"/>
        <v>40.539933981054617</v>
      </c>
      <c r="E57">
        <f t="shared" si="1"/>
        <v>40.539933981054617</v>
      </c>
      <c r="G57">
        <f t="shared" ca="1" si="2"/>
        <v>55</v>
      </c>
      <c r="H57">
        <f t="shared" ca="1" si="3"/>
        <v>2229.6963689580039</v>
      </c>
      <c r="I57">
        <f t="shared" ca="1" si="4"/>
        <v>56678.280692961205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48388</v>
      </c>
      <c r="B59" s="66">
        <v>48388</v>
      </c>
      <c r="D59">
        <f t="shared" si="0"/>
        <v>45.248225623953843</v>
      </c>
      <c r="E59">
        <f t="shared" si="1"/>
        <v>45.248225623953843</v>
      </c>
      <c r="G59">
        <f t="shared" ca="1" si="2"/>
        <v>57</v>
      </c>
      <c r="H59">
        <f t="shared" ca="1" si="3"/>
        <v>2579.148860565369</v>
      </c>
      <c r="I59">
        <f t="shared" ca="1" si="4"/>
        <v>56674.364852657163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56783</v>
      </c>
      <c r="B62" s="66">
        <v>56783</v>
      </c>
      <c r="D62">
        <f t="shared" si="0"/>
        <v>53.098495403921859</v>
      </c>
      <c r="E62">
        <f t="shared" si="1"/>
        <v>53.098495403921859</v>
      </c>
      <c r="G62">
        <f t="shared" ca="1" si="2"/>
        <v>60</v>
      </c>
      <c r="H62">
        <f t="shared" ca="1" si="3"/>
        <v>3185.9097242353114</v>
      </c>
      <c r="I62">
        <f t="shared" ca="1" si="4"/>
        <v>55709.635319374815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60490</v>
      </c>
      <c r="B64" s="66">
        <v>60490</v>
      </c>
      <c r="D64">
        <f t="shared" si="0"/>
        <v>56.564957592646273</v>
      </c>
      <c r="E64">
        <f t="shared" si="1"/>
        <v>56.564957592646273</v>
      </c>
      <c r="G64">
        <f t="shared" ca="1" si="2"/>
        <v>62</v>
      </c>
      <c r="H64">
        <f t="shared" ca="1" si="3"/>
        <v>3507.0273707440688</v>
      </c>
      <c r="I64">
        <f t="shared" ca="1" si="4"/>
        <v>52244.045010163587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74340</v>
      </c>
      <c r="B67" s="66">
        <v>74340</v>
      </c>
      <c r="D67">
        <f t="shared" ref="D67:D130" si="5">IFERROR(100*A67/MAX(A$2:A$257), 0 )</f>
        <v>69.516266282647123</v>
      </c>
      <c r="E67">
        <f t="shared" ref="E67:E130" si="6">IFERROR(100*B67/MAX(B$2:B$257), 0 )</f>
        <v>69.516266282647123</v>
      </c>
      <c r="G67">
        <f t="shared" ref="G67:G130" ca="1" si="7">CELL("row",D67)-2</f>
        <v>65</v>
      </c>
      <c r="H67">
        <f t="shared" ref="H67:H130" ca="1" si="8">D67*G67</f>
        <v>4518.5573083720628</v>
      </c>
      <c r="I67">
        <f t="shared" ref="I67:I130" ca="1" si="9">D67*((G67-$L$1)^2)</f>
        <v>52155.665403569052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89718</v>
      </c>
      <c r="B69" s="66">
        <v>89718</v>
      </c>
      <c r="D69">
        <f t="shared" si="5"/>
        <v>83.896426934981619</v>
      </c>
      <c r="E69">
        <f t="shared" si="6"/>
        <v>83.896426934981619</v>
      </c>
      <c r="G69">
        <f t="shared" ca="1" si="7"/>
        <v>67</v>
      </c>
      <c r="H69">
        <f t="shared" ca="1" si="8"/>
        <v>5621.0606046437688</v>
      </c>
      <c r="I69">
        <f t="shared" ca="1" si="9"/>
        <v>54088.170955541689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93399</v>
      </c>
      <c r="B72" s="66">
        <v>93399</v>
      </c>
      <c r="D72">
        <f t="shared" si="5"/>
        <v>87.338576197645381</v>
      </c>
      <c r="E72">
        <f t="shared" si="6"/>
        <v>87.338576197645381</v>
      </c>
      <c r="G72">
        <f t="shared" ca="1" si="7"/>
        <v>70</v>
      </c>
      <c r="H72">
        <f t="shared" ca="1" si="8"/>
        <v>6113.7003338351769</v>
      </c>
      <c r="I72">
        <f t="shared" ca="1" si="9"/>
        <v>43787.706925581013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94892</v>
      </c>
      <c r="B75" s="66">
        <v>94892</v>
      </c>
      <c r="D75">
        <f t="shared" si="5"/>
        <v>88.734699221051258</v>
      </c>
      <c r="E75">
        <f t="shared" si="6"/>
        <v>88.734699221051258</v>
      </c>
      <c r="G75">
        <f t="shared" ca="1" si="7"/>
        <v>73</v>
      </c>
      <c r="H75">
        <f t="shared" ca="1" si="8"/>
        <v>6477.6330431367414</v>
      </c>
      <c r="I75">
        <f t="shared" ca="1" si="9"/>
        <v>33365.133921273176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100707</v>
      </c>
      <c r="B77" s="66">
        <v>100707</v>
      </c>
      <c r="D77">
        <f t="shared" si="5"/>
        <v>94.172378645770024</v>
      </c>
      <c r="E77">
        <f t="shared" si="6"/>
        <v>94.172378645770024</v>
      </c>
      <c r="G77">
        <f t="shared" ca="1" si="7"/>
        <v>75</v>
      </c>
      <c r="H77">
        <f t="shared" ca="1" si="8"/>
        <v>7062.9283984327521</v>
      </c>
      <c r="I77">
        <f t="shared" ca="1" si="9"/>
        <v>28482.0674722574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106939</v>
      </c>
      <c r="B80" s="66">
        <v>106939</v>
      </c>
      <c r="D80">
        <f t="shared" si="5"/>
        <v>100</v>
      </c>
      <c r="E80">
        <f t="shared" si="6"/>
        <v>100</v>
      </c>
      <c r="G80">
        <f t="shared" ca="1" si="7"/>
        <v>78</v>
      </c>
      <c r="H80">
        <f t="shared" ca="1" si="8"/>
        <v>7800</v>
      </c>
      <c r="I80">
        <f t="shared" ca="1" si="9"/>
        <v>20710.022438365784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105307</v>
      </c>
      <c r="B82" s="66">
        <v>105307</v>
      </c>
      <c r="D82">
        <f t="shared" si="5"/>
        <v>98.473896333423724</v>
      </c>
      <c r="E82">
        <f t="shared" si="6"/>
        <v>98.473896333423724</v>
      </c>
      <c r="G82">
        <f t="shared" ca="1" si="7"/>
        <v>80</v>
      </c>
      <c r="H82">
        <f t="shared" ca="1" si="8"/>
        <v>7877.9117066738982</v>
      </c>
      <c r="I82">
        <f t="shared" ca="1" si="9"/>
        <v>15119.31922950083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100534</v>
      </c>
      <c r="B85" s="66">
        <v>100534</v>
      </c>
      <c r="D85">
        <f t="shared" si="5"/>
        <v>94.01060417621261</v>
      </c>
      <c r="E85">
        <f t="shared" si="6"/>
        <v>94.01060417621261</v>
      </c>
      <c r="G85">
        <f t="shared" ca="1" si="7"/>
        <v>83</v>
      </c>
      <c r="H85">
        <f t="shared" ca="1" si="8"/>
        <v>7802.8801466256464</v>
      </c>
      <c r="I85">
        <f t="shared" ca="1" si="9"/>
        <v>8290.8377238103367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98360</v>
      </c>
      <c r="B88" s="66">
        <v>98360</v>
      </c>
      <c r="D88">
        <f t="shared" si="5"/>
        <v>91.977669512525836</v>
      </c>
      <c r="E88">
        <f t="shared" si="6"/>
        <v>91.977669512525836</v>
      </c>
      <c r="G88">
        <f t="shared" ca="1" si="7"/>
        <v>86</v>
      </c>
      <c r="H88">
        <f t="shared" ca="1" si="8"/>
        <v>7910.0795780772223</v>
      </c>
      <c r="I88">
        <f t="shared" ca="1" si="9"/>
        <v>3756.790145110363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93186</v>
      </c>
      <c r="B90" s="66">
        <v>93186</v>
      </c>
      <c r="D90">
        <f t="shared" si="5"/>
        <v>87.139397226456211</v>
      </c>
      <c r="E90">
        <f t="shared" si="6"/>
        <v>87.139397226456211</v>
      </c>
      <c r="G90">
        <f t="shared" ca="1" si="7"/>
        <v>88</v>
      </c>
      <c r="H90">
        <f t="shared" ca="1" si="8"/>
        <v>7668.2669559281467</v>
      </c>
      <c r="I90">
        <f t="shared" ca="1" si="9"/>
        <v>1680.1068901971637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82517</v>
      </c>
      <c r="B93" s="66">
        <v>82517</v>
      </c>
      <c r="D93">
        <f t="shared" si="5"/>
        <v>77.162681528721976</v>
      </c>
      <c r="E93">
        <f t="shared" si="6"/>
        <v>77.162681528721976</v>
      </c>
      <c r="G93">
        <f t="shared" ca="1" si="7"/>
        <v>91</v>
      </c>
      <c r="H93">
        <f t="shared" ca="1" si="8"/>
        <v>7021.8040191136997</v>
      </c>
      <c r="I93">
        <f t="shared" ca="1" si="9"/>
        <v>149.29570915276571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87245</v>
      </c>
      <c r="B95" s="66">
        <v>87245</v>
      </c>
      <c r="D95">
        <f t="shared" si="5"/>
        <v>81.583893621597355</v>
      </c>
      <c r="E95">
        <f t="shared" si="6"/>
        <v>81.583893621597355</v>
      </c>
      <c r="G95">
        <f t="shared" ca="1" si="7"/>
        <v>93</v>
      </c>
      <c r="H95">
        <f t="shared" ca="1" si="8"/>
        <v>7587.3021068085536</v>
      </c>
      <c r="I95">
        <f t="shared" ca="1" si="9"/>
        <v>30.260183047106782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87544</v>
      </c>
      <c r="B98" s="66">
        <v>87544</v>
      </c>
      <c r="D98">
        <f t="shared" si="5"/>
        <v>81.863492271294845</v>
      </c>
      <c r="E98">
        <f t="shared" si="6"/>
        <v>81.863492271294845</v>
      </c>
      <c r="G98">
        <f t="shared" ca="1" si="7"/>
        <v>96</v>
      </c>
      <c r="H98">
        <f t="shared" ca="1" si="8"/>
        <v>7858.8952580443056</v>
      </c>
      <c r="I98">
        <f t="shared" ca="1" si="9"/>
        <v>1066.2757253787599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90645</v>
      </c>
      <c r="B100" s="66">
        <v>90645</v>
      </c>
      <c r="D100">
        <f t="shared" si="5"/>
        <v>84.763276260297928</v>
      </c>
      <c r="E100">
        <f t="shared" si="6"/>
        <v>84.763276260297928</v>
      </c>
      <c r="G100">
        <f t="shared" ca="1" si="7"/>
        <v>98</v>
      </c>
      <c r="H100">
        <f t="shared" ca="1" si="8"/>
        <v>8306.8010735091975</v>
      </c>
      <c r="I100">
        <f t="shared" ca="1" si="9"/>
        <v>2666.7490403705897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91460</v>
      </c>
      <c r="B103" s="66">
        <v>91460</v>
      </c>
      <c r="D103">
        <f t="shared" si="5"/>
        <v>85.525392981045272</v>
      </c>
      <c r="E103">
        <f t="shared" si="6"/>
        <v>85.525392981045272</v>
      </c>
      <c r="G103">
        <f t="shared" ca="1" si="7"/>
        <v>101</v>
      </c>
      <c r="H103">
        <f t="shared" ca="1" si="8"/>
        <v>8638.0646910855721</v>
      </c>
      <c r="I103">
        <f t="shared" ca="1" si="9"/>
        <v>6338.7379178642041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85018</v>
      </c>
      <c r="B106" s="66">
        <v>85018</v>
      </c>
      <c r="D106">
        <f t="shared" si="5"/>
        <v>79.501397993248489</v>
      </c>
      <c r="E106">
        <f t="shared" si="6"/>
        <v>79.501397993248489</v>
      </c>
      <c r="G106">
        <f t="shared" ca="1" si="7"/>
        <v>104</v>
      </c>
      <c r="H106">
        <f t="shared" ca="1" si="8"/>
        <v>8268.1453912978432</v>
      </c>
      <c r="I106">
        <f t="shared" ca="1" si="9"/>
        <v>10714.356556050121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85107</v>
      </c>
      <c r="B108" s="66">
        <v>85107</v>
      </c>
      <c r="D108">
        <f t="shared" si="5"/>
        <v>79.584623009379172</v>
      </c>
      <c r="E108">
        <f t="shared" si="6"/>
        <v>79.584623009379172</v>
      </c>
      <c r="G108">
        <f t="shared" ca="1" si="7"/>
        <v>106</v>
      </c>
      <c r="H108">
        <f t="shared" ca="1" si="8"/>
        <v>8435.9700389941918</v>
      </c>
      <c r="I108">
        <f t="shared" ca="1" si="9"/>
        <v>14739.510050930083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75299</v>
      </c>
      <c r="B111" s="66">
        <v>75299</v>
      </c>
      <c r="D111">
        <f t="shared" si="5"/>
        <v>70.413039209268831</v>
      </c>
      <c r="E111">
        <f t="shared" si="6"/>
        <v>70.413039209268831</v>
      </c>
      <c r="G111">
        <f t="shared" ca="1" si="7"/>
        <v>109</v>
      </c>
      <c r="H111">
        <f t="shared" ca="1" si="8"/>
        <v>7675.0212738103028</v>
      </c>
      <c r="I111">
        <f t="shared" ca="1" si="9"/>
        <v>19424.115564337386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69828</v>
      </c>
      <c r="B113" s="66">
        <v>69828</v>
      </c>
      <c r="D113">
        <f t="shared" si="5"/>
        <v>65.297038498583305</v>
      </c>
      <c r="E113">
        <f t="shared" si="6"/>
        <v>65.297038498583305</v>
      </c>
      <c r="G113">
        <f t="shared" ca="1" si="7"/>
        <v>111</v>
      </c>
      <c r="H113">
        <f t="shared" ca="1" si="8"/>
        <v>7247.9712733427468</v>
      </c>
      <c r="I113">
        <f t="shared" ca="1" si="9"/>
        <v>22612.085618386132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60674</v>
      </c>
      <c r="B116" s="66">
        <v>60674</v>
      </c>
      <c r="D116">
        <f t="shared" si="5"/>
        <v>56.737018300152421</v>
      </c>
      <c r="E116">
        <f t="shared" si="6"/>
        <v>56.737018300152421</v>
      </c>
      <c r="G116">
        <f t="shared" ca="1" si="7"/>
        <v>114</v>
      </c>
      <c r="H116">
        <f t="shared" ca="1" si="8"/>
        <v>6468.020086217376</v>
      </c>
      <c r="I116">
        <f t="shared" ca="1" si="9"/>
        <v>26493.343146533181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61926</v>
      </c>
      <c r="B118" s="66">
        <v>61926</v>
      </c>
      <c r="D118">
        <f t="shared" si="5"/>
        <v>57.907779201226866</v>
      </c>
      <c r="E118">
        <f t="shared" si="6"/>
        <v>57.907779201226866</v>
      </c>
      <c r="G118">
        <f t="shared" ca="1" si="7"/>
        <v>116</v>
      </c>
      <c r="H118">
        <f t="shared" ca="1" si="8"/>
        <v>6717.3023873423163</v>
      </c>
      <c r="I118">
        <f t="shared" ca="1" si="9"/>
        <v>32276.982997671206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55627</v>
      </c>
      <c r="B121" s="66">
        <v>55627</v>
      </c>
      <c r="D121">
        <f t="shared" si="5"/>
        <v>52.017505306763667</v>
      </c>
      <c r="E121">
        <f t="shared" si="6"/>
        <v>52.017505306763667</v>
      </c>
      <c r="G121">
        <f t="shared" ca="1" si="7"/>
        <v>119</v>
      </c>
      <c r="H121">
        <f t="shared" ca="1" si="8"/>
        <v>6190.0831315048763</v>
      </c>
      <c r="I121">
        <f t="shared" ca="1" si="9"/>
        <v>36830.479403587917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54574</v>
      </c>
      <c r="B124" s="66">
        <v>54574</v>
      </c>
      <c r="D124">
        <f t="shared" si="5"/>
        <v>51.032831801307289</v>
      </c>
      <c r="E124">
        <f t="shared" si="6"/>
        <v>51.032831801307289</v>
      </c>
      <c r="G124">
        <f t="shared" ca="1" si="7"/>
        <v>122</v>
      </c>
      <c r="H124">
        <f t="shared" ca="1" si="8"/>
        <v>6226.0054797594894</v>
      </c>
      <c r="I124">
        <f t="shared" ca="1" si="9"/>
        <v>44740.189281183921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54267</v>
      </c>
      <c r="B126" s="66">
        <v>54267</v>
      </c>
      <c r="D126">
        <f t="shared" si="5"/>
        <v>50.745752251283442</v>
      </c>
      <c r="E126">
        <f t="shared" si="6"/>
        <v>50.745752251283442</v>
      </c>
      <c r="G126">
        <f t="shared" ca="1" si="7"/>
        <v>124</v>
      </c>
      <c r="H126">
        <f t="shared" ca="1" si="8"/>
        <v>6292.4732791591468</v>
      </c>
      <c r="I126">
        <f t="shared" ca="1" si="9"/>
        <v>50701.619848944021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53478</v>
      </c>
      <c r="B129" s="66">
        <v>53478</v>
      </c>
      <c r="D129">
        <f t="shared" si="5"/>
        <v>50.00794845659675</v>
      </c>
      <c r="E129">
        <f t="shared" si="6"/>
        <v>50.00794845659675</v>
      </c>
      <c r="G129">
        <f t="shared" ca="1" si="7"/>
        <v>127</v>
      </c>
      <c r="H129">
        <f t="shared" ca="1" si="8"/>
        <v>6351.0094539877873</v>
      </c>
      <c r="I129">
        <f t="shared" ca="1" si="9"/>
        <v>59898.743542905911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52123</v>
      </c>
      <c r="B131" s="66">
        <v>52123</v>
      </c>
      <c r="D131">
        <f t="shared" ref="D131:D194" si="10">IFERROR(100*A131/MAX(A$2:A$257), 0 )</f>
        <v>48.740870963820498</v>
      </c>
      <c r="E131">
        <f t="shared" ref="E131:E194" si="11">IFERROR(100*B131/MAX(B$2:B$257), 0 )</f>
        <v>48.740870963820498</v>
      </c>
      <c r="G131">
        <f t="shared" ref="G131:G194" ca="1" si="12">CELL("row",D131)-2</f>
        <v>129</v>
      </c>
      <c r="H131">
        <f t="shared" ref="H131:H194" ca="1" si="13">D131*G131</f>
        <v>6287.572354332844</v>
      </c>
      <c r="I131">
        <f t="shared" ref="I131:I194" ca="1" si="14">D131*((G131-$L$1)^2)</f>
        <v>65323.516956706604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50306</v>
      </c>
      <c r="B134" s="66">
        <v>50306</v>
      </c>
      <c r="D134">
        <f t="shared" si="10"/>
        <v>47.04177147719728</v>
      </c>
      <c r="E134">
        <f t="shared" si="11"/>
        <v>47.04177147719728</v>
      </c>
      <c r="G134">
        <f t="shared" ca="1" si="12"/>
        <v>132</v>
      </c>
      <c r="H134">
        <f t="shared" ca="1" si="13"/>
        <v>6209.5138349900408</v>
      </c>
      <c r="I134">
        <f t="shared" ca="1" si="14"/>
        <v>73802.644560394707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50321</v>
      </c>
      <c r="B136" s="66">
        <v>50321</v>
      </c>
      <c r="D136">
        <f t="shared" si="10"/>
        <v>47.055798165309191</v>
      </c>
      <c r="E136">
        <f t="shared" si="11"/>
        <v>47.055798165309191</v>
      </c>
      <c r="G136">
        <f t="shared" ca="1" si="12"/>
        <v>134</v>
      </c>
      <c r="H136">
        <f t="shared" ca="1" si="13"/>
        <v>6305.4769541514315</v>
      </c>
      <c r="I136">
        <f t="shared" ca="1" si="14"/>
        <v>81468.210601134779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47483</v>
      </c>
      <c r="B139" s="66">
        <v>47483</v>
      </c>
      <c r="D139">
        <f t="shared" si="10"/>
        <v>44.401948774535015</v>
      </c>
      <c r="E139">
        <f t="shared" si="11"/>
        <v>44.401948774535015</v>
      </c>
      <c r="G139">
        <f t="shared" ca="1" si="12"/>
        <v>137</v>
      </c>
      <c r="H139">
        <f t="shared" ca="1" si="13"/>
        <v>6083.066982111297</v>
      </c>
      <c r="I139">
        <f t="shared" ca="1" si="14"/>
        <v>88358.320279842592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43230</v>
      </c>
      <c r="B142" s="66">
        <v>43230</v>
      </c>
      <c r="D142">
        <f t="shared" si="10"/>
        <v>40.424915138536925</v>
      </c>
      <c r="E142">
        <f t="shared" si="11"/>
        <v>40.424915138536925</v>
      </c>
      <c r="G142">
        <f t="shared" ca="1" si="12"/>
        <v>140</v>
      </c>
      <c r="H142">
        <f t="shared" ca="1" si="13"/>
        <v>5659.4881193951696</v>
      </c>
      <c r="I142">
        <f t="shared" ca="1" si="14"/>
        <v>91627.882879106299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33029</v>
      </c>
      <c r="B144" s="66">
        <v>33029</v>
      </c>
      <c r="D144">
        <f t="shared" si="10"/>
        <v>30.885832109894427</v>
      </c>
      <c r="E144">
        <f t="shared" si="11"/>
        <v>30.885832109894427</v>
      </c>
      <c r="G144">
        <f t="shared" ca="1" si="12"/>
        <v>142</v>
      </c>
      <c r="H144">
        <f t="shared" ca="1" si="13"/>
        <v>4385.7881596050083</v>
      </c>
      <c r="I144">
        <f t="shared" ca="1" si="14"/>
        <v>76011.736006401232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29400</v>
      </c>
      <c r="B147" s="66">
        <v>29400</v>
      </c>
      <c r="D147">
        <f t="shared" si="10"/>
        <v>27.492308699351966</v>
      </c>
      <c r="E147">
        <f t="shared" si="11"/>
        <v>27.492308699351966</v>
      </c>
      <c r="G147">
        <f t="shared" ca="1" si="12"/>
        <v>145</v>
      </c>
      <c r="H147">
        <f t="shared" ca="1" si="13"/>
        <v>3986.3847614060351</v>
      </c>
      <c r="I147">
        <f t="shared" ca="1" si="14"/>
        <v>76090.717953942876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25077</v>
      </c>
      <c r="B149" s="66">
        <v>25077</v>
      </c>
      <c r="D149">
        <f t="shared" si="10"/>
        <v>23.449817185498276</v>
      </c>
      <c r="E149">
        <f t="shared" si="11"/>
        <v>23.449817185498276</v>
      </c>
      <c r="G149">
        <f t="shared" ca="1" si="12"/>
        <v>147</v>
      </c>
      <c r="H149">
        <f t="shared" ca="1" si="13"/>
        <v>3447.1231262682463</v>
      </c>
      <c r="I149">
        <f t="shared" ca="1" si="14"/>
        <v>69930.763808998221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21746</v>
      </c>
      <c r="B152" s="66">
        <v>21746</v>
      </c>
      <c r="D152">
        <f t="shared" si="10"/>
        <v>20.334957312112511</v>
      </c>
      <c r="E152">
        <f t="shared" si="11"/>
        <v>20.334957312112511</v>
      </c>
      <c r="G152">
        <f t="shared" ca="1" si="12"/>
        <v>150</v>
      </c>
      <c r="H152">
        <f t="shared" ca="1" si="13"/>
        <v>3050.2435968168766</v>
      </c>
      <c r="I152">
        <f t="shared" ca="1" si="14"/>
        <v>67487.646353573175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17062</v>
      </c>
      <c r="B154" s="66">
        <v>17062</v>
      </c>
      <c r="D154">
        <f t="shared" si="10"/>
        <v>15.954890171032083</v>
      </c>
      <c r="E154">
        <f t="shared" si="11"/>
        <v>15.954890171032083</v>
      </c>
      <c r="G154">
        <f t="shared" ca="1" si="12"/>
        <v>152</v>
      </c>
      <c r="H154">
        <f t="shared" ca="1" si="13"/>
        <v>2425.1433059968767</v>
      </c>
      <c r="I154">
        <f t="shared" ca="1" si="14"/>
        <v>56691.483762166354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14800</v>
      </c>
      <c r="B157" s="66">
        <v>14800</v>
      </c>
      <c r="D157">
        <f t="shared" si="10"/>
        <v>13.839665603755412</v>
      </c>
      <c r="E157">
        <f t="shared" si="11"/>
        <v>13.839665603755412</v>
      </c>
      <c r="G157">
        <f t="shared" ca="1" si="12"/>
        <v>155</v>
      </c>
      <c r="H157">
        <f t="shared" ca="1" si="13"/>
        <v>2145.1481685820891</v>
      </c>
      <c r="I157">
        <f t="shared" ca="1" si="14"/>
        <v>54249.963172747863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11934</v>
      </c>
      <c r="B160" s="66">
        <v>11934</v>
      </c>
      <c r="D160">
        <f t="shared" si="10"/>
        <v>11.159633061838992</v>
      </c>
      <c r="E160">
        <f t="shared" si="11"/>
        <v>11.159633061838992</v>
      </c>
      <c r="G160">
        <f t="shared" ca="1" si="12"/>
        <v>158</v>
      </c>
      <c r="H160">
        <f t="shared" ca="1" si="13"/>
        <v>1763.2220237705608</v>
      </c>
      <c r="I160">
        <f t="shared" ca="1" si="14"/>
        <v>48037.13013841361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8933</v>
      </c>
      <c r="B162" s="66">
        <v>8933</v>
      </c>
      <c r="D162">
        <f t="shared" si="10"/>
        <v>8.3533603269153449</v>
      </c>
      <c r="E162">
        <f t="shared" si="11"/>
        <v>8.3533603269153449</v>
      </c>
      <c r="G162">
        <f t="shared" ca="1" si="12"/>
        <v>160</v>
      </c>
      <c r="H162">
        <f t="shared" ca="1" si="13"/>
        <v>1336.5376523064551</v>
      </c>
      <c r="I162">
        <f t="shared" ca="1" si="14"/>
        <v>38183.042701357401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9141</v>
      </c>
      <c r="B165" s="66">
        <v>9141</v>
      </c>
      <c r="D165">
        <f t="shared" si="10"/>
        <v>8.547863735400556</v>
      </c>
      <c r="E165">
        <f t="shared" si="11"/>
        <v>8.547863735400556</v>
      </c>
      <c r="G165">
        <f t="shared" ca="1" si="12"/>
        <v>163</v>
      </c>
      <c r="H165">
        <f t="shared" ca="1" si="13"/>
        <v>1393.3017888702907</v>
      </c>
      <c r="I165">
        <f t="shared" ca="1" si="14"/>
        <v>42616.520944197837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6404</v>
      </c>
      <c r="B167" s="66">
        <v>6404</v>
      </c>
      <c r="D167">
        <f t="shared" si="10"/>
        <v>5.9884607112465984</v>
      </c>
      <c r="E167">
        <f t="shared" si="11"/>
        <v>5.9884607112465984</v>
      </c>
      <c r="G167">
        <f t="shared" ca="1" si="12"/>
        <v>165</v>
      </c>
      <c r="H167">
        <f t="shared" ca="1" si="13"/>
        <v>988.09601735568879</v>
      </c>
      <c r="I167">
        <f t="shared" ca="1" si="14"/>
        <v>31571.585223253096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6046</v>
      </c>
      <c r="B170" s="66">
        <v>6046</v>
      </c>
      <c r="D170">
        <f t="shared" si="10"/>
        <v>5.6536904216422448</v>
      </c>
      <c r="E170">
        <f t="shared" si="11"/>
        <v>5.6536904216422448</v>
      </c>
      <c r="G170">
        <f t="shared" ca="1" si="12"/>
        <v>168</v>
      </c>
      <c r="H170">
        <f t="shared" ca="1" si="13"/>
        <v>949.8199908358971</v>
      </c>
      <c r="I170">
        <f t="shared" ca="1" si="14"/>
        <v>32320.589592244585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3366</v>
      </c>
      <c r="B173" s="66">
        <v>3366</v>
      </c>
      <c r="D173">
        <f t="shared" si="10"/>
        <v>3.147588812313562</v>
      </c>
      <c r="E173">
        <f t="shared" si="11"/>
        <v>3.147588812313562</v>
      </c>
      <c r="G173">
        <f t="shared" ca="1" si="12"/>
        <v>171</v>
      </c>
      <c r="H173">
        <f t="shared" ca="1" si="13"/>
        <v>538.23768690561906</v>
      </c>
      <c r="I173">
        <f t="shared" ca="1" si="14"/>
        <v>19450.142531940699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1774</v>
      </c>
      <c r="B175" s="66">
        <v>1774</v>
      </c>
      <c r="D175">
        <f t="shared" si="10"/>
        <v>1.6588896473690609</v>
      </c>
      <c r="E175">
        <f t="shared" si="11"/>
        <v>1.6588896473690609</v>
      </c>
      <c r="G175">
        <f t="shared" ca="1" si="12"/>
        <v>173</v>
      </c>
      <c r="H175">
        <f t="shared" ca="1" si="13"/>
        <v>286.98790899484754</v>
      </c>
      <c r="I175">
        <f t="shared" ca="1" si="14"/>
        <v>10779.157302349713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1141</v>
      </c>
      <c r="B178" s="66">
        <v>1141</v>
      </c>
      <c r="D178">
        <f t="shared" si="10"/>
        <v>1.0669634090462787</v>
      </c>
      <c r="E178">
        <f t="shared" si="11"/>
        <v>1.0669634090462787</v>
      </c>
      <c r="G178">
        <f t="shared" ca="1" si="12"/>
        <v>176</v>
      </c>
      <c r="H178">
        <f t="shared" ca="1" si="13"/>
        <v>187.78555999214507</v>
      </c>
      <c r="I178">
        <f t="shared" ca="1" si="14"/>
        <v>7458.5743105243009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428</v>
      </c>
      <c r="B180" s="66">
        <v>428</v>
      </c>
      <c r="D180">
        <f t="shared" si="10"/>
        <v>0.40022816745995382</v>
      </c>
      <c r="E180">
        <f t="shared" si="11"/>
        <v>0.40022816745995382</v>
      </c>
      <c r="G180">
        <f t="shared" ca="1" si="12"/>
        <v>178</v>
      </c>
      <c r="H180">
        <f t="shared" ca="1" si="13"/>
        <v>71.240613807871782</v>
      </c>
      <c r="I180">
        <f t="shared" ca="1" si="14"/>
        <v>2933.2341324193758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330</v>
      </c>
      <c r="B183" s="66">
        <v>330</v>
      </c>
      <c r="D183">
        <f t="shared" si="10"/>
        <v>0.30858713846211394</v>
      </c>
      <c r="E183">
        <f t="shared" si="11"/>
        <v>0.30858713846211394</v>
      </c>
      <c r="G183">
        <f t="shared" ca="1" si="12"/>
        <v>181</v>
      </c>
      <c r="H183">
        <f t="shared" ca="1" si="13"/>
        <v>55.854272061642625</v>
      </c>
      <c r="I183">
        <f t="shared" ca="1" si="14"/>
        <v>2422.8901008100693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228</v>
      </c>
      <c r="B185" s="66">
        <v>228</v>
      </c>
      <c r="D185">
        <f t="shared" si="10"/>
        <v>0.21320565930109689</v>
      </c>
      <c r="E185">
        <f t="shared" si="11"/>
        <v>0.21320565930109689</v>
      </c>
      <c r="G185">
        <f t="shared" ca="1" si="12"/>
        <v>183</v>
      </c>
      <c r="H185">
        <f t="shared" ca="1" si="13"/>
        <v>39.016635652100732</v>
      </c>
      <c r="I185">
        <f t="shared" ca="1" si="14"/>
        <v>1750.4174000763994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0.15526300000000001</v>
      </c>
      <c r="B2" s="68">
        <v>0.64884900000000001</v>
      </c>
      <c r="C2" s="68">
        <v>0</v>
      </c>
      <c r="D2" s="68">
        <v>1</v>
      </c>
      <c r="E2" s="68" t="s">
        <v>409</v>
      </c>
    </row>
    <row r="3" spans="1:5">
      <c r="A3" s="68">
        <v>0.16034799999999999</v>
      </c>
      <c r="B3" s="68">
        <v>0.63898900000000003</v>
      </c>
      <c r="C3" s="68">
        <v>0.36374200000000001</v>
      </c>
      <c r="D3" s="89">
        <v>1</v>
      </c>
      <c r="E3" s="68" t="s">
        <v>410</v>
      </c>
    </row>
    <row r="4" spans="1:5">
      <c r="A4" s="68">
        <v>0.165211</v>
      </c>
      <c r="B4" s="68">
        <v>0.63070099999999996</v>
      </c>
      <c r="C4" s="68">
        <v>0.769679</v>
      </c>
      <c r="D4" s="89">
        <v>1</v>
      </c>
      <c r="E4" s="68" t="s">
        <v>411</v>
      </c>
    </row>
    <row r="5" spans="1:5">
      <c r="A5" s="89">
        <v>0.169986</v>
      </c>
      <c r="B5" s="89">
        <v>0.622668</v>
      </c>
      <c r="C5" s="89">
        <v>1.1761299999999999</v>
      </c>
      <c r="D5" s="89">
        <v>1</v>
      </c>
      <c r="E5" s="68" t="s">
        <v>412</v>
      </c>
    </row>
    <row r="6" spans="1:5">
      <c r="A6" s="68">
        <v>0.17510700000000001</v>
      </c>
      <c r="B6" s="68">
        <v>0.61274200000000001</v>
      </c>
      <c r="C6" s="68">
        <v>1.5841000000000001</v>
      </c>
      <c r="D6" s="68">
        <v>1</v>
      </c>
      <c r="E6" s="68" t="s">
        <v>413</v>
      </c>
    </row>
    <row r="7" spans="1:5">
      <c r="A7" s="68">
        <v>0.18045</v>
      </c>
      <c r="B7" s="68">
        <v>0.601962</v>
      </c>
      <c r="C7" s="68">
        <v>1.99028</v>
      </c>
      <c r="D7" s="68">
        <v>1</v>
      </c>
      <c r="E7" s="68" t="s">
        <v>414</v>
      </c>
    </row>
    <row r="8" spans="1:5">
      <c r="A8" s="68">
        <v>0.186365</v>
      </c>
      <c r="B8" s="68">
        <v>0.58972100000000005</v>
      </c>
      <c r="C8" s="68">
        <v>2.3944999999999999</v>
      </c>
      <c r="D8" s="68">
        <v>1</v>
      </c>
      <c r="E8" s="68" t="s">
        <v>415</v>
      </c>
    </row>
    <row r="9" spans="1:5">
      <c r="A9" s="68">
        <v>0.19264600000000001</v>
      </c>
      <c r="B9" s="68">
        <v>0.57654399999999995</v>
      </c>
      <c r="C9" s="68">
        <v>2.8044199999999999</v>
      </c>
      <c r="D9" s="68">
        <v>1</v>
      </c>
      <c r="E9" s="68" t="s">
        <v>416</v>
      </c>
    </row>
    <row r="10" spans="1:5">
      <c r="A10" s="68">
        <v>0.19861699999999999</v>
      </c>
      <c r="B10" s="68">
        <v>0.56394599999999995</v>
      </c>
      <c r="C10" s="68">
        <v>3.2099099999999998</v>
      </c>
      <c r="D10" s="68">
        <v>1</v>
      </c>
      <c r="E10" s="68" t="s">
        <v>417</v>
      </c>
    </row>
    <row r="11" spans="1:5">
      <c r="A11" s="68">
        <v>0.20432600000000001</v>
      </c>
      <c r="B11" s="68">
        <v>0.55174599999999996</v>
      </c>
      <c r="C11" s="68">
        <v>3.61713</v>
      </c>
      <c r="D11" s="68">
        <v>1</v>
      </c>
      <c r="E11" s="68" t="s">
        <v>418</v>
      </c>
    </row>
    <row r="12" spans="1:5">
      <c r="A12" s="68">
        <v>0.21009700000000001</v>
      </c>
      <c r="B12" s="68">
        <v>0.53904200000000002</v>
      </c>
      <c r="C12" s="68">
        <v>4.02102</v>
      </c>
      <c r="D12" s="68">
        <v>1</v>
      </c>
      <c r="E12" s="68" t="s">
        <v>419</v>
      </c>
    </row>
    <row r="13" spans="1:5">
      <c r="A13" s="68">
        <v>0.21586</v>
      </c>
      <c r="B13" s="68">
        <v>0.52659100000000003</v>
      </c>
      <c r="C13" s="68">
        <v>4.4265600000000003</v>
      </c>
      <c r="D13" s="68">
        <v>1</v>
      </c>
      <c r="E13" s="68" t="s">
        <v>420</v>
      </c>
    </row>
    <row r="14" spans="1:5">
      <c r="A14" s="68">
        <v>0.221474</v>
      </c>
      <c r="B14" s="68">
        <v>0.515011</v>
      </c>
      <c r="C14" s="68">
        <v>4.8355100000000002</v>
      </c>
      <c r="D14" s="68">
        <v>1</v>
      </c>
      <c r="E14" s="68" t="s">
        <v>421</v>
      </c>
    </row>
    <row r="15" spans="1:5">
      <c r="A15" s="68">
        <v>0.226936</v>
      </c>
      <c r="B15" s="68">
        <v>0.50366500000000003</v>
      </c>
      <c r="C15" s="68">
        <v>5.2428699999999999</v>
      </c>
      <c r="D15" s="68">
        <v>1</v>
      </c>
      <c r="E15" s="68" t="s">
        <v>422</v>
      </c>
    </row>
    <row r="16" spans="1:5">
      <c r="A16" s="68">
        <v>0.23231199999999999</v>
      </c>
      <c r="B16" s="68">
        <v>0.49174499999999999</v>
      </c>
      <c r="C16" s="68">
        <v>5.6480300000000003</v>
      </c>
      <c r="D16" s="68">
        <v>1</v>
      </c>
      <c r="E16" s="68" t="s">
        <v>423</v>
      </c>
    </row>
    <row r="17" spans="1:5">
      <c r="A17" s="68">
        <v>0.23752599999999999</v>
      </c>
      <c r="B17" s="68">
        <v>0.480653</v>
      </c>
      <c r="C17" s="68">
        <v>6.0554899999999998</v>
      </c>
      <c r="D17" s="68">
        <v>1</v>
      </c>
      <c r="E17" s="68" t="s">
        <v>424</v>
      </c>
    </row>
    <row r="18" spans="1:5">
      <c r="A18" s="68">
        <v>0.24251800000000001</v>
      </c>
      <c r="B18" s="68">
        <v>0.46987600000000002</v>
      </c>
      <c r="C18" s="68">
        <v>6.4602000000000004</v>
      </c>
      <c r="D18" s="68">
        <v>1</v>
      </c>
      <c r="E18" s="68" t="s">
        <v>425</v>
      </c>
    </row>
    <row r="19" spans="1:5">
      <c r="A19" s="68">
        <v>0.247303</v>
      </c>
      <c r="B19" s="68">
        <v>0.459592</v>
      </c>
      <c r="C19" s="68">
        <v>6.8639799999999997</v>
      </c>
      <c r="D19" s="68">
        <v>1</v>
      </c>
      <c r="E19" s="68" t="s">
        <v>426</v>
      </c>
    </row>
    <row r="20" spans="1:5">
      <c r="A20" s="68">
        <v>0.251886</v>
      </c>
      <c r="B20" s="68">
        <v>0.45004499999999997</v>
      </c>
      <c r="C20" s="68">
        <v>7.2736799999999997</v>
      </c>
      <c r="D20" s="68">
        <v>1</v>
      </c>
      <c r="E20" s="68" t="s">
        <v>427</v>
      </c>
    </row>
    <row r="21" spans="1:5">
      <c r="A21" s="68">
        <v>0.25611499999999998</v>
      </c>
      <c r="B21" s="68">
        <v>0.44213000000000002</v>
      </c>
      <c r="C21" s="68">
        <v>7.6787200000000002</v>
      </c>
      <c r="D21" s="68">
        <v>1</v>
      </c>
      <c r="E21" s="68" t="s">
        <v>428</v>
      </c>
    </row>
    <row r="22" spans="1:5">
      <c r="A22" s="68">
        <v>0.26013700000000001</v>
      </c>
      <c r="B22" s="68">
        <v>0.43590299999999998</v>
      </c>
      <c r="C22" s="68">
        <v>8.0820900000000009</v>
      </c>
      <c r="D22" s="68">
        <v>1</v>
      </c>
      <c r="E22" s="68" t="s">
        <v>429</v>
      </c>
    </row>
    <row r="23" spans="1:5">
      <c r="A23" s="68">
        <v>0.26396700000000001</v>
      </c>
      <c r="B23" s="68">
        <v>0.43077900000000002</v>
      </c>
      <c r="C23" s="68">
        <v>8.4887099999999993</v>
      </c>
      <c r="D23" s="68">
        <v>1</v>
      </c>
      <c r="E23" s="68" t="s">
        <v>430</v>
      </c>
    </row>
    <row r="24" spans="1:5">
      <c r="A24" s="68">
        <v>0.26759699999999997</v>
      </c>
      <c r="B24" s="68">
        <v>0.42719000000000001</v>
      </c>
      <c r="C24" s="68">
        <v>8.89527</v>
      </c>
      <c r="D24" s="68">
        <v>1</v>
      </c>
      <c r="E24" s="68" t="s">
        <v>431</v>
      </c>
    </row>
    <row r="25" spans="1:5">
      <c r="A25" s="68">
        <v>0.27112900000000001</v>
      </c>
      <c r="B25" s="68">
        <v>0.423786</v>
      </c>
      <c r="C25" s="68">
        <v>9.3039199999999997</v>
      </c>
      <c r="D25" s="68">
        <v>1</v>
      </c>
      <c r="E25" s="68" t="s">
        <v>432</v>
      </c>
    </row>
    <row r="26" spans="1:5">
      <c r="A26" s="68">
        <v>0.27455400000000002</v>
      </c>
      <c r="B26" s="68">
        <v>0.41992800000000002</v>
      </c>
      <c r="C26" s="68">
        <v>9.7111000000000001</v>
      </c>
      <c r="D26" s="68">
        <v>1</v>
      </c>
      <c r="E26" s="68" t="s">
        <v>433</v>
      </c>
    </row>
    <row r="27" spans="1:5">
      <c r="A27" s="68">
        <v>0.277804</v>
      </c>
      <c r="B27" s="68">
        <v>0.41598200000000002</v>
      </c>
      <c r="C27" s="68">
        <v>10.116300000000001</v>
      </c>
      <c r="D27" s="68">
        <v>1</v>
      </c>
      <c r="E27" s="68" t="s">
        <v>434</v>
      </c>
    </row>
    <row r="28" spans="1:5">
      <c r="A28" s="68">
        <v>0.28100199999999997</v>
      </c>
      <c r="B28" s="68">
        <v>0.412327</v>
      </c>
      <c r="C28" s="68">
        <v>10.5204</v>
      </c>
      <c r="D28" s="68">
        <v>1</v>
      </c>
      <c r="E28" s="68" t="s">
        <v>435</v>
      </c>
    </row>
    <row r="29" spans="1:5">
      <c r="A29" s="68">
        <v>0.28442499999999998</v>
      </c>
      <c r="B29" s="68">
        <v>0.40883000000000003</v>
      </c>
      <c r="C29" s="68">
        <v>10.9244</v>
      </c>
      <c r="D29" s="68">
        <v>1</v>
      </c>
      <c r="E29" s="68" t="s">
        <v>436</v>
      </c>
    </row>
    <row r="30" spans="1:5">
      <c r="A30" s="68">
        <v>0.28784700000000002</v>
      </c>
      <c r="B30" s="68">
        <v>0.40579900000000002</v>
      </c>
      <c r="C30" s="68">
        <v>11.334199999999999</v>
      </c>
      <c r="D30" s="68">
        <v>1</v>
      </c>
      <c r="E30" s="68" t="s">
        <v>437</v>
      </c>
    </row>
    <row r="31" spans="1:5">
      <c r="A31" s="68">
        <v>0.29114000000000001</v>
      </c>
      <c r="B31" s="68">
        <v>0.40251700000000001</v>
      </c>
      <c r="C31" s="68">
        <v>11.740399999999999</v>
      </c>
      <c r="D31" s="68">
        <v>1</v>
      </c>
      <c r="E31" s="68" t="s">
        <v>438</v>
      </c>
    </row>
    <row r="32" spans="1:5">
      <c r="A32" s="68">
        <v>0.294265</v>
      </c>
      <c r="B32" s="68">
        <v>0.39922400000000002</v>
      </c>
      <c r="C32" s="68">
        <v>12.1462</v>
      </c>
      <c r="D32" s="68">
        <v>1</v>
      </c>
      <c r="E32" s="68" t="s">
        <v>439</v>
      </c>
    </row>
    <row r="33" spans="1:5">
      <c r="A33" s="68">
        <v>0.29725200000000002</v>
      </c>
      <c r="B33" s="68">
        <v>0.39580100000000001</v>
      </c>
      <c r="C33" s="68">
        <v>12.5512</v>
      </c>
      <c r="D33" s="68">
        <v>1</v>
      </c>
      <c r="E33" s="68" t="s">
        <v>440</v>
      </c>
    </row>
    <row r="34" spans="1:5">
      <c r="A34" s="68">
        <v>0.30026199999999997</v>
      </c>
      <c r="B34" s="68">
        <v>0.39164700000000002</v>
      </c>
      <c r="C34" s="68">
        <v>12.960800000000001</v>
      </c>
      <c r="D34" s="68">
        <v>1</v>
      </c>
      <c r="E34" s="68" t="s">
        <v>441</v>
      </c>
    </row>
    <row r="35" spans="1:5">
      <c r="A35" s="68">
        <v>0.30340600000000001</v>
      </c>
      <c r="B35" s="68">
        <v>0.387932</v>
      </c>
      <c r="C35" s="68">
        <v>13.3675</v>
      </c>
      <c r="D35" s="68">
        <v>1</v>
      </c>
      <c r="E35" s="68" t="s">
        <v>442</v>
      </c>
    </row>
    <row r="36" spans="1:5">
      <c r="A36" s="68">
        <v>0.306591</v>
      </c>
      <c r="B36" s="68">
        <v>0.38451800000000003</v>
      </c>
      <c r="C36" s="68">
        <v>13.771699999999999</v>
      </c>
      <c r="D36" s="68">
        <v>1</v>
      </c>
      <c r="E36" s="68" t="s">
        <v>443</v>
      </c>
    </row>
    <row r="37" spans="1:5">
      <c r="A37" s="68">
        <v>0.30984499999999998</v>
      </c>
      <c r="B37" s="68">
        <v>0.38113599999999997</v>
      </c>
      <c r="C37" s="68">
        <v>14.178000000000001</v>
      </c>
      <c r="D37" s="68">
        <v>1</v>
      </c>
      <c r="E37" s="68" t="s">
        <v>444</v>
      </c>
    </row>
    <row r="38" spans="1:5">
      <c r="A38" s="68">
        <v>0.31299199999999999</v>
      </c>
      <c r="B38" s="68">
        <v>0.37826300000000002</v>
      </c>
      <c r="C38" s="68">
        <v>14.583399999999999</v>
      </c>
      <c r="D38" s="68">
        <v>1</v>
      </c>
      <c r="E38" s="68" t="s">
        <v>445</v>
      </c>
    </row>
    <row r="39" spans="1:5">
      <c r="A39" s="68">
        <v>0.31609500000000001</v>
      </c>
      <c r="B39" s="68">
        <v>0.37563600000000003</v>
      </c>
      <c r="C39" s="68">
        <v>14.9887</v>
      </c>
      <c r="D39" s="68">
        <v>1</v>
      </c>
      <c r="E39" s="68" t="s">
        <v>446</v>
      </c>
    </row>
    <row r="40" spans="1:5">
      <c r="A40" s="68">
        <v>0.31913000000000002</v>
      </c>
      <c r="B40" s="68">
        <v>0.373361</v>
      </c>
      <c r="C40" s="68">
        <v>15.3964</v>
      </c>
      <c r="D40" s="68">
        <v>1</v>
      </c>
      <c r="E40" s="68" t="s">
        <v>447</v>
      </c>
    </row>
    <row r="41" spans="1:5">
      <c r="A41" s="68">
        <v>0.322355</v>
      </c>
      <c r="B41" s="68">
        <v>0.37079600000000001</v>
      </c>
      <c r="C41" s="68">
        <v>15.801600000000001</v>
      </c>
      <c r="D41" s="68">
        <v>1</v>
      </c>
      <c r="E41" s="68" t="s">
        <v>448</v>
      </c>
    </row>
    <row r="42" spans="1:5">
      <c r="A42" s="68">
        <v>0.32578499999999999</v>
      </c>
      <c r="B42" s="68">
        <v>0.36815100000000001</v>
      </c>
      <c r="C42" s="68">
        <v>16.210899999999999</v>
      </c>
      <c r="D42" s="68">
        <v>1</v>
      </c>
      <c r="E42" s="68" t="s">
        <v>449</v>
      </c>
    </row>
    <row r="43" spans="1:5">
      <c r="A43" s="68">
        <v>0.32925399999999999</v>
      </c>
      <c r="B43" s="68">
        <v>0.36593999999999999</v>
      </c>
      <c r="C43" s="68">
        <v>16.613600000000002</v>
      </c>
      <c r="D43" s="68">
        <v>1</v>
      </c>
      <c r="E43" s="68" t="s">
        <v>450</v>
      </c>
    </row>
    <row r="44" spans="1:5">
      <c r="A44" s="68">
        <v>0.33288800000000002</v>
      </c>
      <c r="B44" s="68">
        <v>0.36370999999999998</v>
      </c>
      <c r="C44" s="68">
        <v>17.019400000000001</v>
      </c>
      <c r="D44" s="68">
        <v>1</v>
      </c>
      <c r="E44" s="68" t="s">
        <v>451</v>
      </c>
    </row>
    <row r="45" spans="1:5">
      <c r="A45" s="68">
        <v>0.33652100000000001</v>
      </c>
      <c r="B45" s="68">
        <v>0.36126000000000003</v>
      </c>
      <c r="C45" s="68">
        <v>17.425899999999999</v>
      </c>
      <c r="D45" s="68">
        <v>1</v>
      </c>
      <c r="E45" s="68" t="s">
        <v>452</v>
      </c>
    </row>
    <row r="46" spans="1:5">
      <c r="A46" s="68">
        <v>0.340368</v>
      </c>
      <c r="B46" s="68">
        <v>0.35786800000000002</v>
      </c>
      <c r="C46" s="68">
        <v>17.835100000000001</v>
      </c>
      <c r="D46" s="68">
        <v>1</v>
      </c>
      <c r="E46" s="68" t="s">
        <v>453</v>
      </c>
    </row>
    <row r="47" spans="1:5">
      <c r="A47" s="68">
        <v>0.34442099999999998</v>
      </c>
      <c r="B47" s="68">
        <v>0.35378900000000002</v>
      </c>
      <c r="C47" s="68">
        <v>18.238499999999998</v>
      </c>
      <c r="D47" s="68">
        <v>1</v>
      </c>
      <c r="E47" s="68" t="s">
        <v>454</v>
      </c>
    </row>
    <row r="48" spans="1:5">
      <c r="A48" s="68">
        <v>0.34854200000000002</v>
      </c>
      <c r="B48" s="68">
        <v>0.34979700000000002</v>
      </c>
      <c r="C48" s="68">
        <v>18.648399999999999</v>
      </c>
      <c r="D48" s="68">
        <v>1</v>
      </c>
      <c r="E48" s="68" t="s">
        <v>455</v>
      </c>
    </row>
    <row r="49" spans="1:5">
      <c r="A49" s="68">
        <v>0.35273599999999999</v>
      </c>
      <c r="B49" s="68">
        <v>0.345634</v>
      </c>
      <c r="C49" s="68">
        <v>19.053899999999999</v>
      </c>
      <c r="D49" s="68">
        <v>1</v>
      </c>
      <c r="E49" s="68" t="s">
        <v>456</v>
      </c>
    </row>
    <row r="50" spans="1:5">
      <c r="A50" s="68">
        <v>0.356765</v>
      </c>
      <c r="B50" s="68">
        <v>0.34141300000000002</v>
      </c>
      <c r="C50" s="68">
        <v>19.458100000000002</v>
      </c>
      <c r="D50" s="68">
        <v>1</v>
      </c>
      <c r="E50" s="68" t="s">
        <v>457</v>
      </c>
    </row>
    <row r="51" spans="1:5">
      <c r="A51" s="68">
        <v>0.36050700000000002</v>
      </c>
      <c r="B51" s="68">
        <v>0.33810400000000002</v>
      </c>
      <c r="C51" s="68">
        <v>19.863299999999999</v>
      </c>
      <c r="D51" s="68">
        <v>1</v>
      </c>
      <c r="E51" s="68" t="s">
        <v>458</v>
      </c>
    </row>
    <row r="52" spans="1:5">
      <c r="A52" s="68">
        <v>0.36337900000000001</v>
      </c>
      <c r="B52" s="68">
        <v>0.33667799999999998</v>
      </c>
      <c r="C52" s="68">
        <v>20.2742</v>
      </c>
      <c r="D52" s="68">
        <v>1</v>
      </c>
      <c r="E52" s="68" t="s">
        <v>459</v>
      </c>
    </row>
    <row r="53" spans="1:5">
      <c r="A53" s="68">
        <v>0.36704900000000001</v>
      </c>
      <c r="B53" s="68">
        <v>0.33399099999999998</v>
      </c>
      <c r="C53" s="68">
        <v>20.678799999999999</v>
      </c>
      <c r="D53" s="68">
        <v>1</v>
      </c>
      <c r="E53" s="68" t="s">
        <v>460</v>
      </c>
    </row>
    <row r="54" spans="1:5">
      <c r="A54" s="68">
        <v>0.37053199999999997</v>
      </c>
      <c r="B54" s="68">
        <v>0.33087</v>
      </c>
      <c r="C54" s="68">
        <v>21.0837</v>
      </c>
      <c r="D54" s="68">
        <v>1</v>
      </c>
      <c r="E54" s="68" t="s">
        <v>461</v>
      </c>
    </row>
    <row r="55" spans="1:5">
      <c r="A55" s="68">
        <v>0.37380200000000002</v>
      </c>
      <c r="B55" s="68">
        <v>0.32826</v>
      </c>
      <c r="C55" s="68">
        <v>21.494199999999999</v>
      </c>
      <c r="D55" s="68">
        <v>1</v>
      </c>
      <c r="E55" s="68" t="s">
        <v>462</v>
      </c>
    </row>
    <row r="56" spans="1:5">
      <c r="A56" s="68">
        <v>0.37647599999999998</v>
      </c>
      <c r="B56" s="68">
        <v>0.32607000000000003</v>
      </c>
      <c r="C56" s="68">
        <v>21.895</v>
      </c>
      <c r="D56" s="68">
        <v>1</v>
      </c>
      <c r="E56" s="68" t="s">
        <v>463</v>
      </c>
    </row>
    <row r="57" spans="1:5">
      <c r="A57" s="68">
        <v>0.37896600000000003</v>
      </c>
      <c r="B57" s="68">
        <v>0.32441900000000001</v>
      </c>
      <c r="C57" s="68">
        <v>22.302399999999999</v>
      </c>
      <c r="D57" s="68">
        <v>1</v>
      </c>
      <c r="E57" s="68" t="s">
        <v>464</v>
      </c>
    </row>
    <row r="58" spans="1:5">
      <c r="A58" s="68">
        <v>0.38113399999999997</v>
      </c>
      <c r="B58" s="68">
        <v>0.32360299999999997</v>
      </c>
      <c r="C58" s="68">
        <v>22.711099999999998</v>
      </c>
      <c r="D58" s="68">
        <v>1</v>
      </c>
      <c r="E58" s="68" t="s">
        <v>465</v>
      </c>
    </row>
    <row r="59" spans="1:5">
      <c r="A59" s="68">
        <v>0.38264300000000001</v>
      </c>
      <c r="B59" s="68">
        <v>0.32450099999999998</v>
      </c>
      <c r="C59" s="68">
        <v>23.116299999999999</v>
      </c>
      <c r="D59" s="68">
        <v>1</v>
      </c>
      <c r="E59" s="68" t="s">
        <v>466</v>
      </c>
    </row>
    <row r="60" spans="1:5">
      <c r="A60" s="68">
        <v>0.38379200000000002</v>
      </c>
      <c r="B60" s="68">
        <v>0.32506299999999999</v>
      </c>
      <c r="C60" s="68">
        <v>23.522300000000001</v>
      </c>
      <c r="D60" s="68">
        <v>1</v>
      </c>
      <c r="E60" s="68" t="s">
        <v>467</v>
      </c>
    </row>
    <row r="61" spans="1:5">
      <c r="A61" s="68">
        <v>0.38476199999999999</v>
      </c>
      <c r="B61" s="68">
        <v>0.32580300000000001</v>
      </c>
      <c r="C61" s="68">
        <v>23.926300000000001</v>
      </c>
      <c r="D61" s="68">
        <v>1</v>
      </c>
      <c r="E61" s="68" t="s">
        <v>468</v>
      </c>
    </row>
    <row r="62" spans="1:5">
      <c r="A62" s="68">
        <v>0.38528800000000002</v>
      </c>
      <c r="B62" s="68">
        <v>0.32696599999999998</v>
      </c>
      <c r="C62" s="68">
        <v>24.3339</v>
      </c>
      <c r="D62" s="68">
        <v>1</v>
      </c>
      <c r="E62" s="68" t="s">
        <v>469</v>
      </c>
    </row>
    <row r="63" spans="1:5">
      <c r="A63" s="68">
        <v>0.38534800000000002</v>
      </c>
      <c r="B63" s="68">
        <v>0.328569</v>
      </c>
      <c r="C63" s="68">
        <v>24.739100000000001</v>
      </c>
      <c r="D63" s="68">
        <v>1</v>
      </c>
      <c r="E63" s="68" t="s">
        <v>470</v>
      </c>
    </row>
    <row r="64" spans="1:5">
      <c r="A64" s="68">
        <v>0.385073</v>
      </c>
      <c r="B64" s="68">
        <v>0.33024300000000001</v>
      </c>
      <c r="C64" s="68">
        <v>25.147099999999998</v>
      </c>
      <c r="D64" s="68">
        <v>1</v>
      </c>
      <c r="E64" s="68" t="s">
        <v>471</v>
      </c>
    </row>
    <row r="65" spans="1:5">
      <c r="A65" s="68">
        <v>0.38449299999999997</v>
      </c>
      <c r="B65" s="68">
        <v>0.33250600000000002</v>
      </c>
      <c r="C65" s="68">
        <v>25.5503</v>
      </c>
      <c r="D65" s="68">
        <v>1</v>
      </c>
      <c r="E65" s="68" t="s">
        <v>472</v>
      </c>
    </row>
    <row r="66" spans="1:5">
      <c r="A66" s="68">
        <v>0.38343899999999997</v>
      </c>
      <c r="B66" s="68">
        <v>0.33491900000000002</v>
      </c>
      <c r="C66" s="68">
        <v>25.959099999999999</v>
      </c>
      <c r="D66" s="68">
        <v>1</v>
      </c>
      <c r="E66" s="68" t="s">
        <v>473</v>
      </c>
    </row>
    <row r="67" spans="1:5">
      <c r="A67" s="68">
        <v>0.38221699999999997</v>
      </c>
      <c r="B67" s="68">
        <v>0.33748899999999998</v>
      </c>
      <c r="C67" s="68">
        <v>26.3629</v>
      </c>
      <c r="D67" s="68">
        <v>1</v>
      </c>
      <c r="E67" s="68" t="s">
        <v>474</v>
      </c>
    </row>
    <row r="68" spans="1:5">
      <c r="A68" s="68">
        <v>0.38088899999999998</v>
      </c>
      <c r="B68" s="68">
        <v>0.34072000000000002</v>
      </c>
      <c r="C68" s="68">
        <v>26.7729</v>
      </c>
      <c r="D68" s="68">
        <v>1</v>
      </c>
      <c r="E68" s="68" t="s">
        <v>475</v>
      </c>
    </row>
    <row r="69" spans="1:5">
      <c r="A69" s="68">
        <v>0.37923299999999999</v>
      </c>
      <c r="B69" s="68">
        <v>0.34426499999999999</v>
      </c>
      <c r="C69" s="68">
        <v>27.178100000000001</v>
      </c>
      <c r="D69" s="68">
        <v>1</v>
      </c>
      <c r="E69" s="68" t="s">
        <v>476</v>
      </c>
    </row>
    <row r="70" spans="1:5">
      <c r="A70" s="68">
        <v>0.377195</v>
      </c>
      <c r="B70" s="68">
        <v>0.34822799999999998</v>
      </c>
      <c r="C70" s="68">
        <v>27.5837</v>
      </c>
      <c r="D70" s="68">
        <v>1</v>
      </c>
      <c r="E70" s="68" t="s">
        <v>477</v>
      </c>
    </row>
    <row r="71" spans="1:5">
      <c r="A71" s="68">
        <v>0.37469400000000003</v>
      </c>
      <c r="B71" s="68">
        <v>0.35256399999999999</v>
      </c>
      <c r="C71" s="68">
        <v>27.989599999999999</v>
      </c>
      <c r="D71" s="68">
        <v>1</v>
      </c>
      <c r="E71" s="68" t="s">
        <v>478</v>
      </c>
    </row>
    <row r="72" spans="1:5">
      <c r="A72" s="68">
        <v>0.37191800000000003</v>
      </c>
      <c r="B72" s="68">
        <v>0.35717500000000002</v>
      </c>
      <c r="C72" s="68">
        <v>28.395700000000001</v>
      </c>
      <c r="D72" s="68">
        <v>1</v>
      </c>
      <c r="E72" s="68" t="s">
        <v>479</v>
      </c>
    </row>
    <row r="73" spans="1:5">
      <c r="A73" s="68">
        <v>0.36917899999999998</v>
      </c>
      <c r="B73" s="68">
        <v>0.362122</v>
      </c>
      <c r="C73" s="68">
        <v>28.801300000000001</v>
      </c>
      <c r="D73" s="68">
        <v>1</v>
      </c>
      <c r="E73" s="68" t="s">
        <v>480</v>
      </c>
    </row>
    <row r="74" spans="1:5">
      <c r="A74" s="68">
        <v>0.36655799999999999</v>
      </c>
      <c r="B74" s="68">
        <v>0.36737399999999998</v>
      </c>
      <c r="C74" s="68">
        <v>29.209700000000002</v>
      </c>
      <c r="D74" s="68">
        <v>1</v>
      </c>
      <c r="E74" s="68" t="s">
        <v>481</v>
      </c>
    </row>
    <row r="75" spans="1:5">
      <c r="A75" s="68">
        <v>0.36371700000000001</v>
      </c>
      <c r="B75" s="68">
        <v>0.37265199999999998</v>
      </c>
      <c r="C75" s="68">
        <v>29.6175</v>
      </c>
      <c r="D75" s="68">
        <v>1</v>
      </c>
      <c r="E75" s="68" t="s">
        <v>482</v>
      </c>
    </row>
    <row r="76" spans="1:5">
      <c r="A76" s="68">
        <v>0.36083999999999999</v>
      </c>
      <c r="B76" s="68">
        <v>0.37767499999999998</v>
      </c>
      <c r="C76" s="68">
        <v>30.023199999999999</v>
      </c>
      <c r="D76" s="68">
        <v>2</v>
      </c>
      <c r="E76" s="68" t="s">
        <v>483</v>
      </c>
    </row>
    <row r="77" spans="1:5">
      <c r="A77" s="68">
        <v>0.35742200000000002</v>
      </c>
      <c r="B77" s="68">
        <v>0.382691</v>
      </c>
      <c r="C77" s="68">
        <v>30.616599999999998</v>
      </c>
      <c r="D77" s="68">
        <v>2</v>
      </c>
      <c r="E77" s="68" t="s">
        <v>484</v>
      </c>
    </row>
    <row r="78" spans="1:5">
      <c r="A78" s="68">
        <v>0.35458499999999998</v>
      </c>
      <c r="B78" s="68">
        <v>0.38771899999999998</v>
      </c>
      <c r="C78" s="68">
        <v>30.991700000000002</v>
      </c>
      <c r="D78" s="68">
        <v>2</v>
      </c>
      <c r="E78" s="68" t="s">
        <v>485</v>
      </c>
    </row>
    <row r="79" spans="1:5">
      <c r="A79" s="68">
        <v>0.35195199999999999</v>
      </c>
      <c r="B79" s="68">
        <v>0.39272299999999999</v>
      </c>
      <c r="C79" s="68">
        <v>31.366700000000002</v>
      </c>
      <c r="D79" s="68">
        <v>2</v>
      </c>
      <c r="E79" s="68" t="s">
        <v>486</v>
      </c>
    </row>
    <row r="80" spans="1:5">
      <c r="A80" s="68">
        <v>0.349856</v>
      </c>
      <c r="B80" s="68">
        <v>0.396787</v>
      </c>
      <c r="C80" s="68">
        <v>31.740100000000002</v>
      </c>
      <c r="D80" s="68">
        <v>2</v>
      </c>
      <c r="E80" s="68" t="s">
        <v>487</v>
      </c>
    </row>
    <row r="81" spans="1:5">
      <c r="A81" s="68">
        <v>0.34843499999999999</v>
      </c>
      <c r="B81" s="68">
        <v>0.400395</v>
      </c>
      <c r="C81" s="68">
        <v>32.113399999999999</v>
      </c>
      <c r="D81" s="68">
        <v>2</v>
      </c>
      <c r="E81" s="68" t="s">
        <v>488</v>
      </c>
    </row>
    <row r="82" spans="1:5">
      <c r="A82" s="68">
        <v>0.347333</v>
      </c>
      <c r="B82" s="68">
        <v>0.40370299999999998</v>
      </c>
      <c r="C82" s="68">
        <v>32.5197</v>
      </c>
      <c r="D82" s="68">
        <v>2</v>
      </c>
      <c r="E82" s="68" t="s">
        <v>489</v>
      </c>
    </row>
    <row r="83" spans="1:5">
      <c r="A83" s="68">
        <v>0.34638000000000002</v>
      </c>
      <c r="B83" s="68">
        <v>0.406088</v>
      </c>
      <c r="C83" s="68">
        <v>32.926400000000001</v>
      </c>
      <c r="D83" s="68">
        <v>2</v>
      </c>
      <c r="E83" s="68" t="s">
        <v>490</v>
      </c>
    </row>
    <row r="84" spans="1:5">
      <c r="A84" s="68">
        <v>0.345497</v>
      </c>
      <c r="B84" s="68">
        <v>0.40842299999999998</v>
      </c>
      <c r="C84" s="68">
        <v>33.334899999999998</v>
      </c>
      <c r="D84" s="68">
        <v>2</v>
      </c>
      <c r="E84" s="68" t="s">
        <v>491</v>
      </c>
    </row>
    <row r="85" spans="1:5">
      <c r="A85" s="68">
        <v>0.34454200000000001</v>
      </c>
      <c r="B85" s="68">
        <v>0.41097499999999998</v>
      </c>
      <c r="C85" s="68">
        <v>33.737499999999997</v>
      </c>
      <c r="D85" s="68">
        <v>2</v>
      </c>
      <c r="E85" s="68" t="s">
        <v>492</v>
      </c>
    </row>
    <row r="86" spans="1:5">
      <c r="A86" s="68">
        <v>0.34347800000000001</v>
      </c>
      <c r="B86" s="68">
        <v>0.41328900000000002</v>
      </c>
      <c r="C86" s="68">
        <v>34.145000000000003</v>
      </c>
      <c r="D86" s="68">
        <v>2</v>
      </c>
      <c r="E86" s="68" t="s">
        <v>493</v>
      </c>
    </row>
    <row r="87" spans="1:5">
      <c r="A87" s="68">
        <v>0.34252500000000002</v>
      </c>
      <c r="B87" s="68">
        <v>0.41500199999999998</v>
      </c>
      <c r="C87" s="68">
        <v>34.555399999999999</v>
      </c>
      <c r="D87" s="68">
        <v>2</v>
      </c>
      <c r="E87" s="68" t="s">
        <v>494</v>
      </c>
    </row>
    <row r="88" spans="1:5">
      <c r="A88" s="68">
        <v>0.34193099999999998</v>
      </c>
      <c r="B88" s="68">
        <v>0.41613</v>
      </c>
      <c r="C88" s="68">
        <v>34.960500000000003</v>
      </c>
      <c r="D88" s="68">
        <v>2</v>
      </c>
      <c r="E88" s="68" t="s">
        <v>495</v>
      </c>
    </row>
    <row r="89" spans="1:5">
      <c r="A89" s="68">
        <v>0.34159299999999998</v>
      </c>
      <c r="B89" s="68">
        <v>0.416545</v>
      </c>
      <c r="C89" s="68">
        <v>35.3658</v>
      </c>
      <c r="D89" s="68">
        <v>2</v>
      </c>
      <c r="E89" s="68" t="s">
        <v>496</v>
      </c>
    </row>
    <row r="90" spans="1:5">
      <c r="A90" s="68">
        <v>0.34168799999999999</v>
      </c>
      <c r="B90" s="68">
        <v>0.416296</v>
      </c>
      <c r="C90" s="68">
        <v>35.770699999999998</v>
      </c>
      <c r="D90" s="68">
        <v>2</v>
      </c>
      <c r="E90" s="68" t="s">
        <v>497</v>
      </c>
    </row>
    <row r="91" spans="1:5">
      <c r="A91" s="68">
        <v>0.34179599999999999</v>
      </c>
      <c r="B91" s="68">
        <v>0.41653200000000001</v>
      </c>
      <c r="C91" s="68">
        <v>36.177500000000002</v>
      </c>
      <c r="D91" s="68">
        <v>2</v>
      </c>
      <c r="E91" s="68" t="s">
        <v>498</v>
      </c>
    </row>
    <row r="92" spans="1:5">
      <c r="A92" s="68">
        <v>0.34183599999999997</v>
      </c>
      <c r="B92" s="68">
        <v>0.41672799999999999</v>
      </c>
      <c r="C92" s="68">
        <v>36.5839</v>
      </c>
      <c r="D92" s="68">
        <v>2</v>
      </c>
      <c r="E92" s="68" t="s">
        <v>499</v>
      </c>
    </row>
    <row r="93" spans="1:5">
      <c r="A93" s="68">
        <v>0.34200599999999998</v>
      </c>
      <c r="B93" s="68">
        <v>0.416238</v>
      </c>
      <c r="C93" s="68">
        <v>36.994199999999999</v>
      </c>
      <c r="D93" s="68">
        <v>2</v>
      </c>
      <c r="E93" s="68" t="s">
        <v>500</v>
      </c>
    </row>
    <row r="94" spans="1:5">
      <c r="A94" s="68">
        <v>0.34238400000000002</v>
      </c>
      <c r="B94" s="68">
        <v>0.4158</v>
      </c>
      <c r="C94" s="68">
        <v>37.3977</v>
      </c>
      <c r="D94" s="68">
        <v>2</v>
      </c>
      <c r="E94" s="68" t="s">
        <v>501</v>
      </c>
    </row>
    <row r="95" spans="1:5">
      <c r="A95" s="68">
        <v>0.34325</v>
      </c>
      <c r="B95" s="68">
        <v>0.41505500000000001</v>
      </c>
      <c r="C95" s="68">
        <v>37.802599999999998</v>
      </c>
      <c r="D95" s="68">
        <v>2</v>
      </c>
      <c r="E95" s="68" t="s">
        <v>502</v>
      </c>
    </row>
    <row r="96" spans="1:5">
      <c r="A96" s="68">
        <v>0.34432699999999999</v>
      </c>
      <c r="B96" s="68">
        <v>0.41471999999999998</v>
      </c>
      <c r="C96" s="68">
        <v>38.206899999999997</v>
      </c>
      <c r="D96" s="68">
        <v>2</v>
      </c>
      <c r="E96" s="68" t="s">
        <v>503</v>
      </c>
    </row>
    <row r="97" spans="1:5">
      <c r="A97" s="68">
        <v>0.34539799999999998</v>
      </c>
      <c r="B97" s="68">
        <v>0.41489700000000002</v>
      </c>
      <c r="C97" s="68">
        <v>38.612200000000001</v>
      </c>
      <c r="D97" s="68">
        <v>2</v>
      </c>
      <c r="E97" s="68" t="s">
        <v>504</v>
      </c>
    </row>
    <row r="98" spans="1:5">
      <c r="A98" s="68">
        <v>0.34644999999999998</v>
      </c>
      <c r="B98" s="68">
        <v>0.41538399999999998</v>
      </c>
      <c r="C98" s="68">
        <v>39.024299999999997</v>
      </c>
      <c r="D98" s="68">
        <v>2</v>
      </c>
      <c r="E98" s="68" t="s">
        <v>505</v>
      </c>
    </row>
    <row r="99" spans="1:5">
      <c r="A99" s="68">
        <v>0.34756500000000001</v>
      </c>
      <c r="B99" s="68">
        <v>0.415989</v>
      </c>
      <c r="C99" s="68">
        <v>39.427999999999997</v>
      </c>
      <c r="D99" s="68">
        <v>2</v>
      </c>
      <c r="E99" s="68" t="s">
        <v>506</v>
      </c>
    </row>
    <row r="100" spans="1:5">
      <c r="A100" s="68">
        <v>0.34897800000000001</v>
      </c>
      <c r="B100" s="68">
        <v>0.41699900000000001</v>
      </c>
      <c r="C100" s="68">
        <v>39.832299999999996</v>
      </c>
      <c r="D100" s="68">
        <v>2</v>
      </c>
      <c r="E100" s="68" t="s">
        <v>507</v>
      </c>
    </row>
    <row r="101" spans="1:5">
      <c r="A101" s="68">
        <v>0.35050999999999999</v>
      </c>
      <c r="B101" s="68">
        <v>0.41798099999999999</v>
      </c>
      <c r="C101" s="68">
        <v>40.239899999999999</v>
      </c>
      <c r="D101" s="68">
        <v>2</v>
      </c>
      <c r="E101" s="68" t="s">
        <v>508</v>
      </c>
    </row>
    <row r="102" spans="1:5">
      <c r="A102" s="68">
        <v>0.35194799999999998</v>
      </c>
      <c r="B102" s="68">
        <v>0.41950700000000002</v>
      </c>
      <c r="C102" s="68">
        <v>40.647100000000002</v>
      </c>
      <c r="D102" s="68">
        <v>2</v>
      </c>
      <c r="E102" s="68" t="s">
        <v>509</v>
      </c>
    </row>
    <row r="103" spans="1:5">
      <c r="A103" s="68">
        <v>0.353348</v>
      </c>
      <c r="B103" s="68">
        <v>0.421817</v>
      </c>
      <c r="C103" s="68">
        <v>41.052700000000002</v>
      </c>
      <c r="D103" s="68">
        <v>2</v>
      </c>
      <c r="E103" s="68" t="s">
        <v>510</v>
      </c>
    </row>
    <row r="104" spans="1:5">
      <c r="A104" s="68">
        <v>0.35472700000000001</v>
      </c>
      <c r="B104" s="68">
        <v>0.42431200000000002</v>
      </c>
      <c r="C104" s="68">
        <v>41.458500000000001</v>
      </c>
      <c r="D104" s="68">
        <v>2</v>
      </c>
      <c r="E104" s="68" t="s">
        <v>511</v>
      </c>
    </row>
    <row r="105" spans="1:5">
      <c r="A105" s="68">
        <v>0.35569299999999998</v>
      </c>
      <c r="B105" s="68">
        <v>0.42716199999999999</v>
      </c>
      <c r="C105" s="68">
        <v>41.866199999999999</v>
      </c>
      <c r="D105" s="68">
        <v>2</v>
      </c>
      <c r="E105" s="68" t="s">
        <v>512</v>
      </c>
    </row>
    <row r="106" spans="1:5">
      <c r="A106" s="68">
        <v>0.35641699999999998</v>
      </c>
      <c r="B106" s="68">
        <v>0.42896099999999998</v>
      </c>
      <c r="C106" s="68">
        <v>42.271299999999997</v>
      </c>
      <c r="D106" s="68">
        <v>2</v>
      </c>
      <c r="E106" s="68" t="s">
        <v>513</v>
      </c>
    </row>
    <row r="107" spans="1:5">
      <c r="A107" s="68">
        <v>0.357103</v>
      </c>
      <c r="B107" s="68">
        <v>0.429925</v>
      </c>
      <c r="C107" s="68">
        <v>42.676400000000001</v>
      </c>
      <c r="D107" s="68">
        <v>2</v>
      </c>
      <c r="E107" s="68" t="s">
        <v>514</v>
      </c>
    </row>
    <row r="108" spans="1:5">
      <c r="A108" s="68">
        <v>0.35769000000000001</v>
      </c>
      <c r="B108" s="68">
        <v>0.43022899999999997</v>
      </c>
      <c r="C108" s="68">
        <v>43.084400000000002</v>
      </c>
      <c r="D108" s="68">
        <v>2</v>
      </c>
      <c r="E108" s="68" t="s">
        <v>515</v>
      </c>
    </row>
    <row r="109" spans="1:5">
      <c r="A109" s="68">
        <v>0.35860900000000001</v>
      </c>
      <c r="B109" s="68">
        <v>0.429425</v>
      </c>
      <c r="C109" s="68">
        <v>43.489100000000001</v>
      </c>
      <c r="D109" s="68">
        <v>2</v>
      </c>
      <c r="E109" s="68" t="s">
        <v>516</v>
      </c>
    </row>
    <row r="110" spans="1:5">
      <c r="A110" s="68">
        <v>0.359624</v>
      </c>
      <c r="B110" s="68">
        <v>0.42810700000000002</v>
      </c>
      <c r="C110" s="68">
        <v>43.894300000000001</v>
      </c>
      <c r="D110" s="68">
        <v>2</v>
      </c>
      <c r="E110" s="68" t="s">
        <v>517</v>
      </c>
    </row>
    <row r="111" spans="1:5">
      <c r="A111" s="68">
        <v>0.36083900000000002</v>
      </c>
      <c r="B111" s="68">
        <v>0.42638300000000001</v>
      </c>
      <c r="C111" s="68">
        <v>44.303400000000003</v>
      </c>
      <c r="D111" s="68">
        <v>2</v>
      </c>
      <c r="E111" s="68" t="s">
        <v>518</v>
      </c>
    </row>
    <row r="112" spans="1:5">
      <c r="A112" s="68">
        <v>0.36218</v>
      </c>
      <c r="B112" s="68">
        <v>0.42464499999999999</v>
      </c>
      <c r="C112" s="68">
        <v>44.707999999999998</v>
      </c>
      <c r="D112" s="68">
        <v>2</v>
      </c>
      <c r="E112" s="68" t="s">
        <v>519</v>
      </c>
    </row>
    <row r="113" spans="1:5">
      <c r="A113" s="68">
        <v>0.363514</v>
      </c>
      <c r="B113" s="68">
        <v>0.42268899999999998</v>
      </c>
      <c r="C113" s="68">
        <v>45.113700000000001</v>
      </c>
      <c r="D113" s="68">
        <v>2</v>
      </c>
      <c r="E113" s="68" t="s">
        <v>520</v>
      </c>
    </row>
    <row r="114" spans="1:5">
      <c r="A114" s="68">
        <v>0.36490699999999998</v>
      </c>
      <c r="B114" s="68">
        <v>0.42039700000000002</v>
      </c>
      <c r="C114" s="68">
        <v>45.521700000000003</v>
      </c>
      <c r="D114" s="68">
        <v>2</v>
      </c>
      <c r="E114" s="68" t="s">
        <v>521</v>
      </c>
    </row>
    <row r="115" spans="1:5">
      <c r="A115" s="68">
        <v>0.36605700000000002</v>
      </c>
      <c r="B115" s="68">
        <v>0.41797899999999999</v>
      </c>
      <c r="C115" s="68">
        <v>45.927300000000002</v>
      </c>
      <c r="D115" s="68">
        <v>2</v>
      </c>
      <c r="E115" s="68" t="s">
        <v>522</v>
      </c>
    </row>
    <row r="116" spans="1:5">
      <c r="A116" s="68">
        <v>0.367058</v>
      </c>
      <c r="B116" s="68">
        <v>0.41587499999999999</v>
      </c>
      <c r="C116" s="68">
        <v>46.332099999999997</v>
      </c>
      <c r="D116" s="68">
        <v>2</v>
      </c>
      <c r="E116" s="68" t="s">
        <v>523</v>
      </c>
    </row>
    <row r="117" spans="1:5">
      <c r="A117" s="68">
        <v>0.36790899999999999</v>
      </c>
      <c r="B117" s="68">
        <v>0.41417300000000001</v>
      </c>
      <c r="C117" s="68">
        <v>46.7393</v>
      </c>
      <c r="D117" s="68">
        <v>2</v>
      </c>
      <c r="E117" s="68" t="s">
        <v>524</v>
      </c>
    </row>
    <row r="118" spans="1:5">
      <c r="A118" s="68">
        <v>0.36874899999999999</v>
      </c>
      <c r="B118" s="68">
        <v>0.41288399999999997</v>
      </c>
      <c r="C118" s="68">
        <v>47.149700000000003</v>
      </c>
      <c r="D118" s="68">
        <v>2</v>
      </c>
      <c r="E118" s="68" t="s">
        <v>525</v>
      </c>
    </row>
    <row r="119" spans="1:5">
      <c r="A119" s="68">
        <v>0.36979099999999998</v>
      </c>
      <c r="B119" s="68">
        <v>0.41131899999999999</v>
      </c>
      <c r="C119" s="68">
        <v>47.554000000000002</v>
      </c>
      <c r="D119" s="68">
        <v>2</v>
      </c>
      <c r="E119" s="68" t="s">
        <v>526</v>
      </c>
    </row>
    <row r="120" spans="1:5">
      <c r="A120" s="68">
        <v>0.37092000000000003</v>
      </c>
      <c r="B120" s="68">
        <v>0.40917900000000001</v>
      </c>
      <c r="C120" s="68">
        <v>47.958500000000001</v>
      </c>
      <c r="D120" s="68">
        <v>2</v>
      </c>
      <c r="E120" s="68" t="s">
        <v>527</v>
      </c>
    </row>
    <row r="121" spans="1:5">
      <c r="A121" s="68">
        <v>0.37189</v>
      </c>
      <c r="B121" s="68">
        <v>0.40691899999999998</v>
      </c>
      <c r="C121" s="68">
        <v>48.368299999999998</v>
      </c>
      <c r="D121" s="68">
        <v>2</v>
      </c>
      <c r="E121" s="68" t="s">
        <v>528</v>
      </c>
    </row>
    <row r="122" spans="1:5">
      <c r="A122" s="68">
        <v>0.37281799999999998</v>
      </c>
      <c r="B122" s="68">
        <v>0.40489199999999997</v>
      </c>
      <c r="C122" s="68">
        <v>48.7712</v>
      </c>
      <c r="D122" s="68">
        <v>2</v>
      </c>
      <c r="E122" s="68" t="s">
        <v>529</v>
      </c>
    </row>
    <row r="123" spans="1:5">
      <c r="A123" s="68">
        <v>0.37379600000000002</v>
      </c>
      <c r="B123" s="68">
        <v>0.40326400000000001</v>
      </c>
      <c r="C123" s="68">
        <v>49.178600000000003</v>
      </c>
      <c r="D123" s="68">
        <v>2</v>
      </c>
      <c r="E123" s="68" t="s">
        <v>530</v>
      </c>
    </row>
    <row r="124" spans="1:5">
      <c r="A124" s="68">
        <v>0.37497799999999998</v>
      </c>
      <c r="B124" s="68">
        <v>0.40190700000000001</v>
      </c>
      <c r="C124" s="68">
        <v>49.587000000000003</v>
      </c>
      <c r="D124" s="68">
        <v>2</v>
      </c>
      <c r="E124" s="68" t="s">
        <v>531</v>
      </c>
    </row>
    <row r="125" spans="1:5">
      <c r="A125" s="68">
        <v>0.37610700000000002</v>
      </c>
      <c r="B125" s="68">
        <v>0.40121099999999998</v>
      </c>
      <c r="C125" s="68">
        <v>49.990299999999998</v>
      </c>
      <c r="D125" s="68">
        <v>2</v>
      </c>
      <c r="E125" s="68" t="s">
        <v>532</v>
      </c>
    </row>
    <row r="126" spans="1:5">
      <c r="A126" s="68">
        <v>0.37670399999999998</v>
      </c>
      <c r="B126" s="68">
        <v>0.39989000000000002</v>
      </c>
      <c r="C126" s="68">
        <v>50.396099999999997</v>
      </c>
      <c r="D126" s="68">
        <v>2</v>
      </c>
      <c r="E126" s="68" t="s">
        <v>533</v>
      </c>
    </row>
    <row r="127" spans="1:5">
      <c r="A127" s="68">
        <v>0.37746800000000003</v>
      </c>
      <c r="B127" s="68">
        <v>0.39832299999999998</v>
      </c>
      <c r="C127" s="68">
        <v>50.799900000000001</v>
      </c>
      <c r="D127" s="68">
        <v>2</v>
      </c>
      <c r="E127" s="68" t="s">
        <v>534</v>
      </c>
    </row>
    <row r="128" spans="1:5">
      <c r="A128" s="68">
        <v>0.37841399999999997</v>
      </c>
      <c r="B128" s="68">
        <v>0.39652100000000001</v>
      </c>
      <c r="C128" s="68">
        <v>51.208100000000002</v>
      </c>
      <c r="D128" s="68">
        <v>2</v>
      </c>
      <c r="E128" s="68" t="s">
        <v>535</v>
      </c>
    </row>
    <row r="129" spans="1:5">
      <c r="A129" s="68">
        <v>0.37928600000000001</v>
      </c>
      <c r="B129" s="68">
        <v>0.394538</v>
      </c>
      <c r="C129" s="68">
        <v>51.6128</v>
      </c>
      <c r="D129" s="68">
        <v>2</v>
      </c>
      <c r="E129" s="68" t="s">
        <v>536</v>
      </c>
    </row>
    <row r="130" spans="1:5">
      <c r="A130" s="68">
        <v>0.38040499999999999</v>
      </c>
      <c r="B130" s="68">
        <v>0.39259500000000003</v>
      </c>
      <c r="C130" s="68">
        <v>52.018300000000004</v>
      </c>
      <c r="D130" s="68">
        <v>2</v>
      </c>
      <c r="E130" s="68" t="s">
        <v>537</v>
      </c>
    </row>
    <row r="131" spans="1:5">
      <c r="A131" s="68">
        <v>0.38148199999999999</v>
      </c>
      <c r="B131" s="68">
        <v>0.39095600000000003</v>
      </c>
      <c r="C131" s="68">
        <v>52.427199999999999</v>
      </c>
      <c r="D131" s="68">
        <v>2</v>
      </c>
      <c r="E131" s="68" t="s">
        <v>538</v>
      </c>
    </row>
    <row r="132" spans="1:5">
      <c r="A132" s="68">
        <v>0.38248100000000002</v>
      </c>
      <c r="B132" s="68">
        <v>0.38987300000000003</v>
      </c>
      <c r="C132" s="68">
        <v>52.834499999999998</v>
      </c>
      <c r="D132" s="68">
        <v>2</v>
      </c>
      <c r="E132" s="68" t="s">
        <v>539</v>
      </c>
    </row>
    <row r="133" spans="1:5">
      <c r="A133" s="68">
        <v>0.38338800000000001</v>
      </c>
      <c r="B133" s="68">
        <v>0.38909300000000002</v>
      </c>
      <c r="C133" s="68">
        <v>53.238999999999997</v>
      </c>
      <c r="D133" s="68">
        <v>2</v>
      </c>
      <c r="E133" s="68" t="s">
        <v>540</v>
      </c>
    </row>
    <row r="134" spans="1:5">
      <c r="A134" s="68">
        <v>0.38400200000000001</v>
      </c>
      <c r="B134" s="68">
        <v>0.38845000000000002</v>
      </c>
      <c r="C134" s="68">
        <v>53.645000000000003</v>
      </c>
      <c r="D134" s="68">
        <v>2</v>
      </c>
      <c r="E134" s="68" t="s">
        <v>541</v>
      </c>
    </row>
    <row r="135" spans="1:5">
      <c r="A135" s="68">
        <v>0.38459700000000002</v>
      </c>
      <c r="B135" s="68">
        <v>0.38828699999999999</v>
      </c>
      <c r="C135" s="68">
        <v>54.050400000000003</v>
      </c>
      <c r="D135" s="68">
        <v>2</v>
      </c>
      <c r="E135" s="68" t="s">
        <v>542</v>
      </c>
    </row>
    <row r="136" spans="1:5">
      <c r="A136" s="68">
        <v>0.38514399999999999</v>
      </c>
      <c r="B136" s="68">
        <v>0.388706</v>
      </c>
      <c r="C136" s="68">
        <v>54.4589</v>
      </c>
      <c r="D136" s="68">
        <v>2</v>
      </c>
      <c r="E136" s="68" t="s">
        <v>543</v>
      </c>
    </row>
    <row r="137" spans="1:5">
      <c r="A137" s="68">
        <v>0.38562999999999997</v>
      </c>
      <c r="B137" s="68">
        <v>0.389042</v>
      </c>
      <c r="C137" s="68">
        <v>54.868200000000002</v>
      </c>
      <c r="D137" s="68">
        <v>2</v>
      </c>
      <c r="E137" s="68" t="s">
        <v>544</v>
      </c>
    </row>
    <row r="138" spans="1:5">
      <c r="A138" s="68">
        <v>0.38610699999999998</v>
      </c>
      <c r="B138" s="68">
        <v>0.38968799999999998</v>
      </c>
      <c r="C138" s="68">
        <v>55.271099999999997</v>
      </c>
      <c r="D138" s="68">
        <v>2</v>
      </c>
      <c r="E138" s="68" t="s">
        <v>545</v>
      </c>
    </row>
    <row r="139" spans="1:5">
      <c r="A139" s="68">
        <v>0.38610499999999998</v>
      </c>
      <c r="B139" s="68">
        <v>0.39126499999999997</v>
      </c>
      <c r="C139" s="68">
        <v>55.675600000000003</v>
      </c>
      <c r="D139" s="68">
        <v>2</v>
      </c>
      <c r="E139" s="68" t="s">
        <v>546</v>
      </c>
    </row>
    <row r="140" spans="1:5">
      <c r="A140" s="68">
        <v>0.38610299999999997</v>
      </c>
      <c r="B140" s="68">
        <v>0.39337100000000003</v>
      </c>
      <c r="C140" s="68">
        <v>56.082900000000002</v>
      </c>
      <c r="D140" s="68">
        <v>2</v>
      </c>
      <c r="E140" s="68" t="s">
        <v>547</v>
      </c>
    </row>
    <row r="141" spans="1:5">
      <c r="A141" s="68">
        <v>0.38649499999999998</v>
      </c>
      <c r="B141" s="68">
        <v>0.39538499999999999</v>
      </c>
      <c r="C141" s="68">
        <v>56.490499999999997</v>
      </c>
      <c r="D141" s="68">
        <v>2</v>
      </c>
      <c r="E141" s="68" t="s">
        <v>548</v>
      </c>
    </row>
    <row r="142" spans="1:5">
      <c r="A142" s="68">
        <v>0.38735599999999998</v>
      </c>
      <c r="B142" s="68">
        <v>0.397117</v>
      </c>
      <c r="C142" s="68">
        <v>56.897599999999997</v>
      </c>
      <c r="D142" s="68">
        <v>2</v>
      </c>
      <c r="E142" s="68" t="s">
        <v>549</v>
      </c>
    </row>
    <row r="143" spans="1:5">
      <c r="A143" s="68">
        <v>0.38838800000000001</v>
      </c>
      <c r="B143" s="68">
        <v>0.39865299999999998</v>
      </c>
      <c r="C143" s="68">
        <v>57.301699999999997</v>
      </c>
      <c r="D143" s="68">
        <v>2</v>
      </c>
      <c r="E143" s="68" t="s">
        <v>550</v>
      </c>
    </row>
    <row r="144" spans="1:5">
      <c r="A144" s="68">
        <v>0.38876300000000003</v>
      </c>
      <c r="B144" s="68">
        <v>0.40007599999999999</v>
      </c>
      <c r="C144" s="68">
        <v>57.710700000000003</v>
      </c>
      <c r="D144" s="68">
        <v>2</v>
      </c>
      <c r="E144" s="68" t="s">
        <v>551</v>
      </c>
    </row>
    <row r="145" spans="1:5">
      <c r="A145" s="68">
        <v>0.38860800000000001</v>
      </c>
      <c r="B145" s="68">
        <v>0.40350000000000003</v>
      </c>
      <c r="C145" s="68">
        <v>58.118099999999998</v>
      </c>
      <c r="D145" s="68">
        <v>2</v>
      </c>
      <c r="E145" s="68" t="s">
        <v>552</v>
      </c>
    </row>
    <row r="146" spans="1:5">
      <c r="A146" s="68">
        <v>0.38868999999999998</v>
      </c>
      <c r="B146" s="68">
        <v>0.40820099999999998</v>
      </c>
      <c r="C146" s="68">
        <v>58.523800000000001</v>
      </c>
      <c r="D146" s="68">
        <v>2</v>
      </c>
      <c r="E146" s="68" t="s">
        <v>553</v>
      </c>
    </row>
    <row r="147" spans="1:5">
      <c r="A147" s="68">
        <v>0.389822</v>
      </c>
      <c r="B147" s="68">
        <v>0.41326099999999999</v>
      </c>
      <c r="C147" s="68">
        <v>58.927100000000003</v>
      </c>
      <c r="D147" s="68">
        <v>2</v>
      </c>
      <c r="E147" s="68" t="s">
        <v>554</v>
      </c>
    </row>
    <row r="148" spans="1:5">
      <c r="A148" s="68">
        <v>0.39155699999999999</v>
      </c>
      <c r="B148" s="68">
        <v>0.41842200000000002</v>
      </c>
      <c r="C148" s="68">
        <v>59.3339</v>
      </c>
      <c r="D148" s="68">
        <v>2</v>
      </c>
      <c r="E148" s="68" t="s">
        <v>555</v>
      </c>
    </row>
    <row r="149" spans="1:5">
      <c r="A149" s="68">
        <v>0.39000400000000002</v>
      </c>
      <c r="B149" s="68">
        <v>0.42598599999999998</v>
      </c>
      <c r="C149" s="68">
        <v>59.738300000000002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43612.683275462965</v>
      </c>
      <c r="B2" s="66" t="s">
        <v>558</v>
      </c>
      <c r="C2" s="66"/>
      <c r="D2" s="66"/>
      <c r="E2" s="66">
        <v>4.9234099999999996</v>
      </c>
      <c r="F2" s="66">
        <v>1.78346</v>
      </c>
      <c r="G2" s="66">
        <v>0.59538500000000005</v>
      </c>
      <c r="H2" s="66">
        <v>0</v>
      </c>
      <c r="I2" s="66">
        <v>106939</v>
      </c>
      <c r="J2" s="66">
        <v>78</v>
      </c>
      <c r="K2" s="66">
        <v>78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2019-05-21T09:17:45Z</cp:lastPrinted>
  <dcterms:created xsi:type="dcterms:W3CDTF">2010-10-29T12:53:05Z</dcterms:created>
  <dcterms:modified xsi:type="dcterms:W3CDTF">2019-05-27T08:24:46Z</dcterms:modified>
</cp:coreProperties>
</file>