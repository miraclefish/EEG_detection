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<sst xmlns="http://schemas.openxmlformats.org/spreadsheetml/2006/main" count="627" uniqueCount="442">
  <si>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</si>
  <si>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</si>
  <si>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</si>
  <si>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</si>
  <si>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</si>
  <si>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</si>
  <si>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</si>
  <si>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</si>
  <si>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</si>
  <si>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</si>
  <si>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</si>
  <si>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</si>
  <si>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</si>
  <si>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</si>
  <si>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</si>
  <si>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</si>
  <si>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</si>
  <si>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</si>
  <si>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</si>
  <si>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</si>
  <si>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</si>
  <si>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</si>
  <si>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</si>
  <si>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</si>
  <si>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</si>
  <si>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</si>
  <si>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</si>
  <si>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</si>
  <si>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</si>
  <si>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</si>
  <si>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</si>
  <si>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</si>
  <si>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</si>
  <si>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</si>
  <si>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</si>
  <si>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</si>
  <si>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</si>
  <si>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</si>
  <si>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</si>
  <si>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</si>
  <si>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</si>
  <si>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</si>
  <si>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</si>
  <si>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</si>
  <si>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</si>
  <si>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</si>
  <si>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</si>
  <si>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</si>
  <si>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</si>
  <si>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</si>
  <si>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</si>
  <si>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</si>
  <si>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</si>
  <si>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</si>
  <si>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</si>
  <si>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</si>
  <si>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</si>
  <si>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</si>
  <si>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</si>
  <si>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</si>
  <si>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</si>
  <si>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</si>
  <si>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</si>
  <si>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</si>
  <si>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</si>
  <si>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</si>
  <si>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</si>
  <si>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</si>
  <si>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</si>
  <si>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</si>
  <si>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</si>
  <si>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</si>
  <si>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</si>
  <si>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</si>
  <si>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</si>
  <si>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</si>
  <si>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</si>
  <si>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</si>
  <si>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</si>
  <si>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</si>
  <si>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</si>
  <si>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</si>
  <si>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</si>
  <si>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</si>
  <si>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</si>
  <si>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</si>
  <si>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</si>
  <si>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</si>
  <si>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</si>
  <si>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</si>
  <si>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</si>
  <si>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</si>
  <si>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</si>
  <si>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</si>
  <si>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</si>
  <si>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</si>
  <si>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</si>
  <si>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</si>
  <si>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</si>
  <si>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</si>
  <si>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</si>
  <si>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</si>
  <si>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</si>
  <si>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</si>
  <si>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</si>
  <si>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</si>
  <si>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</si>
  <si>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</si>
  <si>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</si>
  <si>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</si>
  <si>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</si>
  <si>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</si>
  <si>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</si>
  <si>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</si>
  <si>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</si>
  <si>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</si>
  <si>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</si>
  <si>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</si>
  <si>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</si>
  <si>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</si>
  <si>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</si>
  <si>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</si>
  <si>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</si>
  <si>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</si>
  <si>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</si>
  <si>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</si>
  <si>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</si>
  <si>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</si>
  <si>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</si>
  <si>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</si>
  <si>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</si>
  <si>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</si>
  <si>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</si>
  <si>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</si>
  <si>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</si>
  <si>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</si>
  <si>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</si>
  <si>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</si>
  <si>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</si>
  <si>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</si>
  <si>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</si>
  <si>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</si>
  <si>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</si>
  <si>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</si>
  <si>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</si>
  <si>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</si>
  <si>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</si>
  <si>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</si>
  <si>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</si>
  <si>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</si>
  <si>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</si>
  <si>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</si>
  <si>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</si>
  <si>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</si>
  <si>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</si>
  <si>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</si>
  <si>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</si>
  <si>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</si>
  <si>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</si>
  <si>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</si>
  <si>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</si>
  <si>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</si>
  <si>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</si>
  <si>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</si>
  <si>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</si>
  <si>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</si>
  <si>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</si>
  <si>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</si>
  <si>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</si>
  <si>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</si>
  <si>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</si>
  <si>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</si>
  <si>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</si>
  <si>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</si>
  <si>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</si>
  <si>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</si>
  <si>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</si>
  <si>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</si>
  <si>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</si>
  <si>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</si>
  <si>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</si>
  <si>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</si>
  <si>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</si>
  <si>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</si>
  <si>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</si>
  <si>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</si>
  <si>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</si>
  <si>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</si>
  <si>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</si>
  <si>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</si>
  <si>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</si>
  <si>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</si>
  <si>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</si>
  <si>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</si>
  <si>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</si>
  <si>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</si>
  <si>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</si>
  <si>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</si>
  <si>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</si>
  <si>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</si>
  <si>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</si>
  <si>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</si>
  <si>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</si>
  <si>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</si>
  <si>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</si>
  <si>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</si>
  <si>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</si>
  <si>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</si>
  <si>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</si>
  <si>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</si>
  <si>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</si>
  <si>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</si>
  <si>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</si>
  <si>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</si>
  <si>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</si>
  <si>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</si>
  <si>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</si>
  <si>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</si>
  <si>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</si>
  <si>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</si>
  <si>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</si>
  <si>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</si>
  <si>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</si>
  <si>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</si>
  <si>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</si>
  <si>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</si>
  <si>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</si>
  <si>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</si>
  <si>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</si>
  <si>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</si>
  <si>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</si>
  <si>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</si>
  <si>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</si>
  <si>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</si>
  <si>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</si>
  <si>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</si>
  <si>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</si>
  <si>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</si>
  <si>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</si>
  <si>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</si>
  <si>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</si>
  <si>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</si>
  <si>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</si>
  <si>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</si>
  <si>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</si>
  <si>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</si>
  <si>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</si>
  <si>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</si>
  <si>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</si>
  <si>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</si>
  <si>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</si>
  <si>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</si>
  <si>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</si>
  <si>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</si>
  <si>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</si>
  <si>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</si>
  <si>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</si>
  <si>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</si>
  <si>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</si>
  <si>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</si>
  <si>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</si>
  <si>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</si>
  <si>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</si>
  <si>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</si>
  <si>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</si>
  <si>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</si>
  <si>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</si>
  <si>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</si>
  <si>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</si>
  <si>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</si>
  <si>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</si>
  <si>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</si>
  <si>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</si>
  <si>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</si>
  <si>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</si>
  <si>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</si>
  <si>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</si>
  <si>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</si>
  <si>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</si>
  <si>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</si>
  <si>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</si>
  <si>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</si>
  <si>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</si>
  <si>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</si>
  <si>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</si>
  <si>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</si>
  <si>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</si>
  <si>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</si>
  <si>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</si>
  <si>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</si>
  <si>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</si>
  <si>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</si>
  <si>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</si>
  <si>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</si>
  <si>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</si>
  <si>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</si>
  <si>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</si>
  <si>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</si>
  <si>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</si>
  <si>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</si>
  <si>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</si>
  <si>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</si>
  <si>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</si>
  <si>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</si>
  <si>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</si>
  <si>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</si>
  <si>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</si>
  <si>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</si>
  <si>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</si>
  <si>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</si>
  <si>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</si>
  <si>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</si>
  <si>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</si>
  <si>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</si>
  <si>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</si>
  <si>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</si>
  <si>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</si>
  <si>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</si>
  <si>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</si>
  <si>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</si>
  <si>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</si>
  <si>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</si>
  <si>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</si>
  <si>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</si>
  <si>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</si>
  <si>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</si>
  <si>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</si>
  <si>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</si>
  <si>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</si>
  <si>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</si>
  <si>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</si>
  <si>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</si>
  <si>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</si>
  <si>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</si>
  <si>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</si>
  <si>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</si>
  <si>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</si>
  <si>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</si>
  <si>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</si>
  <si>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</si>
  <si>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</si>
  <si>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</si>
  <si>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</si>
  <si>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</si>
  <si>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</si>
  <si>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</si>
  <si>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A1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</si>
  <si>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</si>
  <si>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</si>
  <si>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</si>
  <si>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</si>
  <si>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</si>
  <si>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</si>
  <si>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</si>
  <si>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</si>
  <si>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[0.406807]</t>
  </si>
  <si>
    <t>1 [0.812769]</t>
  </si>
  <si>
    <t>1 [1.212418]</t>
  </si>
  <si>
    <t>1 [1.625603]</t>
  </si>
  <si>
    <t>1 [2.032948]</t>
  </si>
  <si>
    <t>1 [2.436377]</t>
  </si>
  <si>
    <t>1 [2.843317]</t>
  </si>
  <si>
    <t>1 [3.247344]</t>
  </si>
  <si>
    <t>1 [3.653133]</t>
  </si>
  <si>
    <t>1 [4.060114]</t>
  </si>
  <si>
    <t>1 [4.469114]</t>
  </si>
  <si>
    <t>1 [4.873863]</t>
  </si>
  <si>
    <t>1 [5.280034]</t>
  </si>
  <si>
    <t>1 [5.688715]</t>
  </si>
  <si>
    <t>1 [6.089720]</t>
  </si>
  <si>
    <t>1 [6.499652]</t>
  </si>
  <si>
    <t>1 [6.903470]</t>
  </si>
  <si>
    <t>1 [7.312613]</t>
  </si>
  <si>
    <t>1 [7.718320]</t>
  </si>
  <si>
    <t>1 [8.124180]</t>
  </si>
  <si>
    <t>1 [8.532285]</t>
  </si>
  <si>
    <t>1 [8.935980]</t>
  </si>
  <si>
    <t>1 [9.343123]</t>
  </si>
  <si>
    <t>1 [9.749224]</t>
  </si>
  <si>
    <t>1 [10.157812]</t>
  </si>
  <si>
    <t>1 [10.560645]</t>
  </si>
  <si>
    <t>1 [10.967648]</t>
  </si>
  <si>
    <t>1 [11.374541]</t>
  </si>
  <si>
    <t>1 [11.779449]</t>
  </si>
  <si>
    <t>1 [12.186288]</t>
  </si>
  <si>
    <t>1 [12.595219]</t>
  </si>
  <si>
    <t>1 [12.999535]</t>
  </si>
  <si>
    <t>1 [13.405408]</t>
  </si>
  <si>
    <t>1 [13.810972]</t>
  </si>
  <si>
    <t>1 [14.216120]</t>
  </si>
  <si>
    <t>1 [14.625848]</t>
  </si>
  <si>
    <t>2 [15.031713]</t>
  </si>
  <si>
    <t>2 [15.502437]</t>
  </si>
  <si>
    <t>2 [15.889629]</t>
  </si>
  <si>
    <t>2 [16.299727]</t>
  </si>
  <si>
    <t>2 [16.704246]</t>
  </si>
  <si>
    <t>2 [17.108230]</t>
  </si>
  <si>
    <t>2 [17.514074]</t>
  </si>
  <si>
    <t>2 [17.920573]</t>
  </si>
  <si>
    <t>2 [18.325996]</t>
  </si>
  <si>
    <t>2 [18.734803]</t>
  </si>
  <si>
    <t>2 [19.139753]</t>
  </si>
  <si>
    <t>2 [19.545575]</t>
  </si>
  <si>
    <t>2 [19.951732]</t>
  </si>
  <si>
    <t>2 [20.359635]</t>
  </si>
  <si>
    <t>2 [20.767336]</t>
  </si>
  <si>
    <t>2 [21.169462]</t>
  </si>
  <si>
    <t>2 [21.575316]</t>
  </si>
  <si>
    <t>2 [21.985325]</t>
  </si>
  <si>
    <t>2 [22.389106]</t>
  </si>
  <si>
    <t>2 [22.798001]</t>
  </si>
  <si>
    <t>2 [23.200991]</t>
  </si>
  <si>
    <t>2 [23.606095]</t>
  </si>
  <si>
    <t>2 [24.011746]</t>
  </si>
  <si>
    <t>2 [24.430598]</t>
  </si>
  <si>
    <t>2 [24.830568]</t>
  </si>
  <si>
    <t>2 [25.234497]</t>
  </si>
  <si>
    <t>2 [25.642269]</t>
  </si>
  <si>
    <t>2 [26.046315]</t>
  </si>
  <si>
    <t>2 [26.454248]</t>
  </si>
  <si>
    <t>2 [26.862075]</t>
  </si>
  <si>
    <t>2 [27.266252]</t>
  </si>
  <si>
    <t>2 [27.672950]</t>
  </si>
  <si>
    <t>2 [28.078025]</t>
  </si>
  <si>
    <t>2 [28.482995]</t>
  </si>
  <si>
    <t>2 [28.887745]</t>
  </si>
  <si>
    <t>2 [29.300951]</t>
  </si>
  <si>
    <t>2 [29.705489]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</si>
  <si>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</si>
  <si>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</si>
  <si>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</si>
  <si>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</si>
  <si>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</si>
  <si>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</si>
  <si>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</si>
  <si>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</si>
  <si>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</si>
  <si>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</si>
  <si>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</si>
  <si>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</si>
  <si>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</si>
  <si>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高秋慧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</si>
</sst>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33.262700000000002</c:v>
                </c:pt>
                <c:pt idx="1">
                  <c:v>26.551200000000001</c:v>
                </c:pt>
                <c:pt idx="2">
                  <c:v>14.3028</c:v>
                </c:pt>
                <c:pt idx="3">
                  <c:v>23.811699999999998</c:v>
                </c:pt>
                <c:pt idx="4">
                  <c:v>69.858199999999997</c:v>
                </c:pt>
                <c:pt idx="5">
                  <c:v>80.759100000000004</c:v>
                </c:pt>
                <c:pt idx="6">
                  <c:v>16.8278</c:v>
                </c:pt>
                <c:pt idx="7">
                  <c:v>75.223799999999997</c:v>
                </c:pt>
                <c:pt idx="8">
                  <c:v>24.147200000000002</c:v>
                </c:pt>
                <c:pt idx="9">
                  <c:v>41.2605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0.51476954269581621</c:v>
                </c:pt>
                <c:pt idx="1">
                  <c:v>0.20773390279897</c:v>
                </c:pt>
                <c:pt idx="2">
                  <c:v>0.27749655450521382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884</c:v>
                </c:pt>
                <c:pt idx="7">
                  <c:v>0</c:v>
                </c:pt>
                <c:pt idx="8">
                  <c:v>2306</c:v>
                </c:pt>
                <c:pt idx="9">
                  <c:v>0</c:v>
                </c:pt>
                <c:pt idx="10">
                  <c:v>0</c:v>
                </c:pt>
                <c:pt idx="11">
                  <c:v>4438</c:v>
                </c:pt>
                <c:pt idx="12">
                  <c:v>0</c:v>
                </c:pt>
                <c:pt idx="13">
                  <c:v>9608</c:v>
                </c:pt>
                <c:pt idx="14">
                  <c:v>0</c:v>
                </c:pt>
                <c:pt idx="15">
                  <c:v>0</c:v>
                </c:pt>
                <c:pt idx="16">
                  <c:v>24595</c:v>
                </c:pt>
                <c:pt idx="17">
                  <c:v>0</c:v>
                </c:pt>
                <c:pt idx="18">
                  <c:v>0</c:v>
                </c:pt>
                <c:pt idx="19">
                  <c:v>28525</c:v>
                </c:pt>
                <c:pt idx="20">
                  <c:v>0</c:v>
                </c:pt>
                <c:pt idx="21">
                  <c:v>32621</c:v>
                </c:pt>
                <c:pt idx="22">
                  <c:v>0</c:v>
                </c:pt>
                <c:pt idx="23">
                  <c:v>0</c:v>
                </c:pt>
                <c:pt idx="24">
                  <c:v>41864</c:v>
                </c:pt>
                <c:pt idx="25">
                  <c:v>0</c:v>
                </c:pt>
                <c:pt idx="26">
                  <c:v>50935</c:v>
                </c:pt>
                <c:pt idx="27">
                  <c:v>0</c:v>
                </c:pt>
                <c:pt idx="28">
                  <c:v>0</c:v>
                </c:pt>
                <c:pt idx="29">
                  <c:v>59752</c:v>
                </c:pt>
                <c:pt idx="30">
                  <c:v>0</c:v>
                </c:pt>
                <c:pt idx="31">
                  <c:v>65785</c:v>
                </c:pt>
                <c:pt idx="32">
                  <c:v>0</c:v>
                </c:pt>
                <c:pt idx="33">
                  <c:v>0</c:v>
                </c:pt>
                <c:pt idx="34">
                  <c:v>71411</c:v>
                </c:pt>
                <c:pt idx="35">
                  <c:v>0</c:v>
                </c:pt>
                <c:pt idx="36">
                  <c:v>0</c:v>
                </c:pt>
                <c:pt idx="37">
                  <c:v>69309</c:v>
                </c:pt>
                <c:pt idx="38">
                  <c:v>0</c:v>
                </c:pt>
                <c:pt idx="39">
                  <c:v>62334</c:v>
                </c:pt>
                <c:pt idx="40">
                  <c:v>0</c:v>
                </c:pt>
                <c:pt idx="41">
                  <c:v>0</c:v>
                </c:pt>
                <c:pt idx="42">
                  <c:v>63697</c:v>
                </c:pt>
                <c:pt idx="43">
                  <c:v>0</c:v>
                </c:pt>
                <c:pt idx="44">
                  <c:v>70543</c:v>
                </c:pt>
                <c:pt idx="45">
                  <c:v>0</c:v>
                </c:pt>
                <c:pt idx="46">
                  <c:v>0</c:v>
                </c:pt>
                <c:pt idx="47">
                  <c:v>76669</c:v>
                </c:pt>
                <c:pt idx="48">
                  <c:v>0</c:v>
                </c:pt>
                <c:pt idx="49">
                  <c:v>72300</c:v>
                </c:pt>
                <c:pt idx="50">
                  <c:v>0</c:v>
                </c:pt>
                <c:pt idx="51">
                  <c:v>0</c:v>
                </c:pt>
                <c:pt idx="52">
                  <c:v>73793</c:v>
                </c:pt>
                <c:pt idx="53">
                  <c:v>0</c:v>
                </c:pt>
                <c:pt idx="54">
                  <c:v>0</c:v>
                </c:pt>
                <c:pt idx="55">
                  <c:v>77524</c:v>
                </c:pt>
                <c:pt idx="56">
                  <c:v>0</c:v>
                </c:pt>
                <c:pt idx="57">
                  <c:v>82184</c:v>
                </c:pt>
                <c:pt idx="58">
                  <c:v>0</c:v>
                </c:pt>
                <c:pt idx="59">
                  <c:v>0</c:v>
                </c:pt>
                <c:pt idx="60">
                  <c:v>69202</c:v>
                </c:pt>
                <c:pt idx="61">
                  <c:v>0</c:v>
                </c:pt>
                <c:pt idx="62">
                  <c:v>66978</c:v>
                </c:pt>
                <c:pt idx="63">
                  <c:v>0</c:v>
                </c:pt>
                <c:pt idx="64">
                  <c:v>0</c:v>
                </c:pt>
                <c:pt idx="65">
                  <c:v>66886</c:v>
                </c:pt>
                <c:pt idx="66">
                  <c:v>0</c:v>
                </c:pt>
                <c:pt idx="67">
                  <c:v>77936</c:v>
                </c:pt>
                <c:pt idx="68">
                  <c:v>0</c:v>
                </c:pt>
                <c:pt idx="69">
                  <c:v>0</c:v>
                </c:pt>
                <c:pt idx="70">
                  <c:v>68959</c:v>
                </c:pt>
                <c:pt idx="71">
                  <c:v>0</c:v>
                </c:pt>
                <c:pt idx="72">
                  <c:v>0</c:v>
                </c:pt>
                <c:pt idx="73">
                  <c:v>64433</c:v>
                </c:pt>
                <c:pt idx="74">
                  <c:v>0</c:v>
                </c:pt>
                <c:pt idx="75">
                  <c:v>74434</c:v>
                </c:pt>
                <c:pt idx="76">
                  <c:v>0</c:v>
                </c:pt>
                <c:pt idx="77">
                  <c:v>0</c:v>
                </c:pt>
                <c:pt idx="78">
                  <c:v>69848</c:v>
                </c:pt>
                <c:pt idx="79">
                  <c:v>0</c:v>
                </c:pt>
                <c:pt idx="80">
                  <c:v>61420</c:v>
                </c:pt>
                <c:pt idx="81">
                  <c:v>0</c:v>
                </c:pt>
                <c:pt idx="82">
                  <c:v>0</c:v>
                </c:pt>
                <c:pt idx="83">
                  <c:v>55176</c:v>
                </c:pt>
                <c:pt idx="84">
                  <c:v>0</c:v>
                </c:pt>
                <c:pt idx="85">
                  <c:v>0</c:v>
                </c:pt>
                <c:pt idx="86">
                  <c:v>50247</c:v>
                </c:pt>
                <c:pt idx="87">
                  <c:v>0</c:v>
                </c:pt>
                <c:pt idx="88">
                  <c:v>42109</c:v>
                </c:pt>
                <c:pt idx="89">
                  <c:v>0</c:v>
                </c:pt>
                <c:pt idx="90">
                  <c:v>0</c:v>
                </c:pt>
                <c:pt idx="91">
                  <c:v>46012</c:v>
                </c:pt>
                <c:pt idx="92">
                  <c:v>0</c:v>
                </c:pt>
                <c:pt idx="93">
                  <c:v>48364</c:v>
                </c:pt>
                <c:pt idx="94">
                  <c:v>0</c:v>
                </c:pt>
                <c:pt idx="95">
                  <c:v>0</c:v>
                </c:pt>
                <c:pt idx="96">
                  <c:v>49888</c:v>
                </c:pt>
                <c:pt idx="97">
                  <c:v>0</c:v>
                </c:pt>
                <c:pt idx="98">
                  <c:v>42564</c:v>
                </c:pt>
                <c:pt idx="99">
                  <c:v>0</c:v>
                </c:pt>
                <c:pt idx="100">
                  <c:v>0</c:v>
                </c:pt>
                <c:pt idx="101">
                  <c:v>37504</c:v>
                </c:pt>
                <c:pt idx="102">
                  <c:v>0</c:v>
                </c:pt>
                <c:pt idx="103">
                  <c:v>0</c:v>
                </c:pt>
                <c:pt idx="104">
                  <c:v>35935</c:v>
                </c:pt>
                <c:pt idx="105">
                  <c:v>0</c:v>
                </c:pt>
                <c:pt idx="106">
                  <c:v>37950</c:v>
                </c:pt>
                <c:pt idx="107">
                  <c:v>0</c:v>
                </c:pt>
                <c:pt idx="108">
                  <c:v>0</c:v>
                </c:pt>
                <c:pt idx="109">
                  <c:v>37135</c:v>
                </c:pt>
                <c:pt idx="110">
                  <c:v>0</c:v>
                </c:pt>
                <c:pt idx="111">
                  <c:v>27602</c:v>
                </c:pt>
                <c:pt idx="112">
                  <c:v>0</c:v>
                </c:pt>
                <c:pt idx="113">
                  <c:v>0</c:v>
                </c:pt>
                <c:pt idx="114">
                  <c:v>28078</c:v>
                </c:pt>
                <c:pt idx="115">
                  <c:v>0</c:v>
                </c:pt>
                <c:pt idx="116">
                  <c:v>24697</c:v>
                </c:pt>
                <c:pt idx="117">
                  <c:v>0</c:v>
                </c:pt>
                <c:pt idx="118">
                  <c:v>0</c:v>
                </c:pt>
                <c:pt idx="119">
                  <c:v>26167</c:v>
                </c:pt>
                <c:pt idx="120">
                  <c:v>0</c:v>
                </c:pt>
                <c:pt idx="121">
                  <c:v>0</c:v>
                </c:pt>
                <c:pt idx="122">
                  <c:v>23614</c:v>
                </c:pt>
                <c:pt idx="123">
                  <c:v>0</c:v>
                </c:pt>
                <c:pt idx="124">
                  <c:v>20549</c:v>
                </c:pt>
                <c:pt idx="125">
                  <c:v>0</c:v>
                </c:pt>
                <c:pt idx="126">
                  <c:v>0</c:v>
                </c:pt>
                <c:pt idx="127">
                  <c:v>19204</c:v>
                </c:pt>
                <c:pt idx="128">
                  <c:v>0</c:v>
                </c:pt>
                <c:pt idx="129">
                  <c:v>19737</c:v>
                </c:pt>
                <c:pt idx="130">
                  <c:v>0</c:v>
                </c:pt>
                <c:pt idx="131">
                  <c:v>0</c:v>
                </c:pt>
                <c:pt idx="132">
                  <c:v>11290</c:v>
                </c:pt>
                <c:pt idx="133">
                  <c:v>0</c:v>
                </c:pt>
                <c:pt idx="134">
                  <c:v>8894</c:v>
                </c:pt>
                <c:pt idx="135">
                  <c:v>0</c:v>
                </c:pt>
                <c:pt idx="136">
                  <c:v>0</c:v>
                </c:pt>
                <c:pt idx="137">
                  <c:v>6438</c:v>
                </c:pt>
                <c:pt idx="138">
                  <c:v>0</c:v>
                </c:pt>
                <c:pt idx="139">
                  <c:v>0</c:v>
                </c:pt>
                <c:pt idx="140">
                  <c:v>4502</c:v>
                </c:pt>
                <c:pt idx="141">
                  <c:v>0</c:v>
                </c:pt>
                <c:pt idx="142">
                  <c:v>2749</c:v>
                </c:pt>
                <c:pt idx="143">
                  <c:v>0</c:v>
                </c:pt>
                <c:pt idx="144">
                  <c:v>0</c:v>
                </c:pt>
                <c:pt idx="145">
                  <c:v>2920</c:v>
                </c:pt>
                <c:pt idx="146">
                  <c:v>0</c:v>
                </c:pt>
                <c:pt idx="147">
                  <c:v>1206</c:v>
                </c:pt>
                <c:pt idx="148">
                  <c:v>0</c:v>
                </c:pt>
                <c:pt idx="149">
                  <c:v>0</c:v>
                </c:pt>
                <c:pt idx="150">
                  <c:v>742</c:v>
                </c:pt>
                <c:pt idx="151">
                  <c:v>0</c:v>
                </c:pt>
                <c:pt idx="152">
                  <c:v>60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74"/>
                <c:pt idx="0">
                  <c:v>1.6952800000000001</c:v>
                </c:pt>
                <c:pt idx="1">
                  <c:v>1.7466899999999999</c:v>
                </c:pt>
                <c:pt idx="2">
                  <c:v>1.7974000000000001</c:v>
                </c:pt>
                <c:pt idx="3">
                  <c:v>1.8471099999999998</c:v>
                </c:pt>
                <c:pt idx="4">
                  <c:v>1.89659</c:v>
                </c:pt>
                <c:pt idx="5">
                  <c:v>1.9436600000000002</c:v>
                </c:pt>
                <c:pt idx="6">
                  <c:v>1.99041</c:v>
                </c:pt>
                <c:pt idx="7">
                  <c:v>2.0398000000000001</c:v>
                </c:pt>
                <c:pt idx="8">
                  <c:v>2.0884200000000002</c:v>
                </c:pt>
                <c:pt idx="9">
                  <c:v>2.1368999999999998</c:v>
                </c:pt>
                <c:pt idx="10">
                  <c:v>2.1844999999999999</c:v>
                </c:pt>
                <c:pt idx="11">
                  <c:v>2.22953</c:v>
                </c:pt>
                <c:pt idx="12">
                  <c:v>2.2732999999999999</c:v>
                </c:pt>
                <c:pt idx="13">
                  <c:v>2.3147899999999999</c:v>
                </c:pt>
                <c:pt idx="14">
                  <c:v>2.3542399999999999</c:v>
                </c:pt>
                <c:pt idx="15">
                  <c:v>2.3929100000000001</c:v>
                </c:pt>
                <c:pt idx="16">
                  <c:v>2.42</c:v>
                </c:pt>
                <c:pt idx="17">
                  <c:v>2.4707399999999997</c:v>
                </c:pt>
                <c:pt idx="18">
                  <c:v>2.5120300000000002</c:v>
                </c:pt>
                <c:pt idx="19">
                  <c:v>2.55375</c:v>
                </c:pt>
                <c:pt idx="20">
                  <c:v>2.5946799999999999</c:v>
                </c:pt>
                <c:pt idx="21">
                  <c:v>2.6305699999999996</c:v>
                </c:pt>
                <c:pt idx="22">
                  <c:v>2.6627700000000001</c:v>
                </c:pt>
                <c:pt idx="23">
                  <c:v>2.6923399999999997</c:v>
                </c:pt>
                <c:pt idx="24">
                  <c:v>2.7206000000000001</c:v>
                </c:pt>
                <c:pt idx="25">
                  <c:v>2.74837</c:v>
                </c:pt>
                <c:pt idx="26">
                  <c:v>2.7782400000000003</c:v>
                </c:pt>
                <c:pt idx="27">
                  <c:v>2.8083399999999998</c:v>
                </c:pt>
                <c:pt idx="28">
                  <c:v>2.83325</c:v>
                </c:pt>
                <c:pt idx="29">
                  <c:v>2.8507600000000002</c:v>
                </c:pt>
                <c:pt idx="30">
                  <c:v>2.8617999999999997</c:v>
                </c:pt>
                <c:pt idx="31">
                  <c:v>2.8635999999999999</c:v>
                </c:pt>
                <c:pt idx="32">
                  <c:v>2.8618500000000004</c:v>
                </c:pt>
                <c:pt idx="33">
                  <c:v>2.85873</c:v>
                </c:pt>
                <c:pt idx="34">
                  <c:v>2.8587600000000002</c:v>
                </c:pt>
                <c:pt idx="35">
                  <c:v>2.8672999999999997</c:v>
                </c:pt>
                <c:pt idx="36">
                  <c:v>2.8781800000000004</c:v>
                </c:pt>
                <c:pt idx="37">
                  <c:v>2.8894199999999999</c:v>
                </c:pt>
                <c:pt idx="38">
                  <c:v>2.8993700000000002</c:v>
                </c:pt>
                <c:pt idx="39">
                  <c:v>2.9096899999999999</c:v>
                </c:pt>
                <c:pt idx="40">
                  <c:v>2.9204000000000003</c:v>
                </c:pt>
                <c:pt idx="41">
                  <c:v>2.9306399999999999</c:v>
                </c:pt>
                <c:pt idx="42">
                  <c:v>2.9391400000000001</c:v>
                </c:pt>
                <c:pt idx="43">
                  <c:v>2.9480200000000001</c:v>
                </c:pt>
                <c:pt idx="44">
                  <c:v>2.9607899999999998</c:v>
                </c:pt>
                <c:pt idx="45">
                  <c:v>2.9750900000000002</c:v>
                </c:pt>
                <c:pt idx="46">
                  <c:v>2.9907699999999999</c:v>
                </c:pt>
                <c:pt idx="47">
                  <c:v>3.0065799999999996</c:v>
                </c:pt>
                <c:pt idx="48">
                  <c:v>3.0210699999999999</c:v>
                </c:pt>
                <c:pt idx="49">
                  <c:v>3.0328599999999999</c:v>
                </c:pt>
                <c:pt idx="50">
                  <c:v>3.0442999999999998</c:v>
                </c:pt>
                <c:pt idx="51">
                  <c:v>3.0587999999999997</c:v>
                </c:pt>
                <c:pt idx="52">
                  <c:v>3.0711699999999995</c:v>
                </c:pt>
                <c:pt idx="53">
                  <c:v>3.0878299999999999</c:v>
                </c:pt>
                <c:pt idx="54">
                  <c:v>3.1115500000000003</c:v>
                </c:pt>
                <c:pt idx="55">
                  <c:v>3.1392599999999997</c:v>
                </c:pt>
                <c:pt idx="56">
                  <c:v>3.1679600000000003</c:v>
                </c:pt>
                <c:pt idx="57">
                  <c:v>3.1883499999999998</c:v>
                </c:pt>
                <c:pt idx="58">
                  <c:v>3.1998700000000002</c:v>
                </c:pt>
                <c:pt idx="59">
                  <c:v>3.21129</c:v>
                </c:pt>
                <c:pt idx="60">
                  <c:v>3.2221699999999998</c:v>
                </c:pt>
                <c:pt idx="61">
                  <c:v>3.2327899999999996</c:v>
                </c:pt>
                <c:pt idx="62">
                  <c:v>3.24125</c:v>
                </c:pt>
                <c:pt idx="63">
                  <c:v>3.24796</c:v>
                </c:pt>
                <c:pt idx="64">
                  <c:v>3.2546499999999998</c:v>
                </c:pt>
                <c:pt idx="65">
                  <c:v>3.2642300000000004</c:v>
                </c:pt>
                <c:pt idx="66">
                  <c:v>3.2742599999999999</c:v>
                </c:pt>
                <c:pt idx="67">
                  <c:v>3.28186</c:v>
                </c:pt>
                <c:pt idx="68">
                  <c:v>3.2868900000000001</c:v>
                </c:pt>
                <c:pt idx="69">
                  <c:v>3.2867000000000002</c:v>
                </c:pt>
                <c:pt idx="70">
                  <c:v>3.28376</c:v>
                </c:pt>
                <c:pt idx="71">
                  <c:v>3.2790000000000004</c:v>
                </c:pt>
                <c:pt idx="72">
                  <c:v>3.2667400000000004</c:v>
                </c:pt>
                <c:pt idx="73">
                  <c:v>3.2579700000000003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65.486999999999995</c:v>
                </c:pt>
                <c:pt idx="1">
                  <c:v>64.917400000000001</c:v>
                </c:pt>
                <c:pt idx="2">
                  <c:v>64.328000000000003</c:v>
                </c:pt>
                <c:pt idx="3">
                  <c:v>63.770800000000008</c:v>
                </c:pt>
                <c:pt idx="4">
                  <c:v>63.130499999999998</c:v>
                </c:pt>
                <c:pt idx="5">
                  <c:v>62.459900000000005</c:v>
                </c:pt>
                <c:pt idx="6">
                  <c:v>61.679200000000002</c:v>
                </c:pt>
                <c:pt idx="7">
                  <c:v>60.788699999999999</c:v>
                </c:pt>
                <c:pt idx="8">
                  <c:v>59.884700000000002</c:v>
                </c:pt>
                <c:pt idx="9">
                  <c:v>58.965800000000002</c:v>
                </c:pt>
                <c:pt idx="10">
                  <c:v>58.0623</c:v>
                </c:pt>
                <c:pt idx="11">
                  <c:v>57.207300000000004</c:v>
                </c:pt>
                <c:pt idx="12">
                  <c:v>56.357599999999998</c:v>
                </c:pt>
                <c:pt idx="13">
                  <c:v>55.588400000000007</c:v>
                </c:pt>
                <c:pt idx="14">
                  <c:v>54.883099999999999</c:v>
                </c:pt>
                <c:pt idx="15">
                  <c:v>54.105400000000003</c:v>
                </c:pt>
                <c:pt idx="16">
                  <c:v>53.5396</c:v>
                </c:pt>
                <c:pt idx="17">
                  <c:v>52.400300000000001</c:v>
                </c:pt>
                <c:pt idx="18">
                  <c:v>51.558300000000003</c:v>
                </c:pt>
                <c:pt idx="19">
                  <c:v>50.744100000000003</c:v>
                </c:pt>
                <c:pt idx="20">
                  <c:v>49.9803</c:v>
                </c:pt>
                <c:pt idx="21">
                  <c:v>49.377300000000005</c:v>
                </c:pt>
                <c:pt idx="22">
                  <c:v>48.846299999999999</c:v>
                </c:pt>
                <c:pt idx="23">
                  <c:v>48.311300000000003</c:v>
                </c:pt>
                <c:pt idx="24">
                  <c:v>47.772199999999998</c:v>
                </c:pt>
                <c:pt idx="25">
                  <c:v>47.2881</c:v>
                </c:pt>
                <c:pt idx="26">
                  <c:v>46.805</c:v>
                </c:pt>
                <c:pt idx="27">
                  <c:v>46.319900000000004</c:v>
                </c:pt>
                <c:pt idx="28">
                  <c:v>45.961100000000002</c:v>
                </c:pt>
                <c:pt idx="29">
                  <c:v>45.686300000000003</c:v>
                </c:pt>
                <c:pt idx="30">
                  <c:v>45.455800000000004</c:v>
                </c:pt>
                <c:pt idx="31">
                  <c:v>45.245200000000004</c:v>
                </c:pt>
                <c:pt idx="32">
                  <c:v>45.032800000000002</c:v>
                </c:pt>
                <c:pt idx="33">
                  <c:v>44.803800000000003</c:v>
                </c:pt>
                <c:pt idx="34">
                  <c:v>44.653199999999998</c:v>
                </c:pt>
                <c:pt idx="35">
                  <c:v>44.474599999999995</c:v>
                </c:pt>
                <c:pt idx="36">
                  <c:v>44.258199999999995</c:v>
                </c:pt>
                <c:pt idx="37">
                  <c:v>44.032299999999999</c:v>
                </c:pt>
                <c:pt idx="38">
                  <c:v>43.785299999999999</c:v>
                </c:pt>
                <c:pt idx="39">
                  <c:v>43.484699999999997</c:v>
                </c:pt>
                <c:pt idx="40">
                  <c:v>43.139600000000002</c:v>
                </c:pt>
                <c:pt idx="41">
                  <c:v>42.796199999999999</c:v>
                </c:pt>
                <c:pt idx="42">
                  <c:v>42.515000000000001</c:v>
                </c:pt>
                <c:pt idx="43">
                  <c:v>42.283200000000001</c:v>
                </c:pt>
                <c:pt idx="44">
                  <c:v>42.017900000000004</c:v>
                </c:pt>
                <c:pt idx="45">
                  <c:v>41.7408</c:v>
                </c:pt>
                <c:pt idx="46">
                  <c:v>41.475999999999999</c:v>
                </c:pt>
                <c:pt idx="47">
                  <c:v>41.1815</c:v>
                </c:pt>
                <c:pt idx="48">
                  <c:v>40.885399999999997</c:v>
                </c:pt>
                <c:pt idx="49">
                  <c:v>40.579700000000003</c:v>
                </c:pt>
                <c:pt idx="50">
                  <c:v>40.289700000000003</c:v>
                </c:pt>
                <c:pt idx="51">
                  <c:v>40.008700000000005</c:v>
                </c:pt>
                <c:pt idx="52">
                  <c:v>39.836399999999998</c:v>
                </c:pt>
                <c:pt idx="53">
                  <c:v>39.727899999999998</c:v>
                </c:pt>
                <c:pt idx="54">
                  <c:v>39.6524</c:v>
                </c:pt>
                <c:pt idx="55">
                  <c:v>39.629300000000001</c:v>
                </c:pt>
                <c:pt idx="56">
                  <c:v>39.581000000000003</c:v>
                </c:pt>
                <c:pt idx="57">
                  <c:v>39.416800000000002</c:v>
                </c:pt>
                <c:pt idx="58">
                  <c:v>39.209899999999998</c:v>
                </c:pt>
                <c:pt idx="59">
                  <c:v>39.011499999999998</c:v>
                </c:pt>
                <c:pt idx="60">
                  <c:v>38.798999999999999</c:v>
                </c:pt>
                <c:pt idx="61">
                  <c:v>38.623600000000003</c:v>
                </c:pt>
                <c:pt idx="62">
                  <c:v>38.494299999999996</c:v>
                </c:pt>
                <c:pt idx="63">
                  <c:v>38.412500000000001</c:v>
                </c:pt>
                <c:pt idx="64">
                  <c:v>38.333600000000004</c:v>
                </c:pt>
                <c:pt idx="65">
                  <c:v>38.168700000000001</c:v>
                </c:pt>
                <c:pt idx="66">
                  <c:v>37.963299999999997</c:v>
                </c:pt>
                <c:pt idx="67">
                  <c:v>37.783299999999997</c:v>
                </c:pt>
                <c:pt idx="68">
                  <c:v>37.588899999999995</c:v>
                </c:pt>
                <c:pt idx="69">
                  <c:v>37.436</c:v>
                </c:pt>
                <c:pt idx="70">
                  <c:v>37.339399999999998</c:v>
                </c:pt>
                <c:pt idx="71">
                  <c:v>37.258400000000002</c:v>
                </c:pt>
                <c:pt idx="72">
                  <c:v>37.442399999999999</c:v>
                </c:pt>
                <c:pt idx="73">
                  <c:v>37.709900000000005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37"/>
                <c:pt idx="0">
                  <c:v>1.6952800000000001</c:v>
                </c:pt>
                <c:pt idx="1">
                  <c:v>1.7466899999999999</c:v>
                </c:pt>
                <c:pt idx="2">
                  <c:v>1.7974000000000001</c:v>
                </c:pt>
                <c:pt idx="3">
                  <c:v>1.8471099999999998</c:v>
                </c:pt>
                <c:pt idx="4">
                  <c:v>1.89659</c:v>
                </c:pt>
                <c:pt idx="5">
                  <c:v>1.9436600000000002</c:v>
                </c:pt>
                <c:pt idx="6">
                  <c:v>1.99041</c:v>
                </c:pt>
                <c:pt idx="7">
                  <c:v>2.0398000000000001</c:v>
                </c:pt>
                <c:pt idx="8">
                  <c:v>2.0884200000000002</c:v>
                </c:pt>
                <c:pt idx="9">
                  <c:v>2.1368999999999998</c:v>
                </c:pt>
                <c:pt idx="10">
                  <c:v>2.1844999999999999</c:v>
                </c:pt>
                <c:pt idx="11">
                  <c:v>2.22953</c:v>
                </c:pt>
                <c:pt idx="12">
                  <c:v>2.2732999999999999</c:v>
                </c:pt>
                <c:pt idx="13">
                  <c:v>2.3147899999999999</c:v>
                </c:pt>
                <c:pt idx="14">
                  <c:v>2.3542399999999999</c:v>
                </c:pt>
                <c:pt idx="15">
                  <c:v>2.3929100000000001</c:v>
                </c:pt>
                <c:pt idx="16">
                  <c:v>2.42</c:v>
                </c:pt>
                <c:pt idx="17">
                  <c:v>2.4707399999999997</c:v>
                </c:pt>
                <c:pt idx="18">
                  <c:v>2.5120300000000002</c:v>
                </c:pt>
                <c:pt idx="19">
                  <c:v>2.55375</c:v>
                </c:pt>
                <c:pt idx="20">
                  <c:v>2.5946799999999999</c:v>
                </c:pt>
                <c:pt idx="21">
                  <c:v>2.6305699999999996</c:v>
                </c:pt>
                <c:pt idx="22">
                  <c:v>2.6627700000000001</c:v>
                </c:pt>
                <c:pt idx="23">
                  <c:v>2.6923399999999997</c:v>
                </c:pt>
                <c:pt idx="24">
                  <c:v>2.7206000000000001</c:v>
                </c:pt>
                <c:pt idx="25">
                  <c:v>2.74837</c:v>
                </c:pt>
                <c:pt idx="26">
                  <c:v>2.7782400000000003</c:v>
                </c:pt>
                <c:pt idx="27">
                  <c:v>2.8083399999999998</c:v>
                </c:pt>
                <c:pt idx="28">
                  <c:v>2.83325</c:v>
                </c:pt>
                <c:pt idx="29">
                  <c:v>2.8507600000000002</c:v>
                </c:pt>
                <c:pt idx="30">
                  <c:v>2.8617999999999997</c:v>
                </c:pt>
                <c:pt idx="31">
                  <c:v>2.8635999999999999</c:v>
                </c:pt>
                <c:pt idx="32">
                  <c:v>2.8618500000000004</c:v>
                </c:pt>
                <c:pt idx="33">
                  <c:v>2.85873</c:v>
                </c:pt>
                <c:pt idx="34">
                  <c:v>2.8587600000000002</c:v>
                </c:pt>
                <c:pt idx="35">
                  <c:v>2.8672999999999997</c:v>
                </c:pt>
                <c:pt idx="36">
                  <c:v>2.8781800000000004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65.486999999999995</c:v>
                </c:pt>
                <c:pt idx="1">
                  <c:v>64.917400000000001</c:v>
                </c:pt>
                <c:pt idx="2">
                  <c:v>64.328000000000003</c:v>
                </c:pt>
                <c:pt idx="3">
                  <c:v>63.770800000000008</c:v>
                </c:pt>
                <c:pt idx="4">
                  <c:v>63.130499999999998</c:v>
                </c:pt>
                <c:pt idx="5">
                  <c:v>62.459900000000005</c:v>
                </c:pt>
                <c:pt idx="6">
                  <c:v>61.679200000000002</c:v>
                </c:pt>
                <c:pt idx="7">
                  <c:v>60.788699999999999</c:v>
                </c:pt>
                <c:pt idx="8">
                  <c:v>59.884700000000002</c:v>
                </c:pt>
                <c:pt idx="9">
                  <c:v>58.965800000000002</c:v>
                </c:pt>
                <c:pt idx="10">
                  <c:v>58.0623</c:v>
                </c:pt>
                <c:pt idx="11">
                  <c:v>57.207300000000004</c:v>
                </c:pt>
                <c:pt idx="12">
                  <c:v>56.357599999999998</c:v>
                </c:pt>
                <c:pt idx="13">
                  <c:v>55.588400000000007</c:v>
                </c:pt>
                <c:pt idx="14">
                  <c:v>54.883099999999999</c:v>
                </c:pt>
                <c:pt idx="15">
                  <c:v>54.105400000000003</c:v>
                </c:pt>
                <c:pt idx="16">
                  <c:v>53.5396</c:v>
                </c:pt>
                <c:pt idx="17">
                  <c:v>52.400300000000001</c:v>
                </c:pt>
                <c:pt idx="18">
                  <c:v>51.558300000000003</c:v>
                </c:pt>
                <c:pt idx="19">
                  <c:v>50.744100000000003</c:v>
                </c:pt>
                <c:pt idx="20">
                  <c:v>49.9803</c:v>
                </c:pt>
                <c:pt idx="21">
                  <c:v>49.377300000000005</c:v>
                </c:pt>
                <c:pt idx="22">
                  <c:v>48.846299999999999</c:v>
                </c:pt>
                <c:pt idx="23">
                  <c:v>48.311300000000003</c:v>
                </c:pt>
                <c:pt idx="24">
                  <c:v>47.772199999999998</c:v>
                </c:pt>
                <c:pt idx="25">
                  <c:v>47.2881</c:v>
                </c:pt>
                <c:pt idx="26">
                  <c:v>46.805</c:v>
                </c:pt>
                <c:pt idx="27">
                  <c:v>46.319900000000004</c:v>
                </c:pt>
                <c:pt idx="28">
                  <c:v>45.961100000000002</c:v>
                </c:pt>
                <c:pt idx="29">
                  <c:v>45.686300000000003</c:v>
                </c:pt>
                <c:pt idx="30">
                  <c:v>45.455800000000004</c:v>
                </c:pt>
                <c:pt idx="31">
                  <c:v>45.245200000000004</c:v>
                </c:pt>
                <c:pt idx="32">
                  <c:v>45.032800000000002</c:v>
                </c:pt>
                <c:pt idx="33">
                  <c:v>44.803800000000003</c:v>
                </c:pt>
                <c:pt idx="34">
                  <c:v>44.653199999999998</c:v>
                </c:pt>
                <c:pt idx="35">
                  <c:v>44.474599999999995</c:v>
                </c:pt>
                <c:pt idx="36">
                  <c:v>44.258199999999995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38"/>
                <c:pt idx="0">
                  <c:v>2.8781800000000004</c:v>
                </c:pt>
                <c:pt idx="1">
                  <c:v>2.8894199999999999</c:v>
                </c:pt>
                <c:pt idx="2">
                  <c:v>2.8993700000000002</c:v>
                </c:pt>
                <c:pt idx="3">
                  <c:v>2.9096899999999999</c:v>
                </c:pt>
                <c:pt idx="4">
                  <c:v>2.9204000000000003</c:v>
                </c:pt>
                <c:pt idx="5">
                  <c:v>2.9306399999999999</c:v>
                </c:pt>
                <c:pt idx="6">
                  <c:v>2.9391400000000001</c:v>
                </c:pt>
                <c:pt idx="7">
                  <c:v>2.9480200000000001</c:v>
                </c:pt>
                <c:pt idx="8">
                  <c:v>2.9607899999999998</c:v>
                </c:pt>
                <c:pt idx="9">
                  <c:v>2.9750900000000002</c:v>
                </c:pt>
                <c:pt idx="10">
                  <c:v>2.9907699999999999</c:v>
                </c:pt>
                <c:pt idx="11">
                  <c:v>3.0065799999999996</c:v>
                </c:pt>
                <c:pt idx="12">
                  <c:v>3.0210699999999999</c:v>
                </c:pt>
                <c:pt idx="13">
                  <c:v>3.0328599999999999</c:v>
                </c:pt>
                <c:pt idx="14">
                  <c:v>3.0442999999999998</c:v>
                </c:pt>
                <c:pt idx="15">
                  <c:v>3.0587999999999997</c:v>
                </c:pt>
                <c:pt idx="16">
                  <c:v>3.0711699999999995</c:v>
                </c:pt>
                <c:pt idx="17">
                  <c:v>3.0878299999999999</c:v>
                </c:pt>
                <c:pt idx="18">
                  <c:v>3.1115500000000003</c:v>
                </c:pt>
                <c:pt idx="19">
                  <c:v>3.1392599999999997</c:v>
                </c:pt>
                <c:pt idx="20">
                  <c:v>3.1679600000000003</c:v>
                </c:pt>
                <c:pt idx="21">
                  <c:v>3.1883499999999998</c:v>
                </c:pt>
                <c:pt idx="22">
                  <c:v>3.1998700000000002</c:v>
                </c:pt>
                <c:pt idx="23">
                  <c:v>3.21129</c:v>
                </c:pt>
                <c:pt idx="24">
                  <c:v>3.2221699999999998</c:v>
                </c:pt>
                <c:pt idx="25">
                  <c:v>3.2327899999999996</c:v>
                </c:pt>
                <c:pt idx="26">
                  <c:v>3.24125</c:v>
                </c:pt>
                <c:pt idx="27">
                  <c:v>3.24796</c:v>
                </c:pt>
                <c:pt idx="28">
                  <c:v>3.2546499999999998</c:v>
                </c:pt>
                <c:pt idx="29">
                  <c:v>3.2642300000000004</c:v>
                </c:pt>
                <c:pt idx="30">
                  <c:v>3.2742599999999999</c:v>
                </c:pt>
                <c:pt idx="31">
                  <c:v>3.28186</c:v>
                </c:pt>
                <c:pt idx="32">
                  <c:v>3.2868900000000001</c:v>
                </c:pt>
                <c:pt idx="33">
                  <c:v>3.2867000000000002</c:v>
                </c:pt>
                <c:pt idx="34">
                  <c:v>3.28376</c:v>
                </c:pt>
                <c:pt idx="35">
                  <c:v>3.2790000000000004</c:v>
                </c:pt>
                <c:pt idx="36">
                  <c:v>3.2667400000000004</c:v>
                </c:pt>
                <c:pt idx="37">
                  <c:v>3.2579700000000003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44.258199999999995</c:v>
                </c:pt>
                <c:pt idx="1">
                  <c:v>44.032299999999999</c:v>
                </c:pt>
                <c:pt idx="2">
                  <c:v>43.785299999999999</c:v>
                </c:pt>
                <c:pt idx="3">
                  <c:v>43.484699999999997</c:v>
                </c:pt>
                <c:pt idx="4">
                  <c:v>43.139600000000002</c:v>
                </c:pt>
                <c:pt idx="5">
                  <c:v>42.796199999999999</c:v>
                </c:pt>
                <c:pt idx="6">
                  <c:v>42.515000000000001</c:v>
                </c:pt>
                <c:pt idx="7">
                  <c:v>42.283200000000001</c:v>
                </c:pt>
                <c:pt idx="8">
                  <c:v>42.017900000000004</c:v>
                </c:pt>
                <c:pt idx="9">
                  <c:v>41.7408</c:v>
                </c:pt>
                <c:pt idx="10">
                  <c:v>41.475999999999999</c:v>
                </c:pt>
                <c:pt idx="11">
                  <c:v>41.1815</c:v>
                </c:pt>
                <c:pt idx="12">
                  <c:v>40.885399999999997</c:v>
                </c:pt>
                <c:pt idx="13">
                  <c:v>40.579700000000003</c:v>
                </c:pt>
                <c:pt idx="14">
                  <c:v>40.289700000000003</c:v>
                </c:pt>
                <c:pt idx="15">
                  <c:v>40.008700000000005</c:v>
                </c:pt>
                <c:pt idx="16">
                  <c:v>39.836399999999998</c:v>
                </c:pt>
                <c:pt idx="17">
                  <c:v>39.727899999999998</c:v>
                </c:pt>
                <c:pt idx="18">
                  <c:v>39.6524</c:v>
                </c:pt>
                <c:pt idx="19">
                  <c:v>39.629300000000001</c:v>
                </c:pt>
                <c:pt idx="20">
                  <c:v>39.581000000000003</c:v>
                </c:pt>
                <c:pt idx="21">
                  <c:v>39.416800000000002</c:v>
                </c:pt>
                <c:pt idx="22">
                  <c:v>39.209899999999998</c:v>
                </c:pt>
                <c:pt idx="23">
                  <c:v>39.011499999999998</c:v>
                </c:pt>
                <c:pt idx="24">
                  <c:v>38.798999999999999</c:v>
                </c:pt>
                <c:pt idx="25">
                  <c:v>38.623600000000003</c:v>
                </c:pt>
                <c:pt idx="26">
                  <c:v>38.494299999999996</c:v>
                </c:pt>
                <c:pt idx="27">
                  <c:v>38.412500000000001</c:v>
                </c:pt>
                <c:pt idx="28">
                  <c:v>38.333600000000004</c:v>
                </c:pt>
                <c:pt idx="29">
                  <c:v>38.168700000000001</c:v>
                </c:pt>
                <c:pt idx="30">
                  <c:v>37.963299999999997</c:v>
                </c:pt>
                <c:pt idx="31">
                  <c:v>37.783299999999997</c:v>
                </c:pt>
                <c:pt idx="32">
                  <c:v>37.588899999999995</c:v>
                </c:pt>
                <c:pt idx="33">
                  <c:v>37.436</c:v>
                </c:pt>
                <c:pt idx="34">
                  <c:v>37.339399999999998</c:v>
                </c:pt>
                <c:pt idx="35">
                  <c:v>37.258400000000002</c:v>
                </c:pt>
                <c:pt idx="36">
                  <c:v>37.442399999999999</c:v>
                </c:pt>
                <c:pt idx="37">
                  <c:v>37.709900000000005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2.43941054054054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52.976481081081076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3.1184986486486492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39.936067567567562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3.1184986486486492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39.936067567567562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0.15434547307778793</c:v>
                </c:pt>
                <c:pt idx="1">
                  <c:v>0.39760906796830958</c:v>
                </c:pt>
                <c:pt idx="2">
                  <c:v>0.44804545895390241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0.40680699999999997</c:v>
                </c:pt>
                <c:pt idx="2">
                  <c:v>0.81276899999999996</c:v>
                </c:pt>
                <c:pt idx="3">
                  <c:v>1.2124200000000001</c:v>
                </c:pt>
                <c:pt idx="4">
                  <c:v>1.6255999999999999</c:v>
                </c:pt>
                <c:pt idx="5">
                  <c:v>2.03295</c:v>
                </c:pt>
                <c:pt idx="6">
                  <c:v>2.4363800000000002</c:v>
                </c:pt>
                <c:pt idx="7">
                  <c:v>2.8433199999999998</c:v>
                </c:pt>
                <c:pt idx="8">
                  <c:v>3.2473399999999999</c:v>
                </c:pt>
                <c:pt idx="9">
                  <c:v>3.65313</c:v>
                </c:pt>
                <c:pt idx="10">
                  <c:v>4.0601099999999999</c:v>
                </c:pt>
                <c:pt idx="11">
                  <c:v>4.4691099999999997</c:v>
                </c:pt>
                <c:pt idx="12">
                  <c:v>4.8738599999999996</c:v>
                </c:pt>
                <c:pt idx="13">
                  <c:v>5.28003</c:v>
                </c:pt>
                <c:pt idx="14">
                  <c:v>5.68872</c:v>
                </c:pt>
                <c:pt idx="15">
                  <c:v>6.0897199999999998</c:v>
                </c:pt>
                <c:pt idx="16">
                  <c:v>6.4996499999999999</c:v>
                </c:pt>
                <c:pt idx="17">
                  <c:v>6.9034700000000004</c:v>
                </c:pt>
                <c:pt idx="18">
                  <c:v>7.3126100000000003</c:v>
                </c:pt>
                <c:pt idx="19">
                  <c:v>7.7183200000000003</c:v>
                </c:pt>
                <c:pt idx="20">
                  <c:v>8.1241800000000008</c:v>
                </c:pt>
                <c:pt idx="21">
                  <c:v>8.5322899999999997</c:v>
                </c:pt>
                <c:pt idx="22">
                  <c:v>8.9359800000000007</c:v>
                </c:pt>
                <c:pt idx="23">
                  <c:v>9.3431200000000008</c:v>
                </c:pt>
                <c:pt idx="24">
                  <c:v>9.7492199999999993</c:v>
                </c:pt>
                <c:pt idx="25">
                  <c:v>10.1578</c:v>
                </c:pt>
                <c:pt idx="26">
                  <c:v>10.560600000000001</c:v>
                </c:pt>
                <c:pt idx="27">
                  <c:v>10.967599999999999</c:v>
                </c:pt>
                <c:pt idx="28">
                  <c:v>11.374499999999999</c:v>
                </c:pt>
                <c:pt idx="29">
                  <c:v>11.779400000000001</c:v>
                </c:pt>
                <c:pt idx="30">
                  <c:v>12.186299999999999</c:v>
                </c:pt>
                <c:pt idx="31">
                  <c:v>12.5952</c:v>
                </c:pt>
                <c:pt idx="32">
                  <c:v>12.999499999999999</c:v>
                </c:pt>
                <c:pt idx="33">
                  <c:v>13.4054</c:v>
                </c:pt>
                <c:pt idx="34">
                  <c:v>13.811</c:v>
                </c:pt>
                <c:pt idx="35">
                  <c:v>14.216100000000001</c:v>
                </c:pt>
                <c:pt idx="36">
                  <c:v>14.6258</c:v>
                </c:pt>
                <c:pt idx="37">
                  <c:v>15.031700000000001</c:v>
                </c:pt>
                <c:pt idx="38">
                  <c:v>15.5024</c:v>
                </c:pt>
                <c:pt idx="39">
                  <c:v>15.8896</c:v>
                </c:pt>
                <c:pt idx="40">
                  <c:v>16.299700000000001</c:v>
                </c:pt>
                <c:pt idx="41">
                  <c:v>16.7042</c:v>
                </c:pt>
                <c:pt idx="42">
                  <c:v>17.1082</c:v>
                </c:pt>
                <c:pt idx="43">
                  <c:v>17.514099999999999</c:v>
                </c:pt>
                <c:pt idx="44">
                  <c:v>17.9206</c:v>
                </c:pt>
                <c:pt idx="45">
                  <c:v>18.326000000000001</c:v>
                </c:pt>
                <c:pt idx="46">
                  <c:v>18.7348</c:v>
                </c:pt>
                <c:pt idx="47">
                  <c:v>19.139800000000001</c:v>
                </c:pt>
                <c:pt idx="48">
                  <c:v>19.5456</c:v>
                </c:pt>
                <c:pt idx="49">
                  <c:v>19.951699999999999</c:v>
                </c:pt>
                <c:pt idx="50">
                  <c:v>20.3596</c:v>
                </c:pt>
                <c:pt idx="51">
                  <c:v>20.767299999999999</c:v>
                </c:pt>
                <c:pt idx="52">
                  <c:v>21.169499999999999</c:v>
                </c:pt>
                <c:pt idx="53">
                  <c:v>21.575299999999999</c:v>
                </c:pt>
                <c:pt idx="54">
                  <c:v>21.985299999999999</c:v>
                </c:pt>
                <c:pt idx="55">
                  <c:v>22.389099999999999</c:v>
                </c:pt>
                <c:pt idx="56">
                  <c:v>22.797999999999998</c:v>
                </c:pt>
                <c:pt idx="57">
                  <c:v>23.201000000000001</c:v>
                </c:pt>
                <c:pt idx="58">
                  <c:v>23.606100000000001</c:v>
                </c:pt>
                <c:pt idx="59">
                  <c:v>24.011700000000001</c:v>
                </c:pt>
                <c:pt idx="60">
                  <c:v>24.430599999999998</c:v>
                </c:pt>
                <c:pt idx="61">
                  <c:v>24.8306</c:v>
                </c:pt>
                <c:pt idx="62">
                  <c:v>25.234500000000001</c:v>
                </c:pt>
                <c:pt idx="63">
                  <c:v>25.642299999999999</c:v>
                </c:pt>
                <c:pt idx="64">
                  <c:v>26.046299999999999</c:v>
                </c:pt>
                <c:pt idx="65">
                  <c:v>26.4542</c:v>
                </c:pt>
                <c:pt idx="66">
                  <c:v>26.862100000000002</c:v>
                </c:pt>
                <c:pt idx="67">
                  <c:v>27.266300000000001</c:v>
                </c:pt>
                <c:pt idx="68">
                  <c:v>27.672999999999998</c:v>
                </c:pt>
                <c:pt idx="69">
                  <c:v>28.077999999999999</c:v>
                </c:pt>
                <c:pt idx="70">
                  <c:v>28.483000000000001</c:v>
                </c:pt>
                <c:pt idx="71">
                  <c:v>28.887699999999999</c:v>
                </c:pt>
                <c:pt idx="72">
                  <c:v>29.300999999999998</c:v>
                </c:pt>
                <c:pt idx="73">
                  <c:v>29.705500000000001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74"/>
                <c:pt idx="0">
                  <c:v>1.6952800000000001</c:v>
                </c:pt>
                <c:pt idx="1">
                  <c:v>1.7466899999999999</c:v>
                </c:pt>
                <c:pt idx="2">
                  <c:v>1.7974000000000001</c:v>
                </c:pt>
                <c:pt idx="3">
                  <c:v>1.8471099999999998</c:v>
                </c:pt>
                <c:pt idx="4">
                  <c:v>1.89659</c:v>
                </c:pt>
                <c:pt idx="5">
                  <c:v>1.9436600000000002</c:v>
                </c:pt>
                <c:pt idx="6">
                  <c:v>1.99041</c:v>
                </c:pt>
                <c:pt idx="7">
                  <c:v>2.0398000000000001</c:v>
                </c:pt>
                <c:pt idx="8">
                  <c:v>2.0884200000000002</c:v>
                </c:pt>
                <c:pt idx="9">
                  <c:v>2.1368999999999998</c:v>
                </c:pt>
                <c:pt idx="10">
                  <c:v>2.1844999999999999</c:v>
                </c:pt>
                <c:pt idx="11">
                  <c:v>2.22953</c:v>
                </c:pt>
                <c:pt idx="12">
                  <c:v>2.2732999999999999</c:v>
                </c:pt>
                <c:pt idx="13">
                  <c:v>2.3147899999999999</c:v>
                </c:pt>
                <c:pt idx="14">
                  <c:v>2.3542399999999999</c:v>
                </c:pt>
                <c:pt idx="15">
                  <c:v>2.3929100000000001</c:v>
                </c:pt>
                <c:pt idx="16">
                  <c:v>2.42</c:v>
                </c:pt>
                <c:pt idx="17">
                  <c:v>2.4707399999999997</c:v>
                </c:pt>
                <c:pt idx="18">
                  <c:v>2.5120300000000002</c:v>
                </c:pt>
                <c:pt idx="19">
                  <c:v>2.55375</c:v>
                </c:pt>
                <c:pt idx="20">
                  <c:v>2.5946799999999999</c:v>
                </c:pt>
                <c:pt idx="21">
                  <c:v>2.6305699999999996</c:v>
                </c:pt>
                <c:pt idx="22">
                  <c:v>2.6627700000000001</c:v>
                </c:pt>
                <c:pt idx="23">
                  <c:v>2.6923399999999997</c:v>
                </c:pt>
                <c:pt idx="24">
                  <c:v>2.7206000000000001</c:v>
                </c:pt>
                <c:pt idx="25">
                  <c:v>2.74837</c:v>
                </c:pt>
                <c:pt idx="26">
                  <c:v>2.7782400000000003</c:v>
                </c:pt>
                <c:pt idx="27">
                  <c:v>2.8083399999999998</c:v>
                </c:pt>
                <c:pt idx="28">
                  <c:v>2.83325</c:v>
                </c:pt>
                <c:pt idx="29">
                  <c:v>2.8507600000000002</c:v>
                </c:pt>
                <c:pt idx="30">
                  <c:v>2.8617999999999997</c:v>
                </c:pt>
                <c:pt idx="31">
                  <c:v>2.8635999999999999</c:v>
                </c:pt>
                <c:pt idx="32">
                  <c:v>2.8618500000000004</c:v>
                </c:pt>
                <c:pt idx="33">
                  <c:v>2.85873</c:v>
                </c:pt>
                <c:pt idx="34">
                  <c:v>2.8587600000000002</c:v>
                </c:pt>
                <c:pt idx="35">
                  <c:v>2.8672999999999997</c:v>
                </c:pt>
                <c:pt idx="36">
                  <c:v>2.8781800000000004</c:v>
                </c:pt>
                <c:pt idx="37">
                  <c:v>2.8894199999999999</c:v>
                </c:pt>
                <c:pt idx="38">
                  <c:v>2.8993700000000002</c:v>
                </c:pt>
                <c:pt idx="39">
                  <c:v>2.9096899999999999</c:v>
                </c:pt>
                <c:pt idx="40">
                  <c:v>2.9204000000000003</c:v>
                </c:pt>
                <c:pt idx="41">
                  <c:v>2.9306399999999999</c:v>
                </c:pt>
                <c:pt idx="42">
                  <c:v>2.9391400000000001</c:v>
                </c:pt>
                <c:pt idx="43">
                  <c:v>2.9480200000000001</c:v>
                </c:pt>
                <c:pt idx="44">
                  <c:v>2.9607899999999998</c:v>
                </c:pt>
                <c:pt idx="45">
                  <c:v>2.9750900000000002</c:v>
                </c:pt>
                <c:pt idx="46">
                  <c:v>2.9907699999999999</c:v>
                </c:pt>
                <c:pt idx="47">
                  <c:v>3.0065799999999996</c:v>
                </c:pt>
                <c:pt idx="48">
                  <c:v>3.0210699999999999</c:v>
                </c:pt>
                <c:pt idx="49">
                  <c:v>3.0328599999999999</c:v>
                </c:pt>
                <c:pt idx="50">
                  <c:v>3.0442999999999998</c:v>
                </c:pt>
                <c:pt idx="51">
                  <c:v>3.0587999999999997</c:v>
                </c:pt>
                <c:pt idx="52">
                  <c:v>3.0711699999999995</c:v>
                </c:pt>
                <c:pt idx="53">
                  <c:v>3.0878299999999999</c:v>
                </c:pt>
                <c:pt idx="54">
                  <c:v>3.1115500000000003</c:v>
                </c:pt>
                <c:pt idx="55">
                  <c:v>3.1392599999999997</c:v>
                </c:pt>
                <c:pt idx="56">
                  <c:v>3.1679600000000003</c:v>
                </c:pt>
                <c:pt idx="57">
                  <c:v>3.1883499999999998</c:v>
                </c:pt>
                <c:pt idx="58">
                  <c:v>3.1998700000000002</c:v>
                </c:pt>
                <c:pt idx="59">
                  <c:v>3.21129</c:v>
                </c:pt>
                <c:pt idx="60">
                  <c:v>3.2221699999999998</c:v>
                </c:pt>
                <c:pt idx="61">
                  <c:v>3.2327899999999996</c:v>
                </c:pt>
                <c:pt idx="62">
                  <c:v>3.24125</c:v>
                </c:pt>
                <c:pt idx="63">
                  <c:v>3.24796</c:v>
                </c:pt>
                <c:pt idx="64">
                  <c:v>3.2546499999999998</c:v>
                </c:pt>
                <c:pt idx="65">
                  <c:v>3.2642300000000004</c:v>
                </c:pt>
                <c:pt idx="66">
                  <c:v>3.2742599999999999</c:v>
                </c:pt>
                <c:pt idx="67">
                  <c:v>3.28186</c:v>
                </c:pt>
                <c:pt idx="68">
                  <c:v>3.2868900000000001</c:v>
                </c:pt>
                <c:pt idx="69">
                  <c:v>3.2867000000000002</c:v>
                </c:pt>
                <c:pt idx="70">
                  <c:v>3.28376</c:v>
                </c:pt>
                <c:pt idx="71">
                  <c:v>3.2790000000000004</c:v>
                </c:pt>
                <c:pt idx="72">
                  <c:v>3.2667400000000004</c:v>
                </c:pt>
                <c:pt idx="73">
                  <c:v>3.2579700000000003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0.40680699999999997</c:v>
                </c:pt>
                <c:pt idx="2">
                  <c:v>0.81276899999999996</c:v>
                </c:pt>
                <c:pt idx="3">
                  <c:v>1.2124200000000001</c:v>
                </c:pt>
                <c:pt idx="4">
                  <c:v>1.6255999999999999</c:v>
                </c:pt>
                <c:pt idx="5">
                  <c:v>2.03295</c:v>
                </c:pt>
                <c:pt idx="6">
                  <c:v>2.4363800000000002</c:v>
                </c:pt>
                <c:pt idx="7">
                  <c:v>2.8433199999999998</c:v>
                </c:pt>
                <c:pt idx="8">
                  <c:v>3.2473399999999999</c:v>
                </c:pt>
                <c:pt idx="9">
                  <c:v>3.65313</c:v>
                </c:pt>
                <c:pt idx="10">
                  <c:v>4.0601099999999999</c:v>
                </c:pt>
                <c:pt idx="11">
                  <c:v>4.4691099999999997</c:v>
                </c:pt>
                <c:pt idx="12">
                  <c:v>4.8738599999999996</c:v>
                </c:pt>
                <c:pt idx="13">
                  <c:v>5.28003</c:v>
                </c:pt>
                <c:pt idx="14">
                  <c:v>5.68872</c:v>
                </c:pt>
                <c:pt idx="15">
                  <c:v>6.0897199999999998</c:v>
                </c:pt>
                <c:pt idx="16">
                  <c:v>6.4996499999999999</c:v>
                </c:pt>
                <c:pt idx="17">
                  <c:v>6.9034700000000004</c:v>
                </c:pt>
                <c:pt idx="18">
                  <c:v>7.3126100000000003</c:v>
                </c:pt>
                <c:pt idx="19">
                  <c:v>7.7183200000000003</c:v>
                </c:pt>
                <c:pt idx="20">
                  <c:v>8.1241800000000008</c:v>
                </c:pt>
                <c:pt idx="21">
                  <c:v>8.5322899999999997</c:v>
                </c:pt>
                <c:pt idx="22">
                  <c:v>8.9359800000000007</c:v>
                </c:pt>
                <c:pt idx="23">
                  <c:v>9.3431200000000008</c:v>
                </c:pt>
                <c:pt idx="24">
                  <c:v>9.7492199999999993</c:v>
                </c:pt>
                <c:pt idx="25">
                  <c:v>10.1578</c:v>
                </c:pt>
                <c:pt idx="26">
                  <c:v>10.560600000000001</c:v>
                </c:pt>
                <c:pt idx="27">
                  <c:v>10.967599999999999</c:v>
                </c:pt>
                <c:pt idx="28">
                  <c:v>11.374499999999999</c:v>
                </c:pt>
                <c:pt idx="29">
                  <c:v>11.779400000000001</c:v>
                </c:pt>
                <c:pt idx="30">
                  <c:v>12.186299999999999</c:v>
                </c:pt>
                <c:pt idx="31">
                  <c:v>12.5952</c:v>
                </c:pt>
                <c:pt idx="32">
                  <c:v>12.999499999999999</c:v>
                </c:pt>
                <c:pt idx="33">
                  <c:v>13.4054</c:v>
                </c:pt>
                <c:pt idx="34">
                  <c:v>13.811</c:v>
                </c:pt>
                <c:pt idx="35">
                  <c:v>14.216100000000001</c:v>
                </c:pt>
                <c:pt idx="36">
                  <c:v>14.6258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37"/>
                <c:pt idx="0">
                  <c:v>1.6952800000000001</c:v>
                </c:pt>
                <c:pt idx="1">
                  <c:v>1.7466899999999999</c:v>
                </c:pt>
                <c:pt idx="2">
                  <c:v>1.7974000000000001</c:v>
                </c:pt>
                <c:pt idx="3">
                  <c:v>1.8471099999999998</c:v>
                </c:pt>
                <c:pt idx="4">
                  <c:v>1.89659</c:v>
                </c:pt>
                <c:pt idx="5">
                  <c:v>1.9436600000000002</c:v>
                </c:pt>
                <c:pt idx="6">
                  <c:v>1.99041</c:v>
                </c:pt>
                <c:pt idx="7">
                  <c:v>2.0398000000000001</c:v>
                </c:pt>
                <c:pt idx="8">
                  <c:v>2.0884200000000002</c:v>
                </c:pt>
                <c:pt idx="9">
                  <c:v>2.1368999999999998</c:v>
                </c:pt>
                <c:pt idx="10">
                  <c:v>2.1844999999999999</c:v>
                </c:pt>
                <c:pt idx="11">
                  <c:v>2.22953</c:v>
                </c:pt>
                <c:pt idx="12">
                  <c:v>2.2732999999999999</c:v>
                </c:pt>
                <c:pt idx="13">
                  <c:v>2.3147899999999999</c:v>
                </c:pt>
                <c:pt idx="14">
                  <c:v>2.3542399999999999</c:v>
                </c:pt>
                <c:pt idx="15">
                  <c:v>2.3929100000000001</c:v>
                </c:pt>
                <c:pt idx="16">
                  <c:v>2.42</c:v>
                </c:pt>
                <c:pt idx="17">
                  <c:v>2.4707399999999997</c:v>
                </c:pt>
                <c:pt idx="18">
                  <c:v>2.5120300000000002</c:v>
                </c:pt>
                <c:pt idx="19">
                  <c:v>2.55375</c:v>
                </c:pt>
                <c:pt idx="20">
                  <c:v>2.5946799999999999</c:v>
                </c:pt>
                <c:pt idx="21">
                  <c:v>2.6305699999999996</c:v>
                </c:pt>
                <c:pt idx="22">
                  <c:v>2.6627700000000001</c:v>
                </c:pt>
                <c:pt idx="23">
                  <c:v>2.6923399999999997</c:v>
                </c:pt>
                <c:pt idx="24">
                  <c:v>2.7206000000000001</c:v>
                </c:pt>
                <c:pt idx="25">
                  <c:v>2.74837</c:v>
                </c:pt>
                <c:pt idx="26">
                  <c:v>2.7782400000000003</c:v>
                </c:pt>
                <c:pt idx="27">
                  <c:v>2.8083399999999998</c:v>
                </c:pt>
                <c:pt idx="28">
                  <c:v>2.83325</c:v>
                </c:pt>
                <c:pt idx="29">
                  <c:v>2.8507600000000002</c:v>
                </c:pt>
                <c:pt idx="30">
                  <c:v>2.8617999999999997</c:v>
                </c:pt>
                <c:pt idx="31">
                  <c:v>2.8635999999999999</c:v>
                </c:pt>
                <c:pt idx="32">
                  <c:v>2.8618500000000004</c:v>
                </c:pt>
                <c:pt idx="33">
                  <c:v>2.85873</c:v>
                </c:pt>
                <c:pt idx="34">
                  <c:v>2.8587600000000002</c:v>
                </c:pt>
                <c:pt idx="35">
                  <c:v>2.8672999999999997</c:v>
                </c:pt>
                <c:pt idx="36">
                  <c:v>2.8781800000000004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14.6258</c:v>
                </c:pt>
                <c:pt idx="1">
                  <c:v>15.031700000000001</c:v>
                </c:pt>
                <c:pt idx="2">
                  <c:v>15.5024</c:v>
                </c:pt>
                <c:pt idx="3">
                  <c:v>15.8896</c:v>
                </c:pt>
                <c:pt idx="4">
                  <c:v>16.299700000000001</c:v>
                </c:pt>
                <c:pt idx="5">
                  <c:v>16.7042</c:v>
                </c:pt>
                <c:pt idx="6">
                  <c:v>17.1082</c:v>
                </c:pt>
                <c:pt idx="7">
                  <c:v>17.514099999999999</c:v>
                </c:pt>
                <c:pt idx="8">
                  <c:v>17.9206</c:v>
                </c:pt>
                <c:pt idx="9">
                  <c:v>18.326000000000001</c:v>
                </c:pt>
                <c:pt idx="10">
                  <c:v>18.7348</c:v>
                </c:pt>
                <c:pt idx="11">
                  <c:v>19.139800000000001</c:v>
                </c:pt>
                <c:pt idx="12">
                  <c:v>19.5456</c:v>
                </c:pt>
                <c:pt idx="13">
                  <c:v>19.951699999999999</c:v>
                </c:pt>
                <c:pt idx="14">
                  <c:v>20.3596</c:v>
                </c:pt>
                <c:pt idx="15">
                  <c:v>20.767299999999999</c:v>
                </c:pt>
                <c:pt idx="16">
                  <c:v>21.169499999999999</c:v>
                </c:pt>
                <c:pt idx="17">
                  <c:v>21.575299999999999</c:v>
                </c:pt>
                <c:pt idx="18">
                  <c:v>21.985299999999999</c:v>
                </c:pt>
                <c:pt idx="19">
                  <c:v>22.389099999999999</c:v>
                </c:pt>
                <c:pt idx="20">
                  <c:v>22.797999999999998</c:v>
                </c:pt>
                <c:pt idx="21">
                  <c:v>23.201000000000001</c:v>
                </c:pt>
                <c:pt idx="22">
                  <c:v>23.606100000000001</c:v>
                </c:pt>
                <c:pt idx="23">
                  <c:v>24.011700000000001</c:v>
                </c:pt>
                <c:pt idx="24">
                  <c:v>24.430599999999998</c:v>
                </c:pt>
                <c:pt idx="25">
                  <c:v>24.8306</c:v>
                </c:pt>
                <c:pt idx="26">
                  <c:v>25.234500000000001</c:v>
                </c:pt>
                <c:pt idx="27">
                  <c:v>25.642299999999999</c:v>
                </c:pt>
                <c:pt idx="28">
                  <c:v>26.046299999999999</c:v>
                </c:pt>
                <c:pt idx="29">
                  <c:v>26.4542</c:v>
                </c:pt>
                <c:pt idx="30">
                  <c:v>26.862100000000002</c:v>
                </c:pt>
                <c:pt idx="31">
                  <c:v>27.266300000000001</c:v>
                </c:pt>
                <c:pt idx="32">
                  <c:v>27.672999999999998</c:v>
                </c:pt>
                <c:pt idx="33">
                  <c:v>28.077999999999999</c:v>
                </c:pt>
                <c:pt idx="34">
                  <c:v>28.483000000000001</c:v>
                </c:pt>
                <c:pt idx="35">
                  <c:v>28.887699999999999</c:v>
                </c:pt>
                <c:pt idx="36">
                  <c:v>29.300999999999998</c:v>
                </c:pt>
                <c:pt idx="37">
                  <c:v>29.705500000000001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38"/>
                <c:pt idx="0">
                  <c:v>2.8781800000000004</c:v>
                </c:pt>
                <c:pt idx="1">
                  <c:v>2.8894199999999999</c:v>
                </c:pt>
                <c:pt idx="2">
                  <c:v>2.8993700000000002</c:v>
                </c:pt>
                <c:pt idx="3">
                  <c:v>2.9096899999999999</c:v>
                </c:pt>
                <c:pt idx="4">
                  <c:v>2.9204000000000003</c:v>
                </c:pt>
                <c:pt idx="5">
                  <c:v>2.9306399999999999</c:v>
                </c:pt>
                <c:pt idx="6">
                  <c:v>2.9391400000000001</c:v>
                </c:pt>
                <c:pt idx="7">
                  <c:v>2.9480200000000001</c:v>
                </c:pt>
                <c:pt idx="8">
                  <c:v>2.9607899999999998</c:v>
                </c:pt>
                <c:pt idx="9">
                  <c:v>2.9750900000000002</c:v>
                </c:pt>
                <c:pt idx="10">
                  <c:v>2.9907699999999999</c:v>
                </c:pt>
                <c:pt idx="11">
                  <c:v>3.0065799999999996</c:v>
                </c:pt>
                <c:pt idx="12">
                  <c:v>3.0210699999999999</c:v>
                </c:pt>
                <c:pt idx="13">
                  <c:v>3.0328599999999999</c:v>
                </c:pt>
                <c:pt idx="14">
                  <c:v>3.0442999999999998</c:v>
                </c:pt>
                <c:pt idx="15">
                  <c:v>3.0587999999999997</c:v>
                </c:pt>
                <c:pt idx="16">
                  <c:v>3.0711699999999995</c:v>
                </c:pt>
                <c:pt idx="17">
                  <c:v>3.0878299999999999</c:v>
                </c:pt>
                <c:pt idx="18">
                  <c:v>3.1115500000000003</c:v>
                </c:pt>
                <c:pt idx="19">
                  <c:v>3.1392599999999997</c:v>
                </c:pt>
                <c:pt idx="20">
                  <c:v>3.1679600000000003</c:v>
                </c:pt>
                <c:pt idx="21">
                  <c:v>3.1883499999999998</c:v>
                </c:pt>
                <c:pt idx="22">
                  <c:v>3.1998700000000002</c:v>
                </c:pt>
                <c:pt idx="23">
                  <c:v>3.21129</c:v>
                </c:pt>
                <c:pt idx="24">
                  <c:v>3.2221699999999998</c:v>
                </c:pt>
                <c:pt idx="25">
                  <c:v>3.2327899999999996</c:v>
                </c:pt>
                <c:pt idx="26">
                  <c:v>3.24125</c:v>
                </c:pt>
                <c:pt idx="27">
                  <c:v>3.24796</c:v>
                </c:pt>
                <c:pt idx="28">
                  <c:v>3.2546499999999998</c:v>
                </c:pt>
                <c:pt idx="29">
                  <c:v>3.2642300000000004</c:v>
                </c:pt>
                <c:pt idx="30">
                  <c:v>3.2742599999999999</c:v>
                </c:pt>
                <c:pt idx="31">
                  <c:v>3.28186</c:v>
                </c:pt>
                <c:pt idx="32">
                  <c:v>3.2868900000000001</c:v>
                </c:pt>
                <c:pt idx="33">
                  <c:v>3.2867000000000002</c:v>
                </c:pt>
                <c:pt idx="34">
                  <c:v>3.28376</c:v>
                </c:pt>
                <c:pt idx="35">
                  <c:v>3.2790000000000004</c:v>
                </c:pt>
                <c:pt idx="36">
                  <c:v>3.2667400000000004</c:v>
                </c:pt>
                <c:pt idx="37">
                  <c:v>3.2579700000000003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7.4263750000000002</c:v>
                </c:pt>
                <c:pt idx="1">
                  <c:v>22.279125000000001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2.43941054054054</c:v>
                </c:pt>
                <c:pt idx="1">
                  <c:v>3.1184986486486492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0.40680699999999997</c:v>
                </c:pt>
                <c:pt idx="2">
                  <c:v>0.81276899999999996</c:v>
                </c:pt>
                <c:pt idx="3">
                  <c:v>1.2124200000000001</c:v>
                </c:pt>
                <c:pt idx="4">
                  <c:v>1.6255999999999999</c:v>
                </c:pt>
                <c:pt idx="5">
                  <c:v>2.03295</c:v>
                </c:pt>
                <c:pt idx="6">
                  <c:v>2.4363800000000002</c:v>
                </c:pt>
                <c:pt idx="7">
                  <c:v>2.8433199999999998</c:v>
                </c:pt>
                <c:pt idx="8">
                  <c:v>3.2473399999999999</c:v>
                </c:pt>
                <c:pt idx="9">
                  <c:v>3.65313</c:v>
                </c:pt>
                <c:pt idx="10">
                  <c:v>4.0601099999999999</c:v>
                </c:pt>
                <c:pt idx="11">
                  <c:v>4.4691099999999997</c:v>
                </c:pt>
                <c:pt idx="12">
                  <c:v>4.8738599999999996</c:v>
                </c:pt>
                <c:pt idx="13">
                  <c:v>5.28003</c:v>
                </c:pt>
                <c:pt idx="14">
                  <c:v>5.68872</c:v>
                </c:pt>
                <c:pt idx="15">
                  <c:v>6.0897199999999998</c:v>
                </c:pt>
                <c:pt idx="16">
                  <c:v>6.4996499999999999</c:v>
                </c:pt>
                <c:pt idx="17">
                  <c:v>6.9034700000000004</c:v>
                </c:pt>
                <c:pt idx="18">
                  <c:v>7.3126100000000003</c:v>
                </c:pt>
                <c:pt idx="19">
                  <c:v>7.7183200000000003</c:v>
                </c:pt>
                <c:pt idx="20">
                  <c:v>8.1241800000000008</c:v>
                </c:pt>
                <c:pt idx="21">
                  <c:v>8.5322899999999997</c:v>
                </c:pt>
                <c:pt idx="22">
                  <c:v>8.9359800000000007</c:v>
                </c:pt>
                <c:pt idx="23">
                  <c:v>9.3431200000000008</c:v>
                </c:pt>
                <c:pt idx="24">
                  <c:v>9.7492199999999993</c:v>
                </c:pt>
                <c:pt idx="25">
                  <c:v>10.1578</c:v>
                </c:pt>
                <c:pt idx="26">
                  <c:v>10.560600000000001</c:v>
                </c:pt>
                <c:pt idx="27">
                  <c:v>10.967599999999999</c:v>
                </c:pt>
                <c:pt idx="28">
                  <c:v>11.374499999999999</c:v>
                </c:pt>
                <c:pt idx="29">
                  <c:v>11.779400000000001</c:v>
                </c:pt>
                <c:pt idx="30">
                  <c:v>12.186299999999999</c:v>
                </c:pt>
                <c:pt idx="31">
                  <c:v>12.5952</c:v>
                </c:pt>
                <c:pt idx="32">
                  <c:v>12.999499999999999</c:v>
                </c:pt>
                <c:pt idx="33">
                  <c:v>13.4054</c:v>
                </c:pt>
                <c:pt idx="34">
                  <c:v>13.811</c:v>
                </c:pt>
                <c:pt idx="35">
                  <c:v>14.216100000000001</c:v>
                </c:pt>
                <c:pt idx="36">
                  <c:v>14.6258</c:v>
                </c:pt>
                <c:pt idx="37">
                  <c:v>15.031700000000001</c:v>
                </c:pt>
                <c:pt idx="38">
                  <c:v>15.5024</c:v>
                </c:pt>
                <c:pt idx="39">
                  <c:v>15.8896</c:v>
                </c:pt>
                <c:pt idx="40">
                  <c:v>16.299700000000001</c:v>
                </c:pt>
                <c:pt idx="41">
                  <c:v>16.7042</c:v>
                </c:pt>
                <c:pt idx="42">
                  <c:v>17.1082</c:v>
                </c:pt>
                <c:pt idx="43">
                  <c:v>17.514099999999999</c:v>
                </c:pt>
                <c:pt idx="44">
                  <c:v>17.9206</c:v>
                </c:pt>
                <c:pt idx="45">
                  <c:v>18.326000000000001</c:v>
                </c:pt>
                <c:pt idx="46">
                  <c:v>18.7348</c:v>
                </c:pt>
                <c:pt idx="47">
                  <c:v>19.139800000000001</c:v>
                </c:pt>
                <c:pt idx="48">
                  <c:v>19.5456</c:v>
                </c:pt>
                <c:pt idx="49">
                  <c:v>19.951699999999999</c:v>
                </c:pt>
                <c:pt idx="50">
                  <c:v>20.3596</c:v>
                </c:pt>
                <c:pt idx="51">
                  <c:v>20.767299999999999</c:v>
                </c:pt>
                <c:pt idx="52">
                  <c:v>21.169499999999999</c:v>
                </c:pt>
                <c:pt idx="53">
                  <c:v>21.575299999999999</c:v>
                </c:pt>
                <c:pt idx="54">
                  <c:v>21.985299999999999</c:v>
                </c:pt>
                <c:pt idx="55">
                  <c:v>22.389099999999999</c:v>
                </c:pt>
                <c:pt idx="56">
                  <c:v>22.797999999999998</c:v>
                </c:pt>
                <c:pt idx="57">
                  <c:v>23.201000000000001</c:v>
                </c:pt>
                <c:pt idx="58">
                  <c:v>23.606100000000001</c:v>
                </c:pt>
                <c:pt idx="59">
                  <c:v>24.011700000000001</c:v>
                </c:pt>
                <c:pt idx="60">
                  <c:v>24.430599999999998</c:v>
                </c:pt>
                <c:pt idx="61">
                  <c:v>24.8306</c:v>
                </c:pt>
                <c:pt idx="62">
                  <c:v>25.234500000000001</c:v>
                </c:pt>
                <c:pt idx="63">
                  <c:v>25.642299999999999</c:v>
                </c:pt>
                <c:pt idx="64">
                  <c:v>26.046299999999999</c:v>
                </c:pt>
                <c:pt idx="65">
                  <c:v>26.4542</c:v>
                </c:pt>
                <c:pt idx="66">
                  <c:v>26.862100000000002</c:v>
                </c:pt>
                <c:pt idx="67">
                  <c:v>27.266300000000001</c:v>
                </c:pt>
                <c:pt idx="68">
                  <c:v>27.672999999999998</c:v>
                </c:pt>
                <c:pt idx="69">
                  <c:v>28.077999999999999</c:v>
                </c:pt>
                <c:pt idx="70">
                  <c:v>28.483000000000001</c:v>
                </c:pt>
                <c:pt idx="71">
                  <c:v>28.887699999999999</c:v>
                </c:pt>
                <c:pt idx="72">
                  <c:v>29.300999999999998</c:v>
                </c:pt>
                <c:pt idx="73">
                  <c:v>29.705500000000001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65.486999999999995</c:v>
                </c:pt>
                <c:pt idx="1">
                  <c:v>64.917400000000001</c:v>
                </c:pt>
                <c:pt idx="2">
                  <c:v>64.328000000000003</c:v>
                </c:pt>
                <c:pt idx="3">
                  <c:v>63.770800000000008</c:v>
                </c:pt>
                <c:pt idx="4">
                  <c:v>63.130499999999998</c:v>
                </c:pt>
                <c:pt idx="5">
                  <c:v>62.459900000000005</c:v>
                </c:pt>
                <c:pt idx="6">
                  <c:v>61.679200000000002</c:v>
                </c:pt>
                <c:pt idx="7">
                  <c:v>60.788699999999999</c:v>
                </c:pt>
                <c:pt idx="8">
                  <c:v>59.884700000000002</c:v>
                </c:pt>
                <c:pt idx="9">
                  <c:v>58.965800000000002</c:v>
                </c:pt>
                <c:pt idx="10">
                  <c:v>58.0623</c:v>
                </c:pt>
                <c:pt idx="11">
                  <c:v>57.207300000000004</c:v>
                </c:pt>
                <c:pt idx="12">
                  <c:v>56.357599999999998</c:v>
                </c:pt>
                <c:pt idx="13">
                  <c:v>55.588400000000007</c:v>
                </c:pt>
                <c:pt idx="14">
                  <c:v>54.883099999999999</c:v>
                </c:pt>
                <c:pt idx="15">
                  <c:v>54.105400000000003</c:v>
                </c:pt>
                <c:pt idx="16">
                  <c:v>53.5396</c:v>
                </c:pt>
                <c:pt idx="17">
                  <c:v>52.400300000000001</c:v>
                </c:pt>
                <c:pt idx="18">
                  <c:v>51.558300000000003</c:v>
                </c:pt>
                <c:pt idx="19">
                  <c:v>50.744100000000003</c:v>
                </c:pt>
                <c:pt idx="20">
                  <c:v>49.9803</c:v>
                </c:pt>
                <c:pt idx="21">
                  <c:v>49.377300000000005</c:v>
                </c:pt>
                <c:pt idx="22">
                  <c:v>48.846299999999999</c:v>
                </c:pt>
                <c:pt idx="23">
                  <c:v>48.311300000000003</c:v>
                </c:pt>
                <c:pt idx="24">
                  <c:v>47.772199999999998</c:v>
                </c:pt>
                <c:pt idx="25">
                  <c:v>47.2881</c:v>
                </c:pt>
                <c:pt idx="26">
                  <c:v>46.805</c:v>
                </c:pt>
                <c:pt idx="27">
                  <c:v>46.319900000000004</c:v>
                </c:pt>
                <c:pt idx="28">
                  <c:v>45.961100000000002</c:v>
                </c:pt>
                <c:pt idx="29">
                  <c:v>45.686300000000003</c:v>
                </c:pt>
                <c:pt idx="30">
                  <c:v>45.455800000000004</c:v>
                </c:pt>
                <c:pt idx="31">
                  <c:v>45.245200000000004</c:v>
                </c:pt>
                <c:pt idx="32">
                  <c:v>45.032800000000002</c:v>
                </c:pt>
                <c:pt idx="33">
                  <c:v>44.803800000000003</c:v>
                </c:pt>
                <c:pt idx="34">
                  <c:v>44.653199999999998</c:v>
                </c:pt>
                <c:pt idx="35">
                  <c:v>44.474599999999995</c:v>
                </c:pt>
                <c:pt idx="36">
                  <c:v>44.258199999999995</c:v>
                </c:pt>
                <c:pt idx="37">
                  <c:v>44.032299999999999</c:v>
                </c:pt>
                <c:pt idx="38">
                  <c:v>43.785299999999999</c:v>
                </c:pt>
                <c:pt idx="39">
                  <c:v>43.484699999999997</c:v>
                </c:pt>
                <c:pt idx="40">
                  <c:v>43.139600000000002</c:v>
                </c:pt>
                <c:pt idx="41">
                  <c:v>42.796199999999999</c:v>
                </c:pt>
                <c:pt idx="42">
                  <c:v>42.515000000000001</c:v>
                </c:pt>
                <c:pt idx="43">
                  <c:v>42.283200000000001</c:v>
                </c:pt>
                <c:pt idx="44">
                  <c:v>42.017900000000004</c:v>
                </c:pt>
                <c:pt idx="45">
                  <c:v>41.7408</c:v>
                </c:pt>
                <c:pt idx="46">
                  <c:v>41.475999999999999</c:v>
                </c:pt>
                <c:pt idx="47">
                  <c:v>41.1815</c:v>
                </c:pt>
                <c:pt idx="48">
                  <c:v>40.885399999999997</c:v>
                </c:pt>
                <c:pt idx="49">
                  <c:v>40.579700000000003</c:v>
                </c:pt>
                <c:pt idx="50">
                  <c:v>40.289700000000003</c:v>
                </c:pt>
                <c:pt idx="51">
                  <c:v>40.008700000000005</c:v>
                </c:pt>
                <c:pt idx="52">
                  <c:v>39.836399999999998</c:v>
                </c:pt>
                <c:pt idx="53">
                  <c:v>39.727899999999998</c:v>
                </c:pt>
                <c:pt idx="54">
                  <c:v>39.6524</c:v>
                </c:pt>
                <c:pt idx="55">
                  <c:v>39.629300000000001</c:v>
                </c:pt>
                <c:pt idx="56">
                  <c:v>39.581000000000003</c:v>
                </c:pt>
                <c:pt idx="57">
                  <c:v>39.416800000000002</c:v>
                </c:pt>
                <c:pt idx="58">
                  <c:v>39.209899999999998</c:v>
                </c:pt>
                <c:pt idx="59">
                  <c:v>39.011499999999998</c:v>
                </c:pt>
                <c:pt idx="60">
                  <c:v>38.798999999999999</c:v>
                </c:pt>
                <c:pt idx="61">
                  <c:v>38.623600000000003</c:v>
                </c:pt>
                <c:pt idx="62">
                  <c:v>38.494299999999996</c:v>
                </c:pt>
                <c:pt idx="63">
                  <c:v>38.412500000000001</c:v>
                </c:pt>
                <c:pt idx="64">
                  <c:v>38.333600000000004</c:v>
                </c:pt>
                <c:pt idx="65">
                  <c:v>38.168700000000001</c:v>
                </c:pt>
                <c:pt idx="66">
                  <c:v>37.963299999999997</c:v>
                </c:pt>
                <c:pt idx="67">
                  <c:v>37.783299999999997</c:v>
                </c:pt>
                <c:pt idx="68">
                  <c:v>37.588899999999995</c:v>
                </c:pt>
                <c:pt idx="69">
                  <c:v>37.436</c:v>
                </c:pt>
                <c:pt idx="70">
                  <c:v>37.339399999999998</c:v>
                </c:pt>
                <c:pt idx="71">
                  <c:v>37.258400000000002</c:v>
                </c:pt>
                <c:pt idx="72">
                  <c:v>37.442399999999999</c:v>
                </c:pt>
                <c:pt idx="73">
                  <c:v>37.709900000000005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0.40680699999999997</c:v>
                </c:pt>
                <c:pt idx="2">
                  <c:v>0.81276899999999996</c:v>
                </c:pt>
                <c:pt idx="3">
                  <c:v>1.2124200000000001</c:v>
                </c:pt>
                <c:pt idx="4">
                  <c:v>1.6255999999999999</c:v>
                </c:pt>
                <c:pt idx="5">
                  <c:v>2.03295</c:v>
                </c:pt>
                <c:pt idx="6">
                  <c:v>2.4363800000000002</c:v>
                </c:pt>
                <c:pt idx="7">
                  <c:v>2.8433199999999998</c:v>
                </c:pt>
                <c:pt idx="8">
                  <c:v>3.2473399999999999</c:v>
                </c:pt>
                <c:pt idx="9">
                  <c:v>3.65313</c:v>
                </c:pt>
                <c:pt idx="10">
                  <c:v>4.0601099999999999</c:v>
                </c:pt>
                <c:pt idx="11">
                  <c:v>4.4691099999999997</c:v>
                </c:pt>
                <c:pt idx="12">
                  <c:v>4.8738599999999996</c:v>
                </c:pt>
                <c:pt idx="13">
                  <c:v>5.28003</c:v>
                </c:pt>
                <c:pt idx="14">
                  <c:v>5.68872</c:v>
                </c:pt>
                <c:pt idx="15">
                  <c:v>6.0897199999999998</c:v>
                </c:pt>
                <c:pt idx="16">
                  <c:v>6.4996499999999999</c:v>
                </c:pt>
                <c:pt idx="17">
                  <c:v>6.9034700000000004</c:v>
                </c:pt>
                <c:pt idx="18">
                  <c:v>7.3126100000000003</c:v>
                </c:pt>
                <c:pt idx="19">
                  <c:v>7.7183200000000003</c:v>
                </c:pt>
                <c:pt idx="20">
                  <c:v>8.1241800000000008</c:v>
                </c:pt>
                <c:pt idx="21">
                  <c:v>8.5322899999999997</c:v>
                </c:pt>
                <c:pt idx="22">
                  <c:v>8.9359800000000007</c:v>
                </c:pt>
                <c:pt idx="23">
                  <c:v>9.3431200000000008</c:v>
                </c:pt>
                <c:pt idx="24">
                  <c:v>9.7492199999999993</c:v>
                </c:pt>
                <c:pt idx="25">
                  <c:v>10.1578</c:v>
                </c:pt>
                <c:pt idx="26">
                  <c:v>10.560600000000001</c:v>
                </c:pt>
                <c:pt idx="27">
                  <c:v>10.967599999999999</c:v>
                </c:pt>
                <c:pt idx="28">
                  <c:v>11.374499999999999</c:v>
                </c:pt>
                <c:pt idx="29">
                  <c:v>11.779400000000001</c:v>
                </c:pt>
                <c:pt idx="30">
                  <c:v>12.186299999999999</c:v>
                </c:pt>
                <c:pt idx="31">
                  <c:v>12.5952</c:v>
                </c:pt>
                <c:pt idx="32">
                  <c:v>12.999499999999999</c:v>
                </c:pt>
                <c:pt idx="33">
                  <c:v>13.4054</c:v>
                </c:pt>
                <c:pt idx="34">
                  <c:v>13.811</c:v>
                </c:pt>
                <c:pt idx="35">
                  <c:v>14.216100000000001</c:v>
                </c:pt>
                <c:pt idx="36">
                  <c:v>14.6258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65.486999999999995</c:v>
                </c:pt>
                <c:pt idx="1">
                  <c:v>64.917400000000001</c:v>
                </c:pt>
                <c:pt idx="2">
                  <c:v>64.328000000000003</c:v>
                </c:pt>
                <c:pt idx="3">
                  <c:v>63.770800000000008</c:v>
                </c:pt>
                <c:pt idx="4">
                  <c:v>63.130499999999998</c:v>
                </c:pt>
                <c:pt idx="5">
                  <c:v>62.459900000000005</c:v>
                </c:pt>
                <c:pt idx="6">
                  <c:v>61.679200000000002</c:v>
                </c:pt>
                <c:pt idx="7">
                  <c:v>60.788699999999999</c:v>
                </c:pt>
                <c:pt idx="8">
                  <c:v>59.884700000000002</c:v>
                </c:pt>
                <c:pt idx="9">
                  <c:v>58.965800000000002</c:v>
                </c:pt>
                <c:pt idx="10">
                  <c:v>58.0623</c:v>
                </c:pt>
                <c:pt idx="11">
                  <c:v>57.207300000000004</c:v>
                </c:pt>
                <c:pt idx="12">
                  <c:v>56.357599999999998</c:v>
                </c:pt>
                <c:pt idx="13">
                  <c:v>55.588400000000007</c:v>
                </c:pt>
                <c:pt idx="14">
                  <c:v>54.883099999999999</c:v>
                </c:pt>
                <c:pt idx="15">
                  <c:v>54.105400000000003</c:v>
                </c:pt>
                <c:pt idx="16">
                  <c:v>53.5396</c:v>
                </c:pt>
                <c:pt idx="17">
                  <c:v>52.400300000000001</c:v>
                </c:pt>
                <c:pt idx="18">
                  <c:v>51.558300000000003</c:v>
                </c:pt>
                <c:pt idx="19">
                  <c:v>50.744100000000003</c:v>
                </c:pt>
                <c:pt idx="20">
                  <c:v>49.9803</c:v>
                </c:pt>
                <c:pt idx="21">
                  <c:v>49.377300000000005</c:v>
                </c:pt>
                <c:pt idx="22">
                  <c:v>48.846299999999999</c:v>
                </c:pt>
                <c:pt idx="23">
                  <c:v>48.311300000000003</c:v>
                </c:pt>
                <c:pt idx="24">
                  <c:v>47.772199999999998</c:v>
                </c:pt>
                <c:pt idx="25">
                  <c:v>47.2881</c:v>
                </c:pt>
                <c:pt idx="26">
                  <c:v>46.805</c:v>
                </c:pt>
                <c:pt idx="27">
                  <c:v>46.319900000000004</c:v>
                </c:pt>
                <c:pt idx="28">
                  <c:v>45.961100000000002</c:v>
                </c:pt>
                <c:pt idx="29">
                  <c:v>45.686300000000003</c:v>
                </c:pt>
                <c:pt idx="30">
                  <c:v>45.455800000000004</c:v>
                </c:pt>
                <c:pt idx="31">
                  <c:v>45.245200000000004</c:v>
                </c:pt>
                <c:pt idx="32">
                  <c:v>45.032800000000002</c:v>
                </c:pt>
                <c:pt idx="33">
                  <c:v>44.803800000000003</c:v>
                </c:pt>
                <c:pt idx="34">
                  <c:v>44.653199999999998</c:v>
                </c:pt>
                <c:pt idx="35">
                  <c:v>44.474599999999995</c:v>
                </c:pt>
                <c:pt idx="36">
                  <c:v>44.258199999999995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14.6258</c:v>
                </c:pt>
                <c:pt idx="1">
                  <c:v>15.031700000000001</c:v>
                </c:pt>
                <c:pt idx="2">
                  <c:v>15.5024</c:v>
                </c:pt>
                <c:pt idx="3">
                  <c:v>15.8896</c:v>
                </c:pt>
                <c:pt idx="4">
                  <c:v>16.299700000000001</c:v>
                </c:pt>
                <c:pt idx="5">
                  <c:v>16.7042</c:v>
                </c:pt>
                <c:pt idx="6">
                  <c:v>17.1082</c:v>
                </c:pt>
                <c:pt idx="7">
                  <c:v>17.514099999999999</c:v>
                </c:pt>
                <c:pt idx="8">
                  <c:v>17.9206</c:v>
                </c:pt>
                <c:pt idx="9">
                  <c:v>18.326000000000001</c:v>
                </c:pt>
                <c:pt idx="10">
                  <c:v>18.7348</c:v>
                </c:pt>
                <c:pt idx="11">
                  <c:v>19.139800000000001</c:v>
                </c:pt>
                <c:pt idx="12">
                  <c:v>19.5456</c:v>
                </c:pt>
                <c:pt idx="13">
                  <c:v>19.951699999999999</c:v>
                </c:pt>
                <c:pt idx="14">
                  <c:v>20.3596</c:v>
                </c:pt>
                <c:pt idx="15">
                  <c:v>20.767299999999999</c:v>
                </c:pt>
                <c:pt idx="16">
                  <c:v>21.169499999999999</c:v>
                </c:pt>
                <c:pt idx="17">
                  <c:v>21.575299999999999</c:v>
                </c:pt>
                <c:pt idx="18">
                  <c:v>21.985299999999999</c:v>
                </c:pt>
                <c:pt idx="19">
                  <c:v>22.389099999999999</c:v>
                </c:pt>
                <c:pt idx="20">
                  <c:v>22.797999999999998</c:v>
                </c:pt>
                <c:pt idx="21">
                  <c:v>23.201000000000001</c:v>
                </c:pt>
                <c:pt idx="22">
                  <c:v>23.606100000000001</c:v>
                </c:pt>
                <c:pt idx="23">
                  <c:v>24.011700000000001</c:v>
                </c:pt>
                <c:pt idx="24">
                  <c:v>24.430599999999998</c:v>
                </c:pt>
                <c:pt idx="25">
                  <c:v>24.8306</c:v>
                </c:pt>
                <c:pt idx="26">
                  <c:v>25.234500000000001</c:v>
                </c:pt>
                <c:pt idx="27">
                  <c:v>25.642299999999999</c:v>
                </c:pt>
                <c:pt idx="28">
                  <c:v>26.046299999999999</c:v>
                </c:pt>
                <c:pt idx="29">
                  <c:v>26.4542</c:v>
                </c:pt>
                <c:pt idx="30">
                  <c:v>26.862100000000002</c:v>
                </c:pt>
                <c:pt idx="31">
                  <c:v>27.266300000000001</c:v>
                </c:pt>
                <c:pt idx="32">
                  <c:v>27.672999999999998</c:v>
                </c:pt>
                <c:pt idx="33">
                  <c:v>28.077999999999999</c:v>
                </c:pt>
                <c:pt idx="34">
                  <c:v>28.483000000000001</c:v>
                </c:pt>
                <c:pt idx="35">
                  <c:v>28.887699999999999</c:v>
                </c:pt>
                <c:pt idx="36">
                  <c:v>29.300999999999998</c:v>
                </c:pt>
                <c:pt idx="37">
                  <c:v>29.705500000000001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44.258199999999995</c:v>
                </c:pt>
                <c:pt idx="1">
                  <c:v>44.032299999999999</c:v>
                </c:pt>
                <c:pt idx="2">
                  <c:v>43.785299999999999</c:v>
                </c:pt>
                <c:pt idx="3">
                  <c:v>43.484699999999997</c:v>
                </c:pt>
                <c:pt idx="4">
                  <c:v>43.139600000000002</c:v>
                </c:pt>
                <c:pt idx="5">
                  <c:v>42.796199999999999</c:v>
                </c:pt>
                <c:pt idx="6">
                  <c:v>42.515000000000001</c:v>
                </c:pt>
                <c:pt idx="7">
                  <c:v>42.283200000000001</c:v>
                </c:pt>
                <c:pt idx="8">
                  <c:v>42.017900000000004</c:v>
                </c:pt>
                <c:pt idx="9">
                  <c:v>41.7408</c:v>
                </c:pt>
                <c:pt idx="10">
                  <c:v>41.475999999999999</c:v>
                </c:pt>
                <c:pt idx="11">
                  <c:v>41.1815</c:v>
                </c:pt>
                <c:pt idx="12">
                  <c:v>40.885399999999997</c:v>
                </c:pt>
                <c:pt idx="13">
                  <c:v>40.579700000000003</c:v>
                </c:pt>
                <c:pt idx="14">
                  <c:v>40.289700000000003</c:v>
                </c:pt>
                <c:pt idx="15">
                  <c:v>40.008700000000005</c:v>
                </c:pt>
                <c:pt idx="16">
                  <c:v>39.836399999999998</c:v>
                </c:pt>
                <c:pt idx="17">
                  <c:v>39.727899999999998</c:v>
                </c:pt>
                <c:pt idx="18">
                  <c:v>39.6524</c:v>
                </c:pt>
                <c:pt idx="19">
                  <c:v>39.629300000000001</c:v>
                </c:pt>
                <c:pt idx="20">
                  <c:v>39.581000000000003</c:v>
                </c:pt>
                <c:pt idx="21">
                  <c:v>39.416800000000002</c:v>
                </c:pt>
                <c:pt idx="22">
                  <c:v>39.209899999999998</c:v>
                </c:pt>
                <c:pt idx="23">
                  <c:v>39.011499999999998</c:v>
                </c:pt>
                <c:pt idx="24">
                  <c:v>38.798999999999999</c:v>
                </c:pt>
                <c:pt idx="25">
                  <c:v>38.623600000000003</c:v>
                </c:pt>
                <c:pt idx="26">
                  <c:v>38.494299999999996</c:v>
                </c:pt>
                <c:pt idx="27">
                  <c:v>38.412500000000001</c:v>
                </c:pt>
                <c:pt idx="28">
                  <c:v>38.333600000000004</c:v>
                </c:pt>
                <c:pt idx="29">
                  <c:v>38.168700000000001</c:v>
                </c:pt>
                <c:pt idx="30">
                  <c:v>37.963299999999997</c:v>
                </c:pt>
                <c:pt idx="31">
                  <c:v>37.783299999999997</c:v>
                </c:pt>
                <c:pt idx="32">
                  <c:v>37.588899999999995</c:v>
                </c:pt>
                <c:pt idx="33">
                  <c:v>37.436</c:v>
                </c:pt>
                <c:pt idx="34">
                  <c:v>37.339399999999998</c:v>
                </c:pt>
                <c:pt idx="35">
                  <c:v>37.258400000000002</c:v>
                </c:pt>
                <c:pt idx="36">
                  <c:v>37.442399999999999</c:v>
                </c:pt>
                <c:pt idx="37">
                  <c:v>37.709900000000005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7.4263750000000002</c:v>
                </c:pt>
                <c:pt idx="1">
                  <c:v>22.279125000000001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52.976481081081076</c:v>
                </c:pt>
                <c:pt idx="1">
                  <c:v>39.936067567567562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24.118500000000001</c:v>
                </c:pt>
                <c:pt idx="1">
                  <c:v>24.3752</c:v>
                </c:pt>
                <c:pt idx="2">
                  <c:v>14.9978</c:v>
                </c:pt>
                <c:pt idx="3">
                  <c:v>22.491900000000001</c:v>
                </c:pt>
                <c:pt idx="4">
                  <c:v>75.494799999999998</c:v>
                </c:pt>
                <c:pt idx="5">
                  <c:v>80.937299999999993</c:v>
                </c:pt>
                <c:pt idx="6">
                  <c:v>13.4191</c:v>
                </c:pt>
                <c:pt idx="7">
                  <c:v>78.1995</c:v>
                </c:pt>
                <c:pt idx="8">
                  <c:v>22.8673</c:v>
                </c:pt>
                <c:pt idx="9">
                  <c:v>40.467799999999997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39.088999999999999</c:v>
                </c:pt>
                <c:pt idx="1">
                  <c:v>27.128799999999998</c:v>
                </c:pt>
                <c:pt idx="2">
                  <c:v>13.9581</c:v>
                </c:pt>
                <c:pt idx="3">
                  <c:v>26.977699999999999</c:v>
                </c:pt>
                <c:pt idx="4">
                  <c:v>65.211100000000002</c:v>
                </c:pt>
                <c:pt idx="5">
                  <c:v>80.599999999999994</c:v>
                </c:pt>
                <c:pt idx="6">
                  <c:v>18.600300000000001</c:v>
                </c:pt>
                <c:pt idx="7">
                  <c:v>72.967799999999997</c:v>
                </c:pt>
                <c:pt idx="8">
                  <c:v>26.719799999999999</c:v>
                </c:pt>
                <c:pt idx="9">
                  <c:v>36.044499999999999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0.53841629001509217</c:v>
                </c:pt>
                <c:pt idx="1">
                  <c:v>0.18663468085711379</c:v>
                </c:pt>
                <c:pt idx="2">
                  <c:v>0.27494902912779412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759</c:v>
                </c:pt>
                <c:pt idx="7">
                  <c:v>0</c:v>
                </c:pt>
                <c:pt idx="8">
                  <c:v>1824</c:v>
                </c:pt>
                <c:pt idx="9">
                  <c:v>0</c:v>
                </c:pt>
                <c:pt idx="10">
                  <c:v>0</c:v>
                </c:pt>
                <c:pt idx="11">
                  <c:v>3542</c:v>
                </c:pt>
                <c:pt idx="12">
                  <c:v>0</c:v>
                </c:pt>
                <c:pt idx="13">
                  <c:v>7517</c:v>
                </c:pt>
                <c:pt idx="14">
                  <c:v>0</c:v>
                </c:pt>
                <c:pt idx="15">
                  <c:v>0</c:v>
                </c:pt>
                <c:pt idx="16">
                  <c:v>19640</c:v>
                </c:pt>
                <c:pt idx="17">
                  <c:v>0</c:v>
                </c:pt>
                <c:pt idx="18">
                  <c:v>0</c:v>
                </c:pt>
                <c:pt idx="19">
                  <c:v>22118</c:v>
                </c:pt>
                <c:pt idx="20">
                  <c:v>0</c:v>
                </c:pt>
                <c:pt idx="21">
                  <c:v>25426</c:v>
                </c:pt>
                <c:pt idx="22">
                  <c:v>0</c:v>
                </c:pt>
                <c:pt idx="23">
                  <c:v>0</c:v>
                </c:pt>
                <c:pt idx="24">
                  <c:v>33864</c:v>
                </c:pt>
                <c:pt idx="25">
                  <c:v>0</c:v>
                </c:pt>
                <c:pt idx="26">
                  <c:v>34518</c:v>
                </c:pt>
                <c:pt idx="27">
                  <c:v>0</c:v>
                </c:pt>
                <c:pt idx="28">
                  <c:v>0</c:v>
                </c:pt>
                <c:pt idx="29">
                  <c:v>40057</c:v>
                </c:pt>
                <c:pt idx="30">
                  <c:v>0</c:v>
                </c:pt>
                <c:pt idx="31">
                  <c:v>42330</c:v>
                </c:pt>
                <c:pt idx="32">
                  <c:v>0</c:v>
                </c:pt>
                <c:pt idx="33">
                  <c:v>0</c:v>
                </c:pt>
                <c:pt idx="34">
                  <c:v>45799</c:v>
                </c:pt>
                <c:pt idx="35">
                  <c:v>0</c:v>
                </c:pt>
                <c:pt idx="36">
                  <c:v>0</c:v>
                </c:pt>
                <c:pt idx="37">
                  <c:v>40850</c:v>
                </c:pt>
                <c:pt idx="38">
                  <c:v>0</c:v>
                </c:pt>
                <c:pt idx="39">
                  <c:v>35162</c:v>
                </c:pt>
                <c:pt idx="40">
                  <c:v>0</c:v>
                </c:pt>
                <c:pt idx="41">
                  <c:v>0</c:v>
                </c:pt>
                <c:pt idx="42">
                  <c:v>35380</c:v>
                </c:pt>
                <c:pt idx="43">
                  <c:v>0</c:v>
                </c:pt>
                <c:pt idx="44">
                  <c:v>38209</c:v>
                </c:pt>
                <c:pt idx="45">
                  <c:v>0</c:v>
                </c:pt>
                <c:pt idx="46">
                  <c:v>0</c:v>
                </c:pt>
                <c:pt idx="47">
                  <c:v>42618</c:v>
                </c:pt>
                <c:pt idx="48">
                  <c:v>0</c:v>
                </c:pt>
                <c:pt idx="49">
                  <c:v>41704</c:v>
                </c:pt>
                <c:pt idx="50">
                  <c:v>0</c:v>
                </c:pt>
                <c:pt idx="51">
                  <c:v>0</c:v>
                </c:pt>
                <c:pt idx="52">
                  <c:v>41422</c:v>
                </c:pt>
                <c:pt idx="53">
                  <c:v>0</c:v>
                </c:pt>
                <c:pt idx="54">
                  <c:v>0</c:v>
                </c:pt>
                <c:pt idx="55">
                  <c:v>42811</c:v>
                </c:pt>
                <c:pt idx="56">
                  <c:v>0</c:v>
                </c:pt>
                <c:pt idx="57">
                  <c:v>42649</c:v>
                </c:pt>
                <c:pt idx="58">
                  <c:v>0</c:v>
                </c:pt>
                <c:pt idx="59">
                  <c:v>0</c:v>
                </c:pt>
                <c:pt idx="60">
                  <c:v>36177</c:v>
                </c:pt>
                <c:pt idx="61">
                  <c:v>0</c:v>
                </c:pt>
                <c:pt idx="62">
                  <c:v>34862</c:v>
                </c:pt>
                <c:pt idx="63">
                  <c:v>0</c:v>
                </c:pt>
                <c:pt idx="64">
                  <c:v>0</c:v>
                </c:pt>
                <c:pt idx="65">
                  <c:v>30137</c:v>
                </c:pt>
                <c:pt idx="66">
                  <c:v>0</c:v>
                </c:pt>
                <c:pt idx="67">
                  <c:v>38311</c:v>
                </c:pt>
                <c:pt idx="68">
                  <c:v>0</c:v>
                </c:pt>
                <c:pt idx="69">
                  <c:v>0</c:v>
                </c:pt>
                <c:pt idx="70">
                  <c:v>29645</c:v>
                </c:pt>
                <c:pt idx="71">
                  <c:v>0</c:v>
                </c:pt>
                <c:pt idx="72">
                  <c:v>0</c:v>
                </c:pt>
                <c:pt idx="73">
                  <c:v>27507</c:v>
                </c:pt>
                <c:pt idx="74">
                  <c:v>0</c:v>
                </c:pt>
                <c:pt idx="75">
                  <c:v>25757</c:v>
                </c:pt>
                <c:pt idx="76">
                  <c:v>0</c:v>
                </c:pt>
                <c:pt idx="77">
                  <c:v>0</c:v>
                </c:pt>
                <c:pt idx="78">
                  <c:v>25061</c:v>
                </c:pt>
                <c:pt idx="79">
                  <c:v>0</c:v>
                </c:pt>
                <c:pt idx="80">
                  <c:v>18733</c:v>
                </c:pt>
                <c:pt idx="81">
                  <c:v>0</c:v>
                </c:pt>
                <c:pt idx="82">
                  <c:v>0</c:v>
                </c:pt>
                <c:pt idx="83">
                  <c:v>13854</c:v>
                </c:pt>
                <c:pt idx="84">
                  <c:v>0</c:v>
                </c:pt>
                <c:pt idx="85">
                  <c:v>0</c:v>
                </c:pt>
                <c:pt idx="86">
                  <c:v>13773</c:v>
                </c:pt>
                <c:pt idx="87">
                  <c:v>0</c:v>
                </c:pt>
                <c:pt idx="88">
                  <c:v>11192</c:v>
                </c:pt>
                <c:pt idx="89">
                  <c:v>0</c:v>
                </c:pt>
                <c:pt idx="90">
                  <c:v>0</c:v>
                </c:pt>
                <c:pt idx="91">
                  <c:v>14221</c:v>
                </c:pt>
                <c:pt idx="92">
                  <c:v>0</c:v>
                </c:pt>
                <c:pt idx="93">
                  <c:v>12980</c:v>
                </c:pt>
                <c:pt idx="94">
                  <c:v>0</c:v>
                </c:pt>
                <c:pt idx="95">
                  <c:v>0</c:v>
                </c:pt>
                <c:pt idx="96">
                  <c:v>14934</c:v>
                </c:pt>
                <c:pt idx="97">
                  <c:v>0</c:v>
                </c:pt>
                <c:pt idx="98">
                  <c:v>11027</c:v>
                </c:pt>
                <c:pt idx="99">
                  <c:v>0</c:v>
                </c:pt>
                <c:pt idx="100">
                  <c:v>0</c:v>
                </c:pt>
                <c:pt idx="101">
                  <c:v>12129</c:v>
                </c:pt>
                <c:pt idx="102">
                  <c:v>0</c:v>
                </c:pt>
                <c:pt idx="103">
                  <c:v>0</c:v>
                </c:pt>
                <c:pt idx="104">
                  <c:v>8704</c:v>
                </c:pt>
                <c:pt idx="105">
                  <c:v>0</c:v>
                </c:pt>
                <c:pt idx="106">
                  <c:v>8258</c:v>
                </c:pt>
                <c:pt idx="107">
                  <c:v>0</c:v>
                </c:pt>
                <c:pt idx="108">
                  <c:v>0</c:v>
                </c:pt>
                <c:pt idx="109">
                  <c:v>8041</c:v>
                </c:pt>
                <c:pt idx="110">
                  <c:v>0</c:v>
                </c:pt>
                <c:pt idx="111">
                  <c:v>3319</c:v>
                </c:pt>
                <c:pt idx="112">
                  <c:v>0</c:v>
                </c:pt>
                <c:pt idx="113">
                  <c:v>0</c:v>
                </c:pt>
                <c:pt idx="114">
                  <c:v>1030</c:v>
                </c:pt>
                <c:pt idx="115">
                  <c:v>0</c:v>
                </c:pt>
                <c:pt idx="116">
                  <c:v>1335</c:v>
                </c:pt>
                <c:pt idx="117">
                  <c:v>0</c:v>
                </c:pt>
                <c:pt idx="118">
                  <c:v>0</c:v>
                </c:pt>
                <c:pt idx="119">
                  <c:v>490</c:v>
                </c:pt>
                <c:pt idx="120">
                  <c:v>0</c:v>
                </c:pt>
                <c:pt idx="121">
                  <c:v>0</c:v>
                </c:pt>
                <c:pt idx="122">
                  <c:v>276</c:v>
                </c:pt>
                <c:pt idx="123">
                  <c:v>0</c:v>
                </c:pt>
                <c:pt idx="124">
                  <c:v>367</c:v>
                </c:pt>
                <c:pt idx="125">
                  <c:v>0</c:v>
                </c:pt>
                <c:pt idx="126">
                  <c:v>0</c:v>
                </c:pt>
                <c:pt idx="127">
                  <c:v>123</c:v>
                </c:pt>
                <c:pt idx="128">
                  <c:v>0</c:v>
                </c:pt>
                <c:pt idx="129">
                  <c:v>286</c:v>
                </c:pt>
                <c:pt idx="130">
                  <c:v>0</c:v>
                </c:pt>
                <c:pt idx="131">
                  <c:v>0</c:v>
                </c:pt>
                <c:pt idx="132">
                  <c:v>751</c:v>
                </c:pt>
                <c:pt idx="133">
                  <c:v>0</c:v>
                </c:pt>
                <c:pt idx="134">
                  <c:v>45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125</c:v>
                </c:pt>
                <c:pt idx="7">
                  <c:v>0</c:v>
                </c:pt>
                <c:pt idx="8">
                  <c:v>506</c:v>
                </c:pt>
                <c:pt idx="9">
                  <c:v>0</c:v>
                </c:pt>
                <c:pt idx="10">
                  <c:v>0</c:v>
                </c:pt>
                <c:pt idx="11">
                  <c:v>931</c:v>
                </c:pt>
                <c:pt idx="12">
                  <c:v>0</c:v>
                </c:pt>
                <c:pt idx="13">
                  <c:v>2324</c:v>
                </c:pt>
                <c:pt idx="14">
                  <c:v>0</c:v>
                </c:pt>
                <c:pt idx="15">
                  <c:v>0</c:v>
                </c:pt>
                <c:pt idx="16">
                  <c:v>5912</c:v>
                </c:pt>
                <c:pt idx="17">
                  <c:v>0</c:v>
                </c:pt>
                <c:pt idx="18">
                  <c:v>0</c:v>
                </c:pt>
                <c:pt idx="19">
                  <c:v>6929</c:v>
                </c:pt>
                <c:pt idx="20">
                  <c:v>0</c:v>
                </c:pt>
                <c:pt idx="21">
                  <c:v>7954</c:v>
                </c:pt>
                <c:pt idx="22">
                  <c:v>0</c:v>
                </c:pt>
                <c:pt idx="23">
                  <c:v>0</c:v>
                </c:pt>
                <c:pt idx="24">
                  <c:v>9344</c:v>
                </c:pt>
                <c:pt idx="25">
                  <c:v>0</c:v>
                </c:pt>
                <c:pt idx="26">
                  <c:v>18101</c:v>
                </c:pt>
                <c:pt idx="27">
                  <c:v>0</c:v>
                </c:pt>
                <c:pt idx="28">
                  <c:v>0</c:v>
                </c:pt>
                <c:pt idx="29">
                  <c:v>21902</c:v>
                </c:pt>
                <c:pt idx="30">
                  <c:v>0</c:v>
                </c:pt>
                <c:pt idx="31">
                  <c:v>26312</c:v>
                </c:pt>
                <c:pt idx="32">
                  <c:v>0</c:v>
                </c:pt>
                <c:pt idx="33">
                  <c:v>0</c:v>
                </c:pt>
                <c:pt idx="34">
                  <c:v>28544</c:v>
                </c:pt>
                <c:pt idx="35">
                  <c:v>0</c:v>
                </c:pt>
                <c:pt idx="36">
                  <c:v>0</c:v>
                </c:pt>
                <c:pt idx="37">
                  <c:v>30485</c:v>
                </c:pt>
                <c:pt idx="38">
                  <c:v>0</c:v>
                </c:pt>
                <c:pt idx="39">
                  <c:v>29183</c:v>
                </c:pt>
                <c:pt idx="40">
                  <c:v>0</c:v>
                </c:pt>
                <c:pt idx="41">
                  <c:v>0</c:v>
                </c:pt>
                <c:pt idx="42">
                  <c:v>29833</c:v>
                </c:pt>
                <c:pt idx="43">
                  <c:v>0</c:v>
                </c:pt>
                <c:pt idx="44">
                  <c:v>34810</c:v>
                </c:pt>
                <c:pt idx="45">
                  <c:v>0</c:v>
                </c:pt>
                <c:pt idx="46">
                  <c:v>0</c:v>
                </c:pt>
                <c:pt idx="47">
                  <c:v>36599</c:v>
                </c:pt>
                <c:pt idx="48">
                  <c:v>0</c:v>
                </c:pt>
                <c:pt idx="49">
                  <c:v>32725</c:v>
                </c:pt>
                <c:pt idx="50">
                  <c:v>0</c:v>
                </c:pt>
                <c:pt idx="51">
                  <c:v>0</c:v>
                </c:pt>
                <c:pt idx="52">
                  <c:v>35002</c:v>
                </c:pt>
                <c:pt idx="53">
                  <c:v>0</c:v>
                </c:pt>
                <c:pt idx="54">
                  <c:v>0</c:v>
                </c:pt>
                <c:pt idx="55">
                  <c:v>38014</c:v>
                </c:pt>
                <c:pt idx="56">
                  <c:v>0</c:v>
                </c:pt>
                <c:pt idx="57">
                  <c:v>43802</c:v>
                </c:pt>
                <c:pt idx="58">
                  <c:v>0</c:v>
                </c:pt>
                <c:pt idx="59">
                  <c:v>0</c:v>
                </c:pt>
                <c:pt idx="60">
                  <c:v>36121</c:v>
                </c:pt>
                <c:pt idx="61">
                  <c:v>0</c:v>
                </c:pt>
                <c:pt idx="62">
                  <c:v>35608</c:v>
                </c:pt>
                <c:pt idx="63">
                  <c:v>0</c:v>
                </c:pt>
                <c:pt idx="64">
                  <c:v>0</c:v>
                </c:pt>
                <c:pt idx="65">
                  <c:v>39109</c:v>
                </c:pt>
                <c:pt idx="66">
                  <c:v>0</c:v>
                </c:pt>
                <c:pt idx="67">
                  <c:v>44891</c:v>
                </c:pt>
                <c:pt idx="68">
                  <c:v>0</c:v>
                </c:pt>
                <c:pt idx="69">
                  <c:v>0</c:v>
                </c:pt>
                <c:pt idx="70">
                  <c:v>42602</c:v>
                </c:pt>
                <c:pt idx="71">
                  <c:v>0</c:v>
                </c:pt>
                <c:pt idx="72">
                  <c:v>0</c:v>
                </c:pt>
                <c:pt idx="73">
                  <c:v>40948</c:v>
                </c:pt>
                <c:pt idx="74">
                  <c:v>0</c:v>
                </c:pt>
                <c:pt idx="75">
                  <c:v>52753</c:v>
                </c:pt>
                <c:pt idx="76">
                  <c:v>0</c:v>
                </c:pt>
                <c:pt idx="77">
                  <c:v>0</c:v>
                </c:pt>
                <c:pt idx="78">
                  <c:v>49481</c:v>
                </c:pt>
                <c:pt idx="79">
                  <c:v>0</c:v>
                </c:pt>
                <c:pt idx="80">
                  <c:v>45620</c:v>
                </c:pt>
                <c:pt idx="81">
                  <c:v>0</c:v>
                </c:pt>
                <c:pt idx="82">
                  <c:v>0</c:v>
                </c:pt>
                <c:pt idx="83">
                  <c:v>43877</c:v>
                </c:pt>
                <c:pt idx="84">
                  <c:v>0</c:v>
                </c:pt>
                <c:pt idx="85">
                  <c:v>0</c:v>
                </c:pt>
                <c:pt idx="86">
                  <c:v>39496</c:v>
                </c:pt>
                <c:pt idx="87">
                  <c:v>0</c:v>
                </c:pt>
                <c:pt idx="88">
                  <c:v>33578</c:v>
                </c:pt>
                <c:pt idx="89">
                  <c:v>0</c:v>
                </c:pt>
                <c:pt idx="90">
                  <c:v>0</c:v>
                </c:pt>
                <c:pt idx="91">
                  <c:v>34371</c:v>
                </c:pt>
                <c:pt idx="92">
                  <c:v>0</c:v>
                </c:pt>
                <c:pt idx="93">
                  <c:v>37724</c:v>
                </c:pt>
                <c:pt idx="94">
                  <c:v>0</c:v>
                </c:pt>
                <c:pt idx="95">
                  <c:v>0</c:v>
                </c:pt>
                <c:pt idx="96">
                  <c:v>38754</c:v>
                </c:pt>
                <c:pt idx="97">
                  <c:v>0</c:v>
                </c:pt>
                <c:pt idx="98">
                  <c:v>34913</c:v>
                </c:pt>
                <c:pt idx="99">
                  <c:v>0</c:v>
                </c:pt>
                <c:pt idx="100">
                  <c:v>0</c:v>
                </c:pt>
                <c:pt idx="101">
                  <c:v>29036</c:v>
                </c:pt>
                <c:pt idx="102">
                  <c:v>0</c:v>
                </c:pt>
                <c:pt idx="103">
                  <c:v>0</c:v>
                </c:pt>
                <c:pt idx="104">
                  <c:v>30475</c:v>
                </c:pt>
                <c:pt idx="105">
                  <c:v>0</c:v>
                </c:pt>
                <c:pt idx="106">
                  <c:v>32598</c:v>
                </c:pt>
                <c:pt idx="107">
                  <c:v>0</c:v>
                </c:pt>
                <c:pt idx="108">
                  <c:v>0</c:v>
                </c:pt>
                <c:pt idx="109">
                  <c:v>31832</c:v>
                </c:pt>
                <c:pt idx="110">
                  <c:v>0</c:v>
                </c:pt>
                <c:pt idx="111">
                  <c:v>25694</c:v>
                </c:pt>
                <c:pt idx="112">
                  <c:v>0</c:v>
                </c:pt>
                <c:pt idx="113">
                  <c:v>0</c:v>
                </c:pt>
                <c:pt idx="114">
                  <c:v>27397</c:v>
                </c:pt>
                <c:pt idx="115">
                  <c:v>0</c:v>
                </c:pt>
                <c:pt idx="116">
                  <c:v>24164</c:v>
                </c:pt>
                <c:pt idx="117">
                  <c:v>0</c:v>
                </c:pt>
                <c:pt idx="118">
                  <c:v>0</c:v>
                </c:pt>
                <c:pt idx="119">
                  <c:v>25888</c:v>
                </c:pt>
                <c:pt idx="120">
                  <c:v>0</c:v>
                </c:pt>
                <c:pt idx="121">
                  <c:v>0</c:v>
                </c:pt>
                <c:pt idx="122">
                  <c:v>23421</c:v>
                </c:pt>
                <c:pt idx="123">
                  <c:v>0</c:v>
                </c:pt>
                <c:pt idx="124">
                  <c:v>20357</c:v>
                </c:pt>
                <c:pt idx="125">
                  <c:v>0</c:v>
                </c:pt>
                <c:pt idx="126">
                  <c:v>0</c:v>
                </c:pt>
                <c:pt idx="127">
                  <c:v>19126</c:v>
                </c:pt>
                <c:pt idx="128">
                  <c:v>0</c:v>
                </c:pt>
                <c:pt idx="129">
                  <c:v>19496</c:v>
                </c:pt>
                <c:pt idx="130">
                  <c:v>0</c:v>
                </c:pt>
                <c:pt idx="131">
                  <c:v>0</c:v>
                </c:pt>
                <c:pt idx="132">
                  <c:v>11005</c:v>
                </c:pt>
                <c:pt idx="133">
                  <c:v>0</c:v>
                </c:pt>
                <c:pt idx="134">
                  <c:v>8894</c:v>
                </c:pt>
                <c:pt idx="135">
                  <c:v>0</c:v>
                </c:pt>
                <c:pt idx="136">
                  <c:v>0</c:v>
                </c:pt>
                <c:pt idx="137">
                  <c:v>6438</c:v>
                </c:pt>
                <c:pt idx="138">
                  <c:v>0</c:v>
                </c:pt>
                <c:pt idx="139">
                  <c:v>0</c:v>
                </c:pt>
                <c:pt idx="140">
                  <c:v>4502</c:v>
                </c:pt>
                <c:pt idx="141">
                  <c:v>0</c:v>
                </c:pt>
                <c:pt idx="142">
                  <c:v>2749</c:v>
                </c:pt>
                <c:pt idx="143">
                  <c:v>0</c:v>
                </c:pt>
                <c:pt idx="144">
                  <c:v>0</c:v>
                </c:pt>
                <c:pt idx="145">
                  <c:v>2920</c:v>
                </c:pt>
                <c:pt idx="146">
                  <c:v>0</c:v>
                </c:pt>
                <c:pt idx="147">
                  <c:v>1206</c:v>
                </c:pt>
                <c:pt idx="148">
                  <c:v>0</c:v>
                </c:pt>
                <c:pt idx="149">
                  <c:v>0</c:v>
                </c:pt>
                <c:pt idx="150">
                  <c:v>742</c:v>
                </c:pt>
                <c:pt idx="151">
                  <c:v>0</c:v>
                </c:pt>
                <c:pt idx="152">
                  <c:v>60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0.14419203819111029</c:v>
                </c:pt>
                <c:pt idx="1">
                  <c:v>0.38499134585990252</c:v>
                </c:pt>
                <c:pt idx="2">
                  <c:v>0.47081661594898716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0.50499615582134594</c:v>
                </c:pt>
                <c:pt idx="1">
                  <c:v>0.22795660311610355</c:v>
                </c:pt>
                <c:pt idx="2">
                  <c:v>0.26704724106255057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4.13028</c:v>
                </c:pt>
                <c:pt idx="1">
                  <c:v>17.9819225</c:v>
                </c:pt>
                <c:pt idx="2">
                  <c:v>27.612350000000003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0.40680699999999997</c:v>
                </c:pt>
                <c:pt idx="2">
                  <c:v>0.81276899999999996</c:v>
                </c:pt>
                <c:pt idx="3">
                  <c:v>1.2124200000000001</c:v>
                </c:pt>
                <c:pt idx="4">
                  <c:v>1.6255999999999999</c:v>
                </c:pt>
                <c:pt idx="5">
                  <c:v>2.03295</c:v>
                </c:pt>
                <c:pt idx="6">
                  <c:v>2.4363800000000002</c:v>
                </c:pt>
                <c:pt idx="7">
                  <c:v>2.8433199999999998</c:v>
                </c:pt>
                <c:pt idx="8">
                  <c:v>3.2473399999999999</c:v>
                </c:pt>
                <c:pt idx="9">
                  <c:v>3.65313</c:v>
                </c:pt>
                <c:pt idx="10">
                  <c:v>4.0601099999999999</c:v>
                </c:pt>
                <c:pt idx="11">
                  <c:v>4.4691099999999997</c:v>
                </c:pt>
                <c:pt idx="12">
                  <c:v>4.8738599999999996</c:v>
                </c:pt>
                <c:pt idx="13">
                  <c:v>5.28003</c:v>
                </c:pt>
                <c:pt idx="14">
                  <c:v>5.68872</c:v>
                </c:pt>
                <c:pt idx="15">
                  <c:v>6.0897199999999998</c:v>
                </c:pt>
                <c:pt idx="16">
                  <c:v>6.4996499999999999</c:v>
                </c:pt>
                <c:pt idx="17">
                  <c:v>6.9034700000000004</c:v>
                </c:pt>
                <c:pt idx="18">
                  <c:v>7.3126100000000003</c:v>
                </c:pt>
                <c:pt idx="19">
                  <c:v>7.7183200000000003</c:v>
                </c:pt>
                <c:pt idx="20">
                  <c:v>8.1241800000000008</c:v>
                </c:pt>
                <c:pt idx="21">
                  <c:v>8.5322899999999997</c:v>
                </c:pt>
                <c:pt idx="22">
                  <c:v>8.9359800000000007</c:v>
                </c:pt>
                <c:pt idx="23">
                  <c:v>9.3431200000000008</c:v>
                </c:pt>
                <c:pt idx="24">
                  <c:v>9.7492199999999993</c:v>
                </c:pt>
                <c:pt idx="25">
                  <c:v>10.1578</c:v>
                </c:pt>
                <c:pt idx="26">
                  <c:v>10.560600000000001</c:v>
                </c:pt>
                <c:pt idx="27">
                  <c:v>10.967599999999999</c:v>
                </c:pt>
                <c:pt idx="28">
                  <c:v>11.374499999999999</c:v>
                </c:pt>
                <c:pt idx="29">
                  <c:v>11.779400000000001</c:v>
                </c:pt>
                <c:pt idx="30">
                  <c:v>12.186299999999999</c:v>
                </c:pt>
                <c:pt idx="31">
                  <c:v>12.5952</c:v>
                </c:pt>
                <c:pt idx="32">
                  <c:v>12.999499999999999</c:v>
                </c:pt>
                <c:pt idx="33">
                  <c:v>13.4054</c:v>
                </c:pt>
                <c:pt idx="34">
                  <c:v>13.811</c:v>
                </c:pt>
                <c:pt idx="35">
                  <c:v>14.216100000000001</c:v>
                </c:pt>
                <c:pt idx="36">
                  <c:v>14.6258</c:v>
                </c:pt>
                <c:pt idx="37">
                  <c:v>15.031700000000001</c:v>
                </c:pt>
                <c:pt idx="38">
                  <c:v>15.5024</c:v>
                </c:pt>
                <c:pt idx="39">
                  <c:v>15.8896</c:v>
                </c:pt>
                <c:pt idx="40">
                  <c:v>16.299700000000001</c:v>
                </c:pt>
                <c:pt idx="41">
                  <c:v>16.7042</c:v>
                </c:pt>
                <c:pt idx="42">
                  <c:v>17.1082</c:v>
                </c:pt>
                <c:pt idx="43">
                  <c:v>17.514099999999999</c:v>
                </c:pt>
                <c:pt idx="44">
                  <c:v>17.9206</c:v>
                </c:pt>
                <c:pt idx="45">
                  <c:v>18.326000000000001</c:v>
                </c:pt>
                <c:pt idx="46">
                  <c:v>18.7348</c:v>
                </c:pt>
                <c:pt idx="47">
                  <c:v>19.139800000000001</c:v>
                </c:pt>
                <c:pt idx="48">
                  <c:v>19.5456</c:v>
                </c:pt>
                <c:pt idx="49">
                  <c:v>19.951699999999999</c:v>
                </c:pt>
                <c:pt idx="50">
                  <c:v>20.3596</c:v>
                </c:pt>
                <c:pt idx="51">
                  <c:v>20.767299999999999</c:v>
                </c:pt>
                <c:pt idx="52">
                  <c:v>21.169499999999999</c:v>
                </c:pt>
                <c:pt idx="53">
                  <c:v>21.575299999999999</c:v>
                </c:pt>
                <c:pt idx="54">
                  <c:v>21.985299999999999</c:v>
                </c:pt>
                <c:pt idx="55">
                  <c:v>22.389099999999999</c:v>
                </c:pt>
                <c:pt idx="56">
                  <c:v>22.797999999999998</c:v>
                </c:pt>
                <c:pt idx="57">
                  <c:v>23.201000000000001</c:v>
                </c:pt>
                <c:pt idx="58">
                  <c:v>23.606100000000001</c:v>
                </c:pt>
                <c:pt idx="59">
                  <c:v>24.011700000000001</c:v>
                </c:pt>
                <c:pt idx="60">
                  <c:v>24.430599999999998</c:v>
                </c:pt>
                <c:pt idx="61">
                  <c:v>24.8306</c:v>
                </c:pt>
                <c:pt idx="62">
                  <c:v>25.234500000000001</c:v>
                </c:pt>
                <c:pt idx="63">
                  <c:v>25.642299999999999</c:v>
                </c:pt>
                <c:pt idx="64">
                  <c:v>26.046299999999999</c:v>
                </c:pt>
                <c:pt idx="65">
                  <c:v>26.4542</c:v>
                </c:pt>
                <c:pt idx="66">
                  <c:v>26.862100000000002</c:v>
                </c:pt>
                <c:pt idx="67">
                  <c:v>27.266300000000001</c:v>
                </c:pt>
                <c:pt idx="68">
                  <c:v>27.672999999999998</c:v>
                </c:pt>
                <c:pt idx="69">
                  <c:v>28.077999999999999</c:v>
                </c:pt>
                <c:pt idx="70">
                  <c:v>28.483000000000001</c:v>
                </c:pt>
                <c:pt idx="71">
                  <c:v>28.887699999999999</c:v>
                </c:pt>
                <c:pt idx="72">
                  <c:v>29.300999999999998</c:v>
                </c:pt>
                <c:pt idx="73">
                  <c:v>29.705500000000001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74"/>
                <c:pt idx="0">
                  <c:v>1.6952800000000001</c:v>
                </c:pt>
                <c:pt idx="1">
                  <c:v>1.7466899999999999</c:v>
                </c:pt>
                <c:pt idx="2">
                  <c:v>1.7974000000000001</c:v>
                </c:pt>
                <c:pt idx="3">
                  <c:v>1.8471099999999998</c:v>
                </c:pt>
                <c:pt idx="4">
                  <c:v>1.89659</c:v>
                </c:pt>
                <c:pt idx="5">
                  <c:v>1.9436600000000002</c:v>
                </c:pt>
                <c:pt idx="6">
                  <c:v>1.99041</c:v>
                </c:pt>
                <c:pt idx="7">
                  <c:v>2.0398000000000001</c:v>
                </c:pt>
                <c:pt idx="8">
                  <c:v>2.0884200000000002</c:v>
                </c:pt>
                <c:pt idx="9">
                  <c:v>2.1368999999999998</c:v>
                </c:pt>
                <c:pt idx="10">
                  <c:v>2.1844999999999999</c:v>
                </c:pt>
                <c:pt idx="11">
                  <c:v>2.22953</c:v>
                </c:pt>
                <c:pt idx="12">
                  <c:v>2.2732999999999999</c:v>
                </c:pt>
                <c:pt idx="13">
                  <c:v>2.3147899999999999</c:v>
                </c:pt>
                <c:pt idx="14">
                  <c:v>2.3542399999999999</c:v>
                </c:pt>
                <c:pt idx="15">
                  <c:v>2.3929100000000001</c:v>
                </c:pt>
                <c:pt idx="16">
                  <c:v>2.42</c:v>
                </c:pt>
                <c:pt idx="17">
                  <c:v>2.4707399999999997</c:v>
                </c:pt>
                <c:pt idx="18">
                  <c:v>2.5120300000000002</c:v>
                </c:pt>
                <c:pt idx="19">
                  <c:v>2.55375</c:v>
                </c:pt>
                <c:pt idx="20">
                  <c:v>2.5946799999999999</c:v>
                </c:pt>
                <c:pt idx="21">
                  <c:v>2.6305699999999996</c:v>
                </c:pt>
                <c:pt idx="22">
                  <c:v>2.6627700000000001</c:v>
                </c:pt>
                <c:pt idx="23">
                  <c:v>2.6923399999999997</c:v>
                </c:pt>
                <c:pt idx="24">
                  <c:v>2.7206000000000001</c:v>
                </c:pt>
                <c:pt idx="25">
                  <c:v>2.74837</c:v>
                </c:pt>
                <c:pt idx="26">
                  <c:v>2.7782400000000003</c:v>
                </c:pt>
                <c:pt idx="27">
                  <c:v>2.8083399999999998</c:v>
                </c:pt>
                <c:pt idx="28">
                  <c:v>2.83325</c:v>
                </c:pt>
                <c:pt idx="29">
                  <c:v>2.8507600000000002</c:v>
                </c:pt>
                <c:pt idx="30">
                  <c:v>2.8617999999999997</c:v>
                </c:pt>
                <c:pt idx="31">
                  <c:v>2.8635999999999999</c:v>
                </c:pt>
                <c:pt idx="32">
                  <c:v>2.8618500000000004</c:v>
                </c:pt>
                <c:pt idx="33">
                  <c:v>2.85873</c:v>
                </c:pt>
                <c:pt idx="34">
                  <c:v>2.8587600000000002</c:v>
                </c:pt>
                <c:pt idx="35">
                  <c:v>2.8672999999999997</c:v>
                </c:pt>
                <c:pt idx="36">
                  <c:v>2.8781800000000004</c:v>
                </c:pt>
                <c:pt idx="37">
                  <c:v>2.8894199999999999</c:v>
                </c:pt>
                <c:pt idx="38">
                  <c:v>2.8993700000000002</c:v>
                </c:pt>
                <c:pt idx="39">
                  <c:v>2.9096899999999999</c:v>
                </c:pt>
                <c:pt idx="40">
                  <c:v>2.9204000000000003</c:v>
                </c:pt>
                <c:pt idx="41">
                  <c:v>2.9306399999999999</c:v>
                </c:pt>
                <c:pt idx="42">
                  <c:v>2.9391400000000001</c:v>
                </c:pt>
                <c:pt idx="43">
                  <c:v>2.9480200000000001</c:v>
                </c:pt>
                <c:pt idx="44">
                  <c:v>2.9607899999999998</c:v>
                </c:pt>
                <c:pt idx="45">
                  <c:v>2.9750900000000002</c:v>
                </c:pt>
                <c:pt idx="46">
                  <c:v>2.9907699999999999</c:v>
                </c:pt>
                <c:pt idx="47">
                  <c:v>3.0065799999999996</c:v>
                </c:pt>
                <c:pt idx="48">
                  <c:v>3.0210699999999999</c:v>
                </c:pt>
                <c:pt idx="49">
                  <c:v>3.0328599999999999</c:v>
                </c:pt>
                <c:pt idx="50">
                  <c:v>3.0442999999999998</c:v>
                </c:pt>
                <c:pt idx="51">
                  <c:v>3.0587999999999997</c:v>
                </c:pt>
                <c:pt idx="52">
                  <c:v>3.0711699999999995</c:v>
                </c:pt>
                <c:pt idx="53">
                  <c:v>3.0878299999999999</c:v>
                </c:pt>
                <c:pt idx="54">
                  <c:v>3.1115500000000003</c:v>
                </c:pt>
                <c:pt idx="55">
                  <c:v>3.1392599999999997</c:v>
                </c:pt>
                <c:pt idx="56">
                  <c:v>3.1679600000000003</c:v>
                </c:pt>
                <c:pt idx="57">
                  <c:v>3.1883499999999998</c:v>
                </c:pt>
                <c:pt idx="58">
                  <c:v>3.1998700000000002</c:v>
                </c:pt>
                <c:pt idx="59">
                  <c:v>3.21129</c:v>
                </c:pt>
                <c:pt idx="60">
                  <c:v>3.2221699999999998</c:v>
                </c:pt>
                <c:pt idx="61">
                  <c:v>3.2327899999999996</c:v>
                </c:pt>
                <c:pt idx="62">
                  <c:v>3.24125</c:v>
                </c:pt>
                <c:pt idx="63">
                  <c:v>3.24796</c:v>
                </c:pt>
                <c:pt idx="64">
                  <c:v>3.2546499999999998</c:v>
                </c:pt>
                <c:pt idx="65">
                  <c:v>3.2642300000000004</c:v>
                </c:pt>
                <c:pt idx="66">
                  <c:v>3.2742599999999999</c:v>
                </c:pt>
                <c:pt idx="67">
                  <c:v>3.28186</c:v>
                </c:pt>
                <c:pt idx="68">
                  <c:v>3.2868900000000001</c:v>
                </c:pt>
                <c:pt idx="69">
                  <c:v>3.2867000000000002</c:v>
                </c:pt>
                <c:pt idx="70">
                  <c:v>3.28376</c:v>
                </c:pt>
                <c:pt idx="71">
                  <c:v>3.2790000000000004</c:v>
                </c:pt>
                <c:pt idx="72">
                  <c:v>3.2667400000000004</c:v>
                </c:pt>
                <c:pt idx="73">
                  <c:v>3.2579700000000003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0.40680699999999997</c:v>
                </c:pt>
                <c:pt idx="2">
                  <c:v>0.81276899999999996</c:v>
                </c:pt>
                <c:pt idx="3">
                  <c:v>1.2124200000000001</c:v>
                </c:pt>
                <c:pt idx="4">
                  <c:v>1.6255999999999999</c:v>
                </c:pt>
                <c:pt idx="5">
                  <c:v>2.03295</c:v>
                </c:pt>
                <c:pt idx="6">
                  <c:v>2.4363800000000002</c:v>
                </c:pt>
                <c:pt idx="7">
                  <c:v>2.8433199999999998</c:v>
                </c:pt>
                <c:pt idx="8">
                  <c:v>3.2473399999999999</c:v>
                </c:pt>
                <c:pt idx="9">
                  <c:v>3.65313</c:v>
                </c:pt>
                <c:pt idx="10">
                  <c:v>4.0601099999999999</c:v>
                </c:pt>
                <c:pt idx="11">
                  <c:v>4.4691099999999997</c:v>
                </c:pt>
                <c:pt idx="12">
                  <c:v>4.8738599999999996</c:v>
                </c:pt>
                <c:pt idx="13">
                  <c:v>5.28003</c:v>
                </c:pt>
                <c:pt idx="14">
                  <c:v>5.68872</c:v>
                </c:pt>
                <c:pt idx="15">
                  <c:v>6.0897199999999998</c:v>
                </c:pt>
                <c:pt idx="16">
                  <c:v>6.4996499999999999</c:v>
                </c:pt>
                <c:pt idx="17">
                  <c:v>6.9034700000000004</c:v>
                </c:pt>
                <c:pt idx="18">
                  <c:v>7.3126100000000003</c:v>
                </c:pt>
                <c:pt idx="19">
                  <c:v>7.7183200000000003</c:v>
                </c:pt>
                <c:pt idx="20">
                  <c:v>8.1241800000000008</c:v>
                </c:pt>
                <c:pt idx="21">
                  <c:v>8.5322899999999997</c:v>
                </c:pt>
                <c:pt idx="22">
                  <c:v>8.9359800000000007</c:v>
                </c:pt>
                <c:pt idx="23">
                  <c:v>9.3431200000000008</c:v>
                </c:pt>
                <c:pt idx="24">
                  <c:v>9.7492199999999993</c:v>
                </c:pt>
                <c:pt idx="25">
                  <c:v>10.1578</c:v>
                </c:pt>
                <c:pt idx="26">
                  <c:v>10.560600000000001</c:v>
                </c:pt>
                <c:pt idx="27">
                  <c:v>10.967599999999999</c:v>
                </c:pt>
                <c:pt idx="28">
                  <c:v>11.374499999999999</c:v>
                </c:pt>
                <c:pt idx="29">
                  <c:v>11.779400000000001</c:v>
                </c:pt>
                <c:pt idx="30">
                  <c:v>12.186299999999999</c:v>
                </c:pt>
                <c:pt idx="31">
                  <c:v>12.5952</c:v>
                </c:pt>
                <c:pt idx="32">
                  <c:v>12.999499999999999</c:v>
                </c:pt>
                <c:pt idx="33">
                  <c:v>13.4054</c:v>
                </c:pt>
                <c:pt idx="34">
                  <c:v>13.811</c:v>
                </c:pt>
                <c:pt idx="35">
                  <c:v>14.216100000000001</c:v>
                </c:pt>
                <c:pt idx="36">
                  <c:v>14.6258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37"/>
                <c:pt idx="0">
                  <c:v>1.6952800000000001</c:v>
                </c:pt>
                <c:pt idx="1">
                  <c:v>1.7466899999999999</c:v>
                </c:pt>
                <c:pt idx="2">
                  <c:v>1.7974000000000001</c:v>
                </c:pt>
                <c:pt idx="3">
                  <c:v>1.8471099999999998</c:v>
                </c:pt>
                <c:pt idx="4">
                  <c:v>1.89659</c:v>
                </c:pt>
                <c:pt idx="5">
                  <c:v>1.9436600000000002</c:v>
                </c:pt>
                <c:pt idx="6">
                  <c:v>1.99041</c:v>
                </c:pt>
                <c:pt idx="7">
                  <c:v>2.0398000000000001</c:v>
                </c:pt>
                <c:pt idx="8">
                  <c:v>2.0884200000000002</c:v>
                </c:pt>
                <c:pt idx="9">
                  <c:v>2.1368999999999998</c:v>
                </c:pt>
                <c:pt idx="10">
                  <c:v>2.1844999999999999</c:v>
                </c:pt>
                <c:pt idx="11">
                  <c:v>2.22953</c:v>
                </c:pt>
                <c:pt idx="12">
                  <c:v>2.2732999999999999</c:v>
                </c:pt>
                <c:pt idx="13">
                  <c:v>2.3147899999999999</c:v>
                </c:pt>
                <c:pt idx="14">
                  <c:v>2.3542399999999999</c:v>
                </c:pt>
                <c:pt idx="15">
                  <c:v>2.3929100000000001</c:v>
                </c:pt>
                <c:pt idx="16">
                  <c:v>2.42</c:v>
                </c:pt>
                <c:pt idx="17">
                  <c:v>2.4707399999999997</c:v>
                </c:pt>
                <c:pt idx="18">
                  <c:v>2.5120300000000002</c:v>
                </c:pt>
                <c:pt idx="19">
                  <c:v>2.55375</c:v>
                </c:pt>
                <c:pt idx="20">
                  <c:v>2.5946799999999999</c:v>
                </c:pt>
                <c:pt idx="21">
                  <c:v>2.6305699999999996</c:v>
                </c:pt>
                <c:pt idx="22">
                  <c:v>2.6627700000000001</c:v>
                </c:pt>
                <c:pt idx="23">
                  <c:v>2.6923399999999997</c:v>
                </c:pt>
                <c:pt idx="24">
                  <c:v>2.7206000000000001</c:v>
                </c:pt>
                <c:pt idx="25">
                  <c:v>2.74837</c:v>
                </c:pt>
                <c:pt idx="26">
                  <c:v>2.7782400000000003</c:v>
                </c:pt>
                <c:pt idx="27">
                  <c:v>2.8083399999999998</c:v>
                </c:pt>
                <c:pt idx="28">
                  <c:v>2.83325</c:v>
                </c:pt>
                <c:pt idx="29">
                  <c:v>2.8507600000000002</c:v>
                </c:pt>
                <c:pt idx="30">
                  <c:v>2.8617999999999997</c:v>
                </c:pt>
                <c:pt idx="31">
                  <c:v>2.8635999999999999</c:v>
                </c:pt>
                <c:pt idx="32">
                  <c:v>2.8618500000000004</c:v>
                </c:pt>
                <c:pt idx="33">
                  <c:v>2.85873</c:v>
                </c:pt>
                <c:pt idx="34">
                  <c:v>2.8587600000000002</c:v>
                </c:pt>
                <c:pt idx="35">
                  <c:v>2.8672999999999997</c:v>
                </c:pt>
                <c:pt idx="36">
                  <c:v>2.8781800000000004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14.6258</c:v>
                </c:pt>
                <c:pt idx="1">
                  <c:v>15.031700000000001</c:v>
                </c:pt>
                <c:pt idx="2">
                  <c:v>15.5024</c:v>
                </c:pt>
                <c:pt idx="3">
                  <c:v>15.8896</c:v>
                </c:pt>
                <c:pt idx="4">
                  <c:v>16.299700000000001</c:v>
                </c:pt>
                <c:pt idx="5">
                  <c:v>16.7042</c:v>
                </c:pt>
                <c:pt idx="6">
                  <c:v>17.1082</c:v>
                </c:pt>
                <c:pt idx="7">
                  <c:v>17.514099999999999</c:v>
                </c:pt>
                <c:pt idx="8">
                  <c:v>17.9206</c:v>
                </c:pt>
                <c:pt idx="9">
                  <c:v>18.326000000000001</c:v>
                </c:pt>
                <c:pt idx="10">
                  <c:v>18.7348</c:v>
                </c:pt>
                <c:pt idx="11">
                  <c:v>19.139800000000001</c:v>
                </c:pt>
                <c:pt idx="12">
                  <c:v>19.5456</c:v>
                </c:pt>
                <c:pt idx="13">
                  <c:v>19.951699999999999</c:v>
                </c:pt>
                <c:pt idx="14">
                  <c:v>20.3596</c:v>
                </c:pt>
                <c:pt idx="15">
                  <c:v>20.767299999999999</c:v>
                </c:pt>
                <c:pt idx="16">
                  <c:v>21.169499999999999</c:v>
                </c:pt>
                <c:pt idx="17">
                  <c:v>21.575299999999999</c:v>
                </c:pt>
                <c:pt idx="18">
                  <c:v>21.985299999999999</c:v>
                </c:pt>
                <c:pt idx="19">
                  <c:v>22.389099999999999</c:v>
                </c:pt>
                <c:pt idx="20">
                  <c:v>22.797999999999998</c:v>
                </c:pt>
                <c:pt idx="21">
                  <c:v>23.201000000000001</c:v>
                </c:pt>
                <c:pt idx="22">
                  <c:v>23.606100000000001</c:v>
                </c:pt>
                <c:pt idx="23">
                  <c:v>24.011700000000001</c:v>
                </c:pt>
                <c:pt idx="24">
                  <c:v>24.430599999999998</c:v>
                </c:pt>
                <c:pt idx="25">
                  <c:v>24.8306</c:v>
                </c:pt>
                <c:pt idx="26">
                  <c:v>25.234500000000001</c:v>
                </c:pt>
                <c:pt idx="27">
                  <c:v>25.642299999999999</c:v>
                </c:pt>
                <c:pt idx="28">
                  <c:v>26.046299999999999</c:v>
                </c:pt>
                <c:pt idx="29">
                  <c:v>26.4542</c:v>
                </c:pt>
                <c:pt idx="30">
                  <c:v>26.862100000000002</c:v>
                </c:pt>
                <c:pt idx="31">
                  <c:v>27.266300000000001</c:v>
                </c:pt>
                <c:pt idx="32">
                  <c:v>27.672999999999998</c:v>
                </c:pt>
                <c:pt idx="33">
                  <c:v>28.077999999999999</c:v>
                </c:pt>
                <c:pt idx="34">
                  <c:v>28.483000000000001</c:v>
                </c:pt>
                <c:pt idx="35">
                  <c:v>28.887699999999999</c:v>
                </c:pt>
                <c:pt idx="36">
                  <c:v>29.300999999999998</c:v>
                </c:pt>
                <c:pt idx="37">
                  <c:v>29.705500000000001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38"/>
                <c:pt idx="0">
                  <c:v>2.8781800000000004</c:v>
                </c:pt>
                <c:pt idx="1">
                  <c:v>2.8894199999999999</c:v>
                </c:pt>
                <c:pt idx="2">
                  <c:v>2.8993700000000002</c:v>
                </c:pt>
                <c:pt idx="3">
                  <c:v>2.9096899999999999</c:v>
                </c:pt>
                <c:pt idx="4">
                  <c:v>2.9204000000000003</c:v>
                </c:pt>
                <c:pt idx="5">
                  <c:v>2.9306399999999999</c:v>
                </c:pt>
                <c:pt idx="6">
                  <c:v>2.9391400000000001</c:v>
                </c:pt>
                <c:pt idx="7">
                  <c:v>2.9480200000000001</c:v>
                </c:pt>
                <c:pt idx="8">
                  <c:v>2.9607899999999998</c:v>
                </c:pt>
                <c:pt idx="9">
                  <c:v>2.9750900000000002</c:v>
                </c:pt>
                <c:pt idx="10">
                  <c:v>2.9907699999999999</c:v>
                </c:pt>
                <c:pt idx="11">
                  <c:v>3.0065799999999996</c:v>
                </c:pt>
                <c:pt idx="12">
                  <c:v>3.0210699999999999</c:v>
                </c:pt>
                <c:pt idx="13">
                  <c:v>3.0328599999999999</c:v>
                </c:pt>
                <c:pt idx="14">
                  <c:v>3.0442999999999998</c:v>
                </c:pt>
                <c:pt idx="15">
                  <c:v>3.0587999999999997</c:v>
                </c:pt>
                <c:pt idx="16">
                  <c:v>3.0711699999999995</c:v>
                </c:pt>
                <c:pt idx="17">
                  <c:v>3.0878299999999999</c:v>
                </c:pt>
                <c:pt idx="18">
                  <c:v>3.1115500000000003</c:v>
                </c:pt>
                <c:pt idx="19">
                  <c:v>3.1392599999999997</c:v>
                </c:pt>
                <c:pt idx="20">
                  <c:v>3.1679600000000003</c:v>
                </c:pt>
                <c:pt idx="21">
                  <c:v>3.1883499999999998</c:v>
                </c:pt>
                <c:pt idx="22">
                  <c:v>3.1998700000000002</c:v>
                </c:pt>
                <c:pt idx="23">
                  <c:v>3.21129</c:v>
                </c:pt>
                <c:pt idx="24">
                  <c:v>3.2221699999999998</c:v>
                </c:pt>
                <c:pt idx="25">
                  <c:v>3.2327899999999996</c:v>
                </c:pt>
                <c:pt idx="26">
                  <c:v>3.24125</c:v>
                </c:pt>
                <c:pt idx="27">
                  <c:v>3.24796</c:v>
                </c:pt>
                <c:pt idx="28">
                  <c:v>3.2546499999999998</c:v>
                </c:pt>
                <c:pt idx="29">
                  <c:v>3.2642300000000004</c:v>
                </c:pt>
                <c:pt idx="30">
                  <c:v>3.2742599999999999</c:v>
                </c:pt>
                <c:pt idx="31">
                  <c:v>3.28186</c:v>
                </c:pt>
                <c:pt idx="32">
                  <c:v>3.2868900000000001</c:v>
                </c:pt>
                <c:pt idx="33">
                  <c:v>3.2867000000000002</c:v>
                </c:pt>
                <c:pt idx="34">
                  <c:v>3.28376</c:v>
                </c:pt>
                <c:pt idx="35">
                  <c:v>3.2790000000000004</c:v>
                </c:pt>
                <c:pt idx="36">
                  <c:v>3.2667400000000004</c:v>
                </c:pt>
                <c:pt idx="37">
                  <c:v>3.2579700000000003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7.4263750000000002</c:v>
                </c:pt>
                <c:pt idx="1">
                  <c:v>22.279125000000001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2.43941054054054</c:v>
                </c:pt>
                <c:pt idx="1">
                  <c:v>3.1184986486486492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0.40680699999999997</c:v>
                </c:pt>
                <c:pt idx="2">
                  <c:v>0.81276899999999996</c:v>
                </c:pt>
                <c:pt idx="3">
                  <c:v>1.2124200000000001</c:v>
                </c:pt>
                <c:pt idx="4">
                  <c:v>1.6255999999999999</c:v>
                </c:pt>
                <c:pt idx="5">
                  <c:v>2.03295</c:v>
                </c:pt>
                <c:pt idx="6">
                  <c:v>2.4363800000000002</c:v>
                </c:pt>
                <c:pt idx="7">
                  <c:v>2.8433199999999998</c:v>
                </c:pt>
                <c:pt idx="8">
                  <c:v>3.2473399999999999</c:v>
                </c:pt>
                <c:pt idx="9">
                  <c:v>3.65313</c:v>
                </c:pt>
                <c:pt idx="10">
                  <c:v>4.0601099999999999</c:v>
                </c:pt>
                <c:pt idx="11">
                  <c:v>4.4691099999999997</c:v>
                </c:pt>
                <c:pt idx="12">
                  <c:v>4.8738599999999996</c:v>
                </c:pt>
                <c:pt idx="13">
                  <c:v>5.28003</c:v>
                </c:pt>
                <c:pt idx="14">
                  <c:v>5.68872</c:v>
                </c:pt>
                <c:pt idx="15">
                  <c:v>6.0897199999999998</c:v>
                </c:pt>
                <c:pt idx="16">
                  <c:v>6.4996499999999999</c:v>
                </c:pt>
                <c:pt idx="17">
                  <c:v>6.9034700000000004</c:v>
                </c:pt>
                <c:pt idx="18">
                  <c:v>7.3126100000000003</c:v>
                </c:pt>
                <c:pt idx="19">
                  <c:v>7.7183200000000003</c:v>
                </c:pt>
                <c:pt idx="20">
                  <c:v>8.1241800000000008</c:v>
                </c:pt>
                <c:pt idx="21">
                  <c:v>8.5322899999999997</c:v>
                </c:pt>
                <c:pt idx="22">
                  <c:v>8.9359800000000007</c:v>
                </c:pt>
                <c:pt idx="23">
                  <c:v>9.3431200000000008</c:v>
                </c:pt>
                <c:pt idx="24">
                  <c:v>9.7492199999999993</c:v>
                </c:pt>
                <c:pt idx="25">
                  <c:v>10.1578</c:v>
                </c:pt>
                <c:pt idx="26">
                  <c:v>10.560600000000001</c:v>
                </c:pt>
                <c:pt idx="27">
                  <c:v>10.967599999999999</c:v>
                </c:pt>
                <c:pt idx="28">
                  <c:v>11.374499999999999</c:v>
                </c:pt>
                <c:pt idx="29">
                  <c:v>11.779400000000001</c:v>
                </c:pt>
                <c:pt idx="30">
                  <c:v>12.186299999999999</c:v>
                </c:pt>
                <c:pt idx="31">
                  <c:v>12.5952</c:v>
                </c:pt>
                <c:pt idx="32">
                  <c:v>12.999499999999999</c:v>
                </c:pt>
                <c:pt idx="33">
                  <c:v>13.4054</c:v>
                </c:pt>
                <c:pt idx="34">
                  <c:v>13.811</c:v>
                </c:pt>
                <c:pt idx="35">
                  <c:v>14.216100000000001</c:v>
                </c:pt>
                <c:pt idx="36">
                  <c:v>14.6258</c:v>
                </c:pt>
                <c:pt idx="37">
                  <c:v>15.031700000000001</c:v>
                </c:pt>
                <c:pt idx="38">
                  <c:v>15.5024</c:v>
                </c:pt>
                <c:pt idx="39">
                  <c:v>15.8896</c:v>
                </c:pt>
                <c:pt idx="40">
                  <c:v>16.299700000000001</c:v>
                </c:pt>
                <c:pt idx="41">
                  <c:v>16.7042</c:v>
                </c:pt>
                <c:pt idx="42">
                  <c:v>17.1082</c:v>
                </c:pt>
                <c:pt idx="43">
                  <c:v>17.514099999999999</c:v>
                </c:pt>
                <c:pt idx="44">
                  <c:v>17.9206</c:v>
                </c:pt>
                <c:pt idx="45">
                  <c:v>18.326000000000001</c:v>
                </c:pt>
                <c:pt idx="46">
                  <c:v>18.7348</c:v>
                </c:pt>
                <c:pt idx="47">
                  <c:v>19.139800000000001</c:v>
                </c:pt>
                <c:pt idx="48">
                  <c:v>19.5456</c:v>
                </c:pt>
                <c:pt idx="49">
                  <c:v>19.951699999999999</c:v>
                </c:pt>
                <c:pt idx="50">
                  <c:v>20.3596</c:v>
                </c:pt>
                <c:pt idx="51">
                  <c:v>20.767299999999999</c:v>
                </c:pt>
                <c:pt idx="52">
                  <c:v>21.169499999999999</c:v>
                </c:pt>
                <c:pt idx="53">
                  <c:v>21.575299999999999</c:v>
                </c:pt>
                <c:pt idx="54">
                  <c:v>21.985299999999999</c:v>
                </c:pt>
                <c:pt idx="55">
                  <c:v>22.389099999999999</c:v>
                </c:pt>
                <c:pt idx="56">
                  <c:v>22.797999999999998</c:v>
                </c:pt>
                <c:pt idx="57">
                  <c:v>23.201000000000001</c:v>
                </c:pt>
                <c:pt idx="58">
                  <c:v>23.606100000000001</c:v>
                </c:pt>
                <c:pt idx="59">
                  <c:v>24.011700000000001</c:v>
                </c:pt>
                <c:pt idx="60">
                  <c:v>24.430599999999998</c:v>
                </c:pt>
                <c:pt idx="61">
                  <c:v>24.8306</c:v>
                </c:pt>
                <c:pt idx="62">
                  <c:v>25.234500000000001</c:v>
                </c:pt>
                <c:pt idx="63">
                  <c:v>25.642299999999999</c:v>
                </c:pt>
                <c:pt idx="64">
                  <c:v>26.046299999999999</c:v>
                </c:pt>
                <c:pt idx="65">
                  <c:v>26.4542</c:v>
                </c:pt>
                <c:pt idx="66">
                  <c:v>26.862100000000002</c:v>
                </c:pt>
                <c:pt idx="67">
                  <c:v>27.266300000000001</c:v>
                </c:pt>
                <c:pt idx="68">
                  <c:v>27.672999999999998</c:v>
                </c:pt>
                <c:pt idx="69">
                  <c:v>28.077999999999999</c:v>
                </c:pt>
                <c:pt idx="70">
                  <c:v>28.483000000000001</c:v>
                </c:pt>
                <c:pt idx="71">
                  <c:v>28.887699999999999</c:v>
                </c:pt>
                <c:pt idx="72">
                  <c:v>29.300999999999998</c:v>
                </c:pt>
                <c:pt idx="73">
                  <c:v>29.705500000000001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65.486999999999995</c:v>
                </c:pt>
                <c:pt idx="1">
                  <c:v>64.917400000000001</c:v>
                </c:pt>
                <c:pt idx="2">
                  <c:v>64.328000000000003</c:v>
                </c:pt>
                <c:pt idx="3">
                  <c:v>63.770800000000008</c:v>
                </c:pt>
                <c:pt idx="4">
                  <c:v>63.130499999999998</c:v>
                </c:pt>
                <c:pt idx="5">
                  <c:v>62.459900000000005</c:v>
                </c:pt>
                <c:pt idx="6">
                  <c:v>61.679200000000002</c:v>
                </c:pt>
                <c:pt idx="7">
                  <c:v>60.788699999999999</c:v>
                </c:pt>
                <c:pt idx="8">
                  <c:v>59.884700000000002</c:v>
                </c:pt>
                <c:pt idx="9">
                  <c:v>58.965800000000002</c:v>
                </c:pt>
                <c:pt idx="10">
                  <c:v>58.0623</c:v>
                </c:pt>
                <c:pt idx="11">
                  <c:v>57.207300000000004</c:v>
                </c:pt>
                <c:pt idx="12">
                  <c:v>56.357599999999998</c:v>
                </c:pt>
                <c:pt idx="13">
                  <c:v>55.588400000000007</c:v>
                </c:pt>
                <c:pt idx="14">
                  <c:v>54.883099999999999</c:v>
                </c:pt>
                <c:pt idx="15">
                  <c:v>54.105400000000003</c:v>
                </c:pt>
                <c:pt idx="16">
                  <c:v>53.5396</c:v>
                </c:pt>
                <c:pt idx="17">
                  <c:v>52.400300000000001</c:v>
                </c:pt>
                <c:pt idx="18">
                  <c:v>51.558300000000003</c:v>
                </c:pt>
                <c:pt idx="19">
                  <c:v>50.744100000000003</c:v>
                </c:pt>
                <c:pt idx="20">
                  <c:v>49.9803</c:v>
                </c:pt>
                <c:pt idx="21">
                  <c:v>49.377300000000005</c:v>
                </c:pt>
                <c:pt idx="22">
                  <c:v>48.846299999999999</c:v>
                </c:pt>
                <c:pt idx="23">
                  <c:v>48.311300000000003</c:v>
                </c:pt>
                <c:pt idx="24">
                  <c:v>47.772199999999998</c:v>
                </c:pt>
                <c:pt idx="25">
                  <c:v>47.2881</c:v>
                </c:pt>
                <c:pt idx="26">
                  <c:v>46.805</c:v>
                </c:pt>
                <c:pt idx="27">
                  <c:v>46.319900000000004</c:v>
                </c:pt>
                <c:pt idx="28">
                  <c:v>45.961100000000002</c:v>
                </c:pt>
                <c:pt idx="29">
                  <c:v>45.686300000000003</c:v>
                </c:pt>
                <c:pt idx="30">
                  <c:v>45.455800000000004</c:v>
                </c:pt>
                <c:pt idx="31">
                  <c:v>45.245200000000004</c:v>
                </c:pt>
                <c:pt idx="32">
                  <c:v>45.032800000000002</c:v>
                </c:pt>
                <c:pt idx="33">
                  <c:v>44.803800000000003</c:v>
                </c:pt>
                <c:pt idx="34">
                  <c:v>44.653199999999998</c:v>
                </c:pt>
                <c:pt idx="35">
                  <c:v>44.474599999999995</c:v>
                </c:pt>
                <c:pt idx="36">
                  <c:v>44.258199999999995</c:v>
                </c:pt>
                <c:pt idx="37">
                  <c:v>44.032299999999999</c:v>
                </c:pt>
                <c:pt idx="38">
                  <c:v>43.785299999999999</c:v>
                </c:pt>
                <c:pt idx="39">
                  <c:v>43.484699999999997</c:v>
                </c:pt>
                <c:pt idx="40">
                  <c:v>43.139600000000002</c:v>
                </c:pt>
                <c:pt idx="41">
                  <c:v>42.796199999999999</c:v>
                </c:pt>
                <c:pt idx="42">
                  <c:v>42.515000000000001</c:v>
                </c:pt>
                <c:pt idx="43">
                  <c:v>42.283200000000001</c:v>
                </c:pt>
                <c:pt idx="44">
                  <c:v>42.017900000000004</c:v>
                </c:pt>
                <c:pt idx="45">
                  <c:v>41.7408</c:v>
                </c:pt>
                <c:pt idx="46">
                  <c:v>41.475999999999999</c:v>
                </c:pt>
                <c:pt idx="47">
                  <c:v>41.1815</c:v>
                </c:pt>
                <c:pt idx="48">
                  <c:v>40.885399999999997</c:v>
                </c:pt>
                <c:pt idx="49">
                  <c:v>40.579700000000003</c:v>
                </c:pt>
                <c:pt idx="50">
                  <c:v>40.289700000000003</c:v>
                </c:pt>
                <c:pt idx="51">
                  <c:v>40.008700000000005</c:v>
                </c:pt>
                <c:pt idx="52">
                  <c:v>39.836399999999998</c:v>
                </c:pt>
                <c:pt idx="53">
                  <c:v>39.727899999999998</c:v>
                </c:pt>
                <c:pt idx="54">
                  <c:v>39.6524</c:v>
                </c:pt>
                <c:pt idx="55">
                  <c:v>39.629300000000001</c:v>
                </c:pt>
                <c:pt idx="56">
                  <c:v>39.581000000000003</c:v>
                </c:pt>
                <c:pt idx="57">
                  <c:v>39.416800000000002</c:v>
                </c:pt>
                <c:pt idx="58">
                  <c:v>39.209899999999998</c:v>
                </c:pt>
                <c:pt idx="59">
                  <c:v>39.011499999999998</c:v>
                </c:pt>
                <c:pt idx="60">
                  <c:v>38.798999999999999</c:v>
                </c:pt>
                <c:pt idx="61">
                  <c:v>38.623600000000003</c:v>
                </c:pt>
                <c:pt idx="62">
                  <c:v>38.494299999999996</c:v>
                </c:pt>
                <c:pt idx="63">
                  <c:v>38.412500000000001</c:v>
                </c:pt>
                <c:pt idx="64">
                  <c:v>38.333600000000004</c:v>
                </c:pt>
                <c:pt idx="65">
                  <c:v>38.168700000000001</c:v>
                </c:pt>
                <c:pt idx="66">
                  <c:v>37.963299999999997</c:v>
                </c:pt>
                <c:pt idx="67">
                  <c:v>37.783299999999997</c:v>
                </c:pt>
                <c:pt idx="68">
                  <c:v>37.588899999999995</c:v>
                </c:pt>
                <c:pt idx="69">
                  <c:v>37.436</c:v>
                </c:pt>
                <c:pt idx="70">
                  <c:v>37.339399999999998</c:v>
                </c:pt>
                <c:pt idx="71">
                  <c:v>37.258400000000002</c:v>
                </c:pt>
                <c:pt idx="72">
                  <c:v>37.442399999999999</c:v>
                </c:pt>
                <c:pt idx="73">
                  <c:v>37.709900000000005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0.40680699999999997</c:v>
                </c:pt>
                <c:pt idx="2">
                  <c:v>0.81276899999999996</c:v>
                </c:pt>
                <c:pt idx="3">
                  <c:v>1.2124200000000001</c:v>
                </c:pt>
                <c:pt idx="4">
                  <c:v>1.6255999999999999</c:v>
                </c:pt>
                <c:pt idx="5">
                  <c:v>2.03295</c:v>
                </c:pt>
                <c:pt idx="6">
                  <c:v>2.4363800000000002</c:v>
                </c:pt>
                <c:pt idx="7">
                  <c:v>2.8433199999999998</c:v>
                </c:pt>
                <c:pt idx="8">
                  <c:v>3.2473399999999999</c:v>
                </c:pt>
                <c:pt idx="9">
                  <c:v>3.65313</c:v>
                </c:pt>
                <c:pt idx="10">
                  <c:v>4.0601099999999999</c:v>
                </c:pt>
                <c:pt idx="11">
                  <c:v>4.4691099999999997</c:v>
                </c:pt>
                <c:pt idx="12">
                  <c:v>4.8738599999999996</c:v>
                </c:pt>
                <c:pt idx="13">
                  <c:v>5.28003</c:v>
                </c:pt>
                <c:pt idx="14">
                  <c:v>5.68872</c:v>
                </c:pt>
                <c:pt idx="15">
                  <c:v>6.0897199999999998</c:v>
                </c:pt>
                <c:pt idx="16">
                  <c:v>6.4996499999999999</c:v>
                </c:pt>
                <c:pt idx="17">
                  <c:v>6.9034700000000004</c:v>
                </c:pt>
                <c:pt idx="18">
                  <c:v>7.3126100000000003</c:v>
                </c:pt>
                <c:pt idx="19">
                  <c:v>7.7183200000000003</c:v>
                </c:pt>
                <c:pt idx="20">
                  <c:v>8.1241800000000008</c:v>
                </c:pt>
                <c:pt idx="21">
                  <c:v>8.5322899999999997</c:v>
                </c:pt>
                <c:pt idx="22">
                  <c:v>8.9359800000000007</c:v>
                </c:pt>
                <c:pt idx="23">
                  <c:v>9.3431200000000008</c:v>
                </c:pt>
                <c:pt idx="24">
                  <c:v>9.7492199999999993</c:v>
                </c:pt>
                <c:pt idx="25">
                  <c:v>10.1578</c:v>
                </c:pt>
                <c:pt idx="26">
                  <c:v>10.560600000000001</c:v>
                </c:pt>
                <c:pt idx="27">
                  <c:v>10.967599999999999</c:v>
                </c:pt>
                <c:pt idx="28">
                  <c:v>11.374499999999999</c:v>
                </c:pt>
                <c:pt idx="29">
                  <c:v>11.779400000000001</c:v>
                </c:pt>
                <c:pt idx="30">
                  <c:v>12.186299999999999</c:v>
                </c:pt>
                <c:pt idx="31">
                  <c:v>12.5952</c:v>
                </c:pt>
                <c:pt idx="32">
                  <c:v>12.999499999999999</c:v>
                </c:pt>
                <c:pt idx="33">
                  <c:v>13.4054</c:v>
                </c:pt>
                <c:pt idx="34">
                  <c:v>13.811</c:v>
                </c:pt>
                <c:pt idx="35">
                  <c:v>14.216100000000001</c:v>
                </c:pt>
                <c:pt idx="36">
                  <c:v>14.6258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65.486999999999995</c:v>
                </c:pt>
                <c:pt idx="1">
                  <c:v>64.917400000000001</c:v>
                </c:pt>
                <c:pt idx="2">
                  <c:v>64.328000000000003</c:v>
                </c:pt>
                <c:pt idx="3">
                  <c:v>63.770800000000008</c:v>
                </c:pt>
                <c:pt idx="4">
                  <c:v>63.130499999999998</c:v>
                </c:pt>
                <c:pt idx="5">
                  <c:v>62.459900000000005</c:v>
                </c:pt>
                <c:pt idx="6">
                  <c:v>61.679200000000002</c:v>
                </c:pt>
                <c:pt idx="7">
                  <c:v>60.788699999999999</c:v>
                </c:pt>
                <c:pt idx="8">
                  <c:v>59.884700000000002</c:v>
                </c:pt>
                <c:pt idx="9">
                  <c:v>58.965800000000002</c:v>
                </c:pt>
                <c:pt idx="10">
                  <c:v>58.0623</c:v>
                </c:pt>
                <c:pt idx="11">
                  <c:v>57.207300000000004</c:v>
                </c:pt>
                <c:pt idx="12">
                  <c:v>56.357599999999998</c:v>
                </c:pt>
                <c:pt idx="13">
                  <c:v>55.588400000000007</c:v>
                </c:pt>
                <c:pt idx="14">
                  <c:v>54.883099999999999</c:v>
                </c:pt>
                <c:pt idx="15">
                  <c:v>54.105400000000003</c:v>
                </c:pt>
                <c:pt idx="16">
                  <c:v>53.5396</c:v>
                </c:pt>
                <c:pt idx="17">
                  <c:v>52.400300000000001</c:v>
                </c:pt>
                <c:pt idx="18">
                  <c:v>51.558300000000003</c:v>
                </c:pt>
                <c:pt idx="19">
                  <c:v>50.744100000000003</c:v>
                </c:pt>
                <c:pt idx="20">
                  <c:v>49.9803</c:v>
                </c:pt>
                <c:pt idx="21">
                  <c:v>49.377300000000005</c:v>
                </c:pt>
                <c:pt idx="22">
                  <c:v>48.846299999999999</c:v>
                </c:pt>
                <c:pt idx="23">
                  <c:v>48.311300000000003</c:v>
                </c:pt>
                <c:pt idx="24">
                  <c:v>47.772199999999998</c:v>
                </c:pt>
                <c:pt idx="25">
                  <c:v>47.2881</c:v>
                </c:pt>
                <c:pt idx="26">
                  <c:v>46.805</c:v>
                </c:pt>
                <c:pt idx="27">
                  <c:v>46.319900000000004</c:v>
                </c:pt>
                <c:pt idx="28">
                  <c:v>45.961100000000002</c:v>
                </c:pt>
                <c:pt idx="29">
                  <c:v>45.686300000000003</c:v>
                </c:pt>
                <c:pt idx="30">
                  <c:v>45.455800000000004</c:v>
                </c:pt>
                <c:pt idx="31">
                  <c:v>45.245200000000004</c:v>
                </c:pt>
                <c:pt idx="32">
                  <c:v>45.032800000000002</c:v>
                </c:pt>
                <c:pt idx="33">
                  <c:v>44.803800000000003</c:v>
                </c:pt>
                <c:pt idx="34">
                  <c:v>44.653199999999998</c:v>
                </c:pt>
                <c:pt idx="35">
                  <c:v>44.474599999999995</c:v>
                </c:pt>
                <c:pt idx="36">
                  <c:v>44.258199999999995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14.6258</c:v>
                </c:pt>
                <c:pt idx="1">
                  <c:v>15.031700000000001</c:v>
                </c:pt>
                <c:pt idx="2">
                  <c:v>15.5024</c:v>
                </c:pt>
                <c:pt idx="3">
                  <c:v>15.8896</c:v>
                </c:pt>
                <c:pt idx="4">
                  <c:v>16.299700000000001</c:v>
                </c:pt>
                <c:pt idx="5">
                  <c:v>16.7042</c:v>
                </c:pt>
                <c:pt idx="6">
                  <c:v>17.1082</c:v>
                </c:pt>
                <c:pt idx="7">
                  <c:v>17.514099999999999</c:v>
                </c:pt>
                <c:pt idx="8">
                  <c:v>17.9206</c:v>
                </c:pt>
                <c:pt idx="9">
                  <c:v>18.326000000000001</c:v>
                </c:pt>
                <c:pt idx="10">
                  <c:v>18.7348</c:v>
                </c:pt>
                <c:pt idx="11">
                  <c:v>19.139800000000001</c:v>
                </c:pt>
                <c:pt idx="12">
                  <c:v>19.5456</c:v>
                </c:pt>
                <c:pt idx="13">
                  <c:v>19.951699999999999</c:v>
                </c:pt>
                <c:pt idx="14">
                  <c:v>20.3596</c:v>
                </c:pt>
                <c:pt idx="15">
                  <c:v>20.767299999999999</c:v>
                </c:pt>
                <c:pt idx="16">
                  <c:v>21.169499999999999</c:v>
                </c:pt>
                <c:pt idx="17">
                  <c:v>21.575299999999999</c:v>
                </c:pt>
                <c:pt idx="18">
                  <c:v>21.985299999999999</c:v>
                </c:pt>
                <c:pt idx="19">
                  <c:v>22.389099999999999</c:v>
                </c:pt>
                <c:pt idx="20">
                  <c:v>22.797999999999998</c:v>
                </c:pt>
                <c:pt idx="21">
                  <c:v>23.201000000000001</c:v>
                </c:pt>
                <c:pt idx="22">
                  <c:v>23.606100000000001</c:v>
                </c:pt>
                <c:pt idx="23">
                  <c:v>24.011700000000001</c:v>
                </c:pt>
                <c:pt idx="24">
                  <c:v>24.430599999999998</c:v>
                </c:pt>
                <c:pt idx="25">
                  <c:v>24.8306</c:v>
                </c:pt>
                <c:pt idx="26">
                  <c:v>25.234500000000001</c:v>
                </c:pt>
                <c:pt idx="27">
                  <c:v>25.642299999999999</c:v>
                </c:pt>
                <c:pt idx="28">
                  <c:v>26.046299999999999</c:v>
                </c:pt>
                <c:pt idx="29">
                  <c:v>26.4542</c:v>
                </c:pt>
                <c:pt idx="30">
                  <c:v>26.862100000000002</c:v>
                </c:pt>
                <c:pt idx="31">
                  <c:v>27.266300000000001</c:v>
                </c:pt>
                <c:pt idx="32">
                  <c:v>27.672999999999998</c:v>
                </c:pt>
                <c:pt idx="33">
                  <c:v>28.077999999999999</c:v>
                </c:pt>
                <c:pt idx="34">
                  <c:v>28.483000000000001</c:v>
                </c:pt>
                <c:pt idx="35">
                  <c:v>28.887699999999999</c:v>
                </c:pt>
                <c:pt idx="36">
                  <c:v>29.300999999999998</c:v>
                </c:pt>
                <c:pt idx="37">
                  <c:v>29.705500000000001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44.258199999999995</c:v>
                </c:pt>
                <c:pt idx="1">
                  <c:v>44.032299999999999</c:v>
                </c:pt>
                <c:pt idx="2">
                  <c:v>43.785299999999999</c:v>
                </c:pt>
                <c:pt idx="3">
                  <c:v>43.484699999999997</c:v>
                </c:pt>
                <c:pt idx="4">
                  <c:v>43.139600000000002</c:v>
                </c:pt>
                <c:pt idx="5">
                  <c:v>42.796199999999999</c:v>
                </c:pt>
                <c:pt idx="6">
                  <c:v>42.515000000000001</c:v>
                </c:pt>
                <c:pt idx="7">
                  <c:v>42.283200000000001</c:v>
                </c:pt>
                <c:pt idx="8">
                  <c:v>42.017900000000004</c:v>
                </c:pt>
                <c:pt idx="9">
                  <c:v>41.7408</c:v>
                </c:pt>
                <c:pt idx="10">
                  <c:v>41.475999999999999</c:v>
                </c:pt>
                <c:pt idx="11">
                  <c:v>41.1815</c:v>
                </c:pt>
                <c:pt idx="12">
                  <c:v>40.885399999999997</c:v>
                </c:pt>
                <c:pt idx="13">
                  <c:v>40.579700000000003</c:v>
                </c:pt>
                <c:pt idx="14">
                  <c:v>40.289700000000003</c:v>
                </c:pt>
                <c:pt idx="15">
                  <c:v>40.008700000000005</c:v>
                </c:pt>
                <c:pt idx="16">
                  <c:v>39.836399999999998</c:v>
                </c:pt>
                <c:pt idx="17">
                  <c:v>39.727899999999998</c:v>
                </c:pt>
                <c:pt idx="18">
                  <c:v>39.6524</c:v>
                </c:pt>
                <c:pt idx="19">
                  <c:v>39.629300000000001</c:v>
                </c:pt>
                <c:pt idx="20">
                  <c:v>39.581000000000003</c:v>
                </c:pt>
                <c:pt idx="21">
                  <c:v>39.416800000000002</c:v>
                </c:pt>
                <c:pt idx="22">
                  <c:v>39.209899999999998</c:v>
                </c:pt>
                <c:pt idx="23">
                  <c:v>39.011499999999998</c:v>
                </c:pt>
                <c:pt idx="24">
                  <c:v>38.798999999999999</c:v>
                </c:pt>
                <c:pt idx="25">
                  <c:v>38.623600000000003</c:v>
                </c:pt>
                <c:pt idx="26">
                  <c:v>38.494299999999996</c:v>
                </c:pt>
                <c:pt idx="27">
                  <c:v>38.412500000000001</c:v>
                </c:pt>
                <c:pt idx="28">
                  <c:v>38.333600000000004</c:v>
                </c:pt>
                <c:pt idx="29">
                  <c:v>38.168700000000001</c:v>
                </c:pt>
                <c:pt idx="30">
                  <c:v>37.963299999999997</c:v>
                </c:pt>
                <c:pt idx="31">
                  <c:v>37.783299999999997</c:v>
                </c:pt>
                <c:pt idx="32">
                  <c:v>37.588899999999995</c:v>
                </c:pt>
                <c:pt idx="33">
                  <c:v>37.436</c:v>
                </c:pt>
                <c:pt idx="34">
                  <c:v>37.339399999999998</c:v>
                </c:pt>
                <c:pt idx="35">
                  <c:v>37.258400000000002</c:v>
                </c:pt>
                <c:pt idx="36">
                  <c:v>37.442399999999999</c:v>
                </c:pt>
                <c:pt idx="37">
                  <c:v>37.709900000000005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7.4263750000000002</c:v>
                </c:pt>
                <c:pt idx="1">
                  <c:v>22.279125000000001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52.976481081081076</c:v>
                </c:pt>
                <c:pt idx="1">
                  <c:v>39.936067567567562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74"/>
                <c:pt idx="0">
                  <c:v>1.6952800000000001</c:v>
                </c:pt>
                <c:pt idx="1">
                  <c:v>1.7466899999999999</c:v>
                </c:pt>
                <c:pt idx="2">
                  <c:v>1.7974000000000001</c:v>
                </c:pt>
                <c:pt idx="3">
                  <c:v>1.8471099999999998</c:v>
                </c:pt>
                <c:pt idx="4">
                  <c:v>1.89659</c:v>
                </c:pt>
                <c:pt idx="5">
                  <c:v>1.9436600000000002</c:v>
                </c:pt>
                <c:pt idx="6">
                  <c:v>1.99041</c:v>
                </c:pt>
                <c:pt idx="7">
                  <c:v>2.0398000000000001</c:v>
                </c:pt>
                <c:pt idx="8">
                  <c:v>2.0884200000000002</c:v>
                </c:pt>
                <c:pt idx="9">
                  <c:v>2.1368999999999998</c:v>
                </c:pt>
                <c:pt idx="10">
                  <c:v>2.1844999999999999</c:v>
                </c:pt>
                <c:pt idx="11">
                  <c:v>2.22953</c:v>
                </c:pt>
                <c:pt idx="12">
                  <c:v>2.2732999999999999</c:v>
                </c:pt>
                <c:pt idx="13">
                  <c:v>2.3147899999999999</c:v>
                </c:pt>
                <c:pt idx="14">
                  <c:v>2.3542399999999999</c:v>
                </c:pt>
                <c:pt idx="15">
                  <c:v>2.3929100000000001</c:v>
                </c:pt>
                <c:pt idx="16">
                  <c:v>2.42</c:v>
                </c:pt>
                <c:pt idx="17">
                  <c:v>2.4707399999999997</c:v>
                </c:pt>
                <c:pt idx="18">
                  <c:v>2.5120300000000002</c:v>
                </c:pt>
                <c:pt idx="19">
                  <c:v>2.55375</c:v>
                </c:pt>
                <c:pt idx="20">
                  <c:v>2.5946799999999999</c:v>
                </c:pt>
                <c:pt idx="21">
                  <c:v>2.6305699999999996</c:v>
                </c:pt>
                <c:pt idx="22">
                  <c:v>2.6627700000000001</c:v>
                </c:pt>
                <c:pt idx="23">
                  <c:v>2.6923399999999997</c:v>
                </c:pt>
                <c:pt idx="24">
                  <c:v>2.7206000000000001</c:v>
                </c:pt>
                <c:pt idx="25">
                  <c:v>2.74837</c:v>
                </c:pt>
                <c:pt idx="26">
                  <c:v>2.7782400000000003</c:v>
                </c:pt>
                <c:pt idx="27">
                  <c:v>2.8083399999999998</c:v>
                </c:pt>
                <c:pt idx="28">
                  <c:v>2.83325</c:v>
                </c:pt>
                <c:pt idx="29">
                  <c:v>2.8507600000000002</c:v>
                </c:pt>
                <c:pt idx="30">
                  <c:v>2.8617999999999997</c:v>
                </c:pt>
                <c:pt idx="31">
                  <c:v>2.8635999999999999</c:v>
                </c:pt>
                <c:pt idx="32">
                  <c:v>2.8618500000000004</c:v>
                </c:pt>
                <c:pt idx="33">
                  <c:v>2.85873</c:v>
                </c:pt>
                <c:pt idx="34">
                  <c:v>2.8587600000000002</c:v>
                </c:pt>
                <c:pt idx="35">
                  <c:v>2.8672999999999997</c:v>
                </c:pt>
                <c:pt idx="36">
                  <c:v>2.8781800000000004</c:v>
                </c:pt>
                <c:pt idx="37">
                  <c:v>2.8894199999999999</c:v>
                </c:pt>
                <c:pt idx="38">
                  <c:v>2.8993700000000002</c:v>
                </c:pt>
                <c:pt idx="39">
                  <c:v>2.9096899999999999</c:v>
                </c:pt>
                <c:pt idx="40">
                  <c:v>2.9204000000000003</c:v>
                </c:pt>
                <c:pt idx="41">
                  <c:v>2.9306399999999999</c:v>
                </c:pt>
                <c:pt idx="42">
                  <c:v>2.9391400000000001</c:v>
                </c:pt>
                <c:pt idx="43">
                  <c:v>2.9480200000000001</c:v>
                </c:pt>
                <c:pt idx="44">
                  <c:v>2.9607899999999998</c:v>
                </c:pt>
                <c:pt idx="45">
                  <c:v>2.9750900000000002</c:v>
                </c:pt>
                <c:pt idx="46">
                  <c:v>2.9907699999999999</c:v>
                </c:pt>
                <c:pt idx="47">
                  <c:v>3.0065799999999996</c:v>
                </c:pt>
                <c:pt idx="48">
                  <c:v>3.0210699999999999</c:v>
                </c:pt>
                <c:pt idx="49">
                  <c:v>3.0328599999999999</c:v>
                </c:pt>
                <c:pt idx="50">
                  <c:v>3.0442999999999998</c:v>
                </c:pt>
                <c:pt idx="51">
                  <c:v>3.0587999999999997</c:v>
                </c:pt>
                <c:pt idx="52">
                  <c:v>3.0711699999999995</c:v>
                </c:pt>
                <c:pt idx="53">
                  <c:v>3.0878299999999999</c:v>
                </c:pt>
                <c:pt idx="54">
                  <c:v>3.1115500000000003</c:v>
                </c:pt>
                <c:pt idx="55">
                  <c:v>3.1392599999999997</c:v>
                </c:pt>
                <c:pt idx="56">
                  <c:v>3.1679600000000003</c:v>
                </c:pt>
                <c:pt idx="57">
                  <c:v>3.1883499999999998</c:v>
                </c:pt>
                <c:pt idx="58">
                  <c:v>3.1998700000000002</c:v>
                </c:pt>
                <c:pt idx="59">
                  <c:v>3.21129</c:v>
                </c:pt>
                <c:pt idx="60">
                  <c:v>3.2221699999999998</c:v>
                </c:pt>
                <c:pt idx="61">
                  <c:v>3.2327899999999996</c:v>
                </c:pt>
                <c:pt idx="62">
                  <c:v>3.24125</c:v>
                </c:pt>
                <c:pt idx="63">
                  <c:v>3.24796</c:v>
                </c:pt>
                <c:pt idx="64">
                  <c:v>3.2546499999999998</c:v>
                </c:pt>
                <c:pt idx="65">
                  <c:v>3.2642300000000004</c:v>
                </c:pt>
                <c:pt idx="66">
                  <c:v>3.2742599999999999</c:v>
                </c:pt>
                <c:pt idx="67">
                  <c:v>3.28186</c:v>
                </c:pt>
                <c:pt idx="68">
                  <c:v>3.2868900000000001</c:v>
                </c:pt>
                <c:pt idx="69">
                  <c:v>3.2867000000000002</c:v>
                </c:pt>
                <c:pt idx="70">
                  <c:v>3.28376</c:v>
                </c:pt>
                <c:pt idx="71">
                  <c:v>3.2790000000000004</c:v>
                </c:pt>
                <c:pt idx="72">
                  <c:v>3.2667400000000004</c:v>
                </c:pt>
                <c:pt idx="73">
                  <c:v>3.2579700000000003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65.486999999999995</c:v>
                </c:pt>
                <c:pt idx="1">
                  <c:v>64.917400000000001</c:v>
                </c:pt>
                <c:pt idx="2">
                  <c:v>64.328000000000003</c:v>
                </c:pt>
                <c:pt idx="3">
                  <c:v>63.770800000000008</c:v>
                </c:pt>
                <c:pt idx="4">
                  <c:v>63.130499999999998</c:v>
                </c:pt>
                <c:pt idx="5">
                  <c:v>62.459900000000005</c:v>
                </c:pt>
                <c:pt idx="6">
                  <c:v>61.679200000000002</c:v>
                </c:pt>
                <c:pt idx="7">
                  <c:v>60.788699999999999</c:v>
                </c:pt>
                <c:pt idx="8">
                  <c:v>59.884700000000002</c:v>
                </c:pt>
                <c:pt idx="9">
                  <c:v>58.965800000000002</c:v>
                </c:pt>
                <c:pt idx="10">
                  <c:v>58.0623</c:v>
                </c:pt>
                <c:pt idx="11">
                  <c:v>57.207300000000004</c:v>
                </c:pt>
                <c:pt idx="12">
                  <c:v>56.357599999999998</c:v>
                </c:pt>
                <c:pt idx="13">
                  <c:v>55.588400000000007</c:v>
                </c:pt>
                <c:pt idx="14">
                  <c:v>54.883099999999999</c:v>
                </c:pt>
                <c:pt idx="15">
                  <c:v>54.105400000000003</c:v>
                </c:pt>
                <c:pt idx="16">
                  <c:v>53.5396</c:v>
                </c:pt>
                <c:pt idx="17">
                  <c:v>52.400300000000001</c:v>
                </c:pt>
                <c:pt idx="18">
                  <c:v>51.558300000000003</c:v>
                </c:pt>
                <c:pt idx="19">
                  <c:v>50.744100000000003</c:v>
                </c:pt>
                <c:pt idx="20">
                  <c:v>49.9803</c:v>
                </c:pt>
                <c:pt idx="21">
                  <c:v>49.377300000000005</c:v>
                </c:pt>
                <c:pt idx="22">
                  <c:v>48.846299999999999</c:v>
                </c:pt>
                <c:pt idx="23">
                  <c:v>48.311300000000003</c:v>
                </c:pt>
                <c:pt idx="24">
                  <c:v>47.772199999999998</c:v>
                </c:pt>
                <c:pt idx="25">
                  <c:v>47.2881</c:v>
                </c:pt>
                <c:pt idx="26">
                  <c:v>46.805</c:v>
                </c:pt>
                <c:pt idx="27">
                  <c:v>46.319900000000004</c:v>
                </c:pt>
                <c:pt idx="28">
                  <c:v>45.961100000000002</c:v>
                </c:pt>
                <c:pt idx="29">
                  <c:v>45.686300000000003</c:v>
                </c:pt>
                <c:pt idx="30">
                  <c:v>45.455800000000004</c:v>
                </c:pt>
                <c:pt idx="31">
                  <c:v>45.245200000000004</c:v>
                </c:pt>
                <c:pt idx="32">
                  <c:v>45.032800000000002</c:v>
                </c:pt>
                <c:pt idx="33">
                  <c:v>44.803800000000003</c:v>
                </c:pt>
                <c:pt idx="34">
                  <c:v>44.653199999999998</c:v>
                </c:pt>
                <c:pt idx="35">
                  <c:v>44.474599999999995</c:v>
                </c:pt>
                <c:pt idx="36">
                  <c:v>44.258199999999995</c:v>
                </c:pt>
                <c:pt idx="37">
                  <c:v>44.032299999999999</c:v>
                </c:pt>
                <c:pt idx="38">
                  <c:v>43.785299999999999</c:v>
                </c:pt>
                <c:pt idx="39">
                  <c:v>43.484699999999997</c:v>
                </c:pt>
                <c:pt idx="40">
                  <c:v>43.139600000000002</c:v>
                </c:pt>
                <c:pt idx="41">
                  <c:v>42.796199999999999</c:v>
                </c:pt>
                <c:pt idx="42">
                  <c:v>42.515000000000001</c:v>
                </c:pt>
                <c:pt idx="43">
                  <c:v>42.283200000000001</c:v>
                </c:pt>
                <c:pt idx="44">
                  <c:v>42.017900000000004</c:v>
                </c:pt>
                <c:pt idx="45">
                  <c:v>41.7408</c:v>
                </c:pt>
                <c:pt idx="46">
                  <c:v>41.475999999999999</c:v>
                </c:pt>
                <c:pt idx="47">
                  <c:v>41.1815</c:v>
                </c:pt>
                <c:pt idx="48">
                  <c:v>40.885399999999997</c:v>
                </c:pt>
                <c:pt idx="49">
                  <c:v>40.579700000000003</c:v>
                </c:pt>
                <c:pt idx="50">
                  <c:v>40.289700000000003</c:v>
                </c:pt>
                <c:pt idx="51">
                  <c:v>40.008700000000005</c:v>
                </c:pt>
                <c:pt idx="52">
                  <c:v>39.836399999999998</c:v>
                </c:pt>
                <c:pt idx="53">
                  <c:v>39.727899999999998</c:v>
                </c:pt>
                <c:pt idx="54">
                  <c:v>39.6524</c:v>
                </c:pt>
                <c:pt idx="55">
                  <c:v>39.629300000000001</c:v>
                </c:pt>
                <c:pt idx="56">
                  <c:v>39.581000000000003</c:v>
                </c:pt>
                <c:pt idx="57">
                  <c:v>39.416800000000002</c:v>
                </c:pt>
                <c:pt idx="58">
                  <c:v>39.209899999999998</c:v>
                </c:pt>
                <c:pt idx="59">
                  <c:v>39.011499999999998</c:v>
                </c:pt>
                <c:pt idx="60">
                  <c:v>38.798999999999999</c:v>
                </c:pt>
                <c:pt idx="61">
                  <c:v>38.623600000000003</c:v>
                </c:pt>
                <c:pt idx="62">
                  <c:v>38.494299999999996</c:v>
                </c:pt>
                <c:pt idx="63">
                  <c:v>38.412500000000001</c:v>
                </c:pt>
                <c:pt idx="64">
                  <c:v>38.333600000000004</c:v>
                </c:pt>
                <c:pt idx="65">
                  <c:v>38.168700000000001</c:v>
                </c:pt>
                <c:pt idx="66">
                  <c:v>37.963299999999997</c:v>
                </c:pt>
                <c:pt idx="67">
                  <c:v>37.783299999999997</c:v>
                </c:pt>
                <c:pt idx="68">
                  <c:v>37.588899999999995</c:v>
                </c:pt>
                <c:pt idx="69">
                  <c:v>37.436</c:v>
                </c:pt>
                <c:pt idx="70">
                  <c:v>37.339399999999998</c:v>
                </c:pt>
                <c:pt idx="71">
                  <c:v>37.258400000000002</c:v>
                </c:pt>
                <c:pt idx="72">
                  <c:v>37.442399999999999</c:v>
                </c:pt>
                <c:pt idx="73">
                  <c:v>37.709900000000005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37"/>
                <c:pt idx="0">
                  <c:v>1.6952800000000001</c:v>
                </c:pt>
                <c:pt idx="1">
                  <c:v>1.7466899999999999</c:v>
                </c:pt>
                <c:pt idx="2">
                  <c:v>1.7974000000000001</c:v>
                </c:pt>
                <c:pt idx="3">
                  <c:v>1.8471099999999998</c:v>
                </c:pt>
                <c:pt idx="4">
                  <c:v>1.89659</c:v>
                </c:pt>
                <c:pt idx="5">
                  <c:v>1.9436600000000002</c:v>
                </c:pt>
                <c:pt idx="6">
                  <c:v>1.99041</c:v>
                </c:pt>
                <c:pt idx="7">
                  <c:v>2.0398000000000001</c:v>
                </c:pt>
                <c:pt idx="8">
                  <c:v>2.0884200000000002</c:v>
                </c:pt>
                <c:pt idx="9">
                  <c:v>2.1368999999999998</c:v>
                </c:pt>
                <c:pt idx="10">
                  <c:v>2.1844999999999999</c:v>
                </c:pt>
                <c:pt idx="11">
                  <c:v>2.22953</c:v>
                </c:pt>
                <c:pt idx="12">
                  <c:v>2.2732999999999999</c:v>
                </c:pt>
                <c:pt idx="13">
                  <c:v>2.3147899999999999</c:v>
                </c:pt>
                <c:pt idx="14">
                  <c:v>2.3542399999999999</c:v>
                </c:pt>
                <c:pt idx="15">
                  <c:v>2.3929100000000001</c:v>
                </c:pt>
                <c:pt idx="16">
                  <c:v>2.42</c:v>
                </c:pt>
                <c:pt idx="17">
                  <c:v>2.4707399999999997</c:v>
                </c:pt>
                <c:pt idx="18">
                  <c:v>2.5120300000000002</c:v>
                </c:pt>
                <c:pt idx="19">
                  <c:v>2.55375</c:v>
                </c:pt>
                <c:pt idx="20">
                  <c:v>2.5946799999999999</c:v>
                </c:pt>
                <c:pt idx="21">
                  <c:v>2.6305699999999996</c:v>
                </c:pt>
                <c:pt idx="22">
                  <c:v>2.6627700000000001</c:v>
                </c:pt>
                <c:pt idx="23">
                  <c:v>2.6923399999999997</c:v>
                </c:pt>
                <c:pt idx="24">
                  <c:v>2.7206000000000001</c:v>
                </c:pt>
                <c:pt idx="25">
                  <c:v>2.74837</c:v>
                </c:pt>
                <c:pt idx="26">
                  <c:v>2.7782400000000003</c:v>
                </c:pt>
                <c:pt idx="27">
                  <c:v>2.8083399999999998</c:v>
                </c:pt>
                <c:pt idx="28">
                  <c:v>2.83325</c:v>
                </c:pt>
                <c:pt idx="29">
                  <c:v>2.8507600000000002</c:v>
                </c:pt>
                <c:pt idx="30">
                  <c:v>2.8617999999999997</c:v>
                </c:pt>
                <c:pt idx="31">
                  <c:v>2.8635999999999999</c:v>
                </c:pt>
                <c:pt idx="32">
                  <c:v>2.8618500000000004</c:v>
                </c:pt>
                <c:pt idx="33">
                  <c:v>2.85873</c:v>
                </c:pt>
                <c:pt idx="34">
                  <c:v>2.8587600000000002</c:v>
                </c:pt>
                <c:pt idx="35">
                  <c:v>2.8672999999999997</c:v>
                </c:pt>
                <c:pt idx="36">
                  <c:v>2.8781800000000004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65.486999999999995</c:v>
                </c:pt>
                <c:pt idx="1">
                  <c:v>64.917400000000001</c:v>
                </c:pt>
                <c:pt idx="2">
                  <c:v>64.328000000000003</c:v>
                </c:pt>
                <c:pt idx="3">
                  <c:v>63.770800000000008</c:v>
                </c:pt>
                <c:pt idx="4">
                  <c:v>63.130499999999998</c:v>
                </c:pt>
                <c:pt idx="5">
                  <c:v>62.459900000000005</c:v>
                </c:pt>
                <c:pt idx="6">
                  <c:v>61.679200000000002</c:v>
                </c:pt>
                <c:pt idx="7">
                  <c:v>60.788699999999999</c:v>
                </c:pt>
                <c:pt idx="8">
                  <c:v>59.884700000000002</c:v>
                </c:pt>
                <c:pt idx="9">
                  <c:v>58.965800000000002</c:v>
                </c:pt>
                <c:pt idx="10">
                  <c:v>58.0623</c:v>
                </c:pt>
                <c:pt idx="11">
                  <c:v>57.207300000000004</c:v>
                </c:pt>
                <c:pt idx="12">
                  <c:v>56.357599999999998</c:v>
                </c:pt>
                <c:pt idx="13">
                  <c:v>55.588400000000007</c:v>
                </c:pt>
                <c:pt idx="14">
                  <c:v>54.883099999999999</c:v>
                </c:pt>
                <c:pt idx="15">
                  <c:v>54.105400000000003</c:v>
                </c:pt>
                <c:pt idx="16">
                  <c:v>53.5396</c:v>
                </c:pt>
                <c:pt idx="17">
                  <c:v>52.400300000000001</c:v>
                </c:pt>
                <c:pt idx="18">
                  <c:v>51.558300000000003</c:v>
                </c:pt>
                <c:pt idx="19">
                  <c:v>50.744100000000003</c:v>
                </c:pt>
                <c:pt idx="20">
                  <c:v>49.9803</c:v>
                </c:pt>
                <c:pt idx="21">
                  <c:v>49.377300000000005</c:v>
                </c:pt>
                <c:pt idx="22">
                  <c:v>48.846299999999999</c:v>
                </c:pt>
                <c:pt idx="23">
                  <c:v>48.311300000000003</c:v>
                </c:pt>
                <c:pt idx="24">
                  <c:v>47.772199999999998</c:v>
                </c:pt>
                <c:pt idx="25">
                  <c:v>47.2881</c:v>
                </c:pt>
                <c:pt idx="26">
                  <c:v>46.805</c:v>
                </c:pt>
                <c:pt idx="27">
                  <c:v>46.319900000000004</c:v>
                </c:pt>
                <c:pt idx="28">
                  <c:v>45.961100000000002</c:v>
                </c:pt>
                <c:pt idx="29">
                  <c:v>45.686300000000003</c:v>
                </c:pt>
                <c:pt idx="30">
                  <c:v>45.455800000000004</c:v>
                </c:pt>
                <c:pt idx="31">
                  <c:v>45.245200000000004</c:v>
                </c:pt>
                <c:pt idx="32">
                  <c:v>45.032800000000002</c:v>
                </c:pt>
                <c:pt idx="33">
                  <c:v>44.803800000000003</c:v>
                </c:pt>
                <c:pt idx="34">
                  <c:v>44.653199999999998</c:v>
                </c:pt>
                <c:pt idx="35">
                  <c:v>44.474599999999995</c:v>
                </c:pt>
                <c:pt idx="36">
                  <c:v>44.258199999999995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38"/>
                <c:pt idx="0">
                  <c:v>2.8781800000000004</c:v>
                </c:pt>
                <c:pt idx="1">
                  <c:v>2.8894199999999999</c:v>
                </c:pt>
                <c:pt idx="2">
                  <c:v>2.8993700000000002</c:v>
                </c:pt>
                <c:pt idx="3">
                  <c:v>2.9096899999999999</c:v>
                </c:pt>
                <c:pt idx="4">
                  <c:v>2.9204000000000003</c:v>
                </c:pt>
                <c:pt idx="5">
                  <c:v>2.9306399999999999</c:v>
                </c:pt>
                <c:pt idx="6">
                  <c:v>2.9391400000000001</c:v>
                </c:pt>
                <c:pt idx="7">
                  <c:v>2.9480200000000001</c:v>
                </c:pt>
                <c:pt idx="8">
                  <c:v>2.9607899999999998</c:v>
                </c:pt>
                <c:pt idx="9">
                  <c:v>2.9750900000000002</c:v>
                </c:pt>
                <c:pt idx="10">
                  <c:v>2.9907699999999999</c:v>
                </c:pt>
                <c:pt idx="11">
                  <c:v>3.0065799999999996</c:v>
                </c:pt>
                <c:pt idx="12">
                  <c:v>3.0210699999999999</c:v>
                </c:pt>
                <c:pt idx="13">
                  <c:v>3.0328599999999999</c:v>
                </c:pt>
                <c:pt idx="14">
                  <c:v>3.0442999999999998</c:v>
                </c:pt>
                <c:pt idx="15">
                  <c:v>3.0587999999999997</c:v>
                </c:pt>
                <c:pt idx="16">
                  <c:v>3.0711699999999995</c:v>
                </c:pt>
                <c:pt idx="17">
                  <c:v>3.0878299999999999</c:v>
                </c:pt>
                <c:pt idx="18">
                  <c:v>3.1115500000000003</c:v>
                </c:pt>
                <c:pt idx="19">
                  <c:v>3.1392599999999997</c:v>
                </c:pt>
                <c:pt idx="20">
                  <c:v>3.1679600000000003</c:v>
                </c:pt>
                <c:pt idx="21">
                  <c:v>3.1883499999999998</c:v>
                </c:pt>
                <c:pt idx="22">
                  <c:v>3.1998700000000002</c:v>
                </c:pt>
                <c:pt idx="23">
                  <c:v>3.21129</c:v>
                </c:pt>
                <c:pt idx="24">
                  <c:v>3.2221699999999998</c:v>
                </c:pt>
                <c:pt idx="25">
                  <c:v>3.2327899999999996</c:v>
                </c:pt>
                <c:pt idx="26">
                  <c:v>3.24125</c:v>
                </c:pt>
                <c:pt idx="27">
                  <c:v>3.24796</c:v>
                </c:pt>
                <c:pt idx="28">
                  <c:v>3.2546499999999998</c:v>
                </c:pt>
                <c:pt idx="29">
                  <c:v>3.2642300000000004</c:v>
                </c:pt>
                <c:pt idx="30">
                  <c:v>3.2742599999999999</c:v>
                </c:pt>
                <c:pt idx="31">
                  <c:v>3.28186</c:v>
                </c:pt>
                <c:pt idx="32">
                  <c:v>3.2868900000000001</c:v>
                </c:pt>
                <c:pt idx="33">
                  <c:v>3.2867000000000002</c:v>
                </c:pt>
                <c:pt idx="34">
                  <c:v>3.28376</c:v>
                </c:pt>
                <c:pt idx="35">
                  <c:v>3.2790000000000004</c:v>
                </c:pt>
                <c:pt idx="36">
                  <c:v>3.2667400000000004</c:v>
                </c:pt>
                <c:pt idx="37">
                  <c:v>3.2579700000000003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44.258199999999995</c:v>
                </c:pt>
                <c:pt idx="1">
                  <c:v>44.032299999999999</c:v>
                </c:pt>
                <c:pt idx="2">
                  <c:v>43.785299999999999</c:v>
                </c:pt>
                <c:pt idx="3">
                  <c:v>43.484699999999997</c:v>
                </c:pt>
                <c:pt idx="4">
                  <c:v>43.139600000000002</c:v>
                </c:pt>
                <c:pt idx="5">
                  <c:v>42.796199999999999</c:v>
                </c:pt>
                <c:pt idx="6">
                  <c:v>42.515000000000001</c:v>
                </c:pt>
                <c:pt idx="7">
                  <c:v>42.283200000000001</c:v>
                </c:pt>
                <c:pt idx="8">
                  <c:v>42.017900000000004</c:v>
                </c:pt>
                <c:pt idx="9">
                  <c:v>41.7408</c:v>
                </c:pt>
                <c:pt idx="10">
                  <c:v>41.475999999999999</c:v>
                </c:pt>
                <c:pt idx="11">
                  <c:v>41.1815</c:v>
                </c:pt>
                <c:pt idx="12">
                  <c:v>40.885399999999997</c:v>
                </c:pt>
                <c:pt idx="13">
                  <c:v>40.579700000000003</c:v>
                </c:pt>
                <c:pt idx="14">
                  <c:v>40.289700000000003</c:v>
                </c:pt>
                <c:pt idx="15">
                  <c:v>40.008700000000005</c:v>
                </c:pt>
                <c:pt idx="16">
                  <c:v>39.836399999999998</c:v>
                </c:pt>
                <c:pt idx="17">
                  <c:v>39.727899999999998</c:v>
                </c:pt>
                <c:pt idx="18">
                  <c:v>39.6524</c:v>
                </c:pt>
                <c:pt idx="19">
                  <c:v>39.629300000000001</c:v>
                </c:pt>
                <c:pt idx="20">
                  <c:v>39.581000000000003</c:v>
                </c:pt>
                <c:pt idx="21">
                  <c:v>39.416800000000002</c:v>
                </c:pt>
                <c:pt idx="22">
                  <c:v>39.209899999999998</c:v>
                </c:pt>
                <c:pt idx="23">
                  <c:v>39.011499999999998</c:v>
                </c:pt>
                <c:pt idx="24">
                  <c:v>38.798999999999999</c:v>
                </c:pt>
                <c:pt idx="25">
                  <c:v>38.623600000000003</c:v>
                </c:pt>
                <c:pt idx="26">
                  <c:v>38.494299999999996</c:v>
                </c:pt>
                <c:pt idx="27">
                  <c:v>38.412500000000001</c:v>
                </c:pt>
                <c:pt idx="28">
                  <c:v>38.333600000000004</c:v>
                </c:pt>
                <c:pt idx="29">
                  <c:v>38.168700000000001</c:v>
                </c:pt>
                <c:pt idx="30">
                  <c:v>37.963299999999997</c:v>
                </c:pt>
                <c:pt idx="31">
                  <c:v>37.783299999999997</c:v>
                </c:pt>
                <c:pt idx="32">
                  <c:v>37.588899999999995</c:v>
                </c:pt>
                <c:pt idx="33">
                  <c:v>37.436</c:v>
                </c:pt>
                <c:pt idx="34">
                  <c:v>37.339399999999998</c:v>
                </c:pt>
                <c:pt idx="35">
                  <c:v>37.258400000000002</c:v>
                </c:pt>
                <c:pt idx="36">
                  <c:v>37.442399999999999</c:v>
                </c:pt>
                <c:pt idx="37">
                  <c:v>37.709900000000005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1.6952800000000001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65.486999999999995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2.43941054054054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52.976481081081076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3.1184986486486492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39.936067567567562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3.1184986486486492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39.936067567567562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441</v>
      </c>
      <c r="D5" s="151"/>
      <c r="E5" s="151"/>
      <c r="F5" s="152"/>
      <c r="G5" s="48" t="str">
        <f>lang!B27</f>
        <v>编号</v>
      </c>
      <c r="H5" s="150">
        <v>35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440</v>
      </c>
      <c r="D6" s="188"/>
      <c r="E6" s="188"/>
      <c r="F6" s="189"/>
      <c r="G6" s="49" t="str">
        <f>lang!B28</f>
        <v xml:space="preserve"> 日期</v>
      </c>
      <c r="H6" s="172">
        <f>FH_info!A2</f>
        <v>43607.459432870368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28</v>
      </c>
      <c r="D7" s="191"/>
      <c r="E7" s="191"/>
      <c r="F7" s="192"/>
      <c r="G7" s="50" t="str">
        <f>lang!B29</f>
        <v>误差率（%）</v>
      </c>
      <c r="H7" s="175">
        <f>M!B17*1</f>
        <v>19.674299999999999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33.262700000000002</v>
      </c>
      <c r="O8" s="59">
        <f>M!C5*1</f>
        <v>9.4637799999999999</v>
      </c>
      <c r="P8" s="59">
        <f>M!D5*1</f>
        <v>28.451699999999999</v>
      </c>
      <c r="Q8" s="59">
        <f>M!E5*1</f>
        <v>20</v>
      </c>
      <c r="R8" s="59">
        <f>M!F5*1</f>
        <v>8.8093400000000006</v>
      </c>
      <c r="S8" s="59">
        <f>M!G5*1</f>
        <v>50</v>
      </c>
      <c r="T8" s="59">
        <f>M!H5*1</f>
        <v>50.316600000000001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26.551200000000001</v>
      </c>
      <c r="O9" s="59">
        <f>M!C6*1</f>
        <v>2.27766</v>
      </c>
      <c r="P9" s="59">
        <f>M!D6*1</f>
        <v>8.5783500000000004</v>
      </c>
      <c r="Q9" s="59">
        <f>M!E6*1</f>
        <v>20</v>
      </c>
      <c r="R9" s="59">
        <f>M!F6*1</f>
        <v>19.739999999999998</v>
      </c>
      <c r="S9" s="59">
        <f>M!G6*1</f>
        <v>40</v>
      </c>
      <c r="T9" s="59">
        <f>M!H6*1</f>
        <v>30.323699999999999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8.8093400000000006</v>
      </c>
      <c r="D10" s="99">
        <f>N8</f>
        <v>33.262700000000002</v>
      </c>
      <c r="E10" s="100">
        <f>T8</f>
        <v>50.316600000000001</v>
      </c>
      <c r="F10" s="91">
        <f>P8</f>
        <v>28.451699999999999</v>
      </c>
      <c r="G10" s="81" t="str">
        <f>CONCATENATE(M9,"
(20 ~ 40)")</f>
        <v>压力
(20 ~ 40)</v>
      </c>
      <c r="H10" s="98">
        <f>R9</f>
        <v>19.739999999999998</v>
      </c>
      <c r="I10" s="108">
        <f>N9</f>
        <v>26.551200000000001</v>
      </c>
      <c r="J10" s="98">
        <f>T9</f>
        <v>30.323699999999999</v>
      </c>
      <c r="K10" s="92">
        <f>P9</f>
        <v>8.5783500000000004</v>
      </c>
      <c r="L10" s="6"/>
      <c r="M10" s="27" t="str">
        <f>lang!B16</f>
        <v>焦虑</v>
      </c>
      <c r="N10" s="59">
        <f>M!B7*1</f>
        <v>14.3028</v>
      </c>
      <c r="O10" s="59">
        <f>M!C7*1</f>
        <v>6.4791699999999999</v>
      </c>
      <c r="P10" s="59">
        <f>M!D7*1</f>
        <v>45.299900000000001</v>
      </c>
      <c r="Q10" s="59">
        <f>M!E7*1</f>
        <v>15</v>
      </c>
      <c r="R10" s="59">
        <f>M!F7*1</f>
        <v>2.5858300000000001</v>
      </c>
      <c r="S10" s="59">
        <f>M!G7*1</f>
        <v>40</v>
      </c>
      <c r="T10" s="59">
        <f>M!H7*1</f>
        <v>38.6907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2.5858300000000001</v>
      </c>
      <c r="D11" s="102">
        <f>N10</f>
        <v>14.3028</v>
      </c>
      <c r="E11" s="103">
        <f>T10</f>
        <v>38.6907</v>
      </c>
      <c r="F11" s="94">
        <f>P10</f>
        <v>45.299900000000001</v>
      </c>
      <c r="G11" s="52" t="str">
        <f>CONCATENATE(M11,"
(20 ~ 50)")</f>
        <v>可疑
(20 ~ 50)</v>
      </c>
      <c r="H11" s="101">
        <f>R11</f>
        <v>12.839600000000001</v>
      </c>
      <c r="I11" s="104">
        <f>N11</f>
        <v>23.811699999999998</v>
      </c>
      <c r="J11" s="101">
        <f>T11</f>
        <v>33.024099999999997</v>
      </c>
      <c r="K11" s="95">
        <f>P11</f>
        <v>18.480699999999999</v>
      </c>
      <c r="L11" s="4"/>
      <c r="M11" s="27" t="str">
        <f>lang!B17</f>
        <v>可疑</v>
      </c>
      <c r="N11" s="59">
        <f>M!B8*1</f>
        <v>23.811699999999998</v>
      </c>
      <c r="O11" s="59">
        <f>M!C8*1</f>
        <v>4.4005900000000002</v>
      </c>
      <c r="P11" s="59">
        <f>M!D8*1</f>
        <v>18.480699999999999</v>
      </c>
      <c r="Q11" s="59">
        <f>M!E8*1</f>
        <v>20</v>
      </c>
      <c r="R11" s="59">
        <f>M!F8*1</f>
        <v>12.839600000000001</v>
      </c>
      <c r="S11" s="59">
        <f>M!G8*1</f>
        <v>50</v>
      </c>
      <c r="T11" s="59">
        <f>M!H8*1</f>
        <v>33.024099999999997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56.096400000000003</v>
      </c>
      <c r="D12" s="104">
        <f>N12</f>
        <v>69.858199999999997</v>
      </c>
      <c r="E12" s="101">
        <f>T12</f>
        <v>88.604900000000001</v>
      </c>
      <c r="F12" s="93">
        <f>P12</f>
        <v>9.8425399999999996</v>
      </c>
      <c r="G12" s="52" t="str">
        <f>CONCATENATE(M13,"
(40 ~ 100)")</f>
        <v>自信
(40 ~ 100)</v>
      </c>
      <c r="H12" s="101">
        <f>R13</f>
        <v>70.771500000000003</v>
      </c>
      <c r="I12" s="104">
        <f>N13</f>
        <v>80.759100000000004</v>
      </c>
      <c r="J12" s="101">
        <f>T13</f>
        <v>84.048599999999993</v>
      </c>
      <c r="K12" s="95">
        <f>P13</f>
        <v>2.5963500000000002</v>
      </c>
      <c r="L12" s="4"/>
      <c r="M12" s="27" t="str">
        <f>lang!B18</f>
        <v>平衡</v>
      </c>
      <c r="N12" s="59">
        <f>M!B9*1</f>
        <v>69.858199999999997</v>
      </c>
      <c r="O12" s="59">
        <f>M!C9*1</f>
        <v>6.87582</v>
      </c>
      <c r="P12" s="59">
        <f>M!D9*1</f>
        <v>9.8425399999999996</v>
      </c>
      <c r="Q12" s="59">
        <f>M!E9*1</f>
        <v>50</v>
      </c>
      <c r="R12" s="59">
        <f>M!F9*1</f>
        <v>56.096400000000003</v>
      </c>
      <c r="S12" s="59">
        <f>M!G9*1</f>
        <v>100</v>
      </c>
      <c r="T12" s="59">
        <f>M!H9*1</f>
        <v>88.604900000000001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4.9106800000000002</v>
      </c>
      <c r="D13" s="102">
        <f>N14</f>
        <v>16.8278</v>
      </c>
      <c r="E13" s="103">
        <f>T14</f>
        <v>20.4908</v>
      </c>
      <c r="F13" s="94">
        <f>P14</f>
        <v>22.623000000000001</v>
      </c>
      <c r="G13" s="52" t="str">
        <f>CONCATENATE(M15,"
(50 ~ 100)")</f>
        <v>自我调节
(50 ~ 100)</v>
      </c>
      <c r="H13" s="101">
        <f>R15</f>
        <v>68.2744</v>
      </c>
      <c r="I13" s="104">
        <f>N15</f>
        <v>75.223799999999997</v>
      </c>
      <c r="J13" s="101">
        <f>T15</f>
        <v>83.698599999999999</v>
      </c>
      <c r="K13" s="95">
        <f>P15</f>
        <v>4.0711899999999996</v>
      </c>
      <c r="L13" s="4"/>
      <c r="M13" s="27" t="str">
        <f>lang!B19</f>
        <v>自信</v>
      </c>
      <c r="N13" s="59">
        <f>M!B10*1</f>
        <v>80.759100000000004</v>
      </c>
      <c r="O13" s="59">
        <f>M!C10*1</f>
        <v>2.0967899999999999</v>
      </c>
      <c r="P13" s="59">
        <f>M!D10*1</f>
        <v>2.5963500000000002</v>
      </c>
      <c r="Q13" s="59">
        <f>M!E10*1</f>
        <v>40</v>
      </c>
      <c r="R13" s="59">
        <f>M!F10*1</f>
        <v>70.771500000000003</v>
      </c>
      <c r="S13" s="59">
        <f>M!G10*1</f>
        <v>100</v>
      </c>
      <c r="T13" s="59">
        <f>M!H10*1</f>
        <v>84.048599999999993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18.2376</v>
      </c>
      <c r="D14" s="106">
        <f>N16</f>
        <v>24.147200000000002</v>
      </c>
      <c r="E14" s="107">
        <f>T16</f>
        <v>36.562600000000003</v>
      </c>
      <c r="F14" s="96">
        <f>P16</f>
        <v>17.0871</v>
      </c>
      <c r="G14" s="112" t="str">
        <f>CONCATENATE(M17,"
(10 ~ 50)")</f>
        <v>神经质
(10 ~ 50)</v>
      </c>
      <c r="H14" s="105">
        <f>R17</f>
        <v>3.1822300000000001</v>
      </c>
      <c r="I14" s="106">
        <f>N17</f>
        <v>41.2605</v>
      </c>
      <c r="J14" s="107">
        <f>T17</f>
        <v>73.500900000000001</v>
      </c>
      <c r="K14" s="97">
        <f>P17</f>
        <v>39.7121</v>
      </c>
      <c r="M14" s="27" t="str">
        <f>lang!B20</f>
        <v>活力</v>
      </c>
      <c r="N14" s="59">
        <f>M!B11*1</f>
        <v>16.8278</v>
      </c>
      <c r="O14" s="59">
        <f>M!C11*1</f>
        <v>3.8069600000000001</v>
      </c>
      <c r="P14" s="59">
        <f>M!D11*1</f>
        <v>22.623000000000001</v>
      </c>
      <c r="Q14" s="59">
        <f>M!E11*1</f>
        <v>10</v>
      </c>
      <c r="R14" s="59">
        <f>M!F11*1</f>
        <v>4.9106800000000002</v>
      </c>
      <c r="S14" s="59">
        <f>M!G11*1</f>
        <v>50</v>
      </c>
      <c r="T14" s="59">
        <f>M!H11*1</f>
        <v>20.4908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75.223799999999997</v>
      </c>
      <c r="O15" s="59">
        <f>M!C12*1</f>
        <v>3.0625</v>
      </c>
      <c r="P15" s="59">
        <f>M!D12*1</f>
        <v>4.0711899999999996</v>
      </c>
      <c r="Q15" s="59">
        <f>M!E12*1</f>
        <v>50</v>
      </c>
      <c r="R15" s="59">
        <f>M!F12*1</f>
        <v>68.2744</v>
      </c>
      <c r="S15" s="59">
        <f>M!G12*1</f>
        <v>100</v>
      </c>
      <c r="T15" s="59">
        <f>M!H12*1</f>
        <v>83.698599999999999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24.147200000000002</v>
      </c>
      <c r="O16" s="59">
        <f>M!C13*1</f>
        <v>4.1260500000000002</v>
      </c>
      <c r="P16" s="59">
        <f>M!D13*1</f>
        <v>17.0871</v>
      </c>
      <c r="Q16" s="59">
        <f>M!E13*1</f>
        <v>10</v>
      </c>
      <c r="R16" s="59">
        <f>M!F13*1</f>
        <v>18.2376</v>
      </c>
      <c r="S16" s="59">
        <f>M!G13*1</f>
        <v>25</v>
      </c>
      <c r="T16" s="59">
        <f>M!H13*1</f>
        <v>36.562600000000003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41.2605</v>
      </c>
      <c r="O17" s="59">
        <f>M!C14*1</f>
        <v>16.385400000000001</v>
      </c>
      <c r="P17" s="59">
        <f>M!D14*1</f>
        <v>39.7121</v>
      </c>
      <c r="Q17" s="59">
        <f>M!E14*1</f>
        <v>10</v>
      </c>
      <c r="R17" s="59">
        <f>M!F14*1</f>
        <v>3.1822300000000001</v>
      </c>
      <c r="S17" s="59">
        <f>M!G14*1</f>
        <v>50</v>
      </c>
      <c r="T17" s="59">
        <f>M!H14*1</f>
        <v>73.500900000000001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60.667225000000002</v>
      </c>
      <c r="O18" s="22">
        <f>N18/(N18+N19+N20)</f>
        <v>0.51476954269581621</v>
      </c>
      <c r="P18" s="65">
        <f>SUM(P12:P15)/4</f>
        <v>9.7832700000000017</v>
      </c>
      <c r="Q18" s="22">
        <f>P18/(P18+P19+P20)</f>
        <v>0.15434547307778793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24.482100000000003</v>
      </c>
      <c r="O19" s="22">
        <f>N19/(N18+N19+N20)</f>
        <v>0.20773390279897</v>
      </c>
      <c r="P19" s="18">
        <f>SUM(P8:P11)/4</f>
        <v>25.202662499999999</v>
      </c>
      <c r="Q19" s="22">
        <f>P19/(P18+P19+P20)</f>
        <v>0.39760906796830958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32.703850000000003</v>
      </c>
      <c r="O20" s="22">
        <f>N20/(N18+N19+N20)</f>
        <v>0.27749655450521382</v>
      </c>
      <c r="P20" s="18">
        <f>(P16+P17)/2</f>
        <v>28.3996</v>
      </c>
      <c r="Q20" s="22">
        <f>P20/(P18+P19+P20)</f>
        <v>0.44804545895390241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-0.19831294594594603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1.287541992092766</v>
      </c>
      <c r="D25" s="44" t="str">
        <f>lang!B11</f>
        <v>频率方差</v>
      </c>
      <c r="E25" s="142">
        <f ca="1">FH!L3</f>
        <v>0.57461865254126998</v>
      </c>
      <c r="F25" s="143"/>
      <c r="G25" s="134" t="str">
        <f>lang!B12</f>
        <v>生理变化率</v>
      </c>
      <c r="H25" s="135"/>
      <c r="I25" s="62" t="str">
        <f ca="1">CONCATENATE(info!M7,"-",info!M8)</f>
        <v>37.3-65.5</v>
      </c>
      <c r="J25" s="42" t="str">
        <f>lang!B13</f>
        <v>千卡l/分钟</v>
      </c>
      <c r="K25" s="41" t="str">
        <f ca="1">CONCATENATE(info!M5,"-",info!M6)</f>
        <v>1.7-3.3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70.210099999999997</v>
      </c>
      <c r="F28" s="164"/>
      <c r="G28" s="178" t="str">
        <f>lang!B33</f>
        <v>稳定性</v>
      </c>
      <c r="H28" s="179"/>
      <c r="I28" s="180"/>
      <c r="J28" s="181">
        <f>M!B19*100</f>
        <v>77.637699999999995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43607.459432870368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14.970499999999998</v>
      </c>
      <c r="O7" s="59">
        <f t="shared" ref="O7:T7" si="2">AG7-X7</f>
        <v>-3.6330799999999996</v>
      </c>
      <c r="P7" s="59">
        <f t="shared" si="2"/>
        <v>-20.902769999999997</v>
      </c>
      <c r="Q7" s="59">
        <f t="shared" si="2"/>
        <v>0</v>
      </c>
      <c r="R7" s="59">
        <f t="shared" si="2"/>
        <v>22.88326</v>
      </c>
      <c r="S7" s="59">
        <f t="shared" si="2"/>
        <v>0</v>
      </c>
      <c r="T7" s="59">
        <f t="shared" si="2"/>
        <v>15.502499999999998</v>
      </c>
      <c r="U7" s="14"/>
      <c r="V7" s="27" t="str">
        <f>M7</f>
        <v>攻击性</v>
      </c>
      <c r="W7" s="59">
        <f>'M1'!B5*1</f>
        <v>24.118500000000001</v>
      </c>
      <c r="X7" s="59">
        <f>'M1'!C5*1</f>
        <v>7.3103499999999997</v>
      </c>
      <c r="Y7" s="59">
        <f>'M1'!D5*1</f>
        <v>30.310199999999998</v>
      </c>
      <c r="Z7" s="59">
        <f>'M1'!E5*1</f>
        <v>20</v>
      </c>
      <c r="AA7" s="59">
        <f>'M1'!F5*1</f>
        <v>8.8093400000000006</v>
      </c>
      <c r="AB7" s="59">
        <f>'M1'!G5*1</f>
        <v>50</v>
      </c>
      <c r="AC7" s="59">
        <f>'M1'!H5*1</f>
        <v>34.814100000000003</v>
      </c>
      <c r="AE7" s="27" t="str">
        <f>V7</f>
        <v>攻击性</v>
      </c>
      <c r="AF7" s="59">
        <f>'M2'!B5*1</f>
        <v>39.088999999999999</v>
      </c>
      <c r="AG7" s="59">
        <f>'M2'!C5*1</f>
        <v>3.67727</v>
      </c>
      <c r="AH7" s="59">
        <f>'M2'!D5*1</f>
        <v>9.4074299999999997</v>
      </c>
      <c r="AI7" s="59">
        <f>'M2'!E5*1</f>
        <v>20</v>
      </c>
      <c r="AJ7" s="59">
        <f>'M2'!F5*1</f>
        <v>31.692599999999999</v>
      </c>
      <c r="AK7" s="59">
        <f>'M2'!G5*1</f>
        <v>50</v>
      </c>
      <c r="AL7" s="59">
        <f>'M2'!H5*1</f>
        <v>50.316600000000001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2.7535999999999987</v>
      </c>
      <c r="O8" s="59">
        <f t="shared" ref="O8:O16" si="5">AG8-X8</f>
        <v>-1.1683699999999999</v>
      </c>
      <c r="P8" s="59">
        <f t="shared" ref="P8:P16" si="6">AH8-Y8</f>
        <v>-5.2837500000000004</v>
      </c>
      <c r="Q8" s="59">
        <f t="shared" ref="Q8:Q16" si="7">AI8-Z8</f>
        <v>0</v>
      </c>
      <c r="R8" s="59">
        <f t="shared" ref="R8:R16" si="8">AJ8-AA8</f>
        <v>6.001100000000001</v>
      </c>
      <c r="S8" s="59">
        <f t="shared" ref="S8:S16" si="9">AK8-AB8</f>
        <v>0</v>
      </c>
      <c r="T8" s="59">
        <f t="shared" ref="T8:T16" si="10">AL8-AC8</f>
        <v>1.2759</v>
      </c>
      <c r="U8" s="15"/>
      <c r="V8" s="27" t="str">
        <f t="shared" ref="V8:V16" si="11">M8</f>
        <v>压力</v>
      </c>
      <c r="W8" s="59">
        <f>'M1'!B6*1</f>
        <v>24.3752</v>
      </c>
      <c r="X8" s="59">
        <f>'M1'!C6*1</f>
        <v>2.3462499999999999</v>
      </c>
      <c r="Y8" s="59">
        <f>'M1'!D6*1</f>
        <v>9.6255600000000001</v>
      </c>
      <c r="Z8" s="59">
        <f>'M1'!E6*1</f>
        <v>20</v>
      </c>
      <c r="AA8" s="59">
        <f>'M1'!F6*1</f>
        <v>19.739999999999998</v>
      </c>
      <c r="AB8" s="59">
        <f>'M1'!G6*1</f>
        <v>40</v>
      </c>
      <c r="AC8" s="59">
        <f>'M1'!H6*1</f>
        <v>29.047799999999999</v>
      </c>
      <c r="AE8" s="27" t="str">
        <f t="shared" ref="AE8:AE16" si="12">V8</f>
        <v>压力</v>
      </c>
      <c r="AF8" s="59">
        <f>'M2'!B6*1</f>
        <v>27.128799999999998</v>
      </c>
      <c r="AG8" s="59">
        <f>'M2'!C6*1</f>
        <v>1.17788</v>
      </c>
      <c r="AH8" s="59">
        <f>'M2'!D6*1</f>
        <v>4.3418099999999997</v>
      </c>
      <c r="AI8" s="59">
        <f>'M2'!E6*1</f>
        <v>20</v>
      </c>
      <c r="AJ8" s="59">
        <f>'M2'!F6*1</f>
        <v>25.741099999999999</v>
      </c>
      <c r="AK8" s="59">
        <f>'M2'!G6*1</f>
        <v>40</v>
      </c>
      <c r="AL8" s="59">
        <f>'M2'!H6*1</f>
        <v>30.323699999999999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22.88326</v>
      </c>
      <c r="D9" s="78">
        <f>N7</f>
        <v>14.970499999999998</v>
      </c>
      <c r="E9" s="79">
        <f>T7</f>
        <v>15.502499999999998</v>
      </c>
      <c r="F9" s="79">
        <f>P7</f>
        <v>-20.902769999999997</v>
      </c>
      <c r="G9" s="80" t="str">
        <f>CONCATENATE(M8,"
(20 ~ 40)")</f>
        <v>压力
(20 ~ 40)</v>
      </c>
      <c r="H9" s="77">
        <f>R8</f>
        <v>6.001100000000001</v>
      </c>
      <c r="I9" s="81">
        <f>N8</f>
        <v>2.7535999999999987</v>
      </c>
      <c r="J9" s="77">
        <f>T8</f>
        <v>1.2759</v>
      </c>
      <c r="K9" s="82">
        <f>P8</f>
        <v>-5.2837500000000004</v>
      </c>
      <c r="L9" s="6"/>
      <c r="M9" s="27" t="str">
        <f>lang!B16</f>
        <v>焦虑</v>
      </c>
      <c r="N9" s="59">
        <f t="shared" si="4"/>
        <v>-1.0396999999999998</v>
      </c>
      <c r="O9" s="59">
        <f t="shared" si="5"/>
        <v>0.97119</v>
      </c>
      <c r="P9" s="59">
        <f t="shared" si="6"/>
        <v>9.9100999999999999</v>
      </c>
      <c r="Q9" s="59">
        <f t="shared" si="7"/>
        <v>0</v>
      </c>
      <c r="R9" s="59">
        <f t="shared" si="8"/>
        <v>-1.0141100000000001</v>
      </c>
      <c r="S9" s="59">
        <f t="shared" si="9"/>
        <v>0</v>
      </c>
      <c r="T9" s="59">
        <f t="shared" si="10"/>
        <v>0.60580000000000211</v>
      </c>
      <c r="U9" s="14"/>
      <c r="V9" s="27" t="str">
        <f t="shared" si="11"/>
        <v>焦虑</v>
      </c>
      <c r="W9" s="59">
        <f>'M1'!B7*1</f>
        <v>14.9978</v>
      </c>
      <c r="X9" s="59">
        <f>'M1'!C7*1</f>
        <v>5.9443999999999999</v>
      </c>
      <c r="Y9" s="59">
        <f>'M1'!D7*1</f>
        <v>39.635100000000001</v>
      </c>
      <c r="Z9" s="59">
        <f>'M1'!E7*1</f>
        <v>15</v>
      </c>
      <c r="AA9" s="59">
        <f>'M1'!F7*1</f>
        <v>3.5999400000000001</v>
      </c>
      <c r="AB9" s="59">
        <f>'M1'!G7*1</f>
        <v>40</v>
      </c>
      <c r="AC9" s="59">
        <f>'M1'!H7*1</f>
        <v>38.084899999999998</v>
      </c>
      <c r="AE9" s="27" t="str">
        <f t="shared" si="12"/>
        <v>焦虑</v>
      </c>
      <c r="AF9" s="59">
        <f>'M2'!B7*1</f>
        <v>13.9581</v>
      </c>
      <c r="AG9" s="59">
        <f>'M2'!C7*1</f>
        <v>6.9155899999999999</v>
      </c>
      <c r="AH9" s="59">
        <f>'M2'!D7*1</f>
        <v>49.545200000000001</v>
      </c>
      <c r="AI9" s="59">
        <f>'M2'!E7*1</f>
        <v>15</v>
      </c>
      <c r="AJ9" s="59">
        <f>'M2'!F7*1</f>
        <v>2.5858300000000001</v>
      </c>
      <c r="AK9" s="59">
        <f>'M2'!G7*1</f>
        <v>40</v>
      </c>
      <c r="AL9" s="59">
        <f>'M2'!H7*1</f>
        <v>38.6907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-1.0141100000000001</v>
      </c>
      <c r="D10" s="51">
        <f>N9</f>
        <v>-1.0396999999999998</v>
      </c>
      <c r="E10" s="53">
        <f>T9</f>
        <v>0.60580000000000211</v>
      </c>
      <c r="F10" s="53">
        <f>P9</f>
        <v>9.9100999999999999</v>
      </c>
      <c r="G10" s="73" t="str">
        <f>CONCATENATE(M10,"
(20 ~ 50)")</f>
        <v>可疑
(20 ~ 50)</v>
      </c>
      <c r="H10" s="24">
        <f>R10</f>
        <v>9.6955999999999989</v>
      </c>
      <c r="I10" s="52">
        <f>N10</f>
        <v>4.4857999999999976</v>
      </c>
      <c r="J10" s="24">
        <f>T10</f>
        <v>7.4472999999999985</v>
      </c>
      <c r="K10" s="25">
        <f>P10</f>
        <v>-8.9185499999999998</v>
      </c>
      <c r="L10" s="4"/>
      <c r="M10" s="27" t="str">
        <f>lang!B17</f>
        <v>可疑</v>
      </c>
      <c r="N10" s="59">
        <f t="shared" si="4"/>
        <v>4.4857999999999976</v>
      </c>
      <c r="O10" s="59">
        <f t="shared" si="5"/>
        <v>-1.6186799999999999</v>
      </c>
      <c r="P10" s="59">
        <f t="shared" si="6"/>
        <v>-8.9185499999999998</v>
      </c>
      <c r="Q10" s="59">
        <f t="shared" si="7"/>
        <v>0</v>
      </c>
      <c r="R10" s="59">
        <f t="shared" si="8"/>
        <v>9.6955999999999989</v>
      </c>
      <c r="S10" s="59">
        <f t="shared" si="9"/>
        <v>0</v>
      </c>
      <c r="T10" s="59">
        <f t="shared" si="10"/>
        <v>7.4472999999999985</v>
      </c>
      <c r="U10" s="14"/>
      <c r="V10" s="27" t="str">
        <f t="shared" si="11"/>
        <v>可疑</v>
      </c>
      <c r="W10" s="59">
        <f>'M1'!B8*1</f>
        <v>22.491900000000001</v>
      </c>
      <c r="X10" s="59">
        <f>'M1'!C8*1</f>
        <v>3.94773</v>
      </c>
      <c r="Y10" s="59">
        <f>'M1'!D8*1</f>
        <v>17.5518</v>
      </c>
      <c r="Z10" s="59">
        <f>'M1'!E8*1</f>
        <v>20</v>
      </c>
      <c r="AA10" s="59">
        <f>'M1'!F8*1</f>
        <v>12.839600000000001</v>
      </c>
      <c r="AB10" s="59">
        <f>'M1'!G8*1</f>
        <v>50</v>
      </c>
      <c r="AC10" s="59">
        <f>'M1'!H8*1</f>
        <v>25.576799999999999</v>
      </c>
      <c r="AE10" s="27" t="str">
        <f t="shared" si="12"/>
        <v>可疑</v>
      </c>
      <c r="AF10" s="59">
        <f>'M2'!B8*1</f>
        <v>26.977699999999999</v>
      </c>
      <c r="AG10" s="59">
        <f>'M2'!C8*1</f>
        <v>2.3290500000000001</v>
      </c>
      <c r="AH10" s="59">
        <f>'M2'!D8*1</f>
        <v>8.6332500000000003</v>
      </c>
      <c r="AI10" s="59">
        <f>'M2'!E8*1</f>
        <v>20</v>
      </c>
      <c r="AJ10" s="59">
        <f>'M2'!F8*1</f>
        <v>22.5352</v>
      </c>
      <c r="AK10" s="59">
        <f>'M2'!G8*1</f>
        <v>50</v>
      </c>
      <c r="AL10" s="59">
        <f>'M2'!H8*1</f>
        <v>33.024099999999997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-10.097899999999996</v>
      </c>
      <c r="D11" s="52">
        <f>N11</f>
        <v>-10.283699999999996</v>
      </c>
      <c r="E11" s="24">
        <f>T11</f>
        <v>-14.083399999999997</v>
      </c>
      <c r="F11" s="24">
        <f>P11</f>
        <v>-1.5433499999999993</v>
      </c>
      <c r="G11" s="73" t="str">
        <f>CONCATENATE(M12,"
(40 ~ 100)")</f>
        <v>自信
(40 ~ 100)</v>
      </c>
      <c r="H11" s="24">
        <f>R12</f>
        <v>6.3074999999999903</v>
      </c>
      <c r="I11" s="52">
        <f>N12</f>
        <v>-0.33729999999999905</v>
      </c>
      <c r="J11" s="24">
        <f>T12</f>
        <v>0.56139999999999191</v>
      </c>
      <c r="K11" s="25">
        <f>P12</f>
        <v>-1.4502200000000001</v>
      </c>
      <c r="L11" s="4"/>
      <c r="M11" s="27" t="str">
        <f>lang!B18</f>
        <v>平衡</v>
      </c>
      <c r="N11" s="59">
        <f t="shared" si="4"/>
        <v>-10.283699999999996</v>
      </c>
      <c r="O11" s="59">
        <f t="shared" si="5"/>
        <v>-1.6914399999999996</v>
      </c>
      <c r="P11" s="59">
        <f t="shared" si="6"/>
        <v>-1.5433499999999993</v>
      </c>
      <c r="Q11" s="59">
        <f t="shared" si="7"/>
        <v>0</v>
      </c>
      <c r="R11" s="59">
        <f t="shared" si="8"/>
        <v>-10.097899999999996</v>
      </c>
      <c r="S11" s="59">
        <f t="shared" si="9"/>
        <v>0</v>
      </c>
      <c r="T11" s="59">
        <f t="shared" si="10"/>
        <v>-14.083399999999997</v>
      </c>
      <c r="U11" s="14"/>
      <c r="V11" s="27" t="str">
        <f t="shared" si="11"/>
        <v>平衡</v>
      </c>
      <c r="W11" s="59">
        <f>'M1'!B9*1</f>
        <v>75.494799999999998</v>
      </c>
      <c r="X11" s="59">
        <f>'M1'!C9*1</f>
        <v>5.0287699999999997</v>
      </c>
      <c r="Y11" s="59">
        <f>'M1'!D9*1</f>
        <v>6.6610899999999997</v>
      </c>
      <c r="Z11" s="59">
        <f>'M1'!E9*1</f>
        <v>50</v>
      </c>
      <c r="AA11" s="59">
        <f>'M1'!F9*1</f>
        <v>66.194299999999998</v>
      </c>
      <c r="AB11" s="59">
        <f>'M1'!G9*1</f>
        <v>100</v>
      </c>
      <c r="AC11" s="59">
        <f>'M1'!H9*1</f>
        <v>88.604900000000001</v>
      </c>
      <c r="AE11" s="27" t="str">
        <f t="shared" si="12"/>
        <v>平衡</v>
      </c>
      <c r="AF11" s="59">
        <f>'M2'!B9*1</f>
        <v>65.211100000000002</v>
      </c>
      <c r="AG11" s="59">
        <f>'M2'!C9*1</f>
        <v>3.3373300000000001</v>
      </c>
      <c r="AH11" s="59">
        <f>'M2'!D9*1</f>
        <v>5.1177400000000004</v>
      </c>
      <c r="AI11" s="59">
        <f>'M2'!E9*1</f>
        <v>50</v>
      </c>
      <c r="AJ11" s="59">
        <f>'M2'!F9*1</f>
        <v>56.096400000000003</v>
      </c>
      <c r="AK11" s="59">
        <f>'M2'!G9*1</f>
        <v>100</v>
      </c>
      <c r="AL11" s="59">
        <f>'M2'!H9*1</f>
        <v>74.521500000000003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10.188220000000001</v>
      </c>
      <c r="D12" s="51">
        <f>N13</f>
        <v>5.1812000000000005</v>
      </c>
      <c r="E12" s="53">
        <f>T13</f>
        <v>3.2213999999999992</v>
      </c>
      <c r="F12" s="53">
        <f>P13</f>
        <v>-16.573029999999999</v>
      </c>
      <c r="G12" s="73" t="str">
        <f>CONCATENATE(M14,"
(50 ~ 100)")</f>
        <v>自我调节
(50 ~ 100)</v>
      </c>
      <c r="H12" s="24">
        <f>R14</f>
        <v>-5.1854000000000013</v>
      </c>
      <c r="I12" s="52">
        <f>N14</f>
        <v>-5.2317000000000036</v>
      </c>
      <c r="J12" s="24">
        <f>T14</f>
        <v>-6.3734999999999928</v>
      </c>
      <c r="K12" s="25">
        <f>P14</f>
        <v>-0.28794000000000031</v>
      </c>
      <c r="L12" s="4"/>
      <c r="M12" s="27" t="str">
        <f>lang!B19</f>
        <v>自信</v>
      </c>
      <c r="N12" s="59">
        <f t="shared" si="4"/>
        <v>-0.33729999999999905</v>
      </c>
      <c r="O12" s="59">
        <f t="shared" si="5"/>
        <v>-1.1794999999999998</v>
      </c>
      <c r="P12" s="59">
        <f t="shared" si="6"/>
        <v>-1.4502200000000001</v>
      </c>
      <c r="Q12" s="59">
        <f t="shared" si="7"/>
        <v>0</v>
      </c>
      <c r="R12" s="59">
        <f t="shared" si="8"/>
        <v>6.3074999999999903</v>
      </c>
      <c r="S12" s="59">
        <f t="shared" si="9"/>
        <v>0</v>
      </c>
      <c r="T12" s="59">
        <f t="shared" si="10"/>
        <v>0.56139999999999191</v>
      </c>
      <c r="U12" s="15"/>
      <c r="V12" s="27" t="str">
        <f t="shared" si="11"/>
        <v>自信</v>
      </c>
      <c r="W12" s="59">
        <f>'M1'!B10*1</f>
        <v>80.937299999999993</v>
      </c>
      <c r="X12" s="59">
        <f>'M1'!C10*1</f>
        <v>2.5481099999999999</v>
      </c>
      <c r="Y12" s="59">
        <f>'M1'!D10*1</f>
        <v>3.14825</v>
      </c>
      <c r="Z12" s="59">
        <f>'M1'!E10*1</f>
        <v>40</v>
      </c>
      <c r="AA12" s="59">
        <f>'M1'!F10*1</f>
        <v>70.771500000000003</v>
      </c>
      <c r="AB12" s="59">
        <f>'M1'!G10*1</f>
        <v>100</v>
      </c>
      <c r="AC12" s="59">
        <f>'M1'!H10*1</f>
        <v>83.487200000000001</v>
      </c>
      <c r="AE12" s="27" t="str">
        <f t="shared" si="12"/>
        <v>自信</v>
      </c>
      <c r="AF12" s="59">
        <f>'M2'!B10*1</f>
        <v>80.599999999999994</v>
      </c>
      <c r="AG12" s="59">
        <f>'M2'!C10*1</f>
        <v>1.3686100000000001</v>
      </c>
      <c r="AH12" s="59">
        <f>'M2'!D10*1</f>
        <v>1.6980299999999999</v>
      </c>
      <c r="AI12" s="59">
        <f>'M2'!E10*1</f>
        <v>40</v>
      </c>
      <c r="AJ12" s="59">
        <f>'M2'!F10*1</f>
        <v>77.078999999999994</v>
      </c>
      <c r="AK12" s="59">
        <f>'M2'!G10*1</f>
        <v>100</v>
      </c>
      <c r="AL12" s="59">
        <f>'M2'!H10*1</f>
        <v>84.048599999999993</v>
      </c>
    </row>
    <row r="13" spans="2:38" ht="25.5" customHeight="1" thickBot="1">
      <c r="B13" s="72" t="str">
        <f>CONCATENATE(M15,"
(10 ~ 25)")</f>
        <v>抑郁
(10 ~ 25)</v>
      </c>
      <c r="C13" s="54">
        <f>R15</f>
        <v>2.6905999999999999</v>
      </c>
      <c r="D13" s="55">
        <f>N15</f>
        <v>3.8524999999999991</v>
      </c>
      <c r="E13" s="56">
        <f>T15</f>
        <v>-2.1027000000000058</v>
      </c>
      <c r="F13" s="56">
        <f>P15</f>
        <v>-4.206999999999999</v>
      </c>
      <c r="G13" s="74" t="str">
        <f>CONCATENATE(M16,"
(10 ~ 50)")</f>
        <v>神经质
(10 ~ 50)</v>
      </c>
      <c r="H13" s="54">
        <f>R16</f>
        <v>-0.35041999999999973</v>
      </c>
      <c r="I13" s="55">
        <f>N16</f>
        <v>-4.4232999999999976</v>
      </c>
      <c r="J13" s="56">
        <f>T16</f>
        <v>-32.155700000000003</v>
      </c>
      <c r="K13" s="57">
        <f>P16</f>
        <v>4.4700000000005957E-2</v>
      </c>
      <c r="M13" s="27" t="str">
        <f>lang!B20</f>
        <v>活力</v>
      </c>
      <c r="N13" s="59">
        <f t="shared" si="4"/>
        <v>5.1812000000000005</v>
      </c>
      <c r="O13" s="59">
        <f t="shared" si="5"/>
        <v>-1.83809</v>
      </c>
      <c r="P13" s="59">
        <f t="shared" si="6"/>
        <v>-16.573029999999999</v>
      </c>
      <c r="Q13" s="59">
        <f t="shared" si="7"/>
        <v>0</v>
      </c>
      <c r="R13" s="59">
        <f t="shared" si="8"/>
        <v>10.188220000000001</v>
      </c>
      <c r="S13" s="59">
        <f t="shared" si="9"/>
        <v>0</v>
      </c>
      <c r="T13" s="59">
        <f t="shared" si="10"/>
        <v>3.2213999999999992</v>
      </c>
      <c r="U13" s="14"/>
      <c r="V13" s="27" t="str">
        <f t="shared" si="11"/>
        <v>活力</v>
      </c>
      <c r="W13" s="59">
        <f>'M1'!B11*1</f>
        <v>13.4191</v>
      </c>
      <c r="X13" s="59">
        <f>'M1'!C11*1</f>
        <v>3.22329</v>
      </c>
      <c r="Y13" s="59">
        <f>'M1'!D11*1</f>
        <v>24.020199999999999</v>
      </c>
      <c r="Z13" s="59">
        <f>'M1'!E11*1</f>
        <v>10</v>
      </c>
      <c r="AA13" s="59">
        <f>'M1'!F11*1</f>
        <v>4.9106800000000002</v>
      </c>
      <c r="AB13" s="59">
        <f>'M1'!G11*1</f>
        <v>50</v>
      </c>
      <c r="AC13" s="59">
        <f>'M1'!H11*1</f>
        <v>17.269400000000001</v>
      </c>
      <c r="AE13" s="27" t="str">
        <f t="shared" si="12"/>
        <v>活力</v>
      </c>
      <c r="AF13" s="59">
        <f>'M2'!B11*1</f>
        <v>18.600300000000001</v>
      </c>
      <c r="AG13" s="59">
        <f>'M2'!C11*1</f>
        <v>1.3852</v>
      </c>
      <c r="AH13" s="59">
        <f>'M2'!D11*1</f>
        <v>7.4471699999999998</v>
      </c>
      <c r="AI13" s="59">
        <f>'M2'!E11*1</f>
        <v>10</v>
      </c>
      <c r="AJ13" s="59">
        <f>'M2'!F11*1</f>
        <v>15.0989</v>
      </c>
      <c r="AK13" s="59">
        <f>'M2'!G11*1</f>
        <v>50</v>
      </c>
      <c r="AL13" s="59">
        <f>'M2'!H11*1</f>
        <v>20.4908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-5.2317000000000036</v>
      </c>
      <c r="O14" s="59">
        <f t="shared" si="5"/>
        <v>-0.34331</v>
      </c>
      <c r="P14" s="59">
        <f t="shared" si="6"/>
        <v>-0.28794000000000031</v>
      </c>
      <c r="Q14" s="59">
        <f t="shared" si="7"/>
        <v>0</v>
      </c>
      <c r="R14" s="59">
        <f t="shared" si="8"/>
        <v>-5.1854000000000013</v>
      </c>
      <c r="S14" s="59">
        <f t="shared" si="9"/>
        <v>0</v>
      </c>
      <c r="T14" s="59">
        <f t="shared" si="10"/>
        <v>-6.3734999999999928</v>
      </c>
      <c r="U14" s="14"/>
      <c r="V14" s="27" t="str">
        <f t="shared" si="11"/>
        <v>自我调节</v>
      </c>
      <c r="W14" s="59">
        <f>'M1'!B12*1</f>
        <v>78.1995</v>
      </c>
      <c r="X14" s="59">
        <f>'M1'!C12*1</f>
        <v>1.99105</v>
      </c>
      <c r="Y14" s="59">
        <f>'M1'!D12*1</f>
        <v>2.5461200000000002</v>
      </c>
      <c r="Z14" s="59">
        <f>'M1'!E12*1</f>
        <v>50</v>
      </c>
      <c r="AA14" s="59">
        <f>'M1'!F12*1</f>
        <v>73.459800000000001</v>
      </c>
      <c r="AB14" s="59">
        <f>'M1'!G12*1</f>
        <v>100</v>
      </c>
      <c r="AC14" s="59">
        <f>'M1'!H12*1</f>
        <v>83.698599999999999</v>
      </c>
      <c r="AE14" s="27" t="str">
        <f t="shared" si="12"/>
        <v>自我调节</v>
      </c>
      <c r="AF14" s="59">
        <f>'M2'!B12*1</f>
        <v>72.967799999999997</v>
      </c>
      <c r="AG14" s="59">
        <f>'M2'!C12*1</f>
        <v>1.64774</v>
      </c>
      <c r="AH14" s="59">
        <f>'M2'!D12*1</f>
        <v>2.2581799999999999</v>
      </c>
      <c r="AI14" s="59">
        <f>'M2'!E12*1</f>
        <v>50</v>
      </c>
      <c r="AJ14" s="59">
        <f>'M2'!F12*1</f>
        <v>68.2744</v>
      </c>
      <c r="AK14" s="59">
        <f>'M2'!G12*1</f>
        <v>100</v>
      </c>
      <c r="AL14" s="59">
        <f>'M2'!H12*1</f>
        <v>77.325100000000006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3.8524999999999991</v>
      </c>
      <c r="O15" s="59">
        <f t="shared" si="5"/>
        <v>-0.44233000000000011</v>
      </c>
      <c r="P15" s="59">
        <f t="shared" si="6"/>
        <v>-4.206999999999999</v>
      </c>
      <c r="Q15" s="59">
        <f t="shared" si="7"/>
        <v>0</v>
      </c>
      <c r="R15" s="59">
        <f t="shared" si="8"/>
        <v>2.6905999999999999</v>
      </c>
      <c r="S15" s="59">
        <f t="shared" si="9"/>
        <v>0</v>
      </c>
      <c r="T15" s="59">
        <f t="shared" si="10"/>
        <v>-2.1027000000000058</v>
      </c>
      <c r="U15" s="14"/>
      <c r="V15" s="27" t="str">
        <f t="shared" si="11"/>
        <v>抑郁</v>
      </c>
      <c r="W15" s="59">
        <f>'M1'!B13*1</f>
        <v>22.8673</v>
      </c>
      <c r="X15" s="59">
        <f>'M1'!C13*1</f>
        <v>4.04678</v>
      </c>
      <c r="Y15" s="59">
        <f>'M1'!D13*1</f>
        <v>17.6968</v>
      </c>
      <c r="Z15" s="59">
        <f>'M1'!E13*1</f>
        <v>10</v>
      </c>
      <c r="AA15" s="59">
        <f>'M1'!F13*1</f>
        <v>18.2376</v>
      </c>
      <c r="AB15" s="59">
        <f>'M1'!G13*1</f>
        <v>25</v>
      </c>
      <c r="AC15" s="59">
        <f>'M1'!H13*1</f>
        <v>36.562600000000003</v>
      </c>
      <c r="AE15" s="27" t="str">
        <f t="shared" si="12"/>
        <v>抑郁</v>
      </c>
      <c r="AF15" s="59">
        <f>'M2'!B13*1</f>
        <v>26.719799999999999</v>
      </c>
      <c r="AG15" s="59">
        <f>'M2'!C13*1</f>
        <v>3.6044499999999999</v>
      </c>
      <c r="AH15" s="59">
        <f>'M2'!D13*1</f>
        <v>13.489800000000001</v>
      </c>
      <c r="AI15" s="59">
        <f>'M2'!E13*1</f>
        <v>10</v>
      </c>
      <c r="AJ15" s="59">
        <f>'M2'!F13*1</f>
        <v>20.9282</v>
      </c>
      <c r="AK15" s="59">
        <f>'M2'!G13*1</f>
        <v>25</v>
      </c>
      <c r="AL15" s="59">
        <f>'M2'!H13*1</f>
        <v>34.459899999999998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-4.4232999999999976</v>
      </c>
      <c r="O16" s="59">
        <f t="shared" si="5"/>
        <v>-1.8279999999999976</v>
      </c>
      <c r="P16" s="59">
        <f t="shared" si="6"/>
        <v>4.4700000000005957E-2</v>
      </c>
      <c r="Q16" s="59">
        <f t="shared" si="7"/>
        <v>0</v>
      </c>
      <c r="R16" s="59">
        <f t="shared" si="8"/>
        <v>-0.35041999999999973</v>
      </c>
      <c r="S16" s="59">
        <f t="shared" si="9"/>
        <v>0</v>
      </c>
      <c r="T16" s="59">
        <f t="shared" si="10"/>
        <v>-32.155700000000003</v>
      </c>
      <c r="U16" s="15"/>
      <c r="V16" s="27" t="str">
        <f t="shared" si="11"/>
        <v>神经质</v>
      </c>
      <c r="W16" s="59">
        <f>'M1'!B14*1</f>
        <v>40.467799999999997</v>
      </c>
      <c r="X16" s="59">
        <f>'M1'!C14*1</f>
        <v>16.871099999999998</v>
      </c>
      <c r="Y16" s="59">
        <f>'M1'!D14*1</f>
        <v>41.690199999999997</v>
      </c>
      <c r="Z16" s="59">
        <f>'M1'!E14*1</f>
        <v>10</v>
      </c>
      <c r="AA16" s="59">
        <f>'M1'!F14*1</f>
        <v>3.5326499999999998</v>
      </c>
      <c r="AB16" s="59">
        <f>'M1'!G14*1</f>
        <v>50</v>
      </c>
      <c r="AC16" s="59">
        <f>'M1'!H14*1</f>
        <v>73.500900000000001</v>
      </c>
      <c r="AE16" s="27" t="str">
        <f t="shared" si="12"/>
        <v>神经质</v>
      </c>
      <c r="AF16" s="59">
        <f>'M2'!B14*1</f>
        <v>36.044499999999999</v>
      </c>
      <c r="AG16" s="59">
        <f>'M2'!C14*1</f>
        <v>15.043100000000001</v>
      </c>
      <c r="AH16" s="59">
        <f>'M2'!D14*1</f>
        <v>41.734900000000003</v>
      </c>
      <c r="AI16" s="59">
        <f>'M2'!E14*1</f>
        <v>10</v>
      </c>
      <c r="AJ16" s="59">
        <f>'M2'!F14*1</f>
        <v>3.1822300000000001</v>
      </c>
      <c r="AK16" s="59">
        <f>'M2'!G14*1</f>
        <v>50</v>
      </c>
      <c r="AL16" s="59">
        <f>'M2'!H14*1</f>
        <v>41.345199999999998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-2.6678749999999996</v>
      </c>
      <c r="O17" s="22">
        <f>N17/(N17+N18+N19)</f>
        <v>-1.1404708723856749</v>
      </c>
      <c r="P17" s="65">
        <f>SUM(P11:P14)/4</f>
        <v>-4.9636349999999991</v>
      </c>
      <c r="Q17" s="22">
        <f>P17/(P17+P18+P19)</f>
        <v>0.37198821675902422</v>
      </c>
      <c r="R17" s="14"/>
      <c r="S17" s="14"/>
      <c r="T17" s="14"/>
      <c r="U17" s="14"/>
      <c r="V17" s="21" t="str">
        <f>M17</f>
        <v>Positive</v>
      </c>
      <c r="W17" s="65">
        <f>SUM(W11:W14)/4</f>
        <v>62.012675000000002</v>
      </c>
      <c r="X17" s="22">
        <f>W17/(W17+W18+W19)</f>
        <v>0.53841629001509217</v>
      </c>
      <c r="Y17" s="65">
        <f>SUM(Y11:Y14)/4</f>
        <v>9.0939149999999991</v>
      </c>
      <c r="Z17" s="22">
        <f>Y17/(Y17+Y18+Y19)</f>
        <v>0.14419203819111029</v>
      </c>
      <c r="AA17" s="14"/>
      <c r="AB17" s="14"/>
      <c r="AC17" s="14"/>
      <c r="AE17" s="21" t="str">
        <f>V17</f>
        <v>Positive</v>
      </c>
      <c r="AF17" s="65">
        <f>SUM(AF11:AF14)/4</f>
        <v>59.344800000000006</v>
      </c>
      <c r="AG17" s="22">
        <f>AF17/(AF17+AF18+AF19)</f>
        <v>0.50499615582134594</v>
      </c>
      <c r="AH17" s="65">
        <f>SUM(AH11:AH14)/4</f>
        <v>4.13028</v>
      </c>
      <c r="AI17" s="22">
        <f>AH17/(AH17+AH18+AH19)</f>
        <v>8.3063190965871433E-2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5.2925499999999985</v>
      </c>
      <c r="O18" s="22">
        <f>N18/(N17+N18+N19)</f>
        <v>2.2624744846159595</v>
      </c>
      <c r="P18" s="18">
        <f>SUM(P7:P10)/4</f>
        <v>-6.2987424999999995</v>
      </c>
      <c r="Q18" s="22">
        <f>P18/(P17+P18+P19)</f>
        <v>0.47204477976307246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21.495850000000001</v>
      </c>
      <c r="X18" s="22">
        <f>W18/(W17+W18+W19)</f>
        <v>0.18663468085711379</v>
      </c>
      <c r="Y18" s="18">
        <f>SUM(Y7:Y10)/4</f>
        <v>24.280665000000003</v>
      </c>
      <c r="Z18" s="22">
        <f>Y18/(Y17+Y18+Y19)</f>
        <v>0.38499134585990252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26.788399999999999</v>
      </c>
      <c r="AG18" s="22">
        <f>AF18/(AF17+AF18+AF19)</f>
        <v>0.22795660311610355</v>
      </c>
      <c r="AH18" s="18">
        <f>SUM(AH7:AH10)/4</f>
        <v>17.9819225</v>
      </c>
      <c r="AI18" s="22">
        <f>AH18/(AH17+AH18+AH19)</f>
        <v>0.36163065519795273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-0.28539999999999921</v>
      </c>
      <c r="O19" s="22">
        <f>N19/(N17+N18+N19)</f>
        <v>-0.12200361223028469</v>
      </c>
      <c r="P19" s="18">
        <f>(P15+P16)/2</f>
        <v>-2.0811499999999965</v>
      </c>
      <c r="Q19" s="22">
        <f>P19/(P17+P18+P19)</f>
        <v>0.15596700347790321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31.667549999999999</v>
      </c>
      <c r="X19" s="22">
        <f>W19/(W17+W18+W19)</f>
        <v>0.27494902912779412</v>
      </c>
      <c r="Y19" s="18">
        <f>(Y15+Y16)/2</f>
        <v>29.6935</v>
      </c>
      <c r="Z19" s="22">
        <f>Y19/(Y17+Y18+Y19)</f>
        <v>0.47081661594898716</v>
      </c>
      <c r="AA19" s="14"/>
      <c r="AB19" s="14"/>
      <c r="AC19" s="14"/>
      <c r="AE19" s="21" t="str">
        <f t="shared" si="14"/>
        <v>Physiological</v>
      </c>
      <c r="AF19" s="18">
        <f>(AF15+AF16)/2</f>
        <v>31.382149999999999</v>
      </c>
      <c r="AG19" s="22">
        <f>AF19/(AF17+AF18+AF19)</f>
        <v>0.26704724106255057</v>
      </c>
      <c r="AH19" s="18">
        <f>(AH15+AH16)/2</f>
        <v>27.612350000000003</v>
      </c>
      <c r="AI19" s="22">
        <f>AH19/(AH17+AH18+AH19)</f>
        <v>0.55530615383617588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1.03/1.48</v>
      </c>
      <c r="D24" s="44" t="str">
        <f>lang!B11</f>
        <v>频率方差</v>
      </c>
      <c r="E24" s="142" t="str">
        <f ca="1">CONCATENATE(ROUND('FH1'!L3,2),"/",ROUND('FH2'!L3,2))</f>
        <v>0.46/0.57</v>
      </c>
      <c r="F24" s="143"/>
      <c r="G24" s="134" t="str">
        <f>lang!B12</f>
        <v>生理变化率</v>
      </c>
      <c r="H24" s="135"/>
      <c r="I24" s="62" t="str">
        <f ca="1">CONCATENATE(info!M7,"-",info!M8)</f>
        <v>37.3-65.5</v>
      </c>
      <c r="J24" s="42" t="str">
        <f>lang!B13</f>
        <v>千卡l/分钟</v>
      </c>
      <c r="K24" s="41" t="str">
        <f ca="1">CONCATENATE(info!M5,"-",info!M6)</f>
        <v>1.7-3.3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18.952999999999996</v>
      </c>
      <c r="F27" s="164"/>
      <c r="G27" s="178" t="str">
        <f>lang!B33</f>
        <v>稳定性</v>
      </c>
      <c r="H27" s="179"/>
      <c r="I27" s="180"/>
      <c r="J27" s="181">
        <f>dM!B19*100</f>
        <v>15.947299999999998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-0.99843634779436319</v>
      </c>
      <c r="C2">
        <f t="array" aca="1" ref="C2" ca="1">CORREL(FT_E02,FT_PH02)</f>
        <v>-0.97753725919924317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1.6952800000000001</v>
      </c>
      <c r="G2" s="61">
        <f>IF(FT!B2&lt;&gt;"",FT!B2*100,"")</f>
        <v>65.486999999999995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1.7466899999999999</v>
      </c>
      <c r="G3" s="61">
        <f>IF(FT!B3&lt;&gt;"",FT!B3*100,"")</f>
        <v>64.917400000000001</v>
      </c>
      <c r="H3" s="61">
        <f t="shared" ref="H3:H66" si="1">(IF(F3&lt;&gt;"",1,""))</f>
        <v>1</v>
      </c>
      <c r="I3" t="str">
        <f>IF(FT!B3&lt;&gt;"",FT!E3,"")</f>
        <v>1 [0.406807]</v>
      </c>
      <c r="J3">
        <f>IF(FT!B3&lt;&gt;"",FT!C3,"")</f>
        <v>0.40680699999999997</v>
      </c>
      <c r="K3" t="s">
        <v>52</v>
      </c>
      <c r="L3">
        <f>SUM(H2:H2005)</f>
        <v>74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0.52976481081081073</v>
      </c>
      <c r="V3">
        <f ca="1">AVERAGE(OFFSET(FT!B2,info!$L$3/2,0,info!$L$3/2,1))</f>
        <v>0.39936067567567562</v>
      </c>
      <c r="W3">
        <f ca="1">AVERAGE(OFFSET(FT!A2,0,0,info!$L$3/2,1))</f>
        <v>0.243941054054054</v>
      </c>
      <c r="X3">
        <f ca="1">AVERAGE(OFFSET(FT!A2,info!$L$3/2,0,info!$L$3/2,1))</f>
        <v>0.31184986486486493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1.7974000000000001</v>
      </c>
      <c r="G4" s="61">
        <f>IF(FT!B4&lt;&gt;"",FT!B4*100,"")</f>
        <v>64.328000000000003</v>
      </c>
      <c r="H4" s="61">
        <f t="shared" si="1"/>
        <v>1</v>
      </c>
      <c r="I4" t="str">
        <f>IF(FT!B4&lt;&gt;"",FT!E4,"")</f>
        <v>1 [0.812769]</v>
      </c>
      <c r="J4">
        <f>IF(FT!B4&lt;&gt;"",FT!C4,"")</f>
        <v>0.81276899999999996</v>
      </c>
      <c r="O4">
        <f>O3+1</f>
        <v>1</v>
      </c>
      <c r="P4">
        <v>0</v>
      </c>
      <c r="Q4">
        <f>IF(R4=1998,0,R4)</f>
        <v>36</v>
      </c>
      <c r="R4">
        <f t="array" ref="R4">MAX(IF(ft_nq=O4,row_n))</f>
        <v>36</v>
      </c>
      <c r="S4">
        <f>Q4-P4+1</f>
        <v>37</v>
      </c>
      <c r="U4">
        <f>MAX(FT!C2:C4000)/4</f>
        <v>7.4263750000000002</v>
      </c>
      <c r="V4">
        <f>U4*3</f>
        <v>22.279125000000001</v>
      </c>
      <c r="W4">
        <f>U4</f>
        <v>7.4263750000000002</v>
      </c>
      <c r="X4">
        <f>V4</f>
        <v>22.279125000000001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1.8471099999999998</v>
      </c>
      <c r="G5" s="61">
        <f>IF(FT!B5&lt;&gt;"",FT!B5*100,"")</f>
        <v>63.770800000000008</v>
      </c>
      <c r="H5" s="61">
        <f t="shared" si="1"/>
        <v>1</v>
      </c>
      <c r="I5" t="str">
        <f>IF(FT!B5&lt;&gt;"",FT!E5,"")</f>
        <v>1 [1.212418]</v>
      </c>
      <c r="J5">
        <f>IF(FT!B5&lt;&gt;"",FT!C5,"")</f>
        <v>1.2124200000000001</v>
      </c>
      <c r="K5" t="s">
        <v>53</v>
      </c>
      <c r="L5" s="63">
        <f ca="1">MIN(FT_E)</f>
        <v>1.6952800000000001</v>
      </c>
      <c r="M5" s="63">
        <f ca="1">ROUND(L5,1)</f>
        <v>1.7</v>
      </c>
      <c r="O5">
        <f t="shared" ref="O5:O27" si="4">O4+1</f>
        <v>2</v>
      </c>
      <c r="P5">
        <f>IF(OR(R5=1998,R5=0),0,Q4)</f>
        <v>36</v>
      </c>
      <c r="Q5">
        <f>IF(R5=1998,0,R5)</f>
        <v>73</v>
      </c>
      <c r="R5">
        <f t="array" ref="R5">MAX(IF(ft_nq=O5,row_n))</f>
        <v>73</v>
      </c>
      <c r="S5">
        <f t="shared" ref="S5:S27" si="5">Q5-P5+1</f>
        <v>38</v>
      </c>
      <c r="U5">
        <f ca="1">U3*100</f>
        <v>52.976481081081076</v>
      </c>
      <c r="V5">
        <f ca="1">V3*100</f>
        <v>39.936067567567562</v>
      </c>
      <c r="W5">
        <f ca="1">W3*10</f>
        <v>2.43941054054054</v>
      </c>
      <c r="X5">
        <f ca="1">X3*10</f>
        <v>3.1184986486486492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1.89659</v>
      </c>
      <c r="G6" s="61">
        <f>IF(FT!B6&lt;&gt;"",FT!B6*100,"")</f>
        <v>63.130499999999998</v>
      </c>
      <c r="H6" s="61">
        <f t="shared" si="1"/>
        <v>1</v>
      </c>
      <c r="I6" t="str">
        <f>IF(FT!B6&lt;&gt;"",FT!E6,"")</f>
        <v>1 [1.625603]</v>
      </c>
      <c r="J6">
        <f>IF(FT!B6&lt;&gt;"",FT!C6,"")</f>
        <v>1.6255999999999999</v>
      </c>
      <c r="K6" t="s">
        <v>54</v>
      </c>
      <c r="L6" s="63">
        <f ca="1">MAX(FT_E)</f>
        <v>3.2868900000000001</v>
      </c>
      <c r="M6" s="63">
        <f ca="1">ROUND(L6,1)</f>
        <v>3.3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1.9436600000000002</v>
      </c>
      <c r="G7" s="61">
        <f>IF(FT!B7&lt;&gt;"",FT!B7*100,"")</f>
        <v>62.459900000000005</v>
      </c>
      <c r="H7" s="61">
        <f t="shared" si="1"/>
        <v>1</v>
      </c>
      <c r="I7" t="str">
        <f>IF(FT!B7&lt;&gt;"",FT!E7,"")</f>
        <v>1 [2.032948]</v>
      </c>
      <c r="J7">
        <f>IF(FT!B7&lt;&gt;"",FT!C7,"")</f>
        <v>2.03295</v>
      </c>
      <c r="K7" t="s">
        <v>55</v>
      </c>
      <c r="L7" s="63">
        <f ca="1">MIN(FT_PH)</f>
        <v>37.258400000000002</v>
      </c>
      <c r="M7" s="63">
        <f ca="1">ROUND(L7,1)</f>
        <v>37.299999999999997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884</v>
      </c>
      <c r="D8" s="61">
        <f>FH!B8*1</f>
        <v>884</v>
      </c>
      <c r="E8">
        <f t="shared" si="3"/>
        <v>6</v>
      </c>
      <c r="F8" s="61">
        <f>IF(FT!A8&lt;&gt;"",FT!A8*10,"")</f>
        <v>1.99041</v>
      </c>
      <c r="G8" s="61">
        <f>IF(FT!B8&lt;&gt;"",FT!B8*100,"")</f>
        <v>61.679200000000002</v>
      </c>
      <c r="H8" s="61">
        <f t="shared" si="1"/>
        <v>1</v>
      </c>
      <c r="I8" t="str">
        <f>IF(FT!B8&lt;&gt;"",FT!E8,"")</f>
        <v>1 [2.436377]</v>
      </c>
      <c r="J8">
        <f>IF(FT!B8&lt;&gt;"",FT!C8,"")</f>
        <v>2.4363800000000002</v>
      </c>
      <c r="K8" t="s">
        <v>56</v>
      </c>
      <c r="L8" s="63">
        <f ca="1">MAX(FT_PH)</f>
        <v>65.486999999999995</v>
      </c>
      <c r="M8" s="63">
        <f ca="1">ROUND(L8,1)</f>
        <v>65.5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2.0398000000000001</v>
      </c>
      <c r="G9" s="61">
        <f>IF(FT!B9&lt;&gt;"",FT!B9*100,"")</f>
        <v>60.788699999999999</v>
      </c>
      <c r="H9" s="61">
        <f t="shared" si="1"/>
        <v>1</v>
      </c>
      <c r="I9" t="str">
        <f>IF(FT!B9&lt;&gt;"",FT!E9,"")</f>
        <v>1 [2.843317]</v>
      </c>
      <c r="J9">
        <f>IF(FT!B9&lt;&gt;"",FT!C9,"")</f>
        <v>2.8433199999999998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2306</v>
      </c>
      <c r="D10" s="61">
        <f>FH!B10*1</f>
        <v>2306</v>
      </c>
      <c r="E10">
        <f t="shared" si="3"/>
        <v>8</v>
      </c>
      <c r="F10" s="61">
        <f>IF(FT!A10&lt;&gt;"",FT!A10*10,"")</f>
        <v>2.0884200000000002</v>
      </c>
      <c r="G10" s="61">
        <f>IF(FT!B10&lt;&gt;"",FT!B10*100,"")</f>
        <v>59.884700000000002</v>
      </c>
      <c r="H10" s="61">
        <f t="shared" si="1"/>
        <v>1</v>
      </c>
      <c r="I10" t="str">
        <f>IF(FT!B10&lt;&gt;"",FT!E10,"")</f>
        <v>1 [3.247344]</v>
      </c>
      <c r="J10">
        <f>IF(FT!B10&lt;&gt;"",FT!C10,"")</f>
        <v>3.2473399999999999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2.1368999999999998</v>
      </c>
      <c r="G11" s="61">
        <f>IF(FT!B11&lt;&gt;"",FT!B11*100,"")</f>
        <v>58.965800000000002</v>
      </c>
      <c r="H11" s="61">
        <f t="shared" si="1"/>
        <v>1</v>
      </c>
      <c r="I11" t="str">
        <f>IF(FT!B11&lt;&gt;"",FT!E11,"")</f>
        <v>1 [3.653133]</v>
      </c>
      <c r="J11">
        <f>IF(FT!B11&lt;&gt;"",FT!C11,"")</f>
        <v>3.65313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2.1844999999999999</v>
      </c>
      <c r="G12" s="61">
        <f>IF(FT!B12&lt;&gt;"",FT!B12*100,"")</f>
        <v>58.0623</v>
      </c>
      <c r="H12" s="61">
        <f t="shared" si="1"/>
        <v>1</v>
      </c>
      <c r="I12" t="str">
        <f>IF(FT!B12&lt;&gt;"",FT!E12,"")</f>
        <v>1 [4.060114]</v>
      </c>
      <c r="J12">
        <f>IF(FT!B12&lt;&gt;"",FT!C12,"")</f>
        <v>4.0601099999999999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4438</v>
      </c>
      <c r="D13" s="61">
        <f>FH!B13*1</f>
        <v>4438</v>
      </c>
      <c r="E13">
        <f t="shared" si="3"/>
        <v>11</v>
      </c>
      <c r="F13" s="61">
        <f>IF(FT!A13&lt;&gt;"",FT!A13*10,"")</f>
        <v>2.22953</v>
      </c>
      <c r="G13" s="61">
        <f>IF(FT!B13&lt;&gt;"",FT!B13*100,"")</f>
        <v>57.207300000000004</v>
      </c>
      <c r="H13" s="61">
        <f t="shared" si="1"/>
        <v>1</v>
      </c>
      <c r="I13" t="str">
        <f>IF(FT!B13&lt;&gt;"",FT!E13,"")</f>
        <v>1 [4.469114]</v>
      </c>
      <c r="J13">
        <f>IF(FT!B13&lt;&gt;"",FT!C13,"")</f>
        <v>4.4691099999999997</v>
      </c>
      <c r="L13" s="67">
        <f t="array" ref="L13">MAX(IF(ft_nq=2,row_n))</f>
        <v>73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2.2732999999999999</v>
      </c>
      <c r="G14" s="61">
        <f>IF(FT!B14&lt;&gt;"",FT!B14*100,"")</f>
        <v>56.357599999999998</v>
      </c>
      <c r="H14" s="61">
        <f t="shared" si="1"/>
        <v>1</v>
      </c>
      <c r="I14" t="str">
        <f>IF(FT!B14&lt;&gt;"",FT!E14,"")</f>
        <v>1 [4.873863]</v>
      </c>
      <c r="J14">
        <f>IF(FT!B14&lt;&gt;"",FT!C14,"")</f>
        <v>4.8738599999999996</v>
      </c>
      <c r="L14">
        <f>L13+1</f>
        <v>74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9608</v>
      </c>
      <c r="D15" s="61">
        <f>FH!B15*1</f>
        <v>9608</v>
      </c>
      <c r="E15">
        <f t="shared" si="3"/>
        <v>13</v>
      </c>
      <c r="F15" s="61">
        <f>IF(FT!A15&lt;&gt;"",FT!A15*10,"")</f>
        <v>2.3147899999999999</v>
      </c>
      <c r="G15" s="61">
        <f>IF(FT!B15&lt;&gt;"",FT!B15*100,"")</f>
        <v>55.588400000000007</v>
      </c>
      <c r="H15" s="61">
        <f t="shared" si="1"/>
        <v>1</v>
      </c>
      <c r="I15" t="str">
        <f>IF(FT!B15&lt;&gt;"",FT!E15,"")</f>
        <v>1 [5.280034]</v>
      </c>
      <c r="J15">
        <f>IF(FT!B15&lt;&gt;"",FT!C15,"")</f>
        <v>5.28003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2.3542399999999999</v>
      </c>
      <c r="G16" s="61">
        <f>IF(FT!B16&lt;&gt;"",FT!B16*100,"")</f>
        <v>54.883099999999999</v>
      </c>
      <c r="H16" s="61">
        <f t="shared" si="1"/>
        <v>1</v>
      </c>
      <c r="I16" t="str">
        <f>IF(FT!B16&lt;&gt;"",FT!E16,"")</f>
        <v>1 [5.688715]</v>
      </c>
      <c r="J16">
        <f>IF(FT!B16&lt;&gt;"",FT!C16,"")</f>
        <v>5.68872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2.3929100000000001</v>
      </c>
      <c r="G17" s="61">
        <f>IF(FT!B17&lt;&gt;"",FT!B17*100,"")</f>
        <v>54.105400000000003</v>
      </c>
      <c r="H17" s="61">
        <f t="shared" si="1"/>
        <v>1</v>
      </c>
      <c r="I17" t="str">
        <f>IF(FT!B17&lt;&gt;"",FT!E17,"")</f>
        <v>1 [6.089720]</v>
      </c>
      <c r="J17">
        <f>IF(FT!B17&lt;&gt;"",FT!C17,"")</f>
        <v>6.0897199999999998</v>
      </c>
      <c r="L17">
        <f>L3+1</f>
        <v>75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24595</v>
      </c>
      <c r="D18" s="61">
        <f>FH!B18*1</f>
        <v>24595</v>
      </c>
      <c r="E18">
        <f t="shared" si="3"/>
        <v>16</v>
      </c>
      <c r="F18" s="61">
        <f>IF(FT!A18&lt;&gt;"",FT!A18*10,"")</f>
        <v>2.42</v>
      </c>
      <c r="G18" s="61">
        <f>IF(FT!B18&lt;&gt;"",FT!B18*100,"")</f>
        <v>53.5396</v>
      </c>
      <c r="H18" s="61">
        <f t="shared" si="1"/>
        <v>1</v>
      </c>
      <c r="I18" t="str">
        <f>IF(FT!B18&lt;&gt;"",FT!E18,"")</f>
        <v>1 [6.499652]</v>
      </c>
      <c r="J18">
        <f>IF(FT!B18&lt;&gt;"",FT!C18,"")</f>
        <v>6.4996499999999999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2.4707399999999997</v>
      </c>
      <c r="G19" s="61">
        <f>IF(FT!B19&lt;&gt;"",FT!B19*100,"")</f>
        <v>52.400300000000001</v>
      </c>
      <c r="H19" s="61">
        <f t="shared" si="1"/>
        <v>1</v>
      </c>
      <c r="I19" t="str">
        <f>IF(FT!B19&lt;&gt;"",FT!E19,"")</f>
        <v>1 [6.903470]</v>
      </c>
      <c r="J19">
        <f>IF(FT!B19&lt;&gt;"",FT!C19,"")</f>
        <v>6.9034700000000004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2.5120300000000002</v>
      </c>
      <c r="G20" s="61">
        <f>IF(FT!B20&lt;&gt;"",FT!B20*100,"")</f>
        <v>51.558300000000003</v>
      </c>
      <c r="H20" s="61">
        <f t="shared" si="1"/>
        <v>1</v>
      </c>
      <c r="I20" t="str">
        <f>IF(FT!B20&lt;&gt;"",FT!E20,"")</f>
        <v>1 [7.312613]</v>
      </c>
      <c r="J20">
        <f>IF(FT!B20&lt;&gt;"",FT!C20,"")</f>
        <v>7.3126100000000003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28525</v>
      </c>
      <c r="D21" s="61">
        <f>FH!B21*1</f>
        <v>28525</v>
      </c>
      <c r="E21">
        <f t="shared" si="3"/>
        <v>19</v>
      </c>
      <c r="F21" s="61">
        <f>IF(FT!A21&lt;&gt;"",FT!A21*10,"")</f>
        <v>2.55375</v>
      </c>
      <c r="G21" s="61">
        <f>IF(FT!B21&lt;&gt;"",FT!B21*100,"")</f>
        <v>50.744100000000003</v>
      </c>
      <c r="H21" s="61">
        <f t="shared" si="1"/>
        <v>1</v>
      </c>
      <c r="I21" t="str">
        <f>IF(FT!B21&lt;&gt;"",FT!E21,"")</f>
        <v>1 [7.718320]</v>
      </c>
      <c r="J21">
        <f>IF(FT!B21&lt;&gt;"",FT!C21,"")</f>
        <v>7.7183200000000003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2.5946799999999999</v>
      </c>
      <c r="G22" s="61">
        <f>IF(FT!B22&lt;&gt;"",FT!B22*100,"")</f>
        <v>49.9803</v>
      </c>
      <c r="H22" s="61">
        <f t="shared" si="1"/>
        <v>1</v>
      </c>
      <c r="I22" t="str">
        <f>IF(FT!B22&lt;&gt;"",FT!E22,"")</f>
        <v>1 [8.124180]</v>
      </c>
      <c r="J22">
        <f>IF(FT!B22&lt;&gt;"",FT!C22,"")</f>
        <v>8.1241800000000008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32621</v>
      </c>
      <c r="D23" s="61">
        <f>FH!B23*1</f>
        <v>32621</v>
      </c>
      <c r="E23">
        <f t="shared" si="3"/>
        <v>21</v>
      </c>
      <c r="F23" s="61">
        <f>IF(FT!A23&lt;&gt;"",FT!A23*10,"")</f>
        <v>2.6305699999999996</v>
      </c>
      <c r="G23" s="61">
        <f>IF(FT!B23&lt;&gt;"",FT!B23*100,"")</f>
        <v>49.377300000000005</v>
      </c>
      <c r="H23" s="61">
        <f t="shared" si="1"/>
        <v>1</v>
      </c>
      <c r="I23" t="str">
        <f>IF(FT!B23&lt;&gt;"",FT!E23,"")</f>
        <v>1 [8.532285]</v>
      </c>
      <c r="J23">
        <f>IF(FT!B23&lt;&gt;"",FT!C23,"")</f>
        <v>8.5322899999999997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2.6627700000000001</v>
      </c>
      <c r="G24" s="61">
        <f>IF(FT!B24&lt;&gt;"",FT!B24*100,"")</f>
        <v>48.846299999999999</v>
      </c>
      <c r="H24" s="61">
        <f t="shared" si="1"/>
        <v>1</v>
      </c>
      <c r="I24" t="str">
        <f>IF(FT!B24&lt;&gt;"",FT!E24,"")</f>
        <v>1 [8.935980]</v>
      </c>
      <c r="J24">
        <f>IF(FT!B24&lt;&gt;"",FT!C24,"")</f>
        <v>8.9359800000000007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2.6923399999999997</v>
      </c>
      <c r="G25" s="61">
        <f>IF(FT!B25&lt;&gt;"",FT!B25*100,"")</f>
        <v>48.311300000000003</v>
      </c>
      <c r="H25" s="61">
        <f t="shared" si="1"/>
        <v>1</v>
      </c>
      <c r="I25" t="str">
        <f>IF(FT!B25&lt;&gt;"",FT!E25,"")</f>
        <v>1 [9.343123]</v>
      </c>
      <c r="J25">
        <f>IF(FT!B25&lt;&gt;"",FT!C25,"")</f>
        <v>9.3431200000000008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41864</v>
      </c>
      <c r="D26" s="61">
        <f>FH!B26*1</f>
        <v>41864</v>
      </c>
      <c r="E26">
        <f t="shared" si="3"/>
        <v>24</v>
      </c>
      <c r="F26" s="61">
        <f>IF(FT!A26&lt;&gt;"",FT!A26*10,"")</f>
        <v>2.7206000000000001</v>
      </c>
      <c r="G26" s="61">
        <f>IF(FT!B26&lt;&gt;"",FT!B26*100,"")</f>
        <v>47.772199999999998</v>
      </c>
      <c r="H26" s="61">
        <f t="shared" si="1"/>
        <v>1</v>
      </c>
      <c r="I26" t="str">
        <f>IF(FT!B26&lt;&gt;"",FT!E26,"")</f>
        <v>1 [9.749224]</v>
      </c>
      <c r="J26">
        <f>IF(FT!B26&lt;&gt;"",FT!C26,"")</f>
        <v>9.7492199999999993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2.74837</v>
      </c>
      <c r="G27" s="61">
        <f>IF(FT!B27&lt;&gt;"",FT!B27*100,"")</f>
        <v>47.2881</v>
      </c>
      <c r="H27" s="61">
        <f t="shared" si="1"/>
        <v>1</v>
      </c>
      <c r="I27" t="str">
        <f>IF(FT!B27&lt;&gt;"",FT!E27,"")</f>
        <v>1 [10.157812]</v>
      </c>
      <c r="J27">
        <f>IF(FT!B27&lt;&gt;"",FT!C27,"")</f>
        <v>10.1578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50935</v>
      </c>
      <c r="D28" s="61">
        <f>FH!B28*1</f>
        <v>50935</v>
      </c>
      <c r="E28">
        <f t="shared" si="3"/>
        <v>26</v>
      </c>
      <c r="F28" s="61">
        <f>IF(FT!A28&lt;&gt;"",FT!A28*10,"")</f>
        <v>2.7782400000000003</v>
      </c>
      <c r="G28" s="61">
        <f>IF(FT!B28&lt;&gt;"",FT!B28*100,"")</f>
        <v>46.805</v>
      </c>
      <c r="H28" s="61">
        <f t="shared" si="1"/>
        <v>1</v>
      </c>
      <c r="I28" t="str">
        <f>IF(FT!B28&lt;&gt;"",FT!E28,"")</f>
        <v>1 [10.560645]</v>
      </c>
      <c r="J28">
        <f>IF(FT!B28&lt;&gt;"",FT!C28,"")</f>
        <v>10.560600000000001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2.8083399999999998</v>
      </c>
      <c r="G29" s="61">
        <f>IF(FT!B29&lt;&gt;"",FT!B29*100,"")</f>
        <v>46.319900000000004</v>
      </c>
      <c r="H29" s="61">
        <f t="shared" si="1"/>
        <v>1</v>
      </c>
      <c r="I29" t="str">
        <f>IF(FT!B29&lt;&gt;"",FT!E29,"")</f>
        <v>1 [10.967648]</v>
      </c>
      <c r="J29">
        <f>IF(FT!B29&lt;&gt;"",FT!C29,"")</f>
        <v>10.967599999999999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2.83325</v>
      </c>
      <c r="G30" s="61">
        <f>IF(FT!B30&lt;&gt;"",FT!B30*100,"")</f>
        <v>45.961100000000002</v>
      </c>
      <c r="H30" s="61">
        <f t="shared" si="1"/>
        <v>1</v>
      </c>
      <c r="I30" t="str">
        <f>IF(FT!B30&lt;&gt;"",FT!E30,"")</f>
        <v>1 [11.374541]</v>
      </c>
      <c r="J30">
        <f>IF(FT!B30&lt;&gt;"",FT!C30,"")</f>
        <v>11.374499999999999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59752</v>
      </c>
      <c r="D31" s="61">
        <f>FH!B31*1</f>
        <v>59752</v>
      </c>
      <c r="E31">
        <f t="shared" si="3"/>
        <v>29</v>
      </c>
      <c r="F31" s="61">
        <f>IF(FT!A31&lt;&gt;"",FT!A31*10,"")</f>
        <v>2.8507600000000002</v>
      </c>
      <c r="G31" s="61">
        <f>IF(FT!B31&lt;&gt;"",FT!B31*100,"")</f>
        <v>45.686300000000003</v>
      </c>
      <c r="H31" s="61">
        <f t="shared" si="1"/>
        <v>1</v>
      </c>
      <c r="I31" t="str">
        <f>IF(FT!B31&lt;&gt;"",FT!E31,"")</f>
        <v>1 [11.779449]</v>
      </c>
      <c r="J31">
        <f>IF(FT!B31&lt;&gt;"",FT!C31,"")</f>
        <v>11.779400000000001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2.8617999999999997</v>
      </c>
      <c r="G32" s="61">
        <f>IF(FT!B32&lt;&gt;"",FT!B32*100,"")</f>
        <v>45.455800000000004</v>
      </c>
      <c r="H32" s="61">
        <f t="shared" si="1"/>
        <v>1</v>
      </c>
      <c r="I32" t="str">
        <f>IF(FT!B32&lt;&gt;"",FT!E32,"")</f>
        <v>1 [12.186288]</v>
      </c>
      <c r="J32">
        <f>IF(FT!B32&lt;&gt;"",FT!C32,"")</f>
        <v>12.186299999999999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65785</v>
      </c>
      <c r="D33" s="61">
        <f>FH!B33*1</f>
        <v>65785</v>
      </c>
      <c r="E33">
        <f t="shared" si="3"/>
        <v>31</v>
      </c>
      <c r="F33" s="61">
        <f>IF(FT!A33&lt;&gt;"",FT!A33*10,"")</f>
        <v>2.8635999999999999</v>
      </c>
      <c r="G33" s="61">
        <f>IF(FT!B33&lt;&gt;"",FT!B33*100,"")</f>
        <v>45.245200000000004</v>
      </c>
      <c r="H33" s="61">
        <f t="shared" si="1"/>
        <v>1</v>
      </c>
      <c r="I33" t="str">
        <f>IF(FT!B33&lt;&gt;"",FT!E33,"")</f>
        <v>1 [12.595219]</v>
      </c>
      <c r="J33">
        <f>IF(FT!B33&lt;&gt;"",FT!C33,"")</f>
        <v>12.5952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2.8618500000000004</v>
      </c>
      <c r="G34" s="61">
        <f>IF(FT!B34&lt;&gt;"",FT!B34*100,"")</f>
        <v>45.032800000000002</v>
      </c>
      <c r="H34" s="61">
        <f t="shared" si="1"/>
        <v>1</v>
      </c>
      <c r="I34" t="str">
        <f>IF(FT!B34&lt;&gt;"",FT!E34,"")</f>
        <v>1 [12.999535]</v>
      </c>
      <c r="J34">
        <f>IF(FT!B34&lt;&gt;"",FT!C34,"")</f>
        <v>12.999499999999999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2.85873</v>
      </c>
      <c r="G35" s="61">
        <f>IF(FT!B35&lt;&gt;"",FT!B35*100,"")</f>
        <v>44.803800000000003</v>
      </c>
      <c r="H35" s="61">
        <f t="shared" si="1"/>
        <v>1</v>
      </c>
      <c r="I35" t="str">
        <f>IF(FT!B35&lt;&gt;"",FT!E35,"")</f>
        <v>1 [13.405408]</v>
      </c>
      <c r="J35">
        <f>IF(FT!B35&lt;&gt;"",FT!C35,"")</f>
        <v>13.4054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71411</v>
      </c>
      <c r="D36" s="61">
        <f>FH!B36*1</f>
        <v>71411</v>
      </c>
      <c r="E36">
        <f t="shared" si="3"/>
        <v>34</v>
      </c>
      <c r="F36" s="61">
        <f>IF(FT!A36&lt;&gt;"",FT!A36*10,"")</f>
        <v>2.8587600000000002</v>
      </c>
      <c r="G36" s="61">
        <f>IF(FT!B36&lt;&gt;"",FT!B36*100,"")</f>
        <v>44.653199999999998</v>
      </c>
      <c r="H36" s="61">
        <f t="shared" si="1"/>
        <v>1</v>
      </c>
      <c r="I36" t="str">
        <f>IF(FT!B36&lt;&gt;"",FT!E36,"")</f>
        <v>1 [13.810972]</v>
      </c>
      <c r="J36">
        <f>IF(FT!B36&lt;&gt;"",FT!C36,"")</f>
        <v>13.811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2.8672999999999997</v>
      </c>
      <c r="G37" s="61">
        <f>IF(FT!B37&lt;&gt;"",FT!B37*100,"")</f>
        <v>44.474599999999995</v>
      </c>
      <c r="H37" s="61">
        <f t="shared" si="1"/>
        <v>1</v>
      </c>
      <c r="I37" t="str">
        <f>IF(FT!B37&lt;&gt;"",FT!E37,"")</f>
        <v>1 [14.216120]</v>
      </c>
      <c r="J37">
        <f>IF(FT!B37&lt;&gt;"",FT!C37,"")</f>
        <v>14.216100000000001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2.8781800000000004</v>
      </c>
      <c r="G38" s="61">
        <f>IF(FT!B38&lt;&gt;"",FT!B38*100,"")</f>
        <v>44.258199999999995</v>
      </c>
      <c r="H38" s="61">
        <f t="shared" si="1"/>
        <v>1</v>
      </c>
      <c r="I38" t="str">
        <f>IF(FT!B38&lt;&gt;"",FT!E38,"")</f>
        <v>1 [14.625848]</v>
      </c>
      <c r="J38">
        <f>IF(FT!B38&lt;&gt;"",FT!C38,"")</f>
        <v>14.6258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69309</v>
      </c>
      <c r="D39" s="61">
        <f>FH!B39*1</f>
        <v>69309</v>
      </c>
      <c r="E39">
        <f t="shared" si="3"/>
        <v>37</v>
      </c>
      <c r="F39" s="61">
        <f>IF(FT!A39&lt;&gt;"",FT!A39*10,"")</f>
        <v>2.8894199999999999</v>
      </c>
      <c r="G39" s="61">
        <f>IF(FT!B39&lt;&gt;"",FT!B39*100,"")</f>
        <v>44.032299999999999</v>
      </c>
      <c r="H39" s="61">
        <f t="shared" si="1"/>
        <v>1</v>
      </c>
      <c r="I39" t="str">
        <f>IF(FT!B39&lt;&gt;"",FT!E39,"")</f>
        <v>2 [15.031713]</v>
      </c>
      <c r="J39">
        <f>IF(FT!B39&lt;&gt;"",FT!C39,"")</f>
        <v>15.031700000000001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2.8993700000000002</v>
      </c>
      <c r="G40" s="61">
        <f>IF(FT!B40&lt;&gt;"",FT!B40*100,"")</f>
        <v>43.785299999999999</v>
      </c>
      <c r="H40" s="61">
        <f t="shared" si="1"/>
        <v>1</v>
      </c>
      <c r="I40" t="str">
        <f>IF(FT!B40&lt;&gt;"",FT!E40,"")</f>
        <v>2 [15.502437]</v>
      </c>
      <c r="J40">
        <f>IF(FT!B40&lt;&gt;"",FT!C40,"")</f>
        <v>15.5024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62334</v>
      </c>
      <c r="D41" s="61">
        <f>FH!B41*1</f>
        <v>62334</v>
      </c>
      <c r="E41">
        <f t="shared" si="3"/>
        <v>39</v>
      </c>
      <c r="F41" s="61">
        <f>IF(FT!A41&lt;&gt;"",FT!A41*10,"")</f>
        <v>2.9096899999999999</v>
      </c>
      <c r="G41" s="61">
        <f>IF(FT!B41&lt;&gt;"",FT!B41*100,"")</f>
        <v>43.484699999999997</v>
      </c>
      <c r="H41" s="61">
        <f t="shared" si="1"/>
        <v>1</v>
      </c>
      <c r="I41" t="str">
        <f>IF(FT!B41&lt;&gt;"",FT!E41,"")</f>
        <v>2 [15.889629]</v>
      </c>
      <c r="J41">
        <f>IF(FT!B41&lt;&gt;"",FT!C41,"")</f>
        <v>15.8896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2.9204000000000003</v>
      </c>
      <c r="G42" s="61">
        <f>IF(FT!B42&lt;&gt;"",FT!B42*100,"")</f>
        <v>43.139600000000002</v>
      </c>
      <c r="H42" s="61">
        <f t="shared" si="1"/>
        <v>1</v>
      </c>
      <c r="I42" t="str">
        <f>IF(FT!B42&lt;&gt;"",FT!E42,"")</f>
        <v>2 [16.299727]</v>
      </c>
      <c r="J42">
        <f>IF(FT!B42&lt;&gt;"",FT!C42,"")</f>
        <v>16.299700000000001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2.9306399999999999</v>
      </c>
      <c r="G43" s="61">
        <f>IF(FT!B43&lt;&gt;"",FT!B43*100,"")</f>
        <v>42.796199999999999</v>
      </c>
      <c r="H43" s="61">
        <f t="shared" si="1"/>
        <v>1</v>
      </c>
      <c r="I43" t="str">
        <f>IF(FT!B43&lt;&gt;"",FT!E43,"")</f>
        <v>2 [16.704246]</v>
      </c>
      <c r="J43">
        <f>IF(FT!B43&lt;&gt;"",FT!C43,"")</f>
        <v>16.7042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63697</v>
      </c>
      <c r="D44" s="61">
        <f>FH!B44*1</f>
        <v>63697</v>
      </c>
      <c r="E44">
        <f t="shared" si="3"/>
        <v>42</v>
      </c>
      <c r="F44" s="61">
        <f>IF(FT!A44&lt;&gt;"",FT!A44*10,"")</f>
        <v>2.9391400000000001</v>
      </c>
      <c r="G44" s="61">
        <f>IF(FT!B44&lt;&gt;"",FT!B44*100,"")</f>
        <v>42.515000000000001</v>
      </c>
      <c r="H44" s="61">
        <f t="shared" si="1"/>
        <v>1</v>
      </c>
      <c r="I44" t="str">
        <f>IF(FT!B44&lt;&gt;"",FT!E44,"")</f>
        <v>2 [17.108230]</v>
      </c>
      <c r="J44">
        <f>IF(FT!B44&lt;&gt;"",FT!C44,"")</f>
        <v>17.1082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2.9480200000000001</v>
      </c>
      <c r="G45" s="61">
        <f>IF(FT!B45&lt;&gt;"",FT!B45*100,"")</f>
        <v>42.283200000000001</v>
      </c>
      <c r="H45" s="61">
        <f t="shared" si="1"/>
        <v>1</v>
      </c>
      <c r="I45" t="str">
        <f>IF(FT!B45&lt;&gt;"",FT!E45,"")</f>
        <v>2 [17.514074]</v>
      </c>
      <c r="J45">
        <f>IF(FT!B45&lt;&gt;"",FT!C45,"")</f>
        <v>17.514099999999999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70543</v>
      </c>
      <c r="D46" s="61">
        <f>FH!B46*1</f>
        <v>70543</v>
      </c>
      <c r="E46">
        <f t="shared" si="3"/>
        <v>44</v>
      </c>
      <c r="F46" s="61">
        <f>IF(FT!A46&lt;&gt;"",FT!A46*10,"")</f>
        <v>2.9607899999999998</v>
      </c>
      <c r="G46" s="61">
        <f>IF(FT!B46&lt;&gt;"",FT!B46*100,"")</f>
        <v>42.017900000000004</v>
      </c>
      <c r="H46" s="61">
        <f t="shared" si="1"/>
        <v>1</v>
      </c>
      <c r="I46" t="str">
        <f>IF(FT!B46&lt;&gt;"",FT!E46,"")</f>
        <v>2 [17.920573]</v>
      </c>
      <c r="J46">
        <f>IF(FT!B46&lt;&gt;"",FT!C46,"")</f>
        <v>17.9206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2.9750900000000002</v>
      </c>
      <c r="G47" s="61">
        <f>IF(FT!B47&lt;&gt;"",FT!B47*100,"")</f>
        <v>41.7408</v>
      </c>
      <c r="H47" s="61">
        <f t="shared" si="1"/>
        <v>1</v>
      </c>
      <c r="I47" t="str">
        <f>IF(FT!B47&lt;&gt;"",FT!E47,"")</f>
        <v>2 [18.325996]</v>
      </c>
      <c r="J47">
        <f>IF(FT!B47&lt;&gt;"",FT!C47,"")</f>
        <v>18.326000000000001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2.9907699999999999</v>
      </c>
      <c r="G48" s="61">
        <f>IF(FT!B48&lt;&gt;"",FT!B48*100,"")</f>
        <v>41.475999999999999</v>
      </c>
      <c r="H48" s="61">
        <f t="shared" si="1"/>
        <v>1</v>
      </c>
      <c r="I48" t="str">
        <f>IF(FT!B48&lt;&gt;"",FT!E48,"")</f>
        <v>2 [18.734803]</v>
      </c>
      <c r="J48">
        <f>IF(FT!B48&lt;&gt;"",FT!C48,"")</f>
        <v>18.7348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76669</v>
      </c>
      <c r="D49" s="61">
        <f>FH!B49*1</f>
        <v>76669</v>
      </c>
      <c r="E49">
        <f t="shared" si="3"/>
        <v>47</v>
      </c>
      <c r="F49" s="61">
        <f>IF(FT!A49&lt;&gt;"",FT!A49*10,"")</f>
        <v>3.0065799999999996</v>
      </c>
      <c r="G49" s="61">
        <f>IF(FT!B49&lt;&gt;"",FT!B49*100,"")</f>
        <v>41.1815</v>
      </c>
      <c r="H49" s="61">
        <f t="shared" si="1"/>
        <v>1</v>
      </c>
      <c r="I49" t="str">
        <f>IF(FT!B49&lt;&gt;"",FT!E49,"")</f>
        <v>2 [19.139753]</v>
      </c>
      <c r="J49">
        <f>IF(FT!B49&lt;&gt;"",FT!C49,"")</f>
        <v>19.139800000000001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3.0210699999999999</v>
      </c>
      <c r="G50" s="61">
        <f>IF(FT!B50&lt;&gt;"",FT!B50*100,"")</f>
        <v>40.885399999999997</v>
      </c>
      <c r="H50" s="61">
        <f t="shared" si="1"/>
        <v>1</v>
      </c>
      <c r="I50" t="str">
        <f>IF(FT!B50&lt;&gt;"",FT!E50,"")</f>
        <v>2 [19.545575]</v>
      </c>
      <c r="J50">
        <f>IF(FT!B50&lt;&gt;"",FT!C50,"")</f>
        <v>19.5456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72300</v>
      </c>
      <c r="D51" s="61">
        <f>FH!B51*1</f>
        <v>72300</v>
      </c>
      <c r="E51">
        <f t="shared" si="3"/>
        <v>49</v>
      </c>
      <c r="F51" s="61">
        <f>IF(FT!A51&lt;&gt;"",FT!A51*10,"")</f>
        <v>3.0328599999999999</v>
      </c>
      <c r="G51" s="61">
        <f>IF(FT!B51&lt;&gt;"",FT!B51*100,"")</f>
        <v>40.579700000000003</v>
      </c>
      <c r="H51" s="61">
        <f t="shared" si="1"/>
        <v>1</v>
      </c>
      <c r="I51" t="str">
        <f>IF(FT!B51&lt;&gt;"",FT!E51,"")</f>
        <v>2 [19.951732]</v>
      </c>
      <c r="J51">
        <f>IF(FT!B51&lt;&gt;"",FT!C51,"")</f>
        <v>19.951699999999999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3.0442999999999998</v>
      </c>
      <c r="G52" s="61">
        <f>IF(FT!B52&lt;&gt;"",FT!B52*100,"")</f>
        <v>40.289700000000003</v>
      </c>
      <c r="H52" s="61">
        <f t="shared" si="1"/>
        <v>1</v>
      </c>
      <c r="I52" t="str">
        <f>IF(FT!B52&lt;&gt;"",FT!E52,"")</f>
        <v>2 [20.359635]</v>
      </c>
      <c r="J52">
        <f>IF(FT!B52&lt;&gt;"",FT!C52,"")</f>
        <v>20.3596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3.0587999999999997</v>
      </c>
      <c r="G53" s="61">
        <f>IF(FT!B53&lt;&gt;"",FT!B53*100,"")</f>
        <v>40.008700000000005</v>
      </c>
      <c r="H53" s="61">
        <f t="shared" si="1"/>
        <v>1</v>
      </c>
      <c r="I53" t="str">
        <f>IF(FT!B53&lt;&gt;"",FT!E53,"")</f>
        <v>2 [20.767336]</v>
      </c>
      <c r="J53">
        <f>IF(FT!B53&lt;&gt;"",FT!C53,"")</f>
        <v>20.767299999999999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73793</v>
      </c>
      <c r="D54" s="61">
        <f>FH!B54*1</f>
        <v>73793</v>
      </c>
      <c r="E54">
        <f t="shared" si="3"/>
        <v>52</v>
      </c>
      <c r="F54" s="61">
        <f>IF(FT!A54&lt;&gt;"",FT!A54*10,"")</f>
        <v>3.0711699999999995</v>
      </c>
      <c r="G54" s="61">
        <f>IF(FT!B54&lt;&gt;"",FT!B54*100,"")</f>
        <v>39.836399999999998</v>
      </c>
      <c r="H54" s="61">
        <f t="shared" si="1"/>
        <v>1</v>
      </c>
      <c r="I54" t="str">
        <f>IF(FT!B54&lt;&gt;"",FT!E54,"")</f>
        <v>2 [21.169462]</v>
      </c>
      <c r="J54">
        <f>IF(FT!B54&lt;&gt;"",FT!C54,"")</f>
        <v>21.169499999999999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3.0878299999999999</v>
      </c>
      <c r="G55" s="61">
        <f>IF(FT!B55&lt;&gt;"",FT!B55*100,"")</f>
        <v>39.727899999999998</v>
      </c>
      <c r="H55" s="61">
        <f t="shared" si="1"/>
        <v>1</v>
      </c>
      <c r="I55" t="str">
        <f>IF(FT!B55&lt;&gt;"",FT!E55,"")</f>
        <v>2 [21.575316]</v>
      </c>
      <c r="J55">
        <f>IF(FT!B55&lt;&gt;"",FT!C55,"")</f>
        <v>21.575299999999999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3.1115500000000003</v>
      </c>
      <c r="G56" s="61">
        <f>IF(FT!B56&lt;&gt;"",FT!B56*100,"")</f>
        <v>39.6524</v>
      </c>
      <c r="H56" s="61">
        <f t="shared" si="1"/>
        <v>1</v>
      </c>
      <c r="I56" t="str">
        <f>IF(FT!B56&lt;&gt;"",FT!E56,"")</f>
        <v>2 [21.985325]</v>
      </c>
      <c r="J56">
        <f>IF(FT!B56&lt;&gt;"",FT!C56,"")</f>
        <v>21.985299999999999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77524</v>
      </c>
      <c r="D57" s="61">
        <f>FH!B57*1</f>
        <v>77524</v>
      </c>
      <c r="E57">
        <f t="shared" si="3"/>
        <v>55</v>
      </c>
      <c r="F57" s="61">
        <f>IF(FT!A57&lt;&gt;"",FT!A57*10,"")</f>
        <v>3.1392599999999997</v>
      </c>
      <c r="G57" s="61">
        <f>IF(FT!B57&lt;&gt;"",FT!B57*100,"")</f>
        <v>39.629300000000001</v>
      </c>
      <c r="H57" s="61">
        <f t="shared" si="1"/>
        <v>1</v>
      </c>
      <c r="I57" t="str">
        <f>IF(FT!B57&lt;&gt;"",FT!E57,"")</f>
        <v>2 [22.389106]</v>
      </c>
      <c r="J57">
        <f>IF(FT!B57&lt;&gt;"",FT!C57,"")</f>
        <v>22.389099999999999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3.1679600000000003</v>
      </c>
      <c r="G58" s="61">
        <f>IF(FT!B58&lt;&gt;"",FT!B58*100,"")</f>
        <v>39.581000000000003</v>
      </c>
      <c r="H58" s="61">
        <f t="shared" si="1"/>
        <v>1</v>
      </c>
      <c r="I58" t="str">
        <f>IF(FT!B58&lt;&gt;"",FT!E58,"")</f>
        <v>2 [22.798001]</v>
      </c>
      <c r="J58">
        <f>IF(FT!B58&lt;&gt;"",FT!C58,"")</f>
        <v>22.797999999999998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82184</v>
      </c>
      <c r="D59" s="61">
        <f>FH!B59*1</f>
        <v>82184</v>
      </c>
      <c r="E59">
        <f t="shared" si="3"/>
        <v>57</v>
      </c>
      <c r="F59" s="61">
        <f>IF(FT!A59&lt;&gt;"",FT!A59*10,"")</f>
        <v>3.1883499999999998</v>
      </c>
      <c r="G59" s="61">
        <f>IF(FT!B59&lt;&gt;"",FT!B59*100,"")</f>
        <v>39.416800000000002</v>
      </c>
      <c r="H59" s="61">
        <f t="shared" si="1"/>
        <v>1</v>
      </c>
      <c r="I59" t="str">
        <f>IF(FT!B59&lt;&gt;"",FT!E59,"")</f>
        <v>2 [23.200991]</v>
      </c>
      <c r="J59">
        <f>IF(FT!B59&lt;&gt;"",FT!C59,"")</f>
        <v>23.201000000000001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3.1998700000000002</v>
      </c>
      <c r="G60" s="61">
        <f>IF(FT!B60&lt;&gt;"",FT!B60*100,"")</f>
        <v>39.209899999999998</v>
      </c>
      <c r="H60" s="61">
        <f t="shared" si="1"/>
        <v>1</v>
      </c>
      <c r="I60" t="str">
        <f>IF(FT!B60&lt;&gt;"",FT!E60,"")</f>
        <v>2 [23.606095]</v>
      </c>
      <c r="J60">
        <f>IF(FT!B60&lt;&gt;"",FT!C60,"")</f>
        <v>23.606100000000001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3.21129</v>
      </c>
      <c r="G61" s="61">
        <f>IF(FT!B61&lt;&gt;"",FT!B61*100,"")</f>
        <v>39.011499999999998</v>
      </c>
      <c r="H61" s="61">
        <f t="shared" si="1"/>
        <v>1</v>
      </c>
      <c r="I61" t="str">
        <f>IF(FT!B61&lt;&gt;"",FT!E61,"")</f>
        <v>2 [24.011746]</v>
      </c>
      <c r="J61">
        <f>IF(FT!B61&lt;&gt;"",FT!C61,"")</f>
        <v>24.011700000000001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69202</v>
      </c>
      <c r="D62" s="61">
        <f>FH!B62*1</f>
        <v>69202</v>
      </c>
      <c r="E62">
        <f t="shared" si="3"/>
        <v>60</v>
      </c>
      <c r="F62" s="61">
        <f>IF(FT!A62&lt;&gt;"",FT!A62*10,"")</f>
        <v>3.2221699999999998</v>
      </c>
      <c r="G62" s="61">
        <f>IF(FT!B62&lt;&gt;"",FT!B62*100,"")</f>
        <v>38.798999999999999</v>
      </c>
      <c r="H62" s="61">
        <f t="shared" si="1"/>
        <v>1</v>
      </c>
      <c r="I62" t="str">
        <f>IF(FT!B62&lt;&gt;"",FT!E62,"")</f>
        <v>2 [24.430598]</v>
      </c>
      <c r="J62">
        <f>IF(FT!B62&lt;&gt;"",FT!C62,"")</f>
        <v>24.430599999999998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3.2327899999999996</v>
      </c>
      <c r="G63" s="61">
        <f>IF(FT!B63&lt;&gt;"",FT!B63*100,"")</f>
        <v>38.623600000000003</v>
      </c>
      <c r="H63" s="61">
        <f t="shared" si="1"/>
        <v>1</v>
      </c>
      <c r="I63" t="str">
        <f>IF(FT!B63&lt;&gt;"",FT!E63,"")</f>
        <v>2 [24.830568]</v>
      </c>
      <c r="J63">
        <f>IF(FT!B63&lt;&gt;"",FT!C63,"")</f>
        <v>24.8306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66978</v>
      </c>
      <c r="D64" s="61">
        <f>FH!B64*1</f>
        <v>66978</v>
      </c>
      <c r="E64">
        <f t="shared" si="3"/>
        <v>62</v>
      </c>
      <c r="F64" s="61">
        <f>IF(FT!A64&lt;&gt;"",FT!A64*10,"")</f>
        <v>3.24125</v>
      </c>
      <c r="G64" s="61">
        <f>IF(FT!B64&lt;&gt;"",FT!B64*100,"")</f>
        <v>38.494299999999996</v>
      </c>
      <c r="H64" s="61">
        <f t="shared" si="1"/>
        <v>1</v>
      </c>
      <c r="I64" t="str">
        <f>IF(FT!B64&lt;&gt;"",FT!E64,"")</f>
        <v>2 [25.234497]</v>
      </c>
      <c r="J64">
        <f>IF(FT!B64&lt;&gt;"",FT!C64,"")</f>
        <v>25.234500000000001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3.24796</v>
      </c>
      <c r="G65" s="61">
        <f>IF(FT!B65&lt;&gt;"",FT!B65*100,"")</f>
        <v>38.412500000000001</v>
      </c>
      <c r="H65" s="61">
        <f t="shared" si="1"/>
        <v>1</v>
      </c>
      <c r="I65" t="str">
        <f>IF(FT!B65&lt;&gt;"",FT!E65,"")</f>
        <v>2 [25.642269]</v>
      </c>
      <c r="J65">
        <f>IF(FT!B65&lt;&gt;"",FT!C65,"")</f>
        <v>25.642299999999999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3.2546499999999998</v>
      </c>
      <c r="G66" s="61">
        <f>IF(FT!B66&lt;&gt;"",FT!B66*100,"")</f>
        <v>38.333600000000004</v>
      </c>
      <c r="H66" s="61">
        <f t="shared" si="1"/>
        <v>1</v>
      </c>
      <c r="I66" t="str">
        <f>IF(FT!B66&lt;&gt;"",FT!E66,"")</f>
        <v>2 [26.046315]</v>
      </c>
      <c r="J66">
        <f>IF(FT!B66&lt;&gt;"",FT!C66,"")</f>
        <v>26.046299999999999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66886</v>
      </c>
      <c r="D67" s="61">
        <f>FH!B67*1</f>
        <v>66886</v>
      </c>
      <c r="E67">
        <f t="shared" si="3"/>
        <v>65</v>
      </c>
      <c r="F67" s="61">
        <f>IF(FT!A67&lt;&gt;"",FT!A67*10,"")</f>
        <v>3.2642300000000004</v>
      </c>
      <c r="G67" s="61">
        <f>IF(FT!B67&lt;&gt;"",FT!B67*100,"")</f>
        <v>38.168700000000001</v>
      </c>
      <c r="H67" s="61">
        <f t="shared" ref="H67:H130" si="9">(IF(F67&lt;&gt;"",1,""))</f>
        <v>1</v>
      </c>
      <c r="I67" t="str">
        <f>IF(FT!B67&lt;&gt;"",FT!E67,"")</f>
        <v>2 [26.454248]</v>
      </c>
      <c r="J67">
        <f>IF(FT!B67&lt;&gt;"",FT!C67,"")</f>
        <v>26.4542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3.2742599999999999</v>
      </c>
      <c r="G68" s="61">
        <f>IF(FT!B68&lt;&gt;"",FT!B68*100,"")</f>
        <v>37.963299999999997</v>
      </c>
      <c r="H68" s="61">
        <f t="shared" si="9"/>
        <v>1</v>
      </c>
      <c r="I68" t="str">
        <f>IF(FT!B68&lt;&gt;"",FT!E68,"")</f>
        <v>2 [26.862075]</v>
      </c>
      <c r="J68">
        <f>IF(FT!B68&lt;&gt;"",FT!C68,"")</f>
        <v>26.862100000000002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77936</v>
      </c>
      <c r="D69" s="61">
        <f>FH!B69*1</f>
        <v>77936</v>
      </c>
      <c r="E69">
        <f t="shared" si="11"/>
        <v>67</v>
      </c>
      <c r="F69" s="61">
        <f>IF(FT!A69&lt;&gt;"",FT!A69*10,"")</f>
        <v>3.28186</v>
      </c>
      <c r="G69" s="61">
        <f>IF(FT!B69&lt;&gt;"",FT!B69*100,"")</f>
        <v>37.783299999999997</v>
      </c>
      <c r="H69" s="61">
        <f t="shared" si="9"/>
        <v>1</v>
      </c>
      <c r="I69" t="str">
        <f>IF(FT!B69&lt;&gt;"",FT!E69,"")</f>
        <v>2 [27.266252]</v>
      </c>
      <c r="J69">
        <f>IF(FT!B69&lt;&gt;"",FT!C69,"")</f>
        <v>27.266300000000001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3.2868900000000001</v>
      </c>
      <c r="G70" s="61">
        <f>IF(FT!B70&lt;&gt;"",FT!B70*100,"")</f>
        <v>37.588899999999995</v>
      </c>
      <c r="H70" s="61">
        <f t="shared" si="9"/>
        <v>1</v>
      </c>
      <c r="I70" t="str">
        <f>IF(FT!B70&lt;&gt;"",FT!E70,"")</f>
        <v>2 [27.672950]</v>
      </c>
      <c r="J70">
        <f>IF(FT!B70&lt;&gt;"",FT!C70,"")</f>
        <v>27.672999999999998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3.2867000000000002</v>
      </c>
      <c r="G71" s="61">
        <f>IF(FT!B71&lt;&gt;"",FT!B71*100,"")</f>
        <v>37.436</v>
      </c>
      <c r="H71" s="61">
        <f t="shared" si="9"/>
        <v>1</v>
      </c>
      <c r="I71" t="str">
        <f>IF(FT!B71&lt;&gt;"",FT!E71,"")</f>
        <v>2 [28.078025]</v>
      </c>
      <c r="J71">
        <f>IF(FT!B71&lt;&gt;"",FT!C71,"")</f>
        <v>28.077999999999999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68959</v>
      </c>
      <c r="D72" s="61">
        <f>FH!B72*1</f>
        <v>68959</v>
      </c>
      <c r="E72">
        <f t="shared" si="11"/>
        <v>70</v>
      </c>
      <c r="F72" s="61">
        <f>IF(FT!A72&lt;&gt;"",FT!A72*10,"")</f>
        <v>3.28376</v>
      </c>
      <c r="G72" s="61">
        <f>IF(FT!B72&lt;&gt;"",FT!B72*100,"")</f>
        <v>37.339399999999998</v>
      </c>
      <c r="H72" s="61">
        <f t="shared" si="9"/>
        <v>1</v>
      </c>
      <c r="I72" t="str">
        <f>IF(FT!B72&lt;&gt;"",FT!E72,"")</f>
        <v>2 [28.482995]</v>
      </c>
      <c r="J72">
        <f>IF(FT!B72&lt;&gt;"",FT!C72,"")</f>
        <v>28.483000000000001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3.2790000000000004</v>
      </c>
      <c r="G73" s="61">
        <f>IF(FT!B73&lt;&gt;"",FT!B73*100,"")</f>
        <v>37.258400000000002</v>
      </c>
      <c r="H73" s="61">
        <f t="shared" si="9"/>
        <v>1</v>
      </c>
      <c r="I73" t="str">
        <f>IF(FT!B73&lt;&gt;"",FT!E73,"")</f>
        <v>2 [28.887745]</v>
      </c>
      <c r="J73">
        <f>IF(FT!B73&lt;&gt;"",FT!C73,"")</f>
        <v>28.887699999999999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3.2667400000000004</v>
      </c>
      <c r="G74" s="61">
        <f>IF(FT!B74&lt;&gt;"",FT!B74*100,"")</f>
        <v>37.442399999999999</v>
      </c>
      <c r="H74" s="61">
        <f t="shared" si="9"/>
        <v>1</v>
      </c>
      <c r="I74" t="str">
        <f>IF(FT!B74&lt;&gt;"",FT!E74,"")</f>
        <v>2 [29.300951]</v>
      </c>
      <c r="J74">
        <f>IF(FT!B74&lt;&gt;"",FT!C74,"")</f>
        <v>29.300999999999998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64433</v>
      </c>
      <c r="D75" s="61">
        <f>FH!B75*1</f>
        <v>64433</v>
      </c>
      <c r="E75">
        <f t="shared" si="11"/>
        <v>73</v>
      </c>
      <c r="F75" s="61">
        <f>IF(FT!A75&lt;&gt;"",FT!A75*10,"")</f>
        <v>3.2579700000000003</v>
      </c>
      <c r="G75" s="61">
        <f>IF(FT!B75&lt;&gt;"",FT!B75*100,"")</f>
        <v>37.709900000000005</v>
      </c>
      <c r="H75" s="61">
        <f t="shared" si="9"/>
        <v>1</v>
      </c>
      <c r="I75" t="str">
        <f>IF(FT!B75&lt;&gt;"",FT!E75,"")</f>
        <v>2 [29.705489]</v>
      </c>
      <c r="J75">
        <f>IF(FT!B75&lt;&gt;"",FT!C75,"")</f>
        <v>29.705500000000001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 t="str">
        <f>IF(FT!A76&lt;&gt;"",FT!A76*10,"")</f>
        <v/>
      </c>
      <c r="G76" s="61" t="str">
        <f>IF(FT!B76&lt;&gt;"",FT!B76*100,"")</f>
        <v/>
      </c>
      <c r="H76" s="61" t="str">
        <f t="shared" si="9"/>
        <v/>
      </c>
      <c r="I76" t="str">
        <f>IF(FT!B76&lt;&gt;"",FT!E76,"")</f>
        <v/>
      </c>
      <c r="J76" t="str">
        <f>IF(FT!B76&lt;&gt;"",FT!C76,"")</f>
        <v/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74434</v>
      </c>
      <c r="D77" s="61">
        <f>FH!B77*1</f>
        <v>74434</v>
      </c>
      <c r="E77">
        <f t="shared" si="11"/>
        <v>75</v>
      </c>
      <c r="F77" s="61" t="str">
        <f>IF(FT!A77&lt;&gt;"",FT!A77*10,"")</f>
        <v/>
      </c>
      <c r="G77" s="61" t="str">
        <f>IF(FT!B77&lt;&gt;"",FT!B77*100,"")</f>
        <v/>
      </c>
      <c r="H77" s="61" t="str">
        <f t="shared" si="9"/>
        <v/>
      </c>
      <c r="I77" t="str">
        <f>IF(FT!B77&lt;&gt;"",FT!E77,"")</f>
        <v/>
      </c>
      <c r="J77" t="str">
        <f>IF(FT!B77&lt;&gt;"",FT!C77,"")</f>
        <v/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 t="str">
        <f>IF(FT!A78&lt;&gt;"",FT!A78*10,"")</f>
        <v/>
      </c>
      <c r="G78" s="61" t="str">
        <f>IF(FT!B78&lt;&gt;"",FT!B78*100,"")</f>
        <v/>
      </c>
      <c r="H78" s="61" t="str">
        <f t="shared" si="9"/>
        <v/>
      </c>
      <c r="I78" t="str">
        <f>IF(FT!B78&lt;&gt;"",FT!E78,"")</f>
        <v/>
      </c>
      <c r="J78" t="str">
        <f>IF(FT!B78&lt;&gt;"",FT!C78,"")</f>
        <v/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 t="str">
        <f>IF(FT!A79&lt;&gt;"",FT!A79*10,"")</f>
        <v/>
      </c>
      <c r="G79" s="61" t="str">
        <f>IF(FT!B79&lt;&gt;"",FT!B79*100,"")</f>
        <v/>
      </c>
      <c r="H79" s="61" t="str">
        <f t="shared" si="9"/>
        <v/>
      </c>
      <c r="I79" t="str">
        <f>IF(FT!B79&lt;&gt;"",FT!E79,"")</f>
        <v/>
      </c>
      <c r="J79" t="str">
        <f>IF(FT!B79&lt;&gt;"",FT!C79,"")</f>
        <v/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69848</v>
      </c>
      <c r="D80" s="61">
        <f>FH!B80*1</f>
        <v>69848</v>
      </c>
      <c r="E80">
        <f t="shared" si="11"/>
        <v>78</v>
      </c>
      <c r="F80" s="61" t="str">
        <f>IF(FT!A80&lt;&gt;"",FT!A80*10,"")</f>
        <v/>
      </c>
      <c r="G80" s="61" t="str">
        <f>IF(FT!B80&lt;&gt;"",FT!B80*100,"")</f>
        <v/>
      </c>
      <c r="H80" s="61" t="str">
        <f t="shared" si="9"/>
        <v/>
      </c>
      <c r="I80" t="str">
        <f>IF(FT!B80&lt;&gt;"",FT!E80,"")</f>
        <v/>
      </c>
      <c r="J80" t="str">
        <f>IF(FT!B80&lt;&gt;"",FT!C80,"")</f>
        <v/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 t="str">
        <f>IF(FT!A81&lt;&gt;"",FT!A81*10,"")</f>
        <v/>
      </c>
      <c r="G81" s="61" t="str">
        <f>IF(FT!B81&lt;&gt;"",FT!B81*100,"")</f>
        <v/>
      </c>
      <c r="H81" s="61" t="str">
        <f t="shared" si="9"/>
        <v/>
      </c>
      <c r="I81" t="str">
        <f>IF(FT!B81&lt;&gt;"",FT!E81,"")</f>
        <v/>
      </c>
      <c r="J81" t="str">
        <f>IF(FT!B81&lt;&gt;"",FT!C81,"")</f>
        <v/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61420</v>
      </c>
      <c r="D82" s="61">
        <f>FH!B82*1</f>
        <v>61420</v>
      </c>
      <c r="E82">
        <f t="shared" si="11"/>
        <v>80</v>
      </c>
      <c r="F82" s="61" t="str">
        <f>IF(FT!A82&lt;&gt;"",FT!A82*10,"")</f>
        <v/>
      </c>
      <c r="G82" s="61" t="str">
        <f>IF(FT!B82&lt;&gt;"",FT!B82*100,"")</f>
        <v/>
      </c>
      <c r="H82" s="61" t="str">
        <f t="shared" si="9"/>
        <v/>
      </c>
      <c r="I82" t="str">
        <f>IF(FT!B82&lt;&gt;"",FT!E82,"")</f>
        <v/>
      </c>
      <c r="J82" t="str">
        <f>IF(FT!B82&lt;&gt;"",FT!C82,"")</f>
        <v/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 t="str">
        <f>IF(FT!A83&lt;&gt;"",FT!A83*10,"")</f>
        <v/>
      </c>
      <c r="G83" s="61" t="str">
        <f>IF(FT!B83&lt;&gt;"",FT!B83*100,"")</f>
        <v/>
      </c>
      <c r="H83" s="61" t="str">
        <f t="shared" si="9"/>
        <v/>
      </c>
      <c r="I83" t="str">
        <f>IF(FT!B83&lt;&gt;"",FT!E83,"")</f>
        <v/>
      </c>
      <c r="J83" t="str">
        <f>IF(FT!B83&lt;&gt;"",FT!C83,"")</f>
        <v/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 t="str">
        <f>IF(FT!A84&lt;&gt;"",FT!A84*10,"")</f>
        <v/>
      </c>
      <c r="G84" s="61" t="str">
        <f>IF(FT!B84&lt;&gt;"",FT!B84*100,"")</f>
        <v/>
      </c>
      <c r="H84" s="61" t="str">
        <f t="shared" si="9"/>
        <v/>
      </c>
      <c r="I84" t="str">
        <f>IF(FT!B84&lt;&gt;"",FT!E84,"")</f>
        <v/>
      </c>
      <c r="J84" t="str">
        <f>IF(FT!B84&lt;&gt;"",FT!C84,"")</f>
        <v/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55176</v>
      </c>
      <c r="D85" s="61">
        <f>FH!B85*1</f>
        <v>55176</v>
      </c>
      <c r="E85">
        <f t="shared" si="11"/>
        <v>83</v>
      </c>
      <c r="F85" s="61" t="str">
        <f>IF(FT!A85&lt;&gt;"",FT!A85*10,"")</f>
        <v/>
      </c>
      <c r="G85" s="61" t="str">
        <f>IF(FT!B85&lt;&gt;"",FT!B85*100,"")</f>
        <v/>
      </c>
      <c r="H85" s="61" t="str">
        <f t="shared" si="9"/>
        <v/>
      </c>
      <c r="I85" t="str">
        <f>IF(FT!B85&lt;&gt;"",FT!E85,"")</f>
        <v/>
      </c>
      <c r="J85" t="str">
        <f>IF(FT!B85&lt;&gt;"",FT!C85,"")</f>
        <v/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 t="str">
        <f>IF(FT!A86&lt;&gt;"",FT!A86*10,"")</f>
        <v/>
      </c>
      <c r="G86" s="61" t="str">
        <f>IF(FT!B86&lt;&gt;"",FT!B86*100,"")</f>
        <v/>
      </c>
      <c r="H86" s="61" t="str">
        <f t="shared" si="9"/>
        <v/>
      </c>
      <c r="I86" t="str">
        <f>IF(FT!B86&lt;&gt;"",FT!E86,"")</f>
        <v/>
      </c>
      <c r="J86" t="str">
        <f>IF(FT!B86&lt;&gt;"",FT!C86,"")</f>
        <v/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 t="str">
        <f>IF(FT!A87&lt;&gt;"",FT!A87*10,"")</f>
        <v/>
      </c>
      <c r="G87" s="61" t="str">
        <f>IF(FT!B87&lt;&gt;"",FT!B87*100,"")</f>
        <v/>
      </c>
      <c r="H87" s="61" t="str">
        <f t="shared" si="9"/>
        <v/>
      </c>
      <c r="I87" t="str">
        <f>IF(FT!B87&lt;&gt;"",FT!E87,"")</f>
        <v/>
      </c>
      <c r="J87" t="str">
        <f>IF(FT!B87&lt;&gt;"",FT!C87,"")</f>
        <v/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50247</v>
      </c>
      <c r="D88" s="61">
        <f>FH!B88*1</f>
        <v>50247</v>
      </c>
      <c r="E88">
        <f t="shared" si="11"/>
        <v>86</v>
      </c>
      <c r="F88" s="61" t="str">
        <f>IF(FT!A88&lt;&gt;"",FT!A88*10,"")</f>
        <v/>
      </c>
      <c r="G88" s="61" t="str">
        <f>IF(FT!B88&lt;&gt;"",FT!B88*100,"")</f>
        <v/>
      </c>
      <c r="H88" s="61" t="str">
        <f t="shared" si="9"/>
        <v/>
      </c>
      <c r="I88" t="str">
        <f>IF(FT!B88&lt;&gt;"",FT!E88,"")</f>
        <v/>
      </c>
      <c r="J88" t="str">
        <f>IF(FT!B88&lt;&gt;"",FT!C88,"")</f>
        <v/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 t="str">
        <f>IF(FT!A89&lt;&gt;"",FT!A89*10,"")</f>
        <v/>
      </c>
      <c r="G89" s="61" t="str">
        <f>IF(FT!B89&lt;&gt;"",FT!B89*100,"")</f>
        <v/>
      </c>
      <c r="H89" s="61" t="str">
        <f t="shared" si="9"/>
        <v/>
      </c>
      <c r="I89" t="str">
        <f>IF(FT!B89&lt;&gt;"",FT!E89,"")</f>
        <v/>
      </c>
      <c r="J89" t="str">
        <f>IF(FT!B89&lt;&gt;"",FT!C89,"")</f>
        <v/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42109</v>
      </c>
      <c r="D90" s="61">
        <f>FH!B90*1</f>
        <v>42109</v>
      </c>
      <c r="E90">
        <f t="shared" si="11"/>
        <v>88</v>
      </c>
      <c r="F90" s="61" t="str">
        <f>IF(FT!A90&lt;&gt;"",FT!A90*10,"")</f>
        <v/>
      </c>
      <c r="G90" s="61" t="str">
        <f>IF(FT!B90&lt;&gt;"",FT!B90*100,"")</f>
        <v/>
      </c>
      <c r="H90" s="61" t="str">
        <f t="shared" si="9"/>
        <v/>
      </c>
      <c r="I90" t="str">
        <f>IF(FT!B90&lt;&gt;"",FT!E90,"")</f>
        <v/>
      </c>
      <c r="J90" t="str">
        <f>IF(FT!B90&lt;&gt;"",FT!C90,"")</f>
        <v/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 t="str">
        <f>IF(FT!A91&lt;&gt;"",FT!A91*10,"")</f>
        <v/>
      </c>
      <c r="G91" s="61" t="str">
        <f>IF(FT!B91&lt;&gt;"",FT!B91*100,"")</f>
        <v/>
      </c>
      <c r="H91" s="61" t="str">
        <f t="shared" si="9"/>
        <v/>
      </c>
      <c r="I91" t="str">
        <f>IF(FT!B91&lt;&gt;"",FT!E91,"")</f>
        <v/>
      </c>
      <c r="J91" t="str">
        <f>IF(FT!B91&lt;&gt;"",FT!C91,"")</f>
        <v/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 t="str">
        <f>IF(FT!A92&lt;&gt;"",FT!A92*10,"")</f>
        <v/>
      </c>
      <c r="G92" s="61" t="str">
        <f>IF(FT!B92&lt;&gt;"",FT!B92*100,"")</f>
        <v/>
      </c>
      <c r="H92" s="61" t="str">
        <f t="shared" si="9"/>
        <v/>
      </c>
      <c r="I92" t="str">
        <f>IF(FT!B92&lt;&gt;"",FT!E92,"")</f>
        <v/>
      </c>
      <c r="J92" t="str">
        <f>IF(FT!B92&lt;&gt;"",FT!C92,"")</f>
        <v/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46012</v>
      </c>
      <c r="D93" s="61">
        <f>FH!B93*1</f>
        <v>46012</v>
      </c>
      <c r="E93">
        <f t="shared" si="11"/>
        <v>91</v>
      </c>
      <c r="F93" s="61" t="str">
        <f>IF(FT!A93&lt;&gt;"",FT!A93*10,"")</f>
        <v/>
      </c>
      <c r="G93" s="61" t="str">
        <f>IF(FT!B93&lt;&gt;"",FT!B93*100,"")</f>
        <v/>
      </c>
      <c r="H93" s="61" t="str">
        <f t="shared" si="9"/>
        <v/>
      </c>
      <c r="I93" t="str">
        <f>IF(FT!B93&lt;&gt;"",FT!E93,"")</f>
        <v/>
      </c>
      <c r="J93" t="str">
        <f>IF(FT!B93&lt;&gt;"",FT!C93,"")</f>
        <v/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 t="str">
        <f>IF(FT!A94&lt;&gt;"",FT!A94*10,"")</f>
        <v/>
      </c>
      <c r="G94" s="61" t="str">
        <f>IF(FT!B94&lt;&gt;"",FT!B94*100,"")</f>
        <v/>
      </c>
      <c r="H94" s="61" t="str">
        <f t="shared" si="9"/>
        <v/>
      </c>
      <c r="I94" t="str">
        <f>IF(FT!B94&lt;&gt;"",FT!E94,"")</f>
        <v/>
      </c>
      <c r="J94" t="str">
        <f>IF(FT!B94&lt;&gt;"",FT!C94,"")</f>
        <v/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48364</v>
      </c>
      <c r="D95" s="61">
        <f>FH!B95*1</f>
        <v>48364</v>
      </c>
      <c r="E95">
        <f t="shared" si="11"/>
        <v>93</v>
      </c>
      <c r="F95" s="61" t="str">
        <f>IF(FT!A95&lt;&gt;"",FT!A95*10,"")</f>
        <v/>
      </c>
      <c r="G95" s="61" t="str">
        <f>IF(FT!B95&lt;&gt;"",FT!B95*100,"")</f>
        <v/>
      </c>
      <c r="H95" s="61" t="str">
        <f t="shared" si="9"/>
        <v/>
      </c>
      <c r="I95" t="str">
        <f>IF(FT!B95&lt;&gt;"",FT!E95,"")</f>
        <v/>
      </c>
      <c r="J95" t="str">
        <f>IF(FT!B95&lt;&gt;"",FT!C95,"")</f>
        <v/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 t="str">
        <f>IF(FT!A96&lt;&gt;"",FT!A96*10,"")</f>
        <v/>
      </c>
      <c r="G96" s="61" t="str">
        <f>IF(FT!B96&lt;&gt;"",FT!B96*100,"")</f>
        <v/>
      </c>
      <c r="H96" s="61" t="str">
        <f t="shared" si="9"/>
        <v/>
      </c>
      <c r="I96" t="str">
        <f>IF(FT!B96&lt;&gt;"",FT!E96,"")</f>
        <v/>
      </c>
      <c r="J96" t="str">
        <f>IF(FT!B96&lt;&gt;"",FT!C96,"")</f>
        <v/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 t="str">
        <f>IF(FT!A97&lt;&gt;"",FT!A97*10,"")</f>
        <v/>
      </c>
      <c r="G97" s="61" t="str">
        <f>IF(FT!B97&lt;&gt;"",FT!B97*100,"")</f>
        <v/>
      </c>
      <c r="H97" s="61" t="str">
        <f t="shared" si="9"/>
        <v/>
      </c>
      <c r="I97" t="str">
        <f>IF(FT!B97&lt;&gt;"",FT!E97,"")</f>
        <v/>
      </c>
      <c r="J97" t="str">
        <f>IF(FT!B97&lt;&gt;"",FT!C97,"")</f>
        <v/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49888</v>
      </c>
      <c r="D98" s="61">
        <f>FH!B98*1</f>
        <v>49888</v>
      </c>
      <c r="E98">
        <f t="shared" si="11"/>
        <v>96</v>
      </c>
      <c r="F98" s="61" t="str">
        <f>IF(FT!A98&lt;&gt;"",FT!A98*10,"")</f>
        <v/>
      </c>
      <c r="G98" s="61" t="str">
        <f>IF(FT!B98&lt;&gt;"",FT!B98*100,"")</f>
        <v/>
      </c>
      <c r="H98" s="61" t="str">
        <f t="shared" si="9"/>
        <v/>
      </c>
      <c r="I98" t="str">
        <f>IF(FT!B98&lt;&gt;"",FT!E98,"")</f>
        <v/>
      </c>
      <c r="J98" t="str">
        <f>IF(FT!B98&lt;&gt;"",FT!C98,"")</f>
        <v/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 t="str">
        <f>IF(FT!A99&lt;&gt;"",FT!A99*10,"")</f>
        <v/>
      </c>
      <c r="G99" s="61" t="str">
        <f>IF(FT!B99&lt;&gt;"",FT!B99*100,"")</f>
        <v/>
      </c>
      <c r="H99" s="61" t="str">
        <f t="shared" si="9"/>
        <v/>
      </c>
      <c r="I99" t="str">
        <f>IF(FT!B99&lt;&gt;"",FT!E99,"")</f>
        <v/>
      </c>
      <c r="J99" t="str">
        <f>IF(FT!B99&lt;&gt;"",FT!C99,"")</f>
        <v/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42564</v>
      </c>
      <c r="D100" s="61">
        <f>FH!B100*1</f>
        <v>42564</v>
      </c>
      <c r="E100">
        <f t="shared" si="11"/>
        <v>98</v>
      </c>
      <c r="F100" s="61" t="str">
        <f>IF(FT!A100&lt;&gt;"",FT!A100*10,"")</f>
        <v/>
      </c>
      <c r="G100" s="61" t="str">
        <f>IF(FT!B100&lt;&gt;"",FT!B100*100,"")</f>
        <v/>
      </c>
      <c r="H100" s="61" t="str">
        <f t="shared" si="9"/>
        <v/>
      </c>
      <c r="I100" t="str">
        <f>IF(FT!B100&lt;&gt;"",FT!E100,"")</f>
        <v/>
      </c>
      <c r="J100" t="str">
        <f>IF(FT!B100&lt;&gt;"",FT!C100,"")</f>
        <v/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 t="str">
        <f>IF(FT!A101&lt;&gt;"",FT!A101*10,"")</f>
        <v/>
      </c>
      <c r="G101" s="61" t="str">
        <f>IF(FT!B101&lt;&gt;"",FT!B101*100,"")</f>
        <v/>
      </c>
      <c r="H101" s="61" t="str">
        <f t="shared" si="9"/>
        <v/>
      </c>
      <c r="I101" t="str">
        <f>IF(FT!B101&lt;&gt;"",FT!E101,"")</f>
        <v/>
      </c>
      <c r="J101" t="str">
        <f>IF(FT!B101&lt;&gt;"",FT!C101,"")</f>
        <v/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 t="str">
        <f>IF(FT!A102&lt;&gt;"",FT!A102*10,"")</f>
        <v/>
      </c>
      <c r="G102" s="61" t="str">
        <f>IF(FT!B102&lt;&gt;"",FT!B102*100,"")</f>
        <v/>
      </c>
      <c r="H102" s="61" t="str">
        <f t="shared" si="9"/>
        <v/>
      </c>
      <c r="I102" t="str">
        <f>IF(FT!B102&lt;&gt;"",FT!E102,"")</f>
        <v/>
      </c>
      <c r="J102" t="str">
        <f>IF(FT!B102&lt;&gt;"",FT!C102,"")</f>
        <v/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37504</v>
      </c>
      <c r="D103" s="61">
        <f>FH!B103*1</f>
        <v>37504</v>
      </c>
      <c r="E103">
        <f t="shared" si="11"/>
        <v>101</v>
      </c>
      <c r="F103" s="61" t="str">
        <f>IF(FT!A103&lt;&gt;"",FT!A103*10,"")</f>
        <v/>
      </c>
      <c r="G103" s="61" t="str">
        <f>IF(FT!B103&lt;&gt;"",FT!B103*100,"")</f>
        <v/>
      </c>
      <c r="H103" s="61" t="str">
        <f t="shared" si="9"/>
        <v/>
      </c>
      <c r="I103" t="str">
        <f>IF(FT!B103&lt;&gt;"",FT!E103,"")</f>
        <v/>
      </c>
      <c r="J103" t="str">
        <f>IF(FT!B103&lt;&gt;"",FT!C103,"")</f>
        <v/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 t="str">
        <f>IF(FT!A104&lt;&gt;"",FT!A104*10,"")</f>
        <v/>
      </c>
      <c r="G104" s="61" t="str">
        <f>IF(FT!B104&lt;&gt;"",FT!B104*100,"")</f>
        <v/>
      </c>
      <c r="H104" s="61" t="str">
        <f t="shared" si="9"/>
        <v/>
      </c>
      <c r="I104" t="str">
        <f>IF(FT!B104&lt;&gt;"",FT!E104,"")</f>
        <v/>
      </c>
      <c r="J104" t="str">
        <f>IF(FT!B104&lt;&gt;"",FT!C104,"")</f>
        <v/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 t="str">
        <f>IF(FT!A105&lt;&gt;"",FT!A105*10,"")</f>
        <v/>
      </c>
      <c r="G105" s="61" t="str">
        <f>IF(FT!B105&lt;&gt;"",FT!B105*100,"")</f>
        <v/>
      </c>
      <c r="H105" s="61" t="str">
        <f t="shared" si="9"/>
        <v/>
      </c>
      <c r="I105" t="str">
        <f>IF(FT!B105&lt;&gt;"",FT!E105,"")</f>
        <v/>
      </c>
      <c r="J105" t="str">
        <f>IF(FT!B105&lt;&gt;"",FT!C105,"")</f>
        <v/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35935</v>
      </c>
      <c r="D106" s="61">
        <f>FH!B106*1</f>
        <v>35935</v>
      </c>
      <c r="E106">
        <f t="shared" si="11"/>
        <v>104</v>
      </c>
      <c r="F106" s="61" t="str">
        <f>IF(FT!A106&lt;&gt;"",FT!A106*10,"")</f>
        <v/>
      </c>
      <c r="G106" s="61" t="str">
        <f>IF(FT!B106&lt;&gt;"",FT!B106*100,"")</f>
        <v/>
      </c>
      <c r="H106" s="61" t="str">
        <f t="shared" si="9"/>
        <v/>
      </c>
      <c r="I106" t="str">
        <f>IF(FT!B106&lt;&gt;"",FT!E106,"")</f>
        <v/>
      </c>
      <c r="J106" t="str">
        <f>IF(FT!B106&lt;&gt;"",FT!C106,"")</f>
        <v/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 t="str">
        <f>IF(FT!A107&lt;&gt;"",FT!A107*10,"")</f>
        <v/>
      </c>
      <c r="G107" s="61" t="str">
        <f>IF(FT!B107&lt;&gt;"",FT!B107*100,"")</f>
        <v/>
      </c>
      <c r="H107" s="61" t="str">
        <f t="shared" si="9"/>
        <v/>
      </c>
      <c r="I107" t="str">
        <f>IF(FT!B107&lt;&gt;"",FT!E107,"")</f>
        <v/>
      </c>
      <c r="J107" t="str">
        <f>IF(FT!B107&lt;&gt;"",FT!C107,"")</f>
        <v/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37950</v>
      </c>
      <c r="D108" s="61">
        <f>FH!B108*1</f>
        <v>37950</v>
      </c>
      <c r="E108">
        <f t="shared" si="11"/>
        <v>106</v>
      </c>
      <c r="F108" s="61" t="str">
        <f>IF(FT!A108&lt;&gt;"",FT!A108*10,"")</f>
        <v/>
      </c>
      <c r="G108" s="61" t="str">
        <f>IF(FT!B108&lt;&gt;"",FT!B108*100,"")</f>
        <v/>
      </c>
      <c r="H108" s="61" t="str">
        <f t="shared" si="9"/>
        <v/>
      </c>
      <c r="I108" t="str">
        <f>IF(FT!B108&lt;&gt;"",FT!E108,"")</f>
        <v/>
      </c>
      <c r="J108" t="str">
        <f>IF(FT!B108&lt;&gt;"",FT!C108,"")</f>
        <v/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 t="str">
        <f>IF(FT!A109&lt;&gt;"",FT!A109*10,"")</f>
        <v/>
      </c>
      <c r="G109" s="61" t="str">
        <f>IF(FT!B109&lt;&gt;"",FT!B109*100,"")</f>
        <v/>
      </c>
      <c r="H109" s="61" t="str">
        <f t="shared" si="9"/>
        <v/>
      </c>
      <c r="I109" t="str">
        <f>IF(FT!B109&lt;&gt;"",FT!E109,"")</f>
        <v/>
      </c>
      <c r="J109" t="str">
        <f>IF(FT!B109&lt;&gt;"",FT!C109,"")</f>
        <v/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 t="str">
        <f>IF(FT!A110&lt;&gt;"",FT!A110*10,"")</f>
        <v/>
      </c>
      <c r="G110" s="61" t="str">
        <f>IF(FT!B110&lt;&gt;"",FT!B110*100,"")</f>
        <v/>
      </c>
      <c r="H110" s="61" t="str">
        <f t="shared" si="9"/>
        <v/>
      </c>
      <c r="I110" t="str">
        <f>IF(FT!B110&lt;&gt;"",FT!E110,"")</f>
        <v/>
      </c>
      <c r="J110" t="str">
        <f>IF(FT!B110&lt;&gt;"",FT!C110,"")</f>
        <v/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37135</v>
      </c>
      <c r="D111" s="61">
        <f>FH!B111*1</f>
        <v>37135</v>
      </c>
      <c r="E111">
        <f t="shared" si="11"/>
        <v>109</v>
      </c>
      <c r="F111" s="61" t="str">
        <f>IF(FT!A111&lt;&gt;"",FT!A111*10,"")</f>
        <v/>
      </c>
      <c r="G111" s="61" t="str">
        <f>IF(FT!B111&lt;&gt;"",FT!B111*100,"")</f>
        <v/>
      </c>
      <c r="H111" s="61" t="str">
        <f t="shared" si="9"/>
        <v/>
      </c>
      <c r="I111" t="str">
        <f>IF(FT!B111&lt;&gt;"",FT!E111,"")</f>
        <v/>
      </c>
      <c r="J111" t="str">
        <f>IF(FT!B111&lt;&gt;"",FT!C111,"")</f>
        <v/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 t="str">
        <f>IF(FT!A112&lt;&gt;"",FT!A112*10,"")</f>
        <v/>
      </c>
      <c r="G112" s="61" t="str">
        <f>IF(FT!B112&lt;&gt;"",FT!B112*100,"")</f>
        <v/>
      </c>
      <c r="H112" s="61" t="str">
        <f t="shared" si="9"/>
        <v/>
      </c>
      <c r="I112" t="str">
        <f>IF(FT!B112&lt;&gt;"",FT!E112,"")</f>
        <v/>
      </c>
      <c r="J112" t="str">
        <f>IF(FT!B112&lt;&gt;"",FT!C112,"")</f>
        <v/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27602</v>
      </c>
      <c r="D113" s="61">
        <f>FH!B113*1</f>
        <v>27602</v>
      </c>
      <c r="E113">
        <f t="shared" si="11"/>
        <v>111</v>
      </c>
      <c r="F113" s="61" t="str">
        <f>IF(FT!A113&lt;&gt;"",FT!A113*10,"")</f>
        <v/>
      </c>
      <c r="G113" s="61" t="str">
        <f>IF(FT!B113&lt;&gt;"",FT!B113*100,"")</f>
        <v/>
      </c>
      <c r="H113" s="61" t="str">
        <f t="shared" si="9"/>
        <v/>
      </c>
      <c r="I113" t="str">
        <f>IF(FT!B113&lt;&gt;"",FT!E113,"")</f>
        <v/>
      </c>
      <c r="J113" t="str">
        <f>IF(FT!B113&lt;&gt;"",FT!C113,"")</f>
        <v/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 t="str">
        <f>IF(FT!A114&lt;&gt;"",FT!A114*10,"")</f>
        <v/>
      </c>
      <c r="G114" s="61" t="str">
        <f>IF(FT!B114&lt;&gt;"",FT!B114*100,"")</f>
        <v/>
      </c>
      <c r="H114" s="61" t="str">
        <f t="shared" si="9"/>
        <v/>
      </c>
      <c r="I114" t="str">
        <f>IF(FT!B114&lt;&gt;"",FT!E114,"")</f>
        <v/>
      </c>
      <c r="J114" t="str">
        <f>IF(FT!B114&lt;&gt;"",FT!C114,"")</f>
        <v/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 t="str">
        <f>IF(FT!A115&lt;&gt;"",FT!A115*10,"")</f>
        <v/>
      </c>
      <c r="G115" s="61" t="str">
        <f>IF(FT!B115&lt;&gt;"",FT!B115*100,"")</f>
        <v/>
      </c>
      <c r="H115" s="61" t="str">
        <f t="shared" si="9"/>
        <v/>
      </c>
      <c r="I115" t="str">
        <f>IF(FT!B115&lt;&gt;"",FT!E115,"")</f>
        <v/>
      </c>
      <c r="J115" t="str">
        <f>IF(FT!B115&lt;&gt;"",FT!C115,"")</f>
        <v/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28078</v>
      </c>
      <c r="D116" s="61">
        <f>FH!B116*1</f>
        <v>28078</v>
      </c>
      <c r="E116">
        <f t="shared" si="11"/>
        <v>114</v>
      </c>
      <c r="F116" s="61" t="str">
        <f>IF(FT!A116&lt;&gt;"",FT!A116*10,"")</f>
        <v/>
      </c>
      <c r="G116" s="61" t="str">
        <f>IF(FT!B116&lt;&gt;"",FT!B116*100,"")</f>
        <v/>
      </c>
      <c r="H116" s="61" t="str">
        <f t="shared" si="9"/>
        <v/>
      </c>
      <c r="I116" t="str">
        <f>IF(FT!B116&lt;&gt;"",FT!E116,"")</f>
        <v/>
      </c>
      <c r="J116" t="str">
        <f>IF(FT!B116&lt;&gt;"",FT!C116,"")</f>
        <v/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 t="str">
        <f>IF(FT!A117&lt;&gt;"",FT!A117*10,"")</f>
        <v/>
      </c>
      <c r="G117" s="61" t="str">
        <f>IF(FT!B117&lt;&gt;"",FT!B117*100,"")</f>
        <v/>
      </c>
      <c r="H117" s="61" t="str">
        <f t="shared" si="9"/>
        <v/>
      </c>
      <c r="I117" t="str">
        <f>IF(FT!B117&lt;&gt;"",FT!E117,"")</f>
        <v/>
      </c>
      <c r="J117" t="str">
        <f>IF(FT!B117&lt;&gt;"",FT!C117,"")</f>
        <v/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24697</v>
      </c>
      <c r="D118" s="61">
        <f>FH!B118*1</f>
        <v>24697</v>
      </c>
      <c r="E118">
        <f t="shared" si="11"/>
        <v>116</v>
      </c>
      <c r="F118" s="61" t="str">
        <f>IF(FT!A118&lt;&gt;"",FT!A118*10,"")</f>
        <v/>
      </c>
      <c r="G118" s="61" t="str">
        <f>IF(FT!B118&lt;&gt;"",FT!B118*100,"")</f>
        <v/>
      </c>
      <c r="H118" s="61" t="str">
        <f t="shared" si="9"/>
        <v/>
      </c>
      <c r="I118" t="str">
        <f>IF(FT!B118&lt;&gt;"",FT!E118,"")</f>
        <v/>
      </c>
      <c r="J118" t="str">
        <f>IF(FT!B118&lt;&gt;"",FT!C118,"")</f>
        <v/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 t="str">
        <f>IF(FT!A119&lt;&gt;"",FT!A119*10,"")</f>
        <v/>
      </c>
      <c r="G119" s="61" t="str">
        <f>IF(FT!B119&lt;&gt;"",FT!B119*100,"")</f>
        <v/>
      </c>
      <c r="H119" s="61" t="str">
        <f t="shared" si="9"/>
        <v/>
      </c>
      <c r="I119" t="str">
        <f>IF(FT!B119&lt;&gt;"",FT!E119,"")</f>
        <v/>
      </c>
      <c r="J119" t="str">
        <f>IF(FT!B119&lt;&gt;"",FT!C119,"")</f>
        <v/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 t="str">
        <f>IF(FT!A120&lt;&gt;"",FT!A120*10,"")</f>
        <v/>
      </c>
      <c r="G120" s="61" t="str">
        <f>IF(FT!B120&lt;&gt;"",FT!B120*100,"")</f>
        <v/>
      </c>
      <c r="H120" s="61" t="str">
        <f t="shared" si="9"/>
        <v/>
      </c>
      <c r="I120" t="str">
        <f>IF(FT!B120&lt;&gt;"",FT!E120,"")</f>
        <v/>
      </c>
      <c r="J120" t="str">
        <f>IF(FT!B120&lt;&gt;"",FT!C120,"")</f>
        <v/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26167</v>
      </c>
      <c r="D121" s="61">
        <f>FH!B121*1</f>
        <v>26167</v>
      </c>
      <c r="E121">
        <f t="shared" si="11"/>
        <v>119</v>
      </c>
      <c r="F121" s="61" t="str">
        <f>IF(FT!A121&lt;&gt;"",FT!A121*10,"")</f>
        <v/>
      </c>
      <c r="G121" s="61" t="str">
        <f>IF(FT!B121&lt;&gt;"",FT!B121*100,"")</f>
        <v/>
      </c>
      <c r="H121" s="61" t="str">
        <f t="shared" si="9"/>
        <v/>
      </c>
      <c r="I121" t="str">
        <f>IF(FT!B121&lt;&gt;"",FT!E121,"")</f>
        <v/>
      </c>
      <c r="J121" t="str">
        <f>IF(FT!B121&lt;&gt;"",FT!C121,"")</f>
        <v/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 t="str">
        <f>IF(FT!A122&lt;&gt;"",FT!A122*10,"")</f>
        <v/>
      </c>
      <c r="G122" s="61" t="str">
        <f>IF(FT!B122&lt;&gt;"",FT!B122*100,"")</f>
        <v/>
      </c>
      <c r="H122" s="61" t="str">
        <f t="shared" si="9"/>
        <v/>
      </c>
      <c r="I122" t="str">
        <f>IF(FT!B122&lt;&gt;"",FT!E122,"")</f>
        <v/>
      </c>
      <c r="J122" t="str">
        <f>IF(FT!B122&lt;&gt;"",FT!C122,"")</f>
        <v/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 t="str">
        <f>IF(FT!A123&lt;&gt;"",FT!A123*10,"")</f>
        <v/>
      </c>
      <c r="G123" s="61" t="str">
        <f>IF(FT!B123&lt;&gt;"",FT!B123*100,"")</f>
        <v/>
      </c>
      <c r="H123" s="61" t="str">
        <f t="shared" si="9"/>
        <v/>
      </c>
      <c r="I123" t="str">
        <f>IF(FT!B123&lt;&gt;"",FT!E123,"")</f>
        <v/>
      </c>
      <c r="J123" t="str">
        <f>IF(FT!B123&lt;&gt;"",FT!C123,"")</f>
        <v/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23614</v>
      </c>
      <c r="D124" s="61">
        <f>FH!B124*1</f>
        <v>23614</v>
      </c>
      <c r="E124">
        <f t="shared" si="11"/>
        <v>122</v>
      </c>
      <c r="F124" s="61" t="str">
        <f>IF(FT!A124&lt;&gt;"",FT!A124*10,"")</f>
        <v/>
      </c>
      <c r="G124" s="61" t="str">
        <f>IF(FT!B124&lt;&gt;"",FT!B124*100,"")</f>
        <v/>
      </c>
      <c r="H124" s="61" t="str">
        <f t="shared" si="9"/>
        <v/>
      </c>
      <c r="I124" t="str">
        <f>IF(FT!B124&lt;&gt;"",FT!E124,"")</f>
        <v/>
      </c>
      <c r="J124" t="str">
        <f>IF(FT!B124&lt;&gt;"",FT!C124,"")</f>
        <v/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 t="str">
        <f>IF(FT!A125&lt;&gt;"",FT!A125*10,"")</f>
        <v/>
      </c>
      <c r="G125" s="61" t="str">
        <f>IF(FT!B125&lt;&gt;"",FT!B125*100,"")</f>
        <v/>
      </c>
      <c r="H125" s="61" t="str">
        <f t="shared" si="9"/>
        <v/>
      </c>
      <c r="I125" t="str">
        <f>IF(FT!B125&lt;&gt;"",FT!E125,"")</f>
        <v/>
      </c>
      <c r="J125" t="str">
        <f>IF(FT!B125&lt;&gt;"",FT!C125,"")</f>
        <v/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20549</v>
      </c>
      <c r="D126" s="61">
        <f>FH!B126*1</f>
        <v>20549</v>
      </c>
      <c r="E126">
        <f t="shared" si="11"/>
        <v>124</v>
      </c>
      <c r="F126" s="61" t="str">
        <f>IF(FT!A126&lt;&gt;"",FT!A126*10,"")</f>
        <v/>
      </c>
      <c r="G126" s="61" t="str">
        <f>IF(FT!B126&lt;&gt;"",FT!B126*100,"")</f>
        <v/>
      </c>
      <c r="H126" s="61" t="str">
        <f t="shared" si="9"/>
        <v/>
      </c>
      <c r="I126" t="str">
        <f>IF(FT!B126&lt;&gt;"",FT!E126,"")</f>
        <v/>
      </c>
      <c r="J126" t="str">
        <f>IF(FT!B126&lt;&gt;"",FT!C126,"")</f>
        <v/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 t="str">
        <f>IF(FT!A127&lt;&gt;"",FT!A127*10,"")</f>
        <v/>
      </c>
      <c r="G127" s="61" t="str">
        <f>IF(FT!B127&lt;&gt;"",FT!B127*100,"")</f>
        <v/>
      </c>
      <c r="H127" s="61" t="str">
        <f t="shared" si="9"/>
        <v/>
      </c>
      <c r="I127" t="str">
        <f>IF(FT!B127&lt;&gt;"",FT!E127,"")</f>
        <v/>
      </c>
      <c r="J127" t="str">
        <f>IF(FT!B127&lt;&gt;"",FT!C127,"")</f>
        <v/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 t="str">
        <f>IF(FT!A128&lt;&gt;"",FT!A128*10,"")</f>
        <v/>
      </c>
      <c r="G128" s="61" t="str">
        <f>IF(FT!B128&lt;&gt;"",FT!B128*100,"")</f>
        <v/>
      </c>
      <c r="H128" s="61" t="str">
        <f t="shared" si="9"/>
        <v/>
      </c>
      <c r="I128" t="str">
        <f>IF(FT!B128&lt;&gt;"",FT!E128,"")</f>
        <v/>
      </c>
      <c r="J128" t="str">
        <f>IF(FT!B128&lt;&gt;"",FT!C128,"")</f>
        <v/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19204</v>
      </c>
      <c r="D129" s="61">
        <f>FH!B129*1</f>
        <v>19204</v>
      </c>
      <c r="E129">
        <f t="shared" si="11"/>
        <v>127</v>
      </c>
      <c r="F129" s="61" t="str">
        <f>IF(FT!A129&lt;&gt;"",FT!A129*10,"")</f>
        <v/>
      </c>
      <c r="G129" s="61" t="str">
        <f>IF(FT!B129&lt;&gt;"",FT!B129*100,"")</f>
        <v/>
      </c>
      <c r="H129" s="61" t="str">
        <f t="shared" si="9"/>
        <v/>
      </c>
      <c r="I129" t="str">
        <f>IF(FT!B129&lt;&gt;"",FT!E129,"")</f>
        <v/>
      </c>
      <c r="J129" t="str">
        <f>IF(FT!B129&lt;&gt;"",FT!C129,"")</f>
        <v/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 t="str">
        <f>IF(FT!A130&lt;&gt;"",FT!A130*10,"")</f>
        <v/>
      </c>
      <c r="G130" s="61" t="str">
        <f>IF(FT!B130&lt;&gt;"",FT!B130*100,"")</f>
        <v/>
      </c>
      <c r="H130" s="61" t="str">
        <f t="shared" si="9"/>
        <v/>
      </c>
      <c r="I130" t="str">
        <f>IF(FT!B130&lt;&gt;"",FT!E130,"")</f>
        <v/>
      </c>
      <c r="J130" t="str">
        <f>IF(FT!B130&lt;&gt;"",FT!C130,"")</f>
        <v/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19737</v>
      </c>
      <c r="D131" s="61">
        <f>FH!B131*1</f>
        <v>19737</v>
      </c>
      <c r="E131">
        <f t="shared" si="11"/>
        <v>129</v>
      </c>
      <c r="F131" s="61" t="str">
        <f>IF(FT!A131&lt;&gt;"",FT!A131*10,"")</f>
        <v/>
      </c>
      <c r="G131" s="61" t="str">
        <f>IF(FT!B131&lt;&gt;"",FT!B131*100,"")</f>
        <v/>
      </c>
      <c r="H131" s="61" t="str">
        <f t="shared" ref="H131:H194" si="13">(IF(F131&lt;&gt;"",1,""))</f>
        <v/>
      </c>
      <c r="I131" t="str">
        <f>IF(FT!B131&lt;&gt;"",FT!E131,"")</f>
        <v/>
      </c>
      <c r="J131" t="str">
        <f>IF(FT!B131&lt;&gt;"",FT!C131,"")</f>
        <v/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 t="str">
        <f>IF(FT!A132&lt;&gt;"",FT!A132*10,"")</f>
        <v/>
      </c>
      <c r="G132" s="61" t="str">
        <f>IF(FT!B132&lt;&gt;"",FT!B132*100,"")</f>
        <v/>
      </c>
      <c r="H132" s="61" t="str">
        <f t="shared" si="13"/>
        <v/>
      </c>
      <c r="I132" t="str">
        <f>IF(FT!B132&lt;&gt;"",FT!E132,"")</f>
        <v/>
      </c>
      <c r="J132" t="str">
        <f>IF(FT!B132&lt;&gt;"",FT!C132,"")</f>
        <v/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 t="str">
        <f>IF(FT!A133&lt;&gt;"",FT!A133*10,"")</f>
        <v/>
      </c>
      <c r="G133" s="61" t="str">
        <f>IF(FT!B133&lt;&gt;"",FT!B133*100,"")</f>
        <v/>
      </c>
      <c r="H133" s="61" t="str">
        <f t="shared" si="13"/>
        <v/>
      </c>
      <c r="I133" t="str">
        <f>IF(FT!B133&lt;&gt;"",FT!E133,"")</f>
        <v/>
      </c>
      <c r="J133" t="str">
        <f>IF(FT!B133&lt;&gt;"",FT!C133,"")</f>
        <v/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11290</v>
      </c>
      <c r="D134" s="61">
        <f>FH!B134*1</f>
        <v>11290</v>
      </c>
      <c r="E134">
        <f t="shared" si="15"/>
        <v>132</v>
      </c>
      <c r="F134" s="61" t="str">
        <f>IF(FT!A134&lt;&gt;"",FT!A134*10,"")</f>
        <v/>
      </c>
      <c r="G134" s="61" t="str">
        <f>IF(FT!B134&lt;&gt;"",FT!B134*100,"")</f>
        <v/>
      </c>
      <c r="H134" s="61" t="str">
        <f t="shared" si="13"/>
        <v/>
      </c>
      <c r="I134" t="str">
        <f>IF(FT!B134&lt;&gt;"",FT!E134,"")</f>
        <v/>
      </c>
      <c r="J134" t="str">
        <f>IF(FT!B134&lt;&gt;"",FT!C134,"")</f>
        <v/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 t="str">
        <f>IF(FT!A135&lt;&gt;"",FT!A135*10,"")</f>
        <v/>
      </c>
      <c r="G135" s="61" t="str">
        <f>IF(FT!B135&lt;&gt;"",FT!B135*100,"")</f>
        <v/>
      </c>
      <c r="H135" s="61" t="str">
        <f t="shared" si="13"/>
        <v/>
      </c>
      <c r="I135" t="str">
        <f>IF(FT!B135&lt;&gt;"",FT!E135,"")</f>
        <v/>
      </c>
      <c r="J135" t="str">
        <f>IF(FT!B135&lt;&gt;"",FT!C135,"")</f>
        <v/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8894</v>
      </c>
      <c r="D136" s="61">
        <f>FH!B136*1</f>
        <v>8894</v>
      </c>
      <c r="E136">
        <f t="shared" si="15"/>
        <v>134</v>
      </c>
      <c r="F136" s="61" t="str">
        <f>IF(FT!A136&lt;&gt;"",FT!A136*10,"")</f>
        <v/>
      </c>
      <c r="G136" s="61" t="str">
        <f>IF(FT!B136&lt;&gt;"",FT!B136*100,"")</f>
        <v/>
      </c>
      <c r="H136" s="61" t="str">
        <f t="shared" si="13"/>
        <v/>
      </c>
      <c r="I136" t="str">
        <f>IF(FT!B136&lt;&gt;"",FT!E136,"")</f>
        <v/>
      </c>
      <c r="J136" t="str">
        <f>IF(FT!B136&lt;&gt;"",FT!C136,"")</f>
        <v/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 t="str">
        <f>IF(FT!A137&lt;&gt;"",FT!A137*10,"")</f>
        <v/>
      </c>
      <c r="G137" s="61" t="str">
        <f>IF(FT!B137&lt;&gt;"",FT!B137*100,"")</f>
        <v/>
      </c>
      <c r="H137" s="61" t="str">
        <f t="shared" si="13"/>
        <v/>
      </c>
      <c r="I137" t="str">
        <f>IF(FT!B137&lt;&gt;"",FT!E137,"")</f>
        <v/>
      </c>
      <c r="J137" t="str">
        <f>IF(FT!B137&lt;&gt;"",FT!C137,"")</f>
        <v/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 t="str">
        <f>IF(FT!A138&lt;&gt;"",FT!A138*10,"")</f>
        <v/>
      </c>
      <c r="G138" s="61" t="str">
        <f>IF(FT!B138&lt;&gt;"",FT!B138*100,"")</f>
        <v/>
      </c>
      <c r="H138" s="61" t="str">
        <f t="shared" si="13"/>
        <v/>
      </c>
      <c r="I138" t="str">
        <f>IF(FT!B138&lt;&gt;"",FT!E138,"")</f>
        <v/>
      </c>
      <c r="J138" t="str">
        <f>IF(FT!B138&lt;&gt;"",FT!C138,"")</f>
        <v/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6438</v>
      </c>
      <c r="D139" s="61">
        <f>FH!B139*1</f>
        <v>6438</v>
      </c>
      <c r="E139">
        <f t="shared" si="15"/>
        <v>137</v>
      </c>
      <c r="F139" s="61" t="str">
        <f>IF(FT!A139&lt;&gt;"",FT!A139*10,"")</f>
        <v/>
      </c>
      <c r="G139" s="61" t="str">
        <f>IF(FT!B139&lt;&gt;"",FT!B139*100,"")</f>
        <v/>
      </c>
      <c r="H139" s="61" t="str">
        <f t="shared" si="13"/>
        <v/>
      </c>
      <c r="I139" t="str">
        <f>IF(FT!B139&lt;&gt;"",FT!E139,"")</f>
        <v/>
      </c>
      <c r="J139" t="str">
        <f>IF(FT!B139&lt;&gt;"",FT!C139,"")</f>
        <v/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 t="str">
        <f>IF(FT!A140&lt;&gt;"",FT!A140*10,"")</f>
        <v/>
      </c>
      <c r="G140" s="61" t="str">
        <f>IF(FT!B140&lt;&gt;"",FT!B140*100,"")</f>
        <v/>
      </c>
      <c r="H140" s="61" t="str">
        <f t="shared" si="13"/>
        <v/>
      </c>
      <c r="I140" t="str">
        <f>IF(FT!B140&lt;&gt;"",FT!E140,"")</f>
        <v/>
      </c>
      <c r="J140" t="str">
        <f>IF(FT!B140&lt;&gt;"",FT!C140,"")</f>
        <v/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 t="str">
        <f>IF(FT!A141&lt;&gt;"",FT!A141*10,"")</f>
        <v/>
      </c>
      <c r="G141" s="61" t="str">
        <f>IF(FT!B141&lt;&gt;"",FT!B141*100,"")</f>
        <v/>
      </c>
      <c r="H141" s="61" t="str">
        <f t="shared" si="13"/>
        <v/>
      </c>
      <c r="I141" t="str">
        <f>IF(FT!B141&lt;&gt;"",FT!E141,"")</f>
        <v/>
      </c>
      <c r="J141" t="str">
        <f>IF(FT!B141&lt;&gt;"",FT!C141,"")</f>
        <v/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4502</v>
      </c>
      <c r="D142" s="61">
        <f>FH!B142*1</f>
        <v>4502</v>
      </c>
      <c r="E142">
        <f t="shared" si="15"/>
        <v>140</v>
      </c>
      <c r="F142" s="61" t="str">
        <f>IF(FT!A142&lt;&gt;"",FT!A142*10,"")</f>
        <v/>
      </c>
      <c r="G142" s="61" t="str">
        <f>IF(FT!B142&lt;&gt;"",FT!B142*100,"")</f>
        <v/>
      </c>
      <c r="H142" s="61" t="str">
        <f t="shared" si="13"/>
        <v/>
      </c>
      <c r="I142" t="str">
        <f>IF(FT!B142&lt;&gt;"",FT!E142,"")</f>
        <v/>
      </c>
      <c r="J142" t="str">
        <f>IF(FT!B142&lt;&gt;"",FT!C142,"")</f>
        <v/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 t="str">
        <f>IF(FT!A143&lt;&gt;"",FT!A143*10,"")</f>
        <v/>
      </c>
      <c r="G143" s="61" t="str">
        <f>IF(FT!B143&lt;&gt;"",FT!B143*100,"")</f>
        <v/>
      </c>
      <c r="H143" s="61" t="str">
        <f t="shared" si="13"/>
        <v/>
      </c>
      <c r="I143" t="str">
        <f>IF(FT!B143&lt;&gt;"",FT!E143,"")</f>
        <v/>
      </c>
      <c r="J143" t="str">
        <f>IF(FT!B143&lt;&gt;"",FT!C143,"")</f>
        <v/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2749</v>
      </c>
      <c r="D144" s="61">
        <f>FH!B144*1</f>
        <v>2749</v>
      </c>
      <c r="E144">
        <f t="shared" si="15"/>
        <v>142</v>
      </c>
      <c r="F144" s="61" t="str">
        <f>IF(FT!A144&lt;&gt;"",FT!A144*10,"")</f>
        <v/>
      </c>
      <c r="G144" s="61" t="str">
        <f>IF(FT!B144&lt;&gt;"",FT!B144*100,"")</f>
        <v/>
      </c>
      <c r="H144" s="61" t="str">
        <f t="shared" si="13"/>
        <v/>
      </c>
      <c r="I144" t="str">
        <f>IF(FT!B144&lt;&gt;"",FT!E144,"")</f>
        <v/>
      </c>
      <c r="J144" t="str">
        <f>IF(FT!B144&lt;&gt;"",FT!C144,"")</f>
        <v/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 t="str">
        <f>IF(FT!A145&lt;&gt;"",FT!A145*10,"")</f>
        <v/>
      </c>
      <c r="G145" s="61" t="str">
        <f>IF(FT!B145&lt;&gt;"",FT!B145*100,"")</f>
        <v/>
      </c>
      <c r="H145" s="61" t="str">
        <f t="shared" si="13"/>
        <v/>
      </c>
      <c r="I145" t="str">
        <f>IF(FT!B145&lt;&gt;"",FT!E145,"")</f>
        <v/>
      </c>
      <c r="J145" t="str">
        <f>IF(FT!B145&lt;&gt;"",FT!C145,"")</f>
        <v/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 t="str">
        <f>IF(FT!A146&lt;&gt;"",FT!A146*10,"")</f>
        <v/>
      </c>
      <c r="G146" s="61" t="str">
        <f>IF(FT!B146&lt;&gt;"",FT!B146*100,"")</f>
        <v/>
      </c>
      <c r="H146" s="61" t="str">
        <f t="shared" si="13"/>
        <v/>
      </c>
      <c r="I146" t="str">
        <f>IF(FT!B146&lt;&gt;"",FT!E146,"")</f>
        <v/>
      </c>
      <c r="J146" t="str">
        <f>IF(FT!B146&lt;&gt;"",FT!C146,"")</f>
        <v/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2920</v>
      </c>
      <c r="D147" s="61">
        <f>FH!B147*1</f>
        <v>2920</v>
      </c>
      <c r="E147">
        <f t="shared" si="15"/>
        <v>145</v>
      </c>
      <c r="F147" s="61" t="str">
        <f>IF(FT!A147&lt;&gt;"",FT!A147*10,"")</f>
        <v/>
      </c>
      <c r="G147" s="61" t="str">
        <f>IF(FT!B147&lt;&gt;"",FT!B147*100,"")</f>
        <v/>
      </c>
      <c r="H147" s="61" t="str">
        <f t="shared" si="13"/>
        <v/>
      </c>
      <c r="I147" t="str">
        <f>IF(FT!B147&lt;&gt;"",FT!E147,"")</f>
        <v/>
      </c>
      <c r="J147" t="str">
        <f>IF(FT!B147&lt;&gt;"",FT!C147,"")</f>
        <v/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 t="str">
        <f>IF(FT!A148&lt;&gt;"",FT!A148*10,"")</f>
        <v/>
      </c>
      <c r="G148" s="61" t="str">
        <f>IF(FT!B148&lt;&gt;"",FT!B148*100,"")</f>
        <v/>
      </c>
      <c r="H148" s="61" t="str">
        <f t="shared" si="13"/>
        <v/>
      </c>
      <c r="I148" t="str">
        <f>IF(FT!B148&lt;&gt;"",FT!E148,"")</f>
        <v/>
      </c>
      <c r="J148" t="str">
        <f>IF(FT!B148&lt;&gt;"",FT!C148,"")</f>
        <v/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1206</v>
      </c>
      <c r="D149" s="61">
        <f>FH!B149*1</f>
        <v>1206</v>
      </c>
      <c r="E149">
        <f t="shared" si="15"/>
        <v>147</v>
      </c>
      <c r="F149" s="61" t="str">
        <f>IF(FT!A149&lt;&gt;"",FT!A149*10,"")</f>
        <v/>
      </c>
      <c r="G149" s="61" t="str">
        <f>IF(FT!B149&lt;&gt;"",FT!B149*100,"")</f>
        <v/>
      </c>
      <c r="H149" s="61" t="str">
        <f t="shared" si="13"/>
        <v/>
      </c>
      <c r="I149" t="str">
        <f>IF(FT!B149&lt;&gt;"",FT!E149,"")</f>
        <v/>
      </c>
      <c r="J149" t="str">
        <f>IF(FT!B149&lt;&gt;"",FT!C149,"")</f>
        <v/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742</v>
      </c>
      <c r="D152" s="61">
        <f>FH!B152*1</f>
        <v>742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60</v>
      </c>
      <c r="D154" s="61">
        <f>FH!B154*1</f>
        <v>60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0</v>
      </c>
      <c r="D157" s="61">
        <f>FH!B157*1</f>
        <v>0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0</v>
      </c>
      <c r="D160" s="61">
        <f>FH!B160*1</f>
        <v>0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0</v>
      </c>
      <c r="D162" s="61">
        <f>FH!B162*1</f>
        <v>0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0</v>
      </c>
      <c r="D165" s="61">
        <f>FH!B165*1</f>
        <v>0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0</v>
      </c>
      <c r="D167" s="61">
        <f>FH!B167*1</f>
        <v>0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0</v>
      </c>
      <c r="D170" s="61">
        <f>FH!B170*1</f>
        <v>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0</v>
      </c>
      <c r="D173" s="61">
        <f>FH!B173*1</f>
        <v>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0</v>
      </c>
      <c r="D175" s="61">
        <f>FH!B175*1</f>
        <v>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33.262700000000002</v>
      </c>
      <c r="C5" s="66">
        <v>9.4637799999999999</v>
      </c>
      <c r="D5" s="66">
        <v>28.451699999999999</v>
      </c>
      <c r="E5" s="66">
        <v>20</v>
      </c>
      <c r="F5" s="66">
        <v>8.8093400000000006</v>
      </c>
      <c r="G5" s="66">
        <v>50</v>
      </c>
      <c r="H5" s="66">
        <v>50.316600000000001</v>
      </c>
    </row>
    <row r="6" spans="1:8">
      <c r="A6" s="58" t="s">
        <v>303</v>
      </c>
      <c r="B6" s="66">
        <v>26.551200000000001</v>
      </c>
      <c r="C6" s="66">
        <v>2.27766</v>
      </c>
      <c r="D6" s="66">
        <v>8.5783500000000004</v>
      </c>
      <c r="E6" s="66">
        <v>20</v>
      </c>
      <c r="F6" s="66">
        <v>19.739999999999998</v>
      </c>
      <c r="G6" s="66">
        <v>40</v>
      </c>
      <c r="H6" s="66">
        <v>30.323699999999999</v>
      </c>
    </row>
    <row r="7" spans="1:8">
      <c r="A7" s="58" t="s">
        <v>304</v>
      </c>
      <c r="B7" s="66">
        <v>14.3028</v>
      </c>
      <c r="C7" s="66">
        <v>6.4791699999999999</v>
      </c>
      <c r="D7" s="66">
        <v>45.299900000000001</v>
      </c>
      <c r="E7" s="66">
        <v>15</v>
      </c>
      <c r="F7" s="66">
        <v>2.5858300000000001</v>
      </c>
      <c r="G7" s="66">
        <v>40</v>
      </c>
      <c r="H7" s="66">
        <v>38.6907</v>
      </c>
    </row>
    <row r="8" spans="1:8">
      <c r="A8" s="58" t="s">
        <v>305</v>
      </c>
      <c r="B8" s="66">
        <v>23.811699999999998</v>
      </c>
      <c r="C8" s="66">
        <v>4.4005900000000002</v>
      </c>
      <c r="D8" s="66">
        <v>18.480699999999999</v>
      </c>
      <c r="E8" s="66">
        <v>20</v>
      </c>
      <c r="F8" s="66">
        <v>12.839600000000001</v>
      </c>
      <c r="G8" s="66">
        <v>50</v>
      </c>
      <c r="H8" s="66">
        <v>33.024099999999997</v>
      </c>
    </row>
    <row r="9" spans="1:8">
      <c r="A9" s="58" t="s">
        <v>306</v>
      </c>
      <c r="B9" s="66">
        <v>69.858199999999997</v>
      </c>
      <c r="C9" s="66">
        <v>6.87582</v>
      </c>
      <c r="D9" s="66">
        <v>9.8425399999999996</v>
      </c>
      <c r="E9" s="66">
        <v>50</v>
      </c>
      <c r="F9" s="66">
        <v>56.096400000000003</v>
      </c>
      <c r="G9" s="66">
        <v>100</v>
      </c>
      <c r="H9" s="66">
        <v>88.604900000000001</v>
      </c>
    </row>
    <row r="10" spans="1:8">
      <c r="A10" s="58" t="s">
        <v>307</v>
      </c>
      <c r="B10" s="66">
        <v>80.759100000000004</v>
      </c>
      <c r="C10" s="66">
        <v>2.0967899999999999</v>
      </c>
      <c r="D10" s="66">
        <v>2.5963500000000002</v>
      </c>
      <c r="E10" s="66">
        <v>40</v>
      </c>
      <c r="F10" s="66">
        <v>70.771500000000003</v>
      </c>
      <c r="G10" s="66">
        <v>100</v>
      </c>
      <c r="H10" s="66">
        <v>84.048599999999993</v>
      </c>
    </row>
    <row r="11" spans="1:8">
      <c r="A11" s="58" t="s">
        <v>308</v>
      </c>
      <c r="B11" s="66">
        <v>16.8278</v>
      </c>
      <c r="C11" s="66">
        <v>3.8069600000000001</v>
      </c>
      <c r="D11" s="66">
        <v>22.623000000000001</v>
      </c>
      <c r="E11" s="66">
        <v>10</v>
      </c>
      <c r="F11" s="66">
        <v>4.9106800000000002</v>
      </c>
      <c r="G11" s="66">
        <v>50</v>
      </c>
      <c r="H11" s="66">
        <v>20.4908</v>
      </c>
    </row>
    <row r="12" spans="1:8">
      <c r="A12" s="58" t="s">
        <v>309</v>
      </c>
      <c r="B12" s="66">
        <v>75.223799999999997</v>
      </c>
      <c r="C12" s="66">
        <v>3.0625</v>
      </c>
      <c r="D12" s="66">
        <v>4.0711899999999996</v>
      </c>
      <c r="E12" s="66">
        <v>50</v>
      </c>
      <c r="F12" s="66">
        <v>68.2744</v>
      </c>
      <c r="G12" s="66">
        <v>100</v>
      </c>
      <c r="H12" s="66">
        <v>83.698599999999999</v>
      </c>
    </row>
    <row r="13" spans="1:8">
      <c r="A13" s="58" t="s">
        <v>310</v>
      </c>
      <c r="B13" s="66">
        <v>24.147200000000002</v>
      </c>
      <c r="C13" s="66">
        <v>4.1260500000000002</v>
      </c>
      <c r="D13" s="66">
        <v>17.0871</v>
      </c>
      <c r="E13" s="66">
        <v>10</v>
      </c>
      <c r="F13" s="66">
        <v>18.2376</v>
      </c>
      <c r="G13" s="66">
        <v>25</v>
      </c>
      <c r="H13" s="66">
        <v>36.562600000000003</v>
      </c>
    </row>
    <row r="14" spans="1:8">
      <c r="A14" s="58" t="s">
        <v>311</v>
      </c>
      <c r="B14" s="66">
        <v>41.2605</v>
      </c>
      <c r="C14" s="66">
        <v>16.385400000000001</v>
      </c>
      <c r="D14" s="66">
        <v>39.7121</v>
      </c>
      <c r="E14" s="66">
        <v>10</v>
      </c>
      <c r="F14" s="66">
        <v>3.1822300000000001</v>
      </c>
      <c r="G14" s="66">
        <v>50</v>
      </c>
      <c r="H14" s="66">
        <v>73.500900000000001</v>
      </c>
    </row>
    <row r="15" spans="1:8">
      <c r="A15" s="58" t="s">
        <v>312</v>
      </c>
      <c r="B15" s="66">
        <v>5.9561900000000001E-2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6.9072900000000007E-2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19.674299999999999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0.70210099999999998</v>
      </c>
      <c r="C18" s="66">
        <v>3.3552100000000001E-2</v>
      </c>
      <c r="D18" s="66">
        <v>4.77881E-2</v>
      </c>
      <c r="E18" s="66">
        <v>0</v>
      </c>
      <c r="F18" s="66">
        <v>0.66854899999999995</v>
      </c>
      <c r="G18" s="66">
        <v>0</v>
      </c>
      <c r="H18" s="66">
        <v>0.735653</v>
      </c>
    </row>
    <row r="19" spans="1:8">
      <c r="A19" s="58" t="s">
        <v>316</v>
      </c>
      <c r="B19" s="66">
        <v>0.77637699999999998</v>
      </c>
      <c r="C19" s="66">
        <v>5.6956E-2</v>
      </c>
      <c r="D19" s="66">
        <v>7.3361200000000001E-2</v>
      </c>
      <c r="E19" s="66">
        <v>0</v>
      </c>
      <c r="F19" s="66">
        <v>0.71942099999999998</v>
      </c>
      <c r="G19" s="66">
        <v>0</v>
      </c>
      <c r="H19" s="66">
        <v>0.83333299999999999</v>
      </c>
    </row>
    <row r="20" spans="1:8">
      <c r="A20" s="58" t="s">
        <v>317</v>
      </c>
      <c r="B20" s="66">
        <v>1.9749500000000001E-3</v>
      </c>
      <c r="C20" s="66">
        <v>0.15043500000000001</v>
      </c>
      <c r="D20" s="66">
        <v>76.171499999999995</v>
      </c>
      <c r="E20" s="66">
        <v>0</v>
      </c>
      <c r="F20" s="66">
        <v>0</v>
      </c>
      <c r="G20" s="66">
        <v>0</v>
      </c>
      <c r="H20" s="66">
        <v>1.3532</v>
      </c>
    </row>
    <row r="21" spans="1:8">
      <c r="A21" s="58" t="s">
        <v>318</v>
      </c>
      <c r="B21" s="66">
        <v>0.12819800000000001</v>
      </c>
      <c r="C21" s="66">
        <v>0.89719199999999999</v>
      </c>
      <c r="D21" s="66">
        <v>6.9984999999999999</v>
      </c>
      <c r="E21" s="66">
        <v>0</v>
      </c>
      <c r="F21" s="66">
        <v>4.3516399999999998E-4</v>
      </c>
      <c r="G21" s="66">
        <v>0</v>
      </c>
      <c r="H21" s="66">
        <v>6.1130300000000002</v>
      </c>
    </row>
    <row r="22" spans="1:8">
      <c r="A22" s="58" t="s">
        <v>319</v>
      </c>
      <c r="B22" s="66">
        <v>42.457000000000001</v>
      </c>
      <c r="C22" s="66">
        <v>22.259499999999999</v>
      </c>
      <c r="D22" s="66">
        <v>0.52428399999999997</v>
      </c>
      <c r="E22" s="66">
        <v>0</v>
      </c>
      <c r="F22" s="66">
        <v>24.419</v>
      </c>
      <c r="G22" s="66">
        <v>0</v>
      </c>
      <c r="H22" s="66">
        <v>122.133</v>
      </c>
    </row>
    <row r="23" spans="1:8">
      <c r="A23" s="58" t="s">
        <v>320</v>
      </c>
      <c r="B23" s="66">
        <v>17.068100000000001</v>
      </c>
      <c r="C23" s="66">
        <v>2.6884299999999999</v>
      </c>
      <c r="D23" s="66">
        <v>0.15751200000000001</v>
      </c>
      <c r="E23" s="66">
        <v>0</v>
      </c>
      <c r="F23" s="66">
        <v>6.8887900000000002</v>
      </c>
      <c r="G23" s="66">
        <v>0</v>
      </c>
      <c r="H23" s="66">
        <v>21.177</v>
      </c>
    </row>
    <row r="24" spans="1:8">
      <c r="A24" s="58" t="s">
        <v>321</v>
      </c>
      <c r="B24" s="66">
        <v>3.5228E-3</v>
      </c>
      <c r="C24" s="66">
        <v>0.12859300000000001</v>
      </c>
      <c r="D24" s="66">
        <v>36.503100000000003</v>
      </c>
      <c r="E24" s="66">
        <v>0</v>
      </c>
      <c r="F24" s="196">
        <v>7.0103699999999998E-5</v>
      </c>
      <c r="G24" s="66">
        <v>0</v>
      </c>
      <c r="H24" s="66">
        <v>0.99036599999999997</v>
      </c>
    </row>
    <row r="25" spans="1:8">
      <c r="A25" s="58" t="s">
        <v>322</v>
      </c>
      <c r="B25" s="66">
        <v>0.18551100000000001</v>
      </c>
      <c r="C25" s="66">
        <v>0.54467100000000002</v>
      </c>
      <c r="D25" s="66">
        <v>2.9360599999999999</v>
      </c>
      <c r="E25" s="66">
        <v>0</v>
      </c>
      <c r="F25" s="66">
        <v>2.3005100000000001E-2</v>
      </c>
      <c r="G25" s="66">
        <v>0</v>
      </c>
      <c r="H25" s="66">
        <v>2.4218199999999999</v>
      </c>
    </row>
    <row r="26" spans="1:8">
      <c r="A26" s="58" t="s">
        <v>323</v>
      </c>
      <c r="B26" s="66">
        <v>6.7456700000000005E-4</v>
      </c>
      <c r="C26" s="66">
        <v>1.1598000000000001E-2</v>
      </c>
      <c r="D26" s="66">
        <v>17.193300000000001</v>
      </c>
      <c r="E26" s="66">
        <v>0</v>
      </c>
      <c r="F26" s="66">
        <v>0</v>
      </c>
      <c r="G26" s="66">
        <v>0</v>
      </c>
      <c r="H26" s="66">
        <v>8.72111E-2</v>
      </c>
    </row>
    <row r="27" spans="1:8">
      <c r="A27" s="58" t="s">
        <v>324</v>
      </c>
      <c r="B27" s="196">
        <v>-6.5651299999999996E-6</v>
      </c>
      <c r="C27" s="66">
        <v>2.5349600000000002E-3</v>
      </c>
      <c r="D27" s="66">
        <v>-386.12599999999998</v>
      </c>
      <c r="E27" s="66">
        <v>0</v>
      </c>
      <c r="F27" s="66">
        <v>-1.23917E-2</v>
      </c>
      <c r="G27" s="66">
        <v>0</v>
      </c>
      <c r="H27" s="66">
        <v>2.9113099999999999E-2</v>
      </c>
    </row>
    <row r="28" spans="1:8">
      <c r="A28" s="58" t="s">
        <v>325</v>
      </c>
      <c r="B28" s="66">
        <v>1.85303E-2</v>
      </c>
      <c r="C28" s="66">
        <v>4.2941100000000003E-2</v>
      </c>
      <c r="D28" s="66">
        <v>2.3173499999999998</v>
      </c>
      <c r="E28" s="66">
        <v>0</v>
      </c>
      <c r="F28" s="66">
        <v>1.8880200000000001E-4</v>
      </c>
      <c r="G28" s="66">
        <v>0</v>
      </c>
      <c r="H28" s="66">
        <v>0.24736</v>
      </c>
    </row>
    <row r="29" spans="1:8">
      <c r="A29" s="58" t="s">
        <v>326</v>
      </c>
      <c r="B29" s="66">
        <v>77.575000000000003</v>
      </c>
      <c r="C29" s="66">
        <v>10.3559</v>
      </c>
      <c r="D29" s="66">
        <v>0.133496</v>
      </c>
      <c r="E29" s="66">
        <v>0</v>
      </c>
      <c r="F29" s="66">
        <v>48.820799999999998</v>
      </c>
      <c r="G29" s="66">
        <v>0</v>
      </c>
      <c r="H29" s="66">
        <v>106.065</v>
      </c>
    </row>
    <row r="30" spans="1:8">
      <c r="A30" s="58" t="s">
        <v>327</v>
      </c>
      <c r="B30" s="66">
        <v>21.429500000000001</v>
      </c>
      <c r="C30" s="66">
        <v>4.0952500000000001</v>
      </c>
      <c r="D30" s="66">
        <v>0.191103</v>
      </c>
      <c r="E30" s="66">
        <v>0</v>
      </c>
      <c r="F30" s="66">
        <v>7.46631</v>
      </c>
      <c r="G30" s="66">
        <v>0</v>
      </c>
      <c r="H30" s="66">
        <v>26.0946</v>
      </c>
    </row>
    <row r="31" spans="1:8">
      <c r="A31" s="58" t="s">
        <v>328</v>
      </c>
      <c r="B31" s="66">
        <v>113.453</v>
      </c>
      <c r="C31" s="66">
        <v>36.324599999999997</v>
      </c>
      <c r="D31" s="66">
        <v>0.32017200000000001</v>
      </c>
      <c r="E31" s="66">
        <v>0</v>
      </c>
      <c r="F31" s="66">
        <v>31.910599999999999</v>
      </c>
      <c r="G31" s="66">
        <v>0</v>
      </c>
      <c r="H31" s="66">
        <v>188.66</v>
      </c>
    </row>
    <row r="32" spans="1:8">
      <c r="A32" s="58" t="s">
        <v>329</v>
      </c>
      <c r="B32" s="66">
        <v>0.14302799999999999</v>
      </c>
      <c r="C32" s="66">
        <v>6.4791699999999994E-2</v>
      </c>
      <c r="D32" s="66">
        <v>0.45299899999999999</v>
      </c>
      <c r="E32" s="66">
        <v>0.15</v>
      </c>
      <c r="F32" s="66">
        <v>2.5858300000000001E-2</v>
      </c>
      <c r="G32" s="66">
        <v>0.4</v>
      </c>
      <c r="H32" s="66">
        <v>0.386907</v>
      </c>
    </row>
    <row r="33" spans="1:8">
      <c r="A33" s="58" t="s">
        <v>330</v>
      </c>
      <c r="B33" s="66">
        <v>0.23166900000000001</v>
      </c>
      <c r="C33" s="66">
        <v>2.7608600000000001E-2</v>
      </c>
      <c r="D33" s="66">
        <v>0.119173</v>
      </c>
      <c r="E33" s="66">
        <v>0</v>
      </c>
      <c r="F33" s="66">
        <v>0.16809199999999999</v>
      </c>
      <c r="G33" s="66">
        <v>0</v>
      </c>
      <c r="H33" s="66">
        <v>0.409132</v>
      </c>
    </row>
    <row r="34" spans="1:8">
      <c r="A34" s="58" t="s">
        <v>331</v>
      </c>
      <c r="B34" s="66">
        <v>0.24147199999999999</v>
      </c>
      <c r="C34" s="66">
        <v>4.1260499999999999E-2</v>
      </c>
      <c r="D34" s="66">
        <v>0.170871</v>
      </c>
      <c r="E34" s="66">
        <v>0.1</v>
      </c>
      <c r="F34" s="66">
        <v>0.18237600000000001</v>
      </c>
      <c r="G34" s="66">
        <v>0.25</v>
      </c>
      <c r="H34" s="66">
        <v>0.36562600000000001</v>
      </c>
    </row>
    <row r="35" spans="1:8">
      <c r="A35" s="58" t="s">
        <v>332</v>
      </c>
      <c r="B35" s="66">
        <v>9.2256500000000005E-2</v>
      </c>
      <c r="C35" s="66">
        <v>4.5296299999999998E-2</v>
      </c>
      <c r="D35" s="66">
        <v>0.49098199999999997</v>
      </c>
      <c r="E35" s="66">
        <v>0</v>
      </c>
      <c r="F35" s="66">
        <v>3.5506299999999998E-2</v>
      </c>
      <c r="G35" s="66">
        <v>0</v>
      </c>
      <c r="H35" s="66">
        <v>0.242926</v>
      </c>
    </row>
    <row r="36" spans="1:8">
      <c r="A36" s="58" t="s">
        <v>333</v>
      </c>
      <c r="B36" s="66">
        <v>0.22173499999999999</v>
      </c>
      <c r="C36" s="66">
        <v>0.11709</v>
      </c>
      <c r="D36" s="66">
        <v>0.52806399999999998</v>
      </c>
      <c r="E36" s="66">
        <v>0</v>
      </c>
      <c r="F36" s="66">
        <v>5.7878100000000002E-2</v>
      </c>
      <c r="G36" s="66">
        <v>0</v>
      </c>
      <c r="H36" s="66">
        <v>0.76535900000000001</v>
      </c>
    </row>
    <row r="37" spans="1:8">
      <c r="A37" s="58" t="s">
        <v>334</v>
      </c>
      <c r="B37" s="66">
        <v>0.412605</v>
      </c>
      <c r="C37" s="66">
        <v>0.163854</v>
      </c>
      <c r="D37" s="66">
        <v>0.397121</v>
      </c>
      <c r="E37" s="66">
        <v>0.1</v>
      </c>
      <c r="F37" s="66">
        <v>3.1822299999999998E-2</v>
      </c>
      <c r="G37" s="66">
        <v>0.5</v>
      </c>
      <c r="H37" s="66">
        <v>0.73500900000000002</v>
      </c>
    </row>
    <row r="38" spans="1:8">
      <c r="A38" s="58" t="s">
        <v>335</v>
      </c>
      <c r="B38" s="66">
        <v>-0.90931799999999996</v>
      </c>
      <c r="C38" s="66">
        <v>33.098300000000002</v>
      </c>
      <c r="D38" s="66">
        <v>-36.399099999999997</v>
      </c>
      <c r="E38" s="66">
        <v>0</v>
      </c>
      <c r="F38" s="66">
        <v>-134.54599999999999</v>
      </c>
      <c r="G38" s="66">
        <v>0</v>
      </c>
      <c r="H38" s="66">
        <v>102.128</v>
      </c>
    </row>
    <row r="39" spans="1:8">
      <c r="A39" s="58" t="s">
        <v>336</v>
      </c>
      <c r="B39" s="66">
        <v>-2.4226999999999999</v>
      </c>
      <c r="C39" s="66">
        <v>9.3635000000000002</v>
      </c>
      <c r="D39" s="66">
        <v>-3.8649100000000001</v>
      </c>
      <c r="E39" s="66">
        <v>0</v>
      </c>
      <c r="F39" s="66">
        <v>-37.641100000000002</v>
      </c>
      <c r="G39" s="66">
        <v>0</v>
      </c>
      <c r="H39" s="66">
        <v>3.3071799999999998</v>
      </c>
    </row>
    <row r="40" spans="1:8">
      <c r="A40" s="58" t="s">
        <v>337</v>
      </c>
      <c r="B40" s="66">
        <v>-1.77586</v>
      </c>
      <c r="C40" s="66">
        <v>0.92601800000000001</v>
      </c>
      <c r="D40" s="66">
        <v>-0.52144699999999999</v>
      </c>
      <c r="E40" s="66">
        <v>0</v>
      </c>
      <c r="F40" s="66">
        <v>-3.72512</v>
      </c>
      <c r="G40" s="66">
        <v>0</v>
      </c>
      <c r="H40" s="66">
        <v>-0.45956999999999998</v>
      </c>
    </row>
    <row r="41" spans="1:8">
      <c r="A41" s="58" t="s">
        <v>338</v>
      </c>
      <c r="B41" s="66">
        <v>-7.0073499999999997E-2</v>
      </c>
      <c r="C41" s="66">
        <v>0.23254</v>
      </c>
      <c r="D41" s="66">
        <v>-3.3185099999999998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-9.3161400000000005E-2</v>
      </c>
      <c r="C42" s="66">
        <v>4.7211500000000003E-2</v>
      </c>
      <c r="D42" s="66">
        <v>-0.50677099999999997</v>
      </c>
      <c r="E42" s="66">
        <v>0</v>
      </c>
      <c r="F42" s="66">
        <v>-0.200048</v>
      </c>
      <c r="G42" s="66">
        <v>0</v>
      </c>
      <c r="H42" s="66">
        <v>9.5160599999999998E-3</v>
      </c>
    </row>
    <row r="43" spans="1:8">
      <c r="A43" s="58" t="s">
        <v>340</v>
      </c>
      <c r="B43" s="66">
        <v>-4.13636E-2</v>
      </c>
      <c r="C43" s="66">
        <v>2.5708700000000001E-2</v>
      </c>
      <c r="D43" s="66">
        <v>-0.62153099999999994</v>
      </c>
      <c r="E43" s="66">
        <v>0</v>
      </c>
      <c r="F43" s="66">
        <v>-0.1023</v>
      </c>
      <c r="G43" s="66">
        <v>0</v>
      </c>
      <c r="H43" s="66">
        <v>1.25355E-2</v>
      </c>
    </row>
    <row r="44" spans="1:8">
      <c r="A44" s="58" t="s">
        <v>341</v>
      </c>
      <c r="B44" s="66">
        <v>5.1850300000000002</v>
      </c>
      <c r="C44" s="66">
        <v>16.684699999999999</v>
      </c>
      <c r="D44" s="66">
        <v>3.2178599999999999</v>
      </c>
      <c r="E44" s="66">
        <v>0</v>
      </c>
      <c r="F44" s="66">
        <v>-19.646799999999999</v>
      </c>
      <c r="G44" s="66">
        <v>0</v>
      </c>
      <c r="H44" s="66">
        <v>46.0289</v>
      </c>
    </row>
    <row r="45" spans="1:8">
      <c r="A45" s="58" t="s">
        <v>342</v>
      </c>
      <c r="B45" s="66">
        <v>57.695399999999999</v>
      </c>
      <c r="C45" s="66">
        <v>7.7049899999999996</v>
      </c>
      <c r="D45" s="66">
        <v>0.133546</v>
      </c>
      <c r="E45" s="66">
        <v>0</v>
      </c>
      <c r="F45" s="66">
        <v>38.2622</v>
      </c>
      <c r="G45" s="66">
        <v>0</v>
      </c>
      <c r="H45" s="66">
        <v>73.661900000000003</v>
      </c>
    </row>
    <row r="46" spans="1:8">
      <c r="A46" s="58" t="s">
        <v>343</v>
      </c>
      <c r="B46" s="66">
        <v>25.5806</v>
      </c>
      <c r="C46" s="66">
        <v>6.6639099999999996</v>
      </c>
      <c r="D46" s="66">
        <v>0.26050600000000002</v>
      </c>
      <c r="E46" s="66">
        <v>0</v>
      </c>
      <c r="F46" s="66">
        <v>6.80382</v>
      </c>
      <c r="G46" s="66">
        <v>0</v>
      </c>
      <c r="H46" s="66">
        <v>29.477</v>
      </c>
    </row>
    <row r="47" spans="1:8">
      <c r="A47" s="58" t="s">
        <v>344</v>
      </c>
      <c r="B47" s="66">
        <v>0.92658399999999996</v>
      </c>
      <c r="C47" s="66">
        <v>0.49741999999999997</v>
      </c>
      <c r="D47" s="66">
        <v>0.53683199999999998</v>
      </c>
      <c r="E47" s="66">
        <v>0</v>
      </c>
      <c r="F47" s="66">
        <v>0.38271699999999997</v>
      </c>
      <c r="G47" s="66">
        <v>0</v>
      </c>
      <c r="H47" s="66">
        <v>2.7706499999999998</v>
      </c>
    </row>
    <row r="48" spans="1:8">
      <c r="A48" s="58" t="s">
        <v>345</v>
      </c>
      <c r="B48" s="66">
        <v>0.82981400000000005</v>
      </c>
      <c r="C48" s="66">
        <v>0.15326699999999999</v>
      </c>
      <c r="D48" s="66">
        <v>0.1847</v>
      </c>
      <c r="E48" s="66">
        <v>0</v>
      </c>
      <c r="F48" s="66">
        <v>0.69479999999999997</v>
      </c>
      <c r="G48" s="66">
        <v>0</v>
      </c>
      <c r="H48" s="66">
        <v>1.27772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14.970499999999998</v>
      </c>
      <c r="C5" s="66">
        <f>'M2'!C5-'M1'!C5</f>
        <v>-3.6330799999999996</v>
      </c>
      <c r="D5" s="66">
        <f>'M2'!D5-'M1'!D5</f>
        <v>-20.902769999999997</v>
      </c>
      <c r="E5" s="66">
        <f>'M2'!E5-'M1'!E5</f>
        <v>0</v>
      </c>
      <c r="F5" s="66">
        <f>'M2'!F5-'M1'!F5</f>
        <v>22.88326</v>
      </c>
      <c r="G5" s="66">
        <f>'M2'!G5-'M1'!G5</f>
        <v>0</v>
      </c>
      <c r="H5" s="66">
        <f>'M2'!H5-'M1'!H5</f>
        <v>15.502499999999998</v>
      </c>
    </row>
    <row r="6" spans="1:8">
      <c r="A6" s="66" t="s">
        <v>244</v>
      </c>
      <c r="B6" s="66">
        <f>'M2'!B6-'M1'!B6</f>
        <v>2.7535999999999987</v>
      </c>
      <c r="C6" s="66">
        <f>'M2'!C6-'M1'!C6</f>
        <v>-1.1683699999999999</v>
      </c>
      <c r="D6" s="66">
        <f>'M2'!D6-'M1'!D6</f>
        <v>-5.2837500000000004</v>
      </c>
      <c r="E6" s="66">
        <f>'M2'!E6-'M1'!E6</f>
        <v>0</v>
      </c>
      <c r="F6" s="66">
        <f>'M2'!F6-'M1'!F6</f>
        <v>6.001100000000001</v>
      </c>
      <c r="G6" s="66">
        <f>'M2'!G6-'M1'!G6</f>
        <v>0</v>
      </c>
      <c r="H6" s="66">
        <f>'M2'!H6-'M1'!H6</f>
        <v>1.2759</v>
      </c>
    </row>
    <row r="7" spans="1:8">
      <c r="A7" s="66" t="s">
        <v>245</v>
      </c>
      <c r="B7" s="66">
        <f>'M2'!B7-'M1'!B7</f>
        <v>-1.0396999999999998</v>
      </c>
      <c r="C7" s="66">
        <f>'M2'!C7-'M1'!C7</f>
        <v>0.97119</v>
      </c>
      <c r="D7" s="66">
        <f>'M2'!D7-'M1'!D7</f>
        <v>9.9100999999999999</v>
      </c>
      <c r="E7" s="66">
        <f>'M2'!E7-'M1'!E7</f>
        <v>0</v>
      </c>
      <c r="F7" s="66">
        <f>'M2'!F7-'M1'!F7</f>
        <v>-1.0141100000000001</v>
      </c>
      <c r="G7" s="66">
        <f>'M2'!G7-'M1'!G7</f>
        <v>0</v>
      </c>
      <c r="H7" s="66">
        <f>'M2'!H7-'M1'!H7</f>
        <v>0.60580000000000211</v>
      </c>
    </row>
    <row r="8" spans="1:8">
      <c r="A8" s="66" t="s">
        <v>246</v>
      </c>
      <c r="B8" s="66">
        <f>'M2'!B8-'M1'!B8</f>
        <v>4.4857999999999976</v>
      </c>
      <c r="C8" s="66">
        <f>'M2'!C8-'M1'!C8</f>
        <v>-1.6186799999999999</v>
      </c>
      <c r="D8" s="66">
        <f>'M2'!D8-'M1'!D8</f>
        <v>-8.9185499999999998</v>
      </c>
      <c r="E8" s="66">
        <f>'M2'!E8-'M1'!E8</f>
        <v>0</v>
      </c>
      <c r="F8" s="66">
        <f>'M2'!F8-'M1'!F8</f>
        <v>9.6955999999999989</v>
      </c>
      <c r="G8" s="66">
        <f>'M2'!G8-'M1'!G8</f>
        <v>0</v>
      </c>
      <c r="H8" s="66">
        <f>'M2'!H8-'M1'!H8</f>
        <v>7.4472999999999985</v>
      </c>
    </row>
    <row r="9" spans="1:8">
      <c r="A9" s="66" t="s">
        <v>247</v>
      </c>
      <c r="B9" s="66">
        <f>'M2'!B9-'M1'!B9</f>
        <v>-10.283699999999996</v>
      </c>
      <c r="C9" s="66">
        <f>'M2'!C9-'M1'!C9</f>
        <v>-1.6914399999999996</v>
      </c>
      <c r="D9" s="66">
        <f>'M2'!D9-'M1'!D9</f>
        <v>-1.5433499999999993</v>
      </c>
      <c r="E9" s="66">
        <f>'M2'!E9-'M1'!E9</f>
        <v>0</v>
      </c>
      <c r="F9" s="66">
        <f>'M2'!F9-'M1'!F9</f>
        <v>-10.097899999999996</v>
      </c>
      <c r="G9" s="66">
        <f>'M2'!G9-'M1'!G9</f>
        <v>0</v>
      </c>
      <c r="H9" s="66">
        <f>'M2'!H9-'M1'!H9</f>
        <v>-14.083399999999997</v>
      </c>
    </row>
    <row r="10" spans="1:8">
      <c r="A10" s="66" t="s">
        <v>248</v>
      </c>
      <c r="B10" s="66">
        <f>'M2'!B10-'M1'!B10</f>
        <v>-0.33729999999999905</v>
      </c>
      <c r="C10" s="66">
        <f>'M2'!C10-'M1'!C10</f>
        <v>-1.1794999999999998</v>
      </c>
      <c r="D10" s="66">
        <f>'M2'!D10-'M1'!D10</f>
        <v>-1.4502200000000001</v>
      </c>
      <c r="E10" s="66">
        <f>'M2'!E10-'M1'!E10</f>
        <v>0</v>
      </c>
      <c r="F10" s="66">
        <f>'M2'!F10-'M1'!F10</f>
        <v>6.3074999999999903</v>
      </c>
      <c r="G10" s="66">
        <f>'M2'!G10-'M1'!G10</f>
        <v>0</v>
      </c>
      <c r="H10" s="66">
        <f>'M2'!H10-'M1'!H10</f>
        <v>0.56139999999999191</v>
      </c>
    </row>
    <row r="11" spans="1:8">
      <c r="A11" s="66" t="s">
        <v>249</v>
      </c>
      <c r="B11" s="66">
        <f>'M2'!B11-'M1'!B11</f>
        <v>5.1812000000000005</v>
      </c>
      <c r="C11" s="66">
        <f>'M2'!C11-'M1'!C11</f>
        <v>-1.83809</v>
      </c>
      <c r="D11" s="66">
        <f>'M2'!D11-'M1'!D11</f>
        <v>-16.573029999999999</v>
      </c>
      <c r="E11" s="66">
        <f>'M2'!E11-'M1'!E11</f>
        <v>0</v>
      </c>
      <c r="F11" s="66">
        <f>'M2'!F11-'M1'!F11</f>
        <v>10.188220000000001</v>
      </c>
      <c r="G11" s="66">
        <f>'M2'!G11-'M1'!G11</f>
        <v>0</v>
      </c>
      <c r="H11" s="66">
        <f>'M2'!H11-'M1'!H11</f>
        <v>3.2213999999999992</v>
      </c>
    </row>
    <row r="12" spans="1:8">
      <c r="A12" s="66" t="s">
        <v>250</v>
      </c>
      <c r="B12" s="66">
        <f>'M2'!B12-'M1'!B12</f>
        <v>-5.2317000000000036</v>
      </c>
      <c r="C12" s="66">
        <f>'M2'!C12-'M1'!C12</f>
        <v>-0.34331</v>
      </c>
      <c r="D12" s="66">
        <f>'M2'!D12-'M1'!D12</f>
        <v>-0.28794000000000031</v>
      </c>
      <c r="E12" s="66">
        <f>'M2'!E12-'M1'!E12</f>
        <v>0</v>
      </c>
      <c r="F12" s="66">
        <f>'M2'!F12-'M1'!F12</f>
        <v>-5.1854000000000013</v>
      </c>
      <c r="G12" s="66">
        <f>'M2'!G12-'M1'!G12</f>
        <v>0</v>
      </c>
      <c r="H12" s="66">
        <f>'M2'!H12-'M1'!H12</f>
        <v>-6.3734999999999928</v>
      </c>
    </row>
    <row r="13" spans="1:8">
      <c r="A13" s="66" t="s">
        <v>251</v>
      </c>
      <c r="B13" s="66">
        <f>'M2'!B13-'M1'!B13</f>
        <v>3.8524999999999991</v>
      </c>
      <c r="C13" s="66">
        <f>'M2'!C13-'M1'!C13</f>
        <v>-0.44233000000000011</v>
      </c>
      <c r="D13" s="66">
        <f>'M2'!D13-'M1'!D13</f>
        <v>-4.206999999999999</v>
      </c>
      <c r="E13" s="66">
        <f>'M2'!E13-'M1'!E13</f>
        <v>0</v>
      </c>
      <c r="F13" s="66">
        <f>'M2'!F13-'M1'!F13</f>
        <v>2.6905999999999999</v>
      </c>
      <c r="G13" s="66">
        <f>'M2'!G13-'M1'!G13</f>
        <v>0</v>
      </c>
      <c r="H13" s="66">
        <f>'M2'!H13-'M1'!H13</f>
        <v>-2.1027000000000058</v>
      </c>
    </row>
    <row r="14" spans="1:8">
      <c r="A14" s="66" t="s">
        <v>252</v>
      </c>
      <c r="B14" s="66">
        <f>'M2'!B14-'M1'!B14</f>
        <v>-4.4232999999999976</v>
      </c>
      <c r="C14" s="66">
        <f>'M2'!C14-'M1'!C14</f>
        <v>-1.8279999999999976</v>
      </c>
      <c r="D14" s="66">
        <f>'M2'!D14-'M1'!D14</f>
        <v>4.4700000000005957E-2</v>
      </c>
      <c r="E14" s="66">
        <f>'M2'!E14-'M1'!E14</f>
        <v>0</v>
      </c>
      <c r="F14" s="66">
        <f>'M2'!F14-'M1'!F14</f>
        <v>-0.35041999999999973</v>
      </c>
      <c r="G14" s="66">
        <f>'M2'!G14-'M1'!G14</f>
        <v>0</v>
      </c>
      <c r="H14" s="66">
        <f>'M2'!H14-'M1'!H14</f>
        <v>-32.155700000000003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0.18952999999999998</v>
      </c>
      <c r="C18" s="66">
        <f>'M2'!C18-'M1'!C18</f>
        <v>3.3552100000000001E-2</v>
      </c>
      <c r="D18" s="66">
        <f>'M2'!D18-'M1'!D18</f>
        <v>4.77881E-2</v>
      </c>
      <c r="E18" s="66">
        <f>'M2'!E18-'M1'!E18</f>
        <v>0</v>
      </c>
      <c r="F18" s="66">
        <f>'M2'!F18-'M1'!F18</f>
        <v>0.66854899999999995</v>
      </c>
      <c r="G18" s="66">
        <f>'M2'!G18-'M1'!G18</f>
        <v>0</v>
      </c>
      <c r="H18" s="66">
        <f>'M2'!H18-'M1'!H18</f>
        <v>0.735653</v>
      </c>
    </row>
    <row r="19" spans="1:8">
      <c r="A19" s="66" t="s">
        <v>256</v>
      </c>
      <c r="B19" s="66">
        <f>'M2'!B19-'M1'!B19</f>
        <v>0.15947299999999998</v>
      </c>
      <c r="C19" s="66">
        <f>'M2'!C19-'M1'!C19</f>
        <v>5.6956E-2</v>
      </c>
      <c r="D19" s="66">
        <f>'M2'!D19-'M1'!D19</f>
        <v>7.3361200000000001E-2</v>
      </c>
      <c r="E19" s="66">
        <f>'M2'!E19-'M1'!E19</f>
        <v>0</v>
      </c>
      <c r="F19" s="66">
        <f>'M2'!F19-'M1'!F19</f>
        <v>0.71942099999999998</v>
      </c>
      <c r="G19" s="66">
        <f>'M2'!G19-'M1'!G19</f>
        <v>0</v>
      </c>
      <c r="H19" s="66">
        <f>'M2'!H19-'M1'!H19</f>
        <v>0.83333299999999999</v>
      </c>
    </row>
    <row r="20" spans="1:8">
      <c r="A20" s="66" t="s">
        <v>63</v>
      </c>
      <c r="B20" s="66">
        <f>'M2'!B20-'M1'!B20</f>
        <v>1.11271E-3</v>
      </c>
      <c r="C20" s="66">
        <f>'M2'!C20-'M1'!C20</f>
        <v>0.10527359999999999</v>
      </c>
      <c r="D20" s="66">
        <f>'M2'!D20-'M1'!D20</f>
        <v>15.984799999999993</v>
      </c>
      <c r="E20" s="66">
        <f>'M2'!E20-'M1'!E20</f>
        <v>0</v>
      </c>
      <c r="F20" s="66">
        <f>'M2'!F20-'M1'!F20</f>
        <v>4.4668600000000001E-6</v>
      </c>
      <c r="G20" s="66">
        <f>'M2'!G20-'M1'!G20</f>
        <v>0</v>
      </c>
      <c r="H20" s="66">
        <f>'M2'!H20-'M1'!H20</f>
        <v>0.747834</v>
      </c>
    </row>
    <row r="21" spans="1:8">
      <c r="A21" s="66" t="s">
        <v>64</v>
      </c>
      <c r="B21" s="66">
        <f>'M2'!B21-'M1'!B21</f>
        <v>-2.5700000000000167E-3</v>
      </c>
      <c r="C21" s="66">
        <f>'M2'!C21-'M1'!C21</f>
        <v>0.35874699999999993</v>
      </c>
      <c r="D21" s="66">
        <f>'M2'!D21-'M1'!D21</f>
        <v>2.9277499999999996</v>
      </c>
      <c r="E21" s="66">
        <f>'M2'!E21-'M1'!E21</f>
        <v>0</v>
      </c>
      <c r="F21" s="66">
        <f>'M2'!F21-'M1'!F21</f>
        <v>3.0477700000000005E-4</v>
      </c>
      <c r="G21" s="66">
        <f>'M2'!G21-'M1'!G21</f>
        <v>0</v>
      </c>
      <c r="H21" s="66">
        <f>'M2'!H21-'M1'!H21</f>
        <v>2.4193700000000002</v>
      </c>
    </row>
    <row r="22" spans="1:8">
      <c r="A22" s="66" t="s">
        <v>65</v>
      </c>
      <c r="B22" s="66">
        <f>'M2'!B22-'M1'!B22</f>
        <v>5.0563999999999965</v>
      </c>
      <c r="C22" s="66">
        <f>'M2'!C22-'M1'!C22</f>
        <v>1.2239000000000004</v>
      </c>
      <c r="D22" s="66">
        <f>'M2'!D22-'M1'!D22</f>
        <v>-3.4066999999999958E-2</v>
      </c>
      <c r="E22" s="66">
        <f>'M2'!E22-'M1'!E22</f>
        <v>0</v>
      </c>
      <c r="F22" s="66">
        <f>'M2'!F22-'M1'!F22</f>
        <v>-0.62289999999999779</v>
      </c>
      <c r="G22" s="66">
        <f>'M2'!G22-'M1'!G22</f>
        <v>0</v>
      </c>
      <c r="H22" s="66">
        <f>'M2'!H22-'M1'!H22</f>
        <v>3.9839999999999947</v>
      </c>
    </row>
    <row r="23" spans="1:8">
      <c r="A23" s="66" t="s">
        <v>66</v>
      </c>
      <c r="B23" s="66">
        <f>'M2'!B23-'M1'!B23</f>
        <v>2.9960999999999984</v>
      </c>
      <c r="C23" s="66">
        <f>'M2'!C23-'M1'!C23</f>
        <v>-0.22255000000000003</v>
      </c>
      <c r="D23" s="66">
        <f>'M2'!D23-'M1'!D23</f>
        <v>-3.4396999999999997E-2</v>
      </c>
      <c r="E23" s="66">
        <f>'M2'!E23-'M1'!E23</f>
        <v>0</v>
      </c>
      <c r="F23" s="66">
        <f>'M2'!F23-'M1'!F23</f>
        <v>7.1926100000000002</v>
      </c>
      <c r="G23" s="66">
        <f>'M2'!G23-'M1'!G23</f>
        <v>0</v>
      </c>
      <c r="H23" s="66">
        <f>'M2'!H23-'M1'!H23</f>
        <v>3.0061</v>
      </c>
    </row>
    <row r="24" spans="1:8">
      <c r="A24" s="66" t="s">
        <v>67</v>
      </c>
      <c r="B24" s="66">
        <f>'M2'!B24-'M1'!B24</f>
        <v>3.4677800000000002E-3</v>
      </c>
      <c r="C24" s="66">
        <f>'M2'!C24-'M1'!C24</f>
        <v>8.9798299999999998E-2</v>
      </c>
      <c r="D24" s="66">
        <f>'M2'!D24-'M1'!D24</f>
        <v>-4.3301000000000016</v>
      </c>
      <c r="E24" s="66">
        <f>'M2'!E24-'M1'!E24</f>
        <v>0</v>
      </c>
      <c r="F24" s="66">
        <f>'M2'!F24-'M1'!F24</f>
        <v>-2.6730000000000064E-6</v>
      </c>
      <c r="G24" s="66">
        <f>'M2'!G24-'M1'!G24</f>
        <v>0</v>
      </c>
      <c r="H24" s="66">
        <f>'M2'!H24-'M1'!H24</f>
        <v>0.57599999999999996</v>
      </c>
    </row>
    <row r="25" spans="1:8">
      <c r="A25" s="66" t="s">
        <v>68</v>
      </c>
      <c r="B25" s="66">
        <f>'M2'!B25-'M1'!B25</f>
        <v>4.5273999999999981E-2</v>
      </c>
      <c r="C25" s="66">
        <f>'M2'!C25-'M1'!C25</f>
        <v>0.21521000000000001</v>
      </c>
      <c r="D25" s="66">
        <f>'M2'!D25-'M1'!D25</f>
        <v>0.48222999999999994</v>
      </c>
      <c r="E25" s="66">
        <f>'M2'!E25-'M1'!E25</f>
        <v>0</v>
      </c>
      <c r="F25" s="66">
        <f>'M2'!F25-'M1'!F25</f>
        <v>-9.142299999999999E-3</v>
      </c>
      <c r="G25" s="66">
        <f>'M2'!G25-'M1'!G25</f>
        <v>0</v>
      </c>
      <c r="H25" s="66">
        <f>'M2'!H25-'M1'!H25</f>
        <v>0.79650999999999983</v>
      </c>
    </row>
    <row r="26" spans="1:8">
      <c r="A26" s="66" t="s">
        <v>69</v>
      </c>
      <c r="B26" s="66">
        <f>'M2'!B26-'M1'!B26</f>
        <v>2.8229999999999998E-4</v>
      </c>
      <c r="C26" s="66">
        <f>'M2'!C26-'M1'!C26</f>
        <v>5.4922800000000004E-3</v>
      </c>
      <c r="D26" s="66">
        <f>'M2'!D26-'M1'!D26</f>
        <v>1.1835000000000022</v>
      </c>
      <c r="E26" s="66">
        <f>'M2'!E26-'M1'!E26</f>
        <v>0</v>
      </c>
      <c r="F26" s="66">
        <f>'M2'!F26-'M1'!F26</f>
        <v>3.2825599999999999E-6</v>
      </c>
      <c r="G26" s="66">
        <f>'M2'!G26-'M1'!G26</f>
        <v>0</v>
      </c>
      <c r="H26" s="66">
        <f>'M2'!H26-'M1'!H26</f>
        <v>3.4499700000000001E-2</v>
      </c>
    </row>
    <row r="27" spans="1:8">
      <c r="A27" s="66" t="s">
        <v>70</v>
      </c>
      <c r="B27" s="66">
        <f>'M2'!B27-'M1'!B27</f>
        <v>-1.6412860000000001E-5</v>
      </c>
      <c r="C27" s="66">
        <f>'M2'!C27-'M1'!C27</f>
        <v>1.0922100000000001E-3</v>
      </c>
      <c r="D27" s="66">
        <f>'M2'!D27-'M1'!D27</f>
        <v>-818.64499999999998</v>
      </c>
      <c r="E27" s="66">
        <f>'M2'!E27-'M1'!E27</f>
        <v>0</v>
      </c>
      <c r="F27" s="66">
        <f>'M2'!F27-'M1'!F27</f>
        <v>-4.1557499999999997E-3</v>
      </c>
      <c r="G27" s="66">
        <f>'M2'!G27-'M1'!G27</f>
        <v>0</v>
      </c>
      <c r="H27" s="66">
        <f>'M2'!H27-'M1'!H27</f>
        <v>1.4679699999999999E-2</v>
      </c>
    </row>
    <row r="28" spans="1:8">
      <c r="A28" s="66" t="s">
        <v>71</v>
      </c>
      <c r="B28" s="66">
        <f>'M2'!B28-'M1'!B28</f>
        <v>-2.0035999999999977E-3</v>
      </c>
      <c r="C28" s="66">
        <f>'M2'!C28-'M1'!C28</f>
        <v>1.2280699999999999E-2</v>
      </c>
      <c r="D28" s="66">
        <f>'M2'!D28-'M1'!D28</f>
        <v>0.89699000000000018</v>
      </c>
      <c r="E28" s="66">
        <f>'M2'!E28-'M1'!E28</f>
        <v>0</v>
      </c>
      <c r="F28" s="66">
        <f>'M2'!F28-'M1'!F28</f>
        <v>8.1379999999999983E-5</v>
      </c>
      <c r="G28" s="66">
        <f>'M2'!G28-'M1'!G28</f>
        <v>0</v>
      </c>
      <c r="H28" s="66">
        <f>'M2'!H28-'M1'!H28</f>
        <v>6.5549999999999997E-2</v>
      </c>
    </row>
    <row r="29" spans="1:8">
      <c r="A29" s="66" t="s">
        <v>72</v>
      </c>
      <c r="B29" s="66">
        <f>'M2'!B29-'M1'!B29</f>
        <v>3.1648999999999887</v>
      </c>
      <c r="C29" s="66">
        <f>'M2'!C29-'M1'!C29</f>
        <v>-0.91384000000000043</v>
      </c>
      <c r="D29" s="66">
        <f>'M2'!D29-'M1'!D29</f>
        <v>-1.702999999999999E-2</v>
      </c>
      <c r="E29" s="66">
        <f>'M2'!E29-'M1'!E29</f>
        <v>0</v>
      </c>
      <c r="F29" s="66">
        <f>'M2'!F29-'M1'!F29</f>
        <v>-3.4367999999999981</v>
      </c>
      <c r="G29" s="66">
        <f>'M2'!G29-'M1'!G29</f>
        <v>0</v>
      </c>
      <c r="H29" s="66">
        <f>'M2'!H29-'M1'!H29</f>
        <v>-10.978200000000001</v>
      </c>
    </row>
    <row r="30" spans="1:8">
      <c r="A30" s="66" t="s">
        <v>73</v>
      </c>
      <c r="B30" s="66">
        <f>'M2'!B30-'M1'!B30</f>
        <v>5.3481999999999985</v>
      </c>
      <c r="C30" s="66">
        <f>'M2'!C30-'M1'!C30</f>
        <v>-1.9693700000000001</v>
      </c>
      <c r="D30" s="66">
        <f>'M2'!D30-'M1'!D30</f>
        <v>-0.13481310000000002</v>
      </c>
      <c r="E30" s="66">
        <f>'M2'!E30-'M1'!E30</f>
        <v>0</v>
      </c>
      <c r="F30" s="66">
        <f>'M2'!F30-'M1'!F30</f>
        <v>11.351890000000001</v>
      </c>
      <c r="G30" s="66">
        <f>'M2'!G30-'M1'!G30</f>
        <v>0</v>
      </c>
      <c r="H30" s="66">
        <f>'M2'!H30-'M1'!H30</f>
        <v>3.5769999999999982</v>
      </c>
    </row>
    <row r="31" spans="1:8">
      <c r="A31" s="66" t="s">
        <v>74</v>
      </c>
      <c r="B31" s="66">
        <f>'M2'!B31-'M1'!B31</f>
        <v>35.345000000000013</v>
      </c>
      <c r="C31" s="66">
        <f>'M2'!C31-'M1'!C31</f>
        <v>8.9527999999999999</v>
      </c>
      <c r="D31" s="66">
        <f>'M2'!D31-'M1'!D31</f>
        <v>2.029800000000001E-2</v>
      </c>
      <c r="E31" s="66">
        <f>'M2'!E31-'M1'!E31</f>
        <v>0</v>
      </c>
      <c r="F31" s="66">
        <f>'M2'!F31-'M1'!F31</f>
        <v>81.542400000000001</v>
      </c>
      <c r="G31" s="66">
        <f>'M2'!G31-'M1'!G31</f>
        <v>0</v>
      </c>
      <c r="H31" s="66">
        <f>'M2'!H31-'M1'!H31</f>
        <v>75.206999999999994</v>
      </c>
    </row>
    <row r="32" spans="1:8">
      <c r="A32" s="66" t="s">
        <v>75</v>
      </c>
      <c r="B32" s="66">
        <f>'M2'!B32-'M1'!B32</f>
        <v>-1.039699999999999E-2</v>
      </c>
      <c r="C32" s="66">
        <f>'M2'!C32-'M1'!C32</f>
        <v>9.7118000000000065E-3</v>
      </c>
      <c r="D32" s="66">
        <f>'M2'!D32-'M1'!D32</f>
        <v>9.9100999999999995E-2</v>
      </c>
      <c r="E32" s="66">
        <f>'M2'!E32-'M1'!E32</f>
        <v>0</v>
      </c>
      <c r="F32" s="66">
        <f>'M2'!F32-'M1'!F32</f>
        <v>-1.01411E-2</v>
      </c>
      <c r="G32" s="66">
        <f>'M2'!G32-'M1'!G32</f>
        <v>0</v>
      </c>
      <c r="H32" s="66">
        <f>'M2'!H32-'M1'!H32</f>
        <v>6.0580000000000078E-3</v>
      </c>
    </row>
    <row r="33" spans="1:8">
      <c r="A33" s="66" t="s">
        <v>76</v>
      </c>
      <c r="B33" s="66">
        <f>'M2'!B33-'M1'!B33</f>
        <v>3.4672000000000008E-2</v>
      </c>
      <c r="C33" s="66">
        <f>'M2'!C33-'M1'!C33</f>
        <v>-1.9336599999999999E-2</v>
      </c>
      <c r="D33" s="66">
        <f>'M2'!D33-'M1'!D33</f>
        <v>-9.6779000000000004E-2</v>
      </c>
      <c r="E33" s="66">
        <f>'M2'!E33-'M1'!E33</f>
        <v>0</v>
      </c>
      <c r="F33" s="66">
        <f>'M2'!F33-'M1'!F33</f>
        <v>5.4946999999999996E-2</v>
      </c>
      <c r="G33" s="66">
        <f>'M2'!G33-'M1'!G33</f>
        <v>0</v>
      </c>
      <c r="H33" s="66">
        <f>'M2'!H33-'M1'!H33</f>
        <v>-0.10844100000000001</v>
      </c>
    </row>
    <row r="34" spans="1:8">
      <c r="A34" s="66" t="s">
        <v>77</v>
      </c>
      <c r="B34" s="66">
        <f>'M2'!B34-'M1'!B34</f>
        <v>3.8525000000000004E-2</v>
      </c>
      <c r="C34" s="66">
        <f>'M2'!C34-'M1'!C34</f>
        <v>-4.4232999999999981E-3</v>
      </c>
      <c r="D34" s="66">
        <f>'M2'!D34-'M1'!D34</f>
        <v>-4.2069999999999996E-2</v>
      </c>
      <c r="E34" s="66">
        <f>'M2'!E34-'M1'!E34</f>
        <v>0</v>
      </c>
      <c r="F34" s="66">
        <f>'M2'!F34-'M1'!F34</f>
        <v>2.6905999999999985E-2</v>
      </c>
      <c r="G34" s="66">
        <f>'M2'!G34-'M1'!G34</f>
        <v>0</v>
      </c>
      <c r="H34" s="66">
        <f>'M2'!H34-'M1'!H34</f>
        <v>-2.1027000000000018E-2</v>
      </c>
    </row>
    <row r="35" spans="1:8">
      <c r="A35" s="66" t="s">
        <v>78</v>
      </c>
      <c r="B35" s="66">
        <f>'M2'!B35-'M1'!B35</f>
        <v>6.9049000000000055E-3</v>
      </c>
      <c r="C35" s="66">
        <f>'M2'!C35-'M1'!C35</f>
        <v>-2.7994900000000003E-2</v>
      </c>
      <c r="D35" s="66">
        <f>'M2'!D35-'M1'!D35</f>
        <v>-0.349163</v>
      </c>
      <c r="E35" s="66">
        <f>'M2'!E35-'M1'!E35</f>
        <v>0</v>
      </c>
      <c r="F35" s="66">
        <f>'M2'!F35-'M1'!F35</f>
        <v>-1.0489000000000054E-3</v>
      </c>
      <c r="G35" s="66">
        <f>'M2'!G35-'M1'!G35</f>
        <v>0</v>
      </c>
      <c r="H35" s="66">
        <f>'M2'!H35-'M1'!H35</f>
        <v>-0.105104</v>
      </c>
    </row>
    <row r="36" spans="1:8">
      <c r="A36" s="66" t="s">
        <v>79</v>
      </c>
      <c r="B36" s="66">
        <f>'M2'!B36-'M1'!B36</f>
        <v>5.4615000000000025E-2</v>
      </c>
      <c r="C36" s="66">
        <f>'M2'!C36-'M1'!C36</f>
        <v>-1.469100000000001E-2</v>
      </c>
      <c r="D36" s="66">
        <f>'M2'!D36-'M1'!D36</f>
        <v>-0.19275799999999998</v>
      </c>
      <c r="E36" s="66">
        <f>'M2'!E36-'M1'!E36</f>
        <v>0</v>
      </c>
      <c r="F36" s="66">
        <f>'M2'!F36-'M1'!F36</f>
        <v>5.9789999999999982E-3</v>
      </c>
      <c r="G36" s="66">
        <f>'M2'!G36-'M1'!G36</f>
        <v>0</v>
      </c>
      <c r="H36" s="66">
        <f>'M2'!H36-'M1'!H36</f>
        <v>-0.25495299999999999</v>
      </c>
    </row>
    <row r="37" spans="1:8">
      <c r="A37" s="66" t="s">
        <v>80</v>
      </c>
      <c r="B37" s="66">
        <f>'M2'!B37-'M1'!B37</f>
        <v>-4.4232999999999967E-2</v>
      </c>
      <c r="C37" s="66">
        <f>'M2'!C37-'M1'!C37</f>
        <v>-1.8279999999999991E-2</v>
      </c>
      <c r="D37" s="66">
        <f>'M2'!D37-'M1'!D37</f>
        <v>4.4700000000003071E-4</v>
      </c>
      <c r="E37" s="66">
        <f>'M2'!E37-'M1'!E37</f>
        <v>0</v>
      </c>
      <c r="F37" s="66">
        <f>'M2'!F37-'M1'!F37</f>
        <v>-3.504199999999999E-3</v>
      </c>
      <c r="G37" s="66">
        <f>'M2'!G37-'M1'!G37</f>
        <v>0</v>
      </c>
      <c r="H37" s="66">
        <f>'M2'!H37-'M1'!H37</f>
        <v>-0.32155700000000004</v>
      </c>
    </row>
    <row r="38" spans="1:8">
      <c r="A38" s="66" t="s">
        <v>81</v>
      </c>
      <c r="B38" s="66">
        <f>'M2'!B38-'M1'!B38</f>
        <v>6.4327290000000001</v>
      </c>
      <c r="C38" s="66">
        <f>'M2'!C38-'M1'!C38</f>
        <v>12.384999999999998</v>
      </c>
      <c r="D38" s="66">
        <f>'M2'!D38-'M1'!D38</f>
        <v>123.88764999999999</v>
      </c>
      <c r="E38" s="66">
        <f>'M2'!E38-'M1'!E38</f>
        <v>0</v>
      </c>
      <c r="F38" s="66">
        <f>'M2'!F38-'M1'!F38</f>
        <v>-71.379199999999997</v>
      </c>
      <c r="G38" s="66">
        <f>'M2'!G38-'M1'!G38</f>
        <v>0</v>
      </c>
      <c r="H38" s="66">
        <f>'M2'!H38-'M1'!H38</f>
        <v>7.1659999999999968</v>
      </c>
    </row>
    <row r="39" spans="1:8">
      <c r="A39" s="66" t="s">
        <v>82</v>
      </c>
      <c r="B39" s="66">
        <f>'M2'!B39-'M1'!B39</f>
        <v>1.39862</v>
      </c>
      <c r="C39" s="66">
        <f>'M2'!C39-'M1'!C39</f>
        <v>6.08047</v>
      </c>
      <c r="D39" s="66">
        <f>'M2'!D39-'M1'!D39</f>
        <v>-6.2314599999999993</v>
      </c>
      <c r="E39" s="66">
        <f>'M2'!E39-'M1'!E39</f>
        <v>0</v>
      </c>
      <c r="F39" s="66">
        <f>'M2'!F39-'M1'!F39</f>
        <v>-16.041400000000003</v>
      </c>
      <c r="G39" s="66">
        <f>'M2'!G39-'M1'!G39</f>
        <v>0</v>
      </c>
      <c r="H39" s="66">
        <f>'M2'!H39-'M1'!H39</f>
        <v>1.4747599999999998</v>
      </c>
    </row>
    <row r="40" spans="1:8">
      <c r="A40" s="66" t="s">
        <v>83</v>
      </c>
      <c r="B40" s="66">
        <f>'M2'!B40-'M1'!B40</f>
        <v>0.1847700000000001</v>
      </c>
      <c r="C40" s="66">
        <f>'M2'!C40-'M1'!C40</f>
        <v>0.55477100000000013</v>
      </c>
      <c r="D40" s="66">
        <f>'M2'!D40-'M1'!D40</f>
        <v>-0.35457299999999997</v>
      </c>
      <c r="E40" s="66">
        <f>'M2'!E40-'M1'!E40</f>
        <v>0</v>
      </c>
      <c r="F40" s="66">
        <f>'M2'!F40-'M1'!F40</f>
        <v>-1.2286199999999998</v>
      </c>
      <c r="G40" s="66">
        <f>'M2'!G40-'M1'!G40</f>
        <v>0</v>
      </c>
      <c r="H40" s="66">
        <f>'M2'!H40-'M1'!H40</f>
        <v>-0.10990300000000003</v>
      </c>
    </row>
    <row r="41" spans="1:8">
      <c r="A41" s="66" t="s">
        <v>84</v>
      </c>
      <c r="B41" s="66">
        <f>'M2'!B41-'M1'!B41</f>
        <v>3.2465600000000004E-2</v>
      </c>
      <c r="C41" s="66">
        <f>'M2'!C41-'M1'!C41</f>
        <v>-5.6718999999999964E-2</v>
      </c>
      <c r="D41" s="66">
        <f>'M2'!D41-'M1'!D41</f>
        <v>-0.67391000000000023</v>
      </c>
      <c r="E41" s="66">
        <f>'M2'!E41-'M1'!E41</f>
        <v>0</v>
      </c>
      <c r="F41" s="66">
        <f>'M2'!F41-'M1'!F41</f>
        <v>0.59440000000000004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6.2331999999999943E-3</v>
      </c>
      <c r="C42" s="66">
        <f>'M2'!C42-'M1'!C42</f>
        <v>1.9063799999999999E-2</v>
      </c>
      <c r="D42" s="66">
        <f>'M2'!D42-'M1'!D42</f>
        <v>-0.23407600000000001</v>
      </c>
      <c r="E42" s="66">
        <f>'M2'!E42-'M1'!E42</f>
        <v>0</v>
      </c>
      <c r="F42" s="66">
        <f>'M2'!F42-'M1'!F42</f>
        <v>-1.6608000000000012E-2</v>
      </c>
      <c r="G42" s="66">
        <f>'M2'!G42-'M1'!G42</f>
        <v>0</v>
      </c>
      <c r="H42" s="66">
        <f>'M2'!H42-'M1'!H42</f>
        <v>3.1735360000000004E-2</v>
      </c>
    </row>
    <row r="43" spans="1:8">
      <c r="A43" s="66" t="s">
        <v>86</v>
      </c>
      <c r="B43" s="66">
        <f>'M2'!B43-'M1'!B43</f>
        <v>-2.5450799999999996E-2</v>
      </c>
      <c r="C43" s="66">
        <f>'M2'!C43-'M1'!C43</f>
        <v>7.1289999999999999E-3</v>
      </c>
      <c r="D43" s="66">
        <f>'M2'!D43-'M1'!D43</f>
        <v>0.12846200000000002</v>
      </c>
      <c r="E43" s="66">
        <f>'M2'!E43-'M1'!E43</f>
        <v>0</v>
      </c>
      <c r="F43" s="66">
        <f>'M2'!F43-'M1'!F43</f>
        <v>-2.6770700000000008E-2</v>
      </c>
      <c r="G43" s="66">
        <f>'M2'!G43-'M1'!G43</f>
        <v>0</v>
      </c>
      <c r="H43" s="66">
        <f>'M2'!H43-'M1'!H43</f>
        <v>-7.4309099999999998E-3</v>
      </c>
    </row>
    <row r="44" spans="1:8">
      <c r="A44" s="66" t="s">
        <v>87</v>
      </c>
      <c r="B44" s="66">
        <f>'M2'!B44-'M1'!B44</f>
        <v>21.930099999999999</v>
      </c>
      <c r="C44" s="66">
        <f>'M2'!C44-'M1'!C44</f>
        <v>16.278590000000001</v>
      </c>
      <c r="D44" s="66">
        <f>'M2'!D44-'M1'!D44</f>
        <v>-0.84667099999999995</v>
      </c>
      <c r="E44" s="66">
        <f>'M2'!E44-'M1'!E44</f>
        <v>0</v>
      </c>
      <c r="F44" s="66">
        <f>'M2'!F44-'M1'!F44</f>
        <v>-8.0858999999999988</v>
      </c>
      <c r="G44" s="66">
        <f>'M2'!G44-'M1'!G44</f>
        <v>0</v>
      </c>
      <c r="H44" s="66">
        <f>'M2'!H44-'M1'!H44</f>
        <v>35.355899999999998</v>
      </c>
    </row>
    <row r="45" spans="1:8">
      <c r="A45" s="66" t="s">
        <v>88</v>
      </c>
      <c r="B45" s="66">
        <f>'M2'!B45-'M1'!B45</f>
        <v>2.7603000000000009</v>
      </c>
      <c r="C45" s="66">
        <f>'M2'!C45-'M1'!C45</f>
        <v>1.0202000000000009</v>
      </c>
      <c r="D45" s="66">
        <f>'M2'!D45-'M1'!D45</f>
        <v>1.1386000000000007E-2</v>
      </c>
      <c r="E45" s="66">
        <f>'M2'!E45-'M1'!E45</f>
        <v>0</v>
      </c>
      <c r="F45" s="66">
        <f>'M2'!F45-'M1'!F45</f>
        <v>-2.511099999999999</v>
      </c>
      <c r="G45" s="66">
        <f>'M2'!G45-'M1'!G45</f>
        <v>0</v>
      </c>
      <c r="H45" s="66">
        <f>'M2'!H45-'M1'!H45</f>
        <v>3.0876999999999981</v>
      </c>
    </row>
    <row r="46" spans="1:8">
      <c r="A46" s="66" t="s">
        <v>89</v>
      </c>
      <c r="B46" s="66">
        <f>'M2'!B46-'M1'!B46</f>
        <v>10.4421</v>
      </c>
      <c r="C46" s="66">
        <f>'M2'!C46-'M1'!C46</f>
        <v>-4.7803709999999997</v>
      </c>
      <c r="D46" s="66">
        <f>'M2'!D46-'M1'!D46</f>
        <v>-0.2969735</v>
      </c>
      <c r="E46" s="66">
        <f>'M2'!E46-'M1'!E46</f>
        <v>0</v>
      </c>
      <c r="F46" s="66">
        <f>'M2'!F46-'M1'!F46</f>
        <v>18.980580000000003</v>
      </c>
      <c r="G46" s="66">
        <f>'M2'!G46-'M1'!G46</f>
        <v>0</v>
      </c>
      <c r="H46" s="66">
        <f>'M2'!H46-'M1'!H46</f>
        <v>4.1001000000000012</v>
      </c>
    </row>
    <row r="47" spans="1:8">
      <c r="A47" s="66" t="s">
        <v>90</v>
      </c>
      <c r="B47" s="66">
        <f>'M2'!B47-'M1'!B47</f>
        <v>3.0078000000000049E-2</v>
      </c>
      <c r="C47" s="66">
        <f>'M2'!C47-'M1'!C47</f>
        <v>4.239499999999996E-2</v>
      </c>
      <c r="D47" s="66">
        <f>'M2'!D47-'M1'!D47</f>
        <v>2.8252999999999973E-2</v>
      </c>
      <c r="E47" s="66">
        <f>'M2'!E47-'M1'!E47</f>
        <v>0</v>
      </c>
      <c r="F47" s="66">
        <f>'M2'!F47-'M1'!F47</f>
        <v>1.0550000000000281E-3</v>
      </c>
      <c r="G47" s="66">
        <f>'M2'!G47-'M1'!G47</f>
        <v>0</v>
      </c>
      <c r="H47" s="66">
        <f>'M2'!H47-'M1'!H47</f>
        <v>-0.32776000000000005</v>
      </c>
    </row>
    <row r="48" spans="1:8">
      <c r="A48" s="66" t="s">
        <v>91</v>
      </c>
      <c r="B48" s="66">
        <f>'M2'!B48-'M1'!B48</f>
        <v>-0.16619099999999998</v>
      </c>
      <c r="C48" s="66">
        <f>'M2'!C48-'M1'!C48</f>
        <v>-0.13371089999999999</v>
      </c>
      <c r="D48" s="66">
        <f>'M2'!D48-'M1'!D48</f>
        <v>-0.12694659999999999</v>
      </c>
      <c r="E48" s="66">
        <f>'M2'!E48-'M1'!E48</f>
        <v>0</v>
      </c>
      <c r="F48" s="66">
        <f>'M2'!F48-'M1'!F48</f>
        <v>-6.9463000000000052E-2</v>
      </c>
      <c r="G48" s="66">
        <f>'M2'!G48-'M1'!G48</f>
        <v>0</v>
      </c>
      <c r="H48" s="66">
        <f>'M2'!H48-'M1'!H48</f>
        <v>-0.39521799999999996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24.118500000000001</v>
      </c>
      <c r="C5" s="66">
        <v>7.3103499999999997</v>
      </c>
      <c r="D5" s="66">
        <v>30.310199999999998</v>
      </c>
      <c r="E5" s="66">
        <v>20</v>
      </c>
      <c r="F5" s="66">
        <v>8.8093400000000006</v>
      </c>
      <c r="G5" s="66">
        <v>50</v>
      </c>
      <c r="H5" s="66">
        <v>34.814100000000003</v>
      </c>
    </row>
    <row r="6" spans="1:8">
      <c r="A6" s="66" t="s">
        <v>303</v>
      </c>
      <c r="B6" s="66">
        <v>24.3752</v>
      </c>
      <c r="C6" s="66">
        <v>2.3462499999999999</v>
      </c>
      <c r="D6" s="66">
        <v>9.6255600000000001</v>
      </c>
      <c r="E6" s="66">
        <v>20</v>
      </c>
      <c r="F6" s="66">
        <v>19.739999999999998</v>
      </c>
      <c r="G6" s="66">
        <v>40</v>
      </c>
      <c r="H6" s="66">
        <v>29.047799999999999</v>
      </c>
    </row>
    <row r="7" spans="1:8">
      <c r="A7" s="66" t="s">
        <v>304</v>
      </c>
      <c r="B7" s="66">
        <v>14.9978</v>
      </c>
      <c r="C7" s="66">
        <v>5.9443999999999999</v>
      </c>
      <c r="D7" s="66">
        <v>39.635100000000001</v>
      </c>
      <c r="E7" s="66">
        <v>15</v>
      </c>
      <c r="F7" s="66">
        <v>3.5999400000000001</v>
      </c>
      <c r="G7" s="66">
        <v>40</v>
      </c>
      <c r="H7" s="66">
        <v>38.084899999999998</v>
      </c>
    </row>
    <row r="8" spans="1:8">
      <c r="A8" s="66" t="s">
        <v>305</v>
      </c>
      <c r="B8" s="66">
        <v>22.491900000000001</v>
      </c>
      <c r="C8" s="66">
        <v>3.94773</v>
      </c>
      <c r="D8" s="66">
        <v>17.5518</v>
      </c>
      <c r="E8" s="66">
        <v>20</v>
      </c>
      <c r="F8" s="66">
        <v>12.839600000000001</v>
      </c>
      <c r="G8" s="66">
        <v>50</v>
      </c>
      <c r="H8" s="66">
        <v>25.576799999999999</v>
      </c>
    </row>
    <row r="9" spans="1:8">
      <c r="A9" s="66" t="s">
        <v>306</v>
      </c>
      <c r="B9" s="66">
        <v>75.494799999999998</v>
      </c>
      <c r="C9" s="66">
        <v>5.0287699999999997</v>
      </c>
      <c r="D9" s="66">
        <v>6.6610899999999997</v>
      </c>
      <c r="E9" s="66">
        <v>50</v>
      </c>
      <c r="F9" s="66">
        <v>66.194299999999998</v>
      </c>
      <c r="G9" s="66">
        <v>100</v>
      </c>
      <c r="H9" s="66">
        <v>88.604900000000001</v>
      </c>
    </row>
    <row r="10" spans="1:8">
      <c r="A10" s="66" t="s">
        <v>307</v>
      </c>
      <c r="B10" s="66">
        <v>80.937299999999993</v>
      </c>
      <c r="C10" s="66">
        <v>2.5481099999999999</v>
      </c>
      <c r="D10" s="66">
        <v>3.14825</v>
      </c>
      <c r="E10" s="66">
        <v>40</v>
      </c>
      <c r="F10" s="66">
        <v>70.771500000000003</v>
      </c>
      <c r="G10" s="66">
        <v>100</v>
      </c>
      <c r="H10" s="66">
        <v>83.487200000000001</v>
      </c>
    </row>
    <row r="11" spans="1:8">
      <c r="A11" s="66" t="s">
        <v>308</v>
      </c>
      <c r="B11" s="66">
        <v>13.4191</v>
      </c>
      <c r="C11" s="66">
        <v>3.22329</v>
      </c>
      <c r="D11" s="66">
        <v>24.020199999999999</v>
      </c>
      <c r="E11" s="66">
        <v>10</v>
      </c>
      <c r="F11" s="66">
        <v>4.9106800000000002</v>
      </c>
      <c r="G11" s="66">
        <v>50</v>
      </c>
      <c r="H11" s="66">
        <v>17.269400000000001</v>
      </c>
    </row>
    <row r="12" spans="1:8">
      <c r="A12" s="66" t="s">
        <v>309</v>
      </c>
      <c r="B12" s="66">
        <v>78.1995</v>
      </c>
      <c r="C12" s="66">
        <v>1.99105</v>
      </c>
      <c r="D12" s="66">
        <v>2.5461200000000002</v>
      </c>
      <c r="E12" s="66">
        <v>50</v>
      </c>
      <c r="F12" s="66">
        <v>73.459800000000001</v>
      </c>
      <c r="G12" s="66">
        <v>100</v>
      </c>
      <c r="H12" s="66">
        <v>83.698599999999999</v>
      </c>
    </row>
    <row r="13" spans="1:8">
      <c r="A13" s="66" t="s">
        <v>310</v>
      </c>
      <c r="B13" s="66">
        <v>22.8673</v>
      </c>
      <c r="C13" s="66">
        <v>4.04678</v>
      </c>
      <c r="D13" s="66">
        <v>17.6968</v>
      </c>
      <c r="E13" s="66">
        <v>10</v>
      </c>
      <c r="F13" s="66">
        <v>18.2376</v>
      </c>
      <c r="G13" s="66">
        <v>25</v>
      </c>
      <c r="H13" s="66">
        <v>36.562600000000003</v>
      </c>
    </row>
    <row r="14" spans="1:8">
      <c r="A14" s="66" t="s">
        <v>311</v>
      </c>
      <c r="B14" s="66">
        <v>40.467799999999997</v>
      </c>
      <c r="C14" s="66">
        <v>16.871099999999998</v>
      </c>
      <c r="D14" s="66">
        <v>41.690199999999997</v>
      </c>
      <c r="E14" s="66">
        <v>10</v>
      </c>
      <c r="F14" s="66">
        <v>3.5326499999999998</v>
      </c>
      <c r="G14" s="66">
        <v>50</v>
      </c>
      <c r="H14" s="66">
        <v>73.500900000000001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0.512571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0.61690400000000001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346</v>
      </c>
      <c r="B20" s="66">
        <v>1.55803E-3</v>
      </c>
      <c r="C20" s="66">
        <v>8.7629399999999996E-2</v>
      </c>
      <c r="D20" s="66">
        <v>56.243600000000001</v>
      </c>
      <c r="E20" s="66">
        <v>0</v>
      </c>
      <c r="F20" s="66">
        <v>0</v>
      </c>
      <c r="G20" s="66">
        <v>0</v>
      </c>
      <c r="H20" s="66">
        <v>0.60536599999999996</v>
      </c>
    </row>
    <row r="21" spans="1:8">
      <c r="A21" s="66" t="s">
        <v>318</v>
      </c>
      <c r="B21" s="66">
        <v>0.12983700000000001</v>
      </c>
      <c r="C21" s="66">
        <v>0.700013</v>
      </c>
      <c r="D21" s="66">
        <v>5.3914600000000004</v>
      </c>
      <c r="E21" s="66">
        <v>0</v>
      </c>
      <c r="F21" s="66">
        <v>4.3516399999999998E-4</v>
      </c>
      <c r="G21" s="66">
        <v>0</v>
      </c>
      <c r="H21" s="66">
        <v>3.6936599999999999</v>
      </c>
    </row>
    <row r="22" spans="1:8">
      <c r="A22" s="66" t="s">
        <v>319</v>
      </c>
      <c r="B22" s="66">
        <v>39.539900000000003</v>
      </c>
      <c r="C22" s="66">
        <v>21.4512</v>
      </c>
      <c r="D22" s="66">
        <v>0.54252</v>
      </c>
      <c r="E22" s="66">
        <v>0</v>
      </c>
      <c r="F22" s="66">
        <v>25.041899999999998</v>
      </c>
      <c r="G22" s="66">
        <v>0</v>
      </c>
      <c r="H22" s="66">
        <v>118.149</v>
      </c>
    </row>
    <row r="23" spans="1:8">
      <c r="A23" s="66" t="s">
        <v>320</v>
      </c>
      <c r="B23" s="66">
        <v>16.162800000000001</v>
      </c>
      <c r="C23" s="66">
        <v>2.35446</v>
      </c>
      <c r="D23" s="66">
        <v>0.145672</v>
      </c>
      <c r="E23" s="66">
        <v>0</v>
      </c>
      <c r="F23" s="66">
        <v>6.8887900000000002</v>
      </c>
      <c r="G23" s="66">
        <v>0</v>
      </c>
      <c r="H23" s="66">
        <v>18.1709</v>
      </c>
    </row>
    <row r="24" spans="1:8">
      <c r="A24" s="66" t="s">
        <v>321</v>
      </c>
      <c r="B24" s="66">
        <v>2.26232E-3</v>
      </c>
      <c r="C24" s="66">
        <v>7.4769699999999994E-2</v>
      </c>
      <c r="D24" s="66">
        <v>33.049900000000001</v>
      </c>
      <c r="E24" s="66">
        <v>0</v>
      </c>
      <c r="F24" s="196">
        <v>7.2776700000000004E-5</v>
      </c>
      <c r="G24" s="66">
        <v>0</v>
      </c>
      <c r="H24" s="66">
        <v>0.41436600000000001</v>
      </c>
    </row>
    <row r="25" spans="1:8">
      <c r="A25" s="66" t="s">
        <v>322</v>
      </c>
      <c r="B25" s="66">
        <v>0.17629300000000001</v>
      </c>
      <c r="C25" s="66">
        <v>0.42194900000000002</v>
      </c>
      <c r="D25" s="66">
        <v>2.3934600000000001</v>
      </c>
      <c r="E25" s="66">
        <v>0</v>
      </c>
      <c r="F25" s="66">
        <v>3.21474E-2</v>
      </c>
      <c r="G25" s="66">
        <v>0</v>
      </c>
      <c r="H25" s="66">
        <v>1.62531</v>
      </c>
    </row>
    <row r="26" spans="1:8">
      <c r="A26" s="66" t="s">
        <v>323</v>
      </c>
      <c r="B26" s="66">
        <v>5.28493E-4</v>
      </c>
      <c r="C26" s="66">
        <v>8.4858199999999998E-3</v>
      </c>
      <c r="D26" s="66">
        <v>16.0566</v>
      </c>
      <c r="E26" s="66">
        <v>0</v>
      </c>
      <c r="F26" s="66">
        <v>0</v>
      </c>
      <c r="G26" s="66">
        <v>0</v>
      </c>
      <c r="H26" s="66">
        <v>5.2711399999999999E-2</v>
      </c>
    </row>
    <row r="27" spans="1:8">
      <c r="A27" s="66" t="s">
        <v>324</v>
      </c>
      <c r="B27" s="196">
        <v>3.2825599999999999E-6</v>
      </c>
      <c r="C27" s="66">
        <v>1.93136E-3</v>
      </c>
      <c r="D27" s="66">
        <v>588.37</v>
      </c>
      <c r="E27" s="66">
        <v>0</v>
      </c>
      <c r="F27" s="66">
        <v>-8.2359500000000006E-3</v>
      </c>
      <c r="G27" s="66">
        <v>0</v>
      </c>
      <c r="H27" s="66">
        <v>1.4433400000000001E-2</v>
      </c>
    </row>
    <row r="28" spans="1:8">
      <c r="A28" s="66" t="s">
        <v>325</v>
      </c>
      <c r="B28" s="66">
        <v>1.9799799999999999E-2</v>
      </c>
      <c r="C28" s="66">
        <v>3.6390400000000003E-2</v>
      </c>
      <c r="D28" s="66">
        <v>1.83792</v>
      </c>
      <c r="E28" s="66">
        <v>0</v>
      </c>
      <c r="F28" s="66">
        <v>1.8880200000000001E-4</v>
      </c>
      <c r="G28" s="66">
        <v>0</v>
      </c>
      <c r="H28" s="66">
        <v>0.18181</v>
      </c>
    </row>
    <row r="29" spans="1:8">
      <c r="A29" s="66" t="s">
        <v>326</v>
      </c>
      <c r="B29" s="66">
        <v>76.688100000000006</v>
      </c>
      <c r="C29" s="66">
        <v>10.8088</v>
      </c>
      <c r="D29" s="66">
        <v>0.14094499999999999</v>
      </c>
      <c r="E29" s="66">
        <v>0</v>
      </c>
      <c r="F29" s="66">
        <v>52.257599999999996</v>
      </c>
      <c r="G29" s="66">
        <v>0</v>
      </c>
      <c r="H29" s="66">
        <v>106.065</v>
      </c>
    </row>
    <row r="30" spans="1:8">
      <c r="A30" s="66" t="s">
        <v>327</v>
      </c>
      <c r="B30" s="66">
        <v>17.6432</v>
      </c>
      <c r="C30" s="66">
        <v>3.7283200000000001</v>
      </c>
      <c r="D30" s="66">
        <v>0.21131800000000001</v>
      </c>
      <c r="E30" s="66">
        <v>0</v>
      </c>
      <c r="F30" s="66">
        <v>7.46631</v>
      </c>
      <c r="G30" s="66">
        <v>0</v>
      </c>
      <c r="H30" s="66">
        <v>22.517600000000002</v>
      </c>
    </row>
    <row r="31" spans="1:8">
      <c r="A31" s="66" t="s">
        <v>328</v>
      </c>
      <c r="B31" s="66">
        <v>101.09099999999999</v>
      </c>
      <c r="C31" s="66">
        <v>17.685099999999998</v>
      </c>
      <c r="D31" s="66">
        <v>0.17494299999999999</v>
      </c>
      <c r="E31" s="66">
        <v>0</v>
      </c>
      <c r="F31" s="66">
        <v>31.910599999999999</v>
      </c>
      <c r="G31" s="66">
        <v>0</v>
      </c>
      <c r="H31" s="66">
        <v>113.453</v>
      </c>
    </row>
    <row r="32" spans="1:8">
      <c r="A32" s="66" t="s">
        <v>329</v>
      </c>
      <c r="B32" s="66">
        <v>0.149978</v>
      </c>
      <c r="C32" s="66">
        <v>5.9443999999999997E-2</v>
      </c>
      <c r="D32" s="66">
        <v>0.39635100000000001</v>
      </c>
      <c r="E32" s="66">
        <v>0.15</v>
      </c>
      <c r="F32" s="66">
        <v>3.5999400000000001E-2</v>
      </c>
      <c r="G32" s="66">
        <v>0.4</v>
      </c>
      <c r="H32" s="66">
        <v>0.38084899999999999</v>
      </c>
    </row>
    <row r="33" spans="1:8">
      <c r="A33" s="66" t="s">
        <v>330</v>
      </c>
      <c r="B33" s="66">
        <v>0.216276</v>
      </c>
      <c r="C33" s="66">
        <v>3.0876399999999998E-2</v>
      </c>
      <c r="D33" s="66">
        <v>0.142764</v>
      </c>
      <c r="E33" s="66">
        <v>0</v>
      </c>
      <c r="F33" s="66">
        <v>0.16809199999999999</v>
      </c>
      <c r="G33" s="66">
        <v>0</v>
      </c>
      <c r="H33" s="66">
        <v>0.409132</v>
      </c>
    </row>
    <row r="34" spans="1:8">
      <c r="A34" s="66" t="s">
        <v>331</v>
      </c>
      <c r="B34" s="66">
        <v>0.22867299999999999</v>
      </c>
      <c r="C34" s="66">
        <v>4.0467799999999998E-2</v>
      </c>
      <c r="D34" s="66">
        <v>0.17696799999999999</v>
      </c>
      <c r="E34" s="66">
        <v>0.1</v>
      </c>
      <c r="F34" s="66">
        <v>0.18237600000000001</v>
      </c>
      <c r="G34" s="66">
        <v>0.25</v>
      </c>
      <c r="H34" s="66">
        <v>0.36562600000000001</v>
      </c>
    </row>
    <row r="35" spans="1:8">
      <c r="A35" s="66" t="s">
        <v>332</v>
      </c>
      <c r="B35" s="66">
        <v>8.5896500000000001E-2</v>
      </c>
      <c r="C35" s="66">
        <v>5.4835500000000002E-2</v>
      </c>
      <c r="D35" s="66">
        <v>0.63839000000000001</v>
      </c>
      <c r="E35" s="66">
        <v>0</v>
      </c>
      <c r="F35" s="66">
        <v>3.6555200000000003E-2</v>
      </c>
      <c r="G35" s="66">
        <v>0</v>
      </c>
      <c r="H35" s="66">
        <v>0.242926</v>
      </c>
    </row>
    <row r="36" spans="1:8">
      <c r="A36" s="66" t="s">
        <v>333</v>
      </c>
      <c r="B36" s="66">
        <v>0.196936</v>
      </c>
      <c r="C36" s="66">
        <v>0.12186900000000001</v>
      </c>
      <c r="D36" s="66">
        <v>0.61882599999999999</v>
      </c>
      <c r="E36" s="66">
        <v>0</v>
      </c>
      <c r="F36" s="66">
        <v>5.7878100000000002E-2</v>
      </c>
      <c r="G36" s="66">
        <v>0</v>
      </c>
      <c r="H36" s="66">
        <v>0.76535900000000001</v>
      </c>
    </row>
    <row r="37" spans="1:8">
      <c r="A37" s="66" t="s">
        <v>334</v>
      </c>
      <c r="B37" s="66">
        <v>0.40467799999999998</v>
      </c>
      <c r="C37" s="66">
        <v>0.168711</v>
      </c>
      <c r="D37" s="66">
        <v>0.41690199999999999</v>
      </c>
      <c r="E37" s="66">
        <v>0.1</v>
      </c>
      <c r="F37" s="66">
        <v>3.5326499999999997E-2</v>
      </c>
      <c r="G37" s="66">
        <v>0.5</v>
      </c>
      <c r="H37" s="66">
        <v>0.73500900000000002</v>
      </c>
    </row>
    <row r="38" spans="1:8">
      <c r="A38" s="66" t="s">
        <v>335</v>
      </c>
      <c r="B38" s="66">
        <v>-6.1107500000000003</v>
      </c>
      <c r="C38" s="66">
        <v>26.127400000000002</v>
      </c>
      <c r="D38" s="66">
        <v>-4.2756499999999997</v>
      </c>
      <c r="E38" s="66">
        <v>0</v>
      </c>
      <c r="F38" s="66">
        <v>-63.166800000000002</v>
      </c>
      <c r="G38" s="66">
        <v>0</v>
      </c>
      <c r="H38" s="66">
        <v>94.962000000000003</v>
      </c>
    </row>
    <row r="39" spans="1:8">
      <c r="A39" s="66" t="s">
        <v>336</v>
      </c>
      <c r="B39" s="66">
        <v>-2.83365</v>
      </c>
      <c r="C39" s="66">
        <v>5.79833</v>
      </c>
      <c r="D39" s="66">
        <v>-2.0462400000000001</v>
      </c>
      <c r="E39" s="66">
        <v>0</v>
      </c>
      <c r="F39" s="66">
        <v>-21.599699999999999</v>
      </c>
      <c r="G39" s="66">
        <v>0</v>
      </c>
      <c r="H39" s="66">
        <v>1.8324199999999999</v>
      </c>
    </row>
    <row r="40" spans="1:8">
      <c r="A40" s="66" t="s">
        <v>337</v>
      </c>
      <c r="B40" s="66">
        <v>-1.90527</v>
      </c>
      <c r="C40" s="66">
        <v>0.56996899999999995</v>
      </c>
      <c r="D40" s="66">
        <v>-0.29915399999999998</v>
      </c>
      <c r="E40" s="66">
        <v>0</v>
      </c>
      <c r="F40" s="66">
        <v>-2.4965000000000002</v>
      </c>
      <c r="G40" s="66">
        <v>0</v>
      </c>
      <c r="H40" s="66">
        <v>-0.45956999999999998</v>
      </c>
    </row>
    <row r="41" spans="1:8">
      <c r="A41" s="66" t="s">
        <v>338</v>
      </c>
      <c r="B41" s="66">
        <v>-8.8674500000000003E-2</v>
      </c>
      <c r="C41" s="66">
        <v>0.25838299999999997</v>
      </c>
      <c r="D41" s="66">
        <v>-2.91384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-9.7564499999999998E-2</v>
      </c>
      <c r="C42" s="66">
        <v>3.6230100000000001E-2</v>
      </c>
      <c r="D42" s="66">
        <v>-0.37134499999999998</v>
      </c>
      <c r="E42" s="66">
        <v>0</v>
      </c>
      <c r="F42" s="66">
        <v>-0.18343999999999999</v>
      </c>
      <c r="G42" s="66">
        <v>0</v>
      </c>
      <c r="H42" s="66">
        <v>-2.2219300000000001E-2</v>
      </c>
    </row>
    <row r="43" spans="1:8">
      <c r="A43" s="66" t="s">
        <v>340</v>
      </c>
      <c r="B43" s="66">
        <v>-3.6592300000000001E-2</v>
      </c>
      <c r="C43" s="66">
        <v>2.1709200000000001E-2</v>
      </c>
      <c r="D43" s="66">
        <v>-0.59327200000000002</v>
      </c>
      <c r="E43" s="66">
        <v>0</v>
      </c>
      <c r="F43" s="66">
        <v>-7.5529299999999994E-2</v>
      </c>
      <c r="G43" s="66">
        <v>0</v>
      </c>
      <c r="H43" s="66">
        <v>1.25355E-2</v>
      </c>
    </row>
    <row r="44" spans="1:8">
      <c r="A44" s="66" t="s">
        <v>341</v>
      </c>
      <c r="B44" s="66">
        <v>2.718</v>
      </c>
      <c r="C44" s="66">
        <v>4.6040099999999997</v>
      </c>
      <c r="D44" s="66">
        <v>1.6939</v>
      </c>
      <c r="E44" s="66">
        <v>0</v>
      </c>
      <c r="F44" s="66">
        <v>-11.5609</v>
      </c>
      <c r="G44" s="66">
        <v>0</v>
      </c>
      <c r="H44" s="66">
        <v>10.673</v>
      </c>
    </row>
    <row r="45" spans="1:8">
      <c r="A45" s="66" t="s">
        <v>342</v>
      </c>
      <c r="B45" s="66">
        <v>56.531399999999998</v>
      </c>
      <c r="C45" s="66">
        <v>7.0679999999999996</v>
      </c>
      <c r="D45" s="66">
        <v>0.125028</v>
      </c>
      <c r="E45" s="66">
        <v>0</v>
      </c>
      <c r="F45" s="66">
        <v>40.773299999999999</v>
      </c>
      <c r="G45" s="66">
        <v>0</v>
      </c>
      <c r="H45" s="66">
        <v>70.574200000000005</v>
      </c>
    </row>
    <row r="46" spans="1:8">
      <c r="A46" s="66" t="s">
        <v>343</v>
      </c>
      <c r="B46" s="66">
        <v>17.221499999999999</v>
      </c>
      <c r="C46" s="66">
        <v>5.6651499999999997</v>
      </c>
      <c r="D46" s="66">
        <v>0.328957</v>
      </c>
      <c r="E46" s="66">
        <v>0</v>
      </c>
      <c r="F46" s="66">
        <v>6.80382</v>
      </c>
      <c r="G46" s="66">
        <v>0</v>
      </c>
      <c r="H46" s="66">
        <v>25.376899999999999</v>
      </c>
    </row>
    <row r="47" spans="1:8">
      <c r="A47" s="66" t="s">
        <v>344</v>
      </c>
      <c r="B47" s="66">
        <v>0.92475099999999999</v>
      </c>
      <c r="C47" s="66">
        <v>0.474078</v>
      </c>
      <c r="D47" s="66">
        <v>0.51265400000000005</v>
      </c>
      <c r="E47" s="66">
        <v>0</v>
      </c>
      <c r="F47" s="66">
        <v>0.38271699999999997</v>
      </c>
      <c r="G47" s="66">
        <v>0</v>
      </c>
      <c r="H47" s="66">
        <v>2.7706499999999998</v>
      </c>
    </row>
    <row r="48" spans="1:8">
      <c r="A48" s="66" t="s">
        <v>345</v>
      </c>
      <c r="B48" s="66">
        <v>0.988958</v>
      </c>
      <c r="C48" s="66">
        <v>0.17414199999999999</v>
      </c>
      <c r="D48" s="66">
        <v>0.17608699999999999</v>
      </c>
      <c r="E48" s="66">
        <v>0</v>
      </c>
      <c r="F48" s="66">
        <v>0.76426300000000003</v>
      </c>
      <c r="G48" s="66">
        <v>0</v>
      </c>
      <c r="H48" s="66">
        <v>1.27772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39.088999999999999</v>
      </c>
      <c r="C5" s="66">
        <v>3.67727</v>
      </c>
      <c r="D5" s="66">
        <v>9.4074299999999997</v>
      </c>
      <c r="E5" s="66">
        <v>20</v>
      </c>
      <c r="F5" s="66">
        <v>31.692599999999999</v>
      </c>
      <c r="G5" s="66">
        <v>50</v>
      </c>
      <c r="H5" s="66">
        <v>50.316600000000001</v>
      </c>
    </row>
    <row r="6" spans="1:8">
      <c r="A6" s="66" t="s">
        <v>303</v>
      </c>
      <c r="B6" s="66">
        <v>27.128799999999998</v>
      </c>
      <c r="C6" s="66">
        <v>1.17788</v>
      </c>
      <c r="D6" s="66">
        <v>4.3418099999999997</v>
      </c>
      <c r="E6" s="66">
        <v>20</v>
      </c>
      <c r="F6" s="66">
        <v>25.741099999999999</v>
      </c>
      <c r="G6" s="66">
        <v>40</v>
      </c>
      <c r="H6" s="66">
        <v>30.323699999999999</v>
      </c>
    </row>
    <row r="7" spans="1:8">
      <c r="A7" s="66" t="s">
        <v>304</v>
      </c>
      <c r="B7" s="66">
        <v>13.9581</v>
      </c>
      <c r="C7" s="66">
        <v>6.9155899999999999</v>
      </c>
      <c r="D7" s="66">
        <v>49.545200000000001</v>
      </c>
      <c r="E7" s="66">
        <v>15</v>
      </c>
      <c r="F7" s="66">
        <v>2.5858300000000001</v>
      </c>
      <c r="G7" s="66">
        <v>40</v>
      </c>
      <c r="H7" s="66">
        <v>38.6907</v>
      </c>
    </row>
    <row r="8" spans="1:8">
      <c r="A8" s="66" t="s">
        <v>305</v>
      </c>
      <c r="B8" s="66">
        <v>26.977699999999999</v>
      </c>
      <c r="C8" s="66">
        <v>2.3290500000000001</v>
      </c>
      <c r="D8" s="66">
        <v>8.6332500000000003</v>
      </c>
      <c r="E8" s="66">
        <v>20</v>
      </c>
      <c r="F8" s="66">
        <v>22.5352</v>
      </c>
      <c r="G8" s="66">
        <v>50</v>
      </c>
      <c r="H8" s="66">
        <v>33.024099999999997</v>
      </c>
    </row>
    <row r="9" spans="1:8">
      <c r="A9" s="66" t="s">
        <v>306</v>
      </c>
      <c r="B9" s="66">
        <v>65.211100000000002</v>
      </c>
      <c r="C9" s="66">
        <v>3.3373300000000001</v>
      </c>
      <c r="D9" s="66">
        <v>5.1177400000000004</v>
      </c>
      <c r="E9" s="66">
        <v>50</v>
      </c>
      <c r="F9" s="66">
        <v>56.096400000000003</v>
      </c>
      <c r="G9" s="66">
        <v>100</v>
      </c>
      <c r="H9" s="66">
        <v>74.521500000000003</v>
      </c>
    </row>
    <row r="10" spans="1:8">
      <c r="A10" s="66" t="s">
        <v>307</v>
      </c>
      <c r="B10" s="66">
        <v>80.599999999999994</v>
      </c>
      <c r="C10" s="66">
        <v>1.3686100000000001</v>
      </c>
      <c r="D10" s="66">
        <v>1.6980299999999999</v>
      </c>
      <c r="E10" s="66">
        <v>40</v>
      </c>
      <c r="F10" s="66">
        <v>77.078999999999994</v>
      </c>
      <c r="G10" s="66">
        <v>100</v>
      </c>
      <c r="H10" s="66">
        <v>84.048599999999993</v>
      </c>
    </row>
    <row r="11" spans="1:8">
      <c r="A11" s="66" t="s">
        <v>308</v>
      </c>
      <c r="B11" s="66">
        <v>18.600300000000001</v>
      </c>
      <c r="C11" s="66">
        <v>1.3852</v>
      </c>
      <c r="D11" s="66">
        <v>7.4471699999999998</v>
      </c>
      <c r="E11" s="66">
        <v>10</v>
      </c>
      <c r="F11" s="66">
        <v>15.0989</v>
      </c>
      <c r="G11" s="66">
        <v>50</v>
      </c>
      <c r="H11" s="66">
        <v>20.4908</v>
      </c>
    </row>
    <row r="12" spans="1:8">
      <c r="A12" s="66" t="s">
        <v>309</v>
      </c>
      <c r="B12" s="66">
        <v>72.967799999999997</v>
      </c>
      <c r="C12" s="66">
        <v>1.64774</v>
      </c>
      <c r="D12" s="66">
        <v>2.2581799999999999</v>
      </c>
      <c r="E12" s="66">
        <v>50</v>
      </c>
      <c r="F12" s="66">
        <v>68.2744</v>
      </c>
      <c r="G12" s="66">
        <v>100</v>
      </c>
      <c r="H12" s="66">
        <v>77.325100000000006</v>
      </c>
    </row>
    <row r="13" spans="1:8">
      <c r="A13" s="66" t="s">
        <v>310</v>
      </c>
      <c r="B13" s="66">
        <v>26.719799999999999</v>
      </c>
      <c r="C13" s="66">
        <v>3.6044499999999999</v>
      </c>
      <c r="D13" s="66">
        <v>13.489800000000001</v>
      </c>
      <c r="E13" s="66">
        <v>10</v>
      </c>
      <c r="F13" s="66">
        <v>20.9282</v>
      </c>
      <c r="G13" s="66">
        <v>25</v>
      </c>
      <c r="H13" s="66">
        <v>34.459899999999998</v>
      </c>
    </row>
    <row r="14" spans="1:8">
      <c r="A14" s="66" t="s">
        <v>311</v>
      </c>
      <c r="B14" s="66">
        <v>36.044499999999999</v>
      </c>
      <c r="C14" s="66">
        <v>15.043100000000001</v>
      </c>
      <c r="D14" s="66">
        <v>41.734900000000003</v>
      </c>
      <c r="E14" s="66">
        <v>10</v>
      </c>
      <c r="F14" s="66">
        <v>3.1822300000000001</v>
      </c>
      <c r="G14" s="66">
        <v>50</v>
      </c>
      <c r="H14" s="66">
        <v>41.345199999999998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0.70210099999999998</v>
      </c>
      <c r="C18" s="66">
        <v>3.3552100000000001E-2</v>
      </c>
      <c r="D18" s="66">
        <v>4.77881E-2</v>
      </c>
      <c r="E18" s="66">
        <v>0</v>
      </c>
      <c r="F18" s="66">
        <v>0.66854899999999995</v>
      </c>
      <c r="G18" s="66">
        <v>0</v>
      </c>
      <c r="H18" s="66">
        <v>0.735653</v>
      </c>
    </row>
    <row r="19" spans="1:8">
      <c r="A19" s="66" t="s">
        <v>316</v>
      </c>
      <c r="B19" s="66">
        <v>0.77637699999999998</v>
      </c>
      <c r="C19" s="66">
        <v>5.6956E-2</v>
      </c>
      <c r="D19" s="66">
        <v>7.3361200000000001E-2</v>
      </c>
      <c r="E19" s="66">
        <v>0</v>
      </c>
      <c r="F19" s="66">
        <v>0.71942099999999998</v>
      </c>
      <c r="G19" s="66">
        <v>0</v>
      </c>
      <c r="H19" s="66">
        <v>0.83333299999999999</v>
      </c>
    </row>
    <row r="20" spans="1:8">
      <c r="A20" s="66" t="s">
        <v>317</v>
      </c>
      <c r="B20" s="66">
        <v>2.67074E-3</v>
      </c>
      <c r="C20" s="66">
        <v>0.19290299999999999</v>
      </c>
      <c r="D20" s="66">
        <v>72.228399999999993</v>
      </c>
      <c r="E20" s="66">
        <v>0</v>
      </c>
      <c r="F20" s="196">
        <v>4.4668600000000001E-6</v>
      </c>
      <c r="G20" s="66">
        <v>0</v>
      </c>
      <c r="H20" s="66">
        <v>1.3532</v>
      </c>
    </row>
    <row r="21" spans="1:8">
      <c r="A21" s="66" t="s">
        <v>318</v>
      </c>
      <c r="B21" s="66">
        <v>0.12726699999999999</v>
      </c>
      <c r="C21" s="66">
        <v>1.0587599999999999</v>
      </c>
      <c r="D21" s="66">
        <v>8.31921</v>
      </c>
      <c r="E21" s="66">
        <v>0</v>
      </c>
      <c r="F21" s="66">
        <v>7.3994100000000004E-4</v>
      </c>
      <c r="G21" s="66">
        <v>0</v>
      </c>
      <c r="H21" s="66">
        <v>6.1130300000000002</v>
      </c>
    </row>
    <row r="22" spans="1:8">
      <c r="A22" s="66" t="s">
        <v>319</v>
      </c>
      <c r="B22" s="66">
        <v>44.596299999999999</v>
      </c>
      <c r="C22" s="66">
        <v>22.6751</v>
      </c>
      <c r="D22" s="66">
        <v>0.50845300000000004</v>
      </c>
      <c r="E22" s="66">
        <v>0</v>
      </c>
      <c r="F22" s="66">
        <v>24.419</v>
      </c>
      <c r="G22" s="66">
        <v>0</v>
      </c>
      <c r="H22" s="66">
        <v>122.133</v>
      </c>
    </row>
    <row r="23" spans="1:8">
      <c r="A23" s="66" t="s">
        <v>320</v>
      </c>
      <c r="B23" s="66">
        <v>19.158899999999999</v>
      </c>
      <c r="C23" s="66">
        <v>2.13191</v>
      </c>
      <c r="D23" s="66">
        <v>0.111275</v>
      </c>
      <c r="E23" s="66">
        <v>0</v>
      </c>
      <c r="F23" s="66">
        <v>14.0814</v>
      </c>
      <c r="G23" s="66">
        <v>0</v>
      </c>
      <c r="H23" s="66">
        <v>21.177</v>
      </c>
    </row>
    <row r="24" spans="1:8">
      <c r="A24" s="66" t="s">
        <v>321</v>
      </c>
      <c r="B24" s="66">
        <v>5.7301000000000001E-3</v>
      </c>
      <c r="C24" s="66">
        <v>0.16456799999999999</v>
      </c>
      <c r="D24" s="66">
        <v>28.719799999999999</v>
      </c>
      <c r="E24" s="66">
        <v>0</v>
      </c>
      <c r="F24" s="196">
        <v>7.0103699999999998E-5</v>
      </c>
      <c r="G24" s="66">
        <v>0</v>
      </c>
      <c r="H24" s="66">
        <v>0.99036599999999997</v>
      </c>
    </row>
    <row r="25" spans="1:8">
      <c r="A25" s="66" t="s">
        <v>322</v>
      </c>
      <c r="B25" s="66">
        <v>0.22156699999999999</v>
      </c>
      <c r="C25" s="66">
        <v>0.63715900000000003</v>
      </c>
      <c r="D25" s="66">
        <v>2.8756900000000001</v>
      </c>
      <c r="E25" s="66">
        <v>0</v>
      </c>
      <c r="F25" s="66">
        <v>2.3005100000000001E-2</v>
      </c>
      <c r="G25" s="66">
        <v>0</v>
      </c>
      <c r="H25" s="66">
        <v>2.4218199999999999</v>
      </c>
    </row>
    <row r="26" spans="1:8">
      <c r="A26" s="66" t="s">
        <v>323</v>
      </c>
      <c r="B26" s="66">
        <v>8.1079299999999997E-4</v>
      </c>
      <c r="C26" s="66">
        <v>1.39781E-2</v>
      </c>
      <c r="D26" s="66">
        <v>17.240100000000002</v>
      </c>
      <c r="E26" s="66">
        <v>0</v>
      </c>
      <c r="F26" s="196">
        <v>3.2825599999999999E-6</v>
      </c>
      <c r="G26" s="66">
        <v>0</v>
      </c>
      <c r="H26" s="66">
        <v>8.72111E-2</v>
      </c>
    </row>
    <row r="27" spans="1:8">
      <c r="A27" s="66" t="s">
        <v>324</v>
      </c>
      <c r="B27" s="196">
        <v>-1.31303E-5</v>
      </c>
      <c r="C27" s="66">
        <v>3.0235700000000002E-3</v>
      </c>
      <c r="D27" s="66">
        <v>-230.27500000000001</v>
      </c>
      <c r="E27" s="66">
        <v>0</v>
      </c>
      <c r="F27" s="66">
        <v>-1.23917E-2</v>
      </c>
      <c r="G27" s="66">
        <v>0</v>
      </c>
      <c r="H27" s="66">
        <v>2.9113099999999999E-2</v>
      </c>
    </row>
    <row r="28" spans="1:8">
      <c r="A28" s="66" t="s">
        <v>325</v>
      </c>
      <c r="B28" s="66">
        <v>1.7796200000000002E-2</v>
      </c>
      <c r="C28" s="66">
        <v>4.8671100000000002E-2</v>
      </c>
      <c r="D28" s="66">
        <v>2.7349100000000002</v>
      </c>
      <c r="E28" s="66">
        <v>0</v>
      </c>
      <c r="F28" s="66">
        <v>2.70182E-4</v>
      </c>
      <c r="G28" s="66">
        <v>0</v>
      </c>
      <c r="H28" s="66">
        <v>0.24736</v>
      </c>
    </row>
    <row r="29" spans="1:8">
      <c r="A29" s="66" t="s">
        <v>326</v>
      </c>
      <c r="B29" s="66">
        <v>79.852999999999994</v>
      </c>
      <c r="C29" s="66">
        <v>9.8949599999999993</v>
      </c>
      <c r="D29" s="66">
        <v>0.123915</v>
      </c>
      <c r="E29" s="66">
        <v>0</v>
      </c>
      <c r="F29" s="66">
        <v>48.820799999999998</v>
      </c>
      <c r="G29" s="66">
        <v>0</v>
      </c>
      <c r="H29" s="66">
        <v>95.086799999999997</v>
      </c>
    </row>
    <row r="30" spans="1:8">
      <c r="A30" s="66" t="s">
        <v>327</v>
      </c>
      <c r="B30" s="66">
        <v>22.991399999999999</v>
      </c>
      <c r="C30" s="66">
        <v>1.75895</v>
      </c>
      <c r="D30" s="66">
        <v>7.6504900000000001E-2</v>
      </c>
      <c r="E30" s="66">
        <v>0</v>
      </c>
      <c r="F30" s="66">
        <v>18.818200000000001</v>
      </c>
      <c r="G30" s="66">
        <v>0</v>
      </c>
      <c r="H30" s="66">
        <v>26.0946</v>
      </c>
    </row>
    <row r="31" spans="1:8">
      <c r="A31" s="66" t="s">
        <v>328</v>
      </c>
      <c r="B31" s="66">
        <v>136.43600000000001</v>
      </c>
      <c r="C31" s="66">
        <v>26.637899999999998</v>
      </c>
      <c r="D31" s="66">
        <v>0.195241</v>
      </c>
      <c r="E31" s="66">
        <v>0</v>
      </c>
      <c r="F31" s="66">
        <v>113.453</v>
      </c>
      <c r="G31" s="66">
        <v>0</v>
      </c>
      <c r="H31" s="66">
        <v>188.66</v>
      </c>
    </row>
    <row r="32" spans="1:8">
      <c r="A32" s="66" t="s">
        <v>329</v>
      </c>
      <c r="B32" s="66">
        <v>0.13958100000000001</v>
      </c>
      <c r="C32" s="66">
        <v>6.9155800000000003E-2</v>
      </c>
      <c r="D32" s="66">
        <v>0.495452</v>
      </c>
      <c r="E32" s="66">
        <v>0.15</v>
      </c>
      <c r="F32" s="66">
        <v>2.5858300000000001E-2</v>
      </c>
      <c r="G32" s="66">
        <v>0.4</v>
      </c>
      <c r="H32" s="66">
        <v>0.386907</v>
      </c>
    </row>
    <row r="33" spans="1:8">
      <c r="A33" s="66" t="s">
        <v>330</v>
      </c>
      <c r="B33" s="66">
        <v>0.250948</v>
      </c>
      <c r="C33" s="66">
        <v>1.1539799999999999E-2</v>
      </c>
      <c r="D33" s="66">
        <v>4.5984999999999998E-2</v>
      </c>
      <c r="E33" s="66">
        <v>0</v>
      </c>
      <c r="F33" s="66">
        <v>0.22303899999999999</v>
      </c>
      <c r="G33" s="66">
        <v>0</v>
      </c>
      <c r="H33" s="66">
        <v>0.30069099999999999</v>
      </c>
    </row>
    <row r="34" spans="1:8">
      <c r="A34" s="66" t="s">
        <v>331</v>
      </c>
      <c r="B34" s="66">
        <v>0.26719799999999999</v>
      </c>
      <c r="C34" s="66">
        <v>3.60445E-2</v>
      </c>
      <c r="D34" s="66">
        <v>0.13489799999999999</v>
      </c>
      <c r="E34" s="66">
        <v>0.1</v>
      </c>
      <c r="F34" s="66">
        <v>0.209282</v>
      </c>
      <c r="G34" s="66">
        <v>0.25</v>
      </c>
      <c r="H34" s="66">
        <v>0.34459899999999999</v>
      </c>
    </row>
    <row r="35" spans="1:8">
      <c r="A35" s="66" t="s">
        <v>332</v>
      </c>
      <c r="B35" s="66">
        <v>9.2801400000000006E-2</v>
      </c>
      <c r="C35" s="66">
        <v>2.6840599999999999E-2</v>
      </c>
      <c r="D35" s="66">
        <v>0.28922700000000001</v>
      </c>
      <c r="E35" s="66">
        <v>0</v>
      </c>
      <c r="F35" s="66">
        <v>3.5506299999999998E-2</v>
      </c>
      <c r="G35" s="66">
        <v>0</v>
      </c>
      <c r="H35" s="66">
        <v>0.137822</v>
      </c>
    </row>
    <row r="36" spans="1:8">
      <c r="A36" s="66" t="s">
        <v>333</v>
      </c>
      <c r="B36" s="66">
        <v>0.25155100000000002</v>
      </c>
      <c r="C36" s="66">
        <v>0.107178</v>
      </c>
      <c r="D36" s="66">
        <v>0.426068</v>
      </c>
      <c r="E36" s="66">
        <v>0</v>
      </c>
      <c r="F36" s="66">
        <v>6.38571E-2</v>
      </c>
      <c r="G36" s="66">
        <v>0</v>
      </c>
      <c r="H36" s="66">
        <v>0.51040600000000003</v>
      </c>
    </row>
    <row r="37" spans="1:8">
      <c r="A37" s="66" t="s">
        <v>334</v>
      </c>
      <c r="B37" s="66">
        <v>0.36044500000000002</v>
      </c>
      <c r="C37" s="66">
        <v>0.15043100000000001</v>
      </c>
      <c r="D37" s="66">
        <v>0.41734900000000003</v>
      </c>
      <c r="E37" s="66">
        <v>0.1</v>
      </c>
      <c r="F37" s="66">
        <v>3.1822299999999998E-2</v>
      </c>
      <c r="G37" s="66">
        <v>0.5</v>
      </c>
      <c r="H37" s="66">
        <v>0.41345199999999999</v>
      </c>
    </row>
    <row r="38" spans="1:8">
      <c r="A38" s="66" t="s">
        <v>335</v>
      </c>
      <c r="B38" s="66">
        <v>0.32197900000000002</v>
      </c>
      <c r="C38" s="66">
        <v>38.5124</v>
      </c>
      <c r="D38" s="66">
        <v>119.61199999999999</v>
      </c>
      <c r="E38" s="66">
        <v>0</v>
      </c>
      <c r="F38" s="66">
        <v>-134.54599999999999</v>
      </c>
      <c r="G38" s="66">
        <v>0</v>
      </c>
      <c r="H38" s="66">
        <v>102.128</v>
      </c>
    </row>
    <row r="39" spans="1:8">
      <c r="A39" s="66" t="s">
        <v>336</v>
      </c>
      <c r="B39" s="66">
        <v>-1.43503</v>
      </c>
      <c r="C39" s="66">
        <v>11.8788</v>
      </c>
      <c r="D39" s="66">
        <v>-8.2776999999999994</v>
      </c>
      <c r="E39" s="66">
        <v>0</v>
      </c>
      <c r="F39" s="66">
        <v>-37.641100000000002</v>
      </c>
      <c r="G39" s="66">
        <v>0</v>
      </c>
      <c r="H39" s="66">
        <v>3.3071799999999998</v>
      </c>
    </row>
    <row r="40" spans="1:8">
      <c r="A40" s="66" t="s">
        <v>337</v>
      </c>
      <c r="B40" s="66">
        <v>-1.7204999999999999</v>
      </c>
      <c r="C40" s="66">
        <v>1.1247400000000001</v>
      </c>
      <c r="D40" s="66">
        <v>-0.65372699999999995</v>
      </c>
      <c r="E40" s="66">
        <v>0</v>
      </c>
      <c r="F40" s="66">
        <v>-3.72512</v>
      </c>
      <c r="G40" s="66">
        <v>0</v>
      </c>
      <c r="H40" s="66">
        <v>-0.56947300000000001</v>
      </c>
    </row>
    <row r="41" spans="1:8">
      <c r="A41" s="66" t="s">
        <v>338</v>
      </c>
      <c r="B41" s="66">
        <v>-5.6208899999999999E-2</v>
      </c>
      <c r="C41" s="66">
        <v>0.20166400000000001</v>
      </c>
      <c r="D41" s="66">
        <v>-3.5877500000000002</v>
      </c>
      <c r="E41" s="66">
        <v>0</v>
      </c>
      <c r="F41" s="66">
        <v>-0.40560000000000002</v>
      </c>
      <c r="G41" s="66">
        <v>0</v>
      </c>
      <c r="H41" s="66">
        <v>1</v>
      </c>
    </row>
    <row r="42" spans="1:8">
      <c r="A42" s="66" t="s">
        <v>339</v>
      </c>
      <c r="B42" s="66">
        <v>-9.1331300000000004E-2</v>
      </c>
      <c r="C42" s="66">
        <v>5.52939E-2</v>
      </c>
      <c r="D42" s="66">
        <v>-0.60542099999999999</v>
      </c>
      <c r="E42" s="66">
        <v>0</v>
      </c>
      <c r="F42" s="66">
        <v>-0.200048</v>
      </c>
      <c r="G42" s="66">
        <v>0</v>
      </c>
      <c r="H42" s="66">
        <v>9.5160599999999998E-3</v>
      </c>
    </row>
    <row r="43" spans="1:8">
      <c r="A43" s="66" t="s">
        <v>340</v>
      </c>
      <c r="B43" s="66">
        <v>-6.2043099999999997E-2</v>
      </c>
      <c r="C43" s="66">
        <v>2.8838200000000001E-2</v>
      </c>
      <c r="D43" s="66">
        <v>-0.46481</v>
      </c>
      <c r="E43" s="66">
        <v>0</v>
      </c>
      <c r="F43" s="66">
        <v>-0.1023</v>
      </c>
      <c r="G43" s="66">
        <v>0</v>
      </c>
      <c r="H43" s="66">
        <v>5.10459E-3</v>
      </c>
    </row>
    <row r="44" spans="1:8">
      <c r="A44" s="66" t="s">
        <v>341</v>
      </c>
      <c r="B44" s="66">
        <v>24.648099999999999</v>
      </c>
      <c r="C44" s="66">
        <v>20.8826</v>
      </c>
      <c r="D44" s="66">
        <v>0.84722900000000001</v>
      </c>
      <c r="E44" s="66">
        <v>0</v>
      </c>
      <c r="F44" s="66">
        <v>-19.646799999999999</v>
      </c>
      <c r="G44" s="66">
        <v>0</v>
      </c>
      <c r="H44" s="66">
        <v>46.0289</v>
      </c>
    </row>
    <row r="45" spans="1:8">
      <c r="A45" s="66" t="s">
        <v>342</v>
      </c>
      <c r="B45" s="66">
        <v>59.291699999999999</v>
      </c>
      <c r="C45" s="66">
        <v>8.0882000000000005</v>
      </c>
      <c r="D45" s="66">
        <v>0.13641400000000001</v>
      </c>
      <c r="E45" s="66">
        <v>0</v>
      </c>
      <c r="F45" s="66">
        <v>38.2622</v>
      </c>
      <c r="G45" s="66">
        <v>0</v>
      </c>
      <c r="H45" s="66">
        <v>73.661900000000003</v>
      </c>
    </row>
    <row r="46" spans="1:8">
      <c r="A46" s="66" t="s">
        <v>343</v>
      </c>
      <c r="B46" s="66">
        <v>27.663599999999999</v>
      </c>
      <c r="C46" s="66">
        <v>0.88477899999999998</v>
      </c>
      <c r="D46" s="66">
        <v>3.1983499999999998E-2</v>
      </c>
      <c r="E46" s="66">
        <v>0</v>
      </c>
      <c r="F46" s="66">
        <v>25.784400000000002</v>
      </c>
      <c r="G46" s="66">
        <v>0</v>
      </c>
      <c r="H46" s="66">
        <v>29.477</v>
      </c>
    </row>
    <row r="47" spans="1:8">
      <c r="A47" s="66" t="s">
        <v>344</v>
      </c>
      <c r="B47" s="66">
        <v>0.95482900000000004</v>
      </c>
      <c r="C47" s="66">
        <v>0.51647299999999996</v>
      </c>
      <c r="D47" s="66">
        <v>0.54090700000000003</v>
      </c>
      <c r="E47" s="66">
        <v>0</v>
      </c>
      <c r="F47" s="66">
        <v>0.383772</v>
      </c>
      <c r="G47" s="66">
        <v>0</v>
      </c>
      <c r="H47" s="66">
        <v>2.4428899999999998</v>
      </c>
    </row>
    <row r="48" spans="1:8">
      <c r="A48" s="66" t="s">
        <v>345</v>
      </c>
      <c r="B48" s="66">
        <v>0.82276700000000003</v>
      </c>
      <c r="C48" s="66">
        <v>4.0431099999999998E-2</v>
      </c>
      <c r="D48" s="66">
        <v>4.9140400000000001E-2</v>
      </c>
      <c r="E48" s="66">
        <v>0</v>
      </c>
      <c r="F48" s="66">
        <v>0.69479999999999997</v>
      </c>
      <c r="G48" s="66">
        <v>0</v>
      </c>
      <c r="H48" s="66">
        <v>0.88250200000000001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347</v>
      </c>
      <c r="B1" s="60" t="s">
        <v>348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66.686139887528228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1.287541992092766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0.57461865254126998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884</v>
      </c>
      <c r="B8" s="66">
        <v>884</v>
      </c>
      <c r="D8">
        <f t="shared" si="0"/>
        <v>1.0756351601284922E-2</v>
      </c>
      <c r="E8">
        <f t="shared" si="0"/>
        <v>1.0756351601284922E-2</v>
      </c>
      <c r="G8">
        <f t="shared" ca="1" si="1"/>
        <v>6</v>
      </c>
      <c r="H8">
        <f t="shared" ca="1" si="2"/>
        <v>6.4538109607709532E-2</v>
      </c>
      <c r="I8">
        <f t="shared" ca="1" si="3"/>
        <v>39.613573150644918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2306</v>
      </c>
      <c r="B10" s="66">
        <v>2306</v>
      </c>
      <c r="D10">
        <f t="shared" si="0"/>
        <v>2.8058989584347317E-2</v>
      </c>
      <c r="E10">
        <f t="shared" si="0"/>
        <v>2.8058989584347317E-2</v>
      </c>
      <c r="G10">
        <f t="shared" ca="1" si="1"/>
        <v>8</v>
      </c>
      <c r="H10">
        <f t="shared" ca="1" si="2"/>
        <v>0.22447191667477853</v>
      </c>
      <c r="I10">
        <f t="shared" ca="1" si="3"/>
        <v>96.63692826287371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4438</v>
      </c>
      <c r="B13" s="66">
        <v>4438</v>
      </c>
      <c r="D13">
        <f t="shared" si="0"/>
        <v>5.4000778740387424E-2</v>
      </c>
      <c r="E13">
        <f t="shared" si="0"/>
        <v>5.4000778740387424E-2</v>
      </c>
      <c r="G13">
        <f t="shared" ca="1" si="1"/>
        <v>11</v>
      </c>
      <c r="H13">
        <f t="shared" ca="1" si="2"/>
        <v>0.59400856614426167</v>
      </c>
      <c r="I13">
        <f t="shared" ca="1" si="3"/>
        <v>167.45350831298771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9608</v>
      </c>
      <c r="B15" s="66">
        <v>9608</v>
      </c>
      <c r="D15">
        <f t="shared" si="0"/>
        <v>0.11690840066192933</v>
      </c>
      <c r="E15">
        <f t="shared" si="0"/>
        <v>0.11690840066192933</v>
      </c>
      <c r="G15">
        <f t="shared" ca="1" si="1"/>
        <v>13</v>
      </c>
      <c r="H15">
        <f t="shared" ca="1" si="2"/>
        <v>1.5198092086050812</v>
      </c>
      <c r="I15">
        <f t="shared" ca="1" si="3"/>
        <v>336.95358131450621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24595</v>
      </c>
      <c r="B18" s="66">
        <v>24595</v>
      </c>
      <c r="D18">
        <f t="shared" si="0"/>
        <v>0.29926749732307995</v>
      </c>
      <c r="E18">
        <f t="shared" si="0"/>
        <v>0.29926749732307995</v>
      </c>
      <c r="G18">
        <f t="shared" ca="1" si="1"/>
        <v>16</v>
      </c>
      <c r="H18">
        <f t="shared" ca="1" si="2"/>
        <v>4.7882799571692791</v>
      </c>
      <c r="I18">
        <f t="shared" ca="1" si="3"/>
        <v>768.84357153325811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28525</v>
      </c>
      <c r="B21" s="66">
        <v>28525</v>
      </c>
      <c r="D21">
        <f t="shared" si="0"/>
        <v>0.34708702423829457</v>
      </c>
      <c r="E21">
        <f t="shared" si="0"/>
        <v>0.34708702423829457</v>
      </c>
      <c r="G21">
        <f t="shared" ca="1" si="1"/>
        <v>19</v>
      </c>
      <c r="H21">
        <f t="shared" ca="1" si="2"/>
        <v>6.5946534605275966</v>
      </c>
      <c r="I21">
        <f t="shared" ca="1" si="3"/>
        <v>789.26476459605612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32621</v>
      </c>
      <c r="B23" s="66">
        <v>32621</v>
      </c>
      <c r="D23">
        <f t="shared" si="0"/>
        <v>0.39692640903338849</v>
      </c>
      <c r="E23">
        <f t="shared" si="0"/>
        <v>0.39692640903338849</v>
      </c>
      <c r="G23">
        <f t="shared" ca="1" si="1"/>
        <v>21</v>
      </c>
      <c r="H23">
        <f t="shared" ca="1" si="2"/>
        <v>8.3354545897011576</v>
      </c>
      <c r="I23">
        <f t="shared" ca="1" si="3"/>
        <v>828.47408020974262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41864</v>
      </c>
      <c r="B26" s="66">
        <v>41864</v>
      </c>
      <c r="D26">
        <f t="shared" si="0"/>
        <v>0.50939355592329405</v>
      </c>
      <c r="E26">
        <f t="shared" si="0"/>
        <v>0.50939355592329405</v>
      </c>
      <c r="G26">
        <f t="shared" ca="1" si="1"/>
        <v>24</v>
      </c>
      <c r="H26">
        <f t="shared" ca="1" si="2"/>
        <v>12.225445342159057</v>
      </c>
      <c r="I26">
        <f t="shared" ca="1" si="3"/>
        <v>928.16932891639146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50935</v>
      </c>
      <c r="B28" s="66">
        <v>50935</v>
      </c>
      <c r="D28">
        <f t="shared" si="0"/>
        <v>0.61976783802199942</v>
      </c>
      <c r="E28">
        <f t="shared" si="0"/>
        <v>0.61976783802199942</v>
      </c>
      <c r="G28">
        <f t="shared" ca="1" si="1"/>
        <v>26</v>
      </c>
      <c r="H28">
        <f t="shared" ca="1" si="2"/>
        <v>16.113963788571986</v>
      </c>
      <c r="I28">
        <f t="shared" ca="1" si="3"/>
        <v>1025.9401148361201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59752</v>
      </c>
      <c r="B31" s="66">
        <v>59752</v>
      </c>
      <c r="D31">
        <f t="shared" si="0"/>
        <v>0.72705149420811832</v>
      </c>
      <c r="E31">
        <f t="shared" si="0"/>
        <v>0.72705149420811832</v>
      </c>
      <c r="G31">
        <f t="shared" ca="1" si="1"/>
        <v>29</v>
      </c>
      <c r="H31">
        <f t="shared" ca="1" si="2"/>
        <v>21.084493332035432</v>
      </c>
      <c r="I31">
        <f t="shared" ca="1" si="3"/>
        <v>1032.5913509042443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65785</v>
      </c>
      <c r="B33" s="66">
        <v>65785</v>
      </c>
      <c r="D33">
        <f t="shared" si="0"/>
        <v>0.80045994354132188</v>
      </c>
      <c r="E33">
        <f t="shared" si="0"/>
        <v>0.80045994354132188</v>
      </c>
      <c r="G33">
        <f t="shared" ca="1" si="1"/>
        <v>31</v>
      </c>
      <c r="H33">
        <f t="shared" ca="1" si="2"/>
        <v>24.814258249780977</v>
      </c>
      <c r="I33">
        <f t="shared" ca="1" si="3"/>
        <v>1019.3862024244604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71411</v>
      </c>
      <c r="B36" s="66">
        <v>71411</v>
      </c>
      <c r="D36">
        <f t="shared" si="0"/>
        <v>0.86891609072325515</v>
      </c>
      <c r="E36">
        <f t="shared" si="0"/>
        <v>0.86891609072325515</v>
      </c>
      <c r="G36">
        <f t="shared" ca="1" si="1"/>
        <v>34</v>
      </c>
      <c r="H36">
        <f t="shared" ca="1" si="2"/>
        <v>29.543147084590675</v>
      </c>
      <c r="I36">
        <f t="shared" ca="1" si="3"/>
        <v>928.33582340222631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69309</v>
      </c>
      <c r="B39" s="66">
        <v>69309</v>
      </c>
      <c r="D39">
        <f t="shared" si="0"/>
        <v>0.84333933612381973</v>
      </c>
      <c r="E39">
        <f t="shared" si="0"/>
        <v>0.84333933612381973</v>
      </c>
      <c r="G39">
        <f t="shared" ca="1" si="1"/>
        <v>37</v>
      </c>
      <c r="H39">
        <f t="shared" ca="1" si="2"/>
        <v>31.203555436581329</v>
      </c>
      <c r="I39">
        <f t="shared" ca="1" si="3"/>
        <v>743.20704359303613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62334</v>
      </c>
      <c r="B41" s="66">
        <v>62334</v>
      </c>
      <c r="D41">
        <f t="shared" si="0"/>
        <v>0.75846880171322884</v>
      </c>
      <c r="E41">
        <f t="shared" si="0"/>
        <v>0.75846880171322884</v>
      </c>
      <c r="G41">
        <f t="shared" ca="1" si="1"/>
        <v>39</v>
      </c>
      <c r="H41">
        <f t="shared" ca="1" si="2"/>
        <v>29.580283266815925</v>
      </c>
      <c r="I41">
        <f t="shared" ca="1" si="3"/>
        <v>581.38328212590807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63697</v>
      </c>
      <c r="B44" s="66">
        <v>63697</v>
      </c>
      <c r="D44">
        <f t="shared" si="0"/>
        <v>0.77505353840163538</v>
      </c>
      <c r="E44">
        <f t="shared" si="0"/>
        <v>0.77505353840163538</v>
      </c>
      <c r="G44">
        <f t="shared" ca="1" si="1"/>
        <v>42</v>
      </c>
      <c r="H44">
        <f t="shared" ca="1" si="2"/>
        <v>32.552248612868688</v>
      </c>
      <c r="I44">
        <f t="shared" ca="1" si="3"/>
        <v>472.32189107017859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70543</v>
      </c>
      <c r="B46" s="66">
        <v>70543</v>
      </c>
      <c r="D46">
        <f t="shared" si="0"/>
        <v>0.85835442421882602</v>
      </c>
      <c r="E46">
        <f t="shared" si="0"/>
        <v>0.85835442421882602</v>
      </c>
      <c r="G46">
        <f t="shared" ca="1" si="1"/>
        <v>44</v>
      </c>
      <c r="H46">
        <f t="shared" ca="1" si="2"/>
        <v>37.767594665628344</v>
      </c>
      <c r="I46">
        <f t="shared" ca="1" si="3"/>
        <v>441.7614973936781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76669</v>
      </c>
      <c r="B49" s="66">
        <v>76669</v>
      </c>
      <c r="D49">
        <f t="shared" si="0"/>
        <v>0.93289448067750413</v>
      </c>
      <c r="E49">
        <f t="shared" si="0"/>
        <v>0.93289448067750413</v>
      </c>
      <c r="G49">
        <f t="shared" ca="1" si="1"/>
        <v>47</v>
      </c>
      <c r="H49">
        <f t="shared" ca="1" si="2"/>
        <v>43.846040591842694</v>
      </c>
      <c r="I49">
        <f t="shared" ca="1" si="3"/>
        <v>361.53775533409413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72300</v>
      </c>
      <c r="B51" s="66">
        <v>72300</v>
      </c>
      <c r="D51">
        <f t="shared" si="0"/>
        <v>0.87973328141730756</v>
      </c>
      <c r="E51">
        <f t="shared" si="0"/>
        <v>0.87973328141730756</v>
      </c>
      <c r="G51">
        <f t="shared" ca="1" si="1"/>
        <v>49</v>
      </c>
      <c r="H51">
        <f t="shared" ca="1" si="2"/>
        <v>43.106930789448072</v>
      </c>
      <c r="I51">
        <f t="shared" ca="1" si="3"/>
        <v>275.18016937559605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73793</v>
      </c>
      <c r="B54" s="66">
        <v>73793</v>
      </c>
      <c r="D54">
        <f t="shared" si="0"/>
        <v>0.89789983451766764</v>
      </c>
      <c r="E54">
        <f t="shared" si="0"/>
        <v>0.89789983451766764</v>
      </c>
      <c r="G54">
        <f t="shared" ca="1" si="1"/>
        <v>52</v>
      </c>
      <c r="H54">
        <f t="shared" ca="1" si="2"/>
        <v>46.690791394918719</v>
      </c>
      <c r="I54">
        <f t="shared" ca="1" si="3"/>
        <v>193.66146494469413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77524</v>
      </c>
      <c r="B57" s="66">
        <v>77524</v>
      </c>
      <c r="D57">
        <f t="shared" si="0"/>
        <v>0.94329796554073786</v>
      </c>
      <c r="E57">
        <f t="shared" si="0"/>
        <v>0.94329796554073786</v>
      </c>
      <c r="G57">
        <f t="shared" ca="1" si="1"/>
        <v>55</v>
      </c>
      <c r="H57">
        <f t="shared" ca="1" si="2"/>
        <v>51.88138810474058</v>
      </c>
      <c r="I57">
        <f t="shared" ca="1" si="3"/>
        <v>128.82230306098955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82184</v>
      </c>
      <c r="B59" s="66">
        <v>82184</v>
      </c>
      <c r="D59">
        <f t="shared" si="0"/>
        <v>1</v>
      </c>
      <c r="E59">
        <f t="shared" si="0"/>
        <v>1</v>
      </c>
      <c r="G59">
        <f t="shared" ca="1" si="1"/>
        <v>57</v>
      </c>
      <c r="H59">
        <f t="shared" ca="1" si="2"/>
        <v>57</v>
      </c>
      <c r="I59">
        <f t="shared" ca="1" si="3"/>
        <v>93.82130592076534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69202</v>
      </c>
      <c r="B62" s="66">
        <v>69202</v>
      </c>
      <c r="D62">
        <f t="shared" si="0"/>
        <v>0.84203737953859636</v>
      </c>
      <c r="E62">
        <f t="shared" si="0"/>
        <v>0.84203737953859636</v>
      </c>
      <c r="G62">
        <f t="shared" ca="1" si="1"/>
        <v>60</v>
      </c>
      <c r="H62">
        <f t="shared" ca="1" si="2"/>
        <v>50.522242772315785</v>
      </c>
      <c r="I62">
        <f t="shared" ca="1" si="3"/>
        <v>37.642831905826355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66978</v>
      </c>
      <c r="B64" s="66">
        <v>66978</v>
      </c>
      <c r="D64">
        <f t="shared" si="0"/>
        <v>0.81497615107563515</v>
      </c>
      <c r="E64">
        <f t="shared" si="0"/>
        <v>0.81497615107563515</v>
      </c>
      <c r="G64">
        <f t="shared" ca="1" si="1"/>
        <v>62</v>
      </c>
      <c r="H64">
        <f t="shared" ca="1" si="2"/>
        <v>50.528521366689382</v>
      </c>
      <c r="I64">
        <f t="shared" ca="1" si="3"/>
        <v>17.896800521906517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66886</v>
      </c>
      <c r="B67" s="66">
        <v>66886</v>
      </c>
      <c r="D67">
        <f t="shared" ref="D67:E130" si="4">IFERROR( A67/MAX(A$2:A$257), 0 )</f>
        <v>0.8138567117687141</v>
      </c>
      <c r="E67">
        <f t="shared" si="4"/>
        <v>0.8138567117687141</v>
      </c>
      <c r="G67">
        <f t="shared" ref="G67:G130" ca="1" si="5">CELL("row",D67)-2</f>
        <v>65</v>
      </c>
      <c r="H67">
        <f t="shared" ref="H67:H130" ca="1" si="6">D67*G67</f>
        <v>52.900686264966417</v>
      </c>
      <c r="I67">
        <f t="shared" ref="I67:I130" ca="1" si="7">D67*((G67-$L$1)^2)</f>
        <v>2.3138497461902854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77936</v>
      </c>
      <c r="B69" s="66">
        <v>77936</v>
      </c>
      <c r="D69">
        <f t="shared" si="4"/>
        <v>0.94831110678477559</v>
      </c>
      <c r="E69">
        <f t="shared" si="4"/>
        <v>0.94831110678477559</v>
      </c>
      <c r="G69">
        <f t="shared" ca="1" si="5"/>
        <v>67</v>
      </c>
      <c r="H69">
        <f t="shared" ca="1" si="6"/>
        <v>63.536844154579967</v>
      </c>
      <c r="I69">
        <f t="shared" ca="1" si="7"/>
        <v>9.3416391910457627E-2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68959</v>
      </c>
      <c r="B72" s="66">
        <v>68959</v>
      </c>
      <c r="D72">
        <f t="shared" si="4"/>
        <v>0.83908059963009829</v>
      </c>
      <c r="E72">
        <f t="shared" si="4"/>
        <v>0.83908059963009829</v>
      </c>
      <c r="G72">
        <f t="shared" ca="1" si="5"/>
        <v>70</v>
      </c>
      <c r="H72">
        <f t="shared" ca="1" si="6"/>
        <v>58.735641974106883</v>
      </c>
      <c r="I72">
        <f t="shared" ca="1" si="7"/>
        <v>9.2145052794281384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64433</v>
      </c>
      <c r="B75" s="66">
        <v>64433</v>
      </c>
      <c r="D75">
        <f t="shared" si="4"/>
        <v>0.78400905285700384</v>
      </c>
      <c r="E75">
        <f t="shared" si="4"/>
        <v>0.78400905285700384</v>
      </c>
      <c r="G75">
        <f t="shared" ca="1" si="5"/>
        <v>73</v>
      </c>
      <c r="H75">
        <f t="shared" ca="1" si="6"/>
        <v>57.232660858561282</v>
      </c>
      <c r="I75">
        <f t="shared" ca="1" si="7"/>
        <v>31.254387234172984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74434</v>
      </c>
      <c r="B77" s="66">
        <v>74434</v>
      </c>
      <c r="D77">
        <f t="shared" si="4"/>
        <v>0.90569940621045464</v>
      </c>
      <c r="E77">
        <f t="shared" si="4"/>
        <v>0.90569940621045464</v>
      </c>
      <c r="G77">
        <f t="shared" ca="1" si="5"/>
        <v>75</v>
      </c>
      <c r="H77">
        <f t="shared" ca="1" si="6"/>
        <v>67.927455465784092</v>
      </c>
      <c r="I77">
        <f t="shared" ca="1" si="7"/>
        <v>62.602187468708124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69848</v>
      </c>
      <c r="B80" s="66">
        <v>69848</v>
      </c>
      <c r="D80">
        <f t="shared" si="4"/>
        <v>0.84989779032415069</v>
      </c>
      <c r="E80">
        <f t="shared" si="4"/>
        <v>0.84989779032415069</v>
      </c>
      <c r="G80">
        <f t="shared" ca="1" si="5"/>
        <v>78</v>
      </c>
      <c r="H80">
        <f t="shared" ca="1" si="6"/>
        <v>66.292027645283753</v>
      </c>
      <c r="I80">
        <f t="shared" ca="1" si="7"/>
        <v>108.78983285873905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61420</v>
      </c>
      <c r="B82" s="66">
        <v>61420</v>
      </c>
      <c r="D82">
        <f t="shared" si="4"/>
        <v>0.74734741555533923</v>
      </c>
      <c r="E82">
        <f t="shared" si="4"/>
        <v>0.74734741555533923</v>
      </c>
      <c r="G82">
        <f t="shared" ca="1" si="5"/>
        <v>80</v>
      </c>
      <c r="H82">
        <f t="shared" ca="1" si="6"/>
        <v>59.787793244427135</v>
      </c>
      <c r="I82">
        <f t="shared" ca="1" si="7"/>
        <v>132.47395919670686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55176</v>
      </c>
      <c r="B85" s="66">
        <v>55176</v>
      </c>
      <c r="D85">
        <f t="shared" si="4"/>
        <v>0.67137155650734937</v>
      </c>
      <c r="E85">
        <f t="shared" si="4"/>
        <v>0.67137155650734937</v>
      </c>
      <c r="G85">
        <f t="shared" ca="1" si="5"/>
        <v>83</v>
      </c>
      <c r="H85">
        <f t="shared" ca="1" si="6"/>
        <v>55.723839190109999</v>
      </c>
      <c r="I85">
        <f t="shared" ca="1" si="7"/>
        <v>178.68019012098168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50247</v>
      </c>
      <c r="B88" s="66">
        <v>50247</v>
      </c>
      <c r="D88">
        <f t="shared" si="4"/>
        <v>0.61139637885719844</v>
      </c>
      <c r="E88">
        <f t="shared" si="4"/>
        <v>0.61139637885719844</v>
      </c>
      <c r="G88">
        <f t="shared" ca="1" si="5"/>
        <v>86</v>
      </c>
      <c r="H88">
        <f t="shared" ca="1" si="6"/>
        <v>52.580088581719068</v>
      </c>
      <c r="I88">
        <f t="shared" ca="1" si="7"/>
        <v>228.06625188284954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42109</v>
      </c>
      <c r="B90" s="66">
        <v>42109</v>
      </c>
      <c r="D90">
        <f t="shared" si="4"/>
        <v>0.51237467146889903</v>
      </c>
      <c r="E90">
        <f t="shared" si="4"/>
        <v>0.51237467146889903</v>
      </c>
      <c r="G90">
        <f t="shared" ca="1" si="5"/>
        <v>88</v>
      </c>
      <c r="H90">
        <f t="shared" ca="1" si="6"/>
        <v>45.088971089263111</v>
      </c>
      <c r="I90">
        <f t="shared" ca="1" si="7"/>
        <v>232.76189003375458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46012</v>
      </c>
      <c r="B93" s="66">
        <v>46012</v>
      </c>
      <c r="D93">
        <f t="shared" si="4"/>
        <v>0.55986566728316944</v>
      </c>
      <c r="E93">
        <f t="shared" si="4"/>
        <v>0.55986566728316944</v>
      </c>
      <c r="G93">
        <f t="shared" ca="1" si="5"/>
        <v>91</v>
      </c>
      <c r="H93">
        <f t="shared" ca="1" si="6"/>
        <v>50.947775722768419</v>
      </c>
      <c r="I93">
        <f t="shared" ca="1" si="7"/>
        <v>330.97231176007176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48364</v>
      </c>
      <c r="B95" s="66">
        <v>48364</v>
      </c>
      <c r="D95">
        <f t="shared" si="4"/>
        <v>0.58848437652097729</v>
      </c>
      <c r="E95">
        <f t="shared" si="4"/>
        <v>0.58848437652097729</v>
      </c>
      <c r="G95">
        <f t="shared" ca="1" si="5"/>
        <v>93</v>
      </c>
      <c r="H95">
        <f t="shared" ca="1" si="6"/>
        <v>54.729047016450892</v>
      </c>
      <c r="I95">
        <f t="shared" ca="1" si="7"/>
        <v>407.47790122264672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49888</v>
      </c>
      <c r="B98" s="66">
        <v>49888</v>
      </c>
      <c r="D98">
        <f t="shared" si="4"/>
        <v>0.60702813199649563</v>
      </c>
      <c r="E98">
        <f t="shared" si="4"/>
        <v>0.60702813199649563</v>
      </c>
      <c r="G98">
        <f t="shared" ca="1" si="5"/>
        <v>96</v>
      </c>
      <c r="H98">
        <f t="shared" ca="1" si="6"/>
        <v>58.274700671663581</v>
      </c>
      <c r="I98">
        <f t="shared" ca="1" si="7"/>
        <v>521.6207274709493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42564</v>
      </c>
      <c r="B100" s="66">
        <v>42564</v>
      </c>
      <c r="D100">
        <f t="shared" si="4"/>
        <v>0.51791102891073693</v>
      </c>
      <c r="E100">
        <f t="shared" si="4"/>
        <v>0.51791102891073693</v>
      </c>
      <c r="G100">
        <f t="shared" ca="1" si="5"/>
        <v>98</v>
      </c>
      <c r="H100">
        <f t="shared" ca="1" si="6"/>
        <v>50.755280833252222</v>
      </c>
      <c r="I100">
        <f t="shared" ca="1" si="7"/>
        <v>507.84171730562929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37504</v>
      </c>
      <c r="B103" s="66">
        <v>37504</v>
      </c>
      <c r="D103">
        <f t="shared" si="4"/>
        <v>0.45634186703007884</v>
      </c>
      <c r="E103">
        <f t="shared" si="4"/>
        <v>0.45634186703007884</v>
      </c>
      <c r="G103">
        <f t="shared" ca="1" si="5"/>
        <v>101</v>
      </c>
      <c r="H103">
        <f t="shared" ca="1" si="6"/>
        <v>46.090528570037961</v>
      </c>
      <c r="I103">
        <f t="shared" ca="1" si="7"/>
        <v>537.31562234946978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35935</v>
      </c>
      <c r="B106" s="66">
        <v>35935</v>
      </c>
      <c r="D106">
        <f t="shared" si="4"/>
        <v>0.43725055971965349</v>
      </c>
      <c r="E106">
        <f t="shared" si="4"/>
        <v>0.43725055971965349</v>
      </c>
      <c r="G106">
        <f t="shared" ca="1" si="5"/>
        <v>104</v>
      </c>
      <c r="H106">
        <f t="shared" ca="1" si="6"/>
        <v>45.474058210843964</v>
      </c>
      <c r="I106">
        <f t="shared" ca="1" si="7"/>
        <v>608.79451673780761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37950</v>
      </c>
      <c r="B108" s="66">
        <v>37950</v>
      </c>
      <c r="D108">
        <f t="shared" si="4"/>
        <v>0.46176871410493525</v>
      </c>
      <c r="E108">
        <f t="shared" si="4"/>
        <v>0.46176871410493525</v>
      </c>
      <c r="G108">
        <f t="shared" ca="1" si="5"/>
        <v>106</v>
      </c>
      <c r="H108">
        <f t="shared" ca="1" si="6"/>
        <v>48.94748369512314</v>
      </c>
      <c r="I108">
        <f t="shared" ca="1" si="7"/>
        <v>713.70030302719272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37135</v>
      </c>
      <c r="B111" s="66">
        <v>37135</v>
      </c>
      <c r="D111">
        <f t="shared" si="4"/>
        <v>0.45185194198384115</v>
      </c>
      <c r="E111">
        <f t="shared" si="4"/>
        <v>0.45185194198384115</v>
      </c>
      <c r="G111">
        <f t="shared" ca="1" si="5"/>
        <v>109</v>
      </c>
      <c r="H111">
        <f t="shared" ca="1" si="6"/>
        <v>49.251861676238683</v>
      </c>
      <c r="I111">
        <f t="shared" ca="1" si="7"/>
        <v>809.02407407935982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27602</v>
      </c>
      <c r="B113" s="66">
        <v>27602</v>
      </c>
      <c r="D113">
        <f t="shared" si="4"/>
        <v>0.33585612771342355</v>
      </c>
      <c r="E113">
        <f t="shared" si="4"/>
        <v>0.33585612771342355</v>
      </c>
      <c r="G113">
        <f t="shared" ca="1" si="5"/>
        <v>111</v>
      </c>
      <c r="H113">
        <f t="shared" ca="1" si="6"/>
        <v>37.28003017619001</v>
      </c>
      <c r="I113">
        <f t="shared" ca="1" si="7"/>
        <v>659.52678992340498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28078</v>
      </c>
      <c r="B116" s="66">
        <v>28078</v>
      </c>
      <c r="D116">
        <f t="shared" si="4"/>
        <v>0.34164800934488465</v>
      </c>
      <c r="E116">
        <f t="shared" si="4"/>
        <v>0.34164800934488465</v>
      </c>
      <c r="G116">
        <f t="shared" ca="1" si="5"/>
        <v>114</v>
      </c>
      <c r="H116">
        <f t="shared" ca="1" si="6"/>
        <v>38.947873065316848</v>
      </c>
      <c r="I116">
        <f t="shared" ca="1" si="7"/>
        <v>764.81369793114527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24697</v>
      </c>
      <c r="B118" s="66">
        <v>24697</v>
      </c>
      <c r="D118">
        <f t="shared" si="4"/>
        <v>0.30050861481553587</v>
      </c>
      <c r="E118">
        <f t="shared" si="4"/>
        <v>0.30050861481553587</v>
      </c>
      <c r="G118">
        <f t="shared" ca="1" si="5"/>
        <v>116</v>
      </c>
      <c r="H118">
        <f t="shared" ca="1" si="6"/>
        <v>34.858999318602159</v>
      </c>
      <c r="I118">
        <f t="shared" ca="1" si="7"/>
        <v>730.79391815506131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26167</v>
      </c>
      <c r="B121" s="66">
        <v>26167</v>
      </c>
      <c r="D121">
        <f t="shared" si="4"/>
        <v>0.31839530808916577</v>
      </c>
      <c r="E121">
        <f t="shared" si="4"/>
        <v>0.31839530808916577</v>
      </c>
      <c r="G121">
        <f t="shared" ca="1" si="5"/>
        <v>119</v>
      </c>
      <c r="H121">
        <f t="shared" ca="1" si="6"/>
        <v>37.88904166261073</v>
      </c>
      <c r="I121">
        <f t="shared" ca="1" si="7"/>
        <v>871.36516268186904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23614</v>
      </c>
      <c r="B124" s="66">
        <v>23614</v>
      </c>
      <c r="D124">
        <f t="shared" si="4"/>
        <v>0.2873308673221065</v>
      </c>
      <c r="E124">
        <f t="shared" si="4"/>
        <v>0.2873308673221065</v>
      </c>
      <c r="G124">
        <f t="shared" ca="1" si="5"/>
        <v>122</v>
      </c>
      <c r="H124">
        <f t="shared" ca="1" si="6"/>
        <v>35.05436581329699</v>
      </c>
      <c r="I124">
        <f t="shared" ca="1" si="7"/>
        <v>879.12416490413045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20549</v>
      </c>
      <c r="B126" s="66">
        <v>20549</v>
      </c>
      <c r="D126">
        <f t="shared" si="4"/>
        <v>0.25003650345566047</v>
      </c>
      <c r="E126">
        <f t="shared" si="4"/>
        <v>0.25003650345566047</v>
      </c>
      <c r="G126">
        <f t="shared" ca="1" si="5"/>
        <v>124</v>
      </c>
      <c r="H126">
        <f t="shared" ca="1" si="6"/>
        <v>31.004526428501897</v>
      </c>
      <c r="I126">
        <f t="shared" ca="1" si="7"/>
        <v>821.33954966689691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19204</v>
      </c>
      <c r="B129" s="66">
        <v>19204</v>
      </c>
      <c r="D129">
        <f t="shared" si="4"/>
        <v>0.23367078750121678</v>
      </c>
      <c r="E129">
        <f t="shared" si="4"/>
        <v>0.23367078750121678</v>
      </c>
      <c r="G129">
        <f t="shared" ca="1" si="5"/>
        <v>127</v>
      </c>
      <c r="H129">
        <f t="shared" ca="1" si="6"/>
        <v>29.67619001265453</v>
      </c>
      <c r="I129">
        <f t="shared" ca="1" si="7"/>
        <v>850.03864624366656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19737</v>
      </c>
      <c r="B131" s="66">
        <v>19737</v>
      </c>
      <c r="D131">
        <f t="shared" ref="D131:E194" si="8">IFERROR( A131/MAX(A$2:A$257), 0 )</f>
        <v>0.2401562347902268</v>
      </c>
      <c r="E131">
        <f t="shared" si="8"/>
        <v>0.2401562347902268</v>
      </c>
      <c r="G131">
        <f t="shared" ref="G131:G194" ca="1" si="9">CELL("row",D131)-2</f>
        <v>129</v>
      </c>
      <c r="H131">
        <f t="shared" ref="H131:H194" ca="1" si="10">D131*G131</f>
        <v>30.980154287939257</v>
      </c>
      <c r="I131">
        <f t="shared" ref="I131:I194" ca="1" si="11">D131*((G131-$L$1)^2)</f>
        <v>932.53078127977847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11290</v>
      </c>
      <c r="B134" s="66">
        <v>11290</v>
      </c>
      <c r="D134">
        <f t="shared" si="8"/>
        <v>0.13737467146889906</v>
      </c>
      <c r="E134">
        <f t="shared" si="8"/>
        <v>0.13737467146889906</v>
      </c>
      <c r="G134">
        <f t="shared" ca="1" si="9"/>
        <v>132</v>
      </c>
      <c r="H134">
        <f t="shared" ca="1" si="10"/>
        <v>18.133456633894678</v>
      </c>
      <c r="I134">
        <f t="shared" ca="1" si="11"/>
        <v>586.02665536255699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8894</v>
      </c>
      <c r="B136" s="66">
        <v>8894</v>
      </c>
      <c r="D136">
        <f t="shared" si="8"/>
        <v>0.10822057821473766</v>
      </c>
      <c r="E136">
        <f t="shared" si="8"/>
        <v>0.10822057821473766</v>
      </c>
      <c r="G136">
        <f t="shared" ca="1" si="9"/>
        <v>134</v>
      </c>
      <c r="H136">
        <f t="shared" ca="1" si="10"/>
        <v>14.501557480774846</v>
      </c>
      <c r="I136">
        <f t="shared" ca="1" si="11"/>
        <v>490.36429667902718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6438</v>
      </c>
      <c r="B139" s="66">
        <v>6438</v>
      </c>
      <c r="D139">
        <f t="shared" si="8"/>
        <v>7.8336415847366878E-2</v>
      </c>
      <c r="E139">
        <f t="shared" si="8"/>
        <v>7.8336415847366878E-2</v>
      </c>
      <c r="G139">
        <f t="shared" ca="1" si="9"/>
        <v>137</v>
      </c>
      <c r="H139">
        <f t="shared" ca="1" si="10"/>
        <v>10.732088971089262</v>
      </c>
      <c r="I139">
        <f t="shared" ca="1" si="11"/>
        <v>387.29828910947151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4502</v>
      </c>
      <c r="B142" s="66">
        <v>4502</v>
      </c>
      <c r="D142">
        <f t="shared" si="8"/>
        <v>5.4779519127810768E-2</v>
      </c>
      <c r="E142">
        <f t="shared" si="8"/>
        <v>5.4779519127810768E-2</v>
      </c>
      <c r="G142">
        <f t="shared" ca="1" si="9"/>
        <v>140</v>
      </c>
      <c r="H142">
        <f t="shared" ca="1" si="10"/>
        <v>7.6691326778935078</v>
      </c>
      <c r="I142">
        <f t="shared" ca="1" si="11"/>
        <v>294.43564714334957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2749</v>
      </c>
      <c r="B144" s="66">
        <v>2749</v>
      </c>
      <c r="D144">
        <f t="shared" si="8"/>
        <v>3.344933320354327E-2</v>
      </c>
      <c r="E144">
        <f t="shared" si="8"/>
        <v>3.344933320354327E-2</v>
      </c>
      <c r="G144">
        <f t="shared" ca="1" si="9"/>
        <v>142</v>
      </c>
      <c r="H144">
        <f t="shared" ca="1" si="10"/>
        <v>4.7498053149031447</v>
      </c>
      <c r="I144">
        <f t="shared" ca="1" si="11"/>
        <v>189.73055602474469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2920</v>
      </c>
      <c r="B147" s="66">
        <v>2920</v>
      </c>
      <c r="D147">
        <f t="shared" si="8"/>
        <v>3.5530030176190011E-2</v>
      </c>
      <c r="E147">
        <f t="shared" si="8"/>
        <v>3.5530030176190011E-2</v>
      </c>
      <c r="G147">
        <f t="shared" ca="1" si="9"/>
        <v>145</v>
      </c>
      <c r="H147">
        <f t="shared" ca="1" si="10"/>
        <v>5.1518543755475514</v>
      </c>
      <c r="I147">
        <f t="shared" ca="1" si="11"/>
        <v>217.90783123588687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1206</v>
      </c>
      <c r="B149" s="66">
        <v>1206</v>
      </c>
      <c r="D149">
        <f t="shared" si="8"/>
        <v>1.4674389175508614E-2</v>
      </c>
      <c r="E149">
        <f t="shared" si="8"/>
        <v>1.4674389175508614E-2</v>
      </c>
      <c r="G149">
        <f t="shared" ca="1" si="9"/>
        <v>147</v>
      </c>
      <c r="H149">
        <f t="shared" ca="1" si="10"/>
        <v>2.1571352087997662</v>
      </c>
      <c r="I149">
        <f t="shared" ca="1" si="11"/>
        <v>94.654449140414371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742</v>
      </c>
      <c r="B152" s="66">
        <v>742</v>
      </c>
      <c r="D152">
        <f t="shared" si="8"/>
        <v>9.0285213666893797E-3</v>
      </c>
      <c r="E152">
        <f t="shared" si="8"/>
        <v>9.0285213666893797E-3</v>
      </c>
      <c r="G152">
        <f t="shared" ca="1" si="9"/>
        <v>150</v>
      </c>
      <c r="H152">
        <f t="shared" ca="1" si="10"/>
        <v>1.354278205003407</v>
      </c>
      <c r="I152">
        <f t="shared" ca="1" si="11"/>
        <v>62.668766071688673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60</v>
      </c>
      <c r="B154" s="66">
        <v>60</v>
      </c>
      <c r="D154">
        <f t="shared" si="8"/>
        <v>7.3006911320938378E-4</v>
      </c>
      <c r="E154">
        <f t="shared" si="8"/>
        <v>7.3006911320938378E-4</v>
      </c>
      <c r="G154">
        <f t="shared" ca="1" si="9"/>
        <v>152</v>
      </c>
      <c r="H154">
        <f t="shared" ca="1" si="10"/>
        <v>0.11097050520782634</v>
      </c>
      <c r="I154">
        <f t="shared" ca="1" si="11"/>
        <v>5.3137749882875509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0</v>
      </c>
      <c r="B157" s="66">
        <v>0</v>
      </c>
      <c r="D157">
        <f t="shared" si="8"/>
        <v>0</v>
      </c>
      <c r="E157">
        <f t="shared" si="8"/>
        <v>0</v>
      </c>
      <c r="G157">
        <f t="shared" ca="1" si="9"/>
        <v>155</v>
      </c>
      <c r="H157">
        <f t="shared" ca="1" si="10"/>
        <v>0</v>
      </c>
      <c r="I157">
        <f t="shared" ca="1" si="11"/>
        <v>0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0</v>
      </c>
      <c r="B160" s="66">
        <v>0</v>
      </c>
      <c r="D160">
        <f t="shared" si="8"/>
        <v>0</v>
      </c>
      <c r="E160">
        <f t="shared" si="8"/>
        <v>0</v>
      </c>
      <c r="G160">
        <f t="shared" ca="1" si="9"/>
        <v>158</v>
      </c>
      <c r="H160">
        <f t="shared" ca="1" si="10"/>
        <v>0</v>
      </c>
      <c r="I160">
        <f t="shared" ca="1" si="11"/>
        <v>0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0</v>
      </c>
      <c r="B162" s="66">
        <v>0</v>
      </c>
      <c r="D162">
        <f t="shared" si="8"/>
        <v>0</v>
      </c>
      <c r="E162">
        <f t="shared" si="8"/>
        <v>0</v>
      </c>
      <c r="G162">
        <f t="shared" ca="1" si="9"/>
        <v>160</v>
      </c>
      <c r="H162">
        <f t="shared" ca="1" si="10"/>
        <v>0</v>
      </c>
      <c r="I162">
        <f t="shared" ca="1" si="11"/>
        <v>0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0</v>
      </c>
      <c r="B165" s="66">
        <v>0</v>
      </c>
      <c r="D165">
        <f t="shared" si="8"/>
        <v>0</v>
      </c>
      <c r="E165">
        <f t="shared" si="8"/>
        <v>0</v>
      </c>
      <c r="G165">
        <f t="shared" ca="1" si="9"/>
        <v>163</v>
      </c>
      <c r="H165">
        <f t="shared" ca="1" si="10"/>
        <v>0</v>
      </c>
      <c r="I165">
        <f t="shared" ca="1" si="11"/>
        <v>0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0</v>
      </c>
      <c r="B167" s="66">
        <v>0</v>
      </c>
      <c r="D167">
        <f t="shared" si="8"/>
        <v>0</v>
      </c>
      <c r="E167">
        <f t="shared" si="8"/>
        <v>0</v>
      </c>
      <c r="G167">
        <f t="shared" ca="1" si="9"/>
        <v>165</v>
      </c>
      <c r="H167">
        <f t="shared" ca="1" si="10"/>
        <v>0</v>
      </c>
      <c r="I167">
        <f t="shared" ca="1" si="11"/>
        <v>0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0</v>
      </c>
      <c r="B170" s="66">
        <v>0</v>
      </c>
      <c r="D170">
        <f t="shared" si="8"/>
        <v>0</v>
      </c>
      <c r="E170">
        <f t="shared" si="8"/>
        <v>0</v>
      </c>
      <c r="G170">
        <f t="shared" ca="1" si="9"/>
        <v>168</v>
      </c>
      <c r="H170">
        <f t="shared" ca="1" si="10"/>
        <v>0</v>
      </c>
      <c r="I170">
        <f t="shared" ca="1" si="11"/>
        <v>0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0</v>
      </c>
      <c r="B173" s="66">
        <v>0</v>
      </c>
      <c r="D173">
        <f t="shared" si="8"/>
        <v>0</v>
      </c>
      <c r="E173">
        <f t="shared" si="8"/>
        <v>0</v>
      </c>
      <c r="G173">
        <f t="shared" ca="1" si="9"/>
        <v>171</v>
      </c>
      <c r="H173">
        <f t="shared" ca="1" si="10"/>
        <v>0</v>
      </c>
      <c r="I173">
        <f t="shared" ca="1" si="11"/>
        <v>0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0</v>
      </c>
      <c r="B175" s="66">
        <v>0</v>
      </c>
      <c r="D175">
        <f t="shared" si="8"/>
        <v>0</v>
      </c>
      <c r="E175">
        <f t="shared" si="8"/>
        <v>0</v>
      </c>
      <c r="G175">
        <f t="shared" ca="1" si="9"/>
        <v>173</v>
      </c>
      <c r="H175">
        <f t="shared" ca="1" si="10"/>
        <v>0</v>
      </c>
      <c r="I175">
        <f t="shared" ca="1" si="11"/>
        <v>0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347</v>
      </c>
      <c r="B1" s="66" t="s">
        <v>348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53.460499229974552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1.0321880647601922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0.4578169245138955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759</v>
      </c>
      <c r="B8" s="66">
        <v>759</v>
      </c>
      <c r="D8">
        <f t="shared" si="0"/>
        <v>1.6572414244852507</v>
      </c>
      <c r="E8">
        <f t="shared" si="1"/>
        <v>1.6572414244852507</v>
      </c>
      <c r="G8">
        <f t="shared" ca="1" si="2"/>
        <v>6</v>
      </c>
      <c r="H8">
        <f t="shared" ca="1" si="3"/>
        <v>9.9434485469115046</v>
      </c>
      <c r="I8">
        <f t="shared" ca="1" si="4"/>
        <v>3732.9346301299956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1824</v>
      </c>
      <c r="B10" s="66">
        <v>1824</v>
      </c>
      <c r="D10">
        <f t="shared" si="0"/>
        <v>3.9826197078538832</v>
      </c>
      <c r="E10">
        <f t="shared" si="1"/>
        <v>3.9826197078538832</v>
      </c>
      <c r="G10">
        <f t="shared" ca="1" si="2"/>
        <v>8</v>
      </c>
      <c r="H10">
        <f t="shared" ca="1" si="3"/>
        <v>31.860957662831066</v>
      </c>
      <c r="I10">
        <f t="shared" ca="1" si="4"/>
        <v>8230.708858697908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3542</v>
      </c>
      <c r="B13" s="66">
        <v>3542</v>
      </c>
      <c r="D13">
        <f t="shared" si="0"/>
        <v>7.7337933142645037</v>
      </c>
      <c r="E13">
        <f t="shared" si="1"/>
        <v>7.7337933142645037</v>
      </c>
      <c r="G13">
        <f t="shared" ca="1" si="2"/>
        <v>11</v>
      </c>
      <c r="H13">
        <f t="shared" ca="1" si="3"/>
        <v>85.071726456909545</v>
      </c>
      <c r="I13">
        <f t="shared" ca="1" si="4"/>
        <v>13943.209523765599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7517</v>
      </c>
      <c r="B15" s="66">
        <v>7517</v>
      </c>
      <c r="D15">
        <f t="shared" si="0"/>
        <v>16.413022118386863</v>
      </c>
      <c r="E15">
        <f t="shared" si="1"/>
        <v>16.413022118386863</v>
      </c>
      <c r="G15">
        <f t="shared" ca="1" si="2"/>
        <v>13</v>
      </c>
      <c r="H15">
        <f t="shared" ca="1" si="3"/>
        <v>213.36928753902922</v>
      </c>
      <c r="I15">
        <f t="shared" ca="1" si="4"/>
        <v>26868.97065111846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19640</v>
      </c>
      <c r="B18" s="66">
        <v>19640</v>
      </c>
      <c r="D18">
        <f t="shared" si="0"/>
        <v>42.883032380619667</v>
      </c>
      <c r="E18">
        <f t="shared" si="1"/>
        <v>42.883032380619667</v>
      </c>
      <c r="G18">
        <f t="shared" ca="1" si="2"/>
        <v>16</v>
      </c>
      <c r="H18">
        <f t="shared" ca="1" si="3"/>
        <v>686.12851808991468</v>
      </c>
      <c r="I18">
        <f t="shared" ca="1" si="4"/>
        <v>60177.287736101818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22118</v>
      </c>
      <c r="B21" s="66">
        <v>22118</v>
      </c>
      <c r="D21">
        <f t="shared" si="0"/>
        <v>48.293630865302738</v>
      </c>
      <c r="E21">
        <f t="shared" si="1"/>
        <v>48.293630865302738</v>
      </c>
      <c r="G21">
        <f t="shared" ca="1" si="2"/>
        <v>19</v>
      </c>
      <c r="H21">
        <f t="shared" ca="1" si="3"/>
        <v>917.57898644075203</v>
      </c>
      <c r="I21">
        <f t="shared" ca="1" si="4"/>
        <v>57349.942633653183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25426</v>
      </c>
      <c r="B23" s="66">
        <v>25426</v>
      </c>
      <c r="D23">
        <f t="shared" si="0"/>
        <v>55.516495993362298</v>
      </c>
      <c r="E23">
        <f t="shared" si="1"/>
        <v>55.516495993362298</v>
      </c>
      <c r="G23">
        <f t="shared" ca="1" si="2"/>
        <v>21</v>
      </c>
      <c r="H23">
        <f t="shared" ca="1" si="3"/>
        <v>1165.8464158606082</v>
      </c>
      <c r="I23">
        <f t="shared" ca="1" si="4"/>
        <v>58496.844133823601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33864</v>
      </c>
      <c r="B26" s="66">
        <v>33864</v>
      </c>
      <c r="D26">
        <f t="shared" si="0"/>
        <v>73.94047904976091</v>
      </c>
      <c r="E26">
        <f t="shared" si="1"/>
        <v>73.94047904976091</v>
      </c>
      <c r="G26">
        <f t="shared" ca="1" si="2"/>
        <v>24</v>
      </c>
      <c r="H26">
        <f t="shared" ca="1" si="3"/>
        <v>1774.5714971942618</v>
      </c>
      <c r="I26">
        <f t="shared" ca="1" si="4"/>
        <v>64174.495617532419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34518</v>
      </c>
      <c r="B28" s="66">
        <v>34518</v>
      </c>
      <c r="D28">
        <f t="shared" si="0"/>
        <v>75.368457826590102</v>
      </c>
      <c r="E28">
        <f t="shared" si="1"/>
        <v>75.368457826590102</v>
      </c>
      <c r="G28">
        <f t="shared" ca="1" si="2"/>
        <v>26</v>
      </c>
      <c r="H28">
        <f t="shared" ca="1" si="3"/>
        <v>1959.5799034913427</v>
      </c>
      <c r="I28">
        <f t="shared" ca="1" si="4"/>
        <v>56833.772662992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40057</v>
      </c>
      <c r="B31" s="66">
        <v>40057</v>
      </c>
      <c r="D31">
        <f t="shared" si="0"/>
        <v>87.462608353894183</v>
      </c>
      <c r="E31">
        <f t="shared" si="1"/>
        <v>87.462608353894183</v>
      </c>
      <c r="G31">
        <f t="shared" ca="1" si="2"/>
        <v>29</v>
      </c>
      <c r="H31">
        <f t="shared" ca="1" si="3"/>
        <v>2536.4156422629312</v>
      </c>
      <c r="I31">
        <f t="shared" ca="1" si="4"/>
        <v>52330.279954738005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42330</v>
      </c>
      <c r="B33" s="66">
        <v>42330</v>
      </c>
      <c r="D33">
        <f t="shared" si="0"/>
        <v>92.425598812201144</v>
      </c>
      <c r="E33">
        <f t="shared" si="1"/>
        <v>92.425598812201144</v>
      </c>
      <c r="G33">
        <f t="shared" ca="1" si="2"/>
        <v>31</v>
      </c>
      <c r="H33">
        <f t="shared" ca="1" si="3"/>
        <v>2865.1935631782353</v>
      </c>
      <c r="I33">
        <f t="shared" ca="1" si="4"/>
        <v>46626.313906798336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45799</v>
      </c>
      <c r="B36" s="66">
        <v>45799</v>
      </c>
      <c r="D36">
        <f t="shared" si="0"/>
        <v>100</v>
      </c>
      <c r="E36">
        <f t="shared" si="1"/>
        <v>100</v>
      </c>
      <c r="G36">
        <f t="shared" ca="1" si="2"/>
        <v>34</v>
      </c>
      <c r="H36">
        <f t="shared" ca="1" si="3"/>
        <v>3400</v>
      </c>
      <c r="I36">
        <f t="shared" ca="1" si="4"/>
        <v>37871.103027984012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40850</v>
      </c>
      <c r="B39" s="66">
        <v>40850</v>
      </c>
      <c r="D39">
        <f t="shared" si="0"/>
        <v>89.194087207144264</v>
      </c>
      <c r="E39">
        <f t="shared" si="1"/>
        <v>89.194087207144264</v>
      </c>
      <c r="G39">
        <f t="shared" ca="1" si="2"/>
        <v>37</v>
      </c>
      <c r="H39">
        <f t="shared" ca="1" si="3"/>
        <v>3300.1812266643378</v>
      </c>
      <c r="I39">
        <f t="shared" ca="1" si="4"/>
        <v>24166.962653474326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35162</v>
      </c>
      <c r="B41" s="66">
        <v>35162</v>
      </c>
      <c r="D41">
        <f t="shared" si="0"/>
        <v>76.774602065547285</v>
      </c>
      <c r="E41">
        <f t="shared" si="1"/>
        <v>76.774602065547285</v>
      </c>
      <c r="G41">
        <f t="shared" ca="1" si="2"/>
        <v>39</v>
      </c>
      <c r="H41">
        <f t="shared" ca="1" si="3"/>
        <v>2994.2094805563443</v>
      </c>
      <c r="I41">
        <f t="shared" ca="1" si="4"/>
        <v>16054.032855424981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35380</v>
      </c>
      <c r="B44" s="66">
        <v>35380</v>
      </c>
      <c r="D44">
        <f t="shared" si="0"/>
        <v>77.250594991157016</v>
      </c>
      <c r="E44">
        <f t="shared" si="1"/>
        <v>77.250594991157016</v>
      </c>
      <c r="G44">
        <f t="shared" ca="1" si="2"/>
        <v>42</v>
      </c>
      <c r="H44">
        <f t="shared" ca="1" si="3"/>
        <v>3244.5249896285945</v>
      </c>
      <c r="I44">
        <f t="shared" ca="1" si="4"/>
        <v>10146.328188817986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38209</v>
      </c>
      <c r="B46" s="66">
        <v>38209</v>
      </c>
      <c r="D46">
        <f t="shared" si="0"/>
        <v>83.42758575514749</v>
      </c>
      <c r="E46">
        <f t="shared" si="1"/>
        <v>83.42758575514749</v>
      </c>
      <c r="G46">
        <f t="shared" ca="1" si="2"/>
        <v>44</v>
      </c>
      <c r="H46">
        <f t="shared" ca="1" si="3"/>
        <v>3670.8137732264895</v>
      </c>
      <c r="I46">
        <f t="shared" ca="1" si="4"/>
        <v>7466.8561636726972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42618</v>
      </c>
      <c r="B49" s="66">
        <v>42618</v>
      </c>
      <c r="D49">
        <f t="shared" si="0"/>
        <v>93.054433502914904</v>
      </c>
      <c r="E49">
        <f t="shared" si="1"/>
        <v>93.054433502914904</v>
      </c>
      <c r="G49">
        <f t="shared" ca="1" si="2"/>
        <v>47</v>
      </c>
      <c r="H49">
        <f t="shared" ca="1" si="3"/>
        <v>4373.5583746370003</v>
      </c>
      <c r="I49">
        <f t="shared" ca="1" si="4"/>
        <v>3883.9106262293599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41704</v>
      </c>
      <c r="B51" s="66">
        <v>41704</v>
      </c>
      <c r="D51">
        <f t="shared" si="0"/>
        <v>91.058756741413575</v>
      </c>
      <c r="E51">
        <f t="shared" si="1"/>
        <v>91.058756741413575</v>
      </c>
      <c r="G51">
        <f t="shared" ca="1" si="2"/>
        <v>49</v>
      </c>
      <c r="H51">
        <f t="shared" ca="1" si="3"/>
        <v>4461.879080329265</v>
      </c>
      <c r="I51">
        <f t="shared" ca="1" si="4"/>
        <v>1811.7098848985595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41422</v>
      </c>
      <c r="B54" s="66">
        <v>41422</v>
      </c>
      <c r="D54">
        <f t="shared" si="0"/>
        <v>90.443022773422996</v>
      </c>
      <c r="E54">
        <f t="shared" si="1"/>
        <v>90.443022773422996</v>
      </c>
      <c r="G54">
        <f t="shared" ca="1" si="2"/>
        <v>52</v>
      </c>
      <c r="H54">
        <f t="shared" ca="1" si="3"/>
        <v>4703.0371842179957</v>
      </c>
      <c r="I54">
        <f t="shared" ca="1" si="4"/>
        <v>192.92021333943043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42811</v>
      </c>
      <c r="B57" s="66">
        <v>42811</v>
      </c>
      <c r="D57">
        <f t="shared" si="0"/>
        <v>93.475840083844631</v>
      </c>
      <c r="E57">
        <f t="shared" si="1"/>
        <v>93.475840083844631</v>
      </c>
      <c r="G57">
        <f t="shared" ca="1" si="2"/>
        <v>55</v>
      </c>
      <c r="H57">
        <f t="shared" ca="1" si="3"/>
        <v>5141.1712046114544</v>
      </c>
      <c r="I57">
        <f t="shared" ca="1" si="4"/>
        <v>221.54359454078246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42649</v>
      </c>
      <c r="B59" s="66">
        <v>42649</v>
      </c>
      <c r="D59">
        <f t="shared" si="0"/>
        <v>93.122120570318131</v>
      </c>
      <c r="E59">
        <f t="shared" si="1"/>
        <v>93.122120570318131</v>
      </c>
      <c r="G59">
        <f t="shared" ca="1" si="2"/>
        <v>57</v>
      </c>
      <c r="H59">
        <f t="shared" ca="1" si="3"/>
        <v>5307.9608725081334</v>
      </c>
      <c r="I59">
        <f t="shared" ca="1" si="4"/>
        <v>1166.6400447223893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36177</v>
      </c>
      <c r="B62" s="66">
        <v>36177</v>
      </c>
      <c r="D62">
        <f t="shared" si="0"/>
        <v>78.990807659555884</v>
      </c>
      <c r="E62">
        <f t="shared" si="1"/>
        <v>78.990807659555884</v>
      </c>
      <c r="G62">
        <f t="shared" ca="1" si="2"/>
        <v>60</v>
      </c>
      <c r="H62">
        <f t="shared" ca="1" si="3"/>
        <v>4739.4484595733529</v>
      </c>
      <c r="I62">
        <f t="shared" ca="1" si="4"/>
        <v>3378.047444286402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34862</v>
      </c>
      <c r="B64" s="66">
        <v>34862</v>
      </c>
      <c r="D64">
        <f t="shared" si="0"/>
        <v>76.119565929387107</v>
      </c>
      <c r="E64">
        <f t="shared" si="1"/>
        <v>76.119565929387107</v>
      </c>
      <c r="G64">
        <f t="shared" ca="1" si="2"/>
        <v>62</v>
      </c>
      <c r="H64">
        <f t="shared" ca="1" si="3"/>
        <v>4719.4130876220006</v>
      </c>
      <c r="I64">
        <f t="shared" ca="1" si="4"/>
        <v>5550.8726935411441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30137</v>
      </c>
      <c r="B67" s="66">
        <v>30137</v>
      </c>
      <c r="D67">
        <f t="shared" ref="D67:D130" si="5">IFERROR( 100*A67/MAX(A$2:A$257), 0 )</f>
        <v>65.802746784864297</v>
      </c>
      <c r="E67">
        <f t="shared" ref="E67:E130" si="6">IFERROR( 100*B67/MAX(B$2:B$257), 0 )</f>
        <v>65.802746784864297</v>
      </c>
      <c r="G67">
        <f t="shared" ref="G67:G130" ca="1" si="7">CELL("row",D67)-2</f>
        <v>65</v>
      </c>
      <c r="H67">
        <f t="shared" ref="H67:H130" ca="1" si="8">D67*G67</f>
        <v>4277.1785410161792</v>
      </c>
      <c r="I67">
        <f t="shared" ref="I67:I130" ca="1" si="9">D67*((G67-$L$1)^2)</f>
        <v>8762.2988958961359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38311</v>
      </c>
      <c r="B69" s="66">
        <v>38311</v>
      </c>
      <c r="D69">
        <f t="shared" si="5"/>
        <v>83.650298041441957</v>
      </c>
      <c r="E69">
        <f t="shared" si="6"/>
        <v>83.650298041441957</v>
      </c>
      <c r="G69">
        <f t="shared" ca="1" si="7"/>
        <v>67</v>
      </c>
      <c r="H69">
        <f t="shared" ca="1" si="8"/>
        <v>5604.5699687766109</v>
      </c>
      <c r="I69">
        <f t="shared" ca="1" si="9"/>
        <v>15334.612120527352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29645</v>
      </c>
      <c r="B72" s="66">
        <v>29645</v>
      </c>
      <c r="D72">
        <f t="shared" si="5"/>
        <v>64.728487521561604</v>
      </c>
      <c r="E72">
        <f t="shared" si="6"/>
        <v>64.728487521561604</v>
      </c>
      <c r="G72">
        <f t="shared" ca="1" si="7"/>
        <v>70</v>
      </c>
      <c r="H72">
        <f t="shared" ca="1" si="8"/>
        <v>4530.9941265093121</v>
      </c>
      <c r="I72">
        <f t="shared" ca="1" si="9"/>
        <v>17706.806952594987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27507</v>
      </c>
      <c r="B75" s="66">
        <v>27507</v>
      </c>
      <c r="D75">
        <f t="shared" si="5"/>
        <v>60.060263324526737</v>
      </c>
      <c r="E75">
        <f t="shared" si="6"/>
        <v>60.060263324526737</v>
      </c>
      <c r="G75">
        <f t="shared" ca="1" si="7"/>
        <v>73</v>
      </c>
      <c r="H75">
        <f t="shared" ca="1" si="8"/>
        <v>4384.399222690452</v>
      </c>
      <c r="I75">
        <f t="shared" ca="1" si="9"/>
        <v>22930.533481151517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25757</v>
      </c>
      <c r="B77" s="66">
        <v>25757</v>
      </c>
      <c r="D77">
        <f t="shared" si="5"/>
        <v>56.239219196925696</v>
      </c>
      <c r="E77">
        <f t="shared" si="6"/>
        <v>56.239219196925696</v>
      </c>
      <c r="G77">
        <f t="shared" ca="1" si="7"/>
        <v>75</v>
      </c>
      <c r="H77">
        <f t="shared" ca="1" si="8"/>
        <v>4217.9414397694272</v>
      </c>
      <c r="I77">
        <f t="shared" ca="1" si="9"/>
        <v>26092.191000389899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25061</v>
      </c>
      <c r="B80" s="66">
        <v>25061</v>
      </c>
      <c r="D80">
        <f t="shared" si="5"/>
        <v>54.719535361034083</v>
      </c>
      <c r="E80">
        <f t="shared" si="6"/>
        <v>54.719535361034083</v>
      </c>
      <c r="G80">
        <f t="shared" ca="1" si="7"/>
        <v>78</v>
      </c>
      <c r="H80">
        <f t="shared" ca="1" si="8"/>
        <v>4268.1237581606583</v>
      </c>
      <c r="I80">
        <f t="shared" ca="1" si="9"/>
        <v>32951.398205272075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18733</v>
      </c>
      <c r="B82" s="66">
        <v>18733</v>
      </c>
      <c r="D82">
        <f t="shared" si="5"/>
        <v>40.902639795628723</v>
      </c>
      <c r="E82">
        <f t="shared" si="6"/>
        <v>40.902639795628723</v>
      </c>
      <c r="G82">
        <f t="shared" ca="1" si="7"/>
        <v>80</v>
      </c>
      <c r="H82">
        <f t="shared" ca="1" si="8"/>
        <v>3272.2111836502977</v>
      </c>
      <c r="I82">
        <f t="shared" ca="1" si="9"/>
        <v>28809.573963016275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13854</v>
      </c>
      <c r="B85" s="66">
        <v>13854</v>
      </c>
      <c r="D85">
        <f t="shared" si="5"/>
        <v>30.24956876787703</v>
      </c>
      <c r="E85">
        <f t="shared" si="6"/>
        <v>30.24956876787703</v>
      </c>
      <c r="G85">
        <f t="shared" ca="1" si="7"/>
        <v>83</v>
      </c>
      <c r="H85">
        <f t="shared" ca="1" si="8"/>
        <v>2510.7142077337935</v>
      </c>
      <c r="I85">
        <f t="shared" ca="1" si="9"/>
        <v>26395.232413271682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13773</v>
      </c>
      <c r="B88" s="66">
        <v>13773</v>
      </c>
      <c r="D88">
        <f t="shared" si="5"/>
        <v>30.07270901111378</v>
      </c>
      <c r="E88">
        <f t="shared" si="6"/>
        <v>30.07270901111378</v>
      </c>
      <c r="G88">
        <f t="shared" ca="1" si="7"/>
        <v>86</v>
      </c>
      <c r="H88">
        <f t="shared" ca="1" si="8"/>
        <v>2586.2529749557852</v>
      </c>
      <c r="I88">
        <f t="shared" ca="1" si="9"/>
        <v>31841.559001337431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11192</v>
      </c>
      <c r="B90" s="66">
        <v>11192</v>
      </c>
      <c r="D90">
        <f t="shared" si="5"/>
        <v>24.437214786349045</v>
      </c>
      <c r="E90">
        <f t="shared" si="6"/>
        <v>24.437214786349045</v>
      </c>
      <c r="G90">
        <f t="shared" ca="1" si="7"/>
        <v>88</v>
      </c>
      <c r="H90">
        <f t="shared" ca="1" si="8"/>
        <v>2150.474901198716</v>
      </c>
      <c r="I90">
        <f t="shared" ca="1" si="9"/>
        <v>29153.037956395227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14221</v>
      </c>
      <c r="B93" s="66">
        <v>14221</v>
      </c>
      <c r="D93">
        <f t="shared" si="5"/>
        <v>31.050896307779645</v>
      </c>
      <c r="E93">
        <f t="shared" si="6"/>
        <v>31.050896307779645</v>
      </c>
      <c r="G93">
        <f t="shared" ca="1" si="7"/>
        <v>91</v>
      </c>
      <c r="H93">
        <f t="shared" ca="1" si="8"/>
        <v>2825.6315640079479</v>
      </c>
      <c r="I93">
        <f t="shared" ca="1" si="9"/>
        <v>43757.361455425314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12980</v>
      </c>
      <c r="B95" s="66">
        <v>12980</v>
      </c>
      <c r="D95">
        <f t="shared" si="5"/>
        <v>28.341230157863709</v>
      </c>
      <c r="E95">
        <f t="shared" si="6"/>
        <v>28.341230157863709</v>
      </c>
      <c r="G95">
        <f t="shared" ca="1" si="7"/>
        <v>93</v>
      </c>
      <c r="H95">
        <f t="shared" ca="1" si="8"/>
        <v>2635.734404681325</v>
      </c>
      <c r="I95">
        <f t="shared" ca="1" si="9"/>
        <v>44307.889107696901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14934</v>
      </c>
      <c r="B98" s="66">
        <v>14934</v>
      </c>
      <c r="D98">
        <f t="shared" si="5"/>
        <v>32.607698858053666</v>
      </c>
      <c r="E98">
        <f t="shared" si="6"/>
        <v>32.607698858053666</v>
      </c>
      <c r="G98">
        <f t="shared" ca="1" si="7"/>
        <v>96</v>
      </c>
      <c r="H98">
        <f t="shared" ca="1" si="8"/>
        <v>3130.339090373152</v>
      </c>
      <c r="I98">
        <f t="shared" ca="1" si="9"/>
        <v>59007.189423665528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11027</v>
      </c>
      <c r="B100" s="66">
        <v>11027</v>
      </c>
      <c r="D100">
        <f t="shared" si="5"/>
        <v>24.076944911460949</v>
      </c>
      <c r="E100">
        <f t="shared" si="6"/>
        <v>24.076944911460949</v>
      </c>
      <c r="G100">
        <f t="shared" ca="1" si="7"/>
        <v>98</v>
      </c>
      <c r="H100">
        <f t="shared" ca="1" si="8"/>
        <v>2359.5406013231732</v>
      </c>
      <c r="I100">
        <f t="shared" ca="1" si="9"/>
        <v>47763.051878322309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12129</v>
      </c>
      <c r="B103" s="66">
        <v>12129</v>
      </c>
      <c r="D103">
        <f t="shared" si="5"/>
        <v>26.483110984956003</v>
      </c>
      <c r="E103">
        <f t="shared" si="6"/>
        <v>26.483110984956003</v>
      </c>
      <c r="G103">
        <f t="shared" ca="1" si="7"/>
        <v>101</v>
      </c>
      <c r="H103">
        <f t="shared" ca="1" si="8"/>
        <v>2674.7942094805562</v>
      </c>
      <c r="I103">
        <f t="shared" ca="1" si="9"/>
        <v>59851.940292966574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8704</v>
      </c>
      <c r="B106" s="66">
        <v>8704</v>
      </c>
      <c r="D106">
        <f t="shared" si="5"/>
        <v>19.004781763793968</v>
      </c>
      <c r="E106">
        <f t="shared" si="6"/>
        <v>19.004781763793968</v>
      </c>
      <c r="G106">
        <f t="shared" ca="1" si="7"/>
        <v>104</v>
      </c>
      <c r="H106">
        <f t="shared" ca="1" si="8"/>
        <v>1976.4973034345726</v>
      </c>
      <c r="I106">
        <f t="shared" ca="1" si="9"/>
        <v>48542.795401379801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8258</v>
      </c>
      <c r="B108" s="66">
        <v>8258</v>
      </c>
      <c r="D108">
        <f t="shared" si="5"/>
        <v>18.030961374702503</v>
      </c>
      <c r="E108">
        <f t="shared" si="6"/>
        <v>18.030961374702503</v>
      </c>
      <c r="G108">
        <f t="shared" ca="1" si="7"/>
        <v>106</v>
      </c>
      <c r="H108">
        <f t="shared" ca="1" si="8"/>
        <v>1911.2819057184654</v>
      </c>
      <c r="I108">
        <f t="shared" ca="1" si="9"/>
        <v>49772.650293081118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8041</v>
      </c>
      <c r="B111" s="66">
        <v>8041</v>
      </c>
      <c r="D111">
        <f t="shared" si="5"/>
        <v>17.557151902879976</v>
      </c>
      <c r="E111">
        <f t="shared" si="6"/>
        <v>17.557151902879976</v>
      </c>
      <c r="G111">
        <f t="shared" ca="1" si="7"/>
        <v>109</v>
      </c>
      <c r="H111">
        <f t="shared" ca="1" si="8"/>
        <v>1913.7295574139175</v>
      </c>
      <c r="I111">
        <f t="shared" ca="1" si="9"/>
        <v>54157.425376637897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3319</v>
      </c>
      <c r="B113" s="66">
        <v>3319</v>
      </c>
      <c r="D113">
        <f t="shared" si="5"/>
        <v>7.2468831197187713</v>
      </c>
      <c r="E113">
        <f t="shared" si="6"/>
        <v>7.2468831197187713</v>
      </c>
      <c r="G113">
        <f t="shared" ca="1" si="7"/>
        <v>111</v>
      </c>
      <c r="H113">
        <f t="shared" ca="1" si="8"/>
        <v>804.4040262887836</v>
      </c>
      <c r="I113">
        <f t="shared" ca="1" si="9"/>
        <v>23992.938230264455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1030</v>
      </c>
      <c r="B116" s="66">
        <v>1030</v>
      </c>
      <c r="D116">
        <f t="shared" si="5"/>
        <v>2.2489574008166118</v>
      </c>
      <c r="E116">
        <f t="shared" si="6"/>
        <v>2.2489574008166118</v>
      </c>
      <c r="G116">
        <f t="shared" ca="1" si="7"/>
        <v>114</v>
      </c>
      <c r="H116">
        <f t="shared" ca="1" si="8"/>
        <v>256.38114369309375</v>
      </c>
      <c r="I116">
        <f t="shared" ca="1" si="9"/>
        <v>8242.4989368510869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1335</v>
      </c>
      <c r="B118" s="66">
        <v>1335</v>
      </c>
      <c r="D118">
        <f t="shared" si="5"/>
        <v>2.9149108059127928</v>
      </c>
      <c r="E118">
        <f t="shared" si="6"/>
        <v>2.9149108059127928</v>
      </c>
      <c r="G118">
        <f t="shared" ca="1" si="7"/>
        <v>116</v>
      </c>
      <c r="H118">
        <f t="shared" ca="1" si="8"/>
        <v>338.12965348588398</v>
      </c>
      <c r="I118">
        <f t="shared" ca="1" si="9"/>
        <v>11400.767536437384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490</v>
      </c>
      <c r="B121" s="66">
        <v>490</v>
      </c>
      <c r="D121">
        <f t="shared" si="5"/>
        <v>1.0698923557282911</v>
      </c>
      <c r="E121">
        <f t="shared" si="6"/>
        <v>1.0698923557282911</v>
      </c>
      <c r="G121">
        <f t="shared" ca="1" si="7"/>
        <v>119</v>
      </c>
      <c r="H121">
        <f t="shared" ca="1" si="8"/>
        <v>127.31719033166664</v>
      </c>
      <c r="I121">
        <f t="shared" ca="1" si="9"/>
        <v>4595.6436144462596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276</v>
      </c>
      <c r="B124" s="66">
        <v>276</v>
      </c>
      <c r="D124">
        <f t="shared" si="5"/>
        <v>0.60263324526736395</v>
      </c>
      <c r="E124">
        <f t="shared" si="6"/>
        <v>0.60263324526736395</v>
      </c>
      <c r="G124">
        <f t="shared" ca="1" si="7"/>
        <v>122</v>
      </c>
      <c r="H124">
        <f t="shared" ca="1" si="8"/>
        <v>73.521255922618408</v>
      </c>
      <c r="I124">
        <f t="shared" ca="1" si="9"/>
        <v>2830.9679987816162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367</v>
      </c>
      <c r="B126" s="66">
        <v>367</v>
      </c>
      <c r="D126">
        <f t="shared" si="5"/>
        <v>0.80132753990261796</v>
      </c>
      <c r="E126">
        <f t="shared" si="6"/>
        <v>0.80132753990261796</v>
      </c>
      <c r="G126">
        <f t="shared" ca="1" si="7"/>
        <v>124</v>
      </c>
      <c r="H126">
        <f t="shared" ca="1" si="8"/>
        <v>99.364614947924622</v>
      </c>
      <c r="I126">
        <f t="shared" ca="1" si="9"/>
        <v>3987.2625362575227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123</v>
      </c>
      <c r="B129" s="66">
        <v>123</v>
      </c>
      <c r="D129">
        <f t="shared" si="5"/>
        <v>0.26856481582567304</v>
      </c>
      <c r="E129">
        <f t="shared" si="6"/>
        <v>0.26856481582567304</v>
      </c>
      <c r="G129">
        <f t="shared" ca="1" si="7"/>
        <v>127</v>
      </c>
      <c r="H129">
        <f t="shared" ca="1" si="8"/>
        <v>34.10773160986048</v>
      </c>
      <c r="I129">
        <f t="shared" ca="1" si="9"/>
        <v>1452.4141473417817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286</v>
      </c>
      <c r="B131" s="66">
        <v>286</v>
      </c>
      <c r="D131">
        <f t="shared" ref="D131:D194" si="10">IFERROR( 100*A131/MAX(A$2:A$257), 0 )</f>
        <v>0.6244677831393699</v>
      </c>
      <c r="E131">
        <f t="shared" ref="E131:E194" si="11">IFERROR( 100*B131/MAX(B$2:B$257), 0 )</f>
        <v>0.6244677831393699</v>
      </c>
      <c r="G131">
        <f t="shared" ref="G131:G194" ca="1" si="12">CELL("row",D131)-2</f>
        <v>129</v>
      </c>
      <c r="H131">
        <f t="shared" ref="H131:H194" ca="1" si="13">D131*G131</f>
        <v>80.556344024978713</v>
      </c>
      <c r="I131">
        <f t="shared" ref="I131:I194" ca="1" si="14">D131*((G131-$L$1)^2)</f>
        <v>3563.3481659058443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751</v>
      </c>
      <c r="B134" s="66">
        <v>751</v>
      </c>
      <c r="D134">
        <f t="shared" si="10"/>
        <v>1.639773794187646</v>
      </c>
      <c r="E134">
        <f t="shared" si="11"/>
        <v>1.639773794187646</v>
      </c>
      <c r="G134">
        <f t="shared" ca="1" si="12"/>
        <v>132</v>
      </c>
      <c r="H134">
        <f t="shared" ca="1" si="13"/>
        <v>216.45014083276928</v>
      </c>
      <c r="I134">
        <f t="shared" ca="1" si="14"/>
        <v>10114.867877213097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45</v>
      </c>
      <c r="B136" s="66">
        <v>45</v>
      </c>
      <c r="D136">
        <f t="shared" si="10"/>
        <v>9.8255420424026726E-2</v>
      </c>
      <c r="E136">
        <f t="shared" si="11"/>
        <v>9.8255420424026726E-2</v>
      </c>
      <c r="G136">
        <f t="shared" ca="1" si="12"/>
        <v>134</v>
      </c>
      <c r="H136">
        <f t="shared" ca="1" si="13"/>
        <v>13.166226336819582</v>
      </c>
      <c r="I136">
        <f t="shared" ca="1" si="14"/>
        <v>637.34470903910972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0</v>
      </c>
      <c r="B139" s="66">
        <v>0</v>
      </c>
      <c r="D139">
        <f t="shared" si="10"/>
        <v>0</v>
      </c>
      <c r="E139">
        <f t="shared" si="11"/>
        <v>0</v>
      </c>
      <c r="G139">
        <f t="shared" ca="1" si="12"/>
        <v>137</v>
      </c>
      <c r="H139">
        <f t="shared" ca="1" si="13"/>
        <v>0</v>
      </c>
      <c r="I139">
        <f t="shared" ca="1" si="14"/>
        <v>0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0</v>
      </c>
      <c r="B142" s="66">
        <v>0</v>
      </c>
      <c r="D142">
        <f t="shared" si="10"/>
        <v>0</v>
      </c>
      <c r="E142">
        <f t="shared" si="11"/>
        <v>0</v>
      </c>
      <c r="G142">
        <f t="shared" ca="1" si="12"/>
        <v>140</v>
      </c>
      <c r="H142">
        <f t="shared" ca="1" si="13"/>
        <v>0</v>
      </c>
      <c r="I142">
        <f t="shared" ca="1" si="14"/>
        <v>0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0</v>
      </c>
      <c r="B144" s="66">
        <v>0</v>
      </c>
      <c r="D144">
        <f t="shared" si="10"/>
        <v>0</v>
      </c>
      <c r="E144">
        <f t="shared" si="11"/>
        <v>0</v>
      </c>
      <c r="G144">
        <f t="shared" ca="1" si="12"/>
        <v>142</v>
      </c>
      <c r="H144">
        <f t="shared" ca="1" si="13"/>
        <v>0</v>
      </c>
      <c r="I144">
        <f t="shared" ca="1" si="14"/>
        <v>0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0</v>
      </c>
      <c r="B147" s="66">
        <v>0</v>
      </c>
      <c r="D147">
        <f t="shared" si="10"/>
        <v>0</v>
      </c>
      <c r="E147">
        <f t="shared" si="11"/>
        <v>0</v>
      </c>
      <c r="G147">
        <f t="shared" ca="1" si="12"/>
        <v>145</v>
      </c>
      <c r="H147">
        <f t="shared" ca="1" si="13"/>
        <v>0</v>
      </c>
      <c r="I147">
        <f t="shared" ca="1" si="14"/>
        <v>0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0</v>
      </c>
      <c r="B149" s="66">
        <v>0</v>
      </c>
      <c r="D149">
        <f t="shared" si="10"/>
        <v>0</v>
      </c>
      <c r="E149">
        <f t="shared" si="11"/>
        <v>0</v>
      </c>
      <c r="G149">
        <f t="shared" ca="1" si="12"/>
        <v>147</v>
      </c>
      <c r="H149">
        <f t="shared" ca="1" si="13"/>
        <v>0</v>
      </c>
      <c r="I149">
        <f t="shared" ca="1" si="14"/>
        <v>0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0</v>
      </c>
      <c r="B152" s="66">
        <v>0</v>
      </c>
      <c r="D152">
        <f t="shared" si="10"/>
        <v>0</v>
      </c>
      <c r="E152">
        <f t="shared" si="11"/>
        <v>0</v>
      </c>
      <c r="G152">
        <f t="shared" ca="1" si="12"/>
        <v>150</v>
      </c>
      <c r="H152">
        <f t="shared" ca="1" si="13"/>
        <v>0</v>
      </c>
      <c r="I152">
        <f t="shared" ca="1" si="14"/>
        <v>0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0</v>
      </c>
      <c r="B154" s="66">
        <v>0</v>
      </c>
      <c r="D154">
        <f t="shared" si="10"/>
        <v>0</v>
      </c>
      <c r="E154">
        <f t="shared" si="11"/>
        <v>0</v>
      </c>
      <c r="G154">
        <f t="shared" ca="1" si="12"/>
        <v>152</v>
      </c>
      <c r="H154">
        <f t="shared" ca="1" si="13"/>
        <v>0</v>
      </c>
      <c r="I154">
        <f t="shared" ca="1" si="14"/>
        <v>0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347</v>
      </c>
      <c r="B1" s="66" t="s">
        <v>348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76.50352460333859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1.4770910512444049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0.573309829687627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125</v>
      </c>
      <c r="B8" s="66">
        <v>125</v>
      </c>
      <c r="D8">
        <f t="shared" si="0"/>
        <v>0.23695334862472275</v>
      </c>
      <c r="E8">
        <f t="shared" si="1"/>
        <v>0.23695334862472275</v>
      </c>
      <c r="G8">
        <f t="shared" ca="1" si="2"/>
        <v>6</v>
      </c>
      <c r="H8">
        <f t="shared" ca="1" si="3"/>
        <v>1.4217200917483366</v>
      </c>
      <c r="I8">
        <f t="shared" ca="1" si="4"/>
        <v>1177.8351424311343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506</v>
      </c>
      <c r="B10" s="66">
        <v>506</v>
      </c>
      <c r="D10">
        <f t="shared" si="0"/>
        <v>0.95918715523287779</v>
      </c>
      <c r="E10">
        <f t="shared" si="1"/>
        <v>0.95918715523287779</v>
      </c>
      <c r="G10">
        <f t="shared" ca="1" si="2"/>
        <v>8</v>
      </c>
      <c r="H10">
        <f t="shared" ca="1" si="3"/>
        <v>7.6734972418630223</v>
      </c>
      <c r="I10">
        <f t="shared" ca="1" si="4"/>
        <v>4501.2091043894925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931</v>
      </c>
      <c r="B13" s="66">
        <v>931</v>
      </c>
      <c r="D13">
        <f t="shared" si="0"/>
        <v>1.7648285405569351</v>
      </c>
      <c r="E13">
        <f t="shared" si="1"/>
        <v>1.7648285405569351</v>
      </c>
      <c r="G13">
        <f t="shared" ca="1" si="2"/>
        <v>11</v>
      </c>
      <c r="H13">
        <f t="shared" ca="1" si="3"/>
        <v>19.413113946126284</v>
      </c>
      <c r="I13">
        <f t="shared" ca="1" si="4"/>
        <v>7572.3705300427109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2324</v>
      </c>
      <c r="B15" s="66">
        <v>2324</v>
      </c>
      <c r="D15">
        <f t="shared" si="0"/>
        <v>4.4054366576308457</v>
      </c>
      <c r="E15">
        <f t="shared" si="1"/>
        <v>4.4054366576308457</v>
      </c>
      <c r="G15">
        <f t="shared" ca="1" si="2"/>
        <v>13</v>
      </c>
      <c r="H15">
        <f t="shared" ca="1" si="3"/>
        <v>57.270676549200992</v>
      </c>
      <c r="I15">
        <f t="shared" ca="1" si="4"/>
        <v>17765.793999387395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5912</v>
      </c>
      <c r="B18" s="66">
        <v>5912</v>
      </c>
      <c r="D18">
        <f t="shared" si="0"/>
        <v>11.206945576554888</v>
      </c>
      <c r="E18">
        <f t="shared" si="1"/>
        <v>11.206945576554888</v>
      </c>
      <c r="G18">
        <f t="shared" ca="1" si="2"/>
        <v>16</v>
      </c>
      <c r="H18">
        <f t="shared" ca="1" si="3"/>
        <v>179.31112922487821</v>
      </c>
      <c r="I18">
        <f t="shared" ca="1" si="4"/>
        <v>41025.002190380132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6929</v>
      </c>
      <c r="B21" s="66">
        <v>6929</v>
      </c>
      <c r="D21">
        <f t="shared" si="0"/>
        <v>13.134798020965633</v>
      </c>
      <c r="E21">
        <f t="shared" si="1"/>
        <v>13.134798020965633</v>
      </c>
      <c r="G21">
        <f t="shared" ca="1" si="2"/>
        <v>19</v>
      </c>
      <c r="H21">
        <f t="shared" ca="1" si="3"/>
        <v>249.56116239834702</v>
      </c>
      <c r="I21">
        <f t="shared" ca="1" si="4"/>
        <v>43432.250039578954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7954</v>
      </c>
      <c r="B23" s="66">
        <v>7954</v>
      </c>
      <c r="D23">
        <f t="shared" si="0"/>
        <v>15.077815479688359</v>
      </c>
      <c r="E23">
        <f t="shared" si="1"/>
        <v>15.077815479688359</v>
      </c>
      <c r="G23">
        <f t="shared" ca="1" si="2"/>
        <v>21</v>
      </c>
      <c r="H23">
        <f t="shared" ca="1" si="3"/>
        <v>316.63412507345555</v>
      </c>
      <c r="I23">
        <f t="shared" ca="1" si="4"/>
        <v>46449.340227003588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9344</v>
      </c>
      <c r="B26" s="66">
        <v>9344</v>
      </c>
      <c r="D26">
        <f t="shared" si="0"/>
        <v>17.712736716395277</v>
      </c>
      <c r="E26">
        <f t="shared" si="1"/>
        <v>17.712736716395277</v>
      </c>
      <c r="G26">
        <f t="shared" ca="1" si="2"/>
        <v>24</v>
      </c>
      <c r="H26">
        <f t="shared" ca="1" si="3"/>
        <v>425.10568119348665</v>
      </c>
      <c r="I26">
        <f t="shared" ca="1" si="4"/>
        <v>48827.285983558228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18101</v>
      </c>
      <c r="B28" s="66">
        <v>18101</v>
      </c>
      <c r="D28">
        <f t="shared" si="0"/>
        <v>34.312740507648854</v>
      </c>
      <c r="E28">
        <f t="shared" si="1"/>
        <v>34.312740507648854</v>
      </c>
      <c r="G28">
        <f t="shared" ca="1" si="2"/>
        <v>26</v>
      </c>
      <c r="H28">
        <f t="shared" ca="1" si="3"/>
        <v>892.13125319887024</v>
      </c>
      <c r="I28">
        <f t="shared" ca="1" si="4"/>
        <v>87518.281724667482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21902</v>
      </c>
      <c r="B31" s="66">
        <v>21902</v>
      </c>
      <c r="D31">
        <f t="shared" si="0"/>
        <v>41.518017932629427</v>
      </c>
      <c r="E31">
        <f t="shared" si="1"/>
        <v>41.518017932629427</v>
      </c>
      <c r="G31">
        <f t="shared" ca="1" si="2"/>
        <v>29</v>
      </c>
      <c r="H31">
        <f t="shared" ca="1" si="3"/>
        <v>1204.0225200462535</v>
      </c>
      <c r="I31">
        <f t="shared" ca="1" si="4"/>
        <v>93688.930258004984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26312</v>
      </c>
      <c r="B33" s="66">
        <v>26312</v>
      </c>
      <c r="D33">
        <f t="shared" si="0"/>
        <v>49.877732072109644</v>
      </c>
      <c r="E33">
        <f t="shared" si="1"/>
        <v>49.877732072109644</v>
      </c>
      <c r="G33">
        <f t="shared" ca="1" si="2"/>
        <v>31</v>
      </c>
      <c r="H33">
        <f t="shared" ca="1" si="3"/>
        <v>1546.209694235399</v>
      </c>
      <c r="I33">
        <f t="shared" ca="1" si="4"/>
        <v>103275.37317101692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28544</v>
      </c>
      <c r="B36" s="66">
        <v>28544</v>
      </c>
      <c r="D36">
        <f t="shared" si="0"/>
        <v>54.108771065152695</v>
      </c>
      <c r="E36">
        <f t="shared" si="1"/>
        <v>54.108771065152695</v>
      </c>
      <c r="G36">
        <f t="shared" ca="1" si="2"/>
        <v>34</v>
      </c>
      <c r="H36">
        <f t="shared" ca="1" si="3"/>
        <v>1839.6982162151917</v>
      </c>
      <c r="I36">
        <f t="shared" ca="1" si="4"/>
        <v>97750.178924803229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30485</v>
      </c>
      <c r="B39" s="66">
        <v>30485</v>
      </c>
      <c r="D39">
        <f t="shared" si="0"/>
        <v>57.788182662597386</v>
      </c>
      <c r="E39">
        <f t="shared" si="1"/>
        <v>57.788182662597386</v>
      </c>
      <c r="G39">
        <f t="shared" ca="1" si="2"/>
        <v>37</v>
      </c>
      <c r="H39">
        <f t="shared" ca="1" si="3"/>
        <v>2138.1627585161032</v>
      </c>
      <c r="I39">
        <f t="shared" ca="1" si="4"/>
        <v>90180.103470512215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29183</v>
      </c>
      <c r="B41" s="66">
        <v>29183</v>
      </c>
      <c r="D41">
        <f t="shared" si="0"/>
        <v>55.320076583322276</v>
      </c>
      <c r="E41">
        <f t="shared" si="1"/>
        <v>55.320076583322276</v>
      </c>
      <c r="G41">
        <f t="shared" ca="1" si="2"/>
        <v>39</v>
      </c>
      <c r="H41">
        <f t="shared" ca="1" si="3"/>
        <v>2157.4829867495687</v>
      </c>
      <c r="I41">
        <f t="shared" ca="1" si="4"/>
        <v>77808.481982025041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29833</v>
      </c>
      <c r="B44" s="66">
        <v>29833</v>
      </c>
      <c r="D44">
        <f t="shared" si="0"/>
        <v>56.552233996170834</v>
      </c>
      <c r="E44">
        <f t="shared" si="1"/>
        <v>56.552233996170834</v>
      </c>
      <c r="G44">
        <f t="shared" ca="1" si="2"/>
        <v>42</v>
      </c>
      <c r="H44">
        <f t="shared" ca="1" si="3"/>
        <v>2375.1938278391749</v>
      </c>
      <c r="I44">
        <f t="shared" ca="1" si="4"/>
        <v>67325.050585780642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34810</v>
      </c>
      <c r="B46" s="66">
        <v>34810</v>
      </c>
      <c r="D46">
        <f t="shared" si="0"/>
        <v>65.986768525012792</v>
      </c>
      <c r="E46">
        <f t="shared" si="1"/>
        <v>65.986768525012792</v>
      </c>
      <c r="G46">
        <f t="shared" ca="1" si="2"/>
        <v>44</v>
      </c>
      <c r="H46">
        <f t="shared" ca="1" si="3"/>
        <v>2903.4178151005626</v>
      </c>
      <c r="I46">
        <f t="shared" ca="1" si="4"/>
        <v>69713.642591289085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36599</v>
      </c>
      <c r="B49" s="66">
        <v>36599</v>
      </c>
      <c r="D49">
        <f t="shared" si="0"/>
        <v>69.378044850529832</v>
      </c>
      <c r="E49">
        <f t="shared" si="1"/>
        <v>69.378044850529832</v>
      </c>
      <c r="G49">
        <f t="shared" ca="1" si="2"/>
        <v>47</v>
      </c>
      <c r="H49">
        <f t="shared" ca="1" si="3"/>
        <v>3260.7681079749023</v>
      </c>
      <c r="I49">
        <f t="shared" ca="1" si="4"/>
        <v>60390.67166826695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32725</v>
      </c>
      <c r="B51" s="66">
        <v>32725</v>
      </c>
      <c r="D51">
        <f t="shared" si="0"/>
        <v>62.034386669952418</v>
      </c>
      <c r="E51">
        <f t="shared" si="1"/>
        <v>62.034386669952418</v>
      </c>
      <c r="G51">
        <f t="shared" ca="1" si="2"/>
        <v>49</v>
      </c>
      <c r="H51">
        <f t="shared" ca="1" si="3"/>
        <v>3039.6849468276687</v>
      </c>
      <c r="I51">
        <f t="shared" ca="1" si="4"/>
        <v>46925.531253144109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35002</v>
      </c>
      <c r="B54" s="66">
        <v>35002</v>
      </c>
      <c r="D54">
        <f t="shared" si="0"/>
        <v>66.350728868500369</v>
      </c>
      <c r="E54">
        <f t="shared" si="1"/>
        <v>66.350728868500369</v>
      </c>
      <c r="G54">
        <f t="shared" ca="1" si="2"/>
        <v>52</v>
      </c>
      <c r="H54">
        <f t="shared" ca="1" si="3"/>
        <v>3450.2379011620192</v>
      </c>
      <c r="I54">
        <f t="shared" ca="1" si="4"/>
        <v>39838.484967604985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38014</v>
      </c>
      <c r="B57" s="66">
        <v>38014</v>
      </c>
      <c r="D57">
        <f t="shared" si="0"/>
        <v>72.060356756961696</v>
      </c>
      <c r="E57">
        <f t="shared" si="1"/>
        <v>72.060356756961696</v>
      </c>
      <c r="G57">
        <f t="shared" ca="1" si="2"/>
        <v>55</v>
      </c>
      <c r="H57">
        <f t="shared" ca="1" si="3"/>
        <v>3963.3196216328934</v>
      </c>
      <c r="I57">
        <f t="shared" ca="1" si="4"/>
        <v>33320.822125581253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43802</v>
      </c>
      <c r="B59" s="66">
        <v>43802</v>
      </c>
      <c r="D59">
        <f t="shared" si="0"/>
        <v>83.032244611680852</v>
      </c>
      <c r="E59">
        <f t="shared" si="1"/>
        <v>83.032244611680852</v>
      </c>
      <c r="G59">
        <f t="shared" ca="1" si="2"/>
        <v>57</v>
      </c>
      <c r="H59">
        <f t="shared" ca="1" si="3"/>
        <v>4732.8379428658081</v>
      </c>
      <c r="I59">
        <f t="shared" ca="1" si="4"/>
        <v>31584.425618423182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36121</v>
      </c>
      <c r="B62" s="66">
        <v>36121</v>
      </c>
      <c r="D62">
        <f t="shared" si="0"/>
        <v>68.471935245388892</v>
      </c>
      <c r="E62">
        <f t="shared" si="1"/>
        <v>68.471935245388892</v>
      </c>
      <c r="G62">
        <f t="shared" ca="1" si="2"/>
        <v>60</v>
      </c>
      <c r="H62">
        <f t="shared" ca="1" si="3"/>
        <v>4108.3161147233332</v>
      </c>
      <c r="I62">
        <f t="shared" ca="1" si="4"/>
        <v>18649.449322753913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35608</v>
      </c>
      <c r="B64" s="66">
        <v>35608</v>
      </c>
      <c r="D64">
        <f t="shared" si="0"/>
        <v>67.499478702633027</v>
      </c>
      <c r="E64">
        <f t="shared" si="1"/>
        <v>67.499478702633027</v>
      </c>
      <c r="G64">
        <f t="shared" ca="1" si="2"/>
        <v>62</v>
      </c>
      <c r="H64">
        <f t="shared" ca="1" si="3"/>
        <v>4184.9676795632477</v>
      </c>
      <c r="I64">
        <f t="shared" ca="1" si="4"/>
        <v>14198.665593514719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39109</v>
      </c>
      <c r="B67" s="66">
        <v>39109</v>
      </c>
      <c r="D67">
        <f t="shared" ref="D67:D130" si="5">IFERROR(100*A67/MAX(A$2:A$257), 0 )</f>
        <v>74.136068090914264</v>
      </c>
      <c r="E67">
        <f t="shared" ref="E67:E130" si="6">IFERROR(100*B67/MAX(B$2:B$257), 0 )</f>
        <v>74.136068090914264</v>
      </c>
      <c r="G67">
        <f t="shared" ref="G67:G130" ca="1" si="7">CELL("row",D67)-2</f>
        <v>65</v>
      </c>
      <c r="H67">
        <f t="shared" ref="H67:H130" ca="1" si="8">D67*G67</f>
        <v>4818.8444259094276</v>
      </c>
      <c r="I67">
        <f t="shared" ref="I67:I130" ca="1" si="9">D67*((G67-$L$1)^2)</f>
        <v>9810.5058313644604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44891</v>
      </c>
      <c r="B69" s="66">
        <v>44891</v>
      </c>
      <c r="D69">
        <f t="shared" si="5"/>
        <v>85.096582184899432</v>
      </c>
      <c r="E69">
        <f t="shared" si="6"/>
        <v>85.096582184899432</v>
      </c>
      <c r="G69">
        <f t="shared" ca="1" si="7"/>
        <v>67</v>
      </c>
      <c r="H69">
        <f t="shared" ca="1" si="8"/>
        <v>5701.4710063882621</v>
      </c>
      <c r="I69">
        <f t="shared" ca="1" si="9"/>
        <v>7685.6663015831955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42602</v>
      </c>
      <c r="B72" s="66">
        <v>42602</v>
      </c>
      <c r="D72">
        <f t="shared" si="5"/>
        <v>80.757492464883512</v>
      </c>
      <c r="E72">
        <f t="shared" si="6"/>
        <v>80.757492464883512</v>
      </c>
      <c r="G72">
        <f t="shared" ca="1" si="7"/>
        <v>70</v>
      </c>
      <c r="H72">
        <f t="shared" ca="1" si="8"/>
        <v>5653.0244725418461</v>
      </c>
      <c r="I72">
        <f t="shared" ca="1" si="9"/>
        <v>3415.7053555360762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40948</v>
      </c>
      <c r="B75" s="66">
        <v>40948</v>
      </c>
      <c r="D75">
        <f t="shared" si="5"/>
        <v>77.622125755881186</v>
      </c>
      <c r="E75">
        <f t="shared" si="6"/>
        <v>77.622125755881186</v>
      </c>
      <c r="G75">
        <f t="shared" ca="1" si="7"/>
        <v>73</v>
      </c>
      <c r="H75">
        <f t="shared" ca="1" si="8"/>
        <v>5666.4151801793269</v>
      </c>
      <c r="I75">
        <f t="shared" ca="1" si="9"/>
        <v>952.78711522102924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52753</v>
      </c>
      <c r="B77" s="66">
        <v>52753</v>
      </c>
      <c r="D77">
        <f t="shared" si="5"/>
        <v>100</v>
      </c>
      <c r="E77">
        <f t="shared" si="6"/>
        <v>100</v>
      </c>
      <c r="G77">
        <f t="shared" ca="1" si="7"/>
        <v>75</v>
      </c>
      <c r="H77">
        <f t="shared" ca="1" si="8"/>
        <v>7500</v>
      </c>
      <c r="I77">
        <f t="shared" ca="1" si="9"/>
        <v>226.0586232844465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49481</v>
      </c>
      <c r="B80" s="66">
        <v>49481</v>
      </c>
      <c r="D80">
        <f t="shared" si="5"/>
        <v>93.79750914639925</v>
      </c>
      <c r="E80">
        <f t="shared" si="6"/>
        <v>93.79750914639925</v>
      </c>
      <c r="G80">
        <f t="shared" ca="1" si="7"/>
        <v>78</v>
      </c>
      <c r="H80">
        <f t="shared" ca="1" si="8"/>
        <v>7316.2057134191418</v>
      </c>
      <c r="I80">
        <f t="shared" ca="1" si="9"/>
        <v>210.05376376811984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45620</v>
      </c>
      <c r="B82" s="66">
        <v>45620</v>
      </c>
      <c r="D82">
        <f t="shared" si="5"/>
        <v>86.478494114078813</v>
      </c>
      <c r="E82">
        <f t="shared" si="6"/>
        <v>86.478494114078813</v>
      </c>
      <c r="G82">
        <f t="shared" ca="1" si="7"/>
        <v>80</v>
      </c>
      <c r="H82">
        <f t="shared" ca="1" si="8"/>
        <v>6918.2795291263046</v>
      </c>
      <c r="I82">
        <f t="shared" ca="1" si="9"/>
        <v>1057.2290104814883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43877</v>
      </c>
      <c r="B85" s="66">
        <v>43877</v>
      </c>
      <c r="D85">
        <f t="shared" si="5"/>
        <v>83.174416620855681</v>
      </c>
      <c r="E85">
        <f t="shared" si="6"/>
        <v>83.174416620855681</v>
      </c>
      <c r="G85">
        <f t="shared" ca="1" si="7"/>
        <v>83</v>
      </c>
      <c r="H85">
        <f t="shared" ca="1" si="8"/>
        <v>6903.4765795310213</v>
      </c>
      <c r="I85">
        <f t="shared" ca="1" si="9"/>
        <v>3510.3090967480889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39496</v>
      </c>
      <c r="B88" s="66">
        <v>39496</v>
      </c>
      <c r="D88">
        <f t="shared" si="5"/>
        <v>74.869675658256398</v>
      </c>
      <c r="E88">
        <f t="shared" si="6"/>
        <v>74.869675658256398</v>
      </c>
      <c r="G88">
        <f t="shared" ca="1" si="7"/>
        <v>86</v>
      </c>
      <c r="H88">
        <f t="shared" ca="1" si="8"/>
        <v>6438.7921066100498</v>
      </c>
      <c r="I88">
        <f t="shared" ca="1" si="9"/>
        <v>6751.9753259838935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33578</v>
      </c>
      <c r="B90" s="66">
        <v>33578</v>
      </c>
      <c r="D90">
        <f t="shared" si="5"/>
        <v>63.65135632096753</v>
      </c>
      <c r="E90">
        <f t="shared" si="6"/>
        <v>63.65135632096753</v>
      </c>
      <c r="G90">
        <f t="shared" ca="1" si="7"/>
        <v>88</v>
      </c>
      <c r="H90">
        <f t="shared" ca="1" si="8"/>
        <v>5601.3193562451424</v>
      </c>
      <c r="I90">
        <f t="shared" ca="1" si="9"/>
        <v>8412.7327111689738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34371</v>
      </c>
      <c r="B93" s="66">
        <v>34371</v>
      </c>
      <c r="D93">
        <f t="shared" si="5"/>
        <v>65.154588364642763</v>
      </c>
      <c r="E93">
        <f t="shared" si="6"/>
        <v>65.154588364642763</v>
      </c>
      <c r="G93">
        <f t="shared" ca="1" si="7"/>
        <v>91</v>
      </c>
      <c r="H93">
        <f t="shared" ca="1" si="8"/>
        <v>5929.0675411824914</v>
      </c>
      <c r="I93">
        <f t="shared" ca="1" si="9"/>
        <v>13692.093334759871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37724</v>
      </c>
      <c r="B95" s="66">
        <v>37724</v>
      </c>
      <c r="D95">
        <f t="shared" si="5"/>
        <v>71.51062498815233</v>
      </c>
      <c r="E95">
        <f t="shared" si="6"/>
        <v>71.51062498815233</v>
      </c>
      <c r="G95">
        <f t="shared" ca="1" si="7"/>
        <v>93</v>
      </c>
      <c r="H95">
        <f t="shared" ca="1" si="8"/>
        <v>6650.488123898167</v>
      </c>
      <c r="I95">
        <f t="shared" ca="1" si="9"/>
        <v>19460.451003998642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38754</v>
      </c>
      <c r="B98" s="66">
        <v>38754</v>
      </c>
      <c r="D98">
        <f t="shared" si="5"/>
        <v>73.463120580820046</v>
      </c>
      <c r="E98">
        <f t="shared" si="6"/>
        <v>73.463120580820046</v>
      </c>
      <c r="G98">
        <f t="shared" ca="1" si="7"/>
        <v>96</v>
      </c>
      <c r="H98">
        <f t="shared" ca="1" si="8"/>
        <v>7052.4595757587249</v>
      </c>
      <c r="I98">
        <f t="shared" ca="1" si="9"/>
        <v>27924.254307434152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34913</v>
      </c>
      <c r="B100" s="66">
        <v>34913</v>
      </c>
      <c r="D100">
        <f t="shared" si="5"/>
        <v>66.182018084279562</v>
      </c>
      <c r="E100">
        <f t="shared" si="6"/>
        <v>66.182018084279562</v>
      </c>
      <c r="G100">
        <f t="shared" ca="1" si="7"/>
        <v>98</v>
      </c>
      <c r="H100">
        <f t="shared" ca="1" si="8"/>
        <v>6485.8377722593968</v>
      </c>
      <c r="I100">
        <f t="shared" ca="1" si="9"/>
        <v>30582.608271064637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29036</v>
      </c>
      <c r="B103" s="66">
        <v>29036</v>
      </c>
      <c r="D103">
        <f t="shared" si="5"/>
        <v>55.041419445339599</v>
      </c>
      <c r="E103">
        <f t="shared" si="6"/>
        <v>55.041419445339599</v>
      </c>
      <c r="G103">
        <f t="shared" ca="1" si="7"/>
        <v>101</v>
      </c>
      <c r="H103">
        <f t="shared" ca="1" si="8"/>
        <v>5559.1833639792994</v>
      </c>
      <c r="I103">
        <f t="shared" ca="1" si="9"/>
        <v>33029.106746469064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30475</v>
      </c>
      <c r="B106" s="66">
        <v>30475</v>
      </c>
      <c r="D106">
        <f t="shared" si="5"/>
        <v>57.76922639470741</v>
      </c>
      <c r="E106">
        <f t="shared" si="6"/>
        <v>57.76922639470741</v>
      </c>
      <c r="G106">
        <f t="shared" ca="1" si="7"/>
        <v>104</v>
      </c>
      <c r="H106">
        <f t="shared" ca="1" si="8"/>
        <v>6007.9995450495708</v>
      </c>
      <c r="I106">
        <f t="shared" ca="1" si="9"/>
        <v>43676.77943020266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32598</v>
      </c>
      <c r="B108" s="66">
        <v>32598</v>
      </c>
      <c r="D108">
        <f t="shared" si="5"/>
        <v>61.793642067749701</v>
      </c>
      <c r="E108">
        <f t="shared" si="6"/>
        <v>61.793642067749701</v>
      </c>
      <c r="G108">
        <f t="shared" ca="1" si="7"/>
        <v>106</v>
      </c>
      <c r="H108">
        <f t="shared" ca="1" si="8"/>
        <v>6550.126059181468</v>
      </c>
      <c r="I108">
        <f t="shared" ca="1" si="9"/>
        <v>53763.067690560005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31832</v>
      </c>
      <c r="B111" s="66">
        <v>31832</v>
      </c>
      <c r="D111">
        <f t="shared" si="5"/>
        <v>60.341591947377403</v>
      </c>
      <c r="E111">
        <f t="shared" si="6"/>
        <v>60.341591947377403</v>
      </c>
      <c r="G111">
        <f t="shared" ca="1" si="7"/>
        <v>109</v>
      </c>
      <c r="H111">
        <f t="shared" ca="1" si="8"/>
        <v>6577.2335222641368</v>
      </c>
      <c r="I111">
        <f t="shared" ca="1" si="9"/>
        <v>63721.983032562457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25694</v>
      </c>
      <c r="B113" s="66">
        <v>25694</v>
      </c>
      <c r="D113">
        <f t="shared" si="5"/>
        <v>48.706234716509016</v>
      </c>
      <c r="E113">
        <f t="shared" si="6"/>
        <v>48.706234716509016</v>
      </c>
      <c r="G113">
        <f t="shared" ca="1" si="7"/>
        <v>111</v>
      </c>
      <c r="H113">
        <f t="shared" ca="1" si="8"/>
        <v>5406.3920535325005</v>
      </c>
      <c r="I113">
        <f t="shared" ca="1" si="9"/>
        <v>57960.751235527125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27397</v>
      </c>
      <c r="B116" s="66">
        <v>27397</v>
      </c>
      <c r="D116">
        <f t="shared" si="5"/>
        <v>51.934487138172237</v>
      </c>
      <c r="E116">
        <f t="shared" si="6"/>
        <v>51.934487138172237</v>
      </c>
      <c r="G116">
        <f t="shared" ca="1" si="7"/>
        <v>114</v>
      </c>
      <c r="H116">
        <f t="shared" ca="1" si="8"/>
        <v>5920.5315337516349</v>
      </c>
      <c r="I116">
        <f t="shared" ca="1" si="9"/>
        <v>73019.144548221302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24164</v>
      </c>
      <c r="B118" s="66">
        <v>24164</v>
      </c>
      <c r="D118">
        <f t="shared" si="5"/>
        <v>45.805925729342405</v>
      </c>
      <c r="E118">
        <f t="shared" si="6"/>
        <v>45.805925729342405</v>
      </c>
      <c r="G118">
        <f t="shared" ca="1" si="7"/>
        <v>116</v>
      </c>
      <c r="H118">
        <f t="shared" ca="1" si="8"/>
        <v>5313.487384603719</v>
      </c>
      <c r="I118">
        <f t="shared" ca="1" si="9"/>
        <v>71455.941818464184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25888</v>
      </c>
      <c r="B121" s="66">
        <v>25888</v>
      </c>
      <c r="D121">
        <f t="shared" si="5"/>
        <v>49.073986313574586</v>
      </c>
      <c r="E121">
        <f t="shared" si="6"/>
        <v>49.073986313574586</v>
      </c>
      <c r="G121">
        <f t="shared" ca="1" si="7"/>
        <v>119</v>
      </c>
      <c r="H121">
        <f t="shared" ca="1" si="8"/>
        <v>5839.8043713153756</v>
      </c>
      <c r="I121">
        <f t="shared" ca="1" si="9"/>
        <v>88625.186249971928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23421</v>
      </c>
      <c r="B124" s="66">
        <v>23421</v>
      </c>
      <c r="D124">
        <f t="shared" si="5"/>
        <v>44.397475025117053</v>
      </c>
      <c r="E124">
        <f t="shared" si="6"/>
        <v>44.397475025117053</v>
      </c>
      <c r="G124">
        <f t="shared" ca="1" si="7"/>
        <v>122</v>
      </c>
      <c r="H124">
        <f t="shared" ca="1" si="8"/>
        <v>5416.4919530642801</v>
      </c>
      <c r="I124">
        <f t="shared" ca="1" si="9"/>
        <v>91899.633224819248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20357</v>
      </c>
      <c r="B126" s="66">
        <v>20357</v>
      </c>
      <c r="D126">
        <f t="shared" si="5"/>
        <v>38.589274543627852</v>
      </c>
      <c r="E126">
        <f t="shared" si="6"/>
        <v>38.589274543627852</v>
      </c>
      <c r="G126">
        <f t="shared" ca="1" si="7"/>
        <v>124</v>
      </c>
      <c r="H126">
        <f t="shared" ca="1" si="8"/>
        <v>4785.0700434098535</v>
      </c>
      <c r="I126">
        <f t="shared" ca="1" si="9"/>
        <v>87054.130039288706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19126</v>
      </c>
      <c r="B129" s="66">
        <v>19126</v>
      </c>
      <c r="D129">
        <f t="shared" si="5"/>
        <v>36.255757966371583</v>
      </c>
      <c r="E129">
        <f t="shared" si="6"/>
        <v>36.255757966371583</v>
      </c>
      <c r="G129">
        <f t="shared" ca="1" si="7"/>
        <v>127</v>
      </c>
      <c r="H129">
        <f t="shared" ca="1" si="8"/>
        <v>4604.4812617291909</v>
      </c>
      <c r="I129">
        <f t="shared" ca="1" si="9"/>
        <v>92448.340700415487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19496</v>
      </c>
      <c r="B131" s="66">
        <v>19496</v>
      </c>
      <c r="D131">
        <f t="shared" ref="D131:D194" si="10">IFERROR(100*A131/MAX(A$2:A$257), 0 )</f>
        <v>36.957139878300758</v>
      </c>
      <c r="E131">
        <f t="shared" ref="E131:E194" si="11">IFERROR(100*B131/MAX(B$2:B$257), 0 )</f>
        <v>36.957139878300758</v>
      </c>
      <c r="G131">
        <f t="shared" ref="G131:G194" ca="1" si="12">CELL("row",D131)-2</f>
        <v>129</v>
      </c>
      <c r="H131">
        <f t="shared" ref="H131:H194" ca="1" si="13">D131*G131</f>
        <v>4767.471044300798</v>
      </c>
      <c r="I131">
        <f t="shared" ref="I131:I194" ca="1" si="14">D131*((G131-$L$1)^2)</f>
        <v>101849.4400265257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11005</v>
      </c>
      <c r="B134" s="66">
        <v>11005</v>
      </c>
      <c r="D134">
        <f t="shared" si="10"/>
        <v>20.861372812920592</v>
      </c>
      <c r="E134">
        <f t="shared" si="11"/>
        <v>20.861372812920592</v>
      </c>
      <c r="G134">
        <f t="shared" ca="1" si="12"/>
        <v>132</v>
      </c>
      <c r="H134">
        <f t="shared" ca="1" si="13"/>
        <v>2753.701211305518</v>
      </c>
      <c r="I134">
        <f t="shared" ca="1" si="14"/>
        <v>64250.082251022613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8894</v>
      </c>
      <c r="B136" s="66">
        <v>8894</v>
      </c>
      <c r="D136">
        <f t="shared" si="10"/>
        <v>16.859704661346274</v>
      </c>
      <c r="E136">
        <f t="shared" si="11"/>
        <v>16.859704661346274</v>
      </c>
      <c r="G136">
        <f t="shared" ca="1" si="12"/>
        <v>134</v>
      </c>
      <c r="H136">
        <f t="shared" ca="1" si="13"/>
        <v>2259.2004246204006</v>
      </c>
      <c r="I136">
        <f t="shared" ca="1" si="14"/>
        <v>55735.56501231758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6438</v>
      </c>
      <c r="B139" s="66">
        <v>6438</v>
      </c>
      <c r="D139">
        <f t="shared" si="10"/>
        <v>12.204045267567722</v>
      </c>
      <c r="E139">
        <f t="shared" si="11"/>
        <v>12.204045267567722</v>
      </c>
      <c r="G139">
        <f t="shared" ca="1" si="12"/>
        <v>137</v>
      </c>
      <c r="H139">
        <f t="shared" ca="1" si="13"/>
        <v>1671.954201656778</v>
      </c>
      <c r="I139">
        <f t="shared" ca="1" si="14"/>
        <v>44664.652097561499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4502</v>
      </c>
      <c r="B142" s="66">
        <v>4502</v>
      </c>
      <c r="D142">
        <f t="shared" si="10"/>
        <v>8.5341118040680151</v>
      </c>
      <c r="E142">
        <f t="shared" si="11"/>
        <v>8.5341118040680151</v>
      </c>
      <c r="G142">
        <f t="shared" ca="1" si="12"/>
        <v>140</v>
      </c>
      <c r="H142">
        <f t="shared" ca="1" si="13"/>
        <v>1194.7756525695222</v>
      </c>
      <c r="I142">
        <f t="shared" ca="1" si="14"/>
        <v>34407.852349383582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2749</v>
      </c>
      <c r="B144" s="66">
        <v>2749</v>
      </c>
      <c r="D144">
        <f t="shared" si="10"/>
        <v>5.2110780429549033</v>
      </c>
      <c r="E144">
        <f t="shared" si="11"/>
        <v>5.2110780429549033</v>
      </c>
      <c r="G144">
        <f t="shared" ca="1" si="12"/>
        <v>142</v>
      </c>
      <c r="H144">
        <f t="shared" ca="1" si="13"/>
        <v>739.97308209959624</v>
      </c>
      <c r="I144">
        <f t="shared" ca="1" si="14"/>
        <v>22354.421563741715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2920</v>
      </c>
      <c r="B147" s="66">
        <v>2920</v>
      </c>
      <c r="D147">
        <f t="shared" si="10"/>
        <v>5.5352302238735236</v>
      </c>
      <c r="E147">
        <f t="shared" si="11"/>
        <v>5.5352302238735236</v>
      </c>
      <c r="G147">
        <f t="shared" ca="1" si="12"/>
        <v>145</v>
      </c>
      <c r="H147">
        <f t="shared" ca="1" si="13"/>
        <v>802.60838246166088</v>
      </c>
      <c r="I147">
        <f t="shared" ca="1" si="14"/>
        <v>25970.011286476769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1206</v>
      </c>
      <c r="B149" s="66">
        <v>1206</v>
      </c>
      <c r="D149">
        <f t="shared" si="10"/>
        <v>2.2861259075313254</v>
      </c>
      <c r="E149">
        <f t="shared" si="11"/>
        <v>2.2861259075313254</v>
      </c>
      <c r="G149">
        <f t="shared" ca="1" si="12"/>
        <v>147</v>
      </c>
      <c r="H149">
        <f t="shared" ca="1" si="13"/>
        <v>336.06050840710481</v>
      </c>
      <c r="I149">
        <f t="shared" ca="1" si="14"/>
        <v>11361.481186439858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742</v>
      </c>
      <c r="B152" s="66">
        <v>742</v>
      </c>
      <c r="D152">
        <f t="shared" si="10"/>
        <v>1.4065550774363544</v>
      </c>
      <c r="E152">
        <f t="shared" si="11"/>
        <v>1.4065550774363544</v>
      </c>
      <c r="G152">
        <f t="shared" ca="1" si="12"/>
        <v>150</v>
      </c>
      <c r="H152">
        <f t="shared" ca="1" si="13"/>
        <v>210.98326161545316</v>
      </c>
      <c r="I152">
        <f t="shared" ca="1" si="14"/>
        <v>7597.8334248918272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60</v>
      </c>
      <c r="B154" s="66">
        <v>60</v>
      </c>
      <c r="D154">
        <f t="shared" si="10"/>
        <v>0.11373760733986693</v>
      </c>
      <c r="E154">
        <f t="shared" si="11"/>
        <v>0.11373760733986693</v>
      </c>
      <c r="G154">
        <f t="shared" ca="1" si="12"/>
        <v>152</v>
      </c>
      <c r="H154">
        <f t="shared" ca="1" si="13"/>
        <v>17.288116315659774</v>
      </c>
      <c r="I154">
        <f t="shared" ca="1" si="14"/>
        <v>648.27226477948579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349</v>
      </c>
      <c r="B1" s="68" t="s">
        <v>350</v>
      </c>
      <c r="C1" s="32" t="s">
        <v>351</v>
      </c>
      <c r="D1" s="32" t="s">
        <v>352</v>
      </c>
      <c r="E1" s="32" t="s">
        <v>353</v>
      </c>
    </row>
    <row r="2" spans="1:5">
      <c r="A2" s="68">
        <v>0.16952800000000001</v>
      </c>
      <c r="B2" s="68">
        <v>0.65486999999999995</v>
      </c>
      <c r="C2" s="68">
        <v>0</v>
      </c>
      <c r="D2" s="68">
        <v>1</v>
      </c>
      <c r="E2" s="68" t="s">
        <v>354</v>
      </c>
    </row>
    <row r="3" spans="1:5">
      <c r="A3" s="68">
        <v>0.17466899999999999</v>
      </c>
      <c r="B3" s="68">
        <v>0.64917400000000003</v>
      </c>
      <c r="C3" s="68">
        <v>0.40680699999999997</v>
      </c>
      <c r="D3" s="89">
        <v>1</v>
      </c>
      <c r="E3" s="68" t="s">
        <v>355</v>
      </c>
    </row>
    <row r="4" spans="1:5">
      <c r="A4" s="68">
        <v>0.17974000000000001</v>
      </c>
      <c r="B4" s="68">
        <v>0.64327999999999996</v>
      </c>
      <c r="C4" s="68">
        <v>0.81276899999999996</v>
      </c>
      <c r="D4" s="89">
        <v>1</v>
      </c>
      <c r="E4" s="68" t="s">
        <v>356</v>
      </c>
    </row>
    <row r="5" spans="1:5">
      <c r="A5" s="89">
        <v>0.18471099999999999</v>
      </c>
      <c r="B5" s="89">
        <v>0.63770800000000005</v>
      </c>
      <c r="C5" s="89">
        <v>1.2124200000000001</v>
      </c>
      <c r="D5" s="89">
        <v>1</v>
      </c>
      <c r="E5" s="68" t="s">
        <v>357</v>
      </c>
    </row>
    <row r="6" spans="1:5">
      <c r="A6" s="68">
        <v>0.18965899999999999</v>
      </c>
      <c r="B6" s="68">
        <v>0.63130500000000001</v>
      </c>
      <c r="C6" s="68">
        <v>1.6255999999999999</v>
      </c>
      <c r="D6" s="68">
        <v>1</v>
      </c>
      <c r="E6" s="68" t="s">
        <v>358</v>
      </c>
    </row>
    <row r="7" spans="1:5">
      <c r="A7" s="68">
        <v>0.19436600000000001</v>
      </c>
      <c r="B7" s="68">
        <v>0.62459900000000002</v>
      </c>
      <c r="C7" s="68">
        <v>2.03295</v>
      </c>
      <c r="D7" s="68">
        <v>1</v>
      </c>
      <c r="E7" s="68" t="s">
        <v>359</v>
      </c>
    </row>
    <row r="8" spans="1:5">
      <c r="A8" s="68">
        <v>0.199041</v>
      </c>
      <c r="B8" s="68">
        <v>0.61679200000000001</v>
      </c>
      <c r="C8" s="68">
        <v>2.4363800000000002</v>
      </c>
      <c r="D8" s="68">
        <v>1</v>
      </c>
      <c r="E8" s="68" t="s">
        <v>360</v>
      </c>
    </row>
    <row r="9" spans="1:5">
      <c r="A9" s="68">
        <v>0.20397999999999999</v>
      </c>
      <c r="B9" s="68">
        <v>0.60788699999999996</v>
      </c>
      <c r="C9" s="68">
        <v>2.8433199999999998</v>
      </c>
      <c r="D9" s="68">
        <v>1</v>
      </c>
      <c r="E9" s="68" t="s">
        <v>361</v>
      </c>
    </row>
    <row r="10" spans="1:5">
      <c r="A10" s="68">
        <v>0.208842</v>
      </c>
      <c r="B10" s="68">
        <v>0.59884700000000002</v>
      </c>
      <c r="C10" s="68">
        <v>3.2473399999999999</v>
      </c>
      <c r="D10" s="68">
        <v>1</v>
      </c>
      <c r="E10" s="68" t="s">
        <v>362</v>
      </c>
    </row>
    <row r="11" spans="1:5">
      <c r="A11" s="68">
        <v>0.21368999999999999</v>
      </c>
      <c r="B11" s="68">
        <v>0.58965800000000002</v>
      </c>
      <c r="C11" s="68">
        <v>3.65313</v>
      </c>
      <c r="D11" s="68">
        <v>1</v>
      </c>
      <c r="E11" s="68" t="s">
        <v>363</v>
      </c>
    </row>
    <row r="12" spans="1:5">
      <c r="A12" s="68">
        <v>0.21845000000000001</v>
      </c>
      <c r="B12" s="68">
        <v>0.580623</v>
      </c>
      <c r="C12" s="68">
        <v>4.0601099999999999</v>
      </c>
      <c r="D12" s="68">
        <v>1</v>
      </c>
      <c r="E12" s="68" t="s">
        <v>364</v>
      </c>
    </row>
    <row r="13" spans="1:5">
      <c r="A13" s="68">
        <v>0.22295300000000001</v>
      </c>
      <c r="B13" s="68">
        <v>0.57207300000000005</v>
      </c>
      <c r="C13" s="68">
        <v>4.4691099999999997</v>
      </c>
      <c r="D13" s="68">
        <v>1</v>
      </c>
      <c r="E13" s="68" t="s">
        <v>365</v>
      </c>
    </row>
    <row r="14" spans="1:5">
      <c r="A14" s="68">
        <v>0.22733</v>
      </c>
      <c r="B14" s="68">
        <v>0.56357599999999997</v>
      </c>
      <c r="C14" s="68">
        <v>4.8738599999999996</v>
      </c>
      <c r="D14" s="68">
        <v>1</v>
      </c>
      <c r="E14" s="68" t="s">
        <v>366</v>
      </c>
    </row>
    <row r="15" spans="1:5">
      <c r="A15" s="68">
        <v>0.23147899999999999</v>
      </c>
      <c r="B15" s="68">
        <v>0.55588400000000004</v>
      </c>
      <c r="C15" s="68">
        <v>5.28003</v>
      </c>
      <c r="D15" s="68">
        <v>1</v>
      </c>
      <c r="E15" s="68" t="s">
        <v>367</v>
      </c>
    </row>
    <row r="16" spans="1:5">
      <c r="A16" s="68">
        <v>0.23542399999999999</v>
      </c>
      <c r="B16" s="68">
        <v>0.54883099999999996</v>
      </c>
      <c r="C16" s="68">
        <v>5.68872</v>
      </c>
      <c r="D16" s="68">
        <v>1</v>
      </c>
      <c r="E16" s="68" t="s">
        <v>368</v>
      </c>
    </row>
    <row r="17" spans="1:5">
      <c r="A17" s="68">
        <v>0.239291</v>
      </c>
      <c r="B17" s="68">
        <v>0.54105400000000003</v>
      </c>
      <c r="C17" s="68">
        <v>6.0897199999999998</v>
      </c>
      <c r="D17" s="68">
        <v>1</v>
      </c>
      <c r="E17" s="68" t="s">
        <v>369</v>
      </c>
    </row>
    <row r="18" spans="1:5">
      <c r="A18" s="68">
        <v>0.24199999999999999</v>
      </c>
      <c r="B18" s="68">
        <v>0.53539599999999998</v>
      </c>
      <c r="C18" s="68">
        <v>6.4996499999999999</v>
      </c>
      <c r="D18" s="68">
        <v>1</v>
      </c>
      <c r="E18" s="68" t="s">
        <v>370</v>
      </c>
    </row>
    <row r="19" spans="1:5">
      <c r="A19" s="68">
        <v>0.24707399999999999</v>
      </c>
      <c r="B19" s="68">
        <v>0.524003</v>
      </c>
      <c r="C19" s="68">
        <v>6.9034700000000004</v>
      </c>
      <c r="D19" s="68">
        <v>1</v>
      </c>
      <c r="E19" s="68" t="s">
        <v>371</v>
      </c>
    </row>
    <row r="20" spans="1:5">
      <c r="A20" s="68">
        <v>0.25120300000000001</v>
      </c>
      <c r="B20" s="68">
        <v>0.51558300000000001</v>
      </c>
      <c r="C20" s="68">
        <v>7.3126100000000003</v>
      </c>
      <c r="D20" s="68">
        <v>1</v>
      </c>
      <c r="E20" s="68" t="s">
        <v>372</v>
      </c>
    </row>
    <row r="21" spans="1:5">
      <c r="A21" s="68">
        <v>0.25537500000000002</v>
      </c>
      <c r="B21" s="68">
        <v>0.50744100000000003</v>
      </c>
      <c r="C21" s="68">
        <v>7.7183200000000003</v>
      </c>
      <c r="D21" s="68">
        <v>1</v>
      </c>
      <c r="E21" s="68" t="s">
        <v>373</v>
      </c>
    </row>
    <row r="22" spans="1:5">
      <c r="A22" s="68">
        <v>0.25946799999999998</v>
      </c>
      <c r="B22" s="68">
        <v>0.499803</v>
      </c>
      <c r="C22" s="68">
        <v>8.1241800000000008</v>
      </c>
      <c r="D22" s="68">
        <v>1</v>
      </c>
      <c r="E22" s="68" t="s">
        <v>374</v>
      </c>
    </row>
    <row r="23" spans="1:5">
      <c r="A23" s="68">
        <v>0.26305699999999999</v>
      </c>
      <c r="B23" s="68">
        <v>0.49377300000000002</v>
      </c>
      <c r="C23" s="68">
        <v>8.5322899999999997</v>
      </c>
      <c r="D23" s="68">
        <v>1</v>
      </c>
      <c r="E23" s="68" t="s">
        <v>375</v>
      </c>
    </row>
    <row r="24" spans="1:5">
      <c r="A24" s="68">
        <v>0.26627699999999999</v>
      </c>
      <c r="B24" s="68">
        <v>0.48846299999999998</v>
      </c>
      <c r="C24" s="68">
        <v>8.9359800000000007</v>
      </c>
      <c r="D24" s="68">
        <v>1</v>
      </c>
      <c r="E24" s="68" t="s">
        <v>376</v>
      </c>
    </row>
    <row r="25" spans="1:5">
      <c r="A25" s="68">
        <v>0.26923399999999997</v>
      </c>
      <c r="B25" s="68">
        <v>0.48311300000000001</v>
      </c>
      <c r="C25" s="68">
        <v>9.3431200000000008</v>
      </c>
      <c r="D25" s="68">
        <v>1</v>
      </c>
      <c r="E25" s="68" t="s">
        <v>377</v>
      </c>
    </row>
    <row r="26" spans="1:5">
      <c r="A26" s="68">
        <v>0.27206000000000002</v>
      </c>
      <c r="B26" s="68">
        <v>0.47772199999999998</v>
      </c>
      <c r="C26" s="68">
        <v>9.7492199999999993</v>
      </c>
      <c r="D26" s="68">
        <v>1</v>
      </c>
      <c r="E26" s="68" t="s">
        <v>378</v>
      </c>
    </row>
    <row r="27" spans="1:5">
      <c r="A27" s="68">
        <v>0.274837</v>
      </c>
      <c r="B27" s="68">
        <v>0.472881</v>
      </c>
      <c r="C27" s="68">
        <v>10.1578</v>
      </c>
      <c r="D27" s="68">
        <v>1</v>
      </c>
      <c r="E27" s="68" t="s">
        <v>379</v>
      </c>
    </row>
    <row r="28" spans="1:5">
      <c r="A28" s="68">
        <v>0.27782400000000002</v>
      </c>
      <c r="B28" s="68">
        <v>0.46805000000000002</v>
      </c>
      <c r="C28" s="68">
        <v>10.560600000000001</v>
      </c>
      <c r="D28" s="68">
        <v>1</v>
      </c>
      <c r="E28" s="68" t="s">
        <v>380</v>
      </c>
    </row>
    <row r="29" spans="1:5">
      <c r="A29" s="68">
        <v>0.28083399999999997</v>
      </c>
      <c r="B29" s="68">
        <v>0.46319900000000003</v>
      </c>
      <c r="C29" s="68">
        <v>10.967599999999999</v>
      </c>
      <c r="D29" s="68">
        <v>1</v>
      </c>
      <c r="E29" s="68" t="s">
        <v>381</v>
      </c>
    </row>
    <row r="30" spans="1:5">
      <c r="A30" s="68">
        <v>0.28332499999999999</v>
      </c>
      <c r="B30" s="68">
        <v>0.45961099999999999</v>
      </c>
      <c r="C30" s="68">
        <v>11.374499999999999</v>
      </c>
      <c r="D30" s="68">
        <v>1</v>
      </c>
      <c r="E30" s="68" t="s">
        <v>382</v>
      </c>
    </row>
    <row r="31" spans="1:5">
      <c r="A31" s="68">
        <v>0.285076</v>
      </c>
      <c r="B31" s="68">
        <v>0.45686300000000002</v>
      </c>
      <c r="C31" s="68">
        <v>11.779400000000001</v>
      </c>
      <c r="D31" s="68">
        <v>1</v>
      </c>
      <c r="E31" s="68" t="s">
        <v>383</v>
      </c>
    </row>
    <row r="32" spans="1:5">
      <c r="A32" s="68">
        <v>0.28617999999999999</v>
      </c>
      <c r="B32" s="68">
        <v>0.45455800000000002</v>
      </c>
      <c r="C32" s="68">
        <v>12.186299999999999</v>
      </c>
      <c r="D32" s="68">
        <v>1</v>
      </c>
      <c r="E32" s="68" t="s">
        <v>384</v>
      </c>
    </row>
    <row r="33" spans="1:5">
      <c r="A33" s="68">
        <v>0.28636</v>
      </c>
      <c r="B33" s="68">
        <v>0.45245200000000002</v>
      </c>
      <c r="C33" s="68">
        <v>12.5952</v>
      </c>
      <c r="D33" s="68">
        <v>1</v>
      </c>
      <c r="E33" s="68" t="s">
        <v>385</v>
      </c>
    </row>
    <row r="34" spans="1:5">
      <c r="A34" s="68">
        <v>0.28618500000000002</v>
      </c>
      <c r="B34" s="68">
        <v>0.45032800000000001</v>
      </c>
      <c r="C34" s="68">
        <v>12.999499999999999</v>
      </c>
      <c r="D34" s="68">
        <v>1</v>
      </c>
      <c r="E34" s="68" t="s">
        <v>386</v>
      </c>
    </row>
    <row r="35" spans="1:5">
      <c r="A35" s="68">
        <v>0.28587299999999999</v>
      </c>
      <c r="B35" s="68">
        <v>0.44803799999999999</v>
      </c>
      <c r="C35" s="68">
        <v>13.4054</v>
      </c>
      <c r="D35" s="68">
        <v>1</v>
      </c>
      <c r="E35" s="68" t="s">
        <v>387</v>
      </c>
    </row>
    <row r="36" spans="1:5">
      <c r="A36" s="68">
        <v>0.28587600000000002</v>
      </c>
      <c r="B36" s="68">
        <v>0.44653199999999998</v>
      </c>
      <c r="C36" s="68">
        <v>13.811</v>
      </c>
      <c r="D36" s="68">
        <v>1</v>
      </c>
      <c r="E36" s="68" t="s">
        <v>388</v>
      </c>
    </row>
    <row r="37" spans="1:5">
      <c r="A37" s="68">
        <v>0.28672999999999998</v>
      </c>
      <c r="B37" s="68">
        <v>0.44474599999999997</v>
      </c>
      <c r="C37" s="68">
        <v>14.216100000000001</v>
      </c>
      <c r="D37" s="68">
        <v>1</v>
      </c>
      <c r="E37" s="68" t="s">
        <v>389</v>
      </c>
    </row>
    <row r="38" spans="1:5">
      <c r="A38" s="68">
        <v>0.28781800000000002</v>
      </c>
      <c r="B38" s="68">
        <v>0.44258199999999998</v>
      </c>
      <c r="C38" s="68">
        <v>14.6258</v>
      </c>
      <c r="D38" s="68">
        <v>1</v>
      </c>
      <c r="E38" s="68" t="s">
        <v>390</v>
      </c>
    </row>
    <row r="39" spans="1:5">
      <c r="A39" s="68">
        <v>0.28894199999999998</v>
      </c>
      <c r="B39" s="68">
        <v>0.44032300000000002</v>
      </c>
      <c r="C39" s="68">
        <v>15.031700000000001</v>
      </c>
      <c r="D39" s="68">
        <v>2</v>
      </c>
      <c r="E39" s="68" t="s">
        <v>391</v>
      </c>
    </row>
    <row r="40" spans="1:5">
      <c r="A40" s="68">
        <v>0.289937</v>
      </c>
      <c r="B40" s="68">
        <v>0.43785299999999999</v>
      </c>
      <c r="C40" s="68">
        <v>15.5024</v>
      </c>
      <c r="D40" s="68">
        <v>2</v>
      </c>
      <c r="E40" s="68" t="s">
        <v>392</v>
      </c>
    </row>
    <row r="41" spans="1:5">
      <c r="A41" s="68">
        <v>0.29096899999999998</v>
      </c>
      <c r="B41" s="68">
        <v>0.43484699999999998</v>
      </c>
      <c r="C41" s="68">
        <v>15.8896</v>
      </c>
      <c r="D41" s="68">
        <v>2</v>
      </c>
      <c r="E41" s="68" t="s">
        <v>393</v>
      </c>
    </row>
    <row r="42" spans="1:5">
      <c r="A42" s="68">
        <v>0.29204000000000002</v>
      </c>
      <c r="B42" s="68">
        <v>0.431396</v>
      </c>
      <c r="C42" s="68">
        <v>16.299700000000001</v>
      </c>
      <c r="D42" s="68">
        <v>2</v>
      </c>
      <c r="E42" s="68" t="s">
        <v>394</v>
      </c>
    </row>
    <row r="43" spans="1:5">
      <c r="A43" s="68">
        <v>0.29306399999999999</v>
      </c>
      <c r="B43" s="68">
        <v>0.42796200000000001</v>
      </c>
      <c r="C43" s="68">
        <v>16.7042</v>
      </c>
      <c r="D43" s="68">
        <v>2</v>
      </c>
      <c r="E43" s="68" t="s">
        <v>395</v>
      </c>
    </row>
    <row r="44" spans="1:5">
      <c r="A44" s="68">
        <v>0.29391400000000001</v>
      </c>
      <c r="B44" s="68">
        <v>0.42514999999999997</v>
      </c>
      <c r="C44" s="68">
        <v>17.1082</v>
      </c>
      <c r="D44" s="68">
        <v>2</v>
      </c>
      <c r="E44" s="68" t="s">
        <v>396</v>
      </c>
    </row>
    <row r="45" spans="1:5">
      <c r="A45" s="68">
        <v>0.29480200000000001</v>
      </c>
      <c r="B45" s="68">
        <v>0.42283199999999999</v>
      </c>
      <c r="C45" s="68">
        <v>17.514099999999999</v>
      </c>
      <c r="D45" s="68">
        <v>2</v>
      </c>
      <c r="E45" s="68" t="s">
        <v>397</v>
      </c>
    </row>
    <row r="46" spans="1:5">
      <c r="A46" s="68">
        <v>0.29607899999999998</v>
      </c>
      <c r="B46" s="68">
        <v>0.42017900000000002</v>
      </c>
      <c r="C46" s="68">
        <v>17.9206</v>
      </c>
      <c r="D46" s="68">
        <v>2</v>
      </c>
      <c r="E46" s="68" t="s">
        <v>398</v>
      </c>
    </row>
    <row r="47" spans="1:5">
      <c r="A47" s="68">
        <v>0.29750900000000002</v>
      </c>
      <c r="B47" s="68">
        <v>0.417408</v>
      </c>
      <c r="C47" s="68">
        <v>18.326000000000001</v>
      </c>
      <c r="D47" s="68">
        <v>2</v>
      </c>
      <c r="E47" s="68" t="s">
        <v>399</v>
      </c>
    </row>
    <row r="48" spans="1:5">
      <c r="A48" s="68">
        <v>0.29907699999999998</v>
      </c>
      <c r="B48" s="68">
        <v>0.41476000000000002</v>
      </c>
      <c r="C48" s="68">
        <v>18.7348</v>
      </c>
      <c r="D48" s="68">
        <v>2</v>
      </c>
      <c r="E48" s="68" t="s">
        <v>400</v>
      </c>
    </row>
    <row r="49" spans="1:5">
      <c r="A49" s="68">
        <v>0.30065799999999998</v>
      </c>
      <c r="B49" s="68">
        <v>0.41181499999999999</v>
      </c>
      <c r="C49" s="68">
        <v>19.139800000000001</v>
      </c>
      <c r="D49" s="68">
        <v>2</v>
      </c>
      <c r="E49" s="68" t="s">
        <v>401</v>
      </c>
    </row>
    <row r="50" spans="1:5">
      <c r="A50" s="68">
        <v>0.30210700000000001</v>
      </c>
      <c r="B50" s="68">
        <v>0.408854</v>
      </c>
      <c r="C50" s="68">
        <v>19.5456</v>
      </c>
      <c r="D50" s="68">
        <v>2</v>
      </c>
      <c r="E50" s="68" t="s">
        <v>402</v>
      </c>
    </row>
    <row r="51" spans="1:5">
      <c r="A51" s="68">
        <v>0.303286</v>
      </c>
      <c r="B51" s="68">
        <v>0.40579700000000002</v>
      </c>
      <c r="C51" s="68">
        <v>19.951699999999999</v>
      </c>
      <c r="D51" s="68">
        <v>2</v>
      </c>
      <c r="E51" s="68" t="s">
        <v>403</v>
      </c>
    </row>
    <row r="52" spans="1:5">
      <c r="A52" s="68">
        <v>0.30442999999999998</v>
      </c>
      <c r="B52" s="68">
        <v>0.40289700000000001</v>
      </c>
      <c r="C52" s="68">
        <v>20.3596</v>
      </c>
      <c r="D52" s="68">
        <v>2</v>
      </c>
      <c r="E52" s="68" t="s">
        <v>404</v>
      </c>
    </row>
    <row r="53" spans="1:5">
      <c r="A53" s="68">
        <v>0.30587999999999999</v>
      </c>
      <c r="B53" s="68">
        <v>0.40008700000000003</v>
      </c>
      <c r="C53" s="68">
        <v>20.767299999999999</v>
      </c>
      <c r="D53" s="68">
        <v>2</v>
      </c>
      <c r="E53" s="68" t="s">
        <v>405</v>
      </c>
    </row>
    <row r="54" spans="1:5">
      <c r="A54" s="68">
        <v>0.30711699999999997</v>
      </c>
      <c r="B54" s="68">
        <v>0.398364</v>
      </c>
      <c r="C54" s="68">
        <v>21.169499999999999</v>
      </c>
      <c r="D54" s="68">
        <v>2</v>
      </c>
      <c r="E54" s="68" t="s">
        <v>406</v>
      </c>
    </row>
    <row r="55" spans="1:5">
      <c r="A55" s="68">
        <v>0.30878299999999997</v>
      </c>
      <c r="B55" s="68">
        <v>0.39727899999999999</v>
      </c>
      <c r="C55" s="68">
        <v>21.575299999999999</v>
      </c>
      <c r="D55" s="68">
        <v>2</v>
      </c>
      <c r="E55" s="68" t="s">
        <v>407</v>
      </c>
    </row>
    <row r="56" spans="1:5">
      <c r="A56" s="68">
        <v>0.31115500000000001</v>
      </c>
      <c r="B56" s="68">
        <v>0.39652399999999999</v>
      </c>
      <c r="C56" s="68">
        <v>21.985299999999999</v>
      </c>
      <c r="D56" s="68">
        <v>2</v>
      </c>
      <c r="E56" s="68" t="s">
        <v>408</v>
      </c>
    </row>
    <row r="57" spans="1:5">
      <c r="A57" s="68">
        <v>0.31392599999999998</v>
      </c>
      <c r="B57" s="68">
        <v>0.39629300000000001</v>
      </c>
      <c r="C57" s="68">
        <v>22.389099999999999</v>
      </c>
      <c r="D57" s="68">
        <v>2</v>
      </c>
      <c r="E57" s="68" t="s">
        <v>409</v>
      </c>
    </row>
    <row r="58" spans="1:5">
      <c r="A58" s="68">
        <v>0.31679600000000002</v>
      </c>
      <c r="B58" s="68">
        <v>0.39581</v>
      </c>
      <c r="C58" s="68">
        <v>22.797999999999998</v>
      </c>
      <c r="D58" s="68">
        <v>2</v>
      </c>
      <c r="E58" s="68" t="s">
        <v>410</v>
      </c>
    </row>
    <row r="59" spans="1:5">
      <c r="A59" s="68">
        <v>0.31883499999999998</v>
      </c>
      <c r="B59" s="68">
        <v>0.39416800000000002</v>
      </c>
      <c r="C59" s="68">
        <v>23.201000000000001</v>
      </c>
      <c r="D59" s="68">
        <v>2</v>
      </c>
      <c r="E59" s="68" t="s">
        <v>411</v>
      </c>
    </row>
    <row r="60" spans="1:5">
      <c r="A60" s="68">
        <v>0.31998700000000002</v>
      </c>
      <c r="B60" s="68">
        <v>0.39209899999999998</v>
      </c>
      <c r="C60" s="68">
        <v>23.606100000000001</v>
      </c>
      <c r="D60" s="68">
        <v>2</v>
      </c>
      <c r="E60" s="68" t="s">
        <v>412</v>
      </c>
    </row>
    <row r="61" spans="1:5">
      <c r="A61" s="68">
        <v>0.321129</v>
      </c>
      <c r="B61" s="68">
        <v>0.39011499999999999</v>
      </c>
      <c r="C61" s="68">
        <v>24.011700000000001</v>
      </c>
      <c r="D61" s="68">
        <v>2</v>
      </c>
      <c r="E61" s="68" t="s">
        <v>413</v>
      </c>
    </row>
    <row r="62" spans="1:5">
      <c r="A62" s="68">
        <v>0.32221699999999998</v>
      </c>
      <c r="B62" s="68">
        <v>0.38799</v>
      </c>
      <c r="C62" s="68">
        <v>24.430599999999998</v>
      </c>
      <c r="D62" s="68">
        <v>2</v>
      </c>
      <c r="E62" s="68" t="s">
        <v>414</v>
      </c>
    </row>
    <row r="63" spans="1:5">
      <c r="A63" s="68">
        <v>0.32327899999999998</v>
      </c>
      <c r="B63" s="68">
        <v>0.38623600000000002</v>
      </c>
      <c r="C63" s="68">
        <v>24.8306</v>
      </c>
      <c r="D63" s="68">
        <v>2</v>
      </c>
      <c r="E63" s="68" t="s">
        <v>415</v>
      </c>
    </row>
    <row r="64" spans="1:5">
      <c r="A64" s="68">
        <v>0.324125</v>
      </c>
      <c r="B64" s="68">
        <v>0.38494299999999998</v>
      </c>
      <c r="C64" s="68">
        <v>25.234500000000001</v>
      </c>
      <c r="D64" s="68">
        <v>2</v>
      </c>
      <c r="E64" s="68" t="s">
        <v>416</v>
      </c>
    </row>
    <row r="65" spans="1:5">
      <c r="A65" s="68">
        <v>0.32479599999999997</v>
      </c>
      <c r="B65" s="68">
        <v>0.38412499999999999</v>
      </c>
      <c r="C65" s="68">
        <v>25.642299999999999</v>
      </c>
      <c r="D65" s="68">
        <v>2</v>
      </c>
      <c r="E65" s="68" t="s">
        <v>417</v>
      </c>
    </row>
    <row r="66" spans="1:5">
      <c r="A66" s="68">
        <v>0.325465</v>
      </c>
      <c r="B66" s="68">
        <v>0.38333600000000001</v>
      </c>
      <c r="C66" s="68">
        <v>26.046299999999999</v>
      </c>
      <c r="D66" s="68">
        <v>2</v>
      </c>
      <c r="E66" s="68" t="s">
        <v>418</v>
      </c>
    </row>
    <row r="67" spans="1:5">
      <c r="A67" s="68">
        <v>0.32642300000000002</v>
      </c>
      <c r="B67" s="68">
        <v>0.381687</v>
      </c>
      <c r="C67" s="68">
        <v>26.4542</v>
      </c>
      <c r="D67" s="68">
        <v>2</v>
      </c>
      <c r="E67" s="68" t="s">
        <v>419</v>
      </c>
    </row>
    <row r="68" spans="1:5">
      <c r="A68" s="68">
        <v>0.32742599999999999</v>
      </c>
      <c r="B68" s="68">
        <v>0.379633</v>
      </c>
      <c r="C68" s="68">
        <v>26.862100000000002</v>
      </c>
      <c r="D68" s="68">
        <v>2</v>
      </c>
      <c r="E68" s="68" t="s">
        <v>420</v>
      </c>
    </row>
    <row r="69" spans="1:5">
      <c r="A69" s="68">
        <v>0.32818599999999998</v>
      </c>
      <c r="B69" s="68">
        <v>0.37783299999999997</v>
      </c>
      <c r="C69" s="68">
        <v>27.266300000000001</v>
      </c>
      <c r="D69" s="68">
        <v>2</v>
      </c>
      <c r="E69" s="68" t="s">
        <v>421</v>
      </c>
    </row>
    <row r="70" spans="1:5">
      <c r="A70" s="68">
        <v>0.32868900000000001</v>
      </c>
      <c r="B70" s="68">
        <v>0.37588899999999997</v>
      </c>
      <c r="C70" s="68">
        <v>27.672999999999998</v>
      </c>
      <c r="D70" s="68">
        <v>2</v>
      </c>
      <c r="E70" s="68" t="s">
        <v>422</v>
      </c>
    </row>
    <row r="71" spans="1:5">
      <c r="A71" s="68">
        <v>0.32867000000000002</v>
      </c>
      <c r="B71" s="68">
        <v>0.37436000000000003</v>
      </c>
      <c r="C71" s="68">
        <v>28.077999999999999</v>
      </c>
      <c r="D71" s="68">
        <v>2</v>
      </c>
      <c r="E71" s="68" t="s">
        <v>423</v>
      </c>
    </row>
    <row r="72" spans="1:5">
      <c r="A72" s="68">
        <v>0.328376</v>
      </c>
      <c r="B72" s="68">
        <v>0.373394</v>
      </c>
      <c r="C72" s="68">
        <v>28.483000000000001</v>
      </c>
      <c r="D72" s="68">
        <v>2</v>
      </c>
      <c r="E72" s="68" t="s">
        <v>424</v>
      </c>
    </row>
    <row r="73" spans="1:5">
      <c r="A73" s="68">
        <v>0.32790000000000002</v>
      </c>
      <c r="B73" s="68">
        <v>0.37258400000000003</v>
      </c>
      <c r="C73" s="68">
        <v>28.887699999999999</v>
      </c>
      <c r="D73" s="68">
        <v>2</v>
      </c>
      <c r="E73" s="68" t="s">
        <v>425</v>
      </c>
    </row>
    <row r="74" spans="1:5">
      <c r="A74" s="68">
        <v>0.32667400000000002</v>
      </c>
      <c r="B74" s="68">
        <v>0.37442399999999998</v>
      </c>
      <c r="C74" s="68">
        <v>29.300999999999998</v>
      </c>
      <c r="D74" s="68">
        <v>2</v>
      </c>
      <c r="E74" s="68" t="s">
        <v>426</v>
      </c>
    </row>
    <row r="75" spans="1:5">
      <c r="A75" s="68">
        <v>0.325797</v>
      </c>
      <c r="B75" s="68">
        <v>0.37709900000000002</v>
      </c>
      <c r="C75" s="68">
        <v>29.705500000000001</v>
      </c>
      <c r="D75" s="68">
        <v>2</v>
      </c>
      <c r="E75" s="68" t="s">
        <v>427</v>
      </c>
    </row>
    <row r="76" spans="1:5">
      <c r="A76" s="68"/>
      <c r="B76" s="68"/>
      <c r="C76" s="68"/>
      <c r="D76" s="68"/>
      <c r="E76" s="68"/>
    </row>
    <row r="77" spans="1:5">
      <c r="A77" s="68"/>
      <c r="B77" s="68"/>
      <c r="C77" s="68"/>
      <c r="D77" s="68"/>
      <c r="E77" s="68"/>
    </row>
    <row r="78" spans="1:5">
      <c r="A78" s="68"/>
      <c r="B78" s="68"/>
      <c r="C78" s="68"/>
      <c r="D78" s="68"/>
      <c r="E78" s="68"/>
    </row>
    <row r="79" spans="1:5">
      <c r="A79" s="68"/>
      <c r="B79" s="68"/>
      <c r="C79" s="68"/>
      <c r="D79" s="68"/>
      <c r="E79" s="68"/>
    </row>
    <row r="80" spans="1:5">
      <c r="A80" s="68"/>
      <c r="B80" s="68"/>
      <c r="C80" s="68"/>
      <c r="D80" s="68"/>
      <c r="E80" s="68"/>
    </row>
    <row r="81" spans="1:5">
      <c r="A81" s="68"/>
      <c r="B81" s="68"/>
      <c r="C81" s="68"/>
      <c r="D81" s="68"/>
      <c r="E81" s="68"/>
    </row>
    <row r="82" spans="1:5">
      <c r="A82" s="68"/>
      <c r="B82" s="68"/>
      <c r="C82" s="68"/>
      <c r="D82" s="68"/>
      <c r="E82" s="68"/>
    </row>
    <row r="83" spans="1:5">
      <c r="A83" s="68"/>
      <c r="B83" s="68"/>
      <c r="C83" s="68"/>
      <c r="D83" s="68"/>
      <c r="E83" s="68"/>
    </row>
    <row r="84" spans="1:5">
      <c r="A84" s="68"/>
      <c r="B84" s="68"/>
      <c r="C84" s="68"/>
      <c r="D84" s="68"/>
      <c r="E84" s="68"/>
    </row>
    <row r="85" spans="1:5">
      <c r="A85" s="68"/>
      <c r="B85" s="68"/>
      <c r="C85" s="68"/>
      <c r="D85" s="68"/>
      <c r="E85" s="68"/>
    </row>
    <row r="86" spans="1:5">
      <c r="A86" s="68"/>
      <c r="B86" s="68"/>
      <c r="C86" s="68"/>
      <c r="D86" s="68"/>
      <c r="E86" s="68"/>
    </row>
    <row r="87" spans="1:5">
      <c r="A87" s="68"/>
      <c r="B87" s="68"/>
      <c r="C87" s="68"/>
      <c r="D87" s="68"/>
      <c r="E87" s="68"/>
    </row>
    <row r="88" spans="1:5">
      <c r="A88" s="68"/>
      <c r="B88" s="68"/>
      <c r="C88" s="68"/>
      <c r="D88" s="68"/>
      <c r="E88" s="68"/>
    </row>
    <row r="89" spans="1:5">
      <c r="A89" s="68"/>
      <c r="B89" s="68"/>
      <c r="C89" s="68"/>
      <c r="D89" s="68"/>
      <c r="E89" s="68"/>
    </row>
    <row r="90" spans="1:5">
      <c r="A90" s="68"/>
      <c r="B90" s="68"/>
      <c r="C90" s="68"/>
      <c r="D90" s="68"/>
      <c r="E90" s="68"/>
    </row>
    <row r="91" spans="1:5">
      <c r="A91" s="68"/>
      <c r="B91" s="68"/>
      <c r="C91" s="68"/>
      <c r="D91" s="68"/>
      <c r="E91" s="68"/>
    </row>
    <row r="92" spans="1:5">
      <c r="A92" s="68"/>
      <c r="B92" s="68"/>
      <c r="C92" s="68"/>
      <c r="D92" s="68"/>
      <c r="E92" s="68"/>
    </row>
    <row r="93" spans="1:5">
      <c r="A93" s="68"/>
      <c r="B93" s="68"/>
      <c r="C93" s="68"/>
      <c r="D93" s="68"/>
      <c r="E93" s="68"/>
    </row>
    <row r="94" spans="1:5">
      <c r="A94" s="68"/>
      <c r="B94" s="68"/>
      <c r="C94" s="68"/>
      <c r="D94" s="68"/>
      <c r="E94" s="68"/>
    </row>
    <row r="95" spans="1:5">
      <c r="A95" s="68"/>
      <c r="B95" s="68"/>
      <c r="C95" s="68"/>
      <c r="D95" s="68"/>
      <c r="E95" s="68"/>
    </row>
    <row r="96" spans="1:5">
      <c r="A96" s="68"/>
      <c r="B96" s="68"/>
      <c r="C96" s="68"/>
      <c r="D96" s="68"/>
      <c r="E96" s="68"/>
    </row>
    <row r="97" spans="1:5">
      <c r="A97" s="68"/>
      <c r="B97" s="68"/>
      <c r="C97" s="68"/>
      <c r="D97" s="68"/>
      <c r="E97" s="68"/>
    </row>
    <row r="98" spans="1:5">
      <c r="A98" s="68"/>
      <c r="B98" s="68"/>
      <c r="C98" s="68"/>
      <c r="D98" s="68"/>
      <c r="E98" s="68"/>
    </row>
    <row r="99" spans="1:5">
      <c r="A99" s="68"/>
      <c r="B99" s="68"/>
      <c r="C99" s="68"/>
      <c r="D99" s="68"/>
      <c r="E99" s="68"/>
    </row>
    <row r="100" spans="1:5">
      <c r="A100" s="68"/>
      <c r="B100" s="68"/>
      <c r="C100" s="68"/>
      <c r="D100" s="68"/>
      <c r="E100" s="68"/>
    </row>
    <row r="101" spans="1:5">
      <c r="A101" s="68"/>
      <c r="B101" s="68"/>
      <c r="C101" s="68"/>
      <c r="D101" s="68"/>
      <c r="E101" s="68"/>
    </row>
    <row r="102" spans="1:5">
      <c r="A102" s="68"/>
      <c r="B102" s="68"/>
      <c r="C102" s="68"/>
      <c r="D102" s="68"/>
      <c r="E102" s="68"/>
    </row>
    <row r="103" spans="1:5">
      <c r="A103" s="68"/>
      <c r="B103" s="68"/>
      <c r="C103" s="68"/>
      <c r="D103" s="68"/>
      <c r="E103" s="68"/>
    </row>
    <row r="104" spans="1:5">
      <c r="A104" s="68"/>
      <c r="B104" s="68"/>
      <c r="C104" s="68"/>
      <c r="D104" s="68"/>
      <c r="E104" s="68"/>
    </row>
    <row r="105" spans="1:5">
      <c r="A105" s="68"/>
      <c r="B105" s="68"/>
      <c r="C105" s="68"/>
      <c r="D105" s="68"/>
      <c r="E105" s="68"/>
    </row>
    <row r="106" spans="1:5">
      <c r="A106" s="68"/>
      <c r="B106" s="68"/>
      <c r="C106" s="68"/>
      <c r="D106" s="68"/>
      <c r="E106" s="68"/>
    </row>
    <row r="107" spans="1:5">
      <c r="A107" s="68"/>
      <c r="B107" s="68"/>
      <c r="C107" s="68"/>
      <c r="D107" s="68"/>
      <c r="E107" s="68"/>
    </row>
    <row r="108" spans="1:5">
      <c r="A108" s="68"/>
      <c r="B108" s="68"/>
      <c r="C108" s="68"/>
      <c r="D108" s="68"/>
      <c r="E108" s="68"/>
    </row>
    <row r="109" spans="1:5">
      <c r="A109" s="68"/>
      <c r="B109" s="68"/>
      <c r="C109" s="68"/>
      <c r="D109" s="68"/>
      <c r="E109" s="68"/>
    </row>
    <row r="110" spans="1:5">
      <c r="A110" s="68"/>
      <c r="B110" s="68"/>
      <c r="C110" s="68"/>
      <c r="D110" s="68"/>
      <c r="E110" s="68"/>
    </row>
    <row r="111" spans="1:5">
      <c r="A111" s="68"/>
      <c r="B111" s="68"/>
      <c r="C111" s="68"/>
      <c r="D111" s="68"/>
      <c r="E111" s="68"/>
    </row>
    <row r="112" spans="1:5">
      <c r="A112" s="68"/>
      <c r="B112" s="68"/>
      <c r="C112" s="68"/>
      <c r="D112" s="68"/>
      <c r="E112" s="68"/>
    </row>
    <row r="113" spans="1:5">
      <c r="A113" s="68"/>
      <c r="B113" s="68"/>
      <c r="C113" s="68"/>
      <c r="D113" s="68"/>
      <c r="E113" s="68"/>
    </row>
    <row r="114" spans="1:5">
      <c r="A114" s="68"/>
      <c r="B114" s="68"/>
      <c r="C114" s="68"/>
      <c r="D114" s="68"/>
      <c r="E114" s="68"/>
    </row>
    <row r="115" spans="1:5">
      <c r="A115" s="68"/>
      <c r="B115" s="68"/>
      <c r="C115" s="68"/>
      <c r="D115" s="68"/>
      <c r="E115" s="68"/>
    </row>
    <row r="116" spans="1:5">
      <c r="A116" s="68"/>
      <c r="B116" s="68"/>
      <c r="C116" s="68"/>
      <c r="D116" s="68"/>
      <c r="E116" s="68"/>
    </row>
    <row r="117" spans="1:5">
      <c r="A117" s="68"/>
      <c r="B117" s="68"/>
      <c r="C117" s="68"/>
      <c r="D117" s="68"/>
      <c r="E117" s="68"/>
    </row>
    <row r="118" spans="1:5">
      <c r="A118" s="68"/>
      <c r="B118" s="68"/>
      <c r="C118" s="68"/>
      <c r="D118" s="68"/>
      <c r="E118" s="68"/>
    </row>
    <row r="119" spans="1:5">
      <c r="A119" s="68"/>
      <c r="B119" s="68"/>
      <c r="C119" s="68"/>
      <c r="D119" s="68"/>
      <c r="E119" s="68"/>
    </row>
    <row r="120" spans="1:5">
      <c r="A120" s="68"/>
      <c r="B120" s="68"/>
      <c r="C120" s="68"/>
      <c r="D120" s="68"/>
      <c r="E120" s="68"/>
    </row>
    <row r="121" spans="1:5">
      <c r="A121" s="68"/>
      <c r="B121" s="68"/>
      <c r="C121" s="68"/>
      <c r="D121" s="68"/>
      <c r="E121" s="68"/>
    </row>
    <row r="122" spans="1:5">
      <c r="A122" s="68"/>
      <c r="B122" s="68"/>
      <c r="C122" s="68"/>
      <c r="D122" s="68"/>
      <c r="E122" s="68"/>
    </row>
    <row r="123" spans="1:5">
      <c r="A123" s="68"/>
      <c r="B123" s="68"/>
      <c r="C123" s="68"/>
      <c r="D123" s="68"/>
      <c r="E123" s="68"/>
    </row>
    <row r="124" spans="1:5">
      <c r="A124" s="68"/>
      <c r="B124" s="68"/>
      <c r="C124" s="68"/>
      <c r="D124" s="68"/>
      <c r="E124" s="68"/>
    </row>
    <row r="125" spans="1:5">
      <c r="A125" s="68"/>
      <c r="B125" s="68"/>
      <c r="C125" s="68"/>
      <c r="D125" s="68"/>
      <c r="E125" s="68"/>
    </row>
    <row r="126" spans="1:5">
      <c r="A126" s="68"/>
      <c r="B126" s="68"/>
      <c r="C126" s="68"/>
      <c r="D126" s="68"/>
      <c r="E126" s="68"/>
    </row>
    <row r="127" spans="1:5">
      <c r="A127" s="68"/>
      <c r="B127" s="68"/>
      <c r="C127" s="68"/>
      <c r="D127" s="68"/>
      <c r="E127" s="68"/>
    </row>
    <row r="128" spans="1:5">
      <c r="A128" s="68"/>
      <c r="B128" s="68"/>
      <c r="C128" s="68"/>
      <c r="D128" s="68"/>
      <c r="E128" s="68"/>
    </row>
    <row r="129" spans="1:5">
      <c r="A129" s="68"/>
      <c r="B129" s="68"/>
      <c r="C129" s="68"/>
      <c r="D129" s="68"/>
      <c r="E129" s="68"/>
    </row>
    <row r="130" spans="1:5">
      <c r="A130" s="68"/>
      <c r="B130" s="68"/>
      <c r="C130" s="68"/>
      <c r="D130" s="68"/>
      <c r="E130" s="68"/>
    </row>
    <row r="131" spans="1:5">
      <c r="A131" s="68"/>
      <c r="B131" s="68"/>
      <c r="C131" s="68"/>
      <c r="D131" s="68"/>
      <c r="E131" s="68"/>
    </row>
    <row r="132" spans="1:5">
      <c r="A132" s="68"/>
      <c r="B132" s="68"/>
      <c r="C132" s="68"/>
      <c r="D132" s="68"/>
      <c r="E132" s="68"/>
    </row>
    <row r="133" spans="1:5">
      <c r="A133" s="68"/>
      <c r="B133" s="68"/>
      <c r="C133" s="68"/>
      <c r="D133" s="68"/>
      <c r="E133" s="68"/>
    </row>
    <row r="134" spans="1:5">
      <c r="A134" s="68"/>
      <c r="B134" s="68"/>
      <c r="C134" s="68"/>
      <c r="D134" s="68"/>
      <c r="E134" s="68"/>
    </row>
    <row r="135" spans="1:5">
      <c r="A135" s="68"/>
      <c r="B135" s="68"/>
      <c r="C135" s="68"/>
      <c r="D135" s="68"/>
      <c r="E135" s="68"/>
    </row>
    <row r="136" spans="1:5">
      <c r="A136" s="68"/>
      <c r="B136" s="68"/>
      <c r="C136" s="68"/>
      <c r="D136" s="68"/>
      <c r="E136" s="68"/>
    </row>
    <row r="137" spans="1:5">
      <c r="A137" s="68"/>
      <c r="B137" s="68"/>
      <c r="C137" s="68"/>
      <c r="D137" s="68"/>
      <c r="E137" s="68"/>
    </row>
    <row r="138" spans="1:5">
      <c r="A138" s="68"/>
      <c r="B138" s="68"/>
      <c r="C138" s="68"/>
      <c r="D138" s="68"/>
      <c r="E138" s="68"/>
    </row>
    <row r="139" spans="1:5">
      <c r="A139" s="68"/>
      <c r="B139" s="68"/>
      <c r="C139" s="68"/>
      <c r="D139" s="68"/>
      <c r="E139" s="68"/>
    </row>
    <row r="140" spans="1:5">
      <c r="A140" s="68"/>
      <c r="B140" s="68"/>
      <c r="C140" s="68"/>
      <c r="D140" s="68"/>
      <c r="E140" s="68"/>
    </row>
    <row r="141" spans="1:5">
      <c r="A141" s="68"/>
      <c r="B141" s="68"/>
      <c r="C141" s="68"/>
      <c r="D141" s="68"/>
      <c r="E141" s="68"/>
    </row>
    <row r="142" spans="1:5">
      <c r="A142" s="68"/>
      <c r="B142" s="68"/>
      <c r="C142" s="68"/>
      <c r="D142" s="68"/>
      <c r="E142" s="68"/>
    </row>
    <row r="143" spans="1:5">
      <c r="A143" s="68"/>
      <c r="B143" s="68"/>
      <c r="C143" s="68"/>
      <c r="D143" s="68"/>
      <c r="E143" s="68"/>
    </row>
    <row r="144" spans="1:5">
      <c r="A144" s="68"/>
      <c r="B144" s="68"/>
      <c r="C144" s="68"/>
      <c r="D144" s="68"/>
      <c r="E144" s="68"/>
    </row>
    <row r="145" spans="1:5">
      <c r="A145" s="68"/>
      <c r="B145" s="68"/>
      <c r="C145" s="68"/>
      <c r="D145" s="68"/>
      <c r="E145" s="68"/>
    </row>
    <row r="146" spans="1:5">
      <c r="A146" s="68"/>
      <c r="B146" s="68"/>
      <c r="C146" s="68"/>
      <c r="D146" s="68"/>
      <c r="E146" s="68"/>
    </row>
    <row r="147" spans="1:5">
      <c r="A147" s="68"/>
      <c r="B147" s="68"/>
      <c r="C147" s="68"/>
      <c r="D147" s="68"/>
      <c r="E147" s="68"/>
    </row>
    <row r="148" spans="1:5">
      <c r="A148" s="68"/>
      <c r="B148" s="68"/>
      <c r="C148" s="68"/>
      <c r="D148" s="68"/>
      <c r="E148" s="68"/>
    </row>
    <row r="149" spans="1:5">
      <c r="A149" s="68"/>
      <c r="B149" s="68"/>
      <c r="C149" s="68"/>
      <c r="D149" s="68"/>
      <c r="E149" s="68"/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351</v>
      </c>
      <c r="B1" s="66" t="s">
        <v>428</v>
      </c>
      <c r="C1" s="66" t="s">
        <v>430</v>
      </c>
      <c r="D1" s="66" t="s">
        <v>431</v>
      </c>
      <c r="E1" s="66" t="s">
        <v>432</v>
      </c>
      <c r="F1" s="66" t="s">
        <v>293</v>
      </c>
      <c r="G1" s="66" t="s">
        <v>294</v>
      </c>
      <c r="H1" s="66" t="s">
        <v>433</v>
      </c>
      <c r="I1" s="66" t="s">
        <v>434</v>
      </c>
      <c r="J1" s="66" t="s">
        <v>435</v>
      </c>
      <c r="K1" s="66" t="s">
        <v>436</v>
      </c>
      <c r="L1" s="66" t="s">
        <v>437</v>
      </c>
      <c r="M1" s="66" t="s">
        <v>438</v>
      </c>
      <c r="N1" s="66"/>
    </row>
    <row r="2" spans="1:14">
      <c r="A2" s="75">
        <v>43607.459432870368</v>
      </c>
      <c r="B2" s="66" t="s">
        <v>429</v>
      </c>
      <c r="C2" s="66"/>
      <c r="D2" s="66"/>
      <c r="E2" s="66">
        <v>4.9234099999999996</v>
      </c>
      <c r="F2" s="66">
        <v>1.4770799999999999</v>
      </c>
      <c r="G2" s="66">
        <v>0.573326</v>
      </c>
      <c r="H2" s="66">
        <v>0</v>
      </c>
      <c r="I2" s="66">
        <v>52753</v>
      </c>
      <c r="J2" s="66">
        <v>75</v>
      </c>
      <c r="K2" s="66">
        <v>75</v>
      </c>
      <c r="L2" s="66">
        <v>0</v>
      </c>
      <c r="M2" s="66" t="s">
        <v>439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2019-05-22T03:02:14Z</cp:lastPrinted>
  <dcterms:created xsi:type="dcterms:W3CDTF">2010-10-29T12:53:05Z</dcterms:created>
  <dcterms:modified xsi:type="dcterms:W3CDTF">2019-05-22T03:02:29Z</dcterms:modified>
</cp:coreProperties>
</file>