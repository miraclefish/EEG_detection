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<sst xmlns="http://schemas.openxmlformats.org/spreadsheetml/2006/main" count="701" uniqueCount="517">
  <si>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</si>
  <si>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</si>
  <si>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</si>
  <si>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</si>
  <si>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</si>
  <si>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</si>
  <si>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</si>
  <si>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</si>
  <si>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</si>
  <si>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</si>
  <si>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</si>
  <si>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</si>
  <si>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</si>
  <si>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</si>
  <si>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</si>
  <si>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</si>
  <si>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</si>
  <si>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</si>
  <si>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</si>
  <si>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</si>
  <si>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</si>
  <si>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</si>
  <si>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</si>
  <si>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</si>
  <si>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</si>
  <si>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</si>
  <si>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</si>
  <si>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</si>
  <si>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</si>
  <si>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</si>
  <si>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</si>
  <si>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</si>
  <si>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</si>
  <si>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</si>
  <si>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</si>
  <si>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</si>
  <si>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</si>
  <si>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</si>
  <si>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</si>
  <si>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</si>
  <si>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</si>
  <si>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</si>
  <si>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</si>
  <si>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</si>
  <si>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</si>
  <si>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</si>
  <si>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</si>
  <si>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</si>
  <si>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</si>
  <si>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</si>
  <si>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</si>
  <si>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</si>
  <si>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</si>
  <si>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</si>
  <si>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</si>
  <si>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</si>
  <si>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</si>
  <si>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</si>
  <si>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</si>
  <si>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</si>
  <si>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</si>
  <si>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</si>
  <si>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</si>
  <si>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</si>
  <si>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</si>
  <si>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</si>
  <si>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</si>
  <si>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</si>
  <si>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</si>
  <si>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</si>
  <si>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</si>
  <si>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</si>
  <si>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</si>
  <si>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</si>
  <si>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</si>
  <si>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</si>
  <si>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</si>
  <si>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</si>
  <si>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</si>
  <si>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</si>
  <si>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</si>
  <si>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</si>
  <si>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</si>
  <si>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</si>
  <si>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</si>
  <si>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</si>
  <si>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</si>
  <si>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</si>
  <si>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</si>
  <si>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</si>
  <si>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</si>
  <si>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</si>
  <si>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</si>
  <si>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</si>
  <si>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</si>
  <si>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</si>
  <si>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</si>
  <si>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</si>
  <si>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</si>
  <si>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</si>
  <si>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</si>
  <si>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</si>
  <si>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</si>
  <si>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</si>
  <si>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</si>
  <si>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</si>
  <si>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</si>
  <si>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</si>
  <si>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</si>
  <si>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</si>
  <si>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</si>
  <si>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</si>
  <si>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</si>
  <si>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</si>
  <si>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</si>
  <si>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</si>
  <si>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</si>
  <si>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</si>
  <si>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</si>
  <si>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</si>
  <si>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</si>
  <si>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</si>
  <si>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</si>
  <si>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</si>
  <si>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</si>
  <si>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</si>
  <si>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</si>
  <si>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</si>
  <si>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</si>
  <si>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</si>
  <si>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</si>
  <si>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</si>
  <si>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</si>
  <si>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</si>
  <si>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</si>
  <si>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</si>
  <si>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</si>
  <si>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</si>
  <si>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</si>
  <si>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</si>
  <si>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</si>
  <si>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</si>
  <si>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</si>
  <si>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</si>
  <si>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</si>
  <si>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</si>
  <si>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</si>
  <si>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</si>
  <si>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</si>
  <si>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</si>
  <si>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</si>
  <si>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</si>
  <si>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</si>
  <si>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</si>
  <si>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</si>
  <si>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</si>
  <si>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</si>
  <si>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</si>
  <si>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</si>
  <si>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</si>
  <si>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</si>
  <si>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</si>
  <si>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</si>
  <si>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</si>
  <si>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</si>
  <si>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</si>
  <si>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</si>
  <si>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</si>
  <si>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</si>
  <si>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</si>
  <si>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</si>
  <si>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</si>
  <si>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</si>
  <si>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</si>
  <si>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</si>
  <si>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</si>
  <si>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</si>
  <si>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</si>
  <si>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</si>
  <si>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</si>
  <si>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</si>
  <si>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</si>
  <si>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</si>
  <si>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</si>
  <si>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</si>
  <si>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</si>
  <si>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</si>
  <si>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</si>
  <si>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</si>
  <si>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</si>
  <si>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</si>
  <si>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</si>
  <si>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</si>
  <si>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</si>
  <si>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</si>
  <si>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</si>
  <si>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</si>
  <si>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</si>
  <si>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</si>
  <si>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</si>
  <si>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</si>
  <si>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</si>
  <si>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</si>
  <si>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</si>
  <si>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</si>
  <si>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</si>
  <si>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</si>
  <si>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</si>
  <si>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</si>
  <si>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</si>
  <si>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</si>
  <si>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</si>
  <si>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</si>
  <si>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</si>
  <si>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</si>
  <si>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</si>
  <si>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</si>
  <si>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</si>
  <si>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</si>
  <si>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</si>
  <si>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</si>
  <si>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</si>
  <si>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</si>
  <si>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</si>
  <si>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</si>
  <si>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</si>
  <si>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</si>
  <si>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</si>
  <si>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</si>
  <si>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</si>
  <si>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</si>
  <si>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</si>
  <si>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</si>
  <si>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</si>
  <si>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</si>
  <si>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</si>
  <si>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</si>
  <si>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</si>
  <si>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</si>
  <si>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</si>
  <si>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</si>
  <si>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</si>
  <si>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</si>
  <si>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</si>
  <si>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</si>
  <si>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</si>
  <si>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</si>
  <si>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</si>
  <si>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</si>
  <si>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</si>
  <si>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</si>
  <si>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</si>
  <si>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</si>
  <si>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</si>
  <si>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</si>
  <si>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</si>
  <si>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</si>
  <si>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</si>
  <si>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</si>
  <si>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</si>
  <si>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</si>
  <si>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</si>
  <si>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</si>
  <si>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</si>
  <si>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</si>
  <si>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</si>
  <si>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</si>
  <si>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</si>
  <si>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</si>
  <si>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</si>
  <si>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</si>
  <si>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</si>
  <si>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</si>
  <si>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</si>
  <si>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</si>
  <si>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</si>
  <si>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</si>
  <si>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</si>
  <si>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</si>
  <si>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</si>
  <si>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</si>
  <si>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</si>
  <si>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</si>
  <si>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</si>
  <si>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</si>
  <si>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</si>
  <si>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</si>
  <si>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</si>
  <si>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</si>
  <si>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</si>
  <si>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</si>
  <si>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</si>
  <si>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</si>
  <si>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</si>
  <si>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</si>
  <si>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</si>
  <si>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</si>
  <si>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</si>
  <si>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</si>
  <si>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</si>
  <si>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</si>
  <si>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</si>
  <si>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</si>
  <si>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</si>
  <si>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</si>
  <si>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</si>
  <si>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</si>
  <si>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</si>
  <si>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</si>
  <si>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</si>
  <si>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</si>
  <si>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</si>
  <si>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</si>
  <si>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</si>
  <si>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</si>
  <si>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</si>
  <si>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</si>
  <si>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</si>
  <si>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</si>
  <si>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</si>
  <si>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</si>
  <si>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</si>
  <si>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</si>
  <si>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</si>
  <si>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</si>
  <si>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</si>
  <si>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</si>
  <si>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</si>
  <si>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</si>
  <si>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</si>
  <si>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</si>
  <si>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</si>
  <si>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</si>
  <si>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</si>
  <si>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</si>
  <si>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</si>
  <si>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</si>
  <si>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</si>
  <si>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</si>
  <si>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</si>
  <si>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</si>
  <si>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</si>
  <si>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</si>
  <si>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</si>
  <si>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</si>
  <si>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</si>
  <si>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</si>
  <si>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</si>
  <si>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</si>
  <si>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</si>
  <si>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</si>
  <si>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</si>
  <si>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</si>
  <si>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</si>
  <si>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</si>
  <si>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[0.406784]</t>
  </si>
  <si>
    <t>1 [0.808689]</t>
  </si>
  <si>
    <t>1 [1.214582]</t>
  </si>
  <si>
    <t>1 [1.621651]</t>
  </si>
  <si>
    <t>1 [2.031428]</t>
  </si>
  <si>
    <t>1 [2.432365]</t>
  </si>
  <si>
    <t>1 [2.842261]</t>
  </si>
  <si>
    <t>1 [3.246184]</t>
  </si>
  <si>
    <t>1 [3.656099]</t>
  </si>
  <si>
    <t>1 [4.057961]</t>
  </si>
  <si>
    <t>1 [4.462867]</t>
  </si>
  <si>
    <t>1 [4.878306]</t>
  </si>
  <si>
    <t>1 [5.278682]</t>
  </si>
  <si>
    <t>1 [5.684595]</t>
  </si>
  <si>
    <t>1 [6.089706]</t>
  </si>
  <si>
    <t>1 [6.497465]</t>
  </si>
  <si>
    <t>1 [6.901588]</t>
  </si>
  <si>
    <t>1 [7.313326]</t>
  </si>
  <si>
    <t>1 [7.719155]</t>
  </si>
  <si>
    <t>1 [8.124128]</t>
  </si>
  <si>
    <t>1 [8.529071]</t>
  </si>
  <si>
    <t>1 [8.936089]</t>
  </si>
  <si>
    <t>1 [9.344217]</t>
  </si>
  <si>
    <t>1 [9.749911]</t>
  </si>
  <si>
    <t>1 [10.151666]</t>
  </si>
  <si>
    <t>1 [10.558620]</t>
  </si>
  <si>
    <t>1 [10.965663]</t>
  </si>
  <si>
    <t>1 [11.375421]</t>
  </si>
  <si>
    <t>1 [11.775818]</t>
  </si>
  <si>
    <t>1 [12.186266]</t>
  </si>
  <si>
    <t>1 [12.593157]</t>
  </si>
  <si>
    <t>1 [12.996205]</t>
  </si>
  <si>
    <t>1 [13.405041]</t>
  </si>
  <si>
    <t>1 [13.815906]</t>
  </si>
  <si>
    <t>1 [14.216844]</t>
  </si>
  <si>
    <t>1 [14.623706]</t>
  </si>
  <si>
    <t>1 [15.025681]</t>
  </si>
  <si>
    <t>1 [15.437558]</t>
  </si>
  <si>
    <t>1 [15.844568]</t>
  </si>
  <si>
    <t>1 [16.250356]</t>
  </si>
  <si>
    <t>1 [16.653401]</t>
  </si>
  <si>
    <t>1 [17.061593]</t>
  </si>
  <si>
    <t>1 [17.466225]</t>
  </si>
  <si>
    <t>1 [17.874019]</t>
  </si>
  <si>
    <t>1 [18.280936]</t>
  </si>
  <si>
    <t>1 [18.683832]</t>
  </si>
  <si>
    <t>1 [19.088735]</t>
  </si>
  <si>
    <t>1 [19.500709]</t>
  </si>
  <si>
    <t>1 [19.904586]</t>
  </si>
  <si>
    <t>1 [20.311710]</t>
  </si>
  <si>
    <t>1 [20.716458]</t>
  </si>
  <si>
    <t>1 [21.120392]</t>
  </si>
  <si>
    <t>1 [21.527623]</t>
  </si>
  <si>
    <t>1 [21.935199]</t>
  </si>
  <si>
    <t>1 [22.341415]</t>
  </si>
  <si>
    <t>1 [22.747060]</t>
  </si>
  <si>
    <t>1 [23.156955]</t>
  </si>
  <si>
    <t>1 [23.561937]</t>
  </si>
  <si>
    <t>1 [23.966816]</t>
  </si>
  <si>
    <t>1 [24.373835]</t>
  </si>
  <si>
    <t>1 [24.778694]</t>
  </si>
  <si>
    <t>1 [25.186541]</t>
  </si>
  <si>
    <t>1 [25.592482]</t>
  </si>
  <si>
    <t>1 [25.997424]</t>
  </si>
  <si>
    <t>1 [26.402287]</t>
  </si>
  <si>
    <t>1 [26.810389]</t>
  </si>
  <si>
    <t>1 [27.219358]</t>
  </si>
  <si>
    <t>1 [27.627238]</t>
  </si>
  <si>
    <t>1 [28.028890]</t>
  </si>
  <si>
    <t>1 [28.434781]</t>
  </si>
  <si>
    <t>1 [28.838935]</t>
  </si>
  <si>
    <t>1 [29.251790]</t>
  </si>
  <si>
    <t>1 [29.654602]</t>
  </si>
  <si>
    <t>2 [30.061570]</t>
  </si>
  <si>
    <t>2 [30.497439]</t>
  </si>
  <si>
    <t>2 [30.904349]</t>
  </si>
  <si>
    <t>2 [31.311221]</t>
  </si>
  <si>
    <t>2 [31.717047]</t>
  </si>
  <si>
    <t>2 [32.125952]</t>
  </si>
  <si>
    <t>2 [32.529947]</t>
  </si>
  <si>
    <t>2 [32.934977]</t>
  </si>
  <si>
    <t>2 [33.344824]</t>
  </si>
  <si>
    <t>2 [33.749711]</t>
  </si>
  <si>
    <t>2 [34.156508]</t>
  </si>
  <si>
    <t>2 [34.562473]</t>
  </si>
  <si>
    <t>2 [34.964472]</t>
  </si>
  <si>
    <t>2 [35.376282]</t>
  </si>
  <si>
    <t>2 [35.782191]</t>
  </si>
  <si>
    <t>2 [36.187047]</t>
  </si>
  <si>
    <t>2 [36.591035]</t>
  </si>
  <si>
    <t>2 [36.997979]</t>
  </si>
  <si>
    <t>2 [37.404822]</t>
  </si>
  <si>
    <t>2 [37.810997]</t>
  </si>
  <si>
    <t>2 [38.216669]</t>
  </si>
  <si>
    <t>2 [38.624585]</t>
  </si>
  <si>
    <t>2 [39.025528]</t>
  </si>
  <si>
    <t>2 [39.438405]</t>
  </si>
  <si>
    <t>2 [39.842355]</t>
  </si>
  <si>
    <t>2 [40.247293]</t>
  </si>
  <si>
    <t>2 [40.657115]</t>
  </si>
  <si>
    <t>2 [41.061238]</t>
  </si>
  <si>
    <t>2 [41.466939]</t>
  </si>
  <si>
    <t>2 [41.873846]</t>
  </si>
  <si>
    <t>2 [42.280031]</t>
  </si>
  <si>
    <t>2 [42.686740]</t>
  </si>
  <si>
    <t>2 [43.095609]</t>
  </si>
  <si>
    <t>2 [43.499614]</t>
  </si>
  <si>
    <t>2 [43.903499]</t>
  </si>
  <si>
    <t>2 [44.312795]</t>
  </si>
  <si>
    <t>2 [44.717218]</t>
  </si>
  <si>
    <t>2 [45.122216]</t>
  </si>
  <si>
    <t>2 [45.530180]</t>
  </si>
  <si>
    <t>2 [45.935003]</t>
  </si>
  <si>
    <t>2 [46.341082]</t>
  </si>
  <si>
    <t>2 [46.750863]</t>
  </si>
  <si>
    <t>2 [47.151824]</t>
  </si>
  <si>
    <t>2 [47.558658]</t>
  </si>
  <si>
    <t>2 [47.966661]</t>
  </si>
  <si>
    <t>2 [48.370492]</t>
  </si>
  <si>
    <t>2 [48.780535]</t>
  </si>
  <si>
    <t>2 [49.185315]</t>
  </si>
  <si>
    <t>2 [49.591246]</t>
  </si>
  <si>
    <t>2 [49.999179]</t>
  </si>
  <si>
    <t>2 [50.403030]</t>
  </si>
  <si>
    <t>2 [50.809032]</t>
  </si>
  <si>
    <t>2 [51.218877]</t>
  </si>
  <si>
    <t>2 [51.624828]</t>
  </si>
  <si>
    <t>2 [52.030716]</t>
  </si>
  <si>
    <t>2 [52.434603]</t>
  </si>
  <si>
    <t>2 [52.841654]</t>
  </si>
  <si>
    <t>2 [53.245446]</t>
  </si>
  <si>
    <t>2 [53.651614]</t>
  </si>
  <si>
    <t>2 [54.060544]</t>
  </si>
  <si>
    <t>2 [54.463324]</t>
  </si>
  <si>
    <t>2 [54.872109]</t>
  </si>
  <si>
    <t>2 [55.279053]</t>
  </si>
  <si>
    <t>2 [55.688038]</t>
  </si>
  <si>
    <t>2 [56.091951]</t>
  </si>
  <si>
    <t>2 [56.500920]</t>
  </si>
  <si>
    <t>2 [56.902698]</t>
  </si>
  <si>
    <t>2 [57.312911]</t>
  </si>
  <si>
    <t>2 [57.720535]</t>
  </si>
  <si>
    <t>2 [58.124472]</t>
  </si>
  <si>
    <t>2 [58.533356]</t>
  </si>
  <si>
    <t>2 [58.939389]</t>
  </si>
  <si>
    <t>2 [59.341268]</t>
  </si>
  <si>
    <t>2 [59.748273]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</si>
  <si>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</si>
  <si>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</si>
  <si>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</si>
  <si>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</si>
  <si>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</si>
  <si>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</si>
  <si>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</si>
  <si>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</si>
  <si>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</si>
  <si>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</si>
  <si>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</si>
  <si>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</si>
  <si>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</si>
  <si>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</si>
  <si>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刘彦平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</si>
</sst>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43.502600000000001</c:v>
                </c:pt>
                <c:pt idx="1">
                  <c:v>34.7654</c:v>
                </c:pt>
                <c:pt idx="2">
                  <c:v>36.290500000000002</c:v>
                </c:pt>
                <c:pt idx="3">
                  <c:v>38.813400000000001</c:v>
                </c:pt>
                <c:pt idx="4">
                  <c:v>62.978200000000001</c:v>
                </c:pt>
                <c:pt idx="5">
                  <c:v>63.679400000000001</c:v>
                </c:pt>
                <c:pt idx="6">
                  <c:v>23.8279</c:v>
                </c:pt>
                <c:pt idx="7">
                  <c:v>62.243299999999998</c:v>
                </c:pt>
                <c:pt idx="8">
                  <c:v>21.6279</c:v>
                </c:pt>
                <c:pt idx="9">
                  <c:v>26.8248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0.45945139815652536</c:v>
                </c:pt>
                <c:pt idx="1">
                  <c:v>0.33125243922272302</c:v>
                </c:pt>
                <c:pt idx="2">
                  <c:v>0.20929616262075165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5836</c:v>
                </c:pt>
                <c:pt idx="7">
                  <c:v>0</c:v>
                </c:pt>
                <c:pt idx="8">
                  <c:v>8007</c:v>
                </c:pt>
                <c:pt idx="9">
                  <c:v>0</c:v>
                </c:pt>
                <c:pt idx="10">
                  <c:v>0</c:v>
                </c:pt>
                <c:pt idx="11">
                  <c:v>11127</c:v>
                </c:pt>
                <c:pt idx="12">
                  <c:v>0</c:v>
                </c:pt>
                <c:pt idx="13">
                  <c:v>16567</c:v>
                </c:pt>
                <c:pt idx="14">
                  <c:v>0</c:v>
                </c:pt>
                <c:pt idx="15">
                  <c:v>0</c:v>
                </c:pt>
                <c:pt idx="16">
                  <c:v>19641</c:v>
                </c:pt>
                <c:pt idx="17">
                  <c:v>0</c:v>
                </c:pt>
                <c:pt idx="18">
                  <c:v>0</c:v>
                </c:pt>
                <c:pt idx="19">
                  <c:v>21875</c:v>
                </c:pt>
                <c:pt idx="20">
                  <c:v>0</c:v>
                </c:pt>
                <c:pt idx="21">
                  <c:v>27792</c:v>
                </c:pt>
                <c:pt idx="22">
                  <c:v>0</c:v>
                </c:pt>
                <c:pt idx="23">
                  <c:v>0</c:v>
                </c:pt>
                <c:pt idx="24">
                  <c:v>35888</c:v>
                </c:pt>
                <c:pt idx="25">
                  <c:v>0</c:v>
                </c:pt>
                <c:pt idx="26">
                  <c:v>42277</c:v>
                </c:pt>
                <c:pt idx="27">
                  <c:v>0</c:v>
                </c:pt>
                <c:pt idx="28">
                  <c:v>0</c:v>
                </c:pt>
                <c:pt idx="29">
                  <c:v>53961</c:v>
                </c:pt>
                <c:pt idx="30">
                  <c:v>0</c:v>
                </c:pt>
                <c:pt idx="31">
                  <c:v>55087</c:v>
                </c:pt>
                <c:pt idx="32">
                  <c:v>0</c:v>
                </c:pt>
                <c:pt idx="33">
                  <c:v>0</c:v>
                </c:pt>
                <c:pt idx="34">
                  <c:v>62478</c:v>
                </c:pt>
                <c:pt idx="35">
                  <c:v>0</c:v>
                </c:pt>
                <c:pt idx="36">
                  <c:v>0</c:v>
                </c:pt>
                <c:pt idx="37">
                  <c:v>60737</c:v>
                </c:pt>
                <c:pt idx="38">
                  <c:v>0</c:v>
                </c:pt>
                <c:pt idx="39">
                  <c:v>64650</c:v>
                </c:pt>
                <c:pt idx="40">
                  <c:v>0</c:v>
                </c:pt>
                <c:pt idx="41">
                  <c:v>0</c:v>
                </c:pt>
                <c:pt idx="42">
                  <c:v>70184</c:v>
                </c:pt>
                <c:pt idx="43">
                  <c:v>0</c:v>
                </c:pt>
                <c:pt idx="44">
                  <c:v>76100</c:v>
                </c:pt>
                <c:pt idx="45">
                  <c:v>0</c:v>
                </c:pt>
                <c:pt idx="46">
                  <c:v>0</c:v>
                </c:pt>
                <c:pt idx="47">
                  <c:v>73079</c:v>
                </c:pt>
                <c:pt idx="48">
                  <c:v>0</c:v>
                </c:pt>
                <c:pt idx="49">
                  <c:v>84237</c:v>
                </c:pt>
                <c:pt idx="50">
                  <c:v>0</c:v>
                </c:pt>
                <c:pt idx="51">
                  <c:v>0</c:v>
                </c:pt>
                <c:pt idx="52">
                  <c:v>90825</c:v>
                </c:pt>
                <c:pt idx="53">
                  <c:v>0</c:v>
                </c:pt>
                <c:pt idx="54">
                  <c:v>0</c:v>
                </c:pt>
                <c:pt idx="55">
                  <c:v>101742</c:v>
                </c:pt>
                <c:pt idx="56">
                  <c:v>0</c:v>
                </c:pt>
                <c:pt idx="57">
                  <c:v>106437</c:v>
                </c:pt>
                <c:pt idx="58">
                  <c:v>0</c:v>
                </c:pt>
                <c:pt idx="59">
                  <c:v>0</c:v>
                </c:pt>
                <c:pt idx="60">
                  <c:v>109848</c:v>
                </c:pt>
                <c:pt idx="61">
                  <c:v>0</c:v>
                </c:pt>
                <c:pt idx="62">
                  <c:v>108822</c:v>
                </c:pt>
                <c:pt idx="63">
                  <c:v>0</c:v>
                </c:pt>
                <c:pt idx="64">
                  <c:v>0</c:v>
                </c:pt>
                <c:pt idx="65">
                  <c:v>118213</c:v>
                </c:pt>
                <c:pt idx="66">
                  <c:v>0</c:v>
                </c:pt>
                <c:pt idx="67">
                  <c:v>128002</c:v>
                </c:pt>
                <c:pt idx="68">
                  <c:v>0</c:v>
                </c:pt>
                <c:pt idx="69">
                  <c:v>0</c:v>
                </c:pt>
                <c:pt idx="70">
                  <c:v>139859</c:v>
                </c:pt>
                <c:pt idx="71">
                  <c:v>0</c:v>
                </c:pt>
                <c:pt idx="72">
                  <c:v>0</c:v>
                </c:pt>
                <c:pt idx="73">
                  <c:v>139159</c:v>
                </c:pt>
                <c:pt idx="74">
                  <c:v>0</c:v>
                </c:pt>
                <c:pt idx="75">
                  <c:v>152153</c:v>
                </c:pt>
                <c:pt idx="76">
                  <c:v>0</c:v>
                </c:pt>
                <c:pt idx="77">
                  <c:v>0</c:v>
                </c:pt>
                <c:pt idx="78">
                  <c:v>164563</c:v>
                </c:pt>
                <c:pt idx="79">
                  <c:v>0</c:v>
                </c:pt>
                <c:pt idx="80">
                  <c:v>171609</c:v>
                </c:pt>
                <c:pt idx="81">
                  <c:v>0</c:v>
                </c:pt>
                <c:pt idx="82">
                  <c:v>0</c:v>
                </c:pt>
                <c:pt idx="83">
                  <c:v>193257</c:v>
                </c:pt>
                <c:pt idx="84">
                  <c:v>0</c:v>
                </c:pt>
                <c:pt idx="85">
                  <c:v>0</c:v>
                </c:pt>
                <c:pt idx="86">
                  <c:v>202146</c:v>
                </c:pt>
                <c:pt idx="87">
                  <c:v>0</c:v>
                </c:pt>
                <c:pt idx="88">
                  <c:v>210482</c:v>
                </c:pt>
                <c:pt idx="89">
                  <c:v>0</c:v>
                </c:pt>
                <c:pt idx="90">
                  <c:v>0</c:v>
                </c:pt>
                <c:pt idx="91">
                  <c:v>221346</c:v>
                </c:pt>
                <c:pt idx="92">
                  <c:v>0</c:v>
                </c:pt>
                <c:pt idx="93">
                  <c:v>237617</c:v>
                </c:pt>
                <c:pt idx="94">
                  <c:v>0</c:v>
                </c:pt>
                <c:pt idx="95">
                  <c:v>0</c:v>
                </c:pt>
                <c:pt idx="96">
                  <c:v>228373</c:v>
                </c:pt>
                <c:pt idx="97">
                  <c:v>0</c:v>
                </c:pt>
                <c:pt idx="98">
                  <c:v>222357</c:v>
                </c:pt>
                <c:pt idx="99">
                  <c:v>0</c:v>
                </c:pt>
                <c:pt idx="100">
                  <c:v>0</c:v>
                </c:pt>
                <c:pt idx="101">
                  <c:v>221951</c:v>
                </c:pt>
                <c:pt idx="102">
                  <c:v>0</c:v>
                </c:pt>
                <c:pt idx="103">
                  <c:v>0</c:v>
                </c:pt>
                <c:pt idx="104">
                  <c:v>203476</c:v>
                </c:pt>
                <c:pt idx="105">
                  <c:v>0</c:v>
                </c:pt>
                <c:pt idx="106">
                  <c:v>188143</c:v>
                </c:pt>
                <c:pt idx="107">
                  <c:v>0</c:v>
                </c:pt>
                <c:pt idx="108">
                  <c:v>0</c:v>
                </c:pt>
                <c:pt idx="109">
                  <c:v>181064</c:v>
                </c:pt>
                <c:pt idx="110">
                  <c:v>0</c:v>
                </c:pt>
                <c:pt idx="111">
                  <c:v>169834</c:v>
                </c:pt>
                <c:pt idx="112">
                  <c:v>0</c:v>
                </c:pt>
                <c:pt idx="113">
                  <c:v>0</c:v>
                </c:pt>
                <c:pt idx="114">
                  <c:v>150067</c:v>
                </c:pt>
                <c:pt idx="115">
                  <c:v>0</c:v>
                </c:pt>
                <c:pt idx="116">
                  <c:v>140024</c:v>
                </c:pt>
                <c:pt idx="117">
                  <c:v>0</c:v>
                </c:pt>
                <c:pt idx="118">
                  <c:v>0</c:v>
                </c:pt>
                <c:pt idx="119">
                  <c:v>123631</c:v>
                </c:pt>
                <c:pt idx="120">
                  <c:v>0</c:v>
                </c:pt>
                <c:pt idx="121">
                  <c:v>0</c:v>
                </c:pt>
                <c:pt idx="122">
                  <c:v>110873</c:v>
                </c:pt>
                <c:pt idx="123">
                  <c:v>0</c:v>
                </c:pt>
                <c:pt idx="124">
                  <c:v>89799</c:v>
                </c:pt>
                <c:pt idx="125">
                  <c:v>0</c:v>
                </c:pt>
                <c:pt idx="126">
                  <c:v>0</c:v>
                </c:pt>
                <c:pt idx="127">
                  <c:v>82569</c:v>
                </c:pt>
                <c:pt idx="128">
                  <c:v>0</c:v>
                </c:pt>
                <c:pt idx="129">
                  <c:v>81314</c:v>
                </c:pt>
                <c:pt idx="130">
                  <c:v>0</c:v>
                </c:pt>
                <c:pt idx="131">
                  <c:v>0</c:v>
                </c:pt>
                <c:pt idx="132">
                  <c:v>65147</c:v>
                </c:pt>
                <c:pt idx="133">
                  <c:v>0</c:v>
                </c:pt>
                <c:pt idx="134">
                  <c:v>56548</c:v>
                </c:pt>
                <c:pt idx="135">
                  <c:v>0</c:v>
                </c:pt>
                <c:pt idx="136">
                  <c:v>0</c:v>
                </c:pt>
                <c:pt idx="137">
                  <c:v>43512</c:v>
                </c:pt>
                <c:pt idx="138">
                  <c:v>0</c:v>
                </c:pt>
                <c:pt idx="139">
                  <c:v>0</c:v>
                </c:pt>
                <c:pt idx="140">
                  <c:v>35686</c:v>
                </c:pt>
                <c:pt idx="141">
                  <c:v>0</c:v>
                </c:pt>
                <c:pt idx="142">
                  <c:v>31029</c:v>
                </c:pt>
                <c:pt idx="143">
                  <c:v>0</c:v>
                </c:pt>
                <c:pt idx="144">
                  <c:v>0</c:v>
                </c:pt>
                <c:pt idx="145">
                  <c:v>31708</c:v>
                </c:pt>
                <c:pt idx="146">
                  <c:v>0</c:v>
                </c:pt>
                <c:pt idx="147">
                  <c:v>27138</c:v>
                </c:pt>
                <c:pt idx="148">
                  <c:v>0</c:v>
                </c:pt>
                <c:pt idx="149">
                  <c:v>0</c:v>
                </c:pt>
                <c:pt idx="150">
                  <c:v>22460</c:v>
                </c:pt>
                <c:pt idx="151">
                  <c:v>0</c:v>
                </c:pt>
                <c:pt idx="152">
                  <c:v>24612</c:v>
                </c:pt>
                <c:pt idx="153">
                  <c:v>0</c:v>
                </c:pt>
                <c:pt idx="154">
                  <c:v>0</c:v>
                </c:pt>
                <c:pt idx="155">
                  <c:v>20352</c:v>
                </c:pt>
                <c:pt idx="156">
                  <c:v>0</c:v>
                </c:pt>
                <c:pt idx="157">
                  <c:v>0</c:v>
                </c:pt>
                <c:pt idx="158">
                  <c:v>19930</c:v>
                </c:pt>
                <c:pt idx="159">
                  <c:v>0</c:v>
                </c:pt>
                <c:pt idx="160">
                  <c:v>18067</c:v>
                </c:pt>
                <c:pt idx="161">
                  <c:v>0</c:v>
                </c:pt>
                <c:pt idx="162">
                  <c:v>0</c:v>
                </c:pt>
                <c:pt idx="163">
                  <c:v>16691</c:v>
                </c:pt>
                <c:pt idx="164">
                  <c:v>0</c:v>
                </c:pt>
                <c:pt idx="165">
                  <c:v>18577</c:v>
                </c:pt>
                <c:pt idx="166">
                  <c:v>0</c:v>
                </c:pt>
                <c:pt idx="167">
                  <c:v>0</c:v>
                </c:pt>
                <c:pt idx="168">
                  <c:v>16859</c:v>
                </c:pt>
                <c:pt idx="169">
                  <c:v>0</c:v>
                </c:pt>
                <c:pt idx="170">
                  <c:v>0</c:v>
                </c:pt>
                <c:pt idx="171">
                  <c:v>14013</c:v>
                </c:pt>
                <c:pt idx="172">
                  <c:v>0</c:v>
                </c:pt>
                <c:pt idx="173">
                  <c:v>15980</c:v>
                </c:pt>
                <c:pt idx="174">
                  <c:v>0</c:v>
                </c:pt>
                <c:pt idx="175">
                  <c:v>0</c:v>
                </c:pt>
                <c:pt idx="176">
                  <c:v>15222</c:v>
                </c:pt>
                <c:pt idx="177">
                  <c:v>0</c:v>
                </c:pt>
                <c:pt idx="178">
                  <c:v>12169</c:v>
                </c:pt>
                <c:pt idx="179">
                  <c:v>0</c:v>
                </c:pt>
                <c:pt idx="180">
                  <c:v>0</c:v>
                </c:pt>
                <c:pt idx="181">
                  <c:v>10102</c:v>
                </c:pt>
                <c:pt idx="182">
                  <c:v>0</c:v>
                </c:pt>
                <c:pt idx="183">
                  <c:v>9013</c:v>
                </c:pt>
                <c:pt idx="184">
                  <c:v>0</c:v>
                </c:pt>
                <c:pt idx="185">
                  <c:v>0</c:v>
                </c:pt>
                <c:pt idx="186">
                  <c:v>7203</c:v>
                </c:pt>
                <c:pt idx="187">
                  <c:v>0</c:v>
                </c:pt>
                <c:pt idx="188">
                  <c:v>0</c:v>
                </c:pt>
                <c:pt idx="189">
                  <c:v>6590</c:v>
                </c:pt>
                <c:pt idx="190">
                  <c:v>0</c:v>
                </c:pt>
                <c:pt idx="191">
                  <c:v>9879</c:v>
                </c:pt>
                <c:pt idx="192">
                  <c:v>0</c:v>
                </c:pt>
                <c:pt idx="193">
                  <c:v>0</c:v>
                </c:pt>
                <c:pt idx="194">
                  <c:v>8094</c:v>
                </c:pt>
                <c:pt idx="195">
                  <c:v>0</c:v>
                </c:pt>
                <c:pt idx="196">
                  <c:v>4795</c:v>
                </c:pt>
                <c:pt idx="197">
                  <c:v>0</c:v>
                </c:pt>
                <c:pt idx="198">
                  <c:v>0</c:v>
                </c:pt>
                <c:pt idx="199">
                  <c:v>3674</c:v>
                </c:pt>
                <c:pt idx="200">
                  <c:v>0</c:v>
                </c:pt>
                <c:pt idx="201">
                  <c:v>3275</c:v>
                </c:pt>
                <c:pt idx="202">
                  <c:v>0</c:v>
                </c:pt>
                <c:pt idx="203">
                  <c:v>0</c:v>
                </c:pt>
                <c:pt idx="204">
                  <c:v>2995</c:v>
                </c:pt>
                <c:pt idx="205">
                  <c:v>0</c:v>
                </c:pt>
                <c:pt idx="206">
                  <c:v>0</c:v>
                </c:pt>
                <c:pt idx="207">
                  <c:v>1152</c:v>
                </c:pt>
                <c:pt idx="208">
                  <c:v>0</c:v>
                </c:pt>
                <c:pt idx="209">
                  <c:v>808</c:v>
                </c:pt>
                <c:pt idx="210">
                  <c:v>0</c:v>
                </c:pt>
                <c:pt idx="211">
                  <c:v>0</c:v>
                </c:pt>
                <c:pt idx="212">
                  <c:v>599</c:v>
                </c:pt>
                <c:pt idx="213">
                  <c:v>0</c:v>
                </c:pt>
                <c:pt idx="214">
                  <c:v>341</c:v>
                </c:pt>
                <c:pt idx="215">
                  <c:v>0</c:v>
                </c:pt>
                <c:pt idx="216">
                  <c:v>0</c:v>
                </c:pt>
                <c:pt idx="217">
                  <c:v>1218</c:v>
                </c:pt>
                <c:pt idx="218">
                  <c:v>0</c:v>
                </c:pt>
                <c:pt idx="219">
                  <c:v>1489</c:v>
                </c:pt>
                <c:pt idx="220">
                  <c:v>0</c:v>
                </c:pt>
                <c:pt idx="221">
                  <c:v>0</c:v>
                </c:pt>
                <c:pt idx="222">
                  <c:v>338</c:v>
                </c:pt>
                <c:pt idx="223">
                  <c:v>0</c:v>
                </c:pt>
                <c:pt idx="224">
                  <c:v>0</c:v>
                </c:pt>
                <c:pt idx="225">
                  <c:v>69</c:v>
                </c:pt>
                <c:pt idx="226">
                  <c:v>0</c:v>
                </c:pt>
                <c:pt idx="227">
                  <c:v>70</c:v>
                </c:pt>
                <c:pt idx="228">
                  <c:v>0</c:v>
                </c:pt>
                <c:pt idx="229">
                  <c:v>0</c:v>
                </c:pt>
                <c:pt idx="230">
                  <c:v>483</c:v>
                </c:pt>
                <c:pt idx="231">
                  <c:v>0</c:v>
                </c:pt>
                <c:pt idx="232">
                  <c:v>393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1.9385300000000001</c:v>
                </c:pt>
                <c:pt idx="1">
                  <c:v>2.0104600000000001</c:v>
                </c:pt>
                <c:pt idx="2">
                  <c:v>2.0834099999999998</c:v>
                </c:pt>
                <c:pt idx="3">
                  <c:v>2.1602999999999999</c:v>
                </c:pt>
                <c:pt idx="4">
                  <c:v>2.2392300000000001</c:v>
                </c:pt>
                <c:pt idx="5">
                  <c:v>2.3199000000000001</c:v>
                </c:pt>
                <c:pt idx="6">
                  <c:v>2.4032800000000001</c:v>
                </c:pt>
                <c:pt idx="7">
                  <c:v>2.4853800000000001</c:v>
                </c:pt>
                <c:pt idx="8">
                  <c:v>2.5671400000000002</c:v>
                </c:pt>
                <c:pt idx="9">
                  <c:v>2.6507900000000002</c:v>
                </c:pt>
                <c:pt idx="10">
                  <c:v>2.73264</c:v>
                </c:pt>
                <c:pt idx="11">
                  <c:v>2.8128500000000001</c:v>
                </c:pt>
                <c:pt idx="12">
                  <c:v>2.8969299999999998</c:v>
                </c:pt>
                <c:pt idx="13">
                  <c:v>2.9825400000000002</c:v>
                </c:pt>
                <c:pt idx="14">
                  <c:v>3.0654599999999999</c:v>
                </c:pt>
                <c:pt idx="15">
                  <c:v>3.1467400000000003</c:v>
                </c:pt>
                <c:pt idx="16">
                  <c:v>3.2267299999999999</c:v>
                </c:pt>
                <c:pt idx="17">
                  <c:v>3.3024900000000001</c:v>
                </c:pt>
                <c:pt idx="18">
                  <c:v>3.3711099999999998</c:v>
                </c:pt>
                <c:pt idx="19">
                  <c:v>3.4361599999999997</c:v>
                </c:pt>
                <c:pt idx="20">
                  <c:v>3.4972799999999999</c:v>
                </c:pt>
                <c:pt idx="21">
                  <c:v>3.5520899999999997</c:v>
                </c:pt>
                <c:pt idx="22">
                  <c:v>3.60249</c:v>
                </c:pt>
                <c:pt idx="23">
                  <c:v>3.6508500000000002</c:v>
                </c:pt>
                <c:pt idx="24">
                  <c:v>3.6956899999999999</c:v>
                </c:pt>
                <c:pt idx="25">
                  <c:v>3.7355</c:v>
                </c:pt>
                <c:pt idx="26">
                  <c:v>3.7675299999999998</c:v>
                </c:pt>
                <c:pt idx="27">
                  <c:v>3.7946299999999997</c:v>
                </c:pt>
                <c:pt idx="28">
                  <c:v>3.8160400000000001</c:v>
                </c:pt>
                <c:pt idx="29">
                  <c:v>3.8323099999999997</c:v>
                </c:pt>
                <c:pt idx="30">
                  <c:v>3.8457599999999998</c:v>
                </c:pt>
                <c:pt idx="31">
                  <c:v>3.8584499999999999</c:v>
                </c:pt>
                <c:pt idx="32">
                  <c:v>3.8684000000000003</c:v>
                </c:pt>
                <c:pt idx="33">
                  <c:v>3.8807700000000001</c:v>
                </c:pt>
                <c:pt idx="34">
                  <c:v>3.8925999999999998</c:v>
                </c:pt>
                <c:pt idx="35">
                  <c:v>3.9002300000000001</c:v>
                </c:pt>
                <c:pt idx="36">
                  <c:v>3.9083200000000002</c:v>
                </c:pt>
                <c:pt idx="37">
                  <c:v>3.9153500000000001</c:v>
                </c:pt>
                <c:pt idx="38">
                  <c:v>3.9186300000000003</c:v>
                </c:pt>
                <c:pt idx="39">
                  <c:v>3.9202199999999996</c:v>
                </c:pt>
                <c:pt idx="40">
                  <c:v>3.9201599999999996</c:v>
                </c:pt>
                <c:pt idx="41">
                  <c:v>3.9161200000000003</c:v>
                </c:pt>
                <c:pt idx="42">
                  <c:v>3.9109400000000001</c:v>
                </c:pt>
                <c:pt idx="43">
                  <c:v>3.9043699999999997</c:v>
                </c:pt>
                <c:pt idx="44">
                  <c:v>3.8988099999999997</c:v>
                </c:pt>
                <c:pt idx="45">
                  <c:v>3.8968699999999998</c:v>
                </c:pt>
                <c:pt idx="46">
                  <c:v>3.8961099999999997</c:v>
                </c:pt>
                <c:pt idx="47">
                  <c:v>3.89269</c:v>
                </c:pt>
                <c:pt idx="48">
                  <c:v>3.8867600000000002</c:v>
                </c:pt>
                <c:pt idx="49">
                  <c:v>3.8805899999999998</c:v>
                </c:pt>
                <c:pt idx="50">
                  <c:v>3.8765800000000001</c:v>
                </c:pt>
                <c:pt idx="51">
                  <c:v>3.8743100000000004</c:v>
                </c:pt>
                <c:pt idx="52">
                  <c:v>3.8728499999999997</c:v>
                </c:pt>
                <c:pt idx="53">
                  <c:v>3.8729300000000002</c:v>
                </c:pt>
                <c:pt idx="54">
                  <c:v>3.8762600000000003</c:v>
                </c:pt>
                <c:pt idx="55">
                  <c:v>3.8776000000000002</c:v>
                </c:pt>
                <c:pt idx="56">
                  <c:v>3.8752599999999999</c:v>
                </c:pt>
                <c:pt idx="57">
                  <c:v>3.8724799999999999</c:v>
                </c:pt>
                <c:pt idx="58">
                  <c:v>3.86355</c:v>
                </c:pt>
                <c:pt idx="59">
                  <c:v>3.8501099999999999</c:v>
                </c:pt>
                <c:pt idx="60">
                  <c:v>3.83839</c:v>
                </c:pt>
                <c:pt idx="61">
                  <c:v>3.8242399999999996</c:v>
                </c:pt>
                <c:pt idx="62">
                  <c:v>3.8042899999999999</c:v>
                </c:pt>
                <c:pt idx="63">
                  <c:v>3.7827999999999999</c:v>
                </c:pt>
                <c:pt idx="64">
                  <c:v>3.7601</c:v>
                </c:pt>
                <c:pt idx="65">
                  <c:v>3.7364999999999999</c:v>
                </c:pt>
                <c:pt idx="66">
                  <c:v>3.7141099999999998</c:v>
                </c:pt>
                <c:pt idx="67">
                  <c:v>3.6924400000000004</c:v>
                </c:pt>
                <c:pt idx="68">
                  <c:v>3.67347</c:v>
                </c:pt>
                <c:pt idx="69">
                  <c:v>3.6520900000000003</c:v>
                </c:pt>
                <c:pt idx="70">
                  <c:v>3.6268400000000001</c:v>
                </c:pt>
                <c:pt idx="71">
                  <c:v>3.6016399999999997</c:v>
                </c:pt>
                <c:pt idx="72">
                  <c:v>3.57796</c:v>
                </c:pt>
                <c:pt idx="73">
                  <c:v>3.5563600000000002</c:v>
                </c:pt>
                <c:pt idx="74">
                  <c:v>3.5364100000000001</c:v>
                </c:pt>
                <c:pt idx="75">
                  <c:v>3.51593</c:v>
                </c:pt>
                <c:pt idx="76">
                  <c:v>3.4988700000000001</c:v>
                </c:pt>
                <c:pt idx="77">
                  <c:v>3.4828299999999999</c:v>
                </c:pt>
                <c:pt idx="78">
                  <c:v>3.4673700000000003</c:v>
                </c:pt>
                <c:pt idx="79">
                  <c:v>3.45106</c:v>
                </c:pt>
                <c:pt idx="80">
                  <c:v>3.4390399999999999</c:v>
                </c:pt>
                <c:pt idx="81">
                  <c:v>3.4317500000000001</c:v>
                </c:pt>
                <c:pt idx="82">
                  <c:v>3.42523</c:v>
                </c:pt>
                <c:pt idx="83">
                  <c:v>3.4191899999999995</c:v>
                </c:pt>
                <c:pt idx="84">
                  <c:v>3.41601</c:v>
                </c:pt>
                <c:pt idx="85">
                  <c:v>3.4166300000000001</c:v>
                </c:pt>
                <c:pt idx="86">
                  <c:v>3.4171800000000001</c:v>
                </c:pt>
                <c:pt idx="87">
                  <c:v>3.42075</c:v>
                </c:pt>
                <c:pt idx="88">
                  <c:v>3.4272799999999997</c:v>
                </c:pt>
                <c:pt idx="89">
                  <c:v>3.4350799999999997</c:v>
                </c:pt>
                <c:pt idx="90">
                  <c:v>3.4446599999999998</c:v>
                </c:pt>
                <c:pt idx="91">
                  <c:v>3.4539399999999998</c:v>
                </c:pt>
                <c:pt idx="92">
                  <c:v>3.4646300000000001</c:v>
                </c:pt>
                <c:pt idx="93">
                  <c:v>3.47682</c:v>
                </c:pt>
                <c:pt idx="94">
                  <c:v>3.49207</c:v>
                </c:pt>
                <c:pt idx="95">
                  <c:v>3.5050699999999999</c:v>
                </c:pt>
                <c:pt idx="96">
                  <c:v>3.5179500000000004</c:v>
                </c:pt>
                <c:pt idx="97">
                  <c:v>3.5318899999999998</c:v>
                </c:pt>
                <c:pt idx="98">
                  <c:v>3.5480099999999997</c:v>
                </c:pt>
                <c:pt idx="99">
                  <c:v>3.5645199999999999</c:v>
                </c:pt>
                <c:pt idx="100">
                  <c:v>3.5811100000000002</c:v>
                </c:pt>
                <c:pt idx="101">
                  <c:v>3.5983799999999997</c:v>
                </c:pt>
                <c:pt idx="102">
                  <c:v>3.6113299999999997</c:v>
                </c:pt>
                <c:pt idx="103">
                  <c:v>3.6243500000000002</c:v>
                </c:pt>
                <c:pt idx="104">
                  <c:v>3.63483</c:v>
                </c:pt>
                <c:pt idx="105">
                  <c:v>3.6440800000000002</c:v>
                </c:pt>
                <c:pt idx="106">
                  <c:v>3.6473800000000001</c:v>
                </c:pt>
                <c:pt idx="107">
                  <c:v>3.6486600000000005</c:v>
                </c:pt>
                <c:pt idx="108">
                  <c:v>3.6504300000000001</c:v>
                </c:pt>
                <c:pt idx="109">
                  <c:v>3.6529499999999997</c:v>
                </c:pt>
                <c:pt idx="110">
                  <c:v>3.6525400000000001</c:v>
                </c:pt>
                <c:pt idx="111">
                  <c:v>3.6533600000000002</c:v>
                </c:pt>
                <c:pt idx="112">
                  <c:v>3.65768</c:v>
                </c:pt>
                <c:pt idx="113">
                  <c:v>3.6654100000000001</c:v>
                </c:pt>
                <c:pt idx="114">
                  <c:v>3.6747899999999998</c:v>
                </c:pt>
                <c:pt idx="115">
                  <c:v>3.6850399999999999</c:v>
                </c:pt>
                <c:pt idx="116">
                  <c:v>3.6969400000000001</c:v>
                </c:pt>
                <c:pt idx="117">
                  <c:v>3.7096</c:v>
                </c:pt>
                <c:pt idx="118">
                  <c:v>3.7237499999999999</c:v>
                </c:pt>
                <c:pt idx="119">
                  <c:v>3.7357299999999998</c:v>
                </c:pt>
                <c:pt idx="120">
                  <c:v>3.7503500000000001</c:v>
                </c:pt>
                <c:pt idx="121">
                  <c:v>3.7663500000000001</c:v>
                </c:pt>
                <c:pt idx="122">
                  <c:v>3.78179</c:v>
                </c:pt>
                <c:pt idx="123">
                  <c:v>3.7938800000000001</c:v>
                </c:pt>
                <c:pt idx="124">
                  <c:v>3.7957400000000003</c:v>
                </c:pt>
                <c:pt idx="125">
                  <c:v>3.7974599999999996</c:v>
                </c:pt>
                <c:pt idx="126">
                  <c:v>3.7980100000000001</c:v>
                </c:pt>
                <c:pt idx="127">
                  <c:v>3.8037700000000001</c:v>
                </c:pt>
                <c:pt idx="128">
                  <c:v>3.8093700000000004</c:v>
                </c:pt>
                <c:pt idx="129">
                  <c:v>3.8161699999999996</c:v>
                </c:pt>
                <c:pt idx="130">
                  <c:v>3.8221400000000001</c:v>
                </c:pt>
                <c:pt idx="131">
                  <c:v>3.8329499999999999</c:v>
                </c:pt>
                <c:pt idx="132">
                  <c:v>3.8489599999999999</c:v>
                </c:pt>
                <c:pt idx="133">
                  <c:v>3.8693599999999999</c:v>
                </c:pt>
                <c:pt idx="134">
                  <c:v>3.89059</c:v>
                </c:pt>
                <c:pt idx="135">
                  <c:v>3.9138099999999998</c:v>
                </c:pt>
                <c:pt idx="136">
                  <c:v>3.9396100000000001</c:v>
                </c:pt>
                <c:pt idx="137">
                  <c:v>3.9629300000000001</c:v>
                </c:pt>
                <c:pt idx="138">
                  <c:v>3.9799800000000003</c:v>
                </c:pt>
                <c:pt idx="139">
                  <c:v>3.99566</c:v>
                </c:pt>
                <c:pt idx="140">
                  <c:v>4.0090300000000001</c:v>
                </c:pt>
                <c:pt idx="141">
                  <c:v>4.0223399999999998</c:v>
                </c:pt>
                <c:pt idx="142">
                  <c:v>4.0331400000000004</c:v>
                </c:pt>
                <c:pt idx="143">
                  <c:v>4.0373000000000001</c:v>
                </c:pt>
                <c:pt idx="144">
                  <c:v>4.0403000000000002</c:v>
                </c:pt>
                <c:pt idx="145">
                  <c:v>4.0414399999999997</c:v>
                </c:pt>
                <c:pt idx="146">
                  <c:v>4.0324299999999997</c:v>
                </c:pt>
                <c:pt idx="147">
                  <c:v>4.0218100000000003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58.647400000000005</c:v>
                </c:pt>
                <c:pt idx="1">
                  <c:v>57.411599999999993</c:v>
                </c:pt>
                <c:pt idx="2">
                  <c:v>56.196300000000001</c:v>
                </c:pt>
                <c:pt idx="3">
                  <c:v>54.827499999999993</c:v>
                </c:pt>
                <c:pt idx="4">
                  <c:v>53.3996</c:v>
                </c:pt>
                <c:pt idx="5">
                  <c:v>51.956800000000001</c:v>
                </c:pt>
                <c:pt idx="6">
                  <c:v>50.511300000000006</c:v>
                </c:pt>
                <c:pt idx="7">
                  <c:v>49.145499999999998</c:v>
                </c:pt>
                <c:pt idx="8">
                  <c:v>47.886000000000003</c:v>
                </c:pt>
                <c:pt idx="9">
                  <c:v>46.616</c:v>
                </c:pt>
                <c:pt idx="10">
                  <c:v>45.452799999999996</c:v>
                </c:pt>
                <c:pt idx="11">
                  <c:v>44.433399999999999</c:v>
                </c:pt>
                <c:pt idx="12">
                  <c:v>43.347000000000001</c:v>
                </c:pt>
                <c:pt idx="13">
                  <c:v>42.313299999999998</c:v>
                </c:pt>
                <c:pt idx="14">
                  <c:v>41.411200000000001</c:v>
                </c:pt>
                <c:pt idx="15">
                  <c:v>40.646100000000004</c:v>
                </c:pt>
                <c:pt idx="16">
                  <c:v>39.852900000000005</c:v>
                </c:pt>
                <c:pt idx="17">
                  <c:v>39.168300000000002</c:v>
                </c:pt>
                <c:pt idx="18">
                  <c:v>38.727899999999998</c:v>
                </c:pt>
                <c:pt idx="19">
                  <c:v>38.401000000000003</c:v>
                </c:pt>
                <c:pt idx="20">
                  <c:v>38.224000000000004</c:v>
                </c:pt>
                <c:pt idx="21">
                  <c:v>38.136600000000001</c:v>
                </c:pt>
                <c:pt idx="22">
                  <c:v>38.001200000000004</c:v>
                </c:pt>
                <c:pt idx="23">
                  <c:v>37.817399999999999</c:v>
                </c:pt>
                <c:pt idx="24">
                  <c:v>37.702200000000005</c:v>
                </c:pt>
                <c:pt idx="25">
                  <c:v>37.677999999999997</c:v>
                </c:pt>
                <c:pt idx="26">
                  <c:v>37.7164</c:v>
                </c:pt>
                <c:pt idx="27">
                  <c:v>37.777999999999999</c:v>
                </c:pt>
                <c:pt idx="28">
                  <c:v>37.752699999999997</c:v>
                </c:pt>
                <c:pt idx="29">
                  <c:v>37.720100000000002</c:v>
                </c:pt>
                <c:pt idx="30">
                  <c:v>37.628499999999995</c:v>
                </c:pt>
                <c:pt idx="31">
                  <c:v>37.5229</c:v>
                </c:pt>
                <c:pt idx="32">
                  <c:v>37.462000000000003</c:v>
                </c:pt>
                <c:pt idx="33">
                  <c:v>37.3765</c:v>
                </c:pt>
                <c:pt idx="34">
                  <c:v>37.338000000000001</c:v>
                </c:pt>
                <c:pt idx="35">
                  <c:v>37.4009</c:v>
                </c:pt>
                <c:pt idx="36">
                  <c:v>37.450000000000003</c:v>
                </c:pt>
                <c:pt idx="37">
                  <c:v>37.528800000000004</c:v>
                </c:pt>
                <c:pt idx="38">
                  <c:v>37.639600000000002</c:v>
                </c:pt>
                <c:pt idx="39">
                  <c:v>37.781100000000002</c:v>
                </c:pt>
                <c:pt idx="40">
                  <c:v>37.956699999999998</c:v>
                </c:pt>
                <c:pt idx="41">
                  <c:v>38.202199999999998</c:v>
                </c:pt>
                <c:pt idx="42">
                  <c:v>38.456499999999998</c:v>
                </c:pt>
                <c:pt idx="43">
                  <c:v>38.694699999999997</c:v>
                </c:pt>
                <c:pt idx="44">
                  <c:v>38.860399999999998</c:v>
                </c:pt>
                <c:pt idx="45">
                  <c:v>38.990499999999997</c:v>
                </c:pt>
                <c:pt idx="46">
                  <c:v>39.103500000000004</c:v>
                </c:pt>
                <c:pt idx="47">
                  <c:v>39.243000000000002</c:v>
                </c:pt>
                <c:pt idx="48">
                  <c:v>39.4054</c:v>
                </c:pt>
                <c:pt idx="49">
                  <c:v>39.537599999999998</c:v>
                </c:pt>
                <c:pt idx="50">
                  <c:v>39.641999999999996</c:v>
                </c:pt>
                <c:pt idx="51">
                  <c:v>39.6873</c:v>
                </c:pt>
                <c:pt idx="52">
                  <c:v>39.694899999999997</c:v>
                </c:pt>
                <c:pt idx="53">
                  <c:v>39.734000000000002</c:v>
                </c:pt>
                <c:pt idx="54">
                  <c:v>39.774300000000004</c:v>
                </c:pt>
                <c:pt idx="55">
                  <c:v>39.823500000000003</c:v>
                </c:pt>
                <c:pt idx="56">
                  <c:v>39.848399999999998</c:v>
                </c:pt>
                <c:pt idx="57">
                  <c:v>39.850499999999997</c:v>
                </c:pt>
                <c:pt idx="58">
                  <c:v>39.860399999999998</c:v>
                </c:pt>
                <c:pt idx="59">
                  <c:v>39.842399999999998</c:v>
                </c:pt>
                <c:pt idx="60">
                  <c:v>39.753999999999998</c:v>
                </c:pt>
                <c:pt idx="61">
                  <c:v>39.727600000000002</c:v>
                </c:pt>
                <c:pt idx="62">
                  <c:v>39.690899999999999</c:v>
                </c:pt>
                <c:pt idx="63">
                  <c:v>39.684799999999996</c:v>
                </c:pt>
                <c:pt idx="64">
                  <c:v>39.6678</c:v>
                </c:pt>
                <c:pt idx="65">
                  <c:v>39.682299999999998</c:v>
                </c:pt>
                <c:pt idx="66">
                  <c:v>39.693100000000001</c:v>
                </c:pt>
                <c:pt idx="67">
                  <c:v>39.742400000000004</c:v>
                </c:pt>
                <c:pt idx="68">
                  <c:v>39.745799999999996</c:v>
                </c:pt>
                <c:pt idx="69">
                  <c:v>39.779899999999998</c:v>
                </c:pt>
                <c:pt idx="70">
                  <c:v>39.837699999999998</c:v>
                </c:pt>
                <c:pt idx="71">
                  <c:v>39.899299999999997</c:v>
                </c:pt>
                <c:pt idx="72">
                  <c:v>39.961999999999996</c:v>
                </c:pt>
                <c:pt idx="73">
                  <c:v>40.044699999999999</c:v>
                </c:pt>
                <c:pt idx="74">
                  <c:v>40.135399999999997</c:v>
                </c:pt>
                <c:pt idx="75">
                  <c:v>40.262100000000004</c:v>
                </c:pt>
                <c:pt idx="76">
                  <c:v>40.401499999999999</c:v>
                </c:pt>
                <c:pt idx="77">
                  <c:v>40.543300000000002</c:v>
                </c:pt>
                <c:pt idx="78">
                  <c:v>40.676000000000002</c:v>
                </c:pt>
                <c:pt idx="79">
                  <c:v>40.838099999999997</c:v>
                </c:pt>
                <c:pt idx="80">
                  <c:v>41.011800000000001</c:v>
                </c:pt>
                <c:pt idx="81">
                  <c:v>41.117399999999996</c:v>
                </c:pt>
                <c:pt idx="82">
                  <c:v>41.195500000000003</c:v>
                </c:pt>
                <c:pt idx="83">
                  <c:v>41.263300000000001</c:v>
                </c:pt>
                <c:pt idx="84">
                  <c:v>41.287800000000004</c:v>
                </c:pt>
                <c:pt idx="85">
                  <c:v>41.270099999999999</c:v>
                </c:pt>
                <c:pt idx="86">
                  <c:v>41.189799999999998</c:v>
                </c:pt>
                <c:pt idx="87">
                  <c:v>41.0807</c:v>
                </c:pt>
                <c:pt idx="88">
                  <c:v>40.943800000000003</c:v>
                </c:pt>
                <c:pt idx="89">
                  <c:v>40.813400000000001</c:v>
                </c:pt>
                <c:pt idx="90">
                  <c:v>40.590699999999998</c:v>
                </c:pt>
                <c:pt idx="91">
                  <c:v>40.402000000000001</c:v>
                </c:pt>
                <c:pt idx="92">
                  <c:v>40.147199999999998</c:v>
                </c:pt>
                <c:pt idx="93">
                  <c:v>39.903399999999998</c:v>
                </c:pt>
                <c:pt idx="94">
                  <c:v>39.6325</c:v>
                </c:pt>
                <c:pt idx="95">
                  <c:v>39.432200000000002</c:v>
                </c:pt>
                <c:pt idx="96">
                  <c:v>39.2012</c:v>
                </c:pt>
                <c:pt idx="97">
                  <c:v>38.963500000000003</c:v>
                </c:pt>
                <c:pt idx="98">
                  <c:v>38.708199999999998</c:v>
                </c:pt>
                <c:pt idx="99">
                  <c:v>38.454100000000004</c:v>
                </c:pt>
                <c:pt idx="100">
                  <c:v>38.166899999999998</c:v>
                </c:pt>
                <c:pt idx="101">
                  <c:v>37.921100000000003</c:v>
                </c:pt>
                <c:pt idx="102">
                  <c:v>37.704700000000003</c:v>
                </c:pt>
                <c:pt idx="103">
                  <c:v>37.452200000000005</c:v>
                </c:pt>
                <c:pt idx="104">
                  <c:v>37.2044</c:v>
                </c:pt>
                <c:pt idx="105">
                  <c:v>36.923699999999997</c:v>
                </c:pt>
                <c:pt idx="106">
                  <c:v>36.690800000000003</c:v>
                </c:pt>
                <c:pt idx="107">
                  <c:v>36.4358</c:v>
                </c:pt>
                <c:pt idx="108">
                  <c:v>36.228200000000001</c:v>
                </c:pt>
                <c:pt idx="109">
                  <c:v>36.032599999999995</c:v>
                </c:pt>
                <c:pt idx="110">
                  <c:v>35.872399999999999</c:v>
                </c:pt>
                <c:pt idx="111">
                  <c:v>35.737000000000002</c:v>
                </c:pt>
                <c:pt idx="112">
                  <c:v>35.6633</c:v>
                </c:pt>
                <c:pt idx="113">
                  <c:v>35.5565</c:v>
                </c:pt>
                <c:pt idx="114">
                  <c:v>35.428800000000003</c:v>
                </c:pt>
                <c:pt idx="115">
                  <c:v>35.3187</c:v>
                </c:pt>
                <c:pt idx="116">
                  <c:v>35.142000000000003</c:v>
                </c:pt>
                <c:pt idx="117">
                  <c:v>34.915900000000001</c:v>
                </c:pt>
                <c:pt idx="118">
                  <c:v>34.610700000000001</c:v>
                </c:pt>
                <c:pt idx="119">
                  <c:v>34.402500000000003</c:v>
                </c:pt>
                <c:pt idx="120">
                  <c:v>34.210900000000002</c:v>
                </c:pt>
                <c:pt idx="121">
                  <c:v>34.0762</c:v>
                </c:pt>
                <c:pt idx="122">
                  <c:v>33.932400000000001</c:v>
                </c:pt>
                <c:pt idx="123">
                  <c:v>33.788000000000004</c:v>
                </c:pt>
                <c:pt idx="124">
                  <c:v>33.731699999999996</c:v>
                </c:pt>
                <c:pt idx="125">
                  <c:v>33.695500000000003</c:v>
                </c:pt>
                <c:pt idx="126">
                  <c:v>33.619900000000001</c:v>
                </c:pt>
                <c:pt idx="127">
                  <c:v>33.569400000000002</c:v>
                </c:pt>
                <c:pt idx="128">
                  <c:v>33.567500000000003</c:v>
                </c:pt>
                <c:pt idx="129">
                  <c:v>33.559600000000003</c:v>
                </c:pt>
                <c:pt idx="130">
                  <c:v>33.5396</c:v>
                </c:pt>
                <c:pt idx="131">
                  <c:v>33.522200000000005</c:v>
                </c:pt>
                <c:pt idx="132">
                  <c:v>33.590499999999999</c:v>
                </c:pt>
                <c:pt idx="133">
                  <c:v>33.620699999999999</c:v>
                </c:pt>
                <c:pt idx="134">
                  <c:v>33.633000000000003</c:v>
                </c:pt>
                <c:pt idx="135">
                  <c:v>33.599699999999999</c:v>
                </c:pt>
                <c:pt idx="136">
                  <c:v>33.602499999999999</c:v>
                </c:pt>
                <c:pt idx="137">
                  <c:v>33.4482</c:v>
                </c:pt>
                <c:pt idx="138">
                  <c:v>33.198100000000004</c:v>
                </c:pt>
                <c:pt idx="139">
                  <c:v>32.926100000000005</c:v>
                </c:pt>
                <c:pt idx="140">
                  <c:v>32.681800000000003</c:v>
                </c:pt>
                <c:pt idx="141">
                  <c:v>32.5167</c:v>
                </c:pt>
                <c:pt idx="142">
                  <c:v>32.496600000000001</c:v>
                </c:pt>
                <c:pt idx="143">
                  <c:v>32.673499999999997</c:v>
                </c:pt>
                <c:pt idx="144">
                  <c:v>32.6496</c:v>
                </c:pt>
                <c:pt idx="145">
                  <c:v>32.602199999999996</c:v>
                </c:pt>
                <c:pt idx="146">
                  <c:v>32.543599999999998</c:v>
                </c:pt>
                <c:pt idx="147">
                  <c:v>32.510099999999994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1.9385300000000001</c:v>
                </c:pt>
                <c:pt idx="1">
                  <c:v>2.0104600000000001</c:v>
                </c:pt>
                <c:pt idx="2">
                  <c:v>2.0834099999999998</c:v>
                </c:pt>
                <c:pt idx="3">
                  <c:v>2.1602999999999999</c:v>
                </c:pt>
                <c:pt idx="4">
                  <c:v>2.2392300000000001</c:v>
                </c:pt>
                <c:pt idx="5">
                  <c:v>2.3199000000000001</c:v>
                </c:pt>
                <c:pt idx="6">
                  <c:v>2.4032800000000001</c:v>
                </c:pt>
                <c:pt idx="7">
                  <c:v>2.4853800000000001</c:v>
                </c:pt>
                <c:pt idx="8">
                  <c:v>2.5671400000000002</c:v>
                </c:pt>
                <c:pt idx="9">
                  <c:v>2.6507900000000002</c:v>
                </c:pt>
                <c:pt idx="10">
                  <c:v>2.73264</c:v>
                </c:pt>
                <c:pt idx="11">
                  <c:v>2.8128500000000001</c:v>
                </c:pt>
                <c:pt idx="12">
                  <c:v>2.8969299999999998</c:v>
                </c:pt>
                <c:pt idx="13">
                  <c:v>2.9825400000000002</c:v>
                </c:pt>
                <c:pt idx="14">
                  <c:v>3.0654599999999999</c:v>
                </c:pt>
                <c:pt idx="15">
                  <c:v>3.1467400000000003</c:v>
                </c:pt>
                <c:pt idx="16">
                  <c:v>3.2267299999999999</c:v>
                </c:pt>
                <c:pt idx="17">
                  <c:v>3.3024900000000001</c:v>
                </c:pt>
                <c:pt idx="18">
                  <c:v>3.3711099999999998</c:v>
                </c:pt>
                <c:pt idx="19">
                  <c:v>3.4361599999999997</c:v>
                </c:pt>
                <c:pt idx="20">
                  <c:v>3.4972799999999999</c:v>
                </c:pt>
                <c:pt idx="21">
                  <c:v>3.5520899999999997</c:v>
                </c:pt>
                <c:pt idx="22">
                  <c:v>3.60249</c:v>
                </c:pt>
                <c:pt idx="23">
                  <c:v>3.6508500000000002</c:v>
                </c:pt>
                <c:pt idx="24">
                  <c:v>3.6956899999999999</c:v>
                </c:pt>
                <c:pt idx="25">
                  <c:v>3.7355</c:v>
                </c:pt>
                <c:pt idx="26">
                  <c:v>3.7675299999999998</c:v>
                </c:pt>
                <c:pt idx="27">
                  <c:v>3.7946299999999997</c:v>
                </c:pt>
                <c:pt idx="28">
                  <c:v>3.8160400000000001</c:v>
                </c:pt>
                <c:pt idx="29">
                  <c:v>3.8323099999999997</c:v>
                </c:pt>
                <c:pt idx="30">
                  <c:v>3.8457599999999998</c:v>
                </c:pt>
                <c:pt idx="31">
                  <c:v>3.8584499999999999</c:v>
                </c:pt>
                <c:pt idx="32">
                  <c:v>3.8684000000000003</c:v>
                </c:pt>
                <c:pt idx="33">
                  <c:v>3.8807700000000001</c:v>
                </c:pt>
                <c:pt idx="34">
                  <c:v>3.8925999999999998</c:v>
                </c:pt>
                <c:pt idx="35">
                  <c:v>3.9002300000000001</c:v>
                </c:pt>
                <c:pt idx="36">
                  <c:v>3.9083200000000002</c:v>
                </c:pt>
                <c:pt idx="37">
                  <c:v>3.9153500000000001</c:v>
                </c:pt>
                <c:pt idx="38">
                  <c:v>3.9186300000000003</c:v>
                </c:pt>
                <c:pt idx="39">
                  <c:v>3.9202199999999996</c:v>
                </c:pt>
                <c:pt idx="40">
                  <c:v>3.9201599999999996</c:v>
                </c:pt>
                <c:pt idx="41">
                  <c:v>3.9161200000000003</c:v>
                </c:pt>
                <c:pt idx="42">
                  <c:v>3.9109400000000001</c:v>
                </c:pt>
                <c:pt idx="43">
                  <c:v>3.9043699999999997</c:v>
                </c:pt>
                <c:pt idx="44">
                  <c:v>3.8988099999999997</c:v>
                </c:pt>
                <c:pt idx="45">
                  <c:v>3.8968699999999998</c:v>
                </c:pt>
                <c:pt idx="46">
                  <c:v>3.8961099999999997</c:v>
                </c:pt>
                <c:pt idx="47">
                  <c:v>3.89269</c:v>
                </c:pt>
                <c:pt idx="48">
                  <c:v>3.8867600000000002</c:v>
                </c:pt>
                <c:pt idx="49">
                  <c:v>3.8805899999999998</c:v>
                </c:pt>
                <c:pt idx="50">
                  <c:v>3.8765800000000001</c:v>
                </c:pt>
                <c:pt idx="51">
                  <c:v>3.8743100000000004</c:v>
                </c:pt>
                <c:pt idx="52">
                  <c:v>3.8728499999999997</c:v>
                </c:pt>
                <c:pt idx="53">
                  <c:v>3.8729300000000002</c:v>
                </c:pt>
                <c:pt idx="54">
                  <c:v>3.8762600000000003</c:v>
                </c:pt>
                <c:pt idx="55">
                  <c:v>3.8776000000000002</c:v>
                </c:pt>
                <c:pt idx="56">
                  <c:v>3.8752599999999999</c:v>
                </c:pt>
                <c:pt idx="57">
                  <c:v>3.8724799999999999</c:v>
                </c:pt>
                <c:pt idx="58">
                  <c:v>3.86355</c:v>
                </c:pt>
                <c:pt idx="59">
                  <c:v>3.8501099999999999</c:v>
                </c:pt>
                <c:pt idx="60">
                  <c:v>3.83839</c:v>
                </c:pt>
                <c:pt idx="61">
                  <c:v>3.8242399999999996</c:v>
                </c:pt>
                <c:pt idx="62">
                  <c:v>3.8042899999999999</c:v>
                </c:pt>
                <c:pt idx="63">
                  <c:v>3.7827999999999999</c:v>
                </c:pt>
                <c:pt idx="64">
                  <c:v>3.7601</c:v>
                </c:pt>
                <c:pt idx="65">
                  <c:v>3.7364999999999999</c:v>
                </c:pt>
                <c:pt idx="66">
                  <c:v>3.7141099999999998</c:v>
                </c:pt>
                <c:pt idx="67">
                  <c:v>3.6924400000000004</c:v>
                </c:pt>
                <c:pt idx="68">
                  <c:v>3.67347</c:v>
                </c:pt>
                <c:pt idx="69">
                  <c:v>3.6520900000000003</c:v>
                </c:pt>
                <c:pt idx="70">
                  <c:v>3.6268400000000001</c:v>
                </c:pt>
                <c:pt idx="71">
                  <c:v>3.6016399999999997</c:v>
                </c:pt>
                <c:pt idx="72">
                  <c:v>3.57796</c:v>
                </c:pt>
                <c:pt idx="73">
                  <c:v>3.5563600000000002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58.647400000000005</c:v>
                </c:pt>
                <c:pt idx="1">
                  <c:v>57.411599999999993</c:v>
                </c:pt>
                <c:pt idx="2">
                  <c:v>56.196300000000001</c:v>
                </c:pt>
                <c:pt idx="3">
                  <c:v>54.827499999999993</c:v>
                </c:pt>
                <c:pt idx="4">
                  <c:v>53.3996</c:v>
                </c:pt>
                <c:pt idx="5">
                  <c:v>51.956800000000001</c:v>
                </c:pt>
                <c:pt idx="6">
                  <c:v>50.511300000000006</c:v>
                </c:pt>
                <c:pt idx="7">
                  <c:v>49.145499999999998</c:v>
                </c:pt>
                <c:pt idx="8">
                  <c:v>47.886000000000003</c:v>
                </c:pt>
                <c:pt idx="9">
                  <c:v>46.616</c:v>
                </c:pt>
                <c:pt idx="10">
                  <c:v>45.452799999999996</c:v>
                </c:pt>
                <c:pt idx="11">
                  <c:v>44.433399999999999</c:v>
                </c:pt>
                <c:pt idx="12">
                  <c:v>43.347000000000001</c:v>
                </c:pt>
                <c:pt idx="13">
                  <c:v>42.313299999999998</c:v>
                </c:pt>
                <c:pt idx="14">
                  <c:v>41.411200000000001</c:v>
                </c:pt>
                <c:pt idx="15">
                  <c:v>40.646100000000004</c:v>
                </c:pt>
                <c:pt idx="16">
                  <c:v>39.852900000000005</c:v>
                </c:pt>
                <c:pt idx="17">
                  <c:v>39.168300000000002</c:v>
                </c:pt>
                <c:pt idx="18">
                  <c:v>38.727899999999998</c:v>
                </c:pt>
                <c:pt idx="19">
                  <c:v>38.401000000000003</c:v>
                </c:pt>
                <c:pt idx="20">
                  <c:v>38.224000000000004</c:v>
                </c:pt>
                <c:pt idx="21">
                  <c:v>38.136600000000001</c:v>
                </c:pt>
                <c:pt idx="22">
                  <c:v>38.001200000000004</c:v>
                </c:pt>
                <c:pt idx="23">
                  <c:v>37.817399999999999</c:v>
                </c:pt>
                <c:pt idx="24">
                  <c:v>37.702200000000005</c:v>
                </c:pt>
                <c:pt idx="25">
                  <c:v>37.677999999999997</c:v>
                </c:pt>
                <c:pt idx="26">
                  <c:v>37.7164</c:v>
                </c:pt>
                <c:pt idx="27">
                  <c:v>37.777999999999999</c:v>
                </c:pt>
                <c:pt idx="28">
                  <c:v>37.752699999999997</c:v>
                </c:pt>
                <c:pt idx="29">
                  <c:v>37.720100000000002</c:v>
                </c:pt>
                <c:pt idx="30">
                  <c:v>37.628499999999995</c:v>
                </c:pt>
                <c:pt idx="31">
                  <c:v>37.5229</c:v>
                </c:pt>
                <c:pt idx="32">
                  <c:v>37.462000000000003</c:v>
                </c:pt>
                <c:pt idx="33">
                  <c:v>37.3765</c:v>
                </c:pt>
                <c:pt idx="34">
                  <c:v>37.338000000000001</c:v>
                </c:pt>
                <c:pt idx="35">
                  <c:v>37.4009</c:v>
                </c:pt>
                <c:pt idx="36">
                  <c:v>37.450000000000003</c:v>
                </c:pt>
                <c:pt idx="37">
                  <c:v>37.528800000000004</c:v>
                </c:pt>
                <c:pt idx="38">
                  <c:v>37.639600000000002</c:v>
                </c:pt>
                <c:pt idx="39">
                  <c:v>37.781100000000002</c:v>
                </c:pt>
                <c:pt idx="40">
                  <c:v>37.956699999999998</c:v>
                </c:pt>
                <c:pt idx="41">
                  <c:v>38.202199999999998</c:v>
                </c:pt>
                <c:pt idx="42">
                  <c:v>38.456499999999998</c:v>
                </c:pt>
                <c:pt idx="43">
                  <c:v>38.694699999999997</c:v>
                </c:pt>
                <c:pt idx="44">
                  <c:v>38.860399999999998</c:v>
                </c:pt>
                <c:pt idx="45">
                  <c:v>38.990499999999997</c:v>
                </c:pt>
                <c:pt idx="46">
                  <c:v>39.103500000000004</c:v>
                </c:pt>
                <c:pt idx="47">
                  <c:v>39.243000000000002</c:v>
                </c:pt>
                <c:pt idx="48">
                  <c:v>39.4054</c:v>
                </c:pt>
                <c:pt idx="49">
                  <c:v>39.537599999999998</c:v>
                </c:pt>
                <c:pt idx="50">
                  <c:v>39.641999999999996</c:v>
                </c:pt>
                <c:pt idx="51">
                  <c:v>39.6873</c:v>
                </c:pt>
                <c:pt idx="52">
                  <c:v>39.694899999999997</c:v>
                </c:pt>
                <c:pt idx="53">
                  <c:v>39.734000000000002</c:v>
                </c:pt>
                <c:pt idx="54">
                  <c:v>39.774300000000004</c:v>
                </c:pt>
                <c:pt idx="55">
                  <c:v>39.823500000000003</c:v>
                </c:pt>
                <c:pt idx="56">
                  <c:v>39.848399999999998</c:v>
                </c:pt>
                <c:pt idx="57">
                  <c:v>39.850499999999997</c:v>
                </c:pt>
                <c:pt idx="58">
                  <c:v>39.860399999999998</c:v>
                </c:pt>
                <c:pt idx="59">
                  <c:v>39.842399999999998</c:v>
                </c:pt>
                <c:pt idx="60">
                  <c:v>39.753999999999998</c:v>
                </c:pt>
                <c:pt idx="61">
                  <c:v>39.727600000000002</c:v>
                </c:pt>
                <c:pt idx="62">
                  <c:v>39.690899999999999</c:v>
                </c:pt>
                <c:pt idx="63">
                  <c:v>39.684799999999996</c:v>
                </c:pt>
                <c:pt idx="64">
                  <c:v>39.6678</c:v>
                </c:pt>
                <c:pt idx="65">
                  <c:v>39.682299999999998</c:v>
                </c:pt>
                <c:pt idx="66">
                  <c:v>39.693100000000001</c:v>
                </c:pt>
                <c:pt idx="67">
                  <c:v>39.742400000000004</c:v>
                </c:pt>
                <c:pt idx="68">
                  <c:v>39.745799999999996</c:v>
                </c:pt>
                <c:pt idx="69">
                  <c:v>39.779899999999998</c:v>
                </c:pt>
                <c:pt idx="70">
                  <c:v>39.837699999999998</c:v>
                </c:pt>
                <c:pt idx="71">
                  <c:v>39.899299999999997</c:v>
                </c:pt>
                <c:pt idx="72">
                  <c:v>39.961999999999996</c:v>
                </c:pt>
                <c:pt idx="73">
                  <c:v>40.044699999999999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3.5563600000000002</c:v>
                </c:pt>
                <c:pt idx="1">
                  <c:v>3.5364100000000001</c:v>
                </c:pt>
                <c:pt idx="2">
                  <c:v>3.51593</c:v>
                </c:pt>
                <c:pt idx="3">
                  <c:v>3.4988700000000001</c:v>
                </c:pt>
                <c:pt idx="4">
                  <c:v>3.4828299999999999</c:v>
                </c:pt>
                <c:pt idx="5">
                  <c:v>3.4673700000000003</c:v>
                </c:pt>
                <c:pt idx="6">
                  <c:v>3.45106</c:v>
                </c:pt>
                <c:pt idx="7">
                  <c:v>3.4390399999999999</c:v>
                </c:pt>
                <c:pt idx="8">
                  <c:v>3.4317500000000001</c:v>
                </c:pt>
                <c:pt idx="9">
                  <c:v>3.42523</c:v>
                </c:pt>
                <c:pt idx="10">
                  <c:v>3.4191899999999995</c:v>
                </c:pt>
                <c:pt idx="11">
                  <c:v>3.41601</c:v>
                </c:pt>
                <c:pt idx="12">
                  <c:v>3.4166300000000001</c:v>
                </c:pt>
                <c:pt idx="13">
                  <c:v>3.4171800000000001</c:v>
                </c:pt>
                <c:pt idx="14">
                  <c:v>3.42075</c:v>
                </c:pt>
                <c:pt idx="15">
                  <c:v>3.4272799999999997</c:v>
                </c:pt>
                <c:pt idx="16">
                  <c:v>3.4350799999999997</c:v>
                </c:pt>
                <c:pt idx="17">
                  <c:v>3.4446599999999998</c:v>
                </c:pt>
                <c:pt idx="18">
                  <c:v>3.4539399999999998</c:v>
                </c:pt>
                <c:pt idx="19">
                  <c:v>3.4646300000000001</c:v>
                </c:pt>
                <c:pt idx="20">
                  <c:v>3.47682</c:v>
                </c:pt>
                <c:pt idx="21">
                  <c:v>3.49207</c:v>
                </c:pt>
                <c:pt idx="22">
                  <c:v>3.5050699999999999</c:v>
                </c:pt>
                <c:pt idx="23">
                  <c:v>3.5179500000000004</c:v>
                </c:pt>
                <c:pt idx="24">
                  <c:v>3.5318899999999998</c:v>
                </c:pt>
                <c:pt idx="25">
                  <c:v>3.5480099999999997</c:v>
                </c:pt>
                <c:pt idx="26">
                  <c:v>3.5645199999999999</c:v>
                </c:pt>
                <c:pt idx="27">
                  <c:v>3.5811100000000002</c:v>
                </c:pt>
                <c:pt idx="28">
                  <c:v>3.5983799999999997</c:v>
                </c:pt>
                <c:pt idx="29">
                  <c:v>3.6113299999999997</c:v>
                </c:pt>
                <c:pt idx="30">
                  <c:v>3.6243500000000002</c:v>
                </c:pt>
                <c:pt idx="31">
                  <c:v>3.63483</c:v>
                </c:pt>
                <c:pt idx="32">
                  <c:v>3.6440800000000002</c:v>
                </c:pt>
                <c:pt idx="33">
                  <c:v>3.6473800000000001</c:v>
                </c:pt>
                <c:pt idx="34">
                  <c:v>3.6486600000000005</c:v>
                </c:pt>
                <c:pt idx="35">
                  <c:v>3.6504300000000001</c:v>
                </c:pt>
                <c:pt idx="36">
                  <c:v>3.6529499999999997</c:v>
                </c:pt>
                <c:pt idx="37">
                  <c:v>3.6525400000000001</c:v>
                </c:pt>
                <c:pt idx="38">
                  <c:v>3.6533600000000002</c:v>
                </c:pt>
                <c:pt idx="39">
                  <c:v>3.65768</c:v>
                </c:pt>
                <c:pt idx="40">
                  <c:v>3.6654100000000001</c:v>
                </c:pt>
                <c:pt idx="41">
                  <c:v>3.6747899999999998</c:v>
                </c:pt>
                <c:pt idx="42">
                  <c:v>3.6850399999999999</c:v>
                </c:pt>
                <c:pt idx="43">
                  <c:v>3.6969400000000001</c:v>
                </c:pt>
                <c:pt idx="44">
                  <c:v>3.7096</c:v>
                </c:pt>
                <c:pt idx="45">
                  <c:v>3.7237499999999999</c:v>
                </c:pt>
                <c:pt idx="46">
                  <c:v>3.7357299999999998</c:v>
                </c:pt>
                <c:pt idx="47">
                  <c:v>3.7503500000000001</c:v>
                </c:pt>
                <c:pt idx="48">
                  <c:v>3.7663500000000001</c:v>
                </c:pt>
                <c:pt idx="49">
                  <c:v>3.78179</c:v>
                </c:pt>
                <c:pt idx="50">
                  <c:v>3.7938800000000001</c:v>
                </c:pt>
                <c:pt idx="51">
                  <c:v>3.7957400000000003</c:v>
                </c:pt>
                <c:pt idx="52">
                  <c:v>3.7974599999999996</c:v>
                </c:pt>
                <c:pt idx="53">
                  <c:v>3.7980100000000001</c:v>
                </c:pt>
                <c:pt idx="54">
                  <c:v>3.8037700000000001</c:v>
                </c:pt>
                <c:pt idx="55">
                  <c:v>3.8093700000000004</c:v>
                </c:pt>
                <c:pt idx="56">
                  <c:v>3.8161699999999996</c:v>
                </c:pt>
                <c:pt idx="57">
                  <c:v>3.8221400000000001</c:v>
                </c:pt>
                <c:pt idx="58">
                  <c:v>3.8329499999999999</c:v>
                </c:pt>
                <c:pt idx="59">
                  <c:v>3.8489599999999999</c:v>
                </c:pt>
                <c:pt idx="60">
                  <c:v>3.8693599999999999</c:v>
                </c:pt>
                <c:pt idx="61">
                  <c:v>3.89059</c:v>
                </c:pt>
                <c:pt idx="62">
                  <c:v>3.9138099999999998</c:v>
                </c:pt>
                <c:pt idx="63">
                  <c:v>3.9396100000000001</c:v>
                </c:pt>
                <c:pt idx="64">
                  <c:v>3.9629300000000001</c:v>
                </c:pt>
                <c:pt idx="65">
                  <c:v>3.9799800000000003</c:v>
                </c:pt>
                <c:pt idx="66">
                  <c:v>3.99566</c:v>
                </c:pt>
                <c:pt idx="67">
                  <c:v>4.0090300000000001</c:v>
                </c:pt>
                <c:pt idx="68">
                  <c:v>4.0223399999999998</c:v>
                </c:pt>
                <c:pt idx="69">
                  <c:v>4.0331400000000004</c:v>
                </c:pt>
                <c:pt idx="70">
                  <c:v>4.0373000000000001</c:v>
                </c:pt>
                <c:pt idx="71">
                  <c:v>4.0403000000000002</c:v>
                </c:pt>
                <c:pt idx="72">
                  <c:v>4.0414399999999997</c:v>
                </c:pt>
                <c:pt idx="73">
                  <c:v>4.0324299999999997</c:v>
                </c:pt>
                <c:pt idx="74">
                  <c:v>4.0218100000000003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40.044699999999999</c:v>
                </c:pt>
                <c:pt idx="1">
                  <c:v>40.135399999999997</c:v>
                </c:pt>
                <c:pt idx="2">
                  <c:v>40.262100000000004</c:v>
                </c:pt>
                <c:pt idx="3">
                  <c:v>40.401499999999999</c:v>
                </c:pt>
                <c:pt idx="4">
                  <c:v>40.543300000000002</c:v>
                </c:pt>
                <c:pt idx="5">
                  <c:v>40.676000000000002</c:v>
                </c:pt>
                <c:pt idx="6">
                  <c:v>40.838099999999997</c:v>
                </c:pt>
                <c:pt idx="7">
                  <c:v>41.011800000000001</c:v>
                </c:pt>
                <c:pt idx="8">
                  <c:v>41.117399999999996</c:v>
                </c:pt>
                <c:pt idx="9">
                  <c:v>41.195500000000003</c:v>
                </c:pt>
                <c:pt idx="10">
                  <c:v>41.263300000000001</c:v>
                </c:pt>
                <c:pt idx="11">
                  <c:v>41.287800000000004</c:v>
                </c:pt>
                <c:pt idx="12">
                  <c:v>41.270099999999999</c:v>
                </c:pt>
                <c:pt idx="13">
                  <c:v>41.189799999999998</c:v>
                </c:pt>
                <c:pt idx="14">
                  <c:v>41.0807</c:v>
                </c:pt>
                <c:pt idx="15">
                  <c:v>40.943800000000003</c:v>
                </c:pt>
                <c:pt idx="16">
                  <c:v>40.813400000000001</c:v>
                </c:pt>
                <c:pt idx="17">
                  <c:v>40.590699999999998</c:v>
                </c:pt>
                <c:pt idx="18">
                  <c:v>40.402000000000001</c:v>
                </c:pt>
                <c:pt idx="19">
                  <c:v>40.147199999999998</c:v>
                </c:pt>
                <c:pt idx="20">
                  <c:v>39.903399999999998</c:v>
                </c:pt>
                <c:pt idx="21">
                  <c:v>39.6325</c:v>
                </c:pt>
                <c:pt idx="22">
                  <c:v>39.432200000000002</c:v>
                </c:pt>
                <c:pt idx="23">
                  <c:v>39.2012</c:v>
                </c:pt>
                <c:pt idx="24">
                  <c:v>38.963500000000003</c:v>
                </c:pt>
                <c:pt idx="25">
                  <c:v>38.708199999999998</c:v>
                </c:pt>
                <c:pt idx="26">
                  <c:v>38.454100000000004</c:v>
                </c:pt>
                <c:pt idx="27">
                  <c:v>38.166899999999998</c:v>
                </c:pt>
                <c:pt idx="28">
                  <c:v>37.921100000000003</c:v>
                </c:pt>
                <c:pt idx="29">
                  <c:v>37.704700000000003</c:v>
                </c:pt>
                <c:pt idx="30">
                  <c:v>37.452200000000005</c:v>
                </c:pt>
                <c:pt idx="31">
                  <c:v>37.2044</c:v>
                </c:pt>
                <c:pt idx="32">
                  <c:v>36.923699999999997</c:v>
                </c:pt>
                <c:pt idx="33">
                  <c:v>36.690800000000003</c:v>
                </c:pt>
                <c:pt idx="34">
                  <c:v>36.4358</c:v>
                </c:pt>
                <c:pt idx="35">
                  <c:v>36.228200000000001</c:v>
                </c:pt>
                <c:pt idx="36">
                  <c:v>36.032599999999995</c:v>
                </c:pt>
                <c:pt idx="37">
                  <c:v>35.872399999999999</c:v>
                </c:pt>
                <c:pt idx="38">
                  <c:v>35.737000000000002</c:v>
                </c:pt>
                <c:pt idx="39">
                  <c:v>35.6633</c:v>
                </c:pt>
                <c:pt idx="40">
                  <c:v>35.5565</c:v>
                </c:pt>
                <c:pt idx="41">
                  <c:v>35.428800000000003</c:v>
                </c:pt>
                <c:pt idx="42">
                  <c:v>35.3187</c:v>
                </c:pt>
                <c:pt idx="43">
                  <c:v>35.142000000000003</c:v>
                </c:pt>
                <c:pt idx="44">
                  <c:v>34.915900000000001</c:v>
                </c:pt>
                <c:pt idx="45">
                  <c:v>34.610700000000001</c:v>
                </c:pt>
                <c:pt idx="46">
                  <c:v>34.402500000000003</c:v>
                </c:pt>
                <c:pt idx="47">
                  <c:v>34.210900000000002</c:v>
                </c:pt>
                <c:pt idx="48">
                  <c:v>34.0762</c:v>
                </c:pt>
                <c:pt idx="49">
                  <c:v>33.932400000000001</c:v>
                </c:pt>
                <c:pt idx="50">
                  <c:v>33.788000000000004</c:v>
                </c:pt>
                <c:pt idx="51">
                  <c:v>33.731699999999996</c:v>
                </c:pt>
                <c:pt idx="52">
                  <c:v>33.695500000000003</c:v>
                </c:pt>
                <c:pt idx="53">
                  <c:v>33.619900000000001</c:v>
                </c:pt>
                <c:pt idx="54">
                  <c:v>33.569400000000002</c:v>
                </c:pt>
                <c:pt idx="55">
                  <c:v>33.567500000000003</c:v>
                </c:pt>
                <c:pt idx="56">
                  <c:v>33.559600000000003</c:v>
                </c:pt>
                <c:pt idx="57">
                  <c:v>33.5396</c:v>
                </c:pt>
                <c:pt idx="58">
                  <c:v>33.522200000000005</c:v>
                </c:pt>
                <c:pt idx="59">
                  <c:v>33.590499999999999</c:v>
                </c:pt>
                <c:pt idx="60">
                  <c:v>33.620699999999999</c:v>
                </c:pt>
                <c:pt idx="61">
                  <c:v>33.633000000000003</c:v>
                </c:pt>
                <c:pt idx="62">
                  <c:v>33.599699999999999</c:v>
                </c:pt>
                <c:pt idx="63">
                  <c:v>33.602499999999999</c:v>
                </c:pt>
                <c:pt idx="64">
                  <c:v>33.4482</c:v>
                </c:pt>
                <c:pt idx="65">
                  <c:v>33.198100000000004</c:v>
                </c:pt>
                <c:pt idx="66">
                  <c:v>32.926100000000005</c:v>
                </c:pt>
                <c:pt idx="67">
                  <c:v>32.681800000000003</c:v>
                </c:pt>
                <c:pt idx="68">
                  <c:v>32.5167</c:v>
                </c:pt>
                <c:pt idx="69">
                  <c:v>32.496600000000001</c:v>
                </c:pt>
                <c:pt idx="70">
                  <c:v>32.673499999999997</c:v>
                </c:pt>
                <c:pt idx="71">
                  <c:v>32.6496</c:v>
                </c:pt>
                <c:pt idx="72">
                  <c:v>32.602199999999996</c:v>
                </c:pt>
                <c:pt idx="73">
                  <c:v>32.543599999999998</c:v>
                </c:pt>
                <c:pt idx="74">
                  <c:v>32.510099999999994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3.5032674324324322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41.042260810810802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3.6831781081081072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36.567283783783779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3.6831781081081072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36.567283783783779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0.23400772305156606</c:v>
                </c:pt>
                <c:pt idx="1">
                  <c:v>0.30882774152049536</c:v>
                </c:pt>
                <c:pt idx="2">
                  <c:v>0.4571645354279385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0.40678399999999998</c:v>
                </c:pt>
                <c:pt idx="2">
                  <c:v>0.80868899999999999</c:v>
                </c:pt>
                <c:pt idx="3">
                  <c:v>1.21458</c:v>
                </c:pt>
                <c:pt idx="4">
                  <c:v>1.62165</c:v>
                </c:pt>
                <c:pt idx="5">
                  <c:v>2.0314299999999998</c:v>
                </c:pt>
                <c:pt idx="6">
                  <c:v>2.4323600000000001</c:v>
                </c:pt>
                <c:pt idx="7">
                  <c:v>2.84226</c:v>
                </c:pt>
                <c:pt idx="8">
                  <c:v>3.2461799999999998</c:v>
                </c:pt>
                <c:pt idx="9">
                  <c:v>3.6560999999999999</c:v>
                </c:pt>
                <c:pt idx="10">
                  <c:v>4.0579599999999996</c:v>
                </c:pt>
                <c:pt idx="11">
                  <c:v>4.4628699999999997</c:v>
                </c:pt>
                <c:pt idx="12">
                  <c:v>4.8783099999999999</c:v>
                </c:pt>
                <c:pt idx="13">
                  <c:v>5.2786799999999996</c:v>
                </c:pt>
                <c:pt idx="14">
                  <c:v>5.68459</c:v>
                </c:pt>
                <c:pt idx="15">
                  <c:v>6.0897100000000002</c:v>
                </c:pt>
                <c:pt idx="16">
                  <c:v>6.4974699999999999</c:v>
                </c:pt>
                <c:pt idx="17">
                  <c:v>6.9015899999999997</c:v>
                </c:pt>
                <c:pt idx="18">
                  <c:v>7.3133299999999997</c:v>
                </c:pt>
                <c:pt idx="19">
                  <c:v>7.71915</c:v>
                </c:pt>
                <c:pt idx="20">
                  <c:v>8.1241299999999992</c:v>
                </c:pt>
                <c:pt idx="21">
                  <c:v>8.5290700000000008</c:v>
                </c:pt>
                <c:pt idx="22">
                  <c:v>8.9360900000000001</c:v>
                </c:pt>
                <c:pt idx="23">
                  <c:v>9.34422</c:v>
                </c:pt>
                <c:pt idx="24">
                  <c:v>9.7499099999999999</c:v>
                </c:pt>
                <c:pt idx="25">
                  <c:v>10.1517</c:v>
                </c:pt>
                <c:pt idx="26">
                  <c:v>10.5586</c:v>
                </c:pt>
                <c:pt idx="27">
                  <c:v>10.9657</c:v>
                </c:pt>
                <c:pt idx="28">
                  <c:v>11.375400000000001</c:v>
                </c:pt>
                <c:pt idx="29">
                  <c:v>11.7758</c:v>
                </c:pt>
                <c:pt idx="30">
                  <c:v>12.186299999999999</c:v>
                </c:pt>
                <c:pt idx="31">
                  <c:v>12.5932</c:v>
                </c:pt>
                <c:pt idx="32">
                  <c:v>12.9962</c:v>
                </c:pt>
                <c:pt idx="33">
                  <c:v>13.404999999999999</c:v>
                </c:pt>
                <c:pt idx="34">
                  <c:v>13.815899999999999</c:v>
                </c:pt>
                <c:pt idx="35">
                  <c:v>14.216799999999999</c:v>
                </c:pt>
                <c:pt idx="36">
                  <c:v>14.623699999999999</c:v>
                </c:pt>
                <c:pt idx="37">
                  <c:v>15.025700000000001</c:v>
                </c:pt>
                <c:pt idx="38">
                  <c:v>15.4376</c:v>
                </c:pt>
                <c:pt idx="39">
                  <c:v>15.8446</c:v>
                </c:pt>
                <c:pt idx="40">
                  <c:v>16.250399999999999</c:v>
                </c:pt>
                <c:pt idx="41">
                  <c:v>16.653400000000001</c:v>
                </c:pt>
                <c:pt idx="42">
                  <c:v>17.061599999999999</c:v>
                </c:pt>
                <c:pt idx="43">
                  <c:v>17.466200000000001</c:v>
                </c:pt>
                <c:pt idx="44">
                  <c:v>17.873999999999999</c:v>
                </c:pt>
                <c:pt idx="45">
                  <c:v>18.280899999999999</c:v>
                </c:pt>
                <c:pt idx="46">
                  <c:v>18.683800000000002</c:v>
                </c:pt>
                <c:pt idx="47">
                  <c:v>19.088699999999999</c:v>
                </c:pt>
                <c:pt idx="48">
                  <c:v>19.500699999999998</c:v>
                </c:pt>
                <c:pt idx="49">
                  <c:v>19.904599999999999</c:v>
                </c:pt>
                <c:pt idx="50">
                  <c:v>20.311699999999998</c:v>
                </c:pt>
                <c:pt idx="51">
                  <c:v>20.7165</c:v>
                </c:pt>
                <c:pt idx="52">
                  <c:v>21.1204</c:v>
                </c:pt>
                <c:pt idx="53">
                  <c:v>21.5276</c:v>
                </c:pt>
                <c:pt idx="54">
                  <c:v>21.935199999999998</c:v>
                </c:pt>
                <c:pt idx="55">
                  <c:v>22.3414</c:v>
                </c:pt>
                <c:pt idx="56">
                  <c:v>22.7471</c:v>
                </c:pt>
                <c:pt idx="57">
                  <c:v>23.157</c:v>
                </c:pt>
                <c:pt idx="58">
                  <c:v>23.561900000000001</c:v>
                </c:pt>
                <c:pt idx="59">
                  <c:v>23.966799999999999</c:v>
                </c:pt>
                <c:pt idx="60">
                  <c:v>24.373799999999999</c:v>
                </c:pt>
                <c:pt idx="61">
                  <c:v>24.778700000000001</c:v>
                </c:pt>
                <c:pt idx="62">
                  <c:v>25.186499999999999</c:v>
                </c:pt>
                <c:pt idx="63">
                  <c:v>25.592500000000001</c:v>
                </c:pt>
                <c:pt idx="64">
                  <c:v>25.997399999999999</c:v>
                </c:pt>
                <c:pt idx="65">
                  <c:v>26.4023</c:v>
                </c:pt>
                <c:pt idx="66">
                  <c:v>26.810400000000001</c:v>
                </c:pt>
                <c:pt idx="67">
                  <c:v>27.2194</c:v>
                </c:pt>
                <c:pt idx="68">
                  <c:v>27.627199999999998</c:v>
                </c:pt>
                <c:pt idx="69">
                  <c:v>28.0289</c:v>
                </c:pt>
                <c:pt idx="70">
                  <c:v>28.434799999999999</c:v>
                </c:pt>
                <c:pt idx="71">
                  <c:v>28.838899999999999</c:v>
                </c:pt>
                <c:pt idx="72">
                  <c:v>29.251799999999999</c:v>
                </c:pt>
                <c:pt idx="73">
                  <c:v>29.654599999999999</c:v>
                </c:pt>
                <c:pt idx="74">
                  <c:v>30.061599999999999</c:v>
                </c:pt>
                <c:pt idx="75">
                  <c:v>30.497399999999999</c:v>
                </c:pt>
                <c:pt idx="76">
                  <c:v>30.904299999999999</c:v>
                </c:pt>
                <c:pt idx="77">
                  <c:v>31.311199999999999</c:v>
                </c:pt>
                <c:pt idx="78">
                  <c:v>31.716999999999999</c:v>
                </c:pt>
                <c:pt idx="79">
                  <c:v>32.125999999999998</c:v>
                </c:pt>
                <c:pt idx="80">
                  <c:v>32.529899999999998</c:v>
                </c:pt>
                <c:pt idx="81">
                  <c:v>32.935000000000002</c:v>
                </c:pt>
                <c:pt idx="82">
                  <c:v>33.344799999999999</c:v>
                </c:pt>
                <c:pt idx="83">
                  <c:v>33.749699999999997</c:v>
                </c:pt>
                <c:pt idx="84">
                  <c:v>34.156500000000001</c:v>
                </c:pt>
                <c:pt idx="85">
                  <c:v>34.5625</c:v>
                </c:pt>
                <c:pt idx="86">
                  <c:v>34.964500000000001</c:v>
                </c:pt>
                <c:pt idx="87">
                  <c:v>35.376300000000001</c:v>
                </c:pt>
                <c:pt idx="88">
                  <c:v>35.782200000000003</c:v>
                </c:pt>
                <c:pt idx="89">
                  <c:v>36.186999999999998</c:v>
                </c:pt>
                <c:pt idx="90">
                  <c:v>36.591000000000001</c:v>
                </c:pt>
                <c:pt idx="91">
                  <c:v>36.997999999999998</c:v>
                </c:pt>
                <c:pt idx="92">
                  <c:v>37.404800000000002</c:v>
                </c:pt>
                <c:pt idx="93">
                  <c:v>37.811</c:v>
                </c:pt>
                <c:pt idx="94">
                  <c:v>38.216700000000003</c:v>
                </c:pt>
                <c:pt idx="95">
                  <c:v>38.624600000000001</c:v>
                </c:pt>
                <c:pt idx="96">
                  <c:v>39.025500000000001</c:v>
                </c:pt>
                <c:pt idx="97">
                  <c:v>39.438400000000001</c:v>
                </c:pt>
                <c:pt idx="98">
                  <c:v>39.842399999999998</c:v>
                </c:pt>
                <c:pt idx="99">
                  <c:v>40.247300000000003</c:v>
                </c:pt>
                <c:pt idx="100">
                  <c:v>40.6571</c:v>
                </c:pt>
                <c:pt idx="101">
                  <c:v>41.061199999999999</c:v>
                </c:pt>
                <c:pt idx="102">
                  <c:v>41.466900000000003</c:v>
                </c:pt>
                <c:pt idx="103">
                  <c:v>41.873800000000003</c:v>
                </c:pt>
                <c:pt idx="104">
                  <c:v>42.28</c:v>
                </c:pt>
                <c:pt idx="105">
                  <c:v>42.686700000000002</c:v>
                </c:pt>
                <c:pt idx="106">
                  <c:v>43.095599999999997</c:v>
                </c:pt>
                <c:pt idx="107">
                  <c:v>43.499600000000001</c:v>
                </c:pt>
                <c:pt idx="108">
                  <c:v>43.903500000000001</c:v>
                </c:pt>
                <c:pt idx="109">
                  <c:v>44.312800000000003</c:v>
                </c:pt>
                <c:pt idx="110">
                  <c:v>44.717199999999998</c:v>
                </c:pt>
                <c:pt idx="111">
                  <c:v>45.122199999999999</c:v>
                </c:pt>
                <c:pt idx="112">
                  <c:v>45.530200000000001</c:v>
                </c:pt>
                <c:pt idx="113">
                  <c:v>45.935000000000002</c:v>
                </c:pt>
                <c:pt idx="114">
                  <c:v>46.341099999999997</c:v>
                </c:pt>
                <c:pt idx="115">
                  <c:v>46.750900000000001</c:v>
                </c:pt>
                <c:pt idx="116">
                  <c:v>47.151800000000001</c:v>
                </c:pt>
                <c:pt idx="117">
                  <c:v>47.558700000000002</c:v>
                </c:pt>
                <c:pt idx="118">
                  <c:v>47.966700000000003</c:v>
                </c:pt>
                <c:pt idx="119">
                  <c:v>48.3705</c:v>
                </c:pt>
                <c:pt idx="120">
                  <c:v>48.780500000000004</c:v>
                </c:pt>
                <c:pt idx="121">
                  <c:v>49.185299999999998</c:v>
                </c:pt>
                <c:pt idx="122">
                  <c:v>49.591200000000001</c:v>
                </c:pt>
                <c:pt idx="123">
                  <c:v>49.999200000000002</c:v>
                </c:pt>
                <c:pt idx="124">
                  <c:v>50.402999999999999</c:v>
                </c:pt>
                <c:pt idx="125">
                  <c:v>50.808999999999997</c:v>
                </c:pt>
                <c:pt idx="126">
                  <c:v>51.218899999999998</c:v>
                </c:pt>
                <c:pt idx="127">
                  <c:v>51.6248</c:v>
                </c:pt>
                <c:pt idx="128">
                  <c:v>52.030700000000003</c:v>
                </c:pt>
                <c:pt idx="129">
                  <c:v>52.434600000000003</c:v>
                </c:pt>
                <c:pt idx="130">
                  <c:v>52.841700000000003</c:v>
                </c:pt>
                <c:pt idx="131">
                  <c:v>53.245399999999997</c:v>
                </c:pt>
                <c:pt idx="132">
                  <c:v>53.651600000000002</c:v>
                </c:pt>
                <c:pt idx="133">
                  <c:v>54.060499999999998</c:v>
                </c:pt>
                <c:pt idx="134">
                  <c:v>54.463299999999997</c:v>
                </c:pt>
                <c:pt idx="135">
                  <c:v>54.872100000000003</c:v>
                </c:pt>
                <c:pt idx="136">
                  <c:v>55.2791</c:v>
                </c:pt>
                <c:pt idx="137">
                  <c:v>55.688000000000002</c:v>
                </c:pt>
                <c:pt idx="138">
                  <c:v>56.091999999999999</c:v>
                </c:pt>
                <c:pt idx="139">
                  <c:v>56.500900000000001</c:v>
                </c:pt>
                <c:pt idx="140">
                  <c:v>56.902700000000003</c:v>
                </c:pt>
                <c:pt idx="141">
                  <c:v>57.312899999999999</c:v>
                </c:pt>
                <c:pt idx="142">
                  <c:v>57.720500000000001</c:v>
                </c:pt>
                <c:pt idx="143">
                  <c:v>58.124499999999998</c:v>
                </c:pt>
                <c:pt idx="144">
                  <c:v>58.5334</c:v>
                </c:pt>
                <c:pt idx="145">
                  <c:v>58.939399999999999</c:v>
                </c:pt>
                <c:pt idx="146">
                  <c:v>59.341299999999997</c:v>
                </c:pt>
                <c:pt idx="147">
                  <c:v>59.7483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1.9385300000000001</c:v>
                </c:pt>
                <c:pt idx="1">
                  <c:v>2.0104600000000001</c:v>
                </c:pt>
                <c:pt idx="2">
                  <c:v>2.0834099999999998</c:v>
                </c:pt>
                <c:pt idx="3">
                  <c:v>2.1602999999999999</c:v>
                </c:pt>
                <c:pt idx="4">
                  <c:v>2.2392300000000001</c:v>
                </c:pt>
                <c:pt idx="5">
                  <c:v>2.3199000000000001</c:v>
                </c:pt>
                <c:pt idx="6">
                  <c:v>2.4032800000000001</c:v>
                </c:pt>
                <c:pt idx="7">
                  <c:v>2.4853800000000001</c:v>
                </c:pt>
                <c:pt idx="8">
                  <c:v>2.5671400000000002</c:v>
                </c:pt>
                <c:pt idx="9">
                  <c:v>2.6507900000000002</c:v>
                </c:pt>
                <c:pt idx="10">
                  <c:v>2.73264</c:v>
                </c:pt>
                <c:pt idx="11">
                  <c:v>2.8128500000000001</c:v>
                </c:pt>
                <c:pt idx="12">
                  <c:v>2.8969299999999998</c:v>
                </c:pt>
                <c:pt idx="13">
                  <c:v>2.9825400000000002</c:v>
                </c:pt>
                <c:pt idx="14">
                  <c:v>3.0654599999999999</c:v>
                </c:pt>
                <c:pt idx="15">
                  <c:v>3.1467400000000003</c:v>
                </c:pt>
                <c:pt idx="16">
                  <c:v>3.2267299999999999</c:v>
                </c:pt>
                <c:pt idx="17">
                  <c:v>3.3024900000000001</c:v>
                </c:pt>
                <c:pt idx="18">
                  <c:v>3.3711099999999998</c:v>
                </c:pt>
                <c:pt idx="19">
                  <c:v>3.4361599999999997</c:v>
                </c:pt>
                <c:pt idx="20">
                  <c:v>3.4972799999999999</c:v>
                </c:pt>
                <c:pt idx="21">
                  <c:v>3.5520899999999997</c:v>
                </c:pt>
                <c:pt idx="22">
                  <c:v>3.60249</c:v>
                </c:pt>
                <c:pt idx="23">
                  <c:v>3.6508500000000002</c:v>
                </c:pt>
                <c:pt idx="24">
                  <c:v>3.6956899999999999</c:v>
                </c:pt>
                <c:pt idx="25">
                  <c:v>3.7355</c:v>
                </c:pt>
                <c:pt idx="26">
                  <c:v>3.7675299999999998</c:v>
                </c:pt>
                <c:pt idx="27">
                  <c:v>3.7946299999999997</c:v>
                </c:pt>
                <c:pt idx="28">
                  <c:v>3.8160400000000001</c:v>
                </c:pt>
                <c:pt idx="29">
                  <c:v>3.8323099999999997</c:v>
                </c:pt>
                <c:pt idx="30">
                  <c:v>3.8457599999999998</c:v>
                </c:pt>
                <c:pt idx="31">
                  <c:v>3.8584499999999999</c:v>
                </c:pt>
                <c:pt idx="32">
                  <c:v>3.8684000000000003</c:v>
                </c:pt>
                <c:pt idx="33">
                  <c:v>3.8807700000000001</c:v>
                </c:pt>
                <c:pt idx="34">
                  <c:v>3.8925999999999998</c:v>
                </c:pt>
                <c:pt idx="35">
                  <c:v>3.9002300000000001</c:v>
                </c:pt>
                <c:pt idx="36">
                  <c:v>3.9083200000000002</c:v>
                </c:pt>
                <c:pt idx="37">
                  <c:v>3.9153500000000001</c:v>
                </c:pt>
                <c:pt idx="38">
                  <c:v>3.9186300000000003</c:v>
                </c:pt>
                <c:pt idx="39">
                  <c:v>3.9202199999999996</c:v>
                </c:pt>
                <c:pt idx="40">
                  <c:v>3.9201599999999996</c:v>
                </c:pt>
                <c:pt idx="41">
                  <c:v>3.9161200000000003</c:v>
                </c:pt>
                <c:pt idx="42">
                  <c:v>3.9109400000000001</c:v>
                </c:pt>
                <c:pt idx="43">
                  <c:v>3.9043699999999997</c:v>
                </c:pt>
                <c:pt idx="44">
                  <c:v>3.8988099999999997</c:v>
                </c:pt>
                <c:pt idx="45">
                  <c:v>3.8968699999999998</c:v>
                </c:pt>
                <c:pt idx="46">
                  <c:v>3.8961099999999997</c:v>
                </c:pt>
                <c:pt idx="47">
                  <c:v>3.89269</c:v>
                </c:pt>
                <c:pt idx="48">
                  <c:v>3.8867600000000002</c:v>
                </c:pt>
                <c:pt idx="49">
                  <c:v>3.8805899999999998</c:v>
                </c:pt>
                <c:pt idx="50">
                  <c:v>3.8765800000000001</c:v>
                </c:pt>
                <c:pt idx="51">
                  <c:v>3.8743100000000004</c:v>
                </c:pt>
                <c:pt idx="52">
                  <c:v>3.8728499999999997</c:v>
                </c:pt>
                <c:pt idx="53">
                  <c:v>3.8729300000000002</c:v>
                </c:pt>
                <c:pt idx="54">
                  <c:v>3.8762600000000003</c:v>
                </c:pt>
                <c:pt idx="55">
                  <c:v>3.8776000000000002</c:v>
                </c:pt>
                <c:pt idx="56">
                  <c:v>3.8752599999999999</c:v>
                </c:pt>
                <c:pt idx="57">
                  <c:v>3.8724799999999999</c:v>
                </c:pt>
                <c:pt idx="58">
                  <c:v>3.86355</c:v>
                </c:pt>
                <c:pt idx="59">
                  <c:v>3.8501099999999999</c:v>
                </c:pt>
                <c:pt idx="60">
                  <c:v>3.83839</c:v>
                </c:pt>
                <c:pt idx="61">
                  <c:v>3.8242399999999996</c:v>
                </c:pt>
                <c:pt idx="62">
                  <c:v>3.8042899999999999</c:v>
                </c:pt>
                <c:pt idx="63">
                  <c:v>3.7827999999999999</c:v>
                </c:pt>
                <c:pt idx="64">
                  <c:v>3.7601</c:v>
                </c:pt>
                <c:pt idx="65">
                  <c:v>3.7364999999999999</c:v>
                </c:pt>
                <c:pt idx="66">
                  <c:v>3.7141099999999998</c:v>
                </c:pt>
                <c:pt idx="67">
                  <c:v>3.6924400000000004</c:v>
                </c:pt>
                <c:pt idx="68">
                  <c:v>3.67347</c:v>
                </c:pt>
                <c:pt idx="69">
                  <c:v>3.6520900000000003</c:v>
                </c:pt>
                <c:pt idx="70">
                  <c:v>3.6268400000000001</c:v>
                </c:pt>
                <c:pt idx="71">
                  <c:v>3.6016399999999997</c:v>
                </c:pt>
                <c:pt idx="72">
                  <c:v>3.57796</c:v>
                </c:pt>
                <c:pt idx="73">
                  <c:v>3.5563600000000002</c:v>
                </c:pt>
                <c:pt idx="74">
                  <c:v>3.5364100000000001</c:v>
                </c:pt>
                <c:pt idx="75">
                  <c:v>3.51593</c:v>
                </c:pt>
                <c:pt idx="76">
                  <c:v>3.4988700000000001</c:v>
                </c:pt>
                <c:pt idx="77">
                  <c:v>3.4828299999999999</c:v>
                </c:pt>
                <c:pt idx="78">
                  <c:v>3.4673700000000003</c:v>
                </c:pt>
                <c:pt idx="79">
                  <c:v>3.45106</c:v>
                </c:pt>
                <c:pt idx="80">
                  <c:v>3.4390399999999999</c:v>
                </c:pt>
                <c:pt idx="81">
                  <c:v>3.4317500000000001</c:v>
                </c:pt>
                <c:pt idx="82">
                  <c:v>3.42523</c:v>
                </c:pt>
                <c:pt idx="83">
                  <c:v>3.4191899999999995</c:v>
                </c:pt>
                <c:pt idx="84">
                  <c:v>3.41601</c:v>
                </c:pt>
                <c:pt idx="85">
                  <c:v>3.4166300000000001</c:v>
                </c:pt>
                <c:pt idx="86">
                  <c:v>3.4171800000000001</c:v>
                </c:pt>
                <c:pt idx="87">
                  <c:v>3.42075</c:v>
                </c:pt>
                <c:pt idx="88">
                  <c:v>3.4272799999999997</c:v>
                </c:pt>
                <c:pt idx="89">
                  <c:v>3.4350799999999997</c:v>
                </c:pt>
                <c:pt idx="90">
                  <c:v>3.4446599999999998</c:v>
                </c:pt>
                <c:pt idx="91">
                  <c:v>3.4539399999999998</c:v>
                </c:pt>
                <c:pt idx="92">
                  <c:v>3.4646300000000001</c:v>
                </c:pt>
                <c:pt idx="93">
                  <c:v>3.47682</c:v>
                </c:pt>
                <c:pt idx="94">
                  <c:v>3.49207</c:v>
                </c:pt>
                <c:pt idx="95">
                  <c:v>3.5050699999999999</c:v>
                </c:pt>
                <c:pt idx="96">
                  <c:v>3.5179500000000004</c:v>
                </c:pt>
                <c:pt idx="97">
                  <c:v>3.5318899999999998</c:v>
                </c:pt>
                <c:pt idx="98">
                  <c:v>3.5480099999999997</c:v>
                </c:pt>
                <c:pt idx="99">
                  <c:v>3.5645199999999999</c:v>
                </c:pt>
                <c:pt idx="100">
                  <c:v>3.5811100000000002</c:v>
                </c:pt>
                <c:pt idx="101">
                  <c:v>3.5983799999999997</c:v>
                </c:pt>
                <c:pt idx="102">
                  <c:v>3.6113299999999997</c:v>
                </c:pt>
                <c:pt idx="103">
                  <c:v>3.6243500000000002</c:v>
                </c:pt>
                <c:pt idx="104">
                  <c:v>3.63483</c:v>
                </c:pt>
                <c:pt idx="105">
                  <c:v>3.6440800000000002</c:v>
                </c:pt>
                <c:pt idx="106">
                  <c:v>3.6473800000000001</c:v>
                </c:pt>
                <c:pt idx="107">
                  <c:v>3.6486600000000005</c:v>
                </c:pt>
                <c:pt idx="108">
                  <c:v>3.6504300000000001</c:v>
                </c:pt>
                <c:pt idx="109">
                  <c:v>3.6529499999999997</c:v>
                </c:pt>
                <c:pt idx="110">
                  <c:v>3.6525400000000001</c:v>
                </c:pt>
                <c:pt idx="111">
                  <c:v>3.6533600000000002</c:v>
                </c:pt>
                <c:pt idx="112">
                  <c:v>3.65768</c:v>
                </c:pt>
                <c:pt idx="113">
                  <c:v>3.6654100000000001</c:v>
                </c:pt>
                <c:pt idx="114">
                  <c:v>3.6747899999999998</c:v>
                </c:pt>
                <c:pt idx="115">
                  <c:v>3.6850399999999999</c:v>
                </c:pt>
                <c:pt idx="116">
                  <c:v>3.6969400000000001</c:v>
                </c:pt>
                <c:pt idx="117">
                  <c:v>3.7096</c:v>
                </c:pt>
                <c:pt idx="118">
                  <c:v>3.7237499999999999</c:v>
                </c:pt>
                <c:pt idx="119">
                  <c:v>3.7357299999999998</c:v>
                </c:pt>
                <c:pt idx="120">
                  <c:v>3.7503500000000001</c:v>
                </c:pt>
                <c:pt idx="121">
                  <c:v>3.7663500000000001</c:v>
                </c:pt>
                <c:pt idx="122">
                  <c:v>3.78179</c:v>
                </c:pt>
                <c:pt idx="123">
                  <c:v>3.7938800000000001</c:v>
                </c:pt>
                <c:pt idx="124">
                  <c:v>3.7957400000000003</c:v>
                </c:pt>
                <c:pt idx="125">
                  <c:v>3.7974599999999996</c:v>
                </c:pt>
                <c:pt idx="126">
                  <c:v>3.7980100000000001</c:v>
                </c:pt>
                <c:pt idx="127">
                  <c:v>3.8037700000000001</c:v>
                </c:pt>
                <c:pt idx="128">
                  <c:v>3.8093700000000004</c:v>
                </c:pt>
                <c:pt idx="129">
                  <c:v>3.8161699999999996</c:v>
                </c:pt>
                <c:pt idx="130">
                  <c:v>3.8221400000000001</c:v>
                </c:pt>
                <c:pt idx="131">
                  <c:v>3.8329499999999999</c:v>
                </c:pt>
                <c:pt idx="132">
                  <c:v>3.8489599999999999</c:v>
                </c:pt>
                <c:pt idx="133">
                  <c:v>3.8693599999999999</c:v>
                </c:pt>
                <c:pt idx="134">
                  <c:v>3.89059</c:v>
                </c:pt>
                <c:pt idx="135">
                  <c:v>3.9138099999999998</c:v>
                </c:pt>
                <c:pt idx="136">
                  <c:v>3.9396100000000001</c:v>
                </c:pt>
                <c:pt idx="137">
                  <c:v>3.9629300000000001</c:v>
                </c:pt>
                <c:pt idx="138">
                  <c:v>3.9799800000000003</c:v>
                </c:pt>
                <c:pt idx="139">
                  <c:v>3.99566</c:v>
                </c:pt>
                <c:pt idx="140">
                  <c:v>4.0090300000000001</c:v>
                </c:pt>
                <c:pt idx="141">
                  <c:v>4.0223399999999998</c:v>
                </c:pt>
                <c:pt idx="142">
                  <c:v>4.0331400000000004</c:v>
                </c:pt>
                <c:pt idx="143">
                  <c:v>4.0373000000000001</c:v>
                </c:pt>
                <c:pt idx="144">
                  <c:v>4.0403000000000002</c:v>
                </c:pt>
                <c:pt idx="145">
                  <c:v>4.0414399999999997</c:v>
                </c:pt>
                <c:pt idx="146">
                  <c:v>4.0324299999999997</c:v>
                </c:pt>
                <c:pt idx="147">
                  <c:v>4.0218100000000003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0.40678399999999998</c:v>
                </c:pt>
                <c:pt idx="2">
                  <c:v>0.80868899999999999</c:v>
                </c:pt>
                <c:pt idx="3">
                  <c:v>1.21458</c:v>
                </c:pt>
                <c:pt idx="4">
                  <c:v>1.62165</c:v>
                </c:pt>
                <c:pt idx="5">
                  <c:v>2.0314299999999998</c:v>
                </c:pt>
                <c:pt idx="6">
                  <c:v>2.4323600000000001</c:v>
                </c:pt>
                <c:pt idx="7">
                  <c:v>2.84226</c:v>
                </c:pt>
                <c:pt idx="8">
                  <c:v>3.2461799999999998</c:v>
                </c:pt>
                <c:pt idx="9">
                  <c:v>3.6560999999999999</c:v>
                </c:pt>
                <c:pt idx="10">
                  <c:v>4.0579599999999996</c:v>
                </c:pt>
                <c:pt idx="11">
                  <c:v>4.4628699999999997</c:v>
                </c:pt>
                <c:pt idx="12">
                  <c:v>4.8783099999999999</c:v>
                </c:pt>
                <c:pt idx="13">
                  <c:v>5.2786799999999996</c:v>
                </c:pt>
                <c:pt idx="14">
                  <c:v>5.68459</c:v>
                </c:pt>
                <c:pt idx="15">
                  <c:v>6.0897100000000002</c:v>
                </c:pt>
                <c:pt idx="16">
                  <c:v>6.4974699999999999</c:v>
                </c:pt>
                <c:pt idx="17">
                  <c:v>6.9015899999999997</c:v>
                </c:pt>
                <c:pt idx="18">
                  <c:v>7.3133299999999997</c:v>
                </c:pt>
                <c:pt idx="19">
                  <c:v>7.71915</c:v>
                </c:pt>
                <c:pt idx="20">
                  <c:v>8.1241299999999992</c:v>
                </c:pt>
                <c:pt idx="21">
                  <c:v>8.5290700000000008</c:v>
                </c:pt>
                <c:pt idx="22">
                  <c:v>8.9360900000000001</c:v>
                </c:pt>
                <c:pt idx="23">
                  <c:v>9.34422</c:v>
                </c:pt>
                <c:pt idx="24">
                  <c:v>9.7499099999999999</c:v>
                </c:pt>
                <c:pt idx="25">
                  <c:v>10.1517</c:v>
                </c:pt>
                <c:pt idx="26">
                  <c:v>10.5586</c:v>
                </c:pt>
                <c:pt idx="27">
                  <c:v>10.9657</c:v>
                </c:pt>
                <c:pt idx="28">
                  <c:v>11.375400000000001</c:v>
                </c:pt>
                <c:pt idx="29">
                  <c:v>11.7758</c:v>
                </c:pt>
                <c:pt idx="30">
                  <c:v>12.186299999999999</c:v>
                </c:pt>
                <c:pt idx="31">
                  <c:v>12.5932</c:v>
                </c:pt>
                <c:pt idx="32">
                  <c:v>12.9962</c:v>
                </c:pt>
                <c:pt idx="33">
                  <c:v>13.404999999999999</c:v>
                </c:pt>
                <c:pt idx="34">
                  <c:v>13.815899999999999</c:v>
                </c:pt>
                <c:pt idx="35">
                  <c:v>14.216799999999999</c:v>
                </c:pt>
                <c:pt idx="36">
                  <c:v>14.623699999999999</c:v>
                </c:pt>
                <c:pt idx="37">
                  <c:v>15.025700000000001</c:v>
                </c:pt>
                <c:pt idx="38">
                  <c:v>15.4376</c:v>
                </c:pt>
                <c:pt idx="39">
                  <c:v>15.8446</c:v>
                </c:pt>
                <c:pt idx="40">
                  <c:v>16.250399999999999</c:v>
                </c:pt>
                <c:pt idx="41">
                  <c:v>16.653400000000001</c:v>
                </c:pt>
                <c:pt idx="42">
                  <c:v>17.061599999999999</c:v>
                </c:pt>
                <c:pt idx="43">
                  <c:v>17.466200000000001</c:v>
                </c:pt>
                <c:pt idx="44">
                  <c:v>17.873999999999999</c:v>
                </c:pt>
                <c:pt idx="45">
                  <c:v>18.280899999999999</c:v>
                </c:pt>
                <c:pt idx="46">
                  <c:v>18.683800000000002</c:v>
                </c:pt>
                <c:pt idx="47">
                  <c:v>19.088699999999999</c:v>
                </c:pt>
                <c:pt idx="48">
                  <c:v>19.500699999999998</c:v>
                </c:pt>
                <c:pt idx="49">
                  <c:v>19.904599999999999</c:v>
                </c:pt>
                <c:pt idx="50">
                  <c:v>20.311699999999998</c:v>
                </c:pt>
                <c:pt idx="51">
                  <c:v>20.7165</c:v>
                </c:pt>
                <c:pt idx="52">
                  <c:v>21.1204</c:v>
                </c:pt>
                <c:pt idx="53">
                  <c:v>21.5276</c:v>
                </c:pt>
                <c:pt idx="54">
                  <c:v>21.935199999999998</c:v>
                </c:pt>
                <c:pt idx="55">
                  <c:v>22.3414</c:v>
                </c:pt>
                <c:pt idx="56">
                  <c:v>22.7471</c:v>
                </c:pt>
                <c:pt idx="57">
                  <c:v>23.157</c:v>
                </c:pt>
                <c:pt idx="58">
                  <c:v>23.561900000000001</c:v>
                </c:pt>
                <c:pt idx="59">
                  <c:v>23.966799999999999</c:v>
                </c:pt>
                <c:pt idx="60">
                  <c:v>24.373799999999999</c:v>
                </c:pt>
                <c:pt idx="61">
                  <c:v>24.778700000000001</c:v>
                </c:pt>
                <c:pt idx="62">
                  <c:v>25.186499999999999</c:v>
                </c:pt>
                <c:pt idx="63">
                  <c:v>25.592500000000001</c:v>
                </c:pt>
                <c:pt idx="64">
                  <c:v>25.997399999999999</c:v>
                </c:pt>
                <c:pt idx="65">
                  <c:v>26.4023</c:v>
                </c:pt>
                <c:pt idx="66">
                  <c:v>26.810400000000001</c:v>
                </c:pt>
                <c:pt idx="67">
                  <c:v>27.2194</c:v>
                </c:pt>
                <c:pt idx="68">
                  <c:v>27.627199999999998</c:v>
                </c:pt>
                <c:pt idx="69">
                  <c:v>28.0289</c:v>
                </c:pt>
                <c:pt idx="70">
                  <c:v>28.434799999999999</c:v>
                </c:pt>
                <c:pt idx="71">
                  <c:v>28.838899999999999</c:v>
                </c:pt>
                <c:pt idx="72">
                  <c:v>29.251799999999999</c:v>
                </c:pt>
                <c:pt idx="73">
                  <c:v>29.654599999999999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1.9385300000000001</c:v>
                </c:pt>
                <c:pt idx="1">
                  <c:v>2.0104600000000001</c:v>
                </c:pt>
                <c:pt idx="2">
                  <c:v>2.0834099999999998</c:v>
                </c:pt>
                <c:pt idx="3">
                  <c:v>2.1602999999999999</c:v>
                </c:pt>
                <c:pt idx="4">
                  <c:v>2.2392300000000001</c:v>
                </c:pt>
                <c:pt idx="5">
                  <c:v>2.3199000000000001</c:v>
                </c:pt>
                <c:pt idx="6">
                  <c:v>2.4032800000000001</c:v>
                </c:pt>
                <c:pt idx="7">
                  <c:v>2.4853800000000001</c:v>
                </c:pt>
                <c:pt idx="8">
                  <c:v>2.5671400000000002</c:v>
                </c:pt>
                <c:pt idx="9">
                  <c:v>2.6507900000000002</c:v>
                </c:pt>
                <c:pt idx="10">
                  <c:v>2.73264</c:v>
                </c:pt>
                <c:pt idx="11">
                  <c:v>2.8128500000000001</c:v>
                </c:pt>
                <c:pt idx="12">
                  <c:v>2.8969299999999998</c:v>
                </c:pt>
                <c:pt idx="13">
                  <c:v>2.9825400000000002</c:v>
                </c:pt>
                <c:pt idx="14">
                  <c:v>3.0654599999999999</c:v>
                </c:pt>
                <c:pt idx="15">
                  <c:v>3.1467400000000003</c:v>
                </c:pt>
                <c:pt idx="16">
                  <c:v>3.2267299999999999</c:v>
                </c:pt>
                <c:pt idx="17">
                  <c:v>3.3024900000000001</c:v>
                </c:pt>
                <c:pt idx="18">
                  <c:v>3.3711099999999998</c:v>
                </c:pt>
                <c:pt idx="19">
                  <c:v>3.4361599999999997</c:v>
                </c:pt>
                <c:pt idx="20">
                  <c:v>3.4972799999999999</c:v>
                </c:pt>
                <c:pt idx="21">
                  <c:v>3.5520899999999997</c:v>
                </c:pt>
                <c:pt idx="22">
                  <c:v>3.60249</c:v>
                </c:pt>
                <c:pt idx="23">
                  <c:v>3.6508500000000002</c:v>
                </c:pt>
                <c:pt idx="24">
                  <c:v>3.6956899999999999</c:v>
                </c:pt>
                <c:pt idx="25">
                  <c:v>3.7355</c:v>
                </c:pt>
                <c:pt idx="26">
                  <c:v>3.7675299999999998</c:v>
                </c:pt>
                <c:pt idx="27">
                  <c:v>3.7946299999999997</c:v>
                </c:pt>
                <c:pt idx="28">
                  <c:v>3.8160400000000001</c:v>
                </c:pt>
                <c:pt idx="29">
                  <c:v>3.8323099999999997</c:v>
                </c:pt>
                <c:pt idx="30">
                  <c:v>3.8457599999999998</c:v>
                </c:pt>
                <c:pt idx="31">
                  <c:v>3.8584499999999999</c:v>
                </c:pt>
                <c:pt idx="32">
                  <c:v>3.8684000000000003</c:v>
                </c:pt>
                <c:pt idx="33">
                  <c:v>3.8807700000000001</c:v>
                </c:pt>
                <c:pt idx="34">
                  <c:v>3.8925999999999998</c:v>
                </c:pt>
                <c:pt idx="35">
                  <c:v>3.9002300000000001</c:v>
                </c:pt>
                <c:pt idx="36">
                  <c:v>3.9083200000000002</c:v>
                </c:pt>
                <c:pt idx="37">
                  <c:v>3.9153500000000001</c:v>
                </c:pt>
                <c:pt idx="38">
                  <c:v>3.9186300000000003</c:v>
                </c:pt>
                <c:pt idx="39">
                  <c:v>3.9202199999999996</c:v>
                </c:pt>
                <c:pt idx="40">
                  <c:v>3.9201599999999996</c:v>
                </c:pt>
                <c:pt idx="41">
                  <c:v>3.9161200000000003</c:v>
                </c:pt>
                <c:pt idx="42">
                  <c:v>3.9109400000000001</c:v>
                </c:pt>
                <c:pt idx="43">
                  <c:v>3.9043699999999997</c:v>
                </c:pt>
                <c:pt idx="44">
                  <c:v>3.8988099999999997</c:v>
                </c:pt>
                <c:pt idx="45">
                  <c:v>3.8968699999999998</c:v>
                </c:pt>
                <c:pt idx="46">
                  <c:v>3.8961099999999997</c:v>
                </c:pt>
                <c:pt idx="47">
                  <c:v>3.89269</c:v>
                </c:pt>
                <c:pt idx="48">
                  <c:v>3.8867600000000002</c:v>
                </c:pt>
                <c:pt idx="49">
                  <c:v>3.8805899999999998</c:v>
                </c:pt>
                <c:pt idx="50">
                  <c:v>3.8765800000000001</c:v>
                </c:pt>
                <c:pt idx="51">
                  <c:v>3.8743100000000004</c:v>
                </c:pt>
                <c:pt idx="52">
                  <c:v>3.8728499999999997</c:v>
                </c:pt>
                <c:pt idx="53">
                  <c:v>3.8729300000000002</c:v>
                </c:pt>
                <c:pt idx="54">
                  <c:v>3.8762600000000003</c:v>
                </c:pt>
                <c:pt idx="55">
                  <c:v>3.8776000000000002</c:v>
                </c:pt>
                <c:pt idx="56">
                  <c:v>3.8752599999999999</c:v>
                </c:pt>
                <c:pt idx="57">
                  <c:v>3.8724799999999999</c:v>
                </c:pt>
                <c:pt idx="58">
                  <c:v>3.86355</c:v>
                </c:pt>
                <c:pt idx="59">
                  <c:v>3.8501099999999999</c:v>
                </c:pt>
                <c:pt idx="60">
                  <c:v>3.83839</c:v>
                </c:pt>
                <c:pt idx="61">
                  <c:v>3.8242399999999996</c:v>
                </c:pt>
                <c:pt idx="62">
                  <c:v>3.8042899999999999</c:v>
                </c:pt>
                <c:pt idx="63">
                  <c:v>3.7827999999999999</c:v>
                </c:pt>
                <c:pt idx="64">
                  <c:v>3.7601</c:v>
                </c:pt>
                <c:pt idx="65">
                  <c:v>3.7364999999999999</c:v>
                </c:pt>
                <c:pt idx="66">
                  <c:v>3.7141099999999998</c:v>
                </c:pt>
                <c:pt idx="67">
                  <c:v>3.6924400000000004</c:v>
                </c:pt>
                <c:pt idx="68">
                  <c:v>3.67347</c:v>
                </c:pt>
                <c:pt idx="69">
                  <c:v>3.6520900000000003</c:v>
                </c:pt>
                <c:pt idx="70">
                  <c:v>3.6268400000000001</c:v>
                </c:pt>
                <c:pt idx="71">
                  <c:v>3.6016399999999997</c:v>
                </c:pt>
                <c:pt idx="72">
                  <c:v>3.57796</c:v>
                </c:pt>
                <c:pt idx="73">
                  <c:v>3.5563600000000002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30.061599999999999</c:v>
                </c:pt>
                <c:pt idx="2">
                  <c:v>30.497399999999999</c:v>
                </c:pt>
                <c:pt idx="3">
                  <c:v>30.904299999999999</c:v>
                </c:pt>
                <c:pt idx="4">
                  <c:v>31.311199999999999</c:v>
                </c:pt>
                <c:pt idx="5">
                  <c:v>31.716999999999999</c:v>
                </c:pt>
                <c:pt idx="6">
                  <c:v>32.125999999999998</c:v>
                </c:pt>
                <c:pt idx="7">
                  <c:v>32.529899999999998</c:v>
                </c:pt>
                <c:pt idx="8">
                  <c:v>32.935000000000002</c:v>
                </c:pt>
                <c:pt idx="9">
                  <c:v>33.344799999999999</c:v>
                </c:pt>
                <c:pt idx="10">
                  <c:v>33.749699999999997</c:v>
                </c:pt>
                <c:pt idx="11">
                  <c:v>34.156500000000001</c:v>
                </c:pt>
                <c:pt idx="12">
                  <c:v>34.5625</c:v>
                </c:pt>
                <c:pt idx="13">
                  <c:v>34.964500000000001</c:v>
                </c:pt>
                <c:pt idx="14">
                  <c:v>35.376300000000001</c:v>
                </c:pt>
                <c:pt idx="15">
                  <c:v>35.782200000000003</c:v>
                </c:pt>
                <c:pt idx="16">
                  <c:v>36.186999999999998</c:v>
                </c:pt>
                <c:pt idx="17">
                  <c:v>36.591000000000001</c:v>
                </c:pt>
                <c:pt idx="18">
                  <c:v>36.997999999999998</c:v>
                </c:pt>
                <c:pt idx="19">
                  <c:v>37.404800000000002</c:v>
                </c:pt>
                <c:pt idx="20">
                  <c:v>37.811</c:v>
                </c:pt>
                <c:pt idx="21">
                  <c:v>38.216700000000003</c:v>
                </c:pt>
                <c:pt idx="22">
                  <c:v>38.624600000000001</c:v>
                </c:pt>
                <c:pt idx="23">
                  <c:v>39.025500000000001</c:v>
                </c:pt>
                <c:pt idx="24">
                  <c:v>39.438400000000001</c:v>
                </c:pt>
                <c:pt idx="25">
                  <c:v>39.842399999999998</c:v>
                </c:pt>
                <c:pt idx="26">
                  <c:v>40.247300000000003</c:v>
                </c:pt>
                <c:pt idx="27">
                  <c:v>40.6571</c:v>
                </c:pt>
                <c:pt idx="28">
                  <c:v>41.061199999999999</c:v>
                </c:pt>
                <c:pt idx="29">
                  <c:v>41.466900000000003</c:v>
                </c:pt>
                <c:pt idx="30">
                  <c:v>41.873800000000003</c:v>
                </c:pt>
                <c:pt idx="31">
                  <c:v>42.28</c:v>
                </c:pt>
                <c:pt idx="32">
                  <c:v>42.686700000000002</c:v>
                </c:pt>
                <c:pt idx="33">
                  <c:v>43.095599999999997</c:v>
                </c:pt>
                <c:pt idx="34">
                  <c:v>43.499600000000001</c:v>
                </c:pt>
                <c:pt idx="35">
                  <c:v>43.903500000000001</c:v>
                </c:pt>
                <c:pt idx="36">
                  <c:v>44.312800000000003</c:v>
                </c:pt>
                <c:pt idx="37">
                  <c:v>44.717199999999998</c:v>
                </c:pt>
                <c:pt idx="38">
                  <c:v>45.122199999999999</c:v>
                </c:pt>
                <c:pt idx="39">
                  <c:v>45.530200000000001</c:v>
                </c:pt>
                <c:pt idx="40">
                  <c:v>45.935000000000002</c:v>
                </c:pt>
                <c:pt idx="41">
                  <c:v>46.341099999999997</c:v>
                </c:pt>
                <c:pt idx="42">
                  <c:v>46.750900000000001</c:v>
                </c:pt>
                <c:pt idx="43">
                  <c:v>47.151800000000001</c:v>
                </c:pt>
                <c:pt idx="44">
                  <c:v>47.558700000000002</c:v>
                </c:pt>
                <c:pt idx="45">
                  <c:v>47.966700000000003</c:v>
                </c:pt>
                <c:pt idx="46">
                  <c:v>48.3705</c:v>
                </c:pt>
                <c:pt idx="47">
                  <c:v>48.780500000000004</c:v>
                </c:pt>
                <c:pt idx="48">
                  <c:v>49.185299999999998</c:v>
                </c:pt>
                <c:pt idx="49">
                  <c:v>49.591200000000001</c:v>
                </c:pt>
                <c:pt idx="50">
                  <c:v>49.999200000000002</c:v>
                </c:pt>
                <c:pt idx="51">
                  <c:v>50.402999999999999</c:v>
                </c:pt>
                <c:pt idx="52">
                  <c:v>50.808999999999997</c:v>
                </c:pt>
                <c:pt idx="53">
                  <c:v>51.218899999999998</c:v>
                </c:pt>
                <c:pt idx="54">
                  <c:v>51.6248</c:v>
                </c:pt>
                <c:pt idx="55">
                  <c:v>52.030700000000003</c:v>
                </c:pt>
                <c:pt idx="56">
                  <c:v>52.434600000000003</c:v>
                </c:pt>
                <c:pt idx="57">
                  <c:v>52.841700000000003</c:v>
                </c:pt>
                <c:pt idx="58">
                  <c:v>53.245399999999997</c:v>
                </c:pt>
                <c:pt idx="59">
                  <c:v>53.651600000000002</c:v>
                </c:pt>
                <c:pt idx="60">
                  <c:v>54.060499999999998</c:v>
                </c:pt>
                <c:pt idx="61">
                  <c:v>54.463299999999997</c:v>
                </c:pt>
                <c:pt idx="62">
                  <c:v>54.872100000000003</c:v>
                </c:pt>
                <c:pt idx="63">
                  <c:v>55.2791</c:v>
                </c:pt>
                <c:pt idx="64">
                  <c:v>55.688000000000002</c:v>
                </c:pt>
                <c:pt idx="65">
                  <c:v>56.091999999999999</c:v>
                </c:pt>
                <c:pt idx="66">
                  <c:v>56.500900000000001</c:v>
                </c:pt>
                <c:pt idx="67">
                  <c:v>56.902700000000003</c:v>
                </c:pt>
                <c:pt idx="68">
                  <c:v>57.312899999999999</c:v>
                </c:pt>
                <c:pt idx="69">
                  <c:v>57.720500000000001</c:v>
                </c:pt>
                <c:pt idx="70">
                  <c:v>58.124499999999998</c:v>
                </c:pt>
                <c:pt idx="71">
                  <c:v>58.5334</c:v>
                </c:pt>
                <c:pt idx="72">
                  <c:v>58.939399999999999</c:v>
                </c:pt>
                <c:pt idx="73">
                  <c:v>59.341299999999997</c:v>
                </c:pt>
                <c:pt idx="74">
                  <c:v>59.7483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3.5563600000000002</c:v>
                </c:pt>
                <c:pt idx="1">
                  <c:v>3.5364100000000001</c:v>
                </c:pt>
                <c:pt idx="2">
                  <c:v>3.51593</c:v>
                </c:pt>
                <c:pt idx="3">
                  <c:v>3.4988700000000001</c:v>
                </c:pt>
                <c:pt idx="4">
                  <c:v>3.4828299999999999</c:v>
                </c:pt>
                <c:pt idx="5">
                  <c:v>3.4673700000000003</c:v>
                </c:pt>
                <c:pt idx="6">
                  <c:v>3.45106</c:v>
                </c:pt>
                <c:pt idx="7">
                  <c:v>3.4390399999999999</c:v>
                </c:pt>
                <c:pt idx="8">
                  <c:v>3.4317500000000001</c:v>
                </c:pt>
                <c:pt idx="9">
                  <c:v>3.42523</c:v>
                </c:pt>
                <c:pt idx="10">
                  <c:v>3.4191899999999995</c:v>
                </c:pt>
                <c:pt idx="11">
                  <c:v>3.41601</c:v>
                </c:pt>
                <c:pt idx="12">
                  <c:v>3.4166300000000001</c:v>
                </c:pt>
                <c:pt idx="13">
                  <c:v>3.4171800000000001</c:v>
                </c:pt>
                <c:pt idx="14">
                  <c:v>3.42075</c:v>
                </c:pt>
                <c:pt idx="15">
                  <c:v>3.4272799999999997</c:v>
                </c:pt>
                <c:pt idx="16">
                  <c:v>3.4350799999999997</c:v>
                </c:pt>
                <c:pt idx="17">
                  <c:v>3.4446599999999998</c:v>
                </c:pt>
                <c:pt idx="18">
                  <c:v>3.4539399999999998</c:v>
                </c:pt>
                <c:pt idx="19">
                  <c:v>3.4646300000000001</c:v>
                </c:pt>
                <c:pt idx="20">
                  <c:v>3.47682</c:v>
                </c:pt>
                <c:pt idx="21">
                  <c:v>3.49207</c:v>
                </c:pt>
                <c:pt idx="22">
                  <c:v>3.5050699999999999</c:v>
                </c:pt>
                <c:pt idx="23">
                  <c:v>3.5179500000000004</c:v>
                </c:pt>
                <c:pt idx="24">
                  <c:v>3.5318899999999998</c:v>
                </c:pt>
                <c:pt idx="25">
                  <c:v>3.5480099999999997</c:v>
                </c:pt>
                <c:pt idx="26">
                  <c:v>3.5645199999999999</c:v>
                </c:pt>
                <c:pt idx="27">
                  <c:v>3.5811100000000002</c:v>
                </c:pt>
                <c:pt idx="28">
                  <c:v>3.5983799999999997</c:v>
                </c:pt>
                <c:pt idx="29">
                  <c:v>3.6113299999999997</c:v>
                </c:pt>
                <c:pt idx="30">
                  <c:v>3.6243500000000002</c:v>
                </c:pt>
                <c:pt idx="31">
                  <c:v>3.63483</c:v>
                </c:pt>
                <c:pt idx="32">
                  <c:v>3.6440800000000002</c:v>
                </c:pt>
                <c:pt idx="33">
                  <c:v>3.6473800000000001</c:v>
                </c:pt>
                <c:pt idx="34">
                  <c:v>3.6486600000000005</c:v>
                </c:pt>
                <c:pt idx="35">
                  <c:v>3.6504300000000001</c:v>
                </c:pt>
                <c:pt idx="36">
                  <c:v>3.6529499999999997</c:v>
                </c:pt>
                <c:pt idx="37">
                  <c:v>3.6525400000000001</c:v>
                </c:pt>
                <c:pt idx="38">
                  <c:v>3.6533600000000002</c:v>
                </c:pt>
                <c:pt idx="39">
                  <c:v>3.65768</c:v>
                </c:pt>
                <c:pt idx="40">
                  <c:v>3.6654100000000001</c:v>
                </c:pt>
                <c:pt idx="41">
                  <c:v>3.6747899999999998</c:v>
                </c:pt>
                <c:pt idx="42">
                  <c:v>3.6850399999999999</c:v>
                </c:pt>
                <c:pt idx="43">
                  <c:v>3.6969400000000001</c:v>
                </c:pt>
                <c:pt idx="44">
                  <c:v>3.7096</c:v>
                </c:pt>
                <c:pt idx="45">
                  <c:v>3.7237499999999999</c:v>
                </c:pt>
                <c:pt idx="46">
                  <c:v>3.7357299999999998</c:v>
                </c:pt>
                <c:pt idx="47">
                  <c:v>3.7503500000000001</c:v>
                </c:pt>
                <c:pt idx="48">
                  <c:v>3.7663500000000001</c:v>
                </c:pt>
                <c:pt idx="49">
                  <c:v>3.78179</c:v>
                </c:pt>
                <c:pt idx="50">
                  <c:v>3.7938800000000001</c:v>
                </c:pt>
                <c:pt idx="51">
                  <c:v>3.7957400000000003</c:v>
                </c:pt>
                <c:pt idx="52">
                  <c:v>3.7974599999999996</c:v>
                </c:pt>
                <c:pt idx="53">
                  <c:v>3.7980100000000001</c:v>
                </c:pt>
                <c:pt idx="54">
                  <c:v>3.8037700000000001</c:v>
                </c:pt>
                <c:pt idx="55">
                  <c:v>3.8093700000000004</c:v>
                </c:pt>
                <c:pt idx="56">
                  <c:v>3.8161699999999996</c:v>
                </c:pt>
                <c:pt idx="57">
                  <c:v>3.8221400000000001</c:v>
                </c:pt>
                <c:pt idx="58">
                  <c:v>3.8329499999999999</c:v>
                </c:pt>
                <c:pt idx="59">
                  <c:v>3.8489599999999999</c:v>
                </c:pt>
                <c:pt idx="60">
                  <c:v>3.8693599999999999</c:v>
                </c:pt>
                <c:pt idx="61">
                  <c:v>3.89059</c:v>
                </c:pt>
                <c:pt idx="62">
                  <c:v>3.9138099999999998</c:v>
                </c:pt>
                <c:pt idx="63">
                  <c:v>3.9396100000000001</c:v>
                </c:pt>
                <c:pt idx="64">
                  <c:v>3.9629300000000001</c:v>
                </c:pt>
                <c:pt idx="65">
                  <c:v>3.9799800000000003</c:v>
                </c:pt>
                <c:pt idx="66">
                  <c:v>3.99566</c:v>
                </c:pt>
                <c:pt idx="67">
                  <c:v>4.0090300000000001</c:v>
                </c:pt>
                <c:pt idx="68">
                  <c:v>4.0223399999999998</c:v>
                </c:pt>
                <c:pt idx="69">
                  <c:v>4.0331400000000004</c:v>
                </c:pt>
                <c:pt idx="70">
                  <c:v>4.0373000000000001</c:v>
                </c:pt>
                <c:pt idx="71">
                  <c:v>4.0403000000000002</c:v>
                </c:pt>
                <c:pt idx="72">
                  <c:v>4.0414399999999997</c:v>
                </c:pt>
                <c:pt idx="73">
                  <c:v>4.0324299999999997</c:v>
                </c:pt>
                <c:pt idx="74">
                  <c:v>4.0218100000000003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14.937075</c:v>
                </c:pt>
                <c:pt idx="1">
                  <c:v>44.811225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3.5032674324324322</c:v>
                </c:pt>
                <c:pt idx="1">
                  <c:v>3.6831781081081072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0.40678399999999998</c:v>
                </c:pt>
                <c:pt idx="2">
                  <c:v>0.80868899999999999</c:v>
                </c:pt>
                <c:pt idx="3">
                  <c:v>1.21458</c:v>
                </c:pt>
                <c:pt idx="4">
                  <c:v>1.62165</c:v>
                </c:pt>
                <c:pt idx="5">
                  <c:v>2.0314299999999998</c:v>
                </c:pt>
                <c:pt idx="6">
                  <c:v>2.4323600000000001</c:v>
                </c:pt>
                <c:pt idx="7">
                  <c:v>2.84226</c:v>
                </c:pt>
                <c:pt idx="8">
                  <c:v>3.2461799999999998</c:v>
                </c:pt>
                <c:pt idx="9">
                  <c:v>3.6560999999999999</c:v>
                </c:pt>
                <c:pt idx="10">
                  <c:v>4.0579599999999996</c:v>
                </c:pt>
                <c:pt idx="11">
                  <c:v>4.4628699999999997</c:v>
                </c:pt>
                <c:pt idx="12">
                  <c:v>4.8783099999999999</c:v>
                </c:pt>
                <c:pt idx="13">
                  <c:v>5.2786799999999996</c:v>
                </c:pt>
                <c:pt idx="14">
                  <c:v>5.68459</c:v>
                </c:pt>
                <c:pt idx="15">
                  <c:v>6.0897100000000002</c:v>
                </c:pt>
                <c:pt idx="16">
                  <c:v>6.4974699999999999</c:v>
                </c:pt>
                <c:pt idx="17">
                  <c:v>6.9015899999999997</c:v>
                </c:pt>
                <c:pt idx="18">
                  <c:v>7.3133299999999997</c:v>
                </c:pt>
                <c:pt idx="19">
                  <c:v>7.71915</c:v>
                </c:pt>
                <c:pt idx="20">
                  <c:v>8.1241299999999992</c:v>
                </c:pt>
                <c:pt idx="21">
                  <c:v>8.5290700000000008</c:v>
                </c:pt>
                <c:pt idx="22">
                  <c:v>8.9360900000000001</c:v>
                </c:pt>
                <c:pt idx="23">
                  <c:v>9.34422</c:v>
                </c:pt>
                <c:pt idx="24">
                  <c:v>9.7499099999999999</c:v>
                </c:pt>
                <c:pt idx="25">
                  <c:v>10.1517</c:v>
                </c:pt>
                <c:pt idx="26">
                  <c:v>10.5586</c:v>
                </c:pt>
                <c:pt idx="27">
                  <c:v>10.9657</c:v>
                </c:pt>
                <c:pt idx="28">
                  <c:v>11.375400000000001</c:v>
                </c:pt>
                <c:pt idx="29">
                  <c:v>11.7758</c:v>
                </c:pt>
                <c:pt idx="30">
                  <c:v>12.186299999999999</c:v>
                </c:pt>
                <c:pt idx="31">
                  <c:v>12.5932</c:v>
                </c:pt>
                <c:pt idx="32">
                  <c:v>12.9962</c:v>
                </c:pt>
                <c:pt idx="33">
                  <c:v>13.404999999999999</c:v>
                </c:pt>
                <c:pt idx="34">
                  <c:v>13.815899999999999</c:v>
                </c:pt>
                <c:pt idx="35">
                  <c:v>14.216799999999999</c:v>
                </c:pt>
                <c:pt idx="36">
                  <c:v>14.623699999999999</c:v>
                </c:pt>
                <c:pt idx="37">
                  <c:v>15.025700000000001</c:v>
                </c:pt>
                <c:pt idx="38">
                  <c:v>15.4376</c:v>
                </c:pt>
                <c:pt idx="39">
                  <c:v>15.8446</c:v>
                </c:pt>
                <c:pt idx="40">
                  <c:v>16.250399999999999</c:v>
                </c:pt>
                <c:pt idx="41">
                  <c:v>16.653400000000001</c:v>
                </c:pt>
                <c:pt idx="42">
                  <c:v>17.061599999999999</c:v>
                </c:pt>
                <c:pt idx="43">
                  <c:v>17.466200000000001</c:v>
                </c:pt>
                <c:pt idx="44">
                  <c:v>17.873999999999999</c:v>
                </c:pt>
                <c:pt idx="45">
                  <c:v>18.280899999999999</c:v>
                </c:pt>
                <c:pt idx="46">
                  <c:v>18.683800000000002</c:v>
                </c:pt>
                <c:pt idx="47">
                  <c:v>19.088699999999999</c:v>
                </c:pt>
                <c:pt idx="48">
                  <c:v>19.500699999999998</c:v>
                </c:pt>
                <c:pt idx="49">
                  <c:v>19.904599999999999</c:v>
                </c:pt>
                <c:pt idx="50">
                  <c:v>20.311699999999998</c:v>
                </c:pt>
                <c:pt idx="51">
                  <c:v>20.7165</c:v>
                </c:pt>
                <c:pt idx="52">
                  <c:v>21.1204</c:v>
                </c:pt>
                <c:pt idx="53">
                  <c:v>21.5276</c:v>
                </c:pt>
                <c:pt idx="54">
                  <c:v>21.935199999999998</c:v>
                </c:pt>
                <c:pt idx="55">
                  <c:v>22.3414</c:v>
                </c:pt>
                <c:pt idx="56">
                  <c:v>22.7471</c:v>
                </c:pt>
                <c:pt idx="57">
                  <c:v>23.157</c:v>
                </c:pt>
                <c:pt idx="58">
                  <c:v>23.561900000000001</c:v>
                </c:pt>
                <c:pt idx="59">
                  <c:v>23.966799999999999</c:v>
                </c:pt>
                <c:pt idx="60">
                  <c:v>24.373799999999999</c:v>
                </c:pt>
                <c:pt idx="61">
                  <c:v>24.778700000000001</c:v>
                </c:pt>
                <c:pt idx="62">
                  <c:v>25.186499999999999</c:v>
                </c:pt>
                <c:pt idx="63">
                  <c:v>25.592500000000001</c:v>
                </c:pt>
                <c:pt idx="64">
                  <c:v>25.997399999999999</c:v>
                </c:pt>
                <c:pt idx="65">
                  <c:v>26.4023</c:v>
                </c:pt>
                <c:pt idx="66">
                  <c:v>26.810400000000001</c:v>
                </c:pt>
                <c:pt idx="67">
                  <c:v>27.2194</c:v>
                </c:pt>
                <c:pt idx="68">
                  <c:v>27.627199999999998</c:v>
                </c:pt>
                <c:pt idx="69">
                  <c:v>28.0289</c:v>
                </c:pt>
                <c:pt idx="70">
                  <c:v>28.434799999999999</c:v>
                </c:pt>
                <c:pt idx="71">
                  <c:v>28.838899999999999</c:v>
                </c:pt>
                <c:pt idx="72">
                  <c:v>29.251799999999999</c:v>
                </c:pt>
                <c:pt idx="73">
                  <c:v>29.654599999999999</c:v>
                </c:pt>
                <c:pt idx="74">
                  <c:v>30.061599999999999</c:v>
                </c:pt>
                <c:pt idx="75">
                  <c:v>30.497399999999999</c:v>
                </c:pt>
                <c:pt idx="76">
                  <c:v>30.904299999999999</c:v>
                </c:pt>
                <c:pt idx="77">
                  <c:v>31.311199999999999</c:v>
                </c:pt>
                <c:pt idx="78">
                  <c:v>31.716999999999999</c:v>
                </c:pt>
                <c:pt idx="79">
                  <c:v>32.125999999999998</c:v>
                </c:pt>
                <c:pt idx="80">
                  <c:v>32.529899999999998</c:v>
                </c:pt>
                <c:pt idx="81">
                  <c:v>32.935000000000002</c:v>
                </c:pt>
                <c:pt idx="82">
                  <c:v>33.344799999999999</c:v>
                </c:pt>
                <c:pt idx="83">
                  <c:v>33.749699999999997</c:v>
                </c:pt>
                <c:pt idx="84">
                  <c:v>34.156500000000001</c:v>
                </c:pt>
                <c:pt idx="85">
                  <c:v>34.5625</c:v>
                </c:pt>
                <c:pt idx="86">
                  <c:v>34.964500000000001</c:v>
                </c:pt>
                <c:pt idx="87">
                  <c:v>35.376300000000001</c:v>
                </c:pt>
                <c:pt idx="88">
                  <c:v>35.782200000000003</c:v>
                </c:pt>
                <c:pt idx="89">
                  <c:v>36.186999999999998</c:v>
                </c:pt>
                <c:pt idx="90">
                  <c:v>36.591000000000001</c:v>
                </c:pt>
                <c:pt idx="91">
                  <c:v>36.997999999999998</c:v>
                </c:pt>
                <c:pt idx="92">
                  <c:v>37.404800000000002</c:v>
                </c:pt>
                <c:pt idx="93">
                  <c:v>37.811</c:v>
                </c:pt>
                <c:pt idx="94">
                  <c:v>38.216700000000003</c:v>
                </c:pt>
                <c:pt idx="95">
                  <c:v>38.624600000000001</c:v>
                </c:pt>
                <c:pt idx="96">
                  <c:v>39.025500000000001</c:v>
                </c:pt>
                <c:pt idx="97">
                  <c:v>39.438400000000001</c:v>
                </c:pt>
                <c:pt idx="98">
                  <c:v>39.842399999999998</c:v>
                </c:pt>
                <c:pt idx="99">
                  <c:v>40.247300000000003</c:v>
                </c:pt>
                <c:pt idx="100">
                  <c:v>40.6571</c:v>
                </c:pt>
                <c:pt idx="101">
                  <c:v>41.061199999999999</c:v>
                </c:pt>
                <c:pt idx="102">
                  <c:v>41.466900000000003</c:v>
                </c:pt>
                <c:pt idx="103">
                  <c:v>41.873800000000003</c:v>
                </c:pt>
                <c:pt idx="104">
                  <c:v>42.28</c:v>
                </c:pt>
                <c:pt idx="105">
                  <c:v>42.686700000000002</c:v>
                </c:pt>
                <c:pt idx="106">
                  <c:v>43.095599999999997</c:v>
                </c:pt>
                <c:pt idx="107">
                  <c:v>43.499600000000001</c:v>
                </c:pt>
                <c:pt idx="108">
                  <c:v>43.903500000000001</c:v>
                </c:pt>
                <c:pt idx="109">
                  <c:v>44.312800000000003</c:v>
                </c:pt>
                <c:pt idx="110">
                  <c:v>44.717199999999998</c:v>
                </c:pt>
                <c:pt idx="111">
                  <c:v>45.122199999999999</c:v>
                </c:pt>
                <c:pt idx="112">
                  <c:v>45.530200000000001</c:v>
                </c:pt>
                <c:pt idx="113">
                  <c:v>45.935000000000002</c:v>
                </c:pt>
                <c:pt idx="114">
                  <c:v>46.341099999999997</c:v>
                </c:pt>
                <c:pt idx="115">
                  <c:v>46.750900000000001</c:v>
                </c:pt>
                <c:pt idx="116">
                  <c:v>47.151800000000001</c:v>
                </c:pt>
                <c:pt idx="117">
                  <c:v>47.558700000000002</c:v>
                </c:pt>
                <c:pt idx="118">
                  <c:v>47.966700000000003</c:v>
                </c:pt>
                <c:pt idx="119">
                  <c:v>48.3705</c:v>
                </c:pt>
                <c:pt idx="120">
                  <c:v>48.780500000000004</c:v>
                </c:pt>
                <c:pt idx="121">
                  <c:v>49.185299999999998</c:v>
                </c:pt>
                <c:pt idx="122">
                  <c:v>49.591200000000001</c:v>
                </c:pt>
                <c:pt idx="123">
                  <c:v>49.999200000000002</c:v>
                </c:pt>
                <c:pt idx="124">
                  <c:v>50.402999999999999</c:v>
                </c:pt>
                <c:pt idx="125">
                  <c:v>50.808999999999997</c:v>
                </c:pt>
                <c:pt idx="126">
                  <c:v>51.218899999999998</c:v>
                </c:pt>
                <c:pt idx="127">
                  <c:v>51.6248</c:v>
                </c:pt>
                <c:pt idx="128">
                  <c:v>52.030700000000003</c:v>
                </c:pt>
                <c:pt idx="129">
                  <c:v>52.434600000000003</c:v>
                </c:pt>
                <c:pt idx="130">
                  <c:v>52.841700000000003</c:v>
                </c:pt>
                <c:pt idx="131">
                  <c:v>53.245399999999997</c:v>
                </c:pt>
                <c:pt idx="132">
                  <c:v>53.651600000000002</c:v>
                </c:pt>
                <c:pt idx="133">
                  <c:v>54.060499999999998</c:v>
                </c:pt>
                <c:pt idx="134">
                  <c:v>54.463299999999997</c:v>
                </c:pt>
                <c:pt idx="135">
                  <c:v>54.872100000000003</c:v>
                </c:pt>
                <c:pt idx="136">
                  <c:v>55.2791</c:v>
                </c:pt>
                <c:pt idx="137">
                  <c:v>55.688000000000002</c:v>
                </c:pt>
                <c:pt idx="138">
                  <c:v>56.091999999999999</c:v>
                </c:pt>
                <c:pt idx="139">
                  <c:v>56.500900000000001</c:v>
                </c:pt>
                <c:pt idx="140">
                  <c:v>56.902700000000003</c:v>
                </c:pt>
                <c:pt idx="141">
                  <c:v>57.312899999999999</c:v>
                </c:pt>
                <c:pt idx="142">
                  <c:v>57.720500000000001</c:v>
                </c:pt>
                <c:pt idx="143">
                  <c:v>58.124499999999998</c:v>
                </c:pt>
                <c:pt idx="144">
                  <c:v>58.5334</c:v>
                </c:pt>
                <c:pt idx="145">
                  <c:v>58.939399999999999</c:v>
                </c:pt>
                <c:pt idx="146">
                  <c:v>59.341299999999997</c:v>
                </c:pt>
                <c:pt idx="147">
                  <c:v>59.7483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58.647400000000005</c:v>
                </c:pt>
                <c:pt idx="1">
                  <c:v>57.411599999999993</c:v>
                </c:pt>
                <c:pt idx="2">
                  <c:v>56.196300000000001</c:v>
                </c:pt>
                <c:pt idx="3">
                  <c:v>54.827499999999993</c:v>
                </c:pt>
                <c:pt idx="4">
                  <c:v>53.3996</c:v>
                </c:pt>
                <c:pt idx="5">
                  <c:v>51.956800000000001</c:v>
                </c:pt>
                <c:pt idx="6">
                  <c:v>50.511300000000006</c:v>
                </c:pt>
                <c:pt idx="7">
                  <c:v>49.145499999999998</c:v>
                </c:pt>
                <c:pt idx="8">
                  <c:v>47.886000000000003</c:v>
                </c:pt>
                <c:pt idx="9">
                  <c:v>46.616</c:v>
                </c:pt>
                <c:pt idx="10">
                  <c:v>45.452799999999996</c:v>
                </c:pt>
                <c:pt idx="11">
                  <c:v>44.433399999999999</c:v>
                </c:pt>
                <c:pt idx="12">
                  <c:v>43.347000000000001</c:v>
                </c:pt>
                <c:pt idx="13">
                  <c:v>42.313299999999998</c:v>
                </c:pt>
                <c:pt idx="14">
                  <c:v>41.411200000000001</c:v>
                </c:pt>
                <c:pt idx="15">
                  <c:v>40.646100000000004</c:v>
                </c:pt>
                <c:pt idx="16">
                  <c:v>39.852900000000005</c:v>
                </c:pt>
                <c:pt idx="17">
                  <c:v>39.168300000000002</c:v>
                </c:pt>
                <c:pt idx="18">
                  <c:v>38.727899999999998</c:v>
                </c:pt>
                <c:pt idx="19">
                  <c:v>38.401000000000003</c:v>
                </c:pt>
                <c:pt idx="20">
                  <c:v>38.224000000000004</c:v>
                </c:pt>
                <c:pt idx="21">
                  <c:v>38.136600000000001</c:v>
                </c:pt>
                <c:pt idx="22">
                  <c:v>38.001200000000004</c:v>
                </c:pt>
                <c:pt idx="23">
                  <c:v>37.817399999999999</c:v>
                </c:pt>
                <c:pt idx="24">
                  <c:v>37.702200000000005</c:v>
                </c:pt>
                <c:pt idx="25">
                  <c:v>37.677999999999997</c:v>
                </c:pt>
                <c:pt idx="26">
                  <c:v>37.7164</c:v>
                </c:pt>
                <c:pt idx="27">
                  <c:v>37.777999999999999</c:v>
                </c:pt>
                <c:pt idx="28">
                  <c:v>37.752699999999997</c:v>
                </c:pt>
                <c:pt idx="29">
                  <c:v>37.720100000000002</c:v>
                </c:pt>
                <c:pt idx="30">
                  <c:v>37.628499999999995</c:v>
                </c:pt>
                <c:pt idx="31">
                  <c:v>37.5229</c:v>
                </c:pt>
                <c:pt idx="32">
                  <c:v>37.462000000000003</c:v>
                </c:pt>
                <c:pt idx="33">
                  <c:v>37.3765</c:v>
                </c:pt>
                <c:pt idx="34">
                  <c:v>37.338000000000001</c:v>
                </c:pt>
                <c:pt idx="35">
                  <c:v>37.4009</c:v>
                </c:pt>
                <c:pt idx="36">
                  <c:v>37.450000000000003</c:v>
                </c:pt>
                <c:pt idx="37">
                  <c:v>37.528800000000004</c:v>
                </c:pt>
                <c:pt idx="38">
                  <c:v>37.639600000000002</c:v>
                </c:pt>
                <c:pt idx="39">
                  <c:v>37.781100000000002</c:v>
                </c:pt>
                <c:pt idx="40">
                  <c:v>37.956699999999998</c:v>
                </c:pt>
                <c:pt idx="41">
                  <c:v>38.202199999999998</c:v>
                </c:pt>
                <c:pt idx="42">
                  <c:v>38.456499999999998</c:v>
                </c:pt>
                <c:pt idx="43">
                  <c:v>38.694699999999997</c:v>
                </c:pt>
                <c:pt idx="44">
                  <c:v>38.860399999999998</c:v>
                </c:pt>
                <c:pt idx="45">
                  <c:v>38.990499999999997</c:v>
                </c:pt>
                <c:pt idx="46">
                  <c:v>39.103500000000004</c:v>
                </c:pt>
                <c:pt idx="47">
                  <c:v>39.243000000000002</c:v>
                </c:pt>
                <c:pt idx="48">
                  <c:v>39.4054</c:v>
                </c:pt>
                <c:pt idx="49">
                  <c:v>39.537599999999998</c:v>
                </c:pt>
                <c:pt idx="50">
                  <c:v>39.641999999999996</c:v>
                </c:pt>
                <c:pt idx="51">
                  <c:v>39.6873</c:v>
                </c:pt>
                <c:pt idx="52">
                  <c:v>39.694899999999997</c:v>
                </c:pt>
                <c:pt idx="53">
                  <c:v>39.734000000000002</c:v>
                </c:pt>
                <c:pt idx="54">
                  <c:v>39.774300000000004</c:v>
                </c:pt>
                <c:pt idx="55">
                  <c:v>39.823500000000003</c:v>
                </c:pt>
                <c:pt idx="56">
                  <c:v>39.848399999999998</c:v>
                </c:pt>
                <c:pt idx="57">
                  <c:v>39.850499999999997</c:v>
                </c:pt>
                <c:pt idx="58">
                  <c:v>39.860399999999998</c:v>
                </c:pt>
                <c:pt idx="59">
                  <c:v>39.842399999999998</c:v>
                </c:pt>
                <c:pt idx="60">
                  <c:v>39.753999999999998</c:v>
                </c:pt>
                <c:pt idx="61">
                  <c:v>39.727600000000002</c:v>
                </c:pt>
                <c:pt idx="62">
                  <c:v>39.690899999999999</c:v>
                </c:pt>
                <c:pt idx="63">
                  <c:v>39.684799999999996</c:v>
                </c:pt>
                <c:pt idx="64">
                  <c:v>39.6678</c:v>
                </c:pt>
                <c:pt idx="65">
                  <c:v>39.682299999999998</c:v>
                </c:pt>
                <c:pt idx="66">
                  <c:v>39.693100000000001</c:v>
                </c:pt>
                <c:pt idx="67">
                  <c:v>39.742400000000004</c:v>
                </c:pt>
                <c:pt idx="68">
                  <c:v>39.745799999999996</c:v>
                </c:pt>
                <c:pt idx="69">
                  <c:v>39.779899999999998</c:v>
                </c:pt>
                <c:pt idx="70">
                  <c:v>39.837699999999998</c:v>
                </c:pt>
                <c:pt idx="71">
                  <c:v>39.899299999999997</c:v>
                </c:pt>
                <c:pt idx="72">
                  <c:v>39.961999999999996</c:v>
                </c:pt>
                <c:pt idx="73">
                  <c:v>40.044699999999999</c:v>
                </c:pt>
                <c:pt idx="74">
                  <c:v>40.135399999999997</c:v>
                </c:pt>
                <c:pt idx="75">
                  <c:v>40.262100000000004</c:v>
                </c:pt>
                <c:pt idx="76">
                  <c:v>40.401499999999999</c:v>
                </c:pt>
                <c:pt idx="77">
                  <c:v>40.543300000000002</c:v>
                </c:pt>
                <c:pt idx="78">
                  <c:v>40.676000000000002</c:v>
                </c:pt>
                <c:pt idx="79">
                  <c:v>40.838099999999997</c:v>
                </c:pt>
                <c:pt idx="80">
                  <c:v>41.011800000000001</c:v>
                </c:pt>
                <c:pt idx="81">
                  <c:v>41.117399999999996</c:v>
                </c:pt>
                <c:pt idx="82">
                  <c:v>41.195500000000003</c:v>
                </c:pt>
                <c:pt idx="83">
                  <c:v>41.263300000000001</c:v>
                </c:pt>
                <c:pt idx="84">
                  <c:v>41.287800000000004</c:v>
                </c:pt>
                <c:pt idx="85">
                  <c:v>41.270099999999999</c:v>
                </c:pt>
                <c:pt idx="86">
                  <c:v>41.189799999999998</c:v>
                </c:pt>
                <c:pt idx="87">
                  <c:v>41.0807</c:v>
                </c:pt>
                <c:pt idx="88">
                  <c:v>40.943800000000003</c:v>
                </c:pt>
                <c:pt idx="89">
                  <c:v>40.813400000000001</c:v>
                </c:pt>
                <c:pt idx="90">
                  <c:v>40.590699999999998</c:v>
                </c:pt>
                <c:pt idx="91">
                  <c:v>40.402000000000001</c:v>
                </c:pt>
                <c:pt idx="92">
                  <c:v>40.147199999999998</c:v>
                </c:pt>
                <c:pt idx="93">
                  <c:v>39.903399999999998</c:v>
                </c:pt>
                <c:pt idx="94">
                  <c:v>39.6325</c:v>
                </c:pt>
                <c:pt idx="95">
                  <c:v>39.432200000000002</c:v>
                </c:pt>
                <c:pt idx="96">
                  <c:v>39.2012</c:v>
                </c:pt>
                <c:pt idx="97">
                  <c:v>38.963500000000003</c:v>
                </c:pt>
                <c:pt idx="98">
                  <c:v>38.708199999999998</c:v>
                </c:pt>
                <c:pt idx="99">
                  <c:v>38.454100000000004</c:v>
                </c:pt>
                <c:pt idx="100">
                  <c:v>38.166899999999998</c:v>
                </c:pt>
                <c:pt idx="101">
                  <c:v>37.921100000000003</c:v>
                </c:pt>
                <c:pt idx="102">
                  <c:v>37.704700000000003</c:v>
                </c:pt>
                <c:pt idx="103">
                  <c:v>37.452200000000005</c:v>
                </c:pt>
                <c:pt idx="104">
                  <c:v>37.2044</c:v>
                </c:pt>
                <c:pt idx="105">
                  <c:v>36.923699999999997</c:v>
                </c:pt>
                <c:pt idx="106">
                  <c:v>36.690800000000003</c:v>
                </c:pt>
                <c:pt idx="107">
                  <c:v>36.4358</c:v>
                </c:pt>
                <c:pt idx="108">
                  <c:v>36.228200000000001</c:v>
                </c:pt>
                <c:pt idx="109">
                  <c:v>36.032599999999995</c:v>
                </c:pt>
                <c:pt idx="110">
                  <c:v>35.872399999999999</c:v>
                </c:pt>
                <c:pt idx="111">
                  <c:v>35.737000000000002</c:v>
                </c:pt>
                <c:pt idx="112">
                  <c:v>35.6633</c:v>
                </c:pt>
                <c:pt idx="113">
                  <c:v>35.5565</c:v>
                </c:pt>
                <c:pt idx="114">
                  <c:v>35.428800000000003</c:v>
                </c:pt>
                <c:pt idx="115">
                  <c:v>35.3187</c:v>
                </c:pt>
                <c:pt idx="116">
                  <c:v>35.142000000000003</c:v>
                </c:pt>
                <c:pt idx="117">
                  <c:v>34.915900000000001</c:v>
                </c:pt>
                <c:pt idx="118">
                  <c:v>34.610700000000001</c:v>
                </c:pt>
                <c:pt idx="119">
                  <c:v>34.402500000000003</c:v>
                </c:pt>
                <c:pt idx="120">
                  <c:v>34.210900000000002</c:v>
                </c:pt>
                <c:pt idx="121">
                  <c:v>34.0762</c:v>
                </c:pt>
                <c:pt idx="122">
                  <c:v>33.932400000000001</c:v>
                </c:pt>
                <c:pt idx="123">
                  <c:v>33.788000000000004</c:v>
                </c:pt>
                <c:pt idx="124">
                  <c:v>33.731699999999996</c:v>
                </c:pt>
                <c:pt idx="125">
                  <c:v>33.695500000000003</c:v>
                </c:pt>
                <c:pt idx="126">
                  <c:v>33.619900000000001</c:v>
                </c:pt>
                <c:pt idx="127">
                  <c:v>33.569400000000002</c:v>
                </c:pt>
                <c:pt idx="128">
                  <c:v>33.567500000000003</c:v>
                </c:pt>
                <c:pt idx="129">
                  <c:v>33.559600000000003</c:v>
                </c:pt>
                <c:pt idx="130">
                  <c:v>33.5396</c:v>
                </c:pt>
                <c:pt idx="131">
                  <c:v>33.522200000000005</c:v>
                </c:pt>
                <c:pt idx="132">
                  <c:v>33.590499999999999</c:v>
                </c:pt>
                <c:pt idx="133">
                  <c:v>33.620699999999999</c:v>
                </c:pt>
                <c:pt idx="134">
                  <c:v>33.633000000000003</c:v>
                </c:pt>
                <c:pt idx="135">
                  <c:v>33.599699999999999</c:v>
                </c:pt>
                <c:pt idx="136">
                  <c:v>33.602499999999999</c:v>
                </c:pt>
                <c:pt idx="137">
                  <c:v>33.4482</c:v>
                </c:pt>
                <c:pt idx="138">
                  <c:v>33.198100000000004</c:v>
                </c:pt>
                <c:pt idx="139">
                  <c:v>32.926100000000005</c:v>
                </c:pt>
                <c:pt idx="140">
                  <c:v>32.681800000000003</c:v>
                </c:pt>
                <c:pt idx="141">
                  <c:v>32.5167</c:v>
                </c:pt>
                <c:pt idx="142">
                  <c:v>32.496600000000001</c:v>
                </c:pt>
                <c:pt idx="143">
                  <c:v>32.673499999999997</c:v>
                </c:pt>
                <c:pt idx="144">
                  <c:v>32.6496</c:v>
                </c:pt>
                <c:pt idx="145">
                  <c:v>32.602199999999996</c:v>
                </c:pt>
                <c:pt idx="146">
                  <c:v>32.543599999999998</c:v>
                </c:pt>
                <c:pt idx="147">
                  <c:v>32.510099999999994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0.40678399999999998</c:v>
                </c:pt>
                <c:pt idx="2">
                  <c:v>0.80868899999999999</c:v>
                </c:pt>
                <c:pt idx="3">
                  <c:v>1.21458</c:v>
                </c:pt>
                <c:pt idx="4">
                  <c:v>1.62165</c:v>
                </c:pt>
                <c:pt idx="5">
                  <c:v>2.0314299999999998</c:v>
                </c:pt>
                <c:pt idx="6">
                  <c:v>2.4323600000000001</c:v>
                </c:pt>
                <c:pt idx="7">
                  <c:v>2.84226</c:v>
                </c:pt>
                <c:pt idx="8">
                  <c:v>3.2461799999999998</c:v>
                </c:pt>
                <c:pt idx="9">
                  <c:v>3.6560999999999999</c:v>
                </c:pt>
                <c:pt idx="10">
                  <c:v>4.0579599999999996</c:v>
                </c:pt>
                <c:pt idx="11">
                  <c:v>4.4628699999999997</c:v>
                </c:pt>
                <c:pt idx="12">
                  <c:v>4.8783099999999999</c:v>
                </c:pt>
                <c:pt idx="13">
                  <c:v>5.2786799999999996</c:v>
                </c:pt>
                <c:pt idx="14">
                  <c:v>5.68459</c:v>
                </c:pt>
                <c:pt idx="15">
                  <c:v>6.0897100000000002</c:v>
                </c:pt>
                <c:pt idx="16">
                  <c:v>6.4974699999999999</c:v>
                </c:pt>
                <c:pt idx="17">
                  <c:v>6.9015899999999997</c:v>
                </c:pt>
                <c:pt idx="18">
                  <c:v>7.3133299999999997</c:v>
                </c:pt>
                <c:pt idx="19">
                  <c:v>7.71915</c:v>
                </c:pt>
                <c:pt idx="20">
                  <c:v>8.1241299999999992</c:v>
                </c:pt>
                <c:pt idx="21">
                  <c:v>8.5290700000000008</c:v>
                </c:pt>
                <c:pt idx="22">
                  <c:v>8.9360900000000001</c:v>
                </c:pt>
                <c:pt idx="23">
                  <c:v>9.34422</c:v>
                </c:pt>
                <c:pt idx="24">
                  <c:v>9.7499099999999999</c:v>
                </c:pt>
                <c:pt idx="25">
                  <c:v>10.1517</c:v>
                </c:pt>
                <c:pt idx="26">
                  <c:v>10.5586</c:v>
                </c:pt>
                <c:pt idx="27">
                  <c:v>10.9657</c:v>
                </c:pt>
                <c:pt idx="28">
                  <c:v>11.375400000000001</c:v>
                </c:pt>
                <c:pt idx="29">
                  <c:v>11.7758</c:v>
                </c:pt>
                <c:pt idx="30">
                  <c:v>12.186299999999999</c:v>
                </c:pt>
                <c:pt idx="31">
                  <c:v>12.5932</c:v>
                </c:pt>
                <c:pt idx="32">
                  <c:v>12.9962</c:v>
                </c:pt>
                <c:pt idx="33">
                  <c:v>13.404999999999999</c:v>
                </c:pt>
                <c:pt idx="34">
                  <c:v>13.815899999999999</c:v>
                </c:pt>
                <c:pt idx="35">
                  <c:v>14.216799999999999</c:v>
                </c:pt>
                <c:pt idx="36">
                  <c:v>14.623699999999999</c:v>
                </c:pt>
                <c:pt idx="37">
                  <c:v>15.025700000000001</c:v>
                </c:pt>
                <c:pt idx="38">
                  <c:v>15.4376</c:v>
                </c:pt>
                <c:pt idx="39">
                  <c:v>15.8446</c:v>
                </c:pt>
                <c:pt idx="40">
                  <c:v>16.250399999999999</c:v>
                </c:pt>
                <c:pt idx="41">
                  <c:v>16.653400000000001</c:v>
                </c:pt>
                <c:pt idx="42">
                  <c:v>17.061599999999999</c:v>
                </c:pt>
                <c:pt idx="43">
                  <c:v>17.466200000000001</c:v>
                </c:pt>
                <c:pt idx="44">
                  <c:v>17.873999999999999</c:v>
                </c:pt>
                <c:pt idx="45">
                  <c:v>18.280899999999999</c:v>
                </c:pt>
                <c:pt idx="46">
                  <c:v>18.683800000000002</c:v>
                </c:pt>
                <c:pt idx="47">
                  <c:v>19.088699999999999</c:v>
                </c:pt>
                <c:pt idx="48">
                  <c:v>19.500699999999998</c:v>
                </c:pt>
                <c:pt idx="49">
                  <c:v>19.904599999999999</c:v>
                </c:pt>
                <c:pt idx="50">
                  <c:v>20.311699999999998</c:v>
                </c:pt>
                <c:pt idx="51">
                  <c:v>20.7165</c:v>
                </c:pt>
                <c:pt idx="52">
                  <c:v>21.1204</c:v>
                </c:pt>
                <c:pt idx="53">
                  <c:v>21.5276</c:v>
                </c:pt>
                <c:pt idx="54">
                  <c:v>21.935199999999998</c:v>
                </c:pt>
                <c:pt idx="55">
                  <c:v>22.3414</c:v>
                </c:pt>
                <c:pt idx="56">
                  <c:v>22.7471</c:v>
                </c:pt>
                <c:pt idx="57">
                  <c:v>23.157</c:v>
                </c:pt>
                <c:pt idx="58">
                  <c:v>23.561900000000001</c:v>
                </c:pt>
                <c:pt idx="59">
                  <c:v>23.966799999999999</c:v>
                </c:pt>
                <c:pt idx="60">
                  <c:v>24.373799999999999</c:v>
                </c:pt>
                <c:pt idx="61">
                  <c:v>24.778700000000001</c:v>
                </c:pt>
                <c:pt idx="62">
                  <c:v>25.186499999999999</c:v>
                </c:pt>
                <c:pt idx="63">
                  <c:v>25.592500000000001</c:v>
                </c:pt>
                <c:pt idx="64">
                  <c:v>25.997399999999999</c:v>
                </c:pt>
                <c:pt idx="65">
                  <c:v>26.4023</c:v>
                </c:pt>
                <c:pt idx="66">
                  <c:v>26.810400000000001</c:v>
                </c:pt>
                <c:pt idx="67">
                  <c:v>27.2194</c:v>
                </c:pt>
                <c:pt idx="68">
                  <c:v>27.627199999999998</c:v>
                </c:pt>
                <c:pt idx="69">
                  <c:v>28.0289</c:v>
                </c:pt>
                <c:pt idx="70">
                  <c:v>28.434799999999999</c:v>
                </c:pt>
                <c:pt idx="71">
                  <c:v>28.838899999999999</c:v>
                </c:pt>
                <c:pt idx="72">
                  <c:v>29.251799999999999</c:v>
                </c:pt>
                <c:pt idx="73">
                  <c:v>29.654599999999999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58.647400000000005</c:v>
                </c:pt>
                <c:pt idx="1">
                  <c:v>57.411599999999993</c:v>
                </c:pt>
                <c:pt idx="2">
                  <c:v>56.196300000000001</c:v>
                </c:pt>
                <c:pt idx="3">
                  <c:v>54.827499999999993</c:v>
                </c:pt>
                <c:pt idx="4">
                  <c:v>53.3996</c:v>
                </c:pt>
                <c:pt idx="5">
                  <c:v>51.956800000000001</c:v>
                </c:pt>
                <c:pt idx="6">
                  <c:v>50.511300000000006</c:v>
                </c:pt>
                <c:pt idx="7">
                  <c:v>49.145499999999998</c:v>
                </c:pt>
                <c:pt idx="8">
                  <c:v>47.886000000000003</c:v>
                </c:pt>
                <c:pt idx="9">
                  <c:v>46.616</c:v>
                </c:pt>
                <c:pt idx="10">
                  <c:v>45.452799999999996</c:v>
                </c:pt>
                <c:pt idx="11">
                  <c:v>44.433399999999999</c:v>
                </c:pt>
                <c:pt idx="12">
                  <c:v>43.347000000000001</c:v>
                </c:pt>
                <c:pt idx="13">
                  <c:v>42.313299999999998</c:v>
                </c:pt>
                <c:pt idx="14">
                  <c:v>41.411200000000001</c:v>
                </c:pt>
                <c:pt idx="15">
                  <c:v>40.646100000000004</c:v>
                </c:pt>
                <c:pt idx="16">
                  <c:v>39.852900000000005</c:v>
                </c:pt>
                <c:pt idx="17">
                  <c:v>39.168300000000002</c:v>
                </c:pt>
                <c:pt idx="18">
                  <c:v>38.727899999999998</c:v>
                </c:pt>
                <c:pt idx="19">
                  <c:v>38.401000000000003</c:v>
                </c:pt>
                <c:pt idx="20">
                  <c:v>38.224000000000004</c:v>
                </c:pt>
                <c:pt idx="21">
                  <c:v>38.136600000000001</c:v>
                </c:pt>
                <c:pt idx="22">
                  <c:v>38.001200000000004</c:v>
                </c:pt>
                <c:pt idx="23">
                  <c:v>37.817399999999999</c:v>
                </c:pt>
                <c:pt idx="24">
                  <c:v>37.702200000000005</c:v>
                </c:pt>
                <c:pt idx="25">
                  <c:v>37.677999999999997</c:v>
                </c:pt>
                <c:pt idx="26">
                  <c:v>37.7164</c:v>
                </c:pt>
                <c:pt idx="27">
                  <c:v>37.777999999999999</c:v>
                </c:pt>
                <c:pt idx="28">
                  <c:v>37.752699999999997</c:v>
                </c:pt>
                <c:pt idx="29">
                  <c:v>37.720100000000002</c:v>
                </c:pt>
                <c:pt idx="30">
                  <c:v>37.628499999999995</c:v>
                </c:pt>
                <c:pt idx="31">
                  <c:v>37.5229</c:v>
                </c:pt>
                <c:pt idx="32">
                  <c:v>37.462000000000003</c:v>
                </c:pt>
                <c:pt idx="33">
                  <c:v>37.3765</c:v>
                </c:pt>
                <c:pt idx="34">
                  <c:v>37.338000000000001</c:v>
                </c:pt>
                <c:pt idx="35">
                  <c:v>37.4009</c:v>
                </c:pt>
                <c:pt idx="36">
                  <c:v>37.450000000000003</c:v>
                </c:pt>
                <c:pt idx="37">
                  <c:v>37.528800000000004</c:v>
                </c:pt>
                <c:pt idx="38">
                  <c:v>37.639600000000002</c:v>
                </c:pt>
                <c:pt idx="39">
                  <c:v>37.781100000000002</c:v>
                </c:pt>
                <c:pt idx="40">
                  <c:v>37.956699999999998</c:v>
                </c:pt>
                <c:pt idx="41">
                  <c:v>38.202199999999998</c:v>
                </c:pt>
                <c:pt idx="42">
                  <c:v>38.456499999999998</c:v>
                </c:pt>
                <c:pt idx="43">
                  <c:v>38.694699999999997</c:v>
                </c:pt>
                <c:pt idx="44">
                  <c:v>38.860399999999998</c:v>
                </c:pt>
                <c:pt idx="45">
                  <c:v>38.990499999999997</c:v>
                </c:pt>
                <c:pt idx="46">
                  <c:v>39.103500000000004</c:v>
                </c:pt>
                <c:pt idx="47">
                  <c:v>39.243000000000002</c:v>
                </c:pt>
                <c:pt idx="48">
                  <c:v>39.4054</c:v>
                </c:pt>
                <c:pt idx="49">
                  <c:v>39.537599999999998</c:v>
                </c:pt>
                <c:pt idx="50">
                  <c:v>39.641999999999996</c:v>
                </c:pt>
                <c:pt idx="51">
                  <c:v>39.6873</c:v>
                </c:pt>
                <c:pt idx="52">
                  <c:v>39.694899999999997</c:v>
                </c:pt>
                <c:pt idx="53">
                  <c:v>39.734000000000002</c:v>
                </c:pt>
                <c:pt idx="54">
                  <c:v>39.774300000000004</c:v>
                </c:pt>
                <c:pt idx="55">
                  <c:v>39.823500000000003</c:v>
                </c:pt>
                <c:pt idx="56">
                  <c:v>39.848399999999998</c:v>
                </c:pt>
                <c:pt idx="57">
                  <c:v>39.850499999999997</c:v>
                </c:pt>
                <c:pt idx="58">
                  <c:v>39.860399999999998</c:v>
                </c:pt>
                <c:pt idx="59">
                  <c:v>39.842399999999998</c:v>
                </c:pt>
                <c:pt idx="60">
                  <c:v>39.753999999999998</c:v>
                </c:pt>
                <c:pt idx="61">
                  <c:v>39.727600000000002</c:v>
                </c:pt>
                <c:pt idx="62">
                  <c:v>39.690899999999999</c:v>
                </c:pt>
                <c:pt idx="63">
                  <c:v>39.684799999999996</c:v>
                </c:pt>
                <c:pt idx="64">
                  <c:v>39.6678</c:v>
                </c:pt>
                <c:pt idx="65">
                  <c:v>39.682299999999998</c:v>
                </c:pt>
                <c:pt idx="66">
                  <c:v>39.693100000000001</c:v>
                </c:pt>
                <c:pt idx="67">
                  <c:v>39.742400000000004</c:v>
                </c:pt>
                <c:pt idx="68">
                  <c:v>39.745799999999996</c:v>
                </c:pt>
                <c:pt idx="69">
                  <c:v>39.779899999999998</c:v>
                </c:pt>
                <c:pt idx="70">
                  <c:v>39.837699999999998</c:v>
                </c:pt>
                <c:pt idx="71">
                  <c:v>39.899299999999997</c:v>
                </c:pt>
                <c:pt idx="72">
                  <c:v>39.961999999999996</c:v>
                </c:pt>
                <c:pt idx="73">
                  <c:v>40.044699999999999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30.061599999999999</c:v>
                </c:pt>
                <c:pt idx="2">
                  <c:v>30.497399999999999</c:v>
                </c:pt>
                <c:pt idx="3">
                  <c:v>30.904299999999999</c:v>
                </c:pt>
                <c:pt idx="4">
                  <c:v>31.311199999999999</c:v>
                </c:pt>
                <c:pt idx="5">
                  <c:v>31.716999999999999</c:v>
                </c:pt>
                <c:pt idx="6">
                  <c:v>32.125999999999998</c:v>
                </c:pt>
                <c:pt idx="7">
                  <c:v>32.529899999999998</c:v>
                </c:pt>
                <c:pt idx="8">
                  <c:v>32.935000000000002</c:v>
                </c:pt>
                <c:pt idx="9">
                  <c:v>33.344799999999999</c:v>
                </c:pt>
                <c:pt idx="10">
                  <c:v>33.749699999999997</c:v>
                </c:pt>
                <c:pt idx="11">
                  <c:v>34.156500000000001</c:v>
                </c:pt>
                <c:pt idx="12">
                  <c:v>34.5625</c:v>
                </c:pt>
                <c:pt idx="13">
                  <c:v>34.964500000000001</c:v>
                </c:pt>
                <c:pt idx="14">
                  <c:v>35.376300000000001</c:v>
                </c:pt>
                <c:pt idx="15">
                  <c:v>35.782200000000003</c:v>
                </c:pt>
                <c:pt idx="16">
                  <c:v>36.186999999999998</c:v>
                </c:pt>
                <c:pt idx="17">
                  <c:v>36.591000000000001</c:v>
                </c:pt>
                <c:pt idx="18">
                  <c:v>36.997999999999998</c:v>
                </c:pt>
                <c:pt idx="19">
                  <c:v>37.404800000000002</c:v>
                </c:pt>
                <c:pt idx="20">
                  <c:v>37.811</c:v>
                </c:pt>
                <c:pt idx="21">
                  <c:v>38.216700000000003</c:v>
                </c:pt>
                <c:pt idx="22">
                  <c:v>38.624600000000001</c:v>
                </c:pt>
                <c:pt idx="23">
                  <c:v>39.025500000000001</c:v>
                </c:pt>
                <c:pt idx="24">
                  <c:v>39.438400000000001</c:v>
                </c:pt>
                <c:pt idx="25">
                  <c:v>39.842399999999998</c:v>
                </c:pt>
                <c:pt idx="26">
                  <c:v>40.247300000000003</c:v>
                </c:pt>
                <c:pt idx="27">
                  <c:v>40.6571</c:v>
                </c:pt>
                <c:pt idx="28">
                  <c:v>41.061199999999999</c:v>
                </c:pt>
                <c:pt idx="29">
                  <c:v>41.466900000000003</c:v>
                </c:pt>
                <c:pt idx="30">
                  <c:v>41.873800000000003</c:v>
                </c:pt>
                <c:pt idx="31">
                  <c:v>42.28</c:v>
                </c:pt>
                <c:pt idx="32">
                  <c:v>42.686700000000002</c:v>
                </c:pt>
                <c:pt idx="33">
                  <c:v>43.095599999999997</c:v>
                </c:pt>
                <c:pt idx="34">
                  <c:v>43.499600000000001</c:v>
                </c:pt>
                <c:pt idx="35">
                  <c:v>43.903500000000001</c:v>
                </c:pt>
                <c:pt idx="36">
                  <c:v>44.312800000000003</c:v>
                </c:pt>
                <c:pt idx="37">
                  <c:v>44.717199999999998</c:v>
                </c:pt>
                <c:pt idx="38">
                  <c:v>45.122199999999999</c:v>
                </c:pt>
                <c:pt idx="39">
                  <c:v>45.530200000000001</c:v>
                </c:pt>
                <c:pt idx="40">
                  <c:v>45.935000000000002</c:v>
                </c:pt>
                <c:pt idx="41">
                  <c:v>46.341099999999997</c:v>
                </c:pt>
                <c:pt idx="42">
                  <c:v>46.750900000000001</c:v>
                </c:pt>
                <c:pt idx="43">
                  <c:v>47.151800000000001</c:v>
                </c:pt>
                <c:pt idx="44">
                  <c:v>47.558700000000002</c:v>
                </c:pt>
                <c:pt idx="45">
                  <c:v>47.966700000000003</c:v>
                </c:pt>
                <c:pt idx="46">
                  <c:v>48.3705</c:v>
                </c:pt>
                <c:pt idx="47">
                  <c:v>48.780500000000004</c:v>
                </c:pt>
                <c:pt idx="48">
                  <c:v>49.185299999999998</c:v>
                </c:pt>
                <c:pt idx="49">
                  <c:v>49.591200000000001</c:v>
                </c:pt>
                <c:pt idx="50">
                  <c:v>49.999200000000002</c:v>
                </c:pt>
                <c:pt idx="51">
                  <c:v>50.402999999999999</c:v>
                </c:pt>
                <c:pt idx="52">
                  <c:v>50.808999999999997</c:v>
                </c:pt>
                <c:pt idx="53">
                  <c:v>51.218899999999998</c:v>
                </c:pt>
                <c:pt idx="54">
                  <c:v>51.6248</c:v>
                </c:pt>
                <c:pt idx="55">
                  <c:v>52.030700000000003</c:v>
                </c:pt>
                <c:pt idx="56">
                  <c:v>52.434600000000003</c:v>
                </c:pt>
                <c:pt idx="57">
                  <c:v>52.841700000000003</c:v>
                </c:pt>
                <c:pt idx="58">
                  <c:v>53.245399999999997</c:v>
                </c:pt>
                <c:pt idx="59">
                  <c:v>53.651600000000002</c:v>
                </c:pt>
                <c:pt idx="60">
                  <c:v>54.060499999999998</c:v>
                </c:pt>
                <c:pt idx="61">
                  <c:v>54.463299999999997</c:v>
                </c:pt>
                <c:pt idx="62">
                  <c:v>54.872100000000003</c:v>
                </c:pt>
                <c:pt idx="63">
                  <c:v>55.2791</c:v>
                </c:pt>
                <c:pt idx="64">
                  <c:v>55.688000000000002</c:v>
                </c:pt>
                <c:pt idx="65">
                  <c:v>56.091999999999999</c:v>
                </c:pt>
                <c:pt idx="66">
                  <c:v>56.500900000000001</c:v>
                </c:pt>
                <c:pt idx="67">
                  <c:v>56.902700000000003</c:v>
                </c:pt>
                <c:pt idx="68">
                  <c:v>57.312899999999999</c:v>
                </c:pt>
                <c:pt idx="69">
                  <c:v>57.720500000000001</c:v>
                </c:pt>
                <c:pt idx="70">
                  <c:v>58.124499999999998</c:v>
                </c:pt>
                <c:pt idx="71">
                  <c:v>58.5334</c:v>
                </c:pt>
                <c:pt idx="72">
                  <c:v>58.939399999999999</c:v>
                </c:pt>
                <c:pt idx="73">
                  <c:v>59.341299999999997</c:v>
                </c:pt>
                <c:pt idx="74">
                  <c:v>59.7483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40.044699999999999</c:v>
                </c:pt>
                <c:pt idx="1">
                  <c:v>40.135399999999997</c:v>
                </c:pt>
                <c:pt idx="2">
                  <c:v>40.262100000000004</c:v>
                </c:pt>
                <c:pt idx="3">
                  <c:v>40.401499999999999</c:v>
                </c:pt>
                <c:pt idx="4">
                  <c:v>40.543300000000002</c:v>
                </c:pt>
                <c:pt idx="5">
                  <c:v>40.676000000000002</c:v>
                </c:pt>
                <c:pt idx="6">
                  <c:v>40.838099999999997</c:v>
                </c:pt>
                <c:pt idx="7">
                  <c:v>41.011800000000001</c:v>
                </c:pt>
                <c:pt idx="8">
                  <c:v>41.117399999999996</c:v>
                </c:pt>
                <c:pt idx="9">
                  <c:v>41.195500000000003</c:v>
                </c:pt>
                <c:pt idx="10">
                  <c:v>41.263300000000001</c:v>
                </c:pt>
                <c:pt idx="11">
                  <c:v>41.287800000000004</c:v>
                </c:pt>
                <c:pt idx="12">
                  <c:v>41.270099999999999</c:v>
                </c:pt>
                <c:pt idx="13">
                  <c:v>41.189799999999998</c:v>
                </c:pt>
                <c:pt idx="14">
                  <c:v>41.0807</c:v>
                </c:pt>
                <c:pt idx="15">
                  <c:v>40.943800000000003</c:v>
                </c:pt>
                <c:pt idx="16">
                  <c:v>40.813400000000001</c:v>
                </c:pt>
                <c:pt idx="17">
                  <c:v>40.590699999999998</c:v>
                </c:pt>
                <c:pt idx="18">
                  <c:v>40.402000000000001</c:v>
                </c:pt>
                <c:pt idx="19">
                  <c:v>40.147199999999998</c:v>
                </c:pt>
                <c:pt idx="20">
                  <c:v>39.903399999999998</c:v>
                </c:pt>
                <c:pt idx="21">
                  <c:v>39.6325</c:v>
                </c:pt>
                <c:pt idx="22">
                  <c:v>39.432200000000002</c:v>
                </c:pt>
                <c:pt idx="23">
                  <c:v>39.2012</c:v>
                </c:pt>
                <c:pt idx="24">
                  <c:v>38.963500000000003</c:v>
                </c:pt>
                <c:pt idx="25">
                  <c:v>38.708199999999998</c:v>
                </c:pt>
                <c:pt idx="26">
                  <c:v>38.454100000000004</c:v>
                </c:pt>
                <c:pt idx="27">
                  <c:v>38.166899999999998</c:v>
                </c:pt>
                <c:pt idx="28">
                  <c:v>37.921100000000003</c:v>
                </c:pt>
                <c:pt idx="29">
                  <c:v>37.704700000000003</c:v>
                </c:pt>
                <c:pt idx="30">
                  <c:v>37.452200000000005</c:v>
                </c:pt>
                <c:pt idx="31">
                  <c:v>37.2044</c:v>
                </c:pt>
                <c:pt idx="32">
                  <c:v>36.923699999999997</c:v>
                </c:pt>
                <c:pt idx="33">
                  <c:v>36.690800000000003</c:v>
                </c:pt>
                <c:pt idx="34">
                  <c:v>36.4358</c:v>
                </c:pt>
                <c:pt idx="35">
                  <c:v>36.228200000000001</c:v>
                </c:pt>
                <c:pt idx="36">
                  <c:v>36.032599999999995</c:v>
                </c:pt>
                <c:pt idx="37">
                  <c:v>35.872399999999999</c:v>
                </c:pt>
                <c:pt idx="38">
                  <c:v>35.737000000000002</c:v>
                </c:pt>
                <c:pt idx="39">
                  <c:v>35.6633</c:v>
                </c:pt>
                <c:pt idx="40">
                  <c:v>35.5565</c:v>
                </c:pt>
                <c:pt idx="41">
                  <c:v>35.428800000000003</c:v>
                </c:pt>
                <c:pt idx="42">
                  <c:v>35.3187</c:v>
                </c:pt>
                <c:pt idx="43">
                  <c:v>35.142000000000003</c:v>
                </c:pt>
                <c:pt idx="44">
                  <c:v>34.915900000000001</c:v>
                </c:pt>
                <c:pt idx="45">
                  <c:v>34.610700000000001</c:v>
                </c:pt>
                <c:pt idx="46">
                  <c:v>34.402500000000003</c:v>
                </c:pt>
                <c:pt idx="47">
                  <c:v>34.210900000000002</c:v>
                </c:pt>
                <c:pt idx="48">
                  <c:v>34.0762</c:v>
                </c:pt>
                <c:pt idx="49">
                  <c:v>33.932400000000001</c:v>
                </c:pt>
                <c:pt idx="50">
                  <c:v>33.788000000000004</c:v>
                </c:pt>
                <c:pt idx="51">
                  <c:v>33.731699999999996</c:v>
                </c:pt>
                <c:pt idx="52">
                  <c:v>33.695500000000003</c:v>
                </c:pt>
                <c:pt idx="53">
                  <c:v>33.619900000000001</c:v>
                </c:pt>
                <c:pt idx="54">
                  <c:v>33.569400000000002</c:v>
                </c:pt>
                <c:pt idx="55">
                  <c:v>33.567500000000003</c:v>
                </c:pt>
                <c:pt idx="56">
                  <c:v>33.559600000000003</c:v>
                </c:pt>
                <c:pt idx="57">
                  <c:v>33.5396</c:v>
                </c:pt>
                <c:pt idx="58">
                  <c:v>33.522200000000005</c:v>
                </c:pt>
                <c:pt idx="59">
                  <c:v>33.590499999999999</c:v>
                </c:pt>
                <c:pt idx="60">
                  <c:v>33.620699999999999</c:v>
                </c:pt>
                <c:pt idx="61">
                  <c:v>33.633000000000003</c:v>
                </c:pt>
                <c:pt idx="62">
                  <c:v>33.599699999999999</c:v>
                </c:pt>
                <c:pt idx="63">
                  <c:v>33.602499999999999</c:v>
                </c:pt>
                <c:pt idx="64">
                  <c:v>33.4482</c:v>
                </c:pt>
                <c:pt idx="65">
                  <c:v>33.198100000000004</c:v>
                </c:pt>
                <c:pt idx="66">
                  <c:v>32.926100000000005</c:v>
                </c:pt>
                <c:pt idx="67">
                  <c:v>32.681800000000003</c:v>
                </c:pt>
                <c:pt idx="68">
                  <c:v>32.5167</c:v>
                </c:pt>
                <c:pt idx="69">
                  <c:v>32.496600000000001</c:v>
                </c:pt>
                <c:pt idx="70">
                  <c:v>32.673499999999997</c:v>
                </c:pt>
                <c:pt idx="71">
                  <c:v>32.6496</c:v>
                </c:pt>
                <c:pt idx="72">
                  <c:v>32.602199999999996</c:v>
                </c:pt>
                <c:pt idx="73">
                  <c:v>32.543599999999998</c:v>
                </c:pt>
                <c:pt idx="74">
                  <c:v>32.510099999999994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14.937075</c:v>
                </c:pt>
                <c:pt idx="1">
                  <c:v>44.811225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41.042260810810802</c:v>
                </c:pt>
                <c:pt idx="1">
                  <c:v>36.567283783783779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43.8187</c:v>
                </c:pt>
                <c:pt idx="1">
                  <c:v>34.660800000000002</c:v>
                </c:pt>
                <c:pt idx="2">
                  <c:v>36.254199999999997</c:v>
                </c:pt>
                <c:pt idx="3">
                  <c:v>39.2134</c:v>
                </c:pt>
                <c:pt idx="4">
                  <c:v>67.251800000000003</c:v>
                </c:pt>
                <c:pt idx="5">
                  <c:v>66.849199999999996</c:v>
                </c:pt>
                <c:pt idx="6">
                  <c:v>25.0321</c:v>
                </c:pt>
                <c:pt idx="7">
                  <c:v>67.153700000000001</c:v>
                </c:pt>
                <c:pt idx="8">
                  <c:v>20.348400000000002</c:v>
                </c:pt>
                <c:pt idx="9">
                  <c:v>29.140999999999998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43.319000000000003</c:v>
                </c:pt>
                <c:pt idx="1">
                  <c:v>34.772199999999998</c:v>
                </c:pt>
                <c:pt idx="2">
                  <c:v>36.341999999999999</c:v>
                </c:pt>
                <c:pt idx="3">
                  <c:v>38.716200000000001</c:v>
                </c:pt>
                <c:pt idx="4">
                  <c:v>53.720799999999997</c:v>
                </c:pt>
                <c:pt idx="5">
                  <c:v>63.2348</c:v>
                </c:pt>
                <c:pt idx="6">
                  <c:v>23.650200000000002</c:v>
                </c:pt>
                <c:pt idx="7">
                  <c:v>60.064300000000003</c:v>
                </c:pt>
                <c:pt idx="8">
                  <c:v>22.512699999999999</c:v>
                </c:pt>
                <c:pt idx="9">
                  <c:v>21.452200000000001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0.47220534848095641</c:v>
                </c:pt>
                <c:pt idx="1">
                  <c:v>0.32125004199596546</c:v>
                </c:pt>
                <c:pt idx="2">
                  <c:v>0.20654460952307815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2652</c:v>
                </c:pt>
                <c:pt idx="7">
                  <c:v>0</c:v>
                </c:pt>
                <c:pt idx="8">
                  <c:v>3631</c:v>
                </c:pt>
                <c:pt idx="9">
                  <c:v>0</c:v>
                </c:pt>
                <c:pt idx="10">
                  <c:v>0</c:v>
                </c:pt>
                <c:pt idx="11">
                  <c:v>5775</c:v>
                </c:pt>
                <c:pt idx="12">
                  <c:v>0</c:v>
                </c:pt>
                <c:pt idx="13">
                  <c:v>9537</c:v>
                </c:pt>
                <c:pt idx="14">
                  <c:v>0</c:v>
                </c:pt>
                <c:pt idx="15">
                  <c:v>0</c:v>
                </c:pt>
                <c:pt idx="16">
                  <c:v>13185</c:v>
                </c:pt>
                <c:pt idx="17">
                  <c:v>0</c:v>
                </c:pt>
                <c:pt idx="18">
                  <c:v>0</c:v>
                </c:pt>
                <c:pt idx="19">
                  <c:v>14915</c:v>
                </c:pt>
                <c:pt idx="20">
                  <c:v>0</c:v>
                </c:pt>
                <c:pt idx="21">
                  <c:v>19268</c:v>
                </c:pt>
                <c:pt idx="22">
                  <c:v>0</c:v>
                </c:pt>
                <c:pt idx="23">
                  <c:v>0</c:v>
                </c:pt>
                <c:pt idx="24">
                  <c:v>24077</c:v>
                </c:pt>
                <c:pt idx="25">
                  <c:v>0</c:v>
                </c:pt>
                <c:pt idx="26">
                  <c:v>29172</c:v>
                </c:pt>
                <c:pt idx="27">
                  <c:v>0</c:v>
                </c:pt>
                <c:pt idx="28">
                  <c:v>0</c:v>
                </c:pt>
                <c:pt idx="29">
                  <c:v>37999</c:v>
                </c:pt>
                <c:pt idx="30">
                  <c:v>0</c:v>
                </c:pt>
                <c:pt idx="31">
                  <c:v>38045</c:v>
                </c:pt>
                <c:pt idx="32">
                  <c:v>0</c:v>
                </c:pt>
                <c:pt idx="33">
                  <c:v>0</c:v>
                </c:pt>
                <c:pt idx="34">
                  <c:v>47404</c:v>
                </c:pt>
                <c:pt idx="35">
                  <c:v>0</c:v>
                </c:pt>
                <c:pt idx="36">
                  <c:v>0</c:v>
                </c:pt>
                <c:pt idx="37">
                  <c:v>43817</c:v>
                </c:pt>
                <c:pt idx="38">
                  <c:v>0</c:v>
                </c:pt>
                <c:pt idx="39">
                  <c:v>46584</c:v>
                </c:pt>
                <c:pt idx="40">
                  <c:v>0</c:v>
                </c:pt>
                <c:pt idx="41">
                  <c:v>0</c:v>
                </c:pt>
                <c:pt idx="42">
                  <c:v>47642</c:v>
                </c:pt>
                <c:pt idx="43">
                  <c:v>0</c:v>
                </c:pt>
                <c:pt idx="44">
                  <c:v>47951</c:v>
                </c:pt>
                <c:pt idx="45">
                  <c:v>0</c:v>
                </c:pt>
                <c:pt idx="46">
                  <c:v>0</c:v>
                </c:pt>
                <c:pt idx="47">
                  <c:v>43830</c:v>
                </c:pt>
                <c:pt idx="48">
                  <c:v>0</c:v>
                </c:pt>
                <c:pt idx="49">
                  <c:v>45398</c:v>
                </c:pt>
                <c:pt idx="50">
                  <c:v>0</c:v>
                </c:pt>
                <c:pt idx="51">
                  <c:v>0</c:v>
                </c:pt>
                <c:pt idx="52">
                  <c:v>46356</c:v>
                </c:pt>
                <c:pt idx="53">
                  <c:v>0</c:v>
                </c:pt>
                <c:pt idx="54">
                  <c:v>0</c:v>
                </c:pt>
                <c:pt idx="55">
                  <c:v>47990</c:v>
                </c:pt>
                <c:pt idx="56">
                  <c:v>0</c:v>
                </c:pt>
                <c:pt idx="57">
                  <c:v>51838</c:v>
                </c:pt>
                <c:pt idx="58">
                  <c:v>0</c:v>
                </c:pt>
                <c:pt idx="59">
                  <c:v>0</c:v>
                </c:pt>
                <c:pt idx="60">
                  <c:v>51514</c:v>
                </c:pt>
                <c:pt idx="61">
                  <c:v>0</c:v>
                </c:pt>
                <c:pt idx="62">
                  <c:v>51818</c:v>
                </c:pt>
                <c:pt idx="63">
                  <c:v>0</c:v>
                </c:pt>
                <c:pt idx="64">
                  <c:v>0</c:v>
                </c:pt>
                <c:pt idx="65">
                  <c:v>54928</c:v>
                </c:pt>
                <c:pt idx="66">
                  <c:v>0</c:v>
                </c:pt>
                <c:pt idx="67">
                  <c:v>57054</c:v>
                </c:pt>
                <c:pt idx="68">
                  <c:v>0</c:v>
                </c:pt>
                <c:pt idx="69">
                  <c:v>0</c:v>
                </c:pt>
                <c:pt idx="70">
                  <c:v>57934</c:v>
                </c:pt>
                <c:pt idx="71">
                  <c:v>0</c:v>
                </c:pt>
                <c:pt idx="72">
                  <c:v>0</c:v>
                </c:pt>
                <c:pt idx="73">
                  <c:v>56550</c:v>
                </c:pt>
                <c:pt idx="74">
                  <c:v>0</c:v>
                </c:pt>
                <c:pt idx="75">
                  <c:v>56468</c:v>
                </c:pt>
                <c:pt idx="76">
                  <c:v>0</c:v>
                </c:pt>
                <c:pt idx="77">
                  <c:v>0</c:v>
                </c:pt>
                <c:pt idx="78">
                  <c:v>54590</c:v>
                </c:pt>
                <c:pt idx="79">
                  <c:v>0</c:v>
                </c:pt>
                <c:pt idx="80">
                  <c:v>56146</c:v>
                </c:pt>
                <c:pt idx="81">
                  <c:v>0</c:v>
                </c:pt>
                <c:pt idx="82">
                  <c:v>0</c:v>
                </c:pt>
                <c:pt idx="83">
                  <c:v>60804</c:v>
                </c:pt>
                <c:pt idx="84">
                  <c:v>0</c:v>
                </c:pt>
                <c:pt idx="85">
                  <c:v>0</c:v>
                </c:pt>
                <c:pt idx="86">
                  <c:v>62512</c:v>
                </c:pt>
                <c:pt idx="87">
                  <c:v>0</c:v>
                </c:pt>
                <c:pt idx="88">
                  <c:v>60323</c:v>
                </c:pt>
                <c:pt idx="89">
                  <c:v>0</c:v>
                </c:pt>
                <c:pt idx="90">
                  <c:v>0</c:v>
                </c:pt>
                <c:pt idx="91">
                  <c:v>65195</c:v>
                </c:pt>
                <c:pt idx="92">
                  <c:v>0</c:v>
                </c:pt>
                <c:pt idx="93">
                  <c:v>68586</c:v>
                </c:pt>
                <c:pt idx="94">
                  <c:v>0</c:v>
                </c:pt>
                <c:pt idx="95">
                  <c:v>0</c:v>
                </c:pt>
                <c:pt idx="96">
                  <c:v>69479</c:v>
                </c:pt>
                <c:pt idx="97">
                  <c:v>0</c:v>
                </c:pt>
                <c:pt idx="98">
                  <c:v>76915</c:v>
                </c:pt>
                <c:pt idx="99">
                  <c:v>0</c:v>
                </c:pt>
                <c:pt idx="100">
                  <c:v>0</c:v>
                </c:pt>
                <c:pt idx="101">
                  <c:v>80427</c:v>
                </c:pt>
                <c:pt idx="102">
                  <c:v>0</c:v>
                </c:pt>
                <c:pt idx="103">
                  <c:v>0</c:v>
                </c:pt>
                <c:pt idx="104">
                  <c:v>76399</c:v>
                </c:pt>
                <c:pt idx="105">
                  <c:v>0</c:v>
                </c:pt>
                <c:pt idx="106">
                  <c:v>78963</c:v>
                </c:pt>
                <c:pt idx="107">
                  <c:v>0</c:v>
                </c:pt>
                <c:pt idx="108">
                  <c:v>0</c:v>
                </c:pt>
                <c:pt idx="109">
                  <c:v>85041</c:v>
                </c:pt>
                <c:pt idx="110">
                  <c:v>0</c:v>
                </c:pt>
                <c:pt idx="111">
                  <c:v>87182</c:v>
                </c:pt>
                <c:pt idx="112">
                  <c:v>0</c:v>
                </c:pt>
                <c:pt idx="113">
                  <c:v>0</c:v>
                </c:pt>
                <c:pt idx="114">
                  <c:v>81245</c:v>
                </c:pt>
                <c:pt idx="115">
                  <c:v>0</c:v>
                </c:pt>
                <c:pt idx="116">
                  <c:v>81078</c:v>
                </c:pt>
                <c:pt idx="117">
                  <c:v>0</c:v>
                </c:pt>
                <c:pt idx="118">
                  <c:v>0</c:v>
                </c:pt>
                <c:pt idx="119">
                  <c:v>73537</c:v>
                </c:pt>
                <c:pt idx="120">
                  <c:v>0</c:v>
                </c:pt>
                <c:pt idx="121">
                  <c:v>0</c:v>
                </c:pt>
                <c:pt idx="122">
                  <c:v>68998</c:v>
                </c:pt>
                <c:pt idx="123">
                  <c:v>0</c:v>
                </c:pt>
                <c:pt idx="124">
                  <c:v>55645</c:v>
                </c:pt>
                <c:pt idx="125">
                  <c:v>0</c:v>
                </c:pt>
                <c:pt idx="126">
                  <c:v>0</c:v>
                </c:pt>
                <c:pt idx="127">
                  <c:v>49699</c:v>
                </c:pt>
                <c:pt idx="128">
                  <c:v>0</c:v>
                </c:pt>
                <c:pt idx="129">
                  <c:v>50840</c:v>
                </c:pt>
                <c:pt idx="130">
                  <c:v>0</c:v>
                </c:pt>
                <c:pt idx="131">
                  <c:v>0</c:v>
                </c:pt>
                <c:pt idx="132">
                  <c:v>37253</c:v>
                </c:pt>
                <c:pt idx="133">
                  <c:v>0</c:v>
                </c:pt>
                <c:pt idx="134">
                  <c:v>32255</c:v>
                </c:pt>
                <c:pt idx="135">
                  <c:v>0</c:v>
                </c:pt>
                <c:pt idx="136">
                  <c:v>0</c:v>
                </c:pt>
                <c:pt idx="137">
                  <c:v>23498</c:v>
                </c:pt>
                <c:pt idx="138">
                  <c:v>0</c:v>
                </c:pt>
                <c:pt idx="139">
                  <c:v>0</c:v>
                </c:pt>
                <c:pt idx="140">
                  <c:v>19818</c:v>
                </c:pt>
                <c:pt idx="141">
                  <c:v>0</c:v>
                </c:pt>
                <c:pt idx="142">
                  <c:v>16022</c:v>
                </c:pt>
                <c:pt idx="143">
                  <c:v>0</c:v>
                </c:pt>
                <c:pt idx="144">
                  <c:v>0</c:v>
                </c:pt>
                <c:pt idx="145">
                  <c:v>15522</c:v>
                </c:pt>
                <c:pt idx="146">
                  <c:v>0</c:v>
                </c:pt>
                <c:pt idx="147">
                  <c:v>12384</c:v>
                </c:pt>
                <c:pt idx="148">
                  <c:v>0</c:v>
                </c:pt>
                <c:pt idx="149">
                  <c:v>0</c:v>
                </c:pt>
                <c:pt idx="150">
                  <c:v>11944</c:v>
                </c:pt>
                <c:pt idx="151">
                  <c:v>0</c:v>
                </c:pt>
                <c:pt idx="152">
                  <c:v>13960</c:v>
                </c:pt>
                <c:pt idx="153">
                  <c:v>0</c:v>
                </c:pt>
                <c:pt idx="154">
                  <c:v>0</c:v>
                </c:pt>
                <c:pt idx="155">
                  <c:v>10286</c:v>
                </c:pt>
                <c:pt idx="156">
                  <c:v>0</c:v>
                </c:pt>
                <c:pt idx="157">
                  <c:v>0</c:v>
                </c:pt>
                <c:pt idx="158">
                  <c:v>9165</c:v>
                </c:pt>
                <c:pt idx="159">
                  <c:v>0</c:v>
                </c:pt>
                <c:pt idx="160">
                  <c:v>6726</c:v>
                </c:pt>
                <c:pt idx="161">
                  <c:v>0</c:v>
                </c:pt>
                <c:pt idx="162">
                  <c:v>0</c:v>
                </c:pt>
                <c:pt idx="163">
                  <c:v>5941</c:v>
                </c:pt>
                <c:pt idx="164">
                  <c:v>0</c:v>
                </c:pt>
                <c:pt idx="165">
                  <c:v>6753</c:v>
                </c:pt>
                <c:pt idx="166">
                  <c:v>0</c:v>
                </c:pt>
                <c:pt idx="167">
                  <c:v>0</c:v>
                </c:pt>
                <c:pt idx="168">
                  <c:v>5113</c:v>
                </c:pt>
                <c:pt idx="169">
                  <c:v>0</c:v>
                </c:pt>
                <c:pt idx="170">
                  <c:v>0</c:v>
                </c:pt>
                <c:pt idx="171">
                  <c:v>3336</c:v>
                </c:pt>
                <c:pt idx="172">
                  <c:v>0</c:v>
                </c:pt>
                <c:pt idx="173">
                  <c:v>3058</c:v>
                </c:pt>
                <c:pt idx="174">
                  <c:v>0</c:v>
                </c:pt>
                <c:pt idx="175">
                  <c:v>0</c:v>
                </c:pt>
                <c:pt idx="176">
                  <c:v>4561</c:v>
                </c:pt>
                <c:pt idx="177">
                  <c:v>0</c:v>
                </c:pt>
                <c:pt idx="178">
                  <c:v>3740</c:v>
                </c:pt>
                <c:pt idx="179">
                  <c:v>0</c:v>
                </c:pt>
                <c:pt idx="180">
                  <c:v>0</c:v>
                </c:pt>
                <c:pt idx="181">
                  <c:v>1287</c:v>
                </c:pt>
                <c:pt idx="182">
                  <c:v>0</c:v>
                </c:pt>
                <c:pt idx="183">
                  <c:v>293</c:v>
                </c:pt>
                <c:pt idx="184">
                  <c:v>0</c:v>
                </c:pt>
                <c:pt idx="185">
                  <c:v>0</c:v>
                </c:pt>
                <c:pt idx="186">
                  <c:v>481</c:v>
                </c:pt>
                <c:pt idx="187">
                  <c:v>0</c:v>
                </c:pt>
                <c:pt idx="188">
                  <c:v>0</c:v>
                </c:pt>
                <c:pt idx="189">
                  <c:v>945</c:v>
                </c:pt>
                <c:pt idx="190">
                  <c:v>0</c:v>
                </c:pt>
                <c:pt idx="191">
                  <c:v>2316</c:v>
                </c:pt>
                <c:pt idx="192">
                  <c:v>0</c:v>
                </c:pt>
                <c:pt idx="193">
                  <c:v>0</c:v>
                </c:pt>
                <c:pt idx="194">
                  <c:v>1246</c:v>
                </c:pt>
                <c:pt idx="195">
                  <c:v>0</c:v>
                </c:pt>
                <c:pt idx="196">
                  <c:v>107</c:v>
                </c:pt>
                <c:pt idx="197">
                  <c:v>0</c:v>
                </c:pt>
                <c:pt idx="198">
                  <c:v>0</c:v>
                </c:pt>
                <c:pt idx="199">
                  <c:v>53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3298</c:v>
                </c:pt>
                <c:pt idx="7">
                  <c:v>0</c:v>
                </c:pt>
                <c:pt idx="8">
                  <c:v>4508</c:v>
                </c:pt>
                <c:pt idx="9">
                  <c:v>0</c:v>
                </c:pt>
                <c:pt idx="10">
                  <c:v>0</c:v>
                </c:pt>
                <c:pt idx="11">
                  <c:v>5517</c:v>
                </c:pt>
                <c:pt idx="12">
                  <c:v>0</c:v>
                </c:pt>
                <c:pt idx="13">
                  <c:v>7321</c:v>
                </c:pt>
                <c:pt idx="14">
                  <c:v>0</c:v>
                </c:pt>
                <c:pt idx="15">
                  <c:v>0</c:v>
                </c:pt>
                <c:pt idx="16">
                  <c:v>6616</c:v>
                </c:pt>
                <c:pt idx="17">
                  <c:v>0</c:v>
                </c:pt>
                <c:pt idx="18">
                  <c:v>0</c:v>
                </c:pt>
                <c:pt idx="19">
                  <c:v>7582</c:v>
                </c:pt>
                <c:pt idx="20">
                  <c:v>0</c:v>
                </c:pt>
                <c:pt idx="21">
                  <c:v>9005</c:v>
                </c:pt>
                <c:pt idx="22">
                  <c:v>0</c:v>
                </c:pt>
                <c:pt idx="23">
                  <c:v>0</c:v>
                </c:pt>
                <c:pt idx="24">
                  <c:v>12235</c:v>
                </c:pt>
                <c:pt idx="25">
                  <c:v>0</c:v>
                </c:pt>
                <c:pt idx="26">
                  <c:v>13559</c:v>
                </c:pt>
                <c:pt idx="27">
                  <c:v>0</c:v>
                </c:pt>
                <c:pt idx="28">
                  <c:v>0</c:v>
                </c:pt>
                <c:pt idx="29">
                  <c:v>16763</c:v>
                </c:pt>
                <c:pt idx="30">
                  <c:v>0</c:v>
                </c:pt>
                <c:pt idx="31">
                  <c:v>17582</c:v>
                </c:pt>
                <c:pt idx="32">
                  <c:v>0</c:v>
                </c:pt>
                <c:pt idx="33">
                  <c:v>0</c:v>
                </c:pt>
                <c:pt idx="34">
                  <c:v>15894</c:v>
                </c:pt>
                <c:pt idx="35">
                  <c:v>0</c:v>
                </c:pt>
                <c:pt idx="36">
                  <c:v>0</c:v>
                </c:pt>
                <c:pt idx="37">
                  <c:v>17402</c:v>
                </c:pt>
                <c:pt idx="38">
                  <c:v>0</c:v>
                </c:pt>
                <c:pt idx="39">
                  <c:v>18872</c:v>
                </c:pt>
                <c:pt idx="40">
                  <c:v>0</c:v>
                </c:pt>
                <c:pt idx="41">
                  <c:v>0</c:v>
                </c:pt>
                <c:pt idx="42">
                  <c:v>23365</c:v>
                </c:pt>
                <c:pt idx="43">
                  <c:v>0</c:v>
                </c:pt>
                <c:pt idx="44">
                  <c:v>29479</c:v>
                </c:pt>
                <c:pt idx="45">
                  <c:v>0</c:v>
                </c:pt>
                <c:pt idx="46">
                  <c:v>0</c:v>
                </c:pt>
                <c:pt idx="47">
                  <c:v>30215</c:v>
                </c:pt>
                <c:pt idx="48">
                  <c:v>0</c:v>
                </c:pt>
                <c:pt idx="49">
                  <c:v>40427</c:v>
                </c:pt>
                <c:pt idx="50">
                  <c:v>0</c:v>
                </c:pt>
                <c:pt idx="51">
                  <c:v>0</c:v>
                </c:pt>
                <c:pt idx="52">
                  <c:v>45622</c:v>
                </c:pt>
                <c:pt idx="53">
                  <c:v>0</c:v>
                </c:pt>
                <c:pt idx="54">
                  <c:v>0</c:v>
                </c:pt>
                <c:pt idx="55">
                  <c:v>55817</c:v>
                </c:pt>
                <c:pt idx="56">
                  <c:v>0</c:v>
                </c:pt>
                <c:pt idx="57">
                  <c:v>57431</c:v>
                </c:pt>
                <c:pt idx="58">
                  <c:v>0</c:v>
                </c:pt>
                <c:pt idx="59">
                  <c:v>0</c:v>
                </c:pt>
                <c:pt idx="60">
                  <c:v>61278</c:v>
                </c:pt>
                <c:pt idx="61">
                  <c:v>0</c:v>
                </c:pt>
                <c:pt idx="62">
                  <c:v>59515</c:v>
                </c:pt>
                <c:pt idx="63">
                  <c:v>0</c:v>
                </c:pt>
                <c:pt idx="64">
                  <c:v>0</c:v>
                </c:pt>
                <c:pt idx="65">
                  <c:v>66295</c:v>
                </c:pt>
                <c:pt idx="66">
                  <c:v>0</c:v>
                </c:pt>
                <c:pt idx="67">
                  <c:v>73364</c:v>
                </c:pt>
                <c:pt idx="68">
                  <c:v>0</c:v>
                </c:pt>
                <c:pt idx="69">
                  <c:v>0</c:v>
                </c:pt>
                <c:pt idx="70">
                  <c:v>84922</c:v>
                </c:pt>
                <c:pt idx="71">
                  <c:v>0</c:v>
                </c:pt>
                <c:pt idx="72">
                  <c:v>0</c:v>
                </c:pt>
                <c:pt idx="73">
                  <c:v>84627</c:v>
                </c:pt>
                <c:pt idx="74">
                  <c:v>0</c:v>
                </c:pt>
                <c:pt idx="75">
                  <c:v>97775</c:v>
                </c:pt>
                <c:pt idx="76">
                  <c:v>0</c:v>
                </c:pt>
                <c:pt idx="77">
                  <c:v>0</c:v>
                </c:pt>
                <c:pt idx="78">
                  <c:v>112857</c:v>
                </c:pt>
                <c:pt idx="79">
                  <c:v>0</c:v>
                </c:pt>
                <c:pt idx="80">
                  <c:v>117801</c:v>
                </c:pt>
                <c:pt idx="81">
                  <c:v>0</c:v>
                </c:pt>
                <c:pt idx="82">
                  <c:v>0</c:v>
                </c:pt>
                <c:pt idx="83">
                  <c:v>135130</c:v>
                </c:pt>
                <c:pt idx="84">
                  <c:v>0</c:v>
                </c:pt>
                <c:pt idx="85">
                  <c:v>0</c:v>
                </c:pt>
                <c:pt idx="86">
                  <c:v>143721</c:v>
                </c:pt>
                <c:pt idx="87">
                  <c:v>0</c:v>
                </c:pt>
                <c:pt idx="88">
                  <c:v>154515</c:v>
                </c:pt>
                <c:pt idx="89">
                  <c:v>0</c:v>
                </c:pt>
                <c:pt idx="90">
                  <c:v>0</c:v>
                </c:pt>
                <c:pt idx="91">
                  <c:v>160605</c:v>
                </c:pt>
                <c:pt idx="92">
                  <c:v>0</c:v>
                </c:pt>
                <c:pt idx="93">
                  <c:v>174615</c:v>
                </c:pt>
                <c:pt idx="94">
                  <c:v>0</c:v>
                </c:pt>
                <c:pt idx="95">
                  <c:v>0</c:v>
                </c:pt>
                <c:pt idx="96">
                  <c:v>163978</c:v>
                </c:pt>
                <c:pt idx="97">
                  <c:v>0</c:v>
                </c:pt>
                <c:pt idx="98">
                  <c:v>150453</c:v>
                </c:pt>
                <c:pt idx="99">
                  <c:v>0</c:v>
                </c:pt>
                <c:pt idx="100">
                  <c:v>0</c:v>
                </c:pt>
                <c:pt idx="101">
                  <c:v>149164</c:v>
                </c:pt>
                <c:pt idx="102">
                  <c:v>0</c:v>
                </c:pt>
                <c:pt idx="103">
                  <c:v>0</c:v>
                </c:pt>
                <c:pt idx="104">
                  <c:v>132929</c:v>
                </c:pt>
                <c:pt idx="105">
                  <c:v>0</c:v>
                </c:pt>
                <c:pt idx="106">
                  <c:v>116301</c:v>
                </c:pt>
                <c:pt idx="107">
                  <c:v>0</c:v>
                </c:pt>
                <c:pt idx="108">
                  <c:v>0</c:v>
                </c:pt>
                <c:pt idx="109">
                  <c:v>103029</c:v>
                </c:pt>
                <c:pt idx="110">
                  <c:v>0</c:v>
                </c:pt>
                <c:pt idx="111">
                  <c:v>88928</c:v>
                </c:pt>
                <c:pt idx="112">
                  <c:v>0</c:v>
                </c:pt>
                <c:pt idx="113">
                  <c:v>0</c:v>
                </c:pt>
                <c:pt idx="114">
                  <c:v>74573</c:v>
                </c:pt>
                <c:pt idx="115">
                  <c:v>0</c:v>
                </c:pt>
                <c:pt idx="116">
                  <c:v>64737</c:v>
                </c:pt>
                <c:pt idx="117">
                  <c:v>0</c:v>
                </c:pt>
                <c:pt idx="118">
                  <c:v>0</c:v>
                </c:pt>
                <c:pt idx="119">
                  <c:v>55595</c:v>
                </c:pt>
                <c:pt idx="120">
                  <c:v>0</c:v>
                </c:pt>
                <c:pt idx="121">
                  <c:v>0</c:v>
                </c:pt>
                <c:pt idx="122">
                  <c:v>46782</c:v>
                </c:pt>
                <c:pt idx="123">
                  <c:v>0</c:v>
                </c:pt>
                <c:pt idx="124">
                  <c:v>37647</c:v>
                </c:pt>
                <c:pt idx="125">
                  <c:v>0</c:v>
                </c:pt>
                <c:pt idx="126">
                  <c:v>0</c:v>
                </c:pt>
                <c:pt idx="127">
                  <c:v>35810</c:v>
                </c:pt>
                <c:pt idx="128">
                  <c:v>0</c:v>
                </c:pt>
                <c:pt idx="129">
                  <c:v>32818</c:v>
                </c:pt>
                <c:pt idx="130">
                  <c:v>0</c:v>
                </c:pt>
                <c:pt idx="131">
                  <c:v>0</c:v>
                </c:pt>
                <c:pt idx="132">
                  <c:v>29832</c:v>
                </c:pt>
                <c:pt idx="133">
                  <c:v>0</c:v>
                </c:pt>
                <c:pt idx="134">
                  <c:v>27018</c:v>
                </c:pt>
                <c:pt idx="135">
                  <c:v>0</c:v>
                </c:pt>
                <c:pt idx="136">
                  <c:v>0</c:v>
                </c:pt>
                <c:pt idx="137">
                  <c:v>20892</c:v>
                </c:pt>
                <c:pt idx="138">
                  <c:v>0</c:v>
                </c:pt>
                <c:pt idx="139">
                  <c:v>0</c:v>
                </c:pt>
                <c:pt idx="140">
                  <c:v>17173</c:v>
                </c:pt>
                <c:pt idx="141">
                  <c:v>0</c:v>
                </c:pt>
                <c:pt idx="142">
                  <c:v>16294</c:v>
                </c:pt>
                <c:pt idx="143">
                  <c:v>0</c:v>
                </c:pt>
                <c:pt idx="144">
                  <c:v>0</c:v>
                </c:pt>
                <c:pt idx="145">
                  <c:v>17049</c:v>
                </c:pt>
                <c:pt idx="146">
                  <c:v>0</c:v>
                </c:pt>
                <c:pt idx="147">
                  <c:v>15284</c:v>
                </c:pt>
                <c:pt idx="148">
                  <c:v>0</c:v>
                </c:pt>
                <c:pt idx="149">
                  <c:v>0</c:v>
                </c:pt>
                <c:pt idx="150">
                  <c:v>10981</c:v>
                </c:pt>
                <c:pt idx="151">
                  <c:v>0</c:v>
                </c:pt>
                <c:pt idx="152">
                  <c:v>11936</c:v>
                </c:pt>
                <c:pt idx="153">
                  <c:v>0</c:v>
                </c:pt>
                <c:pt idx="154">
                  <c:v>0</c:v>
                </c:pt>
                <c:pt idx="155">
                  <c:v>10662</c:v>
                </c:pt>
                <c:pt idx="156">
                  <c:v>0</c:v>
                </c:pt>
                <c:pt idx="157">
                  <c:v>0</c:v>
                </c:pt>
                <c:pt idx="158">
                  <c:v>11607</c:v>
                </c:pt>
                <c:pt idx="159">
                  <c:v>0</c:v>
                </c:pt>
                <c:pt idx="160">
                  <c:v>11508</c:v>
                </c:pt>
                <c:pt idx="161">
                  <c:v>0</c:v>
                </c:pt>
                <c:pt idx="162">
                  <c:v>0</c:v>
                </c:pt>
                <c:pt idx="163">
                  <c:v>10952</c:v>
                </c:pt>
                <c:pt idx="164">
                  <c:v>0</c:v>
                </c:pt>
                <c:pt idx="165">
                  <c:v>12608</c:v>
                </c:pt>
                <c:pt idx="166">
                  <c:v>0</c:v>
                </c:pt>
                <c:pt idx="167">
                  <c:v>0</c:v>
                </c:pt>
                <c:pt idx="168">
                  <c:v>12169</c:v>
                </c:pt>
                <c:pt idx="169">
                  <c:v>0</c:v>
                </c:pt>
                <c:pt idx="170">
                  <c:v>0</c:v>
                </c:pt>
                <c:pt idx="171">
                  <c:v>10910</c:v>
                </c:pt>
                <c:pt idx="172">
                  <c:v>0</c:v>
                </c:pt>
                <c:pt idx="173">
                  <c:v>12997</c:v>
                </c:pt>
                <c:pt idx="174">
                  <c:v>0</c:v>
                </c:pt>
                <c:pt idx="175">
                  <c:v>0</c:v>
                </c:pt>
                <c:pt idx="176">
                  <c:v>10823</c:v>
                </c:pt>
                <c:pt idx="177">
                  <c:v>0</c:v>
                </c:pt>
                <c:pt idx="178">
                  <c:v>8851</c:v>
                </c:pt>
                <c:pt idx="179">
                  <c:v>0</c:v>
                </c:pt>
                <c:pt idx="180">
                  <c:v>0</c:v>
                </c:pt>
                <c:pt idx="181">
                  <c:v>8902</c:v>
                </c:pt>
                <c:pt idx="182">
                  <c:v>0</c:v>
                </c:pt>
                <c:pt idx="183">
                  <c:v>8854</c:v>
                </c:pt>
                <c:pt idx="184">
                  <c:v>0</c:v>
                </c:pt>
                <c:pt idx="185">
                  <c:v>0</c:v>
                </c:pt>
                <c:pt idx="186">
                  <c:v>6789</c:v>
                </c:pt>
                <c:pt idx="187">
                  <c:v>0</c:v>
                </c:pt>
                <c:pt idx="188">
                  <c:v>0</c:v>
                </c:pt>
                <c:pt idx="189">
                  <c:v>5713</c:v>
                </c:pt>
                <c:pt idx="190">
                  <c:v>0</c:v>
                </c:pt>
                <c:pt idx="191">
                  <c:v>7856</c:v>
                </c:pt>
                <c:pt idx="192">
                  <c:v>0</c:v>
                </c:pt>
                <c:pt idx="193">
                  <c:v>0</c:v>
                </c:pt>
                <c:pt idx="194">
                  <c:v>7162</c:v>
                </c:pt>
                <c:pt idx="195">
                  <c:v>0</c:v>
                </c:pt>
                <c:pt idx="196">
                  <c:v>4688</c:v>
                </c:pt>
                <c:pt idx="197">
                  <c:v>0</c:v>
                </c:pt>
                <c:pt idx="198">
                  <c:v>0</c:v>
                </c:pt>
                <c:pt idx="199">
                  <c:v>3621</c:v>
                </c:pt>
                <c:pt idx="200">
                  <c:v>0</c:v>
                </c:pt>
                <c:pt idx="201">
                  <c:v>3275</c:v>
                </c:pt>
                <c:pt idx="202">
                  <c:v>0</c:v>
                </c:pt>
                <c:pt idx="203">
                  <c:v>0</c:v>
                </c:pt>
                <c:pt idx="204">
                  <c:v>2995</c:v>
                </c:pt>
                <c:pt idx="205">
                  <c:v>0</c:v>
                </c:pt>
                <c:pt idx="206">
                  <c:v>0</c:v>
                </c:pt>
                <c:pt idx="207">
                  <c:v>1152</c:v>
                </c:pt>
                <c:pt idx="208">
                  <c:v>0</c:v>
                </c:pt>
                <c:pt idx="209">
                  <c:v>808</c:v>
                </c:pt>
                <c:pt idx="210">
                  <c:v>0</c:v>
                </c:pt>
                <c:pt idx="211">
                  <c:v>0</c:v>
                </c:pt>
                <c:pt idx="212">
                  <c:v>599</c:v>
                </c:pt>
                <c:pt idx="213">
                  <c:v>0</c:v>
                </c:pt>
                <c:pt idx="214">
                  <c:v>341</c:v>
                </c:pt>
                <c:pt idx="215">
                  <c:v>0</c:v>
                </c:pt>
                <c:pt idx="216">
                  <c:v>0</c:v>
                </c:pt>
                <c:pt idx="217">
                  <c:v>1218</c:v>
                </c:pt>
                <c:pt idx="218">
                  <c:v>0</c:v>
                </c:pt>
                <c:pt idx="219">
                  <c:v>1489</c:v>
                </c:pt>
                <c:pt idx="220">
                  <c:v>0</c:v>
                </c:pt>
                <c:pt idx="221">
                  <c:v>0</c:v>
                </c:pt>
                <c:pt idx="222">
                  <c:v>338</c:v>
                </c:pt>
                <c:pt idx="223">
                  <c:v>0</c:v>
                </c:pt>
                <c:pt idx="224">
                  <c:v>0</c:v>
                </c:pt>
                <c:pt idx="225">
                  <c:v>69</c:v>
                </c:pt>
                <c:pt idx="226">
                  <c:v>0</c:v>
                </c:pt>
                <c:pt idx="227">
                  <c:v>70</c:v>
                </c:pt>
                <c:pt idx="228">
                  <c:v>0</c:v>
                </c:pt>
                <c:pt idx="229">
                  <c:v>0</c:v>
                </c:pt>
                <c:pt idx="230">
                  <c:v>483</c:v>
                </c:pt>
                <c:pt idx="231">
                  <c:v>0</c:v>
                </c:pt>
                <c:pt idx="232">
                  <c:v>393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0.20358358015538019</c:v>
                </c:pt>
                <c:pt idx="1">
                  <c:v>0.37294467970213496</c:v>
                </c:pt>
                <c:pt idx="2">
                  <c:v>0.42347174014248484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0.45426240630149273</c:v>
                </c:pt>
                <c:pt idx="1">
                  <c:v>0.34668849503553256</c:v>
                </c:pt>
                <c:pt idx="2">
                  <c:v>0.19904909866297466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6.3564375000000002</c:v>
                </c:pt>
                <c:pt idx="1">
                  <c:v>5.2940750000000003</c:v>
                </c:pt>
                <c:pt idx="2">
                  <c:v>26.418565000000001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0.40678399999999998</c:v>
                </c:pt>
                <c:pt idx="2">
                  <c:v>0.80868899999999999</c:v>
                </c:pt>
                <c:pt idx="3">
                  <c:v>1.21458</c:v>
                </c:pt>
                <c:pt idx="4">
                  <c:v>1.62165</c:v>
                </c:pt>
                <c:pt idx="5">
                  <c:v>2.0314299999999998</c:v>
                </c:pt>
                <c:pt idx="6">
                  <c:v>2.4323600000000001</c:v>
                </c:pt>
                <c:pt idx="7">
                  <c:v>2.84226</c:v>
                </c:pt>
                <c:pt idx="8">
                  <c:v>3.2461799999999998</c:v>
                </c:pt>
                <c:pt idx="9">
                  <c:v>3.6560999999999999</c:v>
                </c:pt>
                <c:pt idx="10">
                  <c:v>4.0579599999999996</c:v>
                </c:pt>
                <c:pt idx="11">
                  <c:v>4.4628699999999997</c:v>
                </c:pt>
                <c:pt idx="12">
                  <c:v>4.8783099999999999</c:v>
                </c:pt>
                <c:pt idx="13">
                  <c:v>5.2786799999999996</c:v>
                </c:pt>
                <c:pt idx="14">
                  <c:v>5.68459</c:v>
                </c:pt>
                <c:pt idx="15">
                  <c:v>6.0897100000000002</c:v>
                </c:pt>
                <c:pt idx="16">
                  <c:v>6.4974699999999999</c:v>
                </c:pt>
                <c:pt idx="17">
                  <c:v>6.9015899999999997</c:v>
                </c:pt>
                <c:pt idx="18">
                  <c:v>7.3133299999999997</c:v>
                </c:pt>
                <c:pt idx="19">
                  <c:v>7.71915</c:v>
                </c:pt>
                <c:pt idx="20">
                  <c:v>8.1241299999999992</c:v>
                </c:pt>
                <c:pt idx="21">
                  <c:v>8.5290700000000008</c:v>
                </c:pt>
                <c:pt idx="22">
                  <c:v>8.9360900000000001</c:v>
                </c:pt>
                <c:pt idx="23">
                  <c:v>9.34422</c:v>
                </c:pt>
                <c:pt idx="24">
                  <c:v>9.7499099999999999</c:v>
                </c:pt>
                <c:pt idx="25">
                  <c:v>10.1517</c:v>
                </c:pt>
                <c:pt idx="26">
                  <c:v>10.5586</c:v>
                </c:pt>
                <c:pt idx="27">
                  <c:v>10.9657</c:v>
                </c:pt>
                <c:pt idx="28">
                  <c:v>11.375400000000001</c:v>
                </c:pt>
                <c:pt idx="29">
                  <c:v>11.7758</c:v>
                </c:pt>
                <c:pt idx="30">
                  <c:v>12.186299999999999</c:v>
                </c:pt>
                <c:pt idx="31">
                  <c:v>12.5932</c:v>
                </c:pt>
                <c:pt idx="32">
                  <c:v>12.9962</c:v>
                </c:pt>
                <c:pt idx="33">
                  <c:v>13.404999999999999</c:v>
                </c:pt>
                <c:pt idx="34">
                  <c:v>13.815899999999999</c:v>
                </c:pt>
                <c:pt idx="35">
                  <c:v>14.216799999999999</c:v>
                </c:pt>
                <c:pt idx="36">
                  <c:v>14.623699999999999</c:v>
                </c:pt>
                <c:pt idx="37">
                  <c:v>15.025700000000001</c:v>
                </c:pt>
                <c:pt idx="38">
                  <c:v>15.4376</c:v>
                </c:pt>
                <c:pt idx="39">
                  <c:v>15.8446</c:v>
                </c:pt>
                <c:pt idx="40">
                  <c:v>16.250399999999999</c:v>
                </c:pt>
                <c:pt idx="41">
                  <c:v>16.653400000000001</c:v>
                </c:pt>
                <c:pt idx="42">
                  <c:v>17.061599999999999</c:v>
                </c:pt>
                <c:pt idx="43">
                  <c:v>17.466200000000001</c:v>
                </c:pt>
                <c:pt idx="44">
                  <c:v>17.873999999999999</c:v>
                </c:pt>
                <c:pt idx="45">
                  <c:v>18.280899999999999</c:v>
                </c:pt>
                <c:pt idx="46">
                  <c:v>18.683800000000002</c:v>
                </c:pt>
                <c:pt idx="47">
                  <c:v>19.088699999999999</c:v>
                </c:pt>
                <c:pt idx="48">
                  <c:v>19.500699999999998</c:v>
                </c:pt>
                <c:pt idx="49">
                  <c:v>19.904599999999999</c:v>
                </c:pt>
                <c:pt idx="50">
                  <c:v>20.311699999999998</c:v>
                </c:pt>
                <c:pt idx="51">
                  <c:v>20.7165</c:v>
                </c:pt>
                <c:pt idx="52">
                  <c:v>21.1204</c:v>
                </c:pt>
                <c:pt idx="53">
                  <c:v>21.5276</c:v>
                </c:pt>
                <c:pt idx="54">
                  <c:v>21.935199999999998</c:v>
                </c:pt>
                <c:pt idx="55">
                  <c:v>22.3414</c:v>
                </c:pt>
                <c:pt idx="56">
                  <c:v>22.7471</c:v>
                </c:pt>
                <c:pt idx="57">
                  <c:v>23.157</c:v>
                </c:pt>
                <c:pt idx="58">
                  <c:v>23.561900000000001</c:v>
                </c:pt>
                <c:pt idx="59">
                  <c:v>23.966799999999999</c:v>
                </c:pt>
                <c:pt idx="60">
                  <c:v>24.373799999999999</c:v>
                </c:pt>
                <c:pt idx="61">
                  <c:v>24.778700000000001</c:v>
                </c:pt>
                <c:pt idx="62">
                  <c:v>25.186499999999999</c:v>
                </c:pt>
                <c:pt idx="63">
                  <c:v>25.592500000000001</c:v>
                </c:pt>
                <c:pt idx="64">
                  <c:v>25.997399999999999</c:v>
                </c:pt>
                <c:pt idx="65">
                  <c:v>26.4023</c:v>
                </c:pt>
                <c:pt idx="66">
                  <c:v>26.810400000000001</c:v>
                </c:pt>
                <c:pt idx="67">
                  <c:v>27.2194</c:v>
                </c:pt>
                <c:pt idx="68">
                  <c:v>27.627199999999998</c:v>
                </c:pt>
                <c:pt idx="69">
                  <c:v>28.0289</c:v>
                </c:pt>
                <c:pt idx="70">
                  <c:v>28.434799999999999</c:v>
                </c:pt>
                <c:pt idx="71">
                  <c:v>28.838899999999999</c:v>
                </c:pt>
                <c:pt idx="72">
                  <c:v>29.251799999999999</c:v>
                </c:pt>
                <c:pt idx="73">
                  <c:v>29.654599999999999</c:v>
                </c:pt>
                <c:pt idx="74">
                  <c:v>30.061599999999999</c:v>
                </c:pt>
                <c:pt idx="75">
                  <c:v>30.497399999999999</c:v>
                </c:pt>
                <c:pt idx="76">
                  <c:v>30.904299999999999</c:v>
                </c:pt>
                <c:pt idx="77">
                  <c:v>31.311199999999999</c:v>
                </c:pt>
                <c:pt idx="78">
                  <c:v>31.716999999999999</c:v>
                </c:pt>
                <c:pt idx="79">
                  <c:v>32.125999999999998</c:v>
                </c:pt>
                <c:pt idx="80">
                  <c:v>32.529899999999998</c:v>
                </c:pt>
                <c:pt idx="81">
                  <c:v>32.935000000000002</c:v>
                </c:pt>
                <c:pt idx="82">
                  <c:v>33.344799999999999</c:v>
                </c:pt>
                <c:pt idx="83">
                  <c:v>33.749699999999997</c:v>
                </c:pt>
                <c:pt idx="84">
                  <c:v>34.156500000000001</c:v>
                </c:pt>
                <c:pt idx="85">
                  <c:v>34.5625</c:v>
                </c:pt>
                <c:pt idx="86">
                  <c:v>34.964500000000001</c:v>
                </c:pt>
                <c:pt idx="87">
                  <c:v>35.376300000000001</c:v>
                </c:pt>
                <c:pt idx="88">
                  <c:v>35.782200000000003</c:v>
                </c:pt>
                <c:pt idx="89">
                  <c:v>36.186999999999998</c:v>
                </c:pt>
                <c:pt idx="90">
                  <c:v>36.591000000000001</c:v>
                </c:pt>
                <c:pt idx="91">
                  <c:v>36.997999999999998</c:v>
                </c:pt>
                <c:pt idx="92">
                  <c:v>37.404800000000002</c:v>
                </c:pt>
                <c:pt idx="93">
                  <c:v>37.811</c:v>
                </c:pt>
                <c:pt idx="94">
                  <c:v>38.216700000000003</c:v>
                </c:pt>
                <c:pt idx="95">
                  <c:v>38.624600000000001</c:v>
                </c:pt>
                <c:pt idx="96">
                  <c:v>39.025500000000001</c:v>
                </c:pt>
                <c:pt idx="97">
                  <c:v>39.438400000000001</c:v>
                </c:pt>
                <c:pt idx="98">
                  <c:v>39.842399999999998</c:v>
                </c:pt>
                <c:pt idx="99">
                  <c:v>40.247300000000003</c:v>
                </c:pt>
                <c:pt idx="100">
                  <c:v>40.6571</c:v>
                </c:pt>
                <c:pt idx="101">
                  <c:v>41.061199999999999</c:v>
                </c:pt>
                <c:pt idx="102">
                  <c:v>41.466900000000003</c:v>
                </c:pt>
                <c:pt idx="103">
                  <c:v>41.873800000000003</c:v>
                </c:pt>
                <c:pt idx="104">
                  <c:v>42.28</c:v>
                </c:pt>
                <c:pt idx="105">
                  <c:v>42.686700000000002</c:v>
                </c:pt>
                <c:pt idx="106">
                  <c:v>43.095599999999997</c:v>
                </c:pt>
                <c:pt idx="107">
                  <c:v>43.499600000000001</c:v>
                </c:pt>
                <c:pt idx="108">
                  <c:v>43.903500000000001</c:v>
                </c:pt>
                <c:pt idx="109">
                  <c:v>44.312800000000003</c:v>
                </c:pt>
                <c:pt idx="110">
                  <c:v>44.717199999999998</c:v>
                </c:pt>
                <c:pt idx="111">
                  <c:v>45.122199999999999</c:v>
                </c:pt>
                <c:pt idx="112">
                  <c:v>45.530200000000001</c:v>
                </c:pt>
                <c:pt idx="113">
                  <c:v>45.935000000000002</c:v>
                </c:pt>
                <c:pt idx="114">
                  <c:v>46.341099999999997</c:v>
                </c:pt>
                <c:pt idx="115">
                  <c:v>46.750900000000001</c:v>
                </c:pt>
                <c:pt idx="116">
                  <c:v>47.151800000000001</c:v>
                </c:pt>
                <c:pt idx="117">
                  <c:v>47.558700000000002</c:v>
                </c:pt>
                <c:pt idx="118">
                  <c:v>47.966700000000003</c:v>
                </c:pt>
                <c:pt idx="119">
                  <c:v>48.3705</c:v>
                </c:pt>
                <c:pt idx="120">
                  <c:v>48.780500000000004</c:v>
                </c:pt>
                <c:pt idx="121">
                  <c:v>49.185299999999998</c:v>
                </c:pt>
                <c:pt idx="122">
                  <c:v>49.591200000000001</c:v>
                </c:pt>
                <c:pt idx="123">
                  <c:v>49.999200000000002</c:v>
                </c:pt>
                <c:pt idx="124">
                  <c:v>50.402999999999999</c:v>
                </c:pt>
                <c:pt idx="125">
                  <c:v>50.808999999999997</c:v>
                </c:pt>
                <c:pt idx="126">
                  <c:v>51.218899999999998</c:v>
                </c:pt>
                <c:pt idx="127">
                  <c:v>51.6248</c:v>
                </c:pt>
                <c:pt idx="128">
                  <c:v>52.030700000000003</c:v>
                </c:pt>
                <c:pt idx="129">
                  <c:v>52.434600000000003</c:v>
                </c:pt>
                <c:pt idx="130">
                  <c:v>52.841700000000003</c:v>
                </c:pt>
                <c:pt idx="131">
                  <c:v>53.245399999999997</c:v>
                </c:pt>
                <c:pt idx="132">
                  <c:v>53.651600000000002</c:v>
                </c:pt>
                <c:pt idx="133">
                  <c:v>54.060499999999998</c:v>
                </c:pt>
                <c:pt idx="134">
                  <c:v>54.463299999999997</c:v>
                </c:pt>
                <c:pt idx="135">
                  <c:v>54.872100000000003</c:v>
                </c:pt>
                <c:pt idx="136">
                  <c:v>55.2791</c:v>
                </c:pt>
                <c:pt idx="137">
                  <c:v>55.688000000000002</c:v>
                </c:pt>
                <c:pt idx="138">
                  <c:v>56.091999999999999</c:v>
                </c:pt>
                <c:pt idx="139">
                  <c:v>56.500900000000001</c:v>
                </c:pt>
                <c:pt idx="140">
                  <c:v>56.902700000000003</c:v>
                </c:pt>
                <c:pt idx="141">
                  <c:v>57.312899999999999</c:v>
                </c:pt>
                <c:pt idx="142">
                  <c:v>57.720500000000001</c:v>
                </c:pt>
                <c:pt idx="143">
                  <c:v>58.124499999999998</c:v>
                </c:pt>
                <c:pt idx="144">
                  <c:v>58.5334</c:v>
                </c:pt>
                <c:pt idx="145">
                  <c:v>58.939399999999999</c:v>
                </c:pt>
                <c:pt idx="146">
                  <c:v>59.341299999999997</c:v>
                </c:pt>
                <c:pt idx="147">
                  <c:v>59.7483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1.9385300000000001</c:v>
                </c:pt>
                <c:pt idx="1">
                  <c:v>2.0104600000000001</c:v>
                </c:pt>
                <c:pt idx="2">
                  <c:v>2.0834099999999998</c:v>
                </c:pt>
                <c:pt idx="3">
                  <c:v>2.1602999999999999</c:v>
                </c:pt>
                <c:pt idx="4">
                  <c:v>2.2392300000000001</c:v>
                </c:pt>
                <c:pt idx="5">
                  <c:v>2.3199000000000001</c:v>
                </c:pt>
                <c:pt idx="6">
                  <c:v>2.4032800000000001</c:v>
                </c:pt>
                <c:pt idx="7">
                  <c:v>2.4853800000000001</c:v>
                </c:pt>
                <c:pt idx="8">
                  <c:v>2.5671400000000002</c:v>
                </c:pt>
                <c:pt idx="9">
                  <c:v>2.6507900000000002</c:v>
                </c:pt>
                <c:pt idx="10">
                  <c:v>2.73264</c:v>
                </c:pt>
                <c:pt idx="11">
                  <c:v>2.8128500000000001</c:v>
                </c:pt>
                <c:pt idx="12">
                  <c:v>2.8969299999999998</c:v>
                </c:pt>
                <c:pt idx="13">
                  <c:v>2.9825400000000002</c:v>
                </c:pt>
                <c:pt idx="14">
                  <c:v>3.0654599999999999</c:v>
                </c:pt>
                <c:pt idx="15">
                  <c:v>3.1467400000000003</c:v>
                </c:pt>
                <c:pt idx="16">
                  <c:v>3.2267299999999999</c:v>
                </c:pt>
                <c:pt idx="17">
                  <c:v>3.3024900000000001</c:v>
                </c:pt>
                <c:pt idx="18">
                  <c:v>3.3711099999999998</c:v>
                </c:pt>
                <c:pt idx="19">
                  <c:v>3.4361599999999997</c:v>
                </c:pt>
                <c:pt idx="20">
                  <c:v>3.4972799999999999</c:v>
                </c:pt>
                <c:pt idx="21">
                  <c:v>3.5520899999999997</c:v>
                </c:pt>
                <c:pt idx="22">
                  <c:v>3.60249</c:v>
                </c:pt>
                <c:pt idx="23">
                  <c:v>3.6508500000000002</c:v>
                </c:pt>
                <c:pt idx="24">
                  <c:v>3.6956899999999999</c:v>
                </c:pt>
                <c:pt idx="25">
                  <c:v>3.7355</c:v>
                </c:pt>
                <c:pt idx="26">
                  <c:v>3.7675299999999998</c:v>
                </c:pt>
                <c:pt idx="27">
                  <c:v>3.7946299999999997</c:v>
                </c:pt>
                <c:pt idx="28">
                  <c:v>3.8160400000000001</c:v>
                </c:pt>
                <c:pt idx="29">
                  <c:v>3.8323099999999997</c:v>
                </c:pt>
                <c:pt idx="30">
                  <c:v>3.8457599999999998</c:v>
                </c:pt>
                <c:pt idx="31">
                  <c:v>3.8584499999999999</c:v>
                </c:pt>
                <c:pt idx="32">
                  <c:v>3.8684000000000003</c:v>
                </c:pt>
                <c:pt idx="33">
                  <c:v>3.8807700000000001</c:v>
                </c:pt>
                <c:pt idx="34">
                  <c:v>3.8925999999999998</c:v>
                </c:pt>
                <c:pt idx="35">
                  <c:v>3.9002300000000001</c:v>
                </c:pt>
                <c:pt idx="36">
                  <c:v>3.9083200000000002</c:v>
                </c:pt>
                <c:pt idx="37">
                  <c:v>3.9153500000000001</c:v>
                </c:pt>
                <c:pt idx="38">
                  <c:v>3.9186300000000003</c:v>
                </c:pt>
                <c:pt idx="39">
                  <c:v>3.9202199999999996</c:v>
                </c:pt>
                <c:pt idx="40">
                  <c:v>3.9201599999999996</c:v>
                </c:pt>
                <c:pt idx="41">
                  <c:v>3.9161200000000003</c:v>
                </c:pt>
                <c:pt idx="42">
                  <c:v>3.9109400000000001</c:v>
                </c:pt>
                <c:pt idx="43">
                  <c:v>3.9043699999999997</c:v>
                </c:pt>
                <c:pt idx="44">
                  <c:v>3.8988099999999997</c:v>
                </c:pt>
                <c:pt idx="45">
                  <c:v>3.8968699999999998</c:v>
                </c:pt>
                <c:pt idx="46">
                  <c:v>3.8961099999999997</c:v>
                </c:pt>
                <c:pt idx="47">
                  <c:v>3.89269</c:v>
                </c:pt>
                <c:pt idx="48">
                  <c:v>3.8867600000000002</c:v>
                </c:pt>
                <c:pt idx="49">
                  <c:v>3.8805899999999998</c:v>
                </c:pt>
                <c:pt idx="50">
                  <c:v>3.8765800000000001</c:v>
                </c:pt>
                <c:pt idx="51">
                  <c:v>3.8743100000000004</c:v>
                </c:pt>
                <c:pt idx="52">
                  <c:v>3.8728499999999997</c:v>
                </c:pt>
                <c:pt idx="53">
                  <c:v>3.8729300000000002</c:v>
                </c:pt>
                <c:pt idx="54">
                  <c:v>3.8762600000000003</c:v>
                </c:pt>
                <c:pt idx="55">
                  <c:v>3.8776000000000002</c:v>
                </c:pt>
                <c:pt idx="56">
                  <c:v>3.8752599999999999</c:v>
                </c:pt>
                <c:pt idx="57">
                  <c:v>3.8724799999999999</c:v>
                </c:pt>
                <c:pt idx="58">
                  <c:v>3.86355</c:v>
                </c:pt>
                <c:pt idx="59">
                  <c:v>3.8501099999999999</c:v>
                </c:pt>
                <c:pt idx="60">
                  <c:v>3.83839</c:v>
                </c:pt>
                <c:pt idx="61">
                  <c:v>3.8242399999999996</c:v>
                </c:pt>
                <c:pt idx="62">
                  <c:v>3.8042899999999999</c:v>
                </c:pt>
                <c:pt idx="63">
                  <c:v>3.7827999999999999</c:v>
                </c:pt>
                <c:pt idx="64">
                  <c:v>3.7601</c:v>
                </c:pt>
                <c:pt idx="65">
                  <c:v>3.7364999999999999</c:v>
                </c:pt>
                <c:pt idx="66">
                  <c:v>3.7141099999999998</c:v>
                </c:pt>
                <c:pt idx="67">
                  <c:v>3.6924400000000004</c:v>
                </c:pt>
                <c:pt idx="68">
                  <c:v>3.67347</c:v>
                </c:pt>
                <c:pt idx="69">
                  <c:v>3.6520900000000003</c:v>
                </c:pt>
                <c:pt idx="70">
                  <c:v>3.6268400000000001</c:v>
                </c:pt>
                <c:pt idx="71">
                  <c:v>3.6016399999999997</c:v>
                </c:pt>
                <c:pt idx="72">
                  <c:v>3.57796</c:v>
                </c:pt>
                <c:pt idx="73">
                  <c:v>3.5563600000000002</c:v>
                </c:pt>
                <c:pt idx="74">
                  <c:v>3.5364100000000001</c:v>
                </c:pt>
                <c:pt idx="75">
                  <c:v>3.51593</c:v>
                </c:pt>
                <c:pt idx="76">
                  <c:v>3.4988700000000001</c:v>
                </c:pt>
                <c:pt idx="77">
                  <c:v>3.4828299999999999</c:v>
                </c:pt>
                <c:pt idx="78">
                  <c:v>3.4673700000000003</c:v>
                </c:pt>
                <c:pt idx="79">
                  <c:v>3.45106</c:v>
                </c:pt>
                <c:pt idx="80">
                  <c:v>3.4390399999999999</c:v>
                </c:pt>
                <c:pt idx="81">
                  <c:v>3.4317500000000001</c:v>
                </c:pt>
                <c:pt idx="82">
                  <c:v>3.42523</c:v>
                </c:pt>
                <c:pt idx="83">
                  <c:v>3.4191899999999995</c:v>
                </c:pt>
                <c:pt idx="84">
                  <c:v>3.41601</c:v>
                </c:pt>
                <c:pt idx="85">
                  <c:v>3.4166300000000001</c:v>
                </c:pt>
                <c:pt idx="86">
                  <c:v>3.4171800000000001</c:v>
                </c:pt>
                <c:pt idx="87">
                  <c:v>3.42075</c:v>
                </c:pt>
                <c:pt idx="88">
                  <c:v>3.4272799999999997</c:v>
                </c:pt>
                <c:pt idx="89">
                  <c:v>3.4350799999999997</c:v>
                </c:pt>
                <c:pt idx="90">
                  <c:v>3.4446599999999998</c:v>
                </c:pt>
                <c:pt idx="91">
                  <c:v>3.4539399999999998</c:v>
                </c:pt>
                <c:pt idx="92">
                  <c:v>3.4646300000000001</c:v>
                </c:pt>
                <c:pt idx="93">
                  <c:v>3.47682</c:v>
                </c:pt>
                <c:pt idx="94">
                  <c:v>3.49207</c:v>
                </c:pt>
                <c:pt idx="95">
                  <c:v>3.5050699999999999</c:v>
                </c:pt>
                <c:pt idx="96">
                  <c:v>3.5179500000000004</c:v>
                </c:pt>
                <c:pt idx="97">
                  <c:v>3.5318899999999998</c:v>
                </c:pt>
                <c:pt idx="98">
                  <c:v>3.5480099999999997</c:v>
                </c:pt>
                <c:pt idx="99">
                  <c:v>3.5645199999999999</c:v>
                </c:pt>
                <c:pt idx="100">
                  <c:v>3.5811100000000002</c:v>
                </c:pt>
                <c:pt idx="101">
                  <c:v>3.5983799999999997</c:v>
                </c:pt>
                <c:pt idx="102">
                  <c:v>3.6113299999999997</c:v>
                </c:pt>
                <c:pt idx="103">
                  <c:v>3.6243500000000002</c:v>
                </c:pt>
                <c:pt idx="104">
                  <c:v>3.63483</c:v>
                </c:pt>
                <c:pt idx="105">
                  <c:v>3.6440800000000002</c:v>
                </c:pt>
                <c:pt idx="106">
                  <c:v>3.6473800000000001</c:v>
                </c:pt>
                <c:pt idx="107">
                  <c:v>3.6486600000000005</c:v>
                </c:pt>
                <c:pt idx="108">
                  <c:v>3.6504300000000001</c:v>
                </c:pt>
                <c:pt idx="109">
                  <c:v>3.6529499999999997</c:v>
                </c:pt>
                <c:pt idx="110">
                  <c:v>3.6525400000000001</c:v>
                </c:pt>
                <c:pt idx="111">
                  <c:v>3.6533600000000002</c:v>
                </c:pt>
                <c:pt idx="112">
                  <c:v>3.65768</c:v>
                </c:pt>
                <c:pt idx="113">
                  <c:v>3.6654100000000001</c:v>
                </c:pt>
                <c:pt idx="114">
                  <c:v>3.6747899999999998</c:v>
                </c:pt>
                <c:pt idx="115">
                  <c:v>3.6850399999999999</c:v>
                </c:pt>
                <c:pt idx="116">
                  <c:v>3.6969400000000001</c:v>
                </c:pt>
                <c:pt idx="117">
                  <c:v>3.7096</c:v>
                </c:pt>
                <c:pt idx="118">
                  <c:v>3.7237499999999999</c:v>
                </c:pt>
                <c:pt idx="119">
                  <c:v>3.7357299999999998</c:v>
                </c:pt>
                <c:pt idx="120">
                  <c:v>3.7503500000000001</c:v>
                </c:pt>
                <c:pt idx="121">
                  <c:v>3.7663500000000001</c:v>
                </c:pt>
                <c:pt idx="122">
                  <c:v>3.78179</c:v>
                </c:pt>
                <c:pt idx="123">
                  <c:v>3.7938800000000001</c:v>
                </c:pt>
                <c:pt idx="124">
                  <c:v>3.7957400000000003</c:v>
                </c:pt>
                <c:pt idx="125">
                  <c:v>3.7974599999999996</c:v>
                </c:pt>
                <c:pt idx="126">
                  <c:v>3.7980100000000001</c:v>
                </c:pt>
                <c:pt idx="127">
                  <c:v>3.8037700000000001</c:v>
                </c:pt>
                <c:pt idx="128">
                  <c:v>3.8093700000000004</c:v>
                </c:pt>
                <c:pt idx="129">
                  <c:v>3.8161699999999996</c:v>
                </c:pt>
                <c:pt idx="130">
                  <c:v>3.8221400000000001</c:v>
                </c:pt>
                <c:pt idx="131">
                  <c:v>3.8329499999999999</c:v>
                </c:pt>
                <c:pt idx="132">
                  <c:v>3.8489599999999999</c:v>
                </c:pt>
                <c:pt idx="133">
                  <c:v>3.8693599999999999</c:v>
                </c:pt>
                <c:pt idx="134">
                  <c:v>3.89059</c:v>
                </c:pt>
                <c:pt idx="135">
                  <c:v>3.9138099999999998</c:v>
                </c:pt>
                <c:pt idx="136">
                  <c:v>3.9396100000000001</c:v>
                </c:pt>
                <c:pt idx="137">
                  <c:v>3.9629300000000001</c:v>
                </c:pt>
                <c:pt idx="138">
                  <c:v>3.9799800000000003</c:v>
                </c:pt>
                <c:pt idx="139">
                  <c:v>3.99566</c:v>
                </c:pt>
                <c:pt idx="140">
                  <c:v>4.0090300000000001</c:v>
                </c:pt>
                <c:pt idx="141">
                  <c:v>4.0223399999999998</c:v>
                </c:pt>
                <c:pt idx="142">
                  <c:v>4.0331400000000004</c:v>
                </c:pt>
                <c:pt idx="143">
                  <c:v>4.0373000000000001</c:v>
                </c:pt>
                <c:pt idx="144">
                  <c:v>4.0403000000000002</c:v>
                </c:pt>
                <c:pt idx="145">
                  <c:v>4.0414399999999997</c:v>
                </c:pt>
                <c:pt idx="146">
                  <c:v>4.0324299999999997</c:v>
                </c:pt>
                <c:pt idx="147">
                  <c:v>4.0218100000000003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0.40678399999999998</c:v>
                </c:pt>
                <c:pt idx="2">
                  <c:v>0.80868899999999999</c:v>
                </c:pt>
                <c:pt idx="3">
                  <c:v>1.21458</c:v>
                </c:pt>
                <c:pt idx="4">
                  <c:v>1.62165</c:v>
                </c:pt>
                <c:pt idx="5">
                  <c:v>2.0314299999999998</c:v>
                </c:pt>
                <c:pt idx="6">
                  <c:v>2.4323600000000001</c:v>
                </c:pt>
                <c:pt idx="7">
                  <c:v>2.84226</c:v>
                </c:pt>
                <c:pt idx="8">
                  <c:v>3.2461799999999998</c:v>
                </c:pt>
                <c:pt idx="9">
                  <c:v>3.6560999999999999</c:v>
                </c:pt>
                <c:pt idx="10">
                  <c:v>4.0579599999999996</c:v>
                </c:pt>
                <c:pt idx="11">
                  <c:v>4.4628699999999997</c:v>
                </c:pt>
                <c:pt idx="12">
                  <c:v>4.8783099999999999</c:v>
                </c:pt>
                <c:pt idx="13">
                  <c:v>5.2786799999999996</c:v>
                </c:pt>
                <c:pt idx="14">
                  <c:v>5.68459</c:v>
                </c:pt>
                <c:pt idx="15">
                  <c:v>6.0897100000000002</c:v>
                </c:pt>
                <c:pt idx="16">
                  <c:v>6.4974699999999999</c:v>
                </c:pt>
                <c:pt idx="17">
                  <c:v>6.9015899999999997</c:v>
                </c:pt>
                <c:pt idx="18">
                  <c:v>7.3133299999999997</c:v>
                </c:pt>
                <c:pt idx="19">
                  <c:v>7.71915</c:v>
                </c:pt>
                <c:pt idx="20">
                  <c:v>8.1241299999999992</c:v>
                </c:pt>
                <c:pt idx="21">
                  <c:v>8.5290700000000008</c:v>
                </c:pt>
                <c:pt idx="22">
                  <c:v>8.9360900000000001</c:v>
                </c:pt>
                <c:pt idx="23">
                  <c:v>9.34422</c:v>
                </c:pt>
                <c:pt idx="24">
                  <c:v>9.7499099999999999</c:v>
                </c:pt>
                <c:pt idx="25">
                  <c:v>10.1517</c:v>
                </c:pt>
                <c:pt idx="26">
                  <c:v>10.5586</c:v>
                </c:pt>
                <c:pt idx="27">
                  <c:v>10.9657</c:v>
                </c:pt>
                <c:pt idx="28">
                  <c:v>11.375400000000001</c:v>
                </c:pt>
                <c:pt idx="29">
                  <c:v>11.7758</c:v>
                </c:pt>
                <c:pt idx="30">
                  <c:v>12.186299999999999</c:v>
                </c:pt>
                <c:pt idx="31">
                  <c:v>12.5932</c:v>
                </c:pt>
                <c:pt idx="32">
                  <c:v>12.9962</c:v>
                </c:pt>
                <c:pt idx="33">
                  <c:v>13.404999999999999</c:v>
                </c:pt>
                <c:pt idx="34">
                  <c:v>13.815899999999999</c:v>
                </c:pt>
                <c:pt idx="35">
                  <c:v>14.216799999999999</c:v>
                </c:pt>
                <c:pt idx="36">
                  <c:v>14.623699999999999</c:v>
                </c:pt>
                <c:pt idx="37">
                  <c:v>15.025700000000001</c:v>
                </c:pt>
                <c:pt idx="38">
                  <c:v>15.4376</c:v>
                </c:pt>
                <c:pt idx="39">
                  <c:v>15.8446</c:v>
                </c:pt>
                <c:pt idx="40">
                  <c:v>16.250399999999999</c:v>
                </c:pt>
                <c:pt idx="41">
                  <c:v>16.653400000000001</c:v>
                </c:pt>
                <c:pt idx="42">
                  <c:v>17.061599999999999</c:v>
                </c:pt>
                <c:pt idx="43">
                  <c:v>17.466200000000001</c:v>
                </c:pt>
                <c:pt idx="44">
                  <c:v>17.873999999999999</c:v>
                </c:pt>
                <c:pt idx="45">
                  <c:v>18.280899999999999</c:v>
                </c:pt>
                <c:pt idx="46">
                  <c:v>18.683800000000002</c:v>
                </c:pt>
                <c:pt idx="47">
                  <c:v>19.088699999999999</c:v>
                </c:pt>
                <c:pt idx="48">
                  <c:v>19.500699999999998</c:v>
                </c:pt>
                <c:pt idx="49">
                  <c:v>19.904599999999999</c:v>
                </c:pt>
                <c:pt idx="50">
                  <c:v>20.311699999999998</c:v>
                </c:pt>
                <c:pt idx="51">
                  <c:v>20.7165</c:v>
                </c:pt>
                <c:pt idx="52">
                  <c:v>21.1204</c:v>
                </c:pt>
                <c:pt idx="53">
                  <c:v>21.5276</c:v>
                </c:pt>
                <c:pt idx="54">
                  <c:v>21.935199999999998</c:v>
                </c:pt>
                <c:pt idx="55">
                  <c:v>22.3414</c:v>
                </c:pt>
                <c:pt idx="56">
                  <c:v>22.7471</c:v>
                </c:pt>
                <c:pt idx="57">
                  <c:v>23.157</c:v>
                </c:pt>
                <c:pt idx="58">
                  <c:v>23.561900000000001</c:v>
                </c:pt>
                <c:pt idx="59">
                  <c:v>23.966799999999999</c:v>
                </c:pt>
                <c:pt idx="60">
                  <c:v>24.373799999999999</c:v>
                </c:pt>
                <c:pt idx="61">
                  <c:v>24.778700000000001</c:v>
                </c:pt>
                <c:pt idx="62">
                  <c:v>25.186499999999999</c:v>
                </c:pt>
                <c:pt idx="63">
                  <c:v>25.592500000000001</c:v>
                </c:pt>
                <c:pt idx="64">
                  <c:v>25.997399999999999</c:v>
                </c:pt>
                <c:pt idx="65">
                  <c:v>26.4023</c:v>
                </c:pt>
                <c:pt idx="66">
                  <c:v>26.810400000000001</c:v>
                </c:pt>
                <c:pt idx="67">
                  <c:v>27.2194</c:v>
                </c:pt>
                <c:pt idx="68">
                  <c:v>27.627199999999998</c:v>
                </c:pt>
                <c:pt idx="69">
                  <c:v>28.0289</c:v>
                </c:pt>
                <c:pt idx="70">
                  <c:v>28.434799999999999</c:v>
                </c:pt>
                <c:pt idx="71">
                  <c:v>28.838899999999999</c:v>
                </c:pt>
                <c:pt idx="72">
                  <c:v>29.251799999999999</c:v>
                </c:pt>
                <c:pt idx="73">
                  <c:v>29.654599999999999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1.9385300000000001</c:v>
                </c:pt>
                <c:pt idx="1">
                  <c:v>2.0104600000000001</c:v>
                </c:pt>
                <c:pt idx="2">
                  <c:v>2.0834099999999998</c:v>
                </c:pt>
                <c:pt idx="3">
                  <c:v>2.1602999999999999</c:v>
                </c:pt>
                <c:pt idx="4">
                  <c:v>2.2392300000000001</c:v>
                </c:pt>
                <c:pt idx="5">
                  <c:v>2.3199000000000001</c:v>
                </c:pt>
                <c:pt idx="6">
                  <c:v>2.4032800000000001</c:v>
                </c:pt>
                <c:pt idx="7">
                  <c:v>2.4853800000000001</c:v>
                </c:pt>
                <c:pt idx="8">
                  <c:v>2.5671400000000002</c:v>
                </c:pt>
                <c:pt idx="9">
                  <c:v>2.6507900000000002</c:v>
                </c:pt>
                <c:pt idx="10">
                  <c:v>2.73264</c:v>
                </c:pt>
                <c:pt idx="11">
                  <c:v>2.8128500000000001</c:v>
                </c:pt>
                <c:pt idx="12">
                  <c:v>2.8969299999999998</c:v>
                </c:pt>
                <c:pt idx="13">
                  <c:v>2.9825400000000002</c:v>
                </c:pt>
                <c:pt idx="14">
                  <c:v>3.0654599999999999</c:v>
                </c:pt>
                <c:pt idx="15">
                  <c:v>3.1467400000000003</c:v>
                </c:pt>
                <c:pt idx="16">
                  <c:v>3.2267299999999999</c:v>
                </c:pt>
                <c:pt idx="17">
                  <c:v>3.3024900000000001</c:v>
                </c:pt>
                <c:pt idx="18">
                  <c:v>3.3711099999999998</c:v>
                </c:pt>
                <c:pt idx="19">
                  <c:v>3.4361599999999997</c:v>
                </c:pt>
                <c:pt idx="20">
                  <c:v>3.4972799999999999</c:v>
                </c:pt>
                <c:pt idx="21">
                  <c:v>3.5520899999999997</c:v>
                </c:pt>
                <c:pt idx="22">
                  <c:v>3.60249</c:v>
                </c:pt>
                <c:pt idx="23">
                  <c:v>3.6508500000000002</c:v>
                </c:pt>
                <c:pt idx="24">
                  <c:v>3.6956899999999999</c:v>
                </c:pt>
                <c:pt idx="25">
                  <c:v>3.7355</c:v>
                </c:pt>
                <c:pt idx="26">
                  <c:v>3.7675299999999998</c:v>
                </c:pt>
                <c:pt idx="27">
                  <c:v>3.7946299999999997</c:v>
                </c:pt>
                <c:pt idx="28">
                  <c:v>3.8160400000000001</c:v>
                </c:pt>
                <c:pt idx="29">
                  <c:v>3.8323099999999997</c:v>
                </c:pt>
                <c:pt idx="30">
                  <c:v>3.8457599999999998</c:v>
                </c:pt>
                <c:pt idx="31">
                  <c:v>3.8584499999999999</c:v>
                </c:pt>
                <c:pt idx="32">
                  <c:v>3.8684000000000003</c:v>
                </c:pt>
                <c:pt idx="33">
                  <c:v>3.8807700000000001</c:v>
                </c:pt>
                <c:pt idx="34">
                  <c:v>3.8925999999999998</c:v>
                </c:pt>
                <c:pt idx="35">
                  <c:v>3.9002300000000001</c:v>
                </c:pt>
                <c:pt idx="36">
                  <c:v>3.9083200000000002</c:v>
                </c:pt>
                <c:pt idx="37">
                  <c:v>3.9153500000000001</c:v>
                </c:pt>
                <c:pt idx="38">
                  <c:v>3.9186300000000003</c:v>
                </c:pt>
                <c:pt idx="39">
                  <c:v>3.9202199999999996</c:v>
                </c:pt>
                <c:pt idx="40">
                  <c:v>3.9201599999999996</c:v>
                </c:pt>
                <c:pt idx="41">
                  <c:v>3.9161200000000003</c:v>
                </c:pt>
                <c:pt idx="42">
                  <c:v>3.9109400000000001</c:v>
                </c:pt>
                <c:pt idx="43">
                  <c:v>3.9043699999999997</c:v>
                </c:pt>
                <c:pt idx="44">
                  <c:v>3.8988099999999997</c:v>
                </c:pt>
                <c:pt idx="45">
                  <c:v>3.8968699999999998</c:v>
                </c:pt>
                <c:pt idx="46">
                  <c:v>3.8961099999999997</c:v>
                </c:pt>
                <c:pt idx="47">
                  <c:v>3.89269</c:v>
                </c:pt>
                <c:pt idx="48">
                  <c:v>3.8867600000000002</c:v>
                </c:pt>
                <c:pt idx="49">
                  <c:v>3.8805899999999998</c:v>
                </c:pt>
                <c:pt idx="50">
                  <c:v>3.8765800000000001</c:v>
                </c:pt>
                <c:pt idx="51">
                  <c:v>3.8743100000000004</c:v>
                </c:pt>
                <c:pt idx="52">
                  <c:v>3.8728499999999997</c:v>
                </c:pt>
                <c:pt idx="53">
                  <c:v>3.8729300000000002</c:v>
                </c:pt>
                <c:pt idx="54">
                  <c:v>3.8762600000000003</c:v>
                </c:pt>
                <c:pt idx="55">
                  <c:v>3.8776000000000002</c:v>
                </c:pt>
                <c:pt idx="56">
                  <c:v>3.8752599999999999</c:v>
                </c:pt>
                <c:pt idx="57">
                  <c:v>3.8724799999999999</c:v>
                </c:pt>
                <c:pt idx="58">
                  <c:v>3.86355</c:v>
                </c:pt>
                <c:pt idx="59">
                  <c:v>3.8501099999999999</c:v>
                </c:pt>
                <c:pt idx="60">
                  <c:v>3.83839</c:v>
                </c:pt>
                <c:pt idx="61">
                  <c:v>3.8242399999999996</c:v>
                </c:pt>
                <c:pt idx="62">
                  <c:v>3.8042899999999999</c:v>
                </c:pt>
                <c:pt idx="63">
                  <c:v>3.7827999999999999</c:v>
                </c:pt>
                <c:pt idx="64">
                  <c:v>3.7601</c:v>
                </c:pt>
                <c:pt idx="65">
                  <c:v>3.7364999999999999</c:v>
                </c:pt>
                <c:pt idx="66">
                  <c:v>3.7141099999999998</c:v>
                </c:pt>
                <c:pt idx="67">
                  <c:v>3.6924400000000004</c:v>
                </c:pt>
                <c:pt idx="68">
                  <c:v>3.67347</c:v>
                </c:pt>
                <c:pt idx="69">
                  <c:v>3.6520900000000003</c:v>
                </c:pt>
                <c:pt idx="70">
                  <c:v>3.6268400000000001</c:v>
                </c:pt>
                <c:pt idx="71">
                  <c:v>3.6016399999999997</c:v>
                </c:pt>
                <c:pt idx="72">
                  <c:v>3.57796</c:v>
                </c:pt>
                <c:pt idx="73">
                  <c:v>3.5563600000000002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30.061599999999999</c:v>
                </c:pt>
                <c:pt idx="2">
                  <c:v>30.497399999999999</c:v>
                </c:pt>
                <c:pt idx="3">
                  <c:v>30.904299999999999</c:v>
                </c:pt>
                <c:pt idx="4">
                  <c:v>31.311199999999999</c:v>
                </c:pt>
                <c:pt idx="5">
                  <c:v>31.716999999999999</c:v>
                </c:pt>
                <c:pt idx="6">
                  <c:v>32.125999999999998</c:v>
                </c:pt>
                <c:pt idx="7">
                  <c:v>32.529899999999998</c:v>
                </c:pt>
                <c:pt idx="8">
                  <c:v>32.935000000000002</c:v>
                </c:pt>
                <c:pt idx="9">
                  <c:v>33.344799999999999</c:v>
                </c:pt>
                <c:pt idx="10">
                  <c:v>33.749699999999997</c:v>
                </c:pt>
                <c:pt idx="11">
                  <c:v>34.156500000000001</c:v>
                </c:pt>
                <c:pt idx="12">
                  <c:v>34.5625</c:v>
                </c:pt>
                <c:pt idx="13">
                  <c:v>34.964500000000001</c:v>
                </c:pt>
                <c:pt idx="14">
                  <c:v>35.376300000000001</c:v>
                </c:pt>
                <c:pt idx="15">
                  <c:v>35.782200000000003</c:v>
                </c:pt>
                <c:pt idx="16">
                  <c:v>36.186999999999998</c:v>
                </c:pt>
                <c:pt idx="17">
                  <c:v>36.591000000000001</c:v>
                </c:pt>
                <c:pt idx="18">
                  <c:v>36.997999999999998</c:v>
                </c:pt>
                <c:pt idx="19">
                  <c:v>37.404800000000002</c:v>
                </c:pt>
                <c:pt idx="20">
                  <c:v>37.811</c:v>
                </c:pt>
                <c:pt idx="21">
                  <c:v>38.216700000000003</c:v>
                </c:pt>
                <c:pt idx="22">
                  <c:v>38.624600000000001</c:v>
                </c:pt>
                <c:pt idx="23">
                  <c:v>39.025500000000001</c:v>
                </c:pt>
                <c:pt idx="24">
                  <c:v>39.438400000000001</c:v>
                </c:pt>
                <c:pt idx="25">
                  <c:v>39.842399999999998</c:v>
                </c:pt>
                <c:pt idx="26">
                  <c:v>40.247300000000003</c:v>
                </c:pt>
                <c:pt idx="27">
                  <c:v>40.6571</c:v>
                </c:pt>
                <c:pt idx="28">
                  <c:v>41.061199999999999</c:v>
                </c:pt>
                <c:pt idx="29">
                  <c:v>41.466900000000003</c:v>
                </c:pt>
                <c:pt idx="30">
                  <c:v>41.873800000000003</c:v>
                </c:pt>
                <c:pt idx="31">
                  <c:v>42.28</c:v>
                </c:pt>
                <c:pt idx="32">
                  <c:v>42.686700000000002</c:v>
                </c:pt>
                <c:pt idx="33">
                  <c:v>43.095599999999997</c:v>
                </c:pt>
                <c:pt idx="34">
                  <c:v>43.499600000000001</c:v>
                </c:pt>
                <c:pt idx="35">
                  <c:v>43.903500000000001</c:v>
                </c:pt>
                <c:pt idx="36">
                  <c:v>44.312800000000003</c:v>
                </c:pt>
                <c:pt idx="37">
                  <c:v>44.717199999999998</c:v>
                </c:pt>
                <c:pt idx="38">
                  <c:v>45.122199999999999</c:v>
                </c:pt>
                <c:pt idx="39">
                  <c:v>45.530200000000001</c:v>
                </c:pt>
                <c:pt idx="40">
                  <c:v>45.935000000000002</c:v>
                </c:pt>
                <c:pt idx="41">
                  <c:v>46.341099999999997</c:v>
                </c:pt>
                <c:pt idx="42">
                  <c:v>46.750900000000001</c:v>
                </c:pt>
                <c:pt idx="43">
                  <c:v>47.151800000000001</c:v>
                </c:pt>
                <c:pt idx="44">
                  <c:v>47.558700000000002</c:v>
                </c:pt>
                <c:pt idx="45">
                  <c:v>47.966700000000003</c:v>
                </c:pt>
                <c:pt idx="46">
                  <c:v>48.3705</c:v>
                </c:pt>
                <c:pt idx="47">
                  <c:v>48.780500000000004</c:v>
                </c:pt>
                <c:pt idx="48">
                  <c:v>49.185299999999998</c:v>
                </c:pt>
                <c:pt idx="49">
                  <c:v>49.591200000000001</c:v>
                </c:pt>
                <c:pt idx="50">
                  <c:v>49.999200000000002</c:v>
                </c:pt>
                <c:pt idx="51">
                  <c:v>50.402999999999999</c:v>
                </c:pt>
                <c:pt idx="52">
                  <c:v>50.808999999999997</c:v>
                </c:pt>
                <c:pt idx="53">
                  <c:v>51.218899999999998</c:v>
                </c:pt>
                <c:pt idx="54">
                  <c:v>51.6248</c:v>
                </c:pt>
                <c:pt idx="55">
                  <c:v>52.030700000000003</c:v>
                </c:pt>
                <c:pt idx="56">
                  <c:v>52.434600000000003</c:v>
                </c:pt>
                <c:pt idx="57">
                  <c:v>52.841700000000003</c:v>
                </c:pt>
                <c:pt idx="58">
                  <c:v>53.245399999999997</c:v>
                </c:pt>
                <c:pt idx="59">
                  <c:v>53.651600000000002</c:v>
                </c:pt>
                <c:pt idx="60">
                  <c:v>54.060499999999998</c:v>
                </c:pt>
                <c:pt idx="61">
                  <c:v>54.463299999999997</c:v>
                </c:pt>
                <c:pt idx="62">
                  <c:v>54.872100000000003</c:v>
                </c:pt>
                <c:pt idx="63">
                  <c:v>55.2791</c:v>
                </c:pt>
                <c:pt idx="64">
                  <c:v>55.688000000000002</c:v>
                </c:pt>
                <c:pt idx="65">
                  <c:v>56.091999999999999</c:v>
                </c:pt>
                <c:pt idx="66">
                  <c:v>56.500900000000001</c:v>
                </c:pt>
                <c:pt idx="67">
                  <c:v>56.902700000000003</c:v>
                </c:pt>
                <c:pt idx="68">
                  <c:v>57.312899999999999</c:v>
                </c:pt>
                <c:pt idx="69">
                  <c:v>57.720500000000001</c:v>
                </c:pt>
                <c:pt idx="70">
                  <c:v>58.124499999999998</c:v>
                </c:pt>
                <c:pt idx="71">
                  <c:v>58.5334</c:v>
                </c:pt>
                <c:pt idx="72">
                  <c:v>58.939399999999999</c:v>
                </c:pt>
                <c:pt idx="73">
                  <c:v>59.341299999999997</c:v>
                </c:pt>
                <c:pt idx="74">
                  <c:v>59.7483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3.5563600000000002</c:v>
                </c:pt>
                <c:pt idx="1">
                  <c:v>3.5364100000000001</c:v>
                </c:pt>
                <c:pt idx="2">
                  <c:v>3.51593</c:v>
                </c:pt>
                <c:pt idx="3">
                  <c:v>3.4988700000000001</c:v>
                </c:pt>
                <c:pt idx="4">
                  <c:v>3.4828299999999999</c:v>
                </c:pt>
                <c:pt idx="5">
                  <c:v>3.4673700000000003</c:v>
                </c:pt>
                <c:pt idx="6">
                  <c:v>3.45106</c:v>
                </c:pt>
                <c:pt idx="7">
                  <c:v>3.4390399999999999</c:v>
                </c:pt>
                <c:pt idx="8">
                  <c:v>3.4317500000000001</c:v>
                </c:pt>
                <c:pt idx="9">
                  <c:v>3.42523</c:v>
                </c:pt>
                <c:pt idx="10">
                  <c:v>3.4191899999999995</c:v>
                </c:pt>
                <c:pt idx="11">
                  <c:v>3.41601</c:v>
                </c:pt>
                <c:pt idx="12">
                  <c:v>3.4166300000000001</c:v>
                </c:pt>
                <c:pt idx="13">
                  <c:v>3.4171800000000001</c:v>
                </c:pt>
                <c:pt idx="14">
                  <c:v>3.42075</c:v>
                </c:pt>
                <c:pt idx="15">
                  <c:v>3.4272799999999997</c:v>
                </c:pt>
                <c:pt idx="16">
                  <c:v>3.4350799999999997</c:v>
                </c:pt>
                <c:pt idx="17">
                  <c:v>3.4446599999999998</c:v>
                </c:pt>
                <c:pt idx="18">
                  <c:v>3.4539399999999998</c:v>
                </c:pt>
                <c:pt idx="19">
                  <c:v>3.4646300000000001</c:v>
                </c:pt>
                <c:pt idx="20">
                  <c:v>3.47682</c:v>
                </c:pt>
                <c:pt idx="21">
                  <c:v>3.49207</c:v>
                </c:pt>
                <c:pt idx="22">
                  <c:v>3.5050699999999999</c:v>
                </c:pt>
                <c:pt idx="23">
                  <c:v>3.5179500000000004</c:v>
                </c:pt>
                <c:pt idx="24">
                  <c:v>3.5318899999999998</c:v>
                </c:pt>
                <c:pt idx="25">
                  <c:v>3.5480099999999997</c:v>
                </c:pt>
                <c:pt idx="26">
                  <c:v>3.5645199999999999</c:v>
                </c:pt>
                <c:pt idx="27">
                  <c:v>3.5811100000000002</c:v>
                </c:pt>
                <c:pt idx="28">
                  <c:v>3.5983799999999997</c:v>
                </c:pt>
                <c:pt idx="29">
                  <c:v>3.6113299999999997</c:v>
                </c:pt>
                <c:pt idx="30">
                  <c:v>3.6243500000000002</c:v>
                </c:pt>
                <c:pt idx="31">
                  <c:v>3.63483</c:v>
                </c:pt>
                <c:pt idx="32">
                  <c:v>3.6440800000000002</c:v>
                </c:pt>
                <c:pt idx="33">
                  <c:v>3.6473800000000001</c:v>
                </c:pt>
                <c:pt idx="34">
                  <c:v>3.6486600000000005</c:v>
                </c:pt>
                <c:pt idx="35">
                  <c:v>3.6504300000000001</c:v>
                </c:pt>
                <c:pt idx="36">
                  <c:v>3.6529499999999997</c:v>
                </c:pt>
                <c:pt idx="37">
                  <c:v>3.6525400000000001</c:v>
                </c:pt>
                <c:pt idx="38">
                  <c:v>3.6533600000000002</c:v>
                </c:pt>
                <c:pt idx="39">
                  <c:v>3.65768</c:v>
                </c:pt>
                <c:pt idx="40">
                  <c:v>3.6654100000000001</c:v>
                </c:pt>
                <c:pt idx="41">
                  <c:v>3.6747899999999998</c:v>
                </c:pt>
                <c:pt idx="42">
                  <c:v>3.6850399999999999</c:v>
                </c:pt>
                <c:pt idx="43">
                  <c:v>3.6969400000000001</c:v>
                </c:pt>
                <c:pt idx="44">
                  <c:v>3.7096</c:v>
                </c:pt>
                <c:pt idx="45">
                  <c:v>3.7237499999999999</c:v>
                </c:pt>
                <c:pt idx="46">
                  <c:v>3.7357299999999998</c:v>
                </c:pt>
                <c:pt idx="47">
                  <c:v>3.7503500000000001</c:v>
                </c:pt>
                <c:pt idx="48">
                  <c:v>3.7663500000000001</c:v>
                </c:pt>
                <c:pt idx="49">
                  <c:v>3.78179</c:v>
                </c:pt>
                <c:pt idx="50">
                  <c:v>3.7938800000000001</c:v>
                </c:pt>
                <c:pt idx="51">
                  <c:v>3.7957400000000003</c:v>
                </c:pt>
                <c:pt idx="52">
                  <c:v>3.7974599999999996</c:v>
                </c:pt>
                <c:pt idx="53">
                  <c:v>3.7980100000000001</c:v>
                </c:pt>
                <c:pt idx="54">
                  <c:v>3.8037700000000001</c:v>
                </c:pt>
                <c:pt idx="55">
                  <c:v>3.8093700000000004</c:v>
                </c:pt>
                <c:pt idx="56">
                  <c:v>3.8161699999999996</c:v>
                </c:pt>
                <c:pt idx="57">
                  <c:v>3.8221400000000001</c:v>
                </c:pt>
                <c:pt idx="58">
                  <c:v>3.8329499999999999</c:v>
                </c:pt>
                <c:pt idx="59">
                  <c:v>3.8489599999999999</c:v>
                </c:pt>
                <c:pt idx="60">
                  <c:v>3.8693599999999999</c:v>
                </c:pt>
                <c:pt idx="61">
                  <c:v>3.89059</c:v>
                </c:pt>
                <c:pt idx="62">
                  <c:v>3.9138099999999998</c:v>
                </c:pt>
                <c:pt idx="63">
                  <c:v>3.9396100000000001</c:v>
                </c:pt>
                <c:pt idx="64">
                  <c:v>3.9629300000000001</c:v>
                </c:pt>
                <c:pt idx="65">
                  <c:v>3.9799800000000003</c:v>
                </c:pt>
                <c:pt idx="66">
                  <c:v>3.99566</c:v>
                </c:pt>
                <c:pt idx="67">
                  <c:v>4.0090300000000001</c:v>
                </c:pt>
                <c:pt idx="68">
                  <c:v>4.0223399999999998</c:v>
                </c:pt>
                <c:pt idx="69">
                  <c:v>4.0331400000000004</c:v>
                </c:pt>
                <c:pt idx="70">
                  <c:v>4.0373000000000001</c:v>
                </c:pt>
                <c:pt idx="71">
                  <c:v>4.0403000000000002</c:v>
                </c:pt>
                <c:pt idx="72">
                  <c:v>4.0414399999999997</c:v>
                </c:pt>
                <c:pt idx="73">
                  <c:v>4.0324299999999997</c:v>
                </c:pt>
                <c:pt idx="74">
                  <c:v>4.0218100000000003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14.937075</c:v>
                </c:pt>
                <c:pt idx="1">
                  <c:v>44.811225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3.5032674324324322</c:v>
                </c:pt>
                <c:pt idx="1">
                  <c:v>3.6831781081081072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0.40678399999999998</c:v>
                </c:pt>
                <c:pt idx="2">
                  <c:v>0.80868899999999999</c:v>
                </c:pt>
                <c:pt idx="3">
                  <c:v>1.21458</c:v>
                </c:pt>
                <c:pt idx="4">
                  <c:v>1.62165</c:v>
                </c:pt>
                <c:pt idx="5">
                  <c:v>2.0314299999999998</c:v>
                </c:pt>
                <c:pt idx="6">
                  <c:v>2.4323600000000001</c:v>
                </c:pt>
                <c:pt idx="7">
                  <c:v>2.84226</c:v>
                </c:pt>
                <c:pt idx="8">
                  <c:v>3.2461799999999998</c:v>
                </c:pt>
                <c:pt idx="9">
                  <c:v>3.6560999999999999</c:v>
                </c:pt>
                <c:pt idx="10">
                  <c:v>4.0579599999999996</c:v>
                </c:pt>
                <c:pt idx="11">
                  <c:v>4.4628699999999997</c:v>
                </c:pt>
                <c:pt idx="12">
                  <c:v>4.8783099999999999</c:v>
                </c:pt>
                <c:pt idx="13">
                  <c:v>5.2786799999999996</c:v>
                </c:pt>
                <c:pt idx="14">
                  <c:v>5.68459</c:v>
                </c:pt>
                <c:pt idx="15">
                  <c:v>6.0897100000000002</c:v>
                </c:pt>
                <c:pt idx="16">
                  <c:v>6.4974699999999999</c:v>
                </c:pt>
                <c:pt idx="17">
                  <c:v>6.9015899999999997</c:v>
                </c:pt>
                <c:pt idx="18">
                  <c:v>7.3133299999999997</c:v>
                </c:pt>
                <c:pt idx="19">
                  <c:v>7.71915</c:v>
                </c:pt>
                <c:pt idx="20">
                  <c:v>8.1241299999999992</c:v>
                </c:pt>
                <c:pt idx="21">
                  <c:v>8.5290700000000008</c:v>
                </c:pt>
                <c:pt idx="22">
                  <c:v>8.9360900000000001</c:v>
                </c:pt>
                <c:pt idx="23">
                  <c:v>9.34422</c:v>
                </c:pt>
                <c:pt idx="24">
                  <c:v>9.7499099999999999</c:v>
                </c:pt>
                <c:pt idx="25">
                  <c:v>10.1517</c:v>
                </c:pt>
                <c:pt idx="26">
                  <c:v>10.5586</c:v>
                </c:pt>
                <c:pt idx="27">
                  <c:v>10.9657</c:v>
                </c:pt>
                <c:pt idx="28">
                  <c:v>11.375400000000001</c:v>
                </c:pt>
                <c:pt idx="29">
                  <c:v>11.7758</c:v>
                </c:pt>
                <c:pt idx="30">
                  <c:v>12.186299999999999</c:v>
                </c:pt>
                <c:pt idx="31">
                  <c:v>12.5932</c:v>
                </c:pt>
                <c:pt idx="32">
                  <c:v>12.9962</c:v>
                </c:pt>
                <c:pt idx="33">
                  <c:v>13.404999999999999</c:v>
                </c:pt>
                <c:pt idx="34">
                  <c:v>13.815899999999999</c:v>
                </c:pt>
                <c:pt idx="35">
                  <c:v>14.216799999999999</c:v>
                </c:pt>
                <c:pt idx="36">
                  <c:v>14.623699999999999</c:v>
                </c:pt>
                <c:pt idx="37">
                  <c:v>15.025700000000001</c:v>
                </c:pt>
                <c:pt idx="38">
                  <c:v>15.4376</c:v>
                </c:pt>
                <c:pt idx="39">
                  <c:v>15.8446</c:v>
                </c:pt>
                <c:pt idx="40">
                  <c:v>16.250399999999999</c:v>
                </c:pt>
                <c:pt idx="41">
                  <c:v>16.653400000000001</c:v>
                </c:pt>
                <c:pt idx="42">
                  <c:v>17.061599999999999</c:v>
                </c:pt>
                <c:pt idx="43">
                  <c:v>17.466200000000001</c:v>
                </c:pt>
                <c:pt idx="44">
                  <c:v>17.873999999999999</c:v>
                </c:pt>
                <c:pt idx="45">
                  <c:v>18.280899999999999</c:v>
                </c:pt>
                <c:pt idx="46">
                  <c:v>18.683800000000002</c:v>
                </c:pt>
                <c:pt idx="47">
                  <c:v>19.088699999999999</c:v>
                </c:pt>
                <c:pt idx="48">
                  <c:v>19.500699999999998</c:v>
                </c:pt>
                <c:pt idx="49">
                  <c:v>19.904599999999999</c:v>
                </c:pt>
                <c:pt idx="50">
                  <c:v>20.311699999999998</c:v>
                </c:pt>
                <c:pt idx="51">
                  <c:v>20.7165</c:v>
                </c:pt>
                <c:pt idx="52">
                  <c:v>21.1204</c:v>
                </c:pt>
                <c:pt idx="53">
                  <c:v>21.5276</c:v>
                </c:pt>
                <c:pt idx="54">
                  <c:v>21.935199999999998</c:v>
                </c:pt>
                <c:pt idx="55">
                  <c:v>22.3414</c:v>
                </c:pt>
                <c:pt idx="56">
                  <c:v>22.7471</c:v>
                </c:pt>
                <c:pt idx="57">
                  <c:v>23.157</c:v>
                </c:pt>
                <c:pt idx="58">
                  <c:v>23.561900000000001</c:v>
                </c:pt>
                <c:pt idx="59">
                  <c:v>23.966799999999999</c:v>
                </c:pt>
                <c:pt idx="60">
                  <c:v>24.373799999999999</c:v>
                </c:pt>
                <c:pt idx="61">
                  <c:v>24.778700000000001</c:v>
                </c:pt>
                <c:pt idx="62">
                  <c:v>25.186499999999999</c:v>
                </c:pt>
                <c:pt idx="63">
                  <c:v>25.592500000000001</c:v>
                </c:pt>
                <c:pt idx="64">
                  <c:v>25.997399999999999</c:v>
                </c:pt>
                <c:pt idx="65">
                  <c:v>26.4023</c:v>
                </c:pt>
                <c:pt idx="66">
                  <c:v>26.810400000000001</c:v>
                </c:pt>
                <c:pt idx="67">
                  <c:v>27.2194</c:v>
                </c:pt>
                <c:pt idx="68">
                  <c:v>27.627199999999998</c:v>
                </c:pt>
                <c:pt idx="69">
                  <c:v>28.0289</c:v>
                </c:pt>
                <c:pt idx="70">
                  <c:v>28.434799999999999</c:v>
                </c:pt>
                <c:pt idx="71">
                  <c:v>28.838899999999999</c:v>
                </c:pt>
                <c:pt idx="72">
                  <c:v>29.251799999999999</c:v>
                </c:pt>
                <c:pt idx="73">
                  <c:v>29.654599999999999</c:v>
                </c:pt>
                <c:pt idx="74">
                  <c:v>30.061599999999999</c:v>
                </c:pt>
                <c:pt idx="75">
                  <c:v>30.497399999999999</c:v>
                </c:pt>
                <c:pt idx="76">
                  <c:v>30.904299999999999</c:v>
                </c:pt>
                <c:pt idx="77">
                  <c:v>31.311199999999999</c:v>
                </c:pt>
                <c:pt idx="78">
                  <c:v>31.716999999999999</c:v>
                </c:pt>
                <c:pt idx="79">
                  <c:v>32.125999999999998</c:v>
                </c:pt>
                <c:pt idx="80">
                  <c:v>32.529899999999998</c:v>
                </c:pt>
                <c:pt idx="81">
                  <c:v>32.935000000000002</c:v>
                </c:pt>
                <c:pt idx="82">
                  <c:v>33.344799999999999</c:v>
                </c:pt>
                <c:pt idx="83">
                  <c:v>33.749699999999997</c:v>
                </c:pt>
                <c:pt idx="84">
                  <c:v>34.156500000000001</c:v>
                </c:pt>
                <c:pt idx="85">
                  <c:v>34.5625</c:v>
                </c:pt>
                <c:pt idx="86">
                  <c:v>34.964500000000001</c:v>
                </c:pt>
                <c:pt idx="87">
                  <c:v>35.376300000000001</c:v>
                </c:pt>
                <c:pt idx="88">
                  <c:v>35.782200000000003</c:v>
                </c:pt>
                <c:pt idx="89">
                  <c:v>36.186999999999998</c:v>
                </c:pt>
                <c:pt idx="90">
                  <c:v>36.591000000000001</c:v>
                </c:pt>
                <c:pt idx="91">
                  <c:v>36.997999999999998</c:v>
                </c:pt>
                <c:pt idx="92">
                  <c:v>37.404800000000002</c:v>
                </c:pt>
                <c:pt idx="93">
                  <c:v>37.811</c:v>
                </c:pt>
                <c:pt idx="94">
                  <c:v>38.216700000000003</c:v>
                </c:pt>
                <c:pt idx="95">
                  <c:v>38.624600000000001</c:v>
                </c:pt>
                <c:pt idx="96">
                  <c:v>39.025500000000001</c:v>
                </c:pt>
                <c:pt idx="97">
                  <c:v>39.438400000000001</c:v>
                </c:pt>
                <c:pt idx="98">
                  <c:v>39.842399999999998</c:v>
                </c:pt>
                <c:pt idx="99">
                  <c:v>40.247300000000003</c:v>
                </c:pt>
                <c:pt idx="100">
                  <c:v>40.6571</c:v>
                </c:pt>
                <c:pt idx="101">
                  <c:v>41.061199999999999</c:v>
                </c:pt>
                <c:pt idx="102">
                  <c:v>41.466900000000003</c:v>
                </c:pt>
                <c:pt idx="103">
                  <c:v>41.873800000000003</c:v>
                </c:pt>
                <c:pt idx="104">
                  <c:v>42.28</c:v>
                </c:pt>
                <c:pt idx="105">
                  <c:v>42.686700000000002</c:v>
                </c:pt>
                <c:pt idx="106">
                  <c:v>43.095599999999997</c:v>
                </c:pt>
                <c:pt idx="107">
                  <c:v>43.499600000000001</c:v>
                </c:pt>
                <c:pt idx="108">
                  <c:v>43.903500000000001</c:v>
                </c:pt>
                <c:pt idx="109">
                  <c:v>44.312800000000003</c:v>
                </c:pt>
                <c:pt idx="110">
                  <c:v>44.717199999999998</c:v>
                </c:pt>
                <c:pt idx="111">
                  <c:v>45.122199999999999</c:v>
                </c:pt>
                <c:pt idx="112">
                  <c:v>45.530200000000001</c:v>
                </c:pt>
                <c:pt idx="113">
                  <c:v>45.935000000000002</c:v>
                </c:pt>
                <c:pt idx="114">
                  <c:v>46.341099999999997</c:v>
                </c:pt>
                <c:pt idx="115">
                  <c:v>46.750900000000001</c:v>
                </c:pt>
                <c:pt idx="116">
                  <c:v>47.151800000000001</c:v>
                </c:pt>
                <c:pt idx="117">
                  <c:v>47.558700000000002</c:v>
                </c:pt>
                <c:pt idx="118">
                  <c:v>47.966700000000003</c:v>
                </c:pt>
                <c:pt idx="119">
                  <c:v>48.3705</c:v>
                </c:pt>
                <c:pt idx="120">
                  <c:v>48.780500000000004</c:v>
                </c:pt>
                <c:pt idx="121">
                  <c:v>49.185299999999998</c:v>
                </c:pt>
                <c:pt idx="122">
                  <c:v>49.591200000000001</c:v>
                </c:pt>
                <c:pt idx="123">
                  <c:v>49.999200000000002</c:v>
                </c:pt>
                <c:pt idx="124">
                  <c:v>50.402999999999999</c:v>
                </c:pt>
                <c:pt idx="125">
                  <c:v>50.808999999999997</c:v>
                </c:pt>
                <c:pt idx="126">
                  <c:v>51.218899999999998</c:v>
                </c:pt>
                <c:pt idx="127">
                  <c:v>51.6248</c:v>
                </c:pt>
                <c:pt idx="128">
                  <c:v>52.030700000000003</c:v>
                </c:pt>
                <c:pt idx="129">
                  <c:v>52.434600000000003</c:v>
                </c:pt>
                <c:pt idx="130">
                  <c:v>52.841700000000003</c:v>
                </c:pt>
                <c:pt idx="131">
                  <c:v>53.245399999999997</c:v>
                </c:pt>
                <c:pt idx="132">
                  <c:v>53.651600000000002</c:v>
                </c:pt>
                <c:pt idx="133">
                  <c:v>54.060499999999998</c:v>
                </c:pt>
                <c:pt idx="134">
                  <c:v>54.463299999999997</c:v>
                </c:pt>
                <c:pt idx="135">
                  <c:v>54.872100000000003</c:v>
                </c:pt>
                <c:pt idx="136">
                  <c:v>55.2791</c:v>
                </c:pt>
                <c:pt idx="137">
                  <c:v>55.688000000000002</c:v>
                </c:pt>
                <c:pt idx="138">
                  <c:v>56.091999999999999</c:v>
                </c:pt>
                <c:pt idx="139">
                  <c:v>56.500900000000001</c:v>
                </c:pt>
                <c:pt idx="140">
                  <c:v>56.902700000000003</c:v>
                </c:pt>
                <c:pt idx="141">
                  <c:v>57.312899999999999</c:v>
                </c:pt>
                <c:pt idx="142">
                  <c:v>57.720500000000001</c:v>
                </c:pt>
                <c:pt idx="143">
                  <c:v>58.124499999999998</c:v>
                </c:pt>
                <c:pt idx="144">
                  <c:v>58.5334</c:v>
                </c:pt>
                <c:pt idx="145">
                  <c:v>58.939399999999999</c:v>
                </c:pt>
                <c:pt idx="146">
                  <c:v>59.341299999999997</c:v>
                </c:pt>
                <c:pt idx="147">
                  <c:v>59.7483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58.647400000000005</c:v>
                </c:pt>
                <c:pt idx="1">
                  <c:v>57.411599999999993</c:v>
                </c:pt>
                <c:pt idx="2">
                  <c:v>56.196300000000001</c:v>
                </c:pt>
                <c:pt idx="3">
                  <c:v>54.827499999999993</c:v>
                </c:pt>
                <c:pt idx="4">
                  <c:v>53.3996</c:v>
                </c:pt>
                <c:pt idx="5">
                  <c:v>51.956800000000001</c:v>
                </c:pt>
                <c:pt idx="6">
                  <c:v>50.511300000000006</c:v>
                </c:pt>
                <c:pt idx="7">
                  <c:v>49.145499999999998</c:v>
                </c:pt>
                <c:pt idx="8">
                  <c:v>47.886000000000003</c:v>
                </c:pt>
                <c:pt idx="9">
                  <c:v>46.616</c:v>
                </c:pt>
                <c:pt idx="10">
                  <c:v>45.452799999999996</c:v>
                </c:pt>
                <c:pt idx="11">
                  <c:v>44.433399999999999</c:v>
                </c:pt>
                <c:pt idx="12">
                  <c:v>43.347000000000001</c:v>
                </c:pt>
                <c:pt idx="13">
                  <c:v>42.313299999999998</c:v>
                </c:pt>
                <c:pt idx="14">
                  <c:v>41.411200000000001</c:v>
                </c:pt>
                <c:pt idx="15">
                  <c:v>40.646100000000004</c:v>
                </c:pt>
                <c:pt idx="16">
                  <c:v>39.852900000000005</c:v>
                </c:pt>
                <c:pt idx="17">
                  <c:v>39.168300000000002</c:v>
                </c:pt>
                <c:pt idx="18">
                  <c:v>38.727899999999998</c:v>
                </c:pt>
                <c:pt idx="19">
                  <c:v>38.401000000000003</c:v>
                </c:pt>
                <c:pt idx="20">
                  <c:v>38.224000000000004</c:v>
                </c:pt>
                <c:pt idx="21">
                  <c:v>38.136600000000001</c:v>
                </c:pt>
                <c:pt idx="22">
                  <c:v>38.001200000000004</c:v>
                </c:pt>
                <c:pt idx="23">
                  <c:v>37.817399999999999</c:v>
                </c:pt>
                <c:pt idx="24">
                  <c:v>37.702200000000005</c:v>
                </c:pt>
                <c:pt idx="25">
                  <c:v>37.677999999999997</c:v>
                </c:pt>
                <c:pt idx="26">
                  <c:v>37.7164</c:v>
                </c:pt>
                <c:pt idx="27">
                  <c:v>37.777999999999999</c:v>
                </c:pt>
                <c:pt idx="28">
                  <c:v>37.752699999999997</c:v>
                </c:pt>
                <c:pt idx="29">
                  <c:v>37.720100000000002</c:v>
                </c:pt>
                <c:pt idx="30">
                  <c:v>37.628499999999995</c:v>
                </c:pt>
                <c:pt idx="31">
                  <c:v>37.5229</c:v>
                </c:pt>
                <c:pt idx="32">
                  <c:v>37.462000000000003</c:v>
                </c:pt>
                <c:pt idx="33">
                  <c:v>37.3765</c:v>
                </c:pt>
                <c:pt idx="34">
                  <c:v>37.338000000000001</c:v>
                </c:pt>
                <c:pt idx="35">
                  <c:v>37.4009</c:v>
                </c:pt>
                <c:pt idx="36">
                  <c:v>37.450000000000003</c:v>
                </c:pt>
                <c:pt idx="37">
                  <c:v>37.528800000000004</c:v>
                </c:pt>
                <c:pt idx="38">
                  <c:v>37.639600000000002</c:v>
                </c:pt>
                <c:pt idx="39">
                  <c:v>37.781100000000002</c:v>
                </c:pt>
                <c:pt idx="40">
                  <c:v>37.956699999999998</c:v>
                </c:pt>
                <c:pt idx="41">
                  <c:v>38.202199999999998</c:v>
                </c:pt>
                <c:pt idx="42">
                  <c:v>38.456499999999998</c:v>
                </c:pt>
                <c:pt idx="43">
                  <c:v>38.694699999999997</c:v>
                </c:pt>
                <c:pt idx="44">
                  <c:v>38.860399999999998</c:v>
                </c:pt>
                <c:pt idx="45">
                  <c:v>38.990499999999997</c:v>
                </c:pt>
                <c:pt idx="46">
                  <c:v>39.103500000000004</c:v>
                </c:pt>
                <c:pt idx="47">
                  <c:v>39.243000000000002</c:v>
                </c:pt>
                <c:pt idx="48">
                  <c:v>39.4054</c:v>
                </c:pt>
                <c:pt idx="49">
                  <c:v>39.537599999999998</c:v>
                </c:pt>
                <c:pt idx="50">
                  <c:v>39.641999999999996</c:v>
                </c:pt>
                <c:pt idx="51">
                  <c:v>39.6873</c:v>
                </c:pt>
                <c:pt idx="52">
                  <c:v>39.694899999999997</c:v>
                </c:pt>
                <c:pt idx="53">
                  <c:v>39.734000000000002</c:v>
                </c:pt>
                <c:pt idx="54">
                  <c:v>39.774300000000004</c:v>
                </c:pt>
                <c:pt idx="55">
                  <c:v>39.823500000000003</c:v>
                </c:pt>
                <c:pt idx="56">
                  <c:v>39.848399999999998</c:v>
                </c:pt>
                <c:pt idx="57">
                  <c:v>39.850499999999997</c:v>
                </c:pt>
                <c:pt idx="58">
                  <c:v>39.860399999999998</c:v>
                </c:pt>
                <c:pt idx="59">
                  <c:v>39.842399999999998</c:v>
                </c:pt>
                <c:pt idx="60">
                  <c:v>39.753999999999998</c:v>
                </c:pt>
                <c:pt idx="61">
                  <c:v>39.727600000000002</c:v>
                </c:pt>
                <c:pt idx="62">
                  <c:v>39.690899999999999</c:v>
                </c:pt>
                <c:pt idx="63">
                  <c:v>39.684799999999996</c:v>
                </c:pt>
                <c:pt idx="64">
                  <c:v>39.6678</c:v>
                </c:pt>
                <c:pt idx="65">
                  <c:v>39.682299999999998</c:v>
                </c:pt>
                <c:pt idx="66">
                  <c:v>39.693100000000001</c:v>
                </c:pt>
                <c:pt idx="67">
                  <c:v>39.742400000000004</c:v>
                </c:pt>
                <c:pt idx="68">
                  <c:v>39.745799999999996</c:v>
                </c:pt>
                <c:pt idx="69">
                  <c:v>39.779899999999998</c:v>
                </c:pt>
                <c:pt idx="70">
                  <c:v>39.837699999999998</c:v>
                </c:pt>
                <c:pt idx="71">
                  <c:v>39.899299999999997</c:v>
                </c:pt>
                <c:pt idx="72">
                  <c:v>39.961999999999996</c:v>
                </c:pt>
                <c:pt idx="73">
                  <c:v>40.044699999999999</c:v>
                </c:pt>
                <c:pt idx="74">
                  <c:v>40.135399999999997</c:v>
                </c:pt>
                <c:pt idx="75">
                  <c:v>40.262100000000004</c:v>
                </c:pt>
                <c:pt idx="76">
                  <c:v>40.401499999999999</c:v>
                </c:pt>
                <c:pt idx="77">
                  <c:v>40.543300000000002</c:v>
                </c:pt>
                <c:pt idx="78">
                  <c:v>40.676000000000002</c:v>
                </c:pt>
                <c:pt idx="79">
                  <c:v>40.838099999999997</c:v>
                </c:pt>
                <c:pt idx="80">
                  <c:v>41.011800000000001</c:v>
                </c:pt>
                <c:pt idx="81">
                  <c:v>41.117399999999996</c:v>
                </c:pt>
                <c:pt idx="82">
                  <c:v>41.195500000000003</c:v>
                </c:pt>
                <c:pt idx="83">
                  <c:v>41.263300000000001</c:v>
                </c:pt>
                <c:pt idx="84">
                  <c:v>41.287800000000004</c:v>
                </c:pt>
                <c:pt idx="85">
                  <c:v>41.270099999999999</c:v>
                </c:pt>
                <c:pt idx="86">
                  <c:v>41.189799999999998</c:v>
                </c:pt>
                <c:pt idx="87">
                  <c:v>41.0807</c:v>
                </c:pt>
                <c:pt idx="88">
                  <c:v>40.943800000000003</c:v>
                </c:pt>
                <c:pt idx="89">
                  <c:v>40.813400000000001</c:v>
                </c:pt>
                <c:pt idx="90">
                  <c:v>40.590699999999998</c:v>
                </c:pt>
                <c:pt idx="91">
                  <c:v>40.402000000000001</c:v>
                </c:pt>
                <c:pt idx="92">
                  <c:v>40.147199999999998</c:v>
                </c:pt>
                <c:pt idx="93">
                  <c:v>39.903399999999998</c:v>
                </c:pt>
                <c:pt idx="94">
                  <c:v>39.6325</c:v>
                </c:pt>
                <c:pt idx="95">
                  <c:v>39.432200000000002</c:v>
                </c:pt>
                <c:pt idx="96">
                  <c:v>39.2012</c:v>
                </c:pt>
                <c:pt idx="97">
                  <c:v>38.963500000000003</c:v>
                </c:pt>
                <c:pt idx="98">
                  <c:v>38.708199999999998</c:v>
                </c:pt>
                <c:pt idx="99">
                  <c:v>38.454100000000004</c:v>
                </c:pt>
                <c:pt idx="100">
                  <c:v>38.166899999999998</c:v>
                </c:pt>
                <c:pt idx="101">
                  <c:v>37.921100000000003</c:v>
                </c:pt>
                <c:pt idx="102">
                  <c:v>37.704700000000003</c:v>
                </c:pt>
                <c:pt idx="103">
                  <c:v>37.452200000000005</c:v>
                </c:pt>
                <c:pt idx="104">
                  <c:v>37.2044</c:v>
                </c:pt>
                <c:pt idx="105">
                  <c:v>36.923699999999997</c:v>
                </c:pt>
                <c:pt idx="106">
                  <c:v>36.690800000000003</c:v>
                </c:pt>
                <c:pt idx="107">
                  <c:v>36.4358</c:v>
                </c:pt>
                <c:pt idx="108">
                  <c:v>36.228200000000001</c:v>
                </c:pt>
                <c:pt idx="109">
                  <c:v>36.032599999999995</c:v>
                </c:pt>
                <c:pt idx="110">
                  <c:v>35.872399999999999</c:v>
                </c:pt>
                <c:pt idx="111">
                  <c:v>35.737000000000002</c:v>
                </c:pt>
                <c:pt idx="112">
                  <c:v>35.6633</c:v>
                </c:pt>
                <c:pt idx="113">
                  <c:v>35.5565</c:v>
                </c:pt>
                <c:pt idx="114">
                  <c:v>35.428800000000003</c:v>
                </c:pt>
                <c:pt idx="115">
                  <c:v>35.3187</c:v>
                </c:pt>
                <c:pt idx="116">
                  <c:v>35.142000000000003</c:v>
                </c:pt>
                <c:pt idx="117">
                  <c:v>34.915900000000001</c:v>
                </c:pt>
                <c:pt idx="118">
                  <c:v>34.610700000000001</c:v>
                </c:pt>
                <c:pt idx="119">
                  <c:v>34.402500000000003</c:v>
                </c:pt>
                <c:pt idx="120">
                  <c:v>34.210900000000002</c:v>
                </c:pt>
                <c:pt idx="121">
                  <c:v>34.0762</c:v>
                </c:pt>
                <c:pt idx="122">
                  <c:v>33.932400000000001</c:v>
                </c:pt>
                <c:pt idx="123">
                  <c:v>33.788000000000004</c:v>
                </c:pt>
                <c:pt idx="124">
                  <c:v>33.731699999999996</c:v>
                </c:pt>
                <c:pt idx="125">
                  <c:v>33.695500000000003</c:v>
                </c:pt>
                <c:pt idx="126">
                  <c:v>33.619900000000001</c:v>
                </c:pt>
                <c:pt idx="127">
                  <c:v>33.569400000000002</c:v>
                </c:pt>
                <c:pt idx="128">
                  <c:v>33.567500000000003</c:v>
                </c:pt>
                <c:pt idx="129">
                  <c:v>33.559600000000003</c:v>
                </c:pt>
                <c:pt idx="130">
                  <c:v>33.5396</c:v>
                </c:pt>
                <c:pt idx="131">
                  <c:v>33.522200000000005</c:v>
                </c:pt>
                <c:pt idx="132">
                  <c:v>33.590499999999999</c:v>
                </c:pt>
                <c:pt idx="133">
                  <c:v>33.620699999999999</c:v>
                </c:pt>
                <c:pt idx="134">
                  <c:v>33.633000000000003</c:v>
                </c:pt>
                <c:pt idx="135">
                  <c:v>33.599699999999999</c:v>
                </c:pt>
                <c:pt idx="136">
                  <c:v>33.602499999999999</c:v>
                </c:pt>
                <c:pt idx="137">
                  <c:v>33.4482</c:v>
                </c:pt>
                <c:pt idx="138">
                  <c:v>33.198100000000004</c:v>
                </c:pt>
                <c:pt idx="139">
                  <c:v>32.926100000000005</c:v>
                </c:pt>
                <c:pt idx="140">
                  <c:v>32.681800000000003</c:v>
                </c:pt>
                <c:pt idx="141">
                  <c:v>32.5167</c:v>
                </c:pt>
                <c:pt idx="142">
                  <c:v>32.496600000000001</c:v>
                </c:pt>
                <c:pt idx="143">
                  <c:v>32.673499999999997</c:v>
                </c:pt>
                <c:pt idx="144">
                  <c:v>32.6496</c:v>
                </c:pt>
                <c:pt idx="145">
                  <c:v>32.602199999999996</c:v>
                </c:pt>
                <c:pt idx="146">
                  <c:v>32.543599999999998</c:v>
                </c:pt>
                <c:pt idx="147">
                  <c:v>32.510099999999994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0.40678399999999998</c:v>
                </c:pt>
                <c:pt idx="2">
                  <c:v>0.80868899999999999</c:v>
                </c:pt>
                <c:pt idx="3">
                  <c:v>1.21458</c:v>
                </c:pt>
                <c:pt idx="4">
                  <c:v>1.62165</c:v>
                </c:pt>
                <c:pt idx="5">
                  <c:v>2.0314299999999998</c:v>
                </c:pt>
                <c:pt idx="6">
                  <c:v>2.4323600000000001</c:v>
                </c:pt>
                <c:pt idx="7">
                  <c:v>2.84226</c:v>
                </c:pt>
                <c:pt idx="8">
                  <c:v>3.2461799999999998</c:v>
                </c:pt>
                <c:pt idx="9">
                  <c:v>3.6560999999999999</c:v>
                </c:pt>
                <c:pt idx="10">
                  <c:v>4.0579599999999996</c:v>
                </c:pt>
                <c:pt idx="11">
                  <c:v>4.4628699999999997</c:v>
                </c:pt>
                <c:pt idx="12">
                  <c:v>4.8783099999999999</c:v>
                </c:pt>
                <c:pt idx="13">
                  <c:v>5.2786799999999996</c:v>
                </c:pt>
                <c:pt idx="14">
                  <c:v>5.68459</c:v>
                </c:pt>
                <c:pt idx="15">
                  <c:v>6.0897100000000002</c:v>
                </c:pt>
                <c:pt idx="16">
                  <c:v>6.4974699999999999</c:v>
                </c:pt>
                <c:pt idx="17">
                  <c:v>6.9015899999999997</c:v>
                </c:pt>
                <c:pt idx="18">
                  <c:v>7.3133299999999997</c:v>
                </c:pt>
                <c:pt idx="19">
                  <c:v>7.71915</c:v>
                </c:pt>
                <c:pt idx="20">
                  <c:v>8.1241299999999992</c:v>
                </c:pt>
                <c:pt idx="21">
                  <c:v>8.5290700000000008</c:v>
                </c:pt>
                <c:pt idx="22">
                  <c:v>8.9360900000000001</c:v>
                </c:pt>
                <c:pt idx="23">
                  <c:v>9.34422</c:v>
                </c:pt>
                <c:pt idx="24">
                  <c:v>9.7499099999999999</c:v>
                </c:pt>
                <c:pt idx="25">
                  <c:v>10.1517</c:v>
                </c:pt>
                <c:pt idx="26">
                  <c:v>10.5586</c:v>
                </c:pt>
                <c:pt idx="27">
                  <c:v>10.9657</c:v>
                </c:pt>
                <c:pt idx="28">
                  <c:v>11.375400000000001</c:v>
                </c:pt>
                <c:pt idx="29">
                  <c:v>11.7758</c:v>
                </c:pt>
                <c:pt idx="30">
                  <c:v>12.186299999999999</c:v>
                </c:pt>
                <c:pt idx="31">
                  <c:v>12.5932</c:v>
                </c:pt>
                <c:pt idx="32">
                  <c:v>12.9962</c:v>
                </c:pt>
                <c:pt idx="33">
                  <c:v>13.404999999999999</c:v>
                </c:pt>
                <c:pt idx="34">
                  <c:v>13.815899999999999</c:v>
                </c:pt>
                <c:pt idx="35">
                  <c:v>14.216799999999999</c:v>
                </c:pt>
                <c:pt idx="36">
                  <c:v>14.623699999999999</c:v>
                </c:pt>
                <c:pt idx="37">
                  <c:v>15.025700000000001</c:v>
                </c:pt>
                <c:pt idx="38">
                  <c:v>15.4376</c:v>
                </c:pt>
                <c:pt idx="39">
                  <c:v>15.8446</c:v>
                </c:pt>
                <c:pt idx="40">
                  <c:v>16.250399999999999</c:v>
                </c:pt>
                <c:pt idx="41">
                  <c:v>16.653400000000001</c:v>
                </c:pt>
                <c:pt idx="42">
                  <c:v>17.061599999999999</c:v>
                </c:pt>
                <c:pt idx="43">
                  <c:v>17.466200000000001</c:v>
                </c:pt>
                <c:pt idx="44">
                  <c:v>17.873999999999999</c:v>
                </c:pt>
                <c:pt idx="45">
                  <c:v>18.280899999999999</c:v>
                </c:pt>
                <c:pt idx="46">
                  <c:v>18.683800000000002</c:v>
                </c:pt>
                <c:pt idx="47">
                  <c:v>19.088699999999999</c:v>
                </c:pt>
                <c:pt idx="48">
                  <c:v>19.500699999999998</c:v>
                </c:pt>
                <c:pt idx="49">
                  <c:v>19.904599999999999</c:v>
                </c:pt>
                <c:pt idx="50">
                  <c:v>20.311699999999998</c:v>
                </c:pt>
                <c:pt idx="51">
                  <c:v>20.7165</c:v>
                </c:pt>
                <c:pt idx="52">
                  <c:v>21.1204</c:v>
                </c:pt>
                <c:pt idx="53">
                  <c:v>21.5276</c:v>
                </c:pt>
                <c:pt idx="54">
                  <c:v>21.935199999999998</c:v>
                </c:pt>
                <c:pt idx="55">
                  <c:v>22.3414</c:v>
                </c:pt>
                <c:pt idx="56">
                  <c:v>22.7471</c:v>
                </c:pt>
                <c:pt idx="57">
                  <c:v>23.157</c:v>
                </c:pt>
                <c:pt idx="58">
                  <c:v>23.561900000000001</c:v>
                </c:pt>
                <c:pt idx="59">
                  <c:v>23.966799999999999</c:v>
                </c:pt>
                <c:pt idx="60">
                  <c:v>24.373799999999999</c:v>
                </c:pt>
                <c:pt idx="61">
                  <c:v>24.778700000000001</c:v>
                </c:pt>
                <c:pt idx="62">
                  <c:v>25.186499999999999</c:v>
                </c:pt>
                <c:pt idx="63">
                  <c:v>25.592500000000001</c:v>
                </c:pt>
                <c:pt idx="64">
                  <c:v>25.997399999999999</c:v>
                </c:pt>
                <c:pt idx="65">
                  <c:v>26.4023</c:v>
                </c:pt>
                <c:pt idx="66">
                  <c:v>26.810400000000001</c:v>
                </c:pt>
                <c:pt idx="67">
                  <c:v>27.2194</c:v>
                </c:pt>
                <c:pt idx="68">
                  <c:v>27.627199999999998</c:v>
                </c:pt>
                <c:pt idx="69">
                  <c:v>28.0289</c:v>
                </c:pt>
                <c:pt idx="70">
                  <c:v>28.434799999999999</c:v>
                </c:pt>
                <c:pt idx="71">
                  <c:v>28.838899999999999</c:v>
                </c:pt>
                <c:pt idx="72">
                  <c:v>29.251799999999999</c:v>
                </c:pt>
                <c:pt idx="73">
                  <c:v>29.654599999999999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58.647400000000005</c:v>
                </c:pt>
                <c:pt idx="1">
                  <c:v>57.411599999999993</c:v>
                </c:pt>
                <c:pt idx="2">
                  <c:v>56.196300000000001</c:v>
                </c:pt>
                <c:pt idx="3">
                  <c:v>54.827499999999993</c:v>
                </c:pt>
                <c:pt idx="4">
                  <c:v>53.3996</c:v>
                </c:pt>
                <c:pt idx="5">
                  <c:v>51.956800000000001</c:v>
                </c:pt>
                <c:pt idx="6">
                  <c:v>50.511300000000006</c:v>
                </c:pt>
                <c:pt idx="7">
                  <c:v>49.145499999999998</c:v>
                </c:pt>
                <c:pt idx="8">
                  <c:v>47.886000000000003</c:v>
                </c:pt>
                <c:pt idx="9">
                  <c:v>46.616</c:v>
                </c:pt>
                <c:pt idx="10">
                  <c:v>45.452799999999996</c:v>
                </c:pt>
                <c:pt idx="11">
                  <c:v>44.433399999999999</c:v>
                </c:pt>
                <c:pt idx="12">
                  <c:v>43.347000000000001</c:v>
                </c:pt>
                <c:pt idx="13">
                  <c:v>42.313299999999998</c:v>
                </c:pt>
                <c:pt idx="14">
                  <c:v>41.411200000000001</c:v>
                </c:pt>
                <c:pt idx="15">
                  <c:v>40.646100000000004</c:v>
                </c:pt>
                <c:pt idx="16">
                  <c:v>39.852900000000005</c:v>
                </c:pt>
                <c:pt idx="17">
                  <c:v>39.168300000000002</c:v>
                </c:pt>
                <c:pt idx="18">
                  <c:v>38.727899999999998</c:v>
                </c:pt>
                <c:pt idx="19">
                  <c:v>38.401000000000003</c:v>
                </c:pt>
                <c:pt idx="20">
                  <c:v>38.224000000000004</c:v>
                </c:pt>
                <c:pt idx="21">
                  <c:v>38.136600000000001</c:v>
                </c:pt>
                <c:pt idx="22">
                  <c:v>38.001200000000004</c:v>
                </c:pt>
                <c:pt idx="23">
                  <c:v>37.817399999999999</c:v>
                </c:pt>
                <c:pt idx="24">
                  <c:v>37.702200000000005</c:v>
                </c:pt>
                <c:pt idx="25">
                  <c:v>37.677999999999997</c:v>
                </c:pt>
                <c:pt idx="26">
                  <c:v>37.7164</c:v>
                </c:pt>
                <c:pt idx="27">
                  <c:v>37.777999999999999</c:v>
                </c:pt>
                <c:pt idx="28">
                  <c:v>37.752699999999997</c:v>
                </c:pt>
                <c:pt idx="29">
                  <c:v>37.720100000000002</c:v>
                </c:pt>
                <c:pt idx="30">
                  <c:v>37.628499999999995</c:v>
                </c:pt>
                <c:pt idx="31">
                  <c:v>37.5229</c:v>
                </c:pt>
                <c:pt idx="32">
                  <c:v>37.462000000000003</c:v>
                </c:pt>
                <c:pt idx="33">
                  <c:v>37.3765</c:v>
                </c:pt>
                <c:pt idx="34">
                  <c:v>37.338000000000001</c:v>
                </c:pt>
                <c:pt idx="35">
                  <c:v>37.4009</c:v>
                </c:pt>
                <c:pt idx="36">
                  <c:v>37.450000000000003</c:v>
                </c:pt>
                <c:pt idx="37">
                  <c:v>37.528800000000004</c:v>
                </c:pt>
                <c:pt idx="38">
                  <c:v>37.639600000000002</c:v>
                </c:pt>
                <c:pt idx="39">
                  <c:v>37.781100000000002</c:v>
                </c:pt>
                <c:pt idx="40">
                  <c:v>37.956699999999998</c:v>
                </c:pt>
                <c:pt idx="41">
                  <c:v>38.202199999999998</c:v>
                </c:pt>
                <c:pt idx="42">
                  <c:v>38.456499999999998</c:v>
                </c:pt>
                <c:pt idx="43">
                  <c:v>38.694699999999997</c:v>
                </c:pt>
                <c:pt idx="44">
                  <c:v>38.860399999999998</c:v>
                </c:pt>
                <c:pt idx="45">
                  <c:v>38.990499999999997</c:v>
                </c:pt>
                <c:pt idx="46">
                  <c:v>39.103500000000004</c:v>
                </c:pt>
                <c:pt idx="47">
                  <c:v>39.243000000000002</c:v>
                </c:pt>
                <c:pt idx="48">
                  <c:v>39.4054</c:v>
                </c:pt>
                <c:pt idx="49">
                  <c:v>39.537599999999998</c:v>
                </c:pt>
                <c:pt idx="50">
                  <c:v>39.641999999999996</c:v>
                </c:pt>
                <c:pt idx="51">
                  <c:v>39.6873</c:v>
                </c:pt>
                <c:pt idx="52">
                  <c:v>39.694899999999997</c:v>
                </c:pt>
                <c:pt idx="53">
                  <c:v>39.734000000000002</c:v>
                </c:pt>
                <c:pt idx="54">
                  <c:v>39.774300000000004</c:v>
                </c:pt>
                <c:pt idx="55">
                  <c:v>39.823500000000003</c:v>
                </c:pt>
                <c:pt idx="56">
                  <c:v>39.848399999999998</c:v>
                </c:pt>
                <c:pt idx="57">
                  <c:v>39.850499999999997</c:v>
                </c:pt>
                <c:pt idx="58">
                  <c:v>39.860399999999998</c:v>
                </c:pt>
                <c:pt idx="59">
                  <c:v>39.842399999999998</c:v>
                </c:pt>
                <c:pt idx="60">
                  <c:v>39.753999999999998</c:v>
                </c:pt>
                <c:pt idx="61">
                  <c:v>39.727600000000002</c:v>
                </c:pt>
                <c:pt idx="62">
                  <c:v>39.690899999999999</c:v>
                </c:pt>
                <c:pt idx="63">
                  <c:v>39.684799999999996</c:v>
                </c:pt>
                <c:pt idx="64">
                  <c:v>39.6678</c:v>
                </c:pt>
                <c:pt idx="65">
                  <c:v>39.682299999999998</c:v>
                </c:pt>
                <c:pt idx="66">
                  <c:v>39.693100000000001</c:v>
                </c:pt>
                <c:pt idx="67">
                  <c:v>39.742400000000004</c:v>
                </c:pt>
                <c:pt idx="68">
                  <c:v>39.745799999999996</c:v>
                </c:pt>
                <c:pt idx="69">
                  <c:v>39.779899999999998</c:v>
                </c:pt>
                <c:pt idx="70">
                  <c:v>39.837699999999998</c:v>
                </c:pt>
                <c:pt idx="71">
                  <c:v>39.899299999999997</c:v>
                </c:pt>
                <c:pt idx="72">
                  <c:v>39.961999999999996</c:v>
                </c:pt>
                <c:pt idx="73">
                  <c:v>40.044699999999999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30.061599999999999</c:v>
                </c:pt>
                <c:pt idx="2">
                  <c:v>30.497399999999999</c:v>
                </c:pt>
                <c:pt idx="3">
                  <c:v>30.904299999999999</c:v>
                </c:pt>
                <c:pt idx="4">
                  <c:v>31.311199999999999</c:v>
                </c:pt>
                <c:pt idx="5">
                  <c:v>31.716999999999999</c:v>
                </c:pt>
                <c:pt idx="6">
                  <c:v>32.125999999999998</c:v>
                </c:pt>
                <c:pt idx="7">
                  <c:v>32.529899999999998</c:v>
                </c:pt>
                <c:pt idx="8">
                  <c:v>32.935000000000002</c:v>
                </c:pt>
                <c:pt idx="9">
                  <c:v>33.344799999999999</c:v>
                </c:pt>
                <c:pt idx="10">
                  <c:v>33.749699999999997</c:v>
                </c:pt>
                <c:pt idx="11">
                  <c:v>34.156500000000001</c:v>
                </c:pt>
                <c:pt idx="12">
                  <c:v>34.5625</c:v>
                </c:pt>
                <c:pt idx="13">
                  <c:v>34.964500000000001</c:v>
                </c:pt>
                <c:pt idx="14">
                  <c:v>35.376300000000001</c:v>
                </c:pt>
                <c:pt idx="15">
                  <c:v>35.782200000000003</c:v>
                </c:pt>
                <c:pt idx="16">
                  <c:v>36.186999999999998</c:v>
                </c:pt>
                <c:pt idx="17">
                  <c:v>36.591000000000001</c:v>
                </c:pt>
                <c:pt idx="18">
                  <c:v>36.997999999999998</c:v>
                </c:pt>
                <c:pt idx="19">
                  <c:v>37.404800000000002</c:v>
                </c:pt>
                <c:pt idx="20">
                  <c:v>37.811</c:v>
                </c:pt>
                <c:pt idx="21">
                  <c:v>38.216700000000003</c:v>
                </c:pt>
                <c:pt idx="22">
                  <c:v>38.624600000000001</c:v>
                </c:pt>
                <c:pt idx="23">
                  <c:v>39.025500000000001</c:v>
                </c:pt>
                <c:pt idx="24">
                  <c:v>39.438400000000001</c:v>
                </c:pt>
                <c:pt idx="25">
                  <c:v>39.842399999999998</c:v>
                </c:pt>
                <c:pt idx="26">
                  <c:v>40.247300000000003</c:v>
                </c:pt>
                <c:pt idx="27">
                  <c:v>40.6571</c:v>
                </c:pt>
                <c:pt idx="28">
                  <c:v>41.061199999999999</c:v>
                </c:pt>
                <c:pt idx="29">
                  <c:v>41.466900000000003</c:v>
                </c:pt>
                <c:pt idx="30">
                  <c:v>41.873800000000003</c:v>
                </c:pt>
                <c:pt idx="31">
                  <c:v>42.28</c:v>
                </c:pt>
                <c:pt idx="32">
                  <c:v>42.686700000000002</c:v>
                </c:pt>
                <c:pt idx="33">
                  <c:v>43.095599999999997</c:v>
                </c:pt>
                <c:pt idx="34">
                  <c:v>43.499600000000001</c:v>
                </c:pt>
                <c:pt idx="35">
                  <c:v>43.903500000000001</c:v>
                </c:pt>
                <c:pt idx="36">
                  <c:v>44.312800000000003</c:v>
                </c:pt>
                <c:pt idx="37">
                  <c:v>44.717199999999998</c:v>
                </c:pt>
                <c:pt idx="38">
                  <c:v>45.122199999999999</c:v>
                </c:pt>
                <c:pt idx="39">
                  <c:v>45.530200000000001</c:v>
                </c:pt>
                <c:pt idx="40">
                  <c:v>45.935000000000002</c:v>
                </c:pt>
                <c:pt idx="41">
                  <c:v>46.341099999999997</c:v>
                </c:pt>
                <c:pt idx="42">
                  <c:v>46.750900000000001</c:v>
                </c:pt>
                <c:pt idx="43">
                  <c:v>47.151800000000001</c:v>
                </c:pt>
                <c:pt idx="44">
                  <c:v>47.558700000000002</c:v>
                </c:pt>
                <c:pt idx="45">
                  <c:v>47.966700000000003</c:v>
                </c:pt>
                <c:pt idx="46">
                  <c:v>48.3705</c:v>
                </c:pt>
                <c:pt idx="47">
                  <c:v>48.780500000000004</c:v>
                </c:pt>
                <c:pt idx="48">
                  <c:v>49.185299999999998</c:v>
                </c:pt>
                <c:pt idx="49">
                  <c:v>49.591200000000001</c:v>
                </c:pt>
                <c:pt idx="50">
                  <c:v>49.999200000000002</c:v>
                </c:pt>
                <c:pt idx="51">
                  <c:v>50.402999999999999</c:v>
                </c:pt>
                <c:pt idx="52">
                  <c:v>50.808999999999997</c:v>
                </c:pt>
                <c:pt idx="53">
                  <c:v>51.218899999999998</c:v>
                </c:pt>
                <c:pt idx="54">
                  <c:v>51.6248</c:v>
                </c:pt>
                <c:pt idx="55">
                  <c:v>52.030700000000003</c:v>
                </c:pt>
                <c:pt idx="56">
                  <c:v>52.434600000000003</c:v>
                </c:pt>
                <c:pt idx="57">
                  <c:v>52.841700000000003</c:v>
                </c:pt>
                <c:pt idx="58">
                  <c:v>53.245399999999997</c:v>
                </c:pt>
                <c:pt idx="59">
                  <c:v>53.651600000000002</c:v>
                </c:pt>
                <c:pt idx="60">
                  <c:v>54.060499999999998</c:v>
                </c:pt>
                <c:pt idx="61">
                  <c:v>54.463299999999997</c:v>
                </c:pt>
                <c:pt idx="62">
                  <c:v>54.872100000000003</c:v>
                </c:pt>
                <c:pt idx="63">
                  <c:v>55.2791</c:v>
                </c:pt>
                <c:pt idx="64">
                  <c:v>55.688000000000002</c:v>
                </c:pt>
                <c:pt idx="65">
                  <c:v>56.091999999999999</c:v>
                </c:pt>
                <c:pt idx="66">
                  <c:v>56.500900000000001</c:v>
                </c:pt>
                <c:pt idx="67">
                  <c:v>56.902700000000003</c:v>
                </c:pt>
                <c:pt idx="68">
                  <c:v>57.312899999999999</c:v>
                </c:pt>
                <c:pt idx="69">
                  <c:v>57.720500000000001</c:v>
                </c:pt>
                <c:pt idx="70">
                  <c:v>58.124499999999998</c:v>
                </c:pt>
                <c:pt idx="71">
                  <c:v>58.5334</c:v>
                </c:pt>
                <c:pt idx="72">
                  <c:v>58.939399999999999</c:v>
                </c:pt>
                <c:pt idx="73">
                  <c:v>59.341299999999997</c:v>
                </c:pt>
                <c:pt idx="74">
                  <c:v>59.7483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40.044699999999999</c:v>
                </c:pt>
                <c:pt idx="1">
                  <c:v>40.135399999999997</c:v>
                </c:pt>
                <c:pt idx="2">
                  <c:v>40.262100000000004</c:v>
                </c:pt>
                <c:pt idx="3">
                  <c:v>40.401499999999999</c:v>
                </c:pt>
                <c:pt idx="4">
                  <c:v>40.543300000000002</c:v>
                </c:pt>
                <c:pt idx="5">
                  <c:v>40.676000000000002</c:v>
                </c:pt>
                <c:pt idx="6">
                  <c:v>40.838099999999997</c:v>
                </c:pt>
                <c:pt idx="7">
                  <c:v>41.011800000000001</c:v>
                </c:pt>
                <c:pt idx="8">
                  <c:v>41.117399999999996</c:v>
                </c:pt>
                <c:pt idx="9">
                  <c:v>41.195500000000003</c:v>
                </c:pt>
                <c:pt idx="10">
                  <c:v>41.263300000000001</c:v>
                </c:pt>
                <c:pt idx="11">
                  <c:v>41.287800000000004</c:v>
                </c:pt>
                <c:pt idx="12">
                  <c:v>41.270099999999999</c:v>
                </c:pt>
                <c:pt idx="13">
                  <c:v>41.189799999999998</c:v>
                </c:pt>
                <c:pt idx="14">
                  <c:v>41.0807</c:v>
                </c:pt>
                <c:pt idx="15">
                  <c:v>40.943800000000003</c:v>
                </c:pt>
                <c:pt idx="16">
                  <c:v>40.813400000000001</c:v>
                </c:pt>
                <c:pt idx="17">
                  <c:v>40.590699999999998</c:v>
                </c:pt>
                <c:pt idx="18">
                  <c:v>40.402000000000001</c:v>
                </c:pt>
                <c:pt idx="19">
                  <c:v>40.147199999999998</c:v>
                </c:pt>
                <c:pt idx="20">
                  <c:v>39.903399999999998</c:v>
                </c:pt>
                <c:pt idx="21">
                  <c:v>39.6325</c:v>
                </c:pt>
                <c:pt idx="22">
                  <c:v>39.432200000000002</c:v>
                </c:pt>
                <c:pt idx="23">
                  <c:v>39.2012</c:v>
                </c:pt>
                <c:pt idx="24">
                  <c:v>38.963500000000003</c:v>
                </c:pt>
                <c:pt idx="25">
                  <c:v>38.708199999999998</c:v>
                </c:pt>
                <c:pt idx="26">
                  <c:v>38.454100000000004</c:v>
                </c:pt>
                <c:pt idx="27">
                  <c:v>38.166899999999998</c:v>
                </c:pt>
                <c:pt idx="28">
                  <c:v>37.921100000000003</c:v>
                </c:pt>
                <c:pt idx="29">
                  <c:v>37.704700000000003</c:v>
                </c:pt>
                <c:pt idx="30">
                  <c:v>37.452200000000005</c:v>
                </c:pt>
                <c:pt idx="31">
                  <c:v>37.2044</c:v>
                </c:pt>
                <c:pt idx="32">
                  <c:v>36.923699999999997</c:v>
                </c:pt>
                <c:pt idx="33">
                  <c:v>36.690800000000003</c:v>
                </c:pt>
                <c:pt idx="34">
                  <c:v>36.4358</c:v>
                </c:pt>
                <c:pt idx="35">
                  <c:v>36.228200000000001</c:v>
                </c:pt>
                <c:pt idx="36">
                  <c:v>36.032599999999995</c:v>
                </c:pt>
                <c:pt idx="37">
                  <c:v>35.872399999999999</c:v>
                </c:pt>
                <c:pt idx="38">
                  <c:v>35.737000000000002</c:v>
                </c:pt>
                <c:pt idx="39">
                  <c:v>35.6633</c:v>
                </c:pt>
                <c:pt idx="40">
                  <c:v>35.5565</c:v>
                </c:pt>
                <c:pt idx="41">
                  <c:v>35.428800000000003</c:v>
                </c:pt>
                <c:pt idx="42">
                  <c:v>35.3187</c:v>
                </c:pt>
                <c:pt idx="43">
                  <c:v>35.142000000000003</c:v>
                </c:pt>
                <c:pt idx="44">
                  <c:v>34.915900000000001</c:v>
                </c:pt>
                <c:pt idx="45">
                  <c:v>34.610700000000001</c:v>
                </c:pt>
                <c:pt idx="46">
                  <c:v>34.402500000000003</c:v>
                </c:pt>
                <c:pt idx="47">
                  <c:v>34.210900000000002</c:v>
                </c:pt>
                <c:pt idx="48">
                  <c:v>34.0762</c:v>
                </c:pt>
                <c:pt idx="49">
                  <c:v>33.932400000000001</c:v>
                </c:pt>
                <c:pt idx="50">
                  <c:v>33.788000000000004</c:v>
                </c:pt>
                <c:pt idx="51">
                  <c:v>33.731699999999996</c:v>
                </c:pt>
                <c:pt idx="52">
                  <c:v>33.695500000000003</c:v>
                </c:pt>
                <c:pt idx="53">
                  <c:v>33.619900000000001</c:v>
                </c:pt>
                <c:pt idx="54">
                  <c:v>33.569400000000002</c:v>
                </c:pt>
                <c:pt idx="55">
                  <c:v>33.567500000000003</c:v>
                </c:pt>
                <c:pt idx="56">
                  <c:v>33.559600000000003</c:v>
                </c:pt>
                <c:pt idx="57">
                  <c:v>33.5396</c:v>
                </c:pt>
                <c:pt idx="58">
                  <c:v>33.522200000000005</c:v>
                </c:pt>
                <c:pt idx="59">
                  <c:v>33.590499999999999</c:v>
                </c:pt>
                <c:pt idx="60">
                  <c:v>33.620699999999999</c:v>
                </c:pt>
                <c:pt idx="61">
                  <c:v>33.633000000000003</c:v>
                </c:pt>
                <c:pt idx="62">
                  <c:v>33.599699999999999</c:v>
                </c:pt>
                <c:pt idx="63">
                  <c:v>33.602499999999999</c:v>
                </c:pt>
                <c:pt idx="64">
                  <c:v>33.4482</c:v>
                </c:pt>
                <c:pt idx="65">
                  <c:v>33.198100000000004</c:v>
                </c:pt>
                <c:pt idx="66">
                  <c:v>32.926100000000005</c:v>
                </c:pt>
                <c:pt idx="67">
                  <c:v>32.681800000000003</c:v>
                </c:pt>
                <c:pt idx="68">
                  <c:v>32.5167</c:v>
                </c:pt>
                <c:pt idx="69">
                  <c:v>32.496600000000001</c:v>
                </c:pt>
                <c:pt idx="70">
                  <c:v>32.673499999999997</c:v>
                </c:pt>
                <c:pt idx="71">
                  <c:v>32.6496</c:v>
                </c:pt>
                <c:pt idx="72">
                  <c:v>32.602199999999996</c:v>
                </c:pt>
                <c:pt idx="73">
                  <c:v>32.543599999999998</c:v>
                </c:pt>
                <c:pt idx="74">
                  <c:v>32.510099999999994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14.937075</c:v>
                </c:pt>
                <c:pt idx="1">
                  <c:v>44.811225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41.042260810810802</c:v>
                </c:pt>
                <c:pt idx="1">
                  <c:v>36.567283783783779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1.9385300000000001</c:v>
                </c:pt>
                <c:pt idx="1">
                  <c:v>2.0104600000000001</c:v>
                </c:pt>
                <c:pt idx="2">
                  <c:v>2.0834099999999998</c:v>
                </c:pt>
                <c:pt idx="3">
                  <c:v>2.1602999999999999</c:v>
                </c:pt>
                <c:pt idx="4">
                  <c:v>2.2392300000000001</c:v>
                </c:pt>
                <c:pt idx="5">
                  <c:v>2.3199000000000001</c:v>
                </c:pt>
                <c:pt idx="6">
                  <c:v>2.4032800000000001</c:v>
                </c:pt>
                <c:pt idx="7">
                  <c:v>2.4853800000000001</c:v>
                </c:pt>
                <c:pt idx="8">
                  <c:v>2.5671400000000002</c:v>
                </c:pt>
                <c:pt idx="9">
                  <c:v>2.6507900000000002</c:v>
                </c:pt>
                <c:pt idx="10">
                  <c:v>2.73264</c:v>
                </c:pt>
                <c:pt idx="11">
                  <c:v>2.8128500000000001</c:v>
                </c:pt>
                <c:pt idx="12">
                  <c:v>2.8969299999999998</c:v>
                </c:pt>
                <c:pt idx="13">
                  <c:v>2.9825400000000002</c:v>
                </c:pt>
                <c:pt idx="14">
                  <c:v>3.0654599999999999</c:v>
                </c:pt>
                <c:pt idx="15">
                  <c:v>3.1467400000000003</c:v>
                </c:pt>
                <c:pt idx="16">
                  <c:v>3.2267299999999999</c:v>
                </c:pt>
                <c:pt idx="17">
                  <c:v>3.3024900000000001</c:v>
                </c:pt>
                <c:pt idx="18">
                  <c:v>3.3711099999999998</c:v>
                </c:pt>
                <c:pt idx="19">
                  <c:v>3.4361599999999997</c:v>
                </c:pt>
                <c:pt idx="20">
                  <c:v>3.4972799999999999</c:v>
                </c:pt>
                <c:pt idx="21">
                  <c:v>3.5520899999999997</c:v>
                </c:pt>
                <c:pt idx="22">
                  <c:v>3.60249</c:v>
                </c:pt>
                <c:pt idx="23">
                  <c:v>3.6508500000000002</c:v>
                </c:pt>
                <c:pt idx="24">
                  <c:v>3.6956899999999999</c:v>
                </c:pt>
                <c:pt idx="25">
                  <c:v>3.7355</c:v>
                </c:pt>
                <c:pt idx="26">
                  <c:v>3.7675299999999998</c:v>
                </c:pt>
                <c:pt idx="27">
                  <c:v>3.7946299999999997</c:v>
                </c:pt>
                <c:pt idx="28">
                  <c:v>3.8160400000000001</c:v>
                </c:pt>
                <c:pt idx="29">
                  <c:v>3.8323099999999997</c:v>
                </c:pt>
                <c:pt idx="30">
                  <c:v>3.8457599999999998</c:v>
                </c:pt>
                <c:pt idx="31">
                  <c:v>3.8584499999999999</c:v>
                </c:pt>
                <c:pt idx="32">
                  <c:v>3.8684000000000003</c:v>
                </c:pt>
                <c:pt idx="33">
                  <c:v>3.8807700000000001</c:v>
                </c:pt>
                <c:pt idx="34">
                  <c:v>3.8925999999999998</c:v>
                </c:pt>
                <c:pt idx="35">
                  <c:v>3.9002300000000001</c:v>
                </c:pt>
                <c:pt idx="36">
                  <c:v>3.9083200000000002</c:v>
                </c:pt>
                <c:pt idx="37">
                  <c:v>3.9153500000000001</c:v>
                </c:pt>
                <c:pt idx="38">
                  <c:v>3.9186300000000003</c:v>
                </c:pt>
                <c:pt idx="39">
                  <c:v>3.9202199999999996</c:v>
                </c:pt>
                <c:pt idx="40">
                  <c:v>3.9201599999999996</c:v>
                </c:pt>
                <c:pt idx="41">
                  <c:v>3.9161200000000003</c:v>
                </c:pt>
                <c:pt idx="42">
                  <c:v>3.9109400000000001</c:v>
                </c:pt>
                <c:pt idx="43">
                  <c:v>3.9043699999999997</c:v>
                </c:pt>
                <c:pt idx="44">
                  <c:v>3.8988099999999997</c:v>
                </c:pt>
                <c:pt idx="45">
                  <c:v>3.8968699999999998</c:v>
                </c:pt>
                <c:pt idx="46">
                  <c:v>3.8961099999999997</c:v>
                </c:pt>
                <c:pt idx="47">
                  <c:v>3.89269</c:v>
                </c:pt>
                <c:pt idx="48">
                  <c:v>3.8867600000000002</c:v>
                </c:pt>
                <c:pt idx="49">
                  <c:v>3.8805899999999998</c:v>
                </c:pt>
                <c:pt idx="50">
                  <c:v>3.8765800000000001</c:v>
                </c:pt>
                <c:pt idx="51">
                  <c:v>3.8743100000000004</c:v>
                </c:pt>
                <c:pt idx="52">
                  <c:v>3.8728499999999997</c:v>
                </c:pt>
                <c:pt idx="53">
                  <c:v>3.8729300000000002</c:v>
                </c:pt>
                <c:pt idx="54">
                  <c:v>3.8762600000000003</c:v>
                </c:pt>
                <c:pt idx="55">
                  <c:v>3.8776000000000002</c:v>
                </c:pt>
                <c:pt idx="56">
                  <c:v>3.8752599999999999</c:v>
                </c:pt>
                <c:pt idx="57">
                  <c:v>3.8724799999999999</c:v>
                </c:pt>
                <c:pt idx="58">
                  <c:v>3.86355</c:v>
                </c:pt>
                <c:pt idx="59">
                  <c:v>3.8501099999999999</c:v>
                </c:pt>
                <c:pt idx="60">
                  <c:v>3.83839</c:v>
                </c:pt>
                <c:pt idx="61">
                  <c:v>3.8242399999999996</c:v>
                </c:pt>
                <c:pt idx="62">
                  <c:v>3.8042899999999999</c:v>
                </c:pt>
                <c:pt idx="63">
                  <c:v>3.7827999999999999</c:v>
                </c:pt>
                <c:pt idx="64">
                  <c:v>3.7601</c:v>
                </c:pt>
                <c:pt idx="65">
                  <c:v>3.7364999999999999</c:v>
                </c:pt>
                <c:pt idx="66">
                  <c:v>3.7141099999999998</c:v>
                </c:pt>
                <c:pt idx="67">
                  <c:v>3.6924400000000004</c:v>
                </c:pt>
                <c:pt idx="68">
                  <c:v>3.67347</c:v>
                </c:pt>
                <c:pt idx="69">
                  <c:v>3.6520900000000003</c:v>
                </c:pt>
                <c:pt idx="70">
                  <c:v>3.6268400000000001</c:v>
                </c:pt>
                <c:pt idx="71">
                  <c:v>3.6016399999999997</c:v>
                </c:pt>
                <c:pt idx="72">
                  <c:v>3.57796</c:v>
                </c:pt>
                <c:pt idx="73">
                  <c:v>3.5563600000000002</c:v>
                </c:pt>
                <c:pt idx="74">
                  <c:v>3.5364100000000001</c:v>
                </c:pt>
                <c:pt idx="75">
                  <c:v>3.51593</c:v>
                </c:pt>
                <c:pt idx="76">
                  <c:v>3.4988700000000001</c:v>
                </c:pt>
                <c:pt idx="77">
                  <c:v>3.4828299999999999</c:v>
                </c:pt>
                <c:pt idx="78">
                  <c:v>3.4673700000000003</c:v>
                </c:pt>
                <c:pt idx="79">
                  <c:v>3.45106</c:v>
                </c:pt>
                <c:pt idx="80">
                  <c:v>3.4390399999999999</c:v>
                </c:pt>
                <c:pt idx="81">
                  <c:v>3.4317500000000001</c:v>
                </c:pt>
                <c:pt idx="82">
                  <c:v>3.42523</c:v>
                </c:pt>
                <c:pt idx="83">
                  <c:v>3.4191899999999995</c:v>
                </c:pt>
                <c:pt idx="84">
                  <c:v>3.41601</c:v>
                </c:pt>
                <c:pt idx="85">
                  <c:v>3.4166300000000001</c:v>
                </c:pt>
                <c:pt idx="86">
                  <c:v>3.4171800000000001</c:v>
                </c:pt>
                <c:pt idx="87">
                  <c:v>3.42075</c:v>
                </c:pt>
                <c:pt idx="88">
                  <c:v>3.4272799999999997</c:v>
                </c:pt>
                <c:pt idx="89">
                  <c:v>3.4350799999999997</c:v>
                </c:pt>
                <c:pt idx="90">
                  <c:v>3.4446599999999998</c:v>
                </c:pt>
                <c:pt idx="91">
                  <c:v>3.4539399999999998</c:v>
                </c:pt>
                <c:pt idx="92">
                  <c:v>3.4646300000000001</c:v>
                </c:pt>
                <c:pt idx="93">
                  <c:v>3.47682</c:v>
                </c:pt>
                <c:pt idx="94">
                  <c:v>3.49207</c:v>
                </c:pt>
                <c:pt idx="95">
                  <c:v>3.5050699999999999</c:v>
                </c:pt>
                <c:pt idx="96">
                  <c:v>3.5179500000000004</c:v>
                </c:pt>
                <c:pt idx="97">
                  <c:v>3.5318899999999998</c:v>
                </c:pt>
                <c:pt idx="98">
                  <c:v>3.5480099999999997</c:v>
                </c:pt>
                <c:pt idx="99">
                  <c:v>3.5645199999999999</c:v>
                </c:pt>
                <c:pt idx="100">
                  <c:v>3.5811100000000002</c:v>
                </c:pt>
                <c:pt idx="101">
                  <c:v>3.5983799999999997</c:v>
                </c:pt>
                <c:pt idx="102">
                  <c:v>3.6113299999999997</c:v>
                </c:pt>
                <c:pt idx="103">
                  <c:v>3.6243500000000002</c:v>
                </c:pt>
                <c:pt idx="104">
                  <c:v>3.63483</c:v>
                </c:pt>
                <c:pt idx="105">
                  <c:v>3.6440800000000002</c:v>
                </c:pt>
                <c:pt idx="106">
                  <c:v>3.6473800000000001</c:v>
                </c:pt>
                <c:pt idx="107">
                  <c:v>3.6486600000000005</c:v>
                </c:pt>
                <c:pt idx="108">
                  <c:v>3.6504300000000001</c:v>
                </c:pt>
                <c:pt idx="109">
                  <c:v>3.6529499999999997</c:v>
                </c:pt>
                <c:pt idx="110">
                  <c:v>3.6525400000000001</c:v>
                </c:pt>
                <c:pt idx="111">
                  <c:v>3.6533600000000002</c:v>
                </c:pt>
                <c:pt idx="112">
                  <c:v>3.65768</c:v>
                </c:pt>
                <c:pt idx="113">
                  <c:v>3.6654100000000001</c:v>
                </c:pt>
                <c:pt idx="114">
                  <c:v>3.6747899999999998</c:v>
                </c:pt>
                <c:pt idx="115">
                  <c:v>3.6850399999999999</c:v>
                </c:pt>
                <c:pt idx="116">
                  <c:v>3.6969400000000001</c:v>
                </c:pt>
                <c:pt idx="117">
                  <c:v>3.7096</c:v>
                </c:pt>
                <c:pt idx="118">
                  <c:v>3.7237499999999999</c:v>
                </c:pt>
                <c:pt idx="119">
                  <c:v>3.7357299999999998</c:v>
                </c:pt>
                <c:pt idx="120">
                  <c:v>3.7503500000000001</c:v>
                </c:pt>
                <c:pt idx="121">
                  <c:v>3.7663500000000001</c:v>
                </c:pt>
                <c:pt idx="122">
                  <c:v>3.78179</c:v>
                </c:pt>
                <c:pt idx="123">
                  <c:v>3.7938800000000001</c:v>
                </c:pt>
                <c:pt idx="124">
                  <c:v>3.7957400000000003</c:v>
                </c:pt>
                <c:pt idx="125">
                  <c:v>3.7974599999999996</c:v>
                </c:pt>
                <c:pt idx="126">
                  <c:v>3.7980100000000001</c:v>
                </c:pt>
                <c:pt idx="127">
                  <c:v>3.8037700000000001</c:v>
                </c:pt>
                <c:pt idx="128">
                  <c:v>3.8093700000000004</c:v>
                </c:pt>
                <c:pt idx="129">
                  <c:v>3.8161699999999996</c:v>
                </c:pt>
                <c:pt idx="130">
                  <c:v>3.8221400000000001</c:v>
                </c:pt>
                <c:pt idx="131">
                  <c:v>3.8329499999999999</c:v>
                </c:pt>
                <c:pt idx="132">
                  <c:v>3.8489599999999999</c:v>
                </c:pt>
                <c:pt idx="133">
                  <c:v>3.8693599999999999</c:v>
                </c:pt>
                <c:pt idx="134">
                  <c:v>3.89059</c:v>
                </c:pt>
                <c:pt idx="135">
                  <c:v>3.9138099999999998</c:v>
                </c:pt>
                <c:pt idx="136">
                  <c:v>3.9396100000000001</c:v>
                </c:pt>
                <c:pt idx="137">
                  <c:v>3.9629300000000001</c:v>
                </c:pt>
                <c:pt idx="138">
                  <c:v>3.9799800000000003</c:v>
                </c:pt>
                <c:pt idx="139">
                  <c:v>3.99566</c:v>
                </c:pt>
                <c:pt idx="140">
                  <c:v>4.0090300000000001</c:v>
                </c:pt>
                <c:pt idx="141">
                  <c:v>4.0223399999999998</c:v>
                </c:pt>
                <c:pt idx="142">
                  <c:v>4.0331400000000004</c:v>
                </c:pt>
                <c:pt idx="143">
                  <c:v>4.0373000000000001</c:v>
                </c:pt>
                <c:pt idx="144">
                  <c:v>4.0403000000000002</c:v>
                </c:pt>
                <c:pt idx="145">
                  <c:v>4.0414399999999997</c:v>
                </c:pt>
                <c:pt idx="146">
                  <c:v>4.0324299999999997</c:v>
                </c:pt>
                <c:pt idx="147">
                  <c:v>4.0218100000000003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58.647400000000005</c:v>
                </c:pt>
                <c:pt idx="1">
                  <c:v>57.411599999999993</c:v>
                </c:pt>
                <c:pt idx="2">
                  <c:v>56.196300000000001</c:v>
                </c:pt>
                <c:pt idx="3">
                  <c:v>54.827499999999993</c:v>
                </c:pt>
                <c:pt idx="4">
                  <c:v>53.3996</c:v>
                </c:pt>
                <c:pt idx="5">
                  <c:v>51.956800000000001</c:v>
                </c:pt>
                <c:pt idx="6">
                  <c:v>50.511300000000006</c:v>
                </c:pt>
                <c:pt idx="7">
                  <c:v>49.145499999999998</c:v>
                </c:pt>
                <c:pt idx="8">
                  <c:v>47.886000000000003</c:v>
                </c:pt>
                <c:pt idx="9">
                  <c:v>46.616</c:v>
                </c:pt>
                <c:pt idx="10">
                  <c:v>45.452799999999996</c:v>
                </c:pt>
                <c:pt idx="11">
                  <c:v>44.433399999999999</c:v>
                </c:pt>
                <c:pt idx="12">
                  <c:v>43.347000000000001</c:v>
                </c:pt>
                <c:pt idx="13">
                  <c:v>42.313299999999998</c:v>
                </c:pt>
                <c:pt idx="14">
                  <c:v>41.411200000000001</c:v>
                </c:pt>
                <c:pt idx="15">
                  <c:v>40.646100000000004</c:v>
                </c:pt>
                <c:pt idx="16">
                  <c:v>39.852900000000005</c:v>
                </c:pt>
                <c:pt idx="17">
                  <c:v>39.168300000000002</c:v>
                </c:pt>
                <c:pt idx="18">
                  <c:v>38.727899999999998</c:v>
                </c:pt>
                <c:pt idx="19">
                  <c:v>38.401000000000003</c:v>
                </c:pt>
                <c:pt idx="20">
                  <c:v>38.224000000000004</c:v>
                </c:pt>
                <c:pt idx="21">
                  <c:v>38.136600000000001</c:v>
                </c:pt>
                <c:pt idx="22">
                  <c:v>38.001200000000004</c:v>
                </c:pt>
                <c:pt idx="23">
                  <c:v>37.817399999999999</c:v>
                </c:pt>
                <c:pt idx="24">
                  <c:v>37.702200000000005</c:v>
                </c:pt>
                <c:pt idx="25">
                  <c:v>37.677999999999997</c:v>
                </c:pt>
                <c:pt idx="26">
                  <c:v>37.7164</c:v>
                </c:pt>
                <c:pt idx="27">
                  <c:v>37.777999999999999</c:v>
                </c:pt>
                <c:pt idx="28">
                  <c:v>37.752699999999997</c:v>
                </c:pt>
                <c:pt idx="29">
                  <c:v>37.720100000000002</c:v>
                </c:pt>
                <c:pt idx="30">
                  <c:v>37.628499999999995</c:v>
                </c:pt>
                <c:pt idx="31">
                  <c:v>37.5229</c:v>
                </c:pt>
                <c:pt idx="32">
                  <c:v>37.462000000000003</c:v>
                </c:pt>
                <c:pt idx="33">
                  <c:v>37.3765</c:v>
                </c:pt>
                <c:pt idx="34">
                  <c:v>37.338000000000001</c:v>
                </c:pt>
                <c:pt idx="35">
                  <c:v>37.4009</c:v>
                </c:pt>
                <c:pt idx="36">
                  <c:v>37.450000000000003</c:v>
                </c:pt>
                <c:pt idx="37">
                  <c:v>37.528800000000004</c:v>
                </c:pt>
                <c:pt idx="38">
                  <c:v>37.639600000000002</c:v>
                </c:pt>
                <c:pt idx="39">
                  <c:v>37.781100000000002</c:v>
                </c:pt>
                <c:pt idx="40">
                  <c:v>37.956699999999998</c:v>
                </c:pt>
                <c:pt idx="41">
                  <c:v>38.202199999999998</c:v>
                </c:pt>
                <c:pt idx="42">
                  <c:v>38.456499999999998</c:v>
                </c:pt>
                <c:pt idx="43">
                  <c:v>38.694699999999997</c:v>
                </c:pt>
                <c:pt idx="44">
                  <c:v>38.860399999999998</c:v>
                </c:pt>
                <c:pt idx="45">
                  <c:v>38.990499999999997</c:v>
                </c:pt>
                <c:pt idx="46">
                  <c:v>39.103500000000004</c:v>
                </c:pt>
                <c:pt idx="47">
                  <c:v>39.243000000000002</c:v>
                </c:pt>
                <c:pt idx="48">
                  <c:v>39.4054</c:v>
                </c:pt>
                <c:pt idx="49">
                  <c:v>39.537599999999998</c:v>
                </c:pt>
                <c:pt idx="50">
                  <c:v>39.641999999999996</c:v>
                </c:pt>
                <c:pt idx="51">
                  <c:v>39.6873</c:v>
                </c:pt>
                <c:pt idx="52">
                  <c:v>39.694899999999997</c:v>
                </c:pt>
                <c:pt idx="53">
                  <c:v>39.734000000000002</c:v>
                </c:pt>
                <c:pt idx="54">
                  <c:v>39.774300000000004</c:v>
                </c:pt>
                <c:pt idx="55">
                  <c:v>39.823500000000003</c:v>
                </c:pt>
                <c:pt idx="56">
                  <c:v>39.848399999999998</c:v>
                </c:pt>
                <c:pt idx="57">
                  <c:v>39.850499999999997</c:v>
                </c:pt>
                <c:pt idx="58">
                  <c:v>39.860399999999998</c:v>
                </c:pt>
                <c:pt idx="59">
                  <c:v>39.842399999999998</c:v>
                </c:pt>
                <c:pt idx="60">
                  <c:v>39.753999999999998</c:v>
                </c:pt>
                <c:pt idx="61">
                  <c:v>39.727600000000002</c:v>
                </c:pt>
                <c:pt idx="62">
                  <c:v>39.690899999999999</c:v>
                </c:pt>
                <c:pt idx="63">
                  <c:v>39.684799999999996</c:v>
                </c:pt>
                <c:pt idx="64">
                  <c:v>39.6678</c:v>
                </c:pt>
                <c:pt idx="65">
                  <c:v>39.682299999999998</c:v>
                </c:pt>
                <c:pt idx="66">
                  <c:v>39.693100000000001</c:v>
                </c:pt>
                <c:pt idx="67">
                  <c:v>39.742400000000004</c:v>
                </c:pt>
                <c:pt idx="68">
                  <c:v>39.745799999999996</c:v>
                </c:pt>
                <c:pt idx="69">
                  <c:v>39.779899999999998</c:v>
                </c:pt>
                <c:pt idx="70">
                  <c:v>39.837699999999998</c:v>
                </c:pt>
                <c:pt idx="71">
                  <c:v>39.899299999999997</c:v>
                </c:pt>
                <c:pt idx="72">
                  <c:v>39.961999999999996</c:v>
                </c:pt>
                <c:pt idx="73">
                  <c:v>40.044699999999999</c:v>
                </c:pt>
                <c:pt idx="74">
                  <c:v>40.135399999999997</c:v>
                </c:pt>
                <c:pt idx="75">
                  <c:v>40.262100000000004</c:v>
                </c:pt>
                <c:pt idx="76">
                  <c:v>40.401499999999999</c:v>
                </c:pt>
                <c:pt idx="77">
                  <c:v>40.543300000000002</c:v>
                </c:pt>
                <c:pt idx="78">
                  <c:v>40.676000000000002</c:v>
                </c:pt>
                <c:pt idx="79">
                  <c:v>40.838099999999997</c:v>
                </c:pt>
                <c:pt idx="80">
                  <c:v>41.011800000000001</c:v>
                </c:pt>
                <c:pt idx="81">
                  <c:v>41.117399999999996</c:v>
                </c:pt>
                <c:pt idx="82">
                  <c:v>41.195500000000003</c:v>
                </c:pt>
                <c:pt idx="83">
                  <c:v>41.263300000000001</c:v>
                </c:pt>
                <c:pt idx="84">
                  <c:v>41.287800000000004</c:v>
                </c:pt>
                <c:pt idx="85">
                  <c:v>41.270099999999999</c:v>
                </c:pt>
                <c:pt idx="86">
                  <c:v>41.189799999999998</c:v>
                </c:pt>
                <c:pt idx="87">
                  <c:v>41.0807</c:v>
                </c:pt>
                <c:pt idx="88">
                  <c:v>40.943800000000003</c:v>
                </c:pt>
                <c:pt idx="89">
                  <c:v>40.813400000000001</c:v>
                </c:pt>
                <c:pt idx="90">
                  <c:v>40.590699999999998</c:v>
                </c:pt>
                <c:pt idx="91">
                  <c:v>40.402000000000001</c:v>
                </c:pt>
                <c:pt idx="92">
                  <c:v>40.147199999999998</c:v>
                </c:pt>
                <c:pt idx="93">
                  <c:v>39.903399999999998</c:v>
                </c:pt>
                <c:pt idx="94">
                  <c:v>39.6325</c:v>
                </c:pt>
                <c:pt idx="95">
                  <c:v>39.432200000000002</c:v>
                </c:pt>
                <c:pt idx="96">
                  <c:v>39.2012</c:v>
                </c:pt>
                <c:pt idx="97">
                  <c:v>38.963500000000003</c:v>
                </c:pt>
                <c:pt idx="98">
                  <c:v>38.708199999999998</c:v>
                </c:pt>
                <c:pt idx="99">
                  <c:v>38.454100000000004</c:v>
                </c:pt>
                <c:pt idx="100">
                  <c:v>38.166899999999998</c:v>
                </c:pt>
                <c:pt idx="101">
                  <c:v>37.921100000000003</c:v>
                </c:pt>
                <c:pt idx="102">
                  <c:v>37.704700000000003</c:v>
                </c:pt>
                <c:pt idx="103">
                  <c:v>37.452200000000005</c:v>
                </c:pt>
                <c:pt idx="104">
                  <c:v>37.2044</c:v>
                </c:pt>
                <c:pt idx="105">
                  <c:v>36.923699999999997</c:v>
                </c:pt>
                <c:pt idx="106">
                  <c:v>36.690800000000003</c:v>
                </c:pt>
                <c:pt idx="107">
                  <c:v>36.4358</c:v>
                </c:pt>
                <c:pt idx="108">
                  <c:v>36.228200000000001</c:v>
                </c:pt>
                <c:pt idx="109">
                  <c:v>36.032599999999995</c:v>
                </c:pt>
                <c:pt idx="110">
                  <c:v>35.872399999999999</c:v>
                </c:pt>
                <c:pt idx="111">
                  <c:v>35.737000000000002</c:v>
                </c:pt>
                <c:pt idx="112">
                  <c:v>35.6633</c:v>
                </c:pt>
                <c:pt idx="113">
                  <c:v>35.5565</c:v>
                </c:pt>
                <c:pt idx="114">
                  <c:v>35.428800000000003</c:v>
                </c:pt>
                <c:pt idx="115">
                  <c:v>35.3187</c:v>
                </c:pt>
                <c:pt idx="116">
                  <c:v>35.142000000000003</c:v>
                </c:pt>
                <c:pt idx="117">
                  <c:v>34.915900000000001</c:v>
                </c:pt>
                <c:pt idx="118">
                  <c:v>34.610700000000001</c:v>
                </c:pt>
                <c:pt idx="119">
                  <c:v>34.402500000000003</c:v>
                </c:pt>
                <c:pt idx="120">
                  <c:v>34.210900000000002</c:v>
                </c:pt>
                <c:pt idx="121">
                  <c:v>34.0762</c:v>
                </c:pt>
                <c:pt idx="122">
                  <c:v>33.932400000000001</c:v>
                </c:pt>
                <c:pt idx="123">
                  <c:v>33.788000000000004</c:v>
                </c:pt>
                <c:pt idx="124">
                  <c:v>33.731699999999996</c:v>
                </c:pt>
                <c:pt idx="125">
                  <c:v>33.695500000000003</c:v>
                </c:pt>
                <c:pt idx="126">
                  <c:v>33.619900000000001</c:v>
                </c:pt>
                <c:pt idx="127">
                  <c:v>33.569400000000002</c:v>
                </c:pt>
                <c:pt idx="128">
                  <c:v>33.567500000000003</c:v>
                </c:pt>
                <c:pt idx="129">
                  <c:v>33.559600000000003</c:v>
                </c:pt>
                <c:pt idx="130">
                  <c:v>33.5396</c:v>
                </c:pt>
                <c:pt idx="131">
                  <c:v>33.522200000000005</c:v>
                </c:pt>
                <c:pt idx="132">
                  <c:v>33.590499999999999</c:v>
                </c:pt>
                <c:pt idx="133">
                  <c:v>33.620699999999999</c:v>
                </c:pt>
                <c:pt idx="134">
                  <c:v>33.633000000000003</c:v>
                </c:pt>
                <c:pt idx="135">
                  <c:v>33.599699999999999</c:v>
                </c:pt>
                <c:pt idx="136">
                  <c:v>33.602499999999999</c:v>
                </c:pt>
                <c:pt idx="137">
                  <c:v>33.4482</c:v>
                </c:pt>
                <c:pt idx="138">
                  <c:v>33.198100000000004</c:v>
                </c:pt>
                <c:pt idx="139">
                  <c:v>32.926100000000005</c:v>
                </c:pt>
                <c:pt idx="140">
                  <c:v>32.681800000000003</c:v>
                </c:pt>
                <c:pt idx="141">
                  <c:v>32.5167</c:v>
                </c:pt>
                <c:pt idx="142">
                  <c:v>32.496600000000001</c:v>
                </c:pt>
                <c:pt idx="143">
                  <c:v>32.673499999999997</c:v>
                </c:pt>
                <c:pt idx="144">
                  <c:v>32.6496</c:v>
                </c:pt>
                <c:pt idx="145">
                  <c:v>32.602199999999996</c:v>
                </c:pt>
                <c:pt idx="146">
                  <c:v>32.543599999999998</c:v>
                </c:pt>
                <c:pt idx="147">
                  <c:v>32.510099999999994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1.9385300000000001</c:v>
                </c:pt>
                <c:pt idx="1">
                  <c:v>2.0104600000000001</c:v>
                </c:pt>
                <c:pt idx="2">
                  <c:v>2.0834099999999998</c:v>
                </c:pt>
                <c:pt idx="3">
                  <c:v>2.1602999999999999</c:v>
                </c:pt>
                <c:pt idx="4">
                  <c:v>2.2392300000000001</c:v>
                </c:pt>
                <c:pt idx="5">
                  <c:v>2.3199000000000001</c:v>
                </c:pt>
                <c:pt idx="6">
                  <c:v>2.4032800000000001</c:v>
                </c:pt>
                <c:pt idx="7">
                  <c:v>2.4853800000000001</c:v>
                </c:pt>
                <c:pt idx="8">
                  <c:v>2.5671400000000002</c:v>
                </c:pt>
                <c:pt idx="9">
                  <c:v>2.6507900000000002</c:v>
                </c:pt>
                <c:pt idx="10">
                  <c:v>2.73264</c:v>
                </c:pt>
                <c:pt idx="11">
                  <c:v>2.8128500000000001</c:v>
                </c:pt>
                <c:pt idx="12">
                  <c:v>2.8969299999999998</c:v>
                </c:pt>
                <c:pt idx="13">
                  <c:v>2.9825400000000002</c:v>
                </c:pt>
                <c:pt idx="14">
                  <c:v>3.0654599999999999</c:v>
                </c:pt>
                <c:pt idx="15">
                  <c:v>3.1467400000000003</c:v>
                </c:pt>
                <c:pt idx="16">
                  <c:v>3.2267299999999999</c:v>
                </c:pt>
                <c:pt idx="17">
                  <c:v>3.3024900000000001</c:v>
                </c:pt>
                <c:pt idx="18">
                  <c:v>3.3711099999999998</c:v>
                </c:pt>
                <c:pt idx="19">
                  <c:v>3.4361599999999997</c:v>
                </c:pt>
                <c:pt idx="20">
                  <c:v>3.4972799999999999</c:v>
                </c:pt>
                <c:pt idx="21">
                  <c:v>3.5520899999999997</c:v>
                </c:pt>
                <c:pt idx="22">
                  <c:v>3.60249</c:v>
                </c:pt>
                <c:pt idx="23">
                  <c:v>3.6508500000000002</c:v>
                </c:pt>
                <c:pt idx="24">
                  <c:v>3.6956899999999999</c:v>
                </c:pt>
                <c:pt idx="25">
                  <c:v>3.7355</c:v>
                </c:pt>
                <c:pt idx="26">
                  <c:v>3.7675299999999998</c:v>
                </c:pt>
                <c:pt idx="27">
                  <c:v>3.7946299999999997</c:v>
                </c:pt>
                <c:pt idx="28">
                  <c:v>3.8160400000000001</c:v>
                </c:pt>
                <c:pt idx="29">
                  <c:v>3.8323099999999997</c:v>
                </c:pt>
                <c:pt idx="30">
                  <c:v>3.8457599999999998</c:v>
                </c:pt>
                <c:pt idx="31">
                  <c:v>3.8584499999999999</c:v>
                </c:pt>
                <c:pt idx="32">
                  <c:v>3.8684000000000003</c:v>
                </c:pt>
                <c:pt idx="33">
                  <c:v>3.8807700000000001</c:v>
                </c:pt>
                <c:pt idx="34">
                  <c:v>3.8925999999999998</c:v>
                </c:pt>
                <c:pt idx="35">
                  <c:v>3.9002300000000001</c:v>
                </c:pt>
                <c:pt idx="36">
                  <c:v>3.9083200000000002</c:v>
                </c:pt>
                <c:pt idx="37">
                  <c:v>3.9153500000000001</c:v>
                </c:pt>
                <c:pt idx="38">
                  <c:v>3.9186300000000003</c:v>
                </c:pt>
                <c:pt idx="39">
                  <c:v>3.9202199999999996</c:v>
                </c:pt>
                <c:pt idx="40">
                  <c:v>3.9201599999999996</c:v>
                </c:pt>
                <c:pt idx="41">
                  <c:v>3.9161200000000003</c:v>
                </c:pt>
                <c:pt idx="42">
                  <c:v>3.9109400000000001</c:v>
                </c:pt>
                <c:pt idx="43">
                  <c:v>3.9043699999999997</c:v>
                </c:pt>
                <c:pt idx="44">
                  <c:v>3.8988099999999997</c:v>
                </c:pt>
                <c:pt idx="45">
                  <c:v>3.8968699999999998</c:v>
                </c:pt>
                <c:pt idx="46">
                  <c:v>3.8961099999999997</c:v>
                </c:pt>
                <c:pt idx="47">
                  <c:v>3.89269</c:v>
                </c:pt>
                <c:pt idx="48">
                  <c:v>3.8867600000000002</c:v>
                </c:pt>
                <c:pt idx="49">
                  <c:v>3.8805899999999998</c:v>
                </c:pt>
                <c:pt idx="50">
                  <c:v>3.8765800000000001</c:v>
                </c:pt>
                <c:pt idx="51">
                  <c:v>3.8743100000000004</c:v>
                </c:pt>
                <c:pt idx="52">
                  <c:v>3.8728499999999997</c:v>
                </c:pt>
                <c:pt idx="53">
                  <c:v>3.8729300000000002</c:v>
                </c:pt>
                <c:pt idx="54">
                  <c:v>3.8762600000000003</c:v>
                </c:pt>
                <c:pt idx="55">
                  <c:v>3.8776000000000002</c:v>
                </c:pt>
                <c:pt idx="56">
                  <c:v>3.8752599999999999</c:v>
                </c:pt>
                <c:pt idx="57">
                  <c:v>3.8724799999999999</c:v>
                </c:pt>
                <c:pt idx="58">
                  <c:v>3.86355</c:v>
                </c:pt>
                <c:pt idx="59">
                  <c:v>3.8501099999999999</c:v>
                </c:pt>
                <c:pt idx="60">
                  <c:v>3.83839</c:v>
                </c:pt>
                <c:pt idx="61">
                  <c:v>3.8242399999999996</c:v>
                </c:pt>
                <c:pt idx="62">
                  <c:v>3.8042899999999999</c:v>
                </c:pt>
                <c:pt idx="63">
                  <c:v>3.7827999999999999</c:v>
                </c:pt>
                <c:pt idx="64">
                  <c:v>3.7601</c:v>
                </c:pt>
                <c:pt idx="65">
                  <c:v>3.7364999999999999</c:v>
                </c:pt>
                <c:pt idx="66">
                  <c:v>3.7141099999999998</c:v>
                </c:pt>
                <c:pt idx="67">
                  <c:v>3.6924400000000004</c:v>
                </c:pt>
                <c:pt idx="68">
                  <c:v>3.67347</c:v>
                </c:pt>
                <c:pt idx="69">
                  <c:v>3.6520900000000003</c:v>
                </c:pt>
                <c:pt idx="70">
                  <c:v>3.6268400000000001</c:v>
                </c:pt>
                <c:pt idx="71">
                  <c:v>3.6016399999999997</c:v>
                </c:pt>
                <c:pt idx="72">
                  <c:v>3.57796</c:v>
                </c:pt>
                <c:pt idx="73">
                  <c:v>3.5563600000000002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58.647400000000005</c:v>
                </c:pt>
                <c:pt idx="1">
                  <c:v>57.411599999999993</c:v>
                </c:pt>
                <c:pt idx="2">
                  <c:v>56.196300000000001</c:v>
                </c:pt>
                <c:pt idx="3">
                  <c:v>54.827499999999993</c:v>
                </c:pt>
                <c:pt idx="4">
                  <c:v>53.3996</c:v>
                </c:pt>
                <c:pt idx="5">
                  <c:v>51.956800000000001</c:v>
                </c:pt>
                <c:pt idx="6">
                  <c:v>50.511300000000006</c:v>
                </c:pt>
                <c:pt idx="7">
                  <c:v>49.145499999999998</c:v>
                </c:pt>
                <c:pt idx="8">
                  <c:v>47.886000000000003</c:v>
                </c:pt>
                <c:pt idx="9">
                  <c:v>46.616</c:v>
                </c:pt>
                <c:pt idx="10">
                  <c:v>45.452799999999996</c:v>
                </c:pt>
                <c:pt idx="11">
                  <c:v>44.433399999999999</c:v>
                </c:pt>
                <c:pt idx="12">
                  <c:v>43.347000000000001</c:v>
                </c:pt>
                <c:pt idx="13">
                  <c:v>42.313299999999998</c:v>
                </c:pt>
                <c:pt idx="14">
                  <c:v>41.411200000000001</c:v>
                </c:pt>
                <c:pt idx="15">
                  <c:v>40.646100000000004</c:v>
                </c:pt>
                <c:pt idx="16">
                  <c:v>39.852900000000005</c:v>
                </c:pt>
                <c:pt idx="17">
                  <c:v>39.168300000000002</c:v>
                </c:pt>
                <c:pt idx="18">
                  <c:v>38.727899999999998</c:v>
                </c:pt>
                <c:pt idx="19">
                  <c:v>38.401000000000003</c:v>
                </c:pt>
                <c:pt idx="20">
                  <c:v>38.224000000000004</c:v>
                </c:pt>
                <c:pt idx="21">
                  <c:v>38.136600000000001</c:v>
                </c:pt>
                <c:pt idx="22">
                  <c:v>38.001200000000004</c:v>
                </c:pt>
                <c:pt idx="23">
                  <c:v>37.817399999999999</c:v>
                </c:pt>
                <c:pt idx="24">
                  <c:v>37.702200000000005</c:v>
                </c:pt>
                <c:pt idx="25">
                  <c:v>37.677999999999997</c:v>
                </c:pt>
                <c:pt idx="26">
                  <c:v>37.7164</c:v>
                </c:pt>
                <c:pt idx="27">
                  <c:v>37.777999999999999</c:v>
                </c:pt>
                <c:pt idx="28">
                  <c:v>37.752699999999997</c:v>
                </c:pt>
                <c:pt idx="29">
                  <c:v>37.720100000000002</c:v>
                </c:pt>
                <c:pt idx="30">
                  <c:v>37.628499999999995</c:v>
                </c:pt>
                <c:pt idx="31">
                  <c:v>37.5229</c:v>
                </c:pt>
                <c:pt idx="32">
                  <c:v>37.462000000000003</c:v>
                </c:pt>
                <c:pt idx="33">
                  <c:v>37.3765</c:v>
                </c:pt>
                <c:pt idx="34">
                  <c:v>37.338000000000001</c:v>
                </c:pt>
                <c:pt idx="35">
                  <c:v>37.4009</c:v>
                </c:pt>
                <c:pt idx="36">
                  <c:v>37.450000000000003</c:v>
                </c:pt>
                <c:pt idx="37">
                  <c:v>37.528800000000004</c:v>
                </c:pt>
                <c:pt idx="38">
                  <c:v>37.639600000000002</c:v>
                </c:pt>
                <c:pt idx="39">
                  <c:v>37.781100000000002</c:v>
                </c:pt>
                <c:pt idx="40">
                  <c:v>37.956699999999998</c:v>
                </c:pt>
                <c:pt idx="41">
                  <c:v>38.202199999999998</c:v>
                </c:pt>
                <c:pt idx="42">
                  <c:v>38.456499999999998</c:v>
                </c:pt>
                <c:pt idx="43">
                  <c:v>38.694699999999997</c:v>
                </c:pt>
                <c:pt idx="44">
                  <c:v>38.860399999999998</c:v>
                </c:pt>
                <c:pt idx="45">
                  <c:v>38.990499999999997</c:v>
                </c:pt>
                <c:pt idx="46">
                  <c:v>39.103500000000004</c:v>
                </c:pt>
                <c:pt idx="47">
                  <c:v>39.243000000000002</c:v>
                </c:pt>
                <c:pt idx="48">
                  <c:v>39.4054</c:v>
                </c:pt>
                <c:pt idx="49">
                  <c:v>39.537599999999998</c:v>
                </c:pt>
                <c:pt idx="50">
                  <c:v>39.641999999999996</c:v>
                </c:pt>
                <c:pt idx="51">
                  <c:v>39.6873</c:v>
                </c:pt>
                <c:pt idx="52">
                  <c:v>39.694899999999997</c:v>
                </c:pt>
                <c:pt idx="53">
                  <c:v>39.734000000000002</c:v>
                </c:pt>
                <c:pt idx="54">
                  <c:v>39.774300000000004</c:v>
                </c:pt>
                <c:pt idx="55">
                  <c:v>39.823500000000003</c:v>
                </c:pt>
                <c:pt idx="56">
                  <c:v>39.848399999999998</c:v>
                </c:pt>
                <c:pt idx="57">
                  <c:v>39.850499999999997</c:v>
                </c:pt>
                <c:pt idx="58">
                  <c:v>39.860399999999998</c:v>
                </c:pt>
                <c:pt idx="59">
                  <c:v>39.842399999999998</c:v>
                </c:pt>
                <c:pt idx="60">
                  <c:v>39.753999999999998</c:v>
                </c:pt>
                <c:pt idx="61">
                  <c:v>39.727600000000002</c:v>
                </c:pt>
                <c:pt idx="62">
                  <c:v>39.690899999999999</c:v>
                </c:pt>
                <c:pt idx="63">
                  <c:v>39.684799999999996</c:v>
                </c:pt>
                <c:pt idx="64">
                  <c:v>39.6678</c:v>
                </c:pt>
                <c:pt idx="65">
                  <c:v>39.682299999999998</c:v>
                </c:pt>
                <c:pt idx="66">
                  <c:v>39.693100000000001</c:v>
                </c:pt>
                <c:pt idx="67">
                  <c:v>39.742400000000004</c:v>
                </c:pt>
                <c:pt idx="68">
                  <c:v>39.745799999999996</c:v>
                </c:pt>
                <c:pt idx="69">
                  <c:v>39.779899999999998</c:v>
                </c:pt>
                <c:pt idx="70">
                  <c:v>39.837699999999998</c:v>
                </c:pt>
                <c:pt idx="71">
                  <c:v>39.899299999999997</c:v>
                </c:pt>
                <c:pt idx="72">
                  <c:v>39.961999999999996</c:v>
                </c:pt>
                <c:pt idx="73">
                  <c:v>40.044699999999999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3.5563600000000002</c:v>
                </c:pt>
                <c:pt idx="1">
                  <c:v>3.5364100000000001</c:v>
                </c:pt>
                <c:pt idx="2">
                  <c:v>3.51593</c:v>
                </c:pt>
                <c:pt idx="3">
                  <c:v>3.4988700000000001</c:v>
                </c:pt>
                <c:pt idx="4">
                  <c:v>3.4828299999999999</c:v>
                </c:pt>
                <c:pt idx="5">
                  <c:v>3.4673700000000003</c:v>
                </c:pt>
                <c:pt idx="6">
                  <c:v>3.45106</c:v>
                </c:pt>
                <c:pt idx="7">
                  <c:v>3.4390399999999999</c:v>
                </c:pt>
                <c:pt idx="8">
                  <c:v>3.4317500000000001</c:v>
                </c:pt>
                <c:pt idx="9">
                  <c:v>3.42523</c:v>
                </c:pt>
                <c:pt idx="10">
                  <c:v>3.4191899999999995</c:v>
                </c:pt>
                <c:pt idx="11">
                  <c:v>3.41601</c:v>
                </c:pt>
                <c:pt idx="12">
                  <c:v>3.4166300000000001</c:v>
                </c:pt>
                <c:pt idx="13">
                  <c:v>3.4171800000000001</c:v>
                </c:pt>
                <c:pt idx="14">
                  <c:v>3.42075</c:v>
                </c:pt>
                <c:pt idx="15">
                  <c:v>3.4272799999999997</c:v>
                </c:pt>
                <c:pt idx="16">
                  <c:v>3.4350799999999997</c:v>
                </c:pt>
                <c:pt idx="17">
                  <c:v>3.4446599999999998</c:v>
                </c:pt>
                <c:pt idx="18">
                  <c:v>3.4539399999999998</c:v>
                </c:pt>
                <c:pt idx="19">
                  <c:v>3.4646300000000001</c:v>
                </c:pt>
                <c:pt idx="20">
                  <c:v>3.47682</c:v>
                </c:pt>
                <c:pt idx="21">
                  <c:v>3.49207</c:v>
                </c:pt>
                <c:pt idx="22">
                  <c:v>3.5050699999999999</c:v>
                </c:pt>
                <c:pt idx="23">
                  <c:v>3.5179500000000004</c:v>
                </c:pt>
                <c:pt idx="24">
                  <c:v>3.5318899999999998</c:v>
                </c:pt>
                <c:pt idx="25">
                  <c:v>3.5480099999999997</c:v>
                </c:pt>
                <c:pt idx="26">
                  <c:v>3.5645199999999999</c:v>
                </c:pt>
                <c:pt idx="27">
                  <c:v>3.5811100000000002</c:v>
                </c:pt>
                <c:pt idx="28">
                  <c:v>3.5983799999999997</c:v>
                </c:pt>
                <c:pt idx="29">
                  <c:v>3.6113299999999997</c:v>
                </c:pt>
                <c:pt idx="30">
                  <c:v>3.6243500000000002</c:v>
                </c:pt>
                <c:pt idx="31">
                  <c:v>3.63483</c:v>
                </c:pt>
                <c:pt idx="32">
                  <c:v>3.6440800000000002</c:v>
                </c:pt>
                <c:pt idx="33">
                  <c:v>3.6473800000000001</c:v>
                </c:pt>
                <c:pt idx="34">
                  <c:v>3.6486600000000005</c:v>
                </c:pt>
                <c:pt idx="35">
                  <c:v>3.6504300000000001</c:v>
                </c:pt>
                <c:pt idx="36">
                  <c:v>3.6529499999999997</c:v>
                </c:pt>
                <c:pt idx="37">
                  <c:v>3.6525400000000001</c:v>
                </c:pt>
                <c:pt idx="38">
                  <c:v>3.6533600000000002</c:v>
                </c:pt>
                <c:pt idx="39">
                  <c:v>3.65768</c:v>
                </c:pt>
                <c:pt idx="40">
                  <c:v>3.6654100000000001</c:v>
                </c:pt>
                <c:pt idx="41">
                  <c:v>3.6747899999999998</c:v>
                </c:pt>
                <c:pt idx="42">
                  <c:v>3.6850399999999999</c:v>
                </c:pt>
                <c:pt idx="43">
                  <c:v>3.6969400000000001</c:v>
                </c:pt>
                <c:pt idx="44">
                  <c:v>3.7096</c:v>
                </c:pt>
                <c:pt idx="45">
                  <c:v>3.7237499999999999</c:v>
                </c:pt>
                <c:pt idx="46">
                  <c:v>3.7357299999999998</c:v>
                </c:pt>
                <c:pt idx="47">
                  <c:v>3.7503500000000001</c:v>
                </c:pt>
                <c:pt idx="48">
                  <c:v>3.7663500000000001</c:v>
                </c:pt>
                <c:pt idx="49">
                  <c:v>3.78179</c:v>
                </c:pt>
                <c:pt idx="50">
                  <c:v>3.7938800000000001</c:v>
                </c:pt>
                <c:pt idx="51">
                  <c:v>3.7957400000000003</c:v>
                </c:pt>
                <c:pt idx="52">
                  <c:v>3.7974599999999996</c:v>
                </c:pt>
                <c:pt idx="53">
                  <c:v>3.7980100000000001</c:v>
                </c:pt>
                <c:pt idx="54">
                  <c:v>3.8037700000000001</c:v>
                </c:pt>
                <c:pt idx="55">
                  <c:v>3.8093700000000004</c:v>
                </c:pt>
                <c:pt idx="56">
                  <c:v>3.8161699999999996</c:v>
                </c:pt>
                <c:pt idx="57">
                  <c:v>3.8221400000000001</c:v>
                </c:pt>
                <c:pt idx="58">
                  <c:v>3.8329499999999999</c:v>
                </c:pt>
                <c:pt idx="59">
                  <c:v>3.8489599999999999</c:v>
                </c:pt>
                <c:pt idx="60">
                  <c:v>3.8693599999999999</c:v>
                </c:pt>
                <c:pt idx="61">
                  <c:v>3.89059</c:v>
                </c:pt>
                <c:pt idx="62">
                  <c:v>3.9138099999999998</c:v>
                </c:pt>
                <c:pt idx="63">
                  <c:v>3.9396100000000001</c:v>
                </c:pt>
                <c:pt idx="64">
                  <c:v>3.9629300000000001</c:v>
                </c:pt>
                <c:pt idx="65">
                  <c:v>3.9799800000000003</c:v>
                </c:pt>
                <c:pt idx="66">
                  <c:v>3.99566</c:v>
                </c:pt>
                <c:pt idx="67">
                  <c:v>4.0090300000000001</c:v>
                </c:pt>
                <c:pt idx="68">
                  <c:v>4.0223399999999998</c:v>
                </c:pt>
                <c:pt idx="69">
                  <c:v>4.0331400000000004</c:v>
                </c:pt>
                <c:pt idx="70">
                  <c:v>4.0373000000000001</c:v>
                </c:pt>
                <c:pt idx="71">
                  <c:v>4.0403000000000002</c:v>
                </c:pt>
                <c:pt idx="72">
                  <c:v>4.0414399999999997</c:v>
                </c:pt>
                <c:pt idx="73">
                  <c:v>4.0324299999999997</c:v>
                </c:pt>
                <c:pt idx="74">
                  <c:v>4.0218100000000003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40.044699999999999</c:v>
                </c:pt>
                <c:pt idx="1">
                  <c:v>40.135399999999997</c:v>
                </c:pt>
                <c:pt idx="2">
                  <c:v>40.262100000000004</c:v>
                </c:pt>
                <c:pt idx="3">
                  <c:v>40.401499999999999</c:v>
                </c:pt>
                <c:pt idx="4">
                  <c:v>40.543300000000002</c:v>
                </c:pt>
                <c:pt idx="5">
                  <c:v>40.676000000000002</c:v>
                </c:pt>
                <c:pt idx="6">
                  <c:v>40.838099999999997</c:v>
                </c:pt>
                <c:pt idx="7">
                  <c:v>41.011800000000001</c:v>
                </c:pt>
                <c:pt idx="8">
                  <c:v>41.117399999999996</c:v>
                </c:pt>
                <c:pt idx="9">
                  <c:v>41.195500000000003</c:v>
                </c:pt>
                <c:pt idx="10">
                  <c:v>41.263300000000001</c:v>
                </c:pt>
                <c:pt idx="11">
                  <c:v>41.287800000000004</c:v>
                </c:pt>
                <c:pt idx="12">
                  <c:v>41.270099999999999</c:v>
                </c:pt>
                <c:pt idx="13">
                  <c:v>41.189799999999998</c:v>
                </c:pt>
                <c:pt idx="14">
                  <c:v>41.0807</c:v>
                </c:pt>
                <c:pt idx="15">
                  <c:v>40.943800000000003</c:v>
                </c:pt>
                <c:pt idx="16">
                  <c:v>40.813400000000001</c:v>
                </c:pt>
                <c:pt idx="17">
                  <c:v>40.590699999999998</c:v>
                </c:pt>
                <c:pt idx="18">
                  <c:v>40.402000000000001</c:v>
                </c:pt>
                <c:pt idx="19">
                  <c:v>40.147199999999998</c:v>
                </c:pt>
                <c:pt idx="20">
                  <c:v>39.903399999999998</c:v>
                </c:pt>
                <c:pt idx="21">
                  <c:v>39.6325</c:v>
                </c:pt>
                <c:pt idx="22">
                  <c:v>39.432200000000002</c:v>
                </c:pt>
                <c:pt idx="23">
                  <c:v>39.2012</c:v>
                </c:pt>
                <c:pt idx="24">
                  <c:v>38.963500000000003</c:v>
                </c:pt>
                <c:pt idx="25">
                  <c:v>38.708199999999998</c:v>
                </c:pt>
                <c:pt idx="26">
                  <c:v>38.454100000000004</c:v>
                </c:pt>
                <c:pt idx="27">
                  <c:v>38.166899999999998</c:v>
                </c:pt>
                <c:pt idx="28">
                  <c:v>37.921100000000003</c:v>
                </c:pt>
                <c:pt idx="29">
                  <c:v>37.704700000000003</c:v>
                </c:pt>
                <c:pt idx="30">
                  <c:v>37.452200000000005</c:v>
                </c:pt>
                <c:pt idx="31">
                  <c:v>37.2044</c:v>
                </c:pt>
                <c:pt idx="32">
                  <c:v>36.923699999999997</c:v>
                </c:pt>
                <c:pt idx="33">
                  <c:v>36.690800000000003</c:v>
                </c:pt>
                <c:pt idx="34">
                  <c:v>36.4358</c:v>
                </c:pt>
                <c:pt idx="35">
                  <c:v>36.228200000000001</c:v>
                </c:pt>
                <c:pt idx="36">
                  <c:v>36.032599999999995</c:v>
                </c:pt>
                <c:pt idx="37">
                  <c:v>35.872399999999999</c:v>
                </c:pt>
                <c:pt idx="38">
                  <c:v>35.737000000000002</c:v>
                </c:pt>
                <c:pt idx="39">
                  <c:v>35.6633</c:v>
                </c:pt>
                <c:pt idx="40">
                  <c:v>35.5565</c:v>
                </c:pt>
                <c:pt idx="41">
                  <c:v>35.428800000000003</c:v>
                </c:pt>
                <c:pt idx="42">
                  <c:v>35.3187</c:v>
                </c:pt>
                <c:pt idx="43">
                  <c:v>35.142000000000003</c:v>
                </c:pt>
                <c:pt idx="44">
                  <c:v>34.915900000000001</c:v>
                </c:pt>
                <c:pt idx="45">
                  <c:v>34.610700000000001</c:v>
                </c:pt>
                <c:pt idx="46">
                  <c:v>34.402500000000003</c:v>
                </c:pt>
                <c:pt idx="47">
                  <c:v>34.210900000000002</c:v>
                </c:pt>
                <c:pt idx="48">
                  <c:v>34.0762</c:v>
                </c:pt>
                <c:pt idx="49">
                  <c:v>33.932400000000001</c:v>
                </c:pt>
                <c:pt idx="50">
                  <c:v>33.788000000000004</c:v>
                </c:pt>
                <c:pt idx="51">
                  <c:v>33.731699999999996</c:v>
                </c:pt>
                <c:pt idx="52">
                  <c:v>33.695500000000003</c:v>
                </c:pt>
                <c:pt idx="53">
                  <c:v>33.619900000000001</c:v>
                </c:pt>
                <c:pt idx="54">
                  <c:v>33.569400000000002</c:v>
                </c:pt>
                <c:pt idx="55">
                  <c:v>33.567500000000003</c:v>
                </c:pt>
                <c:pt idx="56">
                  <c:v>33.559600000000003</c:v>
                </c:pt>
                <c:pt idx="57">
                  <c:v>33.5396</c:v>
                </c:pt>
                <c:pt idx="58">
                  <c:v>33.522200000000005</c:v>
                </c:pt>
                <c:pt idx="59">
                  <c:v>33.590499999999999</c:v>
                </c:pt>
                <c:pt idx="60">
                  <c:v>33.620699999999999</c:v>
                </c:pt>
                <c:pt idx="61">
                  <c:v>33.633000000000003</c:v>
                </c:pt>
                <c:pt idx="62">
                  <c:v>33.599699999999999</c:v>
                </c:pt>
                <c:pt idx="63">
                  <c:v>33.602499999999999</c:v>
                </c:pt>
                <c:pt idx="64">
                  <c:v>33.4482</c:v>
                </c:pt>
                <c:pt idx="65">
                  <c:v>33.198100000000004</c:v>
                </c:pt>
                <c:pt idx="66">
                  <c:v>32.926100000000005</c:v>
                </c:pt>
                <c:pt idx="67">
                  <c:v>32.681800000000003</c:v>
                </c:pt>
                <c:pt idx="68">
                  <c:v>32.5167</c:v>
                </c:pt>
                <c:pt idx="69">
                  <c:v>32.496600000000001</c:v>
                </c:pt>
                <c:pt idx="70">
                  <c:v>32.673499999999997</c:v>
                </c:pt>
                <c:pt idx="71">
                  <c:v>32.6496</c:v>
                </c:pt>
                <c:pt idx="72">
                  <c:v>32.602199999999996</c:v>
                </c:pt>
                <c:pt idx="73">
                  <c:v>32.543599999999998</c:v>
                </c:pt>
                <c:pt idx="74">
                  <c:v>32.510099999999994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1.9385300000000001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58.647400000000005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3.5032674324324322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41.042260810810802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3.6831781081081072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36.567283783783779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3.6831781081081072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36.567283783783779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516</v>
      </c>
      <c r="D5" s="151"/>
      <c r="E5" s="151"/>
      <c r="F5" s="152"/>
      <c r="G5" s="48" t="str">
        <f>lang!B27</f>
        <v>编号</v>
      </c>
      <c r="H5" s="150">
        <v>25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515</v>
      </c>
      <c r="D6" s="188"/>
      <c r="E6" s="188"/>
      <c r="F6" s="189"/>
      <c r="G6" s="49" t="str">
        <f>lang!B28</f>
        <v xml:space="preserve"> 日期</v>
      </c>
      <c r="H6" s="172">
        <f>FH_info!A2</f>
        <v>43607.440625000003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38</v>
      </c>
      <c r="D7" s="191"/>
      <c r="E7" s="191"/>
      <c r="F7" s="192"/>
      <c r="G7" s="50" t="str">
        <f>lang!B29</f>
        <v>误差率（%）</v>
      </c>
      <c r="H7" s="175">
        <f>M!B17*1</f>
        <v>16.275500000000001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43.502600000000001</v>
      </c>
      <c r="O8" s="59">
        <f>M!C5*1</f>
        <v>9.4477200000000003</v>
      </c>
      <c r="P8" s="59">
        <f>M!D5*1</f>
        <v>21.717600000000001</v>
      </c>
      <c r="Q8" s="59">
        <f>M!E5*1</f>
        <v>20</v>
      </c>
      <c r="R8" s="59">
        <f>M!F5*1</f>
        <v>10.3384</v>
      </c>
      <c r="S8" s="59">
        <f>M!G5*1</f>
        <v>50</v>
      </c>
      <c r="T8" s="59">
        <f>M!H5*1</f>
        <v>49.692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34.7654</v>
      </c>
      <c r="O9" s="59">
        <f>M!C6*1</f>
        <v>3.6514199999999999</v>
      </c>
      <c r="P9" s="59">
        <f>M!D6*1</f>
        <v>10.503</v>
      </c>
      <c r="Q9" s="59">
        <f>M!E6*1</f>
        <v>20</v>
      </c>
      <c r="R9" s="59">
        <f>M!F6*1</f>
        <v>23.146999999999998</v>
      </c>
      <c r="S9" s="59">
        <f>M!G6*1</f>
        <v>40</v>
      </c>
      <c r="T9" s="59">
        <f>M!H6*1</f>
        <v>40.252499999999998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10.3384</v>
      </c>
      <c r="D10" s="99">
        <f>N8</f>
        <v>43.502600000000001</v>
      </c>
      <c r="E10" s="100">
        <f>T8</f>
        <v>49.692</v>
      </c>
      <c r="F10" s="91">
        <f>P8</f>
        <v>21.717600000000001</v>
      </c>
      <c r="G10" s="81" t="str">
        <f>CONCATENATE(M9,"
(20 ~ 40)")</f>
        <v>压力
(20 ~ 40)</v>
      </c>
      <c r="H10" s="98">
        <f>R9</f>
        <v>23.146999999999998</v>
      </c>
      <c r="I10" s="108">
        <f>N9</f>
        <v>34.7654</v>
      </c>
      <c r="J10" s="98">
        <f>T9</f>
        <v>40.252499999999998</v>
      </c>
      <c r="K10" s="92">
        <f>P9</f>
        <v>10.503</v>
      </c>
      <c r="L10" s="6"/>
      <c r="M10" s="27" t="str">
        <f>lang!B16</f>
        <v>焦虑</v>
      </c>
      <c r="N10" s="59">
        <f>M!B7*1</f>
        <v>36.290500000000002</v>
      </c>
      <c r="O10" s="59">
        <f>M!C7*1</f>
        <v>6.1948699999999999</v>
      </c>
      <c r="P10" s="59">
        <f>M!D7*1</f>
        <v>17.0702</v>
      </c>
      <c r="Q10" s="59">
        <f>M!E7*1</f>
        <v>15</v>
      </c>
      <c r="R10" s="59">
        <f>M!F7*1</f>
        <v>11.8569</v>
      </c>
      <c r="S10" s="59">
        <f>M!G7*1</f>
        <v>40</v>
      </c>
      <c r="T10" s="59">
        <f>M!H7*1</f>
        <v>43.069000000000003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11.8569</v>
      </c>
      <c r="D11" s="102">
        <f>N10</f>
        <v>36.290500000000002</v>
      </c>
      <c r="E11" s="103">
        <f>T10</f>
        <v>43.069000000000003</v>
      </c>
      <c r="F11" s="94">
        <f>P10</f>
        <v>17.0702</v>
      </c>
      <c r="G11" s="52" t="str">
        <f>CONCATENATE(M11,"
(20 ~ 50)")</f>
        <v>可疑
(20 ~ 50)</v>
      </c>
      <c r="H11" s="101">
        <f>R11</f>
        <v>14.5817</v>
      </c>
      <c r="I11" s="104">
        <f>N11</f>
        <v>38.813400000000001</v>
      </c>
      <c r="J11" s="101">
        <f>T11</f>
        <v>42.0167</v>
      </c>
      <c r="K11" s="95">
        <f>P11</f>
        <v>15.866099999999999</v>
      </c>
      <c r="L11" s="4"/>
      <c r="M11" s="27" t="str">
        <f>lang!B17</f>
        <v>可疑</v>
      </c>
      <c r="N11" s="59">
        <f>M!B8*1</f>
        <v>38.813400000000001</v>
      </c>
      <c r="O11" s="59">
        <f>M!C8*1</f>
        <v>6.1581799999999998</v>
      </c>
      <c r="P11" s="59">
        <f>M!D8*1</f>
        <v>15.866099999999999</v>
      </c>
      <c r="Q11" s="59">
        <f>M!E8*1</f>
        <v>20</v>
      </c>
      <c r="R11" s="59">
        <f>M!F8*1</f>
        <v>14.5817</v>
      </c>
      <c r="S11" s="59">
        <f>M!G8*1</f>
        <v>50</v>
      </c>
      <c r="T11" s="59">
        <f>M!H8*1</f>
        <v>42.0167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45.759099999999997</v>
      </c>
      <c r="D12" s="104">
        <f>N12</f>
        <v>62.978200000000001</v>
      </c>
      <c r="E12" s="101">
        <f>T12</f>
        <v>76.593000000000004</v>
      </c>
      <c r="F12" s="93">
        <f>P12</f>
        <v>13.248799999999999</v>
      </c>
      <c r="G12" s="52" t="str">
        <f>CONCATENATE(M13,"
(40 ~ 100)")</f>
        <v>自信
(40 ~ 100)</v>
      </c>
      <c r="H12" s="101">
        <f>R13</f>
        <v>56.374600000000001</v>
      </c>
      <c r="I12" s="104">
        <f>N13</f>
        <v>63.679400000000001</v>
      </c>
      <c r="J12" s="101">
        <f>T13</f>
        <v>74.356499999999997</v>
      </c>
      <c r="K12" s="95">
        <f>P13</f>
        <v>6.6514199999999999</v>
      </c>
      <c r="L12" s="4"/>
      <c r="M12" s="27" t="str">
        <f>lang!B18</f>
        <v>平衡</v>
      </c>
      <c r="N12" s="59">
        <f>M!B9*1</f>
        <v>62.978200000000001</v>
      </c>
      <c r="O12" s="59">
        <f>M!C9*1</f>
        <v>8.3438400000000001</v>
      </c>
      <c r="P12" s="59">
        <f>M!D9*1</f>
        <v>13.248799999999999</v>
      </c>
      <c r="Q12" s="59">
        <f>M!E9*1</f>
        <v>50</v>
      </c>
      <c r="R12" s="59">
        <f>M!F9*1</f>
        <v>45.759099999999997</v>
      </c>
      <c r="S12" s="59">
        <f>M!G9*1</f>
        <v>100</v>
      </c>
      <c r="T12" s="59">
        <f>M!H9*1</f>
        <v>76.593000000000004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6.6550799999999999</v>
      </c>
      <c r="D13" s="102">
        <f>N14</f>
        <v>23.8279</v>
      </c>
      <c r="E13" s="103">
        <f>T14</f>
        <v>28.144200000000001</v>
      </c>
      <c r="F13" s="94">
        <f>P14</f>
        <v>20.9529</v>
      </c>
      <c r="G13" s="52" t="str">
        <f>CONCATENATE(M15,"
(50 ~ 100)")</f>
        <v>自我调节
(50 ~ 100)</v>
      </c>
      <c r="H13" s="101">
        <f>R15</f>
        <v>54.121000000000002</v>
      </c>
      <c r="I13" s="104">
        <f>N15</f>
        <v>62.243299999999998</v>
      </c>
      <c r="J13" s="101">
        <f>T15</f>
        <v>74.693299999999994</v>
      </c>
      <c r="K13" s="95">
        <f>P15</f>
        <v>8.5181500000000003</v>
      </c>
      <c r="L13" s="4"/>
      <c r="M13" s="27" t="str">
        <f>lang!B19</f>
        <v>自信</v>
      </c>
      <c r="N13" s="59">
        <f>M!B10*1</f>
        <v>63.679400000000001</v>
      </c>
      <c r="O13" s="59">
        <f>M!C10*1</f>
        <v>4.2355799999999997</v>
      </c>
      <c r="P13" s="59">
        <f>M!D10*1</f>
        <v>6.6514199999999999</v>
      </c>
      <c r="Q13" s="59">
        <f>M!E10*1</f>
        <v>40</v>
      </c>
      <c r="R13" s="59">
        <f>M!F10*1</f>
        <v>56.374600000000001</v>
      </c>
      <c r="S13" s="59">
        <f>M!G10*1</f>
        <v>100</v>
      </c>
      <c r="T13" s="59">
        <f>M!H10*1</f>
        <v>74.356499999999997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15.5685</v>
      </c>
      <c r="D14" s="106">
        <f>N16</f>
        <v>21.6279</v>
      </c>
      <c r="E14" s="107">
        <f>T16</f>
        <v>29.4786</v>
      </c>
      <c r="F14" s="96">
        <f>P16</f>
        <v>12.402900000000001</v>
      </c>
      <c r="G14" s="112" t="str">
        <f>CONCATENATE(M17,"
(10 ~ 50)")</f>
        <v>神经质
(10 ~ 50)</v>
      </c>
      <c r="H14" s="105">
        <f>R17</f>
        <v>1.3661300000000001</v>
      </c>
      <c r="I14" s="106">
        <f>N17</f>
        <v>26.8248</v>
      </c>
      <c r="J14" s="107">
        <f>T17</f>
        <v>34.125399999999999</v>
      </c>
      <c r="K14" s="97">
        <f>P17</f>
        <v>35.823700000000002</v>
      </c>
      <c r="M14" s="27" t="str">
        <f>lang!B20</f>
        <v>活力</v>
      </c>
      <c r="N14" s="59">
        <f>M!B11*1</f>
        <v>23.8279</v>
      </c>
      <c r="O14" s="59">
        <f>M!C11*1</f>
        <v>4.9926300000000001</v>
      </c>
      <c r="P14" s="59">
        <f>M!D11*1</f>
        <v>20.9529</v>
      </c>
      <c r="Q14" s="59">
        <f>M!E11*1</f>
        <v>10</v>
      </c>
      <c r="R14" s="59">
        <f>M!F11*1</f>
        <v>6.6550799999999999</v>
      </c>
      <c r="S14" s="59">
        <f>M!G11*1</f>
        <v>50</v>
      </c>
      <c r="T14" s="59">
        <f>M!H11*1</f>
        <v>28.144200000000001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62.243299999999998</v>
      </c>
      <c r="O15" s="59">
        <f>M!C12*1</f>
        <v>5.3019800000000004</v>
      </c>
      <c r="P15" s="59">
        <f>M!D12*1</f>
        <v>8.5181500000000003</v>
      </c>
      <c r="Q15" s="59">
        <f>M!E12*1</f>
        <v>50</v>
      </c>
      <c r="R15" s="59">
        <f>M!F12*1</f>
        <v>54.121000000000002</v>
      </c>
      <c r="S15" s="59">
        <f>M!G12*1</f>
        <v>100</v>
      </c>
      <c r="T15" s="59">
        <f>M!H12*1</f>
        <v>74.693299999999994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21.6279</v>
      </c>
      <c r="O16" s="59">
        <f>M!C13*1</f>
        <v>2.68248</v>
      </c>
      <c r="P16" s="59">
        <f>M!D13*1</f>
        <v>12.402900000000001</v>
      </c>
      <c r="Q16" s="59">
        <f>M!E13*1</f>
        <v>10</v>
      </c>
      <c r="R16" s="59">
        <f>M!F13*1</f>
        <v>15.5685</v>
      </c>
      <c r="S16" s="59">
        <f>M!G13*1</f>
        <v>25</v>
      </c>
      <c r="T16" s="59">
        <f>M!H13*1</f>
        <v>29.4786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26.8248</v>
      </c>
      <c r="O17" s="59">
        <f>M!C14*1</f>
        <v>9.6096400000000006</v>
      </c>
      <c r="P17" s="59">
        <f>M!D14*1</f>
        <v>35.823700000000002</v>
      </c>
      <c r="Q17" s="59">
        <f>M!E14*1</f>
        <v>10</v>
      </c>
      <c r="R17" s="59">
        <f>M!F14*1</f>
        <v>1.3661300000000001</v>
      </c>
      <c r="S17" s="59">
        <f>M!G14*1</f>
        <v>50</v>
      </c>
      <c r="T17" s="59">
        <f>M!H14*1</f>
        <v>34.125399999999999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53.182200000000002</v>
      </c>
      <c r="O18" s="22">
        <f>N18/(N18+N19+N20)</f>
        <v>0.45945139815652536</v>
      </c>
      <c r="P18" s="65">
        <f>SUM(P12:P15)/4</f>
        <v>12.342817499999999</v>
      </c>
      <c r="Q18" s="22">
        <f>P18/(P18+P19+P20)</f>
        <v>0.23400772305156606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38.342975000000003</v>
      </c>
      <c r="O19" s="22">
        <f>N19/(N18+N19+N20)</f>
        <v>0.33125243922272302</v>
      </c>
      <c r="P19" s="18">
        <f>SUM(P8:P11)/4</f>
        <v>16.289225000000002</v>
      </c>
      <c r="Q19" s="22">
        <f>P19/(P18+P19+P20)</f>
        <v>0.30882774152049536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24.22635</v>
      </c>
      <c r="O20" s="22">
        <f>N20/(N18+N19+N20)</f>
        <v>0.20929616262075165</v>
      </c>
      <c r="P20" s="18">
        <f>(P16+P17)/2</f>
        <v>24.113300000000002</v>
      </c>
      <c r="Q20" s="22">
        <f>P20/(P18+P19+P20)</f>
        <v>0.4571645354279385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-6.2740837837837737E-2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1.7373990002749644</v>
      </c>
      <c r="D25" s="44" t="str">
        <f>lang!B11</f>
        <v>频率方差</v>
      </c>
      <c r="E25" s="142">
        <f ca="1">FH!L3</f>
        <v>0.64898495379996701</v>
      </c>
      <c r="F25" s="143"/>
      <c r="G25" s="134" t="str">
        <f>lang!B12</f>
        <v>生理变化率</v>
      </c>
      <c r="H25" s="135"/>
      <c r="I25" s="62" t="str">
        <f ca="1">CONCATENATE(info!M7,"-",info!M8)</f>
        <v>32.5-58.6</v>
      </c>
      <c r="J25" s="42" t="str">
        <f>lang!B13</f>
        <v>千卡l/分钟</v>
      </c>
      <c r="K25" s="41" t="str">
        <f ca="1">CONCATENATE(info!M5,"-",info!M6)</f>
        <v>1.9-4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44.817</v>
      </c>
      <c r="F28" s="164"/>
      <c r="G28" s="178" t="str">
        <f>lang!B33</f>
        <v>稳定性</v>
      </c>
      <c r="H28" s="179"/>
      <c r="I28" s="180"/>
      <c r="J28" s="181">
        <f>M!B19*100</f>
        <v>50.645700000000005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43607.440625000003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-0.49969999999999715</v>
      </c>
      <c r="O7" s="59">
        <f t="shared" ref="O7:T7" si="2">AG7-X7</f>
        <v>-10.24756</v>
      </c>
      <c r="P7" s="59">
        <f t="shared" si="2"/>
        <v>-23.3294</v>
      </c>
      <c r="Q7" s="59">
        <f t="shared" si="2"/>
        <v>0</v>
      </c>
      <c r="R7" s="59">
        <f t="shared" si="2"/>
        <v>27.670999999999999</v>
      </c>
      <c r="S7" s="59">
        <f t="shared" si="2"/>
        <v>0</v>
      </c>
      <c r="T7" s="59">
        <f t="shared" si="2"/>
        <v>-2.1805000000000021</v>
      </c>
      <c r="U7" s="14"/>
      <c r="V7" s="27" t="str">
        <f>M7</f>
        <v>攻击性</v>
      </c>
      <c r="W7" s="59">
        <f>'M1'!B5*1</f>
        <v>43.8187</v>
      </c>
      <c r="X7" s="59">
        <f>'M1'!C5*1</f>
        <v>12.410299999999999</v>
      </c>
      <c r="Y7" s="59">
        <f>'M1'!D5*1</f>
        <v>28.321999999999999</v>
      </c>
      <c r="Z7" s="59">
        <f>'M1'!E5*1</f>
        <v>20</v>
      </c>
      <c r="AA7" s="59">
        <f>'M1'!F5*1</f>
        <v>10.3384</v>
      </c>
      <c r="AB7" s="59">
        <f>'M1'!G5*1</f>
        <v>50</v>
      </c>
      <c r="AC7" s="59">
        <f>'M1'!H5*1</f>
        <v>49.692</v>
      </c>
      <c r="AE7" s="27" t="str">
        <f>V7</f>
        <v>攻击性</v>
      </c>
      <c r="AF7" s="59">
        <f>'M2'!B5*1</f>
        <v>43.319000000000003</v>
      </c>
      <c r="AG7" s="59">
        <f>'M2'!C5*1</f>
        <v>2.1627399999999999</v>
      </c>
      <c r="AH7" s="59">
        <f>'M2'!D5*1</f>
        <v>4.9926000000000004</v>
      </c>
      <c r="AI7" s="59">
        <f>'M2'!E5*1</f>
        <v>20</v>
      </c>
      <c r="AJ7" s="59">
        <f>'M2'!F5*1</f>
        <v>38.009399999999999</v>
      </c>
      <c r="AK7" s="59">
        <f>'M2'!G5*1</f>
        <v>50</v>
      </c>
      <c r="AL7" s="59">
        <f>'M2'!H5*1</f>
        <v>47.511499999999998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0.11139999999999617</v>
      </c>
      <c r="O8" s="59">
        <f t="shared" ref="O8:O16" si="5">AG8-X8</f>
        <v>-2.8939699999999995</v>
      </c>
      <c r="P8" s="59">
        <f t="shared" ref="P8:P16" si="6">AH8-Y8</f>
        <v>-8.3658900000000003</v>
      </c>
      <c r="Q8" s="59">
        <f t="shared" ref="Q8:Q16" si="7">AI8-Z8</f>
        <v>0</v>
      </c>
      <c r="R8" s="59">
        <f t="shared" ref="R8:R16" si="8">AJ8-AA8</f>
        <v>8.7276000000000025</v>
      </c>
      <c r="S8" s="59">
        <f t="shared" ref="S8:S16" si="9">AK8-AB8</f>
        <v>0</v>
      </c>
      <c r="T8" s="59">
        <f t="shared" ref="T8:T16" si="10">AL8-AC8</f>
        <v>-1.411999999999999</v>
      </c>
      <c r="U8" s="15"/>
      <c r="V8" s="27" t="str">
        <f t="shared" ref="V8:V16" si="11">M8</f>
        <v>压力</v>
      </c>
      <c r="W8" s="59">
        <f>'M1'!B6*1</f>
        <v>34.660800000000002</v>
      </c>
      <c r="X8" s="59">
        <f>'M1'!C6*1</f>
        <v>4.6786599999999998</v>
      </c>
      <c r="Y8" s="59">
        <f>'M1'!D6*1</f>
        <v>13.4984</v>
      </c>
      <c r="Z8" s="59">
        <f>'M1'!E6*1</f>
        <v>20</v>
      </c>
      <c r="AA8" s="59">
        <f>'M1'!F6*1</f>
        <v>23.146999999999998</v>
      </c>
      <c r="AB8" s="59">
        <f>'M1'!G6*1</f>
        <v>40</v>
      </c>
      <c r="AC8" s="59">
        <f>'M1'!H6*1</f>
        <v>40.252499999999998</v>
      </c>
      <c r="AE8" s="27" t="str">
        <f t="shared" ref="AE8:AE16" si="12">V8</f>
        <v>压力</v>
      </c>
      <c r="AF8" s="59">
        <f>'M2'!B6*1</f>
        <v>34.772199999999998</v>
      </c>
      <c r="AG8" s="59">
        <f>'M2'!C6*1</f>
        <v>1.7846900000000001</v>
      </c>
      <c r="AH8" s="59">
        <f>'M2'!D6*1</f>
        <v>5.1325099999999999</v>
      </c>
      <c r="AI8" s="59">
        <f>'M2'!E6*1</f>
        <v>20</v>
      </c>
      <c r="AJ8" s="59">
        <f>'M2'!F6*1</f>
        <v>31.874600000000001</v>
      </c>
      <c r="AK8" s="59">
        <f>'M2'!G6*1</f>
        <v>40</v>
      </c>
      <c r="AL8" s="59">
        <f>'M2'!H6*1</f>
        <v>38.840499999999999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27.670999999999999</v>
      </c>
      <c r="D9" s="78">
        <f>N7</f>
        <v>-0.49969999999999715</v>
      </c>
      <c r="E9" s="79">
        <f>T7</f>
        <v>-2.1805000000000021</v>
      </c>
      <c r="F9" s="79">
        <f>P7</f>
        <v>-23.3294</v>
      </c>
      <c r="G9" s="80" t="str">
        <f>CONCATENATE(M8,"
(20 ~ 40)")</f>
        <v>压力
(20 ~ 40)</v>
      </c>
      <c r="H9" s="77">
        <f>R8</f>
        <v>8.7276000000000025</v>
      </c>
      <c r="I9" s="81">
        <f>N8</f>
        <v>0.11139999999999617</v>
      </c>
      <c r="J9" s="77">
        <f>T8</f>
        <v>-1.411999999999999</v>
      </c>
      <c r="K9" s="82">
        <f>P8</f>
        <v>-8.3658900000000003</v>
      </c>
      <c r="L9" s="6"/>
      <c r="M9" s="27" t="str">
        <f>lang!B16</f>
        <v>焦虑</v>
      </c>
      <c r="N9" s="59">
        <f t="shared" si="4"/>
        <v>8.7800000000001432E-2</v>
      </c>
      <c r="O9" s="59">
        <f t="shared" si="5"/>
        <v>-5.4343700000000013</v>
      </c>
      <c r="P9" s="59">
        <f t="shared" si="6"/>
        <v>-15.007800000000001</v>
      </c>
      <c r="Q9" s="59">
        <f t="shared" si="7"/>
        <v>0</v>
      </c>
      <c r="R9" s="59">
        <f t="shared" si="8"/>
        <v>18.9895</v>
      </c>
      <c r="S9" s="59">
        <f t="shared" si="9"/>
        <v>0</v>
      </c>
      <c r="T9" s="59">
        <f t="shared" si="10"/>
        <v>2.289999999999992E-2</v>
      </c>
      <c r="U9" s="14"/>
      <c r="V9" s="27" t="str">
        <f t="shared" si="11"/>
        <v>焦虑</v>
      </c>
      <c r="W9" s="59">
        <f>'M1'!B7*1</f>
        <v>36.254199999999997</v>
      </c>
      <c r="X9" s="59">
        <f>'M1'!C7*1</f>
        <v>8.1658000000000008</v>
      </c>
      <c r="Y9" s="59">
        <f>'M1'!D7*1</f>
        <v>22.523700000000002</v>
      </c>
      <c r="Z9" s="59">
        <f>'M1'!E7*1</f>
        <v>15</v>
      </c>
      <c r="AA9" s="59">
        <f>'M1'!F7*1</f>
        <v>11.8569</v>
      </c>
      <c r="AB9" s="59">
        <f>'M1'!G7*1</f>
        <v>40</v>
      </c>
      <c r="AC9" s="59">
        <f>'M1'!H7*1</f>
        <v>43.046100000000003</v>
      </c>
      <c r="AE9" s="27" t="str">
        <f t="shared" si="12"/>
        <v>焦虑</v>
      </c>
      <c r="AF9" s="59">
        <f>'M2'!B7*1</f>
        <v>36.341999999999999</v>
      </c>
      <c r="AG9" s="59">
        <f>'M2'!C7*1</f>
        <v>2.73143</v>
      </c>
      <c r="AH9" s="59">
        <f>'M2'!D7*1</f>
        <v>7.5159000000000002</v>
      </c>
      <c r="AI9" s="59">
        <f>'M2'!E7*1</f>
        <v>15</v>
      </c>
      <c r="AJ9" s="59">
        <f>'M2'!F7*1</f>
        <v>30.846399999999999</v>
      </c>
      <c r="AK9" s="59">
        <f>'M2'!G7*1</f>
        <v>40</v>
      </c>
      <c r="AL9" s="59">
        <f>'M2'!H7*1</f>
        <v>43.069000000000003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18.9895</v>
      </c>
      <c r="D10" s="51">
        <f>N9</f>
        <v>8.7800000000001432E-2</v>
      </c>
      <c r="E10" s="53">
        <f>T9</f>
        <v>2.289999999999992E-2</v>
      </c>
      <c r="F10" s="53">
        <f>P9</f>
        <v>-15.007800000000001</v>
      </c>
      <c r="G10" s="73" t="str">
        <f>CONCATENATE(M10,"
(20 ~ 50)")</f>
        <v>可疑
(20 ~ 50)</v>
      </c>
      <c r="H10" s="24">
        <f>R10</f>
        <v>20.550600000000003</v>
      </c>
      <c r="I10" s="52">
        <f>N10</f>
        <v>-0.49719999999999942</v>
      </c>
      <c r="J10" s="24">
        <f>T10</f>
        <v>-0.57970000000000255</v>
      </c>
      <c r="K10" s="25">
        <f>P10</f>
        <v>-17.12491</v>
      </c>
      <c r="L10" s="4"/>
      <c r="M10" s="27" t="str">
        <f>lang!B17</f>
        <v>可疑</v>
      </c>
      <c r="N10" s="59">
        <f t="shared" si="4"/>
        <v>-0.49719999999999942</v>
      </c>
      <c r="O10" s="59">
        <f t="shared" si="5"/>
        <v>-6.7328400000000004</v>
      </c>
      <c r="P10" s="59">
        <f t="shared" si="6"/>
        <v>-17.12491</v>
      </c>
      <c r="Q10" s="59">
        <f t="shared" si="7"/>
        <v>0</v>
      </c>
      <c r="R10" s="59">
        <f t="shared" si="8"/>
        <v>20.550600000000003</v>
      </c>
      <c r="S10" s="59">
        <f t="shared" si="9"/>
        <v>0</v>
      </c>
      <c r="T10" s="59">
        <f t="shared" si="10"/>
        <v>-0.57970000000000255</v>
      </c>
      <c r="U10" s="14"/>
      <c r="V10" s="27" t="str">
        <f t="shared" si="11"/>
        <v>可疑</v>
      </c>
      <c r="W10" s="59">
        <f>'M1'!B8*1</f>
        <v>39.2134</v>
      </c>
      <c r="X10" s="59">
        <f>'M1'!C8*1</f>
        <v>8.1015700000000006</v>
      </c>
      <c r="Y10" s="59">
        <f>'M1'!D8*1</f>
        <v>20.6602</v>
      </c>
      <c r="Z10" s="59">
        <f>'M1'!E8*1</f>
        <v>20</v>
      </c>
      <c r="AA10" s="59">
        <f>'M1'!F8*1</f>
        <v>14.5817</v>
      </c>
      <c r="AB10" s="59">
        <f>'M1'!G8*1</f>
        <v>50</v>
      </c>
      <c r="AC10" s="59">
        <f>'M1'!H8*1</f>
        <v>42.0167</v>
      </c>
      <c r="AE10" s="27" t="str">
        <f t="shared" si="12"/>
        <v>可疑</v>
      </c>
      <c r="AF10" s="59">
        <f>'M2'!B8*1</f>
        <v>38.716200000000001</v>
      </c>
      <c r="AG10" s="59">
        <f>'M2'!C8*1</f>
        <v>1.36873</v>
      </c>
      <c r="AH10" s="59">
        <f>'M2'!D8*1</f>
        <v>3.5352899999999998</v>
      </c>
      <c r="AI10" s="59">
        <f>'M2'!E8*1</f>
        <v>20</v>
      </c>
      <c r="AJ10" s="59">
        <f>'M2'!F8*1</f>
        <v>35.132300000000001</v>
      </c>
      <c r="AK10" s="59">
        <f>'M2'!G8*1</f>
        <v>50</v>
      </c>
      <c r="AL10" s="59">
        <f>'M2'!H8*1</f>
        <v>41.436999999999998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-15.821400000000004</v>
      </c>
      <c r="D11" s="52">
        <f>N11</f>
        <v>-13.531000000000006</v>
      </c>
      <c r="E11" s="24">
        <f>T11</f>
        <v>-9.9128000000000043</v>
      </c>
      <c r="F11" s="24">
        <f>P11</f>
        <v>4.1442900000000007</v>
      </c>
      <c r="G11" s="73" t="str">
        <f>CONCATENATE(M12,"
(40 ~ 100)")</f>
        <v>自信
(40 ~ 100)</v>
      </c>
      <c r="H11" s="24">
        <f>R12</f>
        <v>-1.599499999999999</v>
      </c>
      <c r="I11" s="52">
        <f>N12</f>
        <v>-3.6143999999999963</v>
      </c>
      <c r="J11" s="24">
        <f>T12</f>
        <v>-2.5622999999999934</v>
      </c>
      <c r="K11" s="25">
        <f>P12</f>
        <v>-2.97445</v>
      </c>
      <c r="L11" s="4"/>
      <c r="M11" s="27" t="str">
        <f>lang!B18</f>
        <v>平衡</v>
      </c>
      <c r="N11" s="59">
        <f t="shared" si="4"/>
        <v>-13.531000000000006</v>
      </c>
      <c r="O11" s="59">
        <f t="shared" si="5"/>
        <v>1.4013299999999997</v>
      </c>
      <c r="P11" s="59">
        <f t="shared" si="6"/>
        <v>4.1442900000000007</v>
      </c>
      <c r="Q11" s="59">
        <f t="shared" si="7"/>
        <v>0</v>
      </c>
      <c r="R11" s="59">
        <f t="shared" si="8"/>
        <v>-15.821400000000004</v>
      </c>
      <c r="S11" s="59">
        <f t="shared" si="9"/>
        <v>0</v>
      </c>
      <c r="T11" s="59">
        <f t="shared" si="10"/>
        <v>-9.9128000000000043</v>
      </c>
      <c r="U11" s="14"/>
      <c r="V11" s="27" t="str">
        <f t="shared" si="11"/>
        <v>平衡</v>
      </c>
      <c r="W11" s="59">
        <f>'M1'!B9*1</f>
        <v>67.251800000000003</v>
      </c>
      <c r="X11" s="59">
        <f>'M1'!C9*1</f>
        <v>4.1004100000000001</v>
      </c>
      <c r="Y11" s="59">
        <f>'M1'!D9*1</f>
        <v>6.0971099999999998</v>
      </c>
      <c r="Z11" s="59">
        <f>'M1'!E9*1</f>
        <v>50</v>
      </c>
      <c r="AA11" s="59">
        <f>'M1'!F9*1</f>
        <v>61.580500000000001</v>
      </c>
      <c r="AB11" s="59">
        <f>'M1'!G9*1</f>
        <v>100</v>
      </c>
      <c r="AC11" s="59">
        <f>'M1'!H9*1</f>
        <v>76.593000000000004</v>
      </c>
      <c r="AE11" s="27" t="str">
        <f t="shared" si="12"/>
        <v>平衡</v>
      </c>
      <c r="AF11" s="59">
        <f>'M2'!B9*1</f>
        <v>53.720799999999997</v>
      </c>
      <c r="AG11" s="59">
        <f>'M2'!C9*1</f>
        <v>5.5017399999999999</v>
      </c>
      <c r="AH11" s="59">
        <f>'M2'!D9*1</f>
        <v>10.241400000000001</v>
      </c>
      <c r="AI11" s="59">
        <f>'M2'!E9*1</f>
        <v>50</v>
      </c>
      <c r="AJ11" s="59">
        <f>'M2'!F9*1</f>
        <v>45.759099999999997</v>
      </c>
      <c r="AK11" s="59">
        <f>'M2'!G9*1</f>
        <v>100</v>
      </c>
      <c r="AL11" s="59">
        <f>'M2'!H9*1</f>
        <v>66.680199999999999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14.482419999999999</v>
      </c>
      <c r="D12" s="51">
        <f>N13</f>
        <v>-1.3818999999999981</v>
      </c>
      <c r="E12" s="53">
        <f>T13</f>
        <v>-0.99950000000000117</v>
      </c>
      <c r="F12" s="53">
        <f>P13</f>
        <v>-20.348659999999999</v>
      </c>
      <c r="G12" s="73" t="str">
        <f>CONCATENATE(M14,"
(50 ~ 100)")</f>
        <v>自我调节
(50 ~ 100)</v>
      </c>
      <c r="H12" s="24">
        <f>R14</f>
        <v>-6.3692999999999955</v>
      </c>
      <c r="I12" s="52">
        <f>N14</f>
        <v>-7.0893999999999977</v>
      </c>
      <c r="J12" s="24">
        <f>T14</f>
        <v>-10.753499999999995</v>
      </c>
      <c r="K12" s="25">
        <f>P14</f>
        <v>-1.7976999999999999</v>
      </c>
      <c r="L12" s="4"/>
      <c r="M12" s="27" t="str">
        <f>lang!B19</f>
        <v>自信</v>
      </c>
      <c r="N12" s="59">
        <f t="shared" si="4"/>
        <v>-3.6143999999999963</v>
      </c>
      <c r="O12" s="59">
        <f t="shared" si="5"/>
        <v>-2.1489100000000003</v>
      </c>
      <c r="P12" s="59">
        <f t="shared" si="6"/>
        <v>-2.97445</v>
      </c>
      <c r="Q12" s="59">
        <f t="shared" si="7"/>
        <v>0</v>
      </c>
      <c r="R12" s="59">
        <f t="shared" si="8"/>
        <v>-1.599499999999999</v>
      </c>
      <c r="S12" s="59">
        <f t="shared" si="9"/>
        <v>0</v>
      </c>
      <c r="T12" s="59">
        <f t="shared" si="10"/>
        <v>-2.5622999999999934</v>
      </c>
      <c r="U12" s="15"/>
      <c r="V12" s="27" t="str">
        <f t="shared" si="11"/>
        <v>自信</v>
      </c>
      <c r="W12" s="59">
        <f>'M1'!B10*1</f>
        <v>66.849199999999996</v>
      </c>
      <c r="X12" s="59">
        <f>'M1'!C10*1</f>
        <v>4.9570800000000004</v>
      </c>
      <c r="Y12" s="59">
        <f>'M1'!D10*1</f>
        <v>7.4153200000000004</v>
      </c>
      <c r="Z12" s="59">
        <f>'M1'!E10*1</f>
        <v>40</v>
      </c>
      <c r="AA12" s="59">
        <f>'M1'!F10*1</f>
        <v>57.9741</v>
      </c>
      <c r="AB12" s="59">
        <f>'M1'!G10*1</f>
        <v>100</v>
      </c>
      <c r="AC12" s="59">
        <f>'M1'!H10*1</f>
        <v>74.356499999999997</v>
      </c>
      <c r="AE12" s="27" t="str">
        <f t="shared" si="12"/>
        <v>自信</v>
      </c>
      <c r="AF12" s="59">
        <f>'M2'!B10*1</f>
        <v>63.2348</v>
      </c>
      <c r="AG12" s="59">
        <f>'M2'!C10*1</f>
        <v>2.8081700000000001</v>
      </c>
      <c r="AH12" s="59">
        <f>'M2'!D10*1</f>
        <v>4.4408700000000003</v>
      </c>
      <c r="AI12" s="59">
        <f>'M2'!E10*1</f>
        <v>40</v>
      </c>
      <c r="AJ12" s="59">
        <f>'M2'!F10*1</f>
        <v>56.374600000000001</v>
      </c>
      <c r="AK12" s="59">
        <f>'M2'!G10*1</f>
        <v>100</v>
      </c>
      <c r="AL12" s="59">
        <f>'M2'!H10*1</f>
        <v>71.794200000000004</v>
      </c>
    </row>
    <row r="13" spans="2:38" ht="25.5" customHeight="1" thickBot="1">
      <c r="B13" s="72" t="str">
        <f>CONCATENATE(M15,"
(10 ~ 25)")</f>
        <v>抑郁
(10 ~ 25)</v>
      </c>
      <c r="C13" s="54">
        <f>R15</f>
        <v>1.8744000000000014</v>
      </c>
      <c r="D13" s="55">
        <f>N15</f>
        <v>2.1642999999999972</v>
      </c>
      <c r="E13" s="56">
        <f>T15</f>
        <v>2.0472000000000001</v>
      </c>
      <c r="F13" s="56">
        <f>P15</f>
        <v>-4.7920699999999989</v>
      </c>
      <c r="G13" s="74" t="str">
        <f>CONCATENATE(M16,"
(10 ~ 50)")</f>
        <v>神经质
(10 ~ 50)</v>
      </c>
      <c r="H13" s="54">
        <f>R16</f>
        <v>1.6011199999999999</v>
      </c>
      <c r="I13" s="55">
        <f>N16</f>
        <v>-7.688799999999997</v>
      </c>
      <c r="J13" s="56">
        <f>T16</f>
        <v>-5.0006999999999984</v>
      </c>
      <c r="K13" s="57">
        <f>P16</f>
        <v>9.3688000000000002</v>
      </c>
      <c r="M13" s="27" t="str">
        <f>lang!B20</f>
        <v>活力</v>
      </c>
      <c r="N13" s="59">
        <f t="shared" si="4"/>
        <v>-1.3818999999999981</v>
      </c>
      <c r="O13" s="59">
        <f t="shared" si="5"/>
        <v>-5.1820700000000004</v>
      </c>
      <c r="P13" s="59">
        <f t="shared" si="6"/>
        <v>-20.348659999999999</v>
      </c>
      <c r="Q13" s="59">
        <f t="shared" si="7"/>
        <v>0</v>
      </c>
      <c r="R13" s="59">
        <f t="shared" si="8"/>
        <v>14.482419999999999</v>
      </c>
      <c r="S13" s="59">
        <f t="shared" si="9"/>
        <v>0</v>
      </c>
      <c r="T13" s="59">
        <f t="shared" si="10"/>
        <v>-0.99950000000000117</v>
      </c>
      <c r="U13" s="14"/>
      <c r="V13" s="27" t="str">
        <f t="shared" si="11"/>
        <v>活力</v>
      </c>
      <c r="W13" s="59">
        <f>'M1'!B11*1</f>
        <v>25.0321</v>
      </c>
      <c r="X13" s="59">
        <f>'M1'!C11*1</f>
        <v>6.6942000000000004</v>
      </c>
      <c r="Y13" s="59">
        <f>'M1'!D11*1</f>
        <v>26.7424</v>
      </c>
      <c r="Z13" s="59">
        <f>'M1'!E11*1</f>
        <v>10</v>
      </c>
      <c r="AA13" s="59">
        <f>'M1'!F11*1</f>
        <v>6.6550799999999999</v>
      </c>
      <c r="AB13" s="59">
        <f>'M1'!G11*1</f>
        <v>50</v>
      </c>
      <c r="AC13" s="59">
        <f>'M1'!H11*1</f>
        <v>28.144200000000001</v>
      </c>
      <c r="AE13" s="27" t="str">
        <f t="shared" si="12"/>
        <v>活力</v>
      </c>
      <c r="AF13" s="59">
        <f>'M2'!B11*1</f>
        <v>23.650200000000002</v>
      </c>
      <c r="AG13" s="59">
        <f>'M2'!C11*1</f>
        <v>1.51213</v>
      </c>
      <c r="AH13" s="59">
        <f>'M2'!D11*1</f>
        <v>6.3937400000000002</v>
      </c>
      <c r="AI13" s="59">
        <f>'M2'!E11*1</f>
        <v>10</v>
      </c>
      <c r="AJ13" s="59">
        <f>'M2'!F11*1</f>
        <v>21.137499999999999</v>
      </c>
      <c r="AK13" s="59">
        <f>'M2'!G11*1</f>
        <v>50</v>
      </c>
      <c r="AL13" s="59">
        <f>'M2'!H11*1</f>
        <v>27.1447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-7.0893999999999977</v>
      </c>
      <c r="O14" s="59">
        <f t="shared" si="5"/>
        <v>-1.5156000000000001</v>
      </c>
      <c r="P14" s="59">
        <f t="shared" si="6"/>
        <v>-1.7976999999999999</v>
      </c>
      <c r="Q14" s="59">
        <f t="shared" si="7"/>
        <v>0</v>
      </c>
      <c r="R14" s="59">
        <f t="shared" si="8"/>
        <v>-6.3692999999999955</v>
      </c>
      <c r="S14" s="59">
        <f t="shared" si="9"/>
        <v>0</v>
      </c>
      <c r="T14" s="59">
        <f t="shared" si="10"/>
        <v>-10.753499999999995</v>
      </c>
      <c r="U14" s="14"/>
      <c r="V14" s="27" t="str">
        <f t="shared" si="11"/>
        <v>自我调节</v>
      </c>
      <c r="W14" s="59">
        <f>'M1'!B12*1</f>
        <v>67.153700000000001</v>
      </c>
      <c r="X14" s="59">
        <f>'M1'!C12*1</f>
        <v>4.1282399999999999</v>
      </c>
      <c r="Y14" s="59">
        <f>'M1'!D12*1</f>
        <v>6.1474399999999996</v>
      </c>
      <c r="Z14" s="59">
        <f>'M1'!E12*1</f>
        <v>50</v>
      </c>
      <c r="AA14" s="59">
        <f>'M1'!F12*1</f>
        <v>60.490299999999998</v>
      </c>
      <c r="AB14" s="59">
        <f>'M1'!G12*1</f>
        <v>100</v>
      </c>
      <c r="AC14" s="59">
        <f>'M1'!H12*1</f>
        <v>74.693299999999994</v>
      </c>
      <c r="AE14" s="27" t="str">
        <f t="shared" si="12"/>
        <v>自我调节</v>
      </c>
      <c r="AF14" s="59">
        <f>'M2'!B12*1</f>
        <v>60.064300000000003</v>
      </c>
      <c r="AG14" s="59">
        <f>'M2'!C12*1</f>
        <v>2.6126399999999999</v>
      </c>
      <c r="AH14" s="59">
        <f>'M2'!D12*1</f>
        <v>4.3497399999999997</v>
      </c>
      <c r="AI14" s="59">
        <f>'M2'!E12*1</f>
        <v>50</v>
      </c>
      <c r="AJ14" s="59">
        <f>'M2'!F12*1</f>
        <v>54.121000000000002</v>
      </c>
      <c r="AK14" s="59">
        <f>'M2'!G12*1</f>
        <v>100</v>
      </c>
      <c r="AL14" s="59">
        <f>'M2'!H12*1</f>
        <v>63.939799999999998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2.1642999999999972</v>
      </c>
      <c r="O15" s="59">
        <f t="shared" si="5"/>
        <v>-0.76887999999999979</v>
      </c>
      <c r="P15" s="59">
        <f t="shared" si="6"/>
        <v>-4.7920699999999989</v>
      </c>
      <c r="Q15" s="59">
        <f t="shared" si="7"/>
        <v>0</v>
      </c>
      <c r="R15" s="59">
        <f t="shared" si="8"/>
        <v>1.8744000000000014</v>
      </c>
      <c r="S15" s="59">
        <f t="shared" si="9"/>
        <v>0</v>
      </c>
      <c r="T15" s="59">
        <f t="shared" si="10"/>
        <v>2.0472000000000001</v>
      </c>
      <c r="U15" s="14"/>
      <c r="V15" s="27" t="str">
        <f t="shared" si="11"/>
        <v>抑郁</v>
      </c>
      <c r="W15" s="59">
        <f>'M1'!B13*1</f>
        <v>20.348400000000002</v>
      </c>
      <c r="X15" s="59">
        <f>'M1'!C13*1</f>
        <v>2.9140999999999999</v>
      </c>
      <c r="Y15" s="59">
        <f>'M1'!D13*1</f>
        <v>14.321</v>
      </c>
      <c r="Z15" s="59">
        <f>'M1'!E13*1</f>
        <v>10</v>
      </c>
      <c r="AA15" s="59">
        <f>'M1'!F13*1</f>
        <v>15.5685</v>
      </c>
      <c r="AB15" s="59">
        <f>'M1'!G13*1</f>
        <v>25</v>
      </c>
      <c r="AC15" s="59">
        <f>'M1'!H13*1</f>
        <v>27.4314</v>
      </c>
      <c r="AE15" s="27" t="str">
        <f t="shared" si="12"/>
        <v>抑郁</v>
      </c>
      <c r="AF15" s="59">
        <f>'M2'!B13*1</f>
        <v>22.512699999999999</v>
      </c>
      <c r="AG15" s="59">
        <f>'M2'!C13*1</f>
        <v>2.1452200000000001</v>
      </c>
      <c r="AH15" s="59">
        <f>'M2'!D13*1</f>
        <v>9.5289300000000008</v>
      </c>
      <c r="AI15" s="59">
        <f>'M2'!E13*1</f>
        <v>10</v>
      </c>
      <c r="AJ15" s="59">
        <f>'M2'!F13*1</f>
        <v>17.442900000000002</v>
      </c>
      <c r="AK15" s="59">
        <f>'M2'!G13*1</f>
        <v>25</v>
      </c>
      <c r="AL15" s="59">
        <f>'M2'!H13*1</f>
        <v>29.4786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-7.688799999999997</v>
      </c>
      <c r="O16" s="59">
        <f t="shared" si="5"/>
        <v>-0.59970999999999997</v>
      </c>
      <c r="P16" s="59">
        <f t="shared" si="6"/>
        <v>9.3688000000000002</v>
      </c>
      <c r="Q16" s="59">
        <f t="shared" si="7"/>
        <v>0</v>
      </c>
      <c r="R16" s="59">
        <f t="shared" si="8"/>
        <v>1.6011199999999999</v>
      </c>
      <c r="S16" s="59">
        <f t="shared" si="9"/>
        <v>0</v>
      </c>
      <c r="T16" s="59">
        <f t="shared" si="10"/>
        <v>-5.0006999999999984</v>
      </c>
      <c r="U16" s="15"/>
      <c r="V16" s="27" t="str">
        <f t="shared" si="11"/>
        <v>神经质</v>
      </c>
      <c r="W16" s="59">
        <f>'M1'!B14*1</f>
        <v>29.140999999999998</v>
      </c>
      <c r="X16" s="59">
        <f>'M1'!C14*1</f>
        <v>9.8902999999999999</v>
      </c>
      <c r="Y16" s="59">
        <f>'M1'!D14*1</f>
        <v>33.939399999999999</v>
      </c>
      <c r="Z16" s="59">
        <f>'M1'!E14*1</f>
        <v>10</v>
      </c>
      <c r="AA16" s="59">
        <f>'M1'!F14*1</f>
        <v>1.3661300000000001</v>
      </c>
      <c r="AB16" s="59">
        <f>'M1'!G14*1</f>
        <v>50</v>
      </c>
      <c r="AC16" s="59">
        <f>'M1'!H14*1</f>
        <v>34.125399999999999</v>
      </c>
      <c r="AE16" s="27" t="str">
        <f t="shared" si="12"/>
        <v>神经质</v>
      </c>
      <c r="AF16" s="59">
        <f>'M2'!B14*1</f>
        <v>21.452200000000001</v>
      </c>
      <c r="AG16" s="59">
        <f>'M2'!C14*1</f>
        <v>9.2905899999999999</v>
      </c>
      <c r="AH16" s="59">
        <f>'M2'!D14*1</f>
        <v>43.308199999999999</v>
      </c>
      <c r="AI16" s="59">
        <f>'M2'!E14*1</f>
        <v>10</v>
      </c>
      <c r="AJ16" s="59">
        <f>'M2'!F14*1</f>
        <v>2.9672499999999999</v>
      </c>
      <c r="AK16" s="59">
        <f>'M2'!G14*1</f>
        <v>50</v>
      </c>
      <c r="AL16" s="59">
        <f>'M2'!H14*1</f>
        <v>29.124700000000001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-6.4041749999999995</v>
      </c>
      <c r="O17" s="22">
        <f>N17/(N17+N18+N19)</f>
        <v>0.68377936866381595</v>
      </c>
      <c r="P17" s="65">
        <f>SUM(P11:P14)/4</f>
        <v>-5.2441299999999993</v>
      </c>
      <c r="Q17" s="22">
        <f>P17/(P17+P18+P19)</f>
        <v>0.27727992178827365</v>
      </c>
      <c r="R17" s="14"/>
      <c r="S17" s="14"/>
      <c r="T17" s="14"/>
      <c r="U17" s="14"/>
      <c r="V17" s="21" t="str">
        <f>M17</f>
        <v>Positive</v>
      </c>
      <c r="W17" s="65">
        <f>SUM(W11:W14)/4</f>
        <v>56.571700000000007</v>
      </c>
      <c r="X17" s="22">
        <f>W17/(W17+W18+W19)</f>
        <v>0.47220534848095641</v>
      </c>
      <c r="Y17" s="65">
        <f>SUM(Y11:Y14)/4</f>
        <v>11.6005675</v>
      </c>
      <c r="Z17" s="22">
        <f>Y17/(Y17+Y18+Y19)</f>
        <v>0.20358358015538019</v>
      </c>
      <c r="AA17" s="14"/>
      <c r="AB17" s="14"/>
      <c r="AC17" s="14"/>
      <c r="AE17" s="21" t="str">
        <f>V17</f>
        <v>Positive</v>
      </c>
      <c r="AF17" s="65">
        <f>SUM(AF11:AF14)/4</f>
        <v>50.167525000000005</v>
      </c>
      <c r="AG17" s="22">
        <f>AF17/(AF17+AF18+AF19)</f>
        <v>0.45426240630149273</v>
      </c>
      <c r="AH17" s="65">
        <f>SUM(AH11:AH14)/4</f>
        <v>6.3564375000000002</v>
      </c>
      <c r="AI17" s="22">
        <f>AH17/(AH17+AH18+AH19)</f>
        <v>0.16697114606993035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-0.19942499999999974</v>
      </c>
      <c r="O18" s="22">
        <f>N18/(N17+N18+N19)</f>
        <v>2.129278175499285E-2</v>
      </c>
      <c r="P18" s="18">
        <f>SUM(P7:P10)/4</f>
        <v>-15.957000000000001</v>
      </c>
      <c r="Q18" s="22">
        <f>P18/(P17+P18+P19)</f>
        <v>0.84371587126472525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38.486775000000002</v>
      </c>
      <c r="X18" s="22">
        <f>W18/(W17+W18+W19)</f>
        <v>0.32125004199596546</v>
      </c>
      <c r="Y18" s="18">
        <f>SUM(Y7:Y10)/4</f>
        <v>21.251075</v>
      </c>
      <c r="Z18" s="22">
        <f>Y18/(Y17+Y18+Y19)</f>
        <v>0.37294467970213496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38.287350000000004</v>
      </c>
      <c r="AG18" s="22">
        <f>AF18/(AF17+AF18+AF19)</f>
        <v>0.34668849503553256</v>
      </c>
      <c r="AH18" s="18">
        <f>SUM(AH7:AH10)/4</f>
        <v>5.2940750000000003</v>
      </c>
      <c r="AI18" s="22">
        <f>AH18/(AH17+AH18+AH19)</f>
        <v>0.13906496683561612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-2.7622499999999999</v>
      </c>
      <c r="O19" s="22">
        <f>N19/(N17+N18+N19)</f>
        <v>0.29492784958119128</v>
      </c>
      <c r="P19" s="18">
        <f>(P15+P16)/2</f>
        <v>2.2883650000000006</v>
      </c>
      <c r="Q19" s="22">
        <f>P19/(P17+P18+P19)</f>
        <v>-0.12099579305299889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24.744700000000002</v>
      </c>
      <c r="X19" s="22">
        <f>W19/(W17+W18+W19)</f>
        <v>0.20654460952307815</v>
      </c>
      <c r="Y19" s="18">
        <f>(Y15+Y16)/2</f>
        <v>24.130199999999999</v>
      </c>
      <c r="Z19" s="22">
        <f>Y19/(Y17+Y18+Y19)</f>
        <v>0.42347174014248484</v>
      </c>
      <c r="AA19" s="14"/>
      <c r="AB19" s="14"/>
      <c r="AC19" s="14"/>
      <c r="AE19" s="21" t="str">
        <f t="shared" si="14"/>
        <v>Physiological</v>
      </c>
      <c r="AF19" s="18">
        <f>(AF15+AF16)/2</f>
        <v>21.98245</v>
      </c>
      <c r="AG19" s="22">
        <f>AF19/(AF17+AF18+AF19)</f>
        <v>0.19904909866297466</v>
      </c>
      <c r="AH19" s="18">
        <f>(AH15+AH16)/2</f>
        <v>26.418565000000001</v>
      </c>
      <c r="AI19" s="22">
        <f>AH19/(AH17+AH18+AH19)</f>
        <v>0.69396388709445345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1.68/1.79</v>
      </c>
      <c r="D24" s="44" t="str">
        <f>lang!B11</f>
        <v>频率方差</v>
      </c>
      <c r="E24" s="142" t="str">
        <f ca="1">CONCATENATE(ROUND('FH1'!L3,2),"/",ROUND('FH2'!L3,2))</f>
        <v>0.68/0.62</v>
      </c>
      <c r="F24" s="143"/>
      <c r="G24" s="134" t="str">
        <f>lang!B12</f>
        <v>生理变化率</v>
      </c>
      <c r="H24" s="135"/>
      <c r="I24" s="62" t="str">
        <f ca="1">CONCATENATE(info!M7,"-",info!M8)</f>
        <v>32.5-58.6</v>
      </c>
      <c r="J24" s="42" t="str">
        <f>lang!B13</f>
        <v>千卡l/分钟</v>
      </c>
      <c r="K24" s="41" t="str">
        <f ca="1">CONCATENATE(info!M5,"-",info!M6)</f>
        <v>1.9-4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-1.0000000000000009</v>
      </c>
      <c r="F27" s="164"/>
      <c r="G27" s="178" t="str">
        <f>lang!B33</f>
        <v>稳定性</v>
      </c>
      <c r="H27" s="179"/>
      <c r="I27" s="180"/>
      <c r="J27" s="181">
        <f>dM!B19*100</f>
        <v>-3.3293999999999935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-0.93245515064357953</v>
      </c>
      <c r="C2">
        <f t="array" aca="1" ref="C2" ca="1">CORREL(FT_E02,FT_PH02)</f>
        <v>-0.95465533080979503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1.9385300000000001</v>
      </c>
      <c r="G2" s="61">
        <f>IF(FT!B2&lt;&gt;"",FT!B2*100,"")</f>
        <v>58.647400000000005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2.0104600000000001</v>
      </c>
      <c r="G3" s="61">
        <f>IF(FT!B3&lt;&gt;"",FT!B3*100,"")</f>
        <v>57.411599999999993</v>
      </c>
      <c r="H3" s="61">
        <f t="shared" ref="H3:H66" si="1">(IF(F3&lt;&gt;"",1,""))</f>
        <v>1</v>
      </c>
      <c r="I3" t="str">
        <f>IF(FT!B3&lt;&gt;"",FT!E3,"")</f>
        <v>1 [0.406784]</v>
      </c>
      <c r="J3">
        <f>IF(FT!B3&lt;&gt;"",FT!C3,"")</f>
        <v>0.40678399999999998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0.41042260810810799</v>
      </c>
      <c r="V3">
        <f ca="1">AVERAGE(OFFSET(FT!B2,info!$L$3/2,0,info!$L$3/2,1))</f>
        <v>0.36567283783783777</v>
      </c>
      <c r="W3">
        <f ca="1">AVERAGE(OFFSET(FT!A2,0,0,info!$L$3/2,1))</f>
        <v>0.3503267432432432</v>
      </c>
      <c r="X3">
        <f ca="1">AVERAGE(OFFSET(FT!A2,info!$L$3/2,0,info!$L$3/2,1))</f>
        <v>0.36831781081081072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2.0834099999999998</v>
      </c>
      <c r="G4" s="61">
        <f>IF(FT!B4&lt;&gt;"",FT!B4*100,"")</f>
        <v>56.196300000000001</v>
      </c>
      <c r="H4" s="61">
        <f t="shared" si="1"/>
        <v>1</v>
      </c>
      <c r="I4" t="str">
        <f>IF(FT!B4&lt;&gt;"",FT!E4,"")</f>
        <v>1 [0.808689]</v>
      </c>
      <c r="J4">
        <f>IF(FT!B4&lt;&gt;"",FT!C4,"")</f>
        <v>0.80868899999999999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14.937075</v>
      </c>
      <c r="V4">
        <f>U4*3</f>
        <v>44.811225</v>
      </c>
      <c r="W4">
        <f>U4</f>
        <v>14.937075</v>
      </c>
      <c r="X4">
        <f>V4</f>
        <v>44.811225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2.1602999999999999</v>
      </c>
      <c r="G5" s="61">
        <f>IF(FT!B5&lt;&gt;"",FT!B5*100,"")</f>
        <v>54.827499999999993</v>
      </c>
      <c r="H5" s="61">
        <f t="shared" si="1"/>
        <v>1</v>
      </c>
      <c r="I5" t="str">
        <f>IF(FT!B5&lt;&gt;"",FT!E5,"")</f>
        <v>1 [1.214582]</v>
      </c>
      <c r="J5">
        <f>IF(FT!B5&lt;&gt;"",FT!C5,"")</f>
        <v>1.21458</v>
      </c>
      <c r="K5" t="s">
        <v>53</v>
      </c>
      <c r="L5" s="63">
        <f ca="1">MIN(FT_E)</f>
        <v>1.9385300000000001</v>
      </c>
      <c r="M5" s="63">
        <f ca="1">ROUND(L5,1)</f>
        <v>1.9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41.042260810810802</v>
      </c>
      <c r="V5">
        <f ca="1">V3*100</f>
        <v>36.567283783783779</v>
      </c>
      <c r="W5">
        <f ca="1">W3*10</f>
        <v>3.5032674324324322</v>
      </c>
      <c r="X5">
        <f ca="1">X3*10</f>
        <v>3.6831781081081072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2.2392300000000001</v>
      </c>
      <c r="G6" s="61">
        <f>IF(FT!B6&lt;&gt;"",FT!B6*100,"")</f>
        <v>53.3996</v>
      </c>
      <c r="H6" s="61">
        <f t="shared" si="1"/>
        <v>1</v>
      </c>
      <c r="I6" t="str">
        <f>IF(FT!B6&lt;&gt;"",FT!E6,"")</f>
        <v>1 [1.621651]</v>
      </c>
      <c r="J6">
        <f>IF(FT!B6&lt;&gt;"",FT!C6,"")</f>
        <v>1.62165</v>
      </c>
      <c r="K6" t="s">
        <v>54</v>
      </c>
      <c r="L6" s="63">
        <f ca="1">MAX(FT_E)</f>
        <v>4.0414399999999997</v>
      </c>
      <c r="M6" s="63">
        <f ca="1">ROUND(L6,1)</f>
        <v>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2.3199000000000001</v>
      </c>
      <c r="G7" s="61">
        <f>IF(FT!B7&lt;&gt;"",FT!B7*100,"")</f>
        <v>51.956800000000001</v>
      </c>
      <c r="H7" s="61">
        <f t="shared" si="1"/>
        <v>1</v>
      </c>
      <c r="I7" t="str">
        <f>IF(FT!B7&lt;&gt;"",FT!E7,"")</f>
        <v>1 [2.031428]</v>
      </c>
      <c r="J7">
        <f>IF(FT!B7&lt;&gt;"",FT!C7,"")</f>
        <v>2.0314299999999998</v>
      </c>
      <c r="K7" t="s">
        <v>55</v>
      </c>
      <c r="L7" s="63">
        <f ca="1">MIN(FT_PH)</f>
        <v>32.496600000000001</v>
      </c>
      <c r="M7" s="63">
        <f ca="1">ROUND(L7,1)</f>
        <v>32.5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5836</v>
      </c>
      <c r="D8" s="61">
        <f>FH!B8*1</f>
        <v>5836</v>
      </c>
      <c r="E8">
        <f t="shared" si="3"/>
        <v>6</v>
      </c>
      <c r="F8" s="61">
        <f>IF(FT!A8&lt;&gt;"",FT!A8*10,"")</f>
        <v>2.4032800000000001</v>
      </c>
      <c r="G8" s="61">
        <f>IF(FT!B8&lt;&gt;"",FT!B8*100,"")</f>
        <v>50.511300000000006</v>
      </c>
      <c r="H8" s="61">
        <f t="shared" si="1"/>
        <v>1</v>
      </c>
      <c r="I8" t="str">
        <f>IF(FT!B8&lt;&gt;"",FT!E8,"")</f>
        <v>1 [2.432365]</v>
      </c>
      <c r="J8">
        <f>IF(FT!B8&lt;&gt;"",FT!C8,"")</f>
        <v>2.4323600000000001</v>
      </c>
      <c r="K8" t="s">
        <v>56</v>
      </c>
      <c r="L8" s="63">
        <f ca="1">MAX(FT_PH)</f>
        <v>58.647400000000005</v>
      </c>
      <c r="M8" s="63">
        <f ca="1">ROUND(L8,1)</f>
        <v>58.6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2.4853800000000001</v>
      </c>
      <c r="G9" s="61">
        <f>IF(FT!B9&lt;&gt;"",FT!B9*100,"")</f>
        <v>49.145499999999998</v>
      </c>
      <c r="H9" s="61">
        <f t="shared" si="1"/>
        <v>1</v>
      </c>
      <c r="I9" t="str">
        <f>IF(FT!B9&lt;&gt;"",FT!E9,"")</f>
        <v>1 [2.842261]</v>
      </c>
      <c r="J9">
        <f>IF(FT!B9&lt;&gt;"",FT!C9,"")</f>
        <v>2.84226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8007</v>
      </c>
      <c r="D10" s="61">
        <f>FH!B10*1</f>
        <v>8007</v>
      </c>
      <c r="E10">
        <f t="shared" si="3"/>
        <v>8</v>
      </c>
      <c r="F10" s="61">
        <f>IF(FT!A10&lt;&gt;"",FT!A10*10,"")</f>
        <v>2.5671400000000002</v>
      </c>
      <c r="G10" s="61">
        <f>IF(FT!B10&lt;&gt;"",FT!B10*100,"")</f>
        <v>47.886000000000003</v>
      </c>
      <c r="H10" s="61">
        <f t="shared" si="1"/>
        <v>1</v>
      </c>
      <c r="I10" t="str">
        <f>IF(FT!B10&lt;&gt;"",FT!E10,"")</f>
        <v>1 [3.246184]</v>
      </c>
      <c r="J10">
        <f>IF(FT!B10&lt;&gt;"",FT!C10,"")</f>
        <v>3.2461799999999998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2.6507900000000002</v>
      </c>
      <c r="G11" s="61">
        <f>IF(FT!B11&lt;&gt;"",FT!B11*100,"")</f>
        <v>46.616</v>
      </c>
      <c r="H11" s="61">
        <f t="shared" si="1"/>
        <v>1</v>
      </c>
      <c r="I11" t="str">
        <f>IF(FT!B11&lt;&gt;"",FT!E11,"")</f>
        <v>1 [3.656099]</v>
      </c>
      <c r="J11">
        <f>IF(FT!B11&lt;&gt;"",FT!C11,"")</f>
        <v>3.6560999999999999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2.73264</v>
      </c>
      <c r="G12" s="61">
        <f>IF(FT!B12&lt;&gt;"",FT!B12*100,"")</f>
        <v>45.452799999999996</v>
      </c>
      <c r="H12" s="61">
        <f t="shared" si="1"/>
        <v>1</v>
      </c>
      <c r="I12" t="str">
        <f>IF(FT!B12&lt;&gt;"",FT!E12,"")</f>
        <v>1 [4.057961]</v>
      </c>
      <c r="J12">
        <f>IF(FT!B12&lt;&gt;"",FT!C12,"")</f>
        <v>4.0579599999999996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11127</v>
      </c>
      <c r="D13" s="61">
        <f>FH!B13*1</f>
        <v>11127</v>
      </c>
      <c r="E13">
        <f t="shared" si="3"/>
        <v>11</v>
      </c>
      <c r="F13" s="61">
        <f>IF(FT!A13&lt;&gt;"",FT!A13*10,"")</f>
        <v>2.8128500000000001</v>
      </c>
      <c r="G13" s="61">
        <f>IF(FT!B13&lt;&gt;"",FT!B13*100,"")</f>
        <v>44.433399999999999</v>
      </c>
      <c r="H13" s="61">
        <f t="shared" si="1"/>
        <v>1</v>
      </c>
      <c r="I13" t="str">
        <f>IF(FT!B13&lt;&gt;"",FT!E13,"")</f>
        <v>1 [4.462867]</v>
      </c>
      <c r="J13">
        <f>IF(FT!B13&lt;&gt;"",FT!C13,"")</f>
        <v>4.4628699999999997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2.8969299999999998</v>
      </c>
      <c r="G14" s="61">
        <f>IF(FT!B14&lt;&gt;"",FT!B14*100,"")</f>
        <v>43.347000000000001</v>
      </c>
      <c r="H14" s="61">
        <f t="shared" si="1"/>
        <v>1</v>
      </c>
      <c r="I14" t="str">
        <f>IF(FT!B14&lt;&gt;"",FT!E14,"")</f>
        <v>1 [4.878306]</v>
      </c>
      <c r="J14">
        <f>IF(FT!B14&lt;&gt;"",FT!C14,"")</f>
        <v>4.8783099999999999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16567</v>
      </c>
      <c r="D15" s="61">
        <f>FH!B15*1</f>
        <v>16567</v>
      </c>
      <c r="E15">
        <f t="shared" si="3"/>
        <v>13</v>
      </c>
      <c r="F15" s="61">
        <f>IF(FT!A15&lt;&gt;"",FT!A15*10,"")</f>
        <v>2.9825400000000002</v>
      </c>
      <c r="G15" s="61">
        <f>IF(FT!B15&lt;&gt;"",FT!B15*100,"")</f>
        <v>42.313299999999998</v>
      </c>
      <c r="H15" s="61">
        <f t="shared" si="1"/>
        <v>1</v>
      </c>
      <c r="I15" t="str">
        <f>IF(FT!B15&lt;&gt;"",FT!E15,"")</f>
        <v>1 [5.278682]</v>
      </c>
      <c r="J15">
        <f>IF(FT!B15&lt;&gt;"",FT!C15,"")</f>
        <v>5.2786799999999996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3.0654599999999999</v>
      </c>
      <c r="G16" s="61">
        <f>IF(FT!B16&lt;&gt;"",FT!B16*100,"")</f>
        <v>41.411200000000001</v>
      </c>
      <c r="H16" s="61">
        <f t="shared" si="1"/>
        <v>1</v>
      </c>
      <c r="I16" t="str">
        <f>IF(FT!B16&lt;&gt;"",FT!E16,"")</f>
        <v>1 [5.684595]</v>
      </c>
      <c r="J16">
        <f>IF(FT!B16&lt;&gt;"",FT!C16,"")</f>
        <v>5.68459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3.1467400000000003</v>
      </c>
      <c r="G17" s="61">
        <f>IF(FT!B17&lt;&gt;"",FT!B17*100,"")</f>
        <v>40.646100000000004</v>
      </c>
      <c r="H17" s="61">
        <f t="shared" si="1"/>
        <v>1</v>
      </c>
      <c r="I17" t="str">
        <f>IF(FT!B17&lt;&gt;"",FT!E17,"")</f>
        <v>1 [6.089706]</v>
      </c>
      <c r="J17">
        <f>IF(FT!B17&lt;&gt;"",FT!C17,"")</f>
        <v>6.0897100000000002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19641</v>
      </c>
      <c r="D18" s="61">
        <f>FH!B18*1</f>
        <v>19641</v>
      </c>
      <c r="E18">
        <f t="shared" si="3"/>
        <v>16</v>
      </c>
      <c r="F18" s="61">
        <f>IF(FT!A18&lt;&gt;"",FT!A18*10,"")</f>
        <v>3.2267299999999999</v>
      </c>
      <c r="G18" s="61">
        <f>IF(FT!B18&lt;&gt;"",FT!B18*100,"")</f>
        <v>39.852900000000005</v>
      </c>
      <c r="H18" s="61">
        <f t="shared" si="1"/>
        <v>1</v>
      </c>
      <c r="I18" t="str">
        <f>IF(FT!B18&lt;&gt;"",FT!E18,"")</f>
        <v>1 [6.497465]</v>
      </c>
      <c r="J18">
        <f>IF(FT!B18&lt;&gt;"",FT!C18,"")</f>
        <v>6.4974699999999999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3.3024900000000001</v>
      </c>
      <c r="G19" s="61">
        <f>IF(FT!B19&lt;&gt;"",FT!B19*100,"")</f>
        <v>39.168300000000002</v>
      </c>
      <c r="H19" s="61">
        <f t="shared" si="1"/>
        <v>1</v>
      </c>
      <c r="I19" t="str">
        <f>IF(FT!B19&lt;&gt;"",FT!E19,"")</f>
        <v>1 [6.901588]</v>
      </c>
      <c r="J19">
        <f>IF(FT!B19&lt;&gt;"",FT!C19,"")</f>
        <v>6.9015899999999997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3.3711099999999998</v>
      </c>
      <c r="G20" s="61">
        <f>IF(FT!B20&lt;&gt;"",FT!B20*100,"")</f>
        <v>38.727899999999998</v>
      </c>
      <c r="H20" s="61">
        <f t="shared" si="1"/>
        <v>1</v>
      </c>
      <c r="I20" t="str">
        <f>IF(FT!B20&lt;&gt;"",FT!E20,"")</f>
        <v>1 [7.313326]</v>
      </c>
      <c r="J20">
        <f>IF(FT!B20&lt;&gt;"",FT!C20,"")</f>
        <v>7.3133299999999997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21875</v>
      </c>
      <c r="D21" s="61">
        <f>FH!B21*1</f>
        <v>21875</v>
      </c>
      <c r="E21">
        <f t="shared" si="3"/>
        <v>19</v>
      </c>
      <c r="F21" s="61">
        <f>IF(FT!A21&lt;&gt;"",FT!A21*10,"")</f>
        <v>3.4361599999999997</v>
      </c>
      <c r="G21" s="61">
        <f>IF(FT!B21&lt;&gt;"",FT!B21*100,"")</f>
        <v>38.401000000000003</v>
      </c>
      <c r="H21" s="61">
        <f t="shared" si="1"/>
        <v>1</v>
      </c>
      <c r="I21" t="str">
        <f>IF(FT!B21&lt;&gt;"",FT!E21,"")</f>
        <v>1 [7.719155]</v>
      </c>
      <c r="J21">
        <f>IF(FT!B21&lt;&gt;"",FT!C21,"")</f>
        <v>7.71915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3.4972799999999999</v>
      </c>
      <c r="G22" s="61">
        <f>IF(FT!B22&lt;&gt;"",FT!B22*100,"")</f>
        <v>38.224000000000004</v>
      </c>
      <c r="H22" s="61">
        <f t="shared" si="1"/>
        <v>1</v>
      </c>
      <c r="I22" t="str">
        <f>IF(FT!B22&lt;&gt;"",FT!E22,"")</f>
        <v>1 [8.124128]</v>
      </c>
      <c r="J22">
        <f>IF(FT!B22&lt;&gt;"",FT!C22,"")</f>
        <v>8.1241299999999992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27792</v>
      </c>
      <c r="D23" s="61">
        <f>FH!B23*1</f>
        <v>27792</v>
      </c>
      <c r="E23">
        <f t="shared" si="3"/>
        <v>21</v>
      </c>
      <c r="F23" s="61">
        <f>IF(FT!A23&lt;&gt;"",FT!A23*10,"")</f>
        <v>3.5520899999999997</v>
      </c>
      <c r="G23" s="61">
        <f>IF(FT!B23&lt;&gt;"",FT!B23*100,"")</f>
        <v>38.136600000000001</v>
      </c>
      <c r="H23" s="61">
        <f t="shared" si="1"/>
        <v>1</v>
      </c>
      <c r="I23" t="str">
        <f>IF(FT!B23&lt;&gt;"",FT!E23,"")</f>
        <v>1 [8.529071]</v>
      </c>
      <c r="J23">
        <f>IF(FT!B23&lt;&gt;"",FT!C23,"")</f>
        <v>8.5290700000000008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3.60249</v>
      </c>
      <c r="G24" s="61">
        <f>IF(FT!B24&lt;&gt;"",FT!B24*100,"")</f>
        <v>38.001200000000004</v>
      </c>
      <c r="H24" s="61">
        <f t="shared" si="1"/>
        <v>1</v>
      </c>
      <c r="I24" t="str">
        <f>IF(FT!B24&lt;&gt;"",FT!E24,"")</f>
        <v>1 [8.936089]</v>
      </c>
      <c r="J24">
        <f>IF(FT!B24&lt;&gt;"",FT!C24,"")</f>
        <v>8.9360900000000001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3.6508500000000002</v>
      </c>
      <c r="G25" s="61">
        <f>IF(FT!B25&lt;&gt;"",FT!B25*100,"")</f>
        <v>37.817399999999999</v>
      </c>
      <c r="H25" s="61">
        <f t="shared" si="1"/>
        <v>1</v>
      </c>
      <c r="I25" t="str">
        <f>IF(FT!B25&lt;&gt;"",FT!E25,"")</f>
        <v>1 [9.344217]</v>
      </c>
      <c r="J25">
        <f>IF(FT!B25&lt;&gt;"",FT!C25,"")</f>
        <v>9.34422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35888</v>
      </c>
      <c r="D26" s="61">
        <f>FH!B26*1</f>
        <v>35888</v>
      </c>
      <c r="E26">
        <f t="shared" si="3"/>
        <v>24</v>
      </c>
      <c r="F26" s="61">
        <f>IF(FT!A26&lt;&gt;"",FT!A26*10,"")</f>
        <v>3.6956899999999999</v>
      </c>
      <c r="G26" s="61">
        <f>IF(FT!B26&lt;&gt;"",FT!B26*100,"")</f>
        <v>37.702200000000005</v>
      </c>
      <c r="H26" s="61">
        <f t="shared" si="1"/>
        <v>1</v>
      </c>
      <c r="I26" t="str">
        <f>IF(FT!B26&lt;&gt;"",FT!E26,"")</f>
        <v>1 [9.749911]</v>
      </c>
      <c r="J26">
        <f>IF(FT!B26&lt;&gt;"",FT!C26,"")</f>
        <v>9.7499099999999999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3.7355</v>
      </c>
      <c r="G27" s="61">
        <f>IF(FT!B27&lt;&gt;"",FT!B27*100,"")</f>
        <v>37.677999999999997</v>
      </c>
      <c r="H27" s="61">
        <f t="shared" si="1"/>
        <v>1</v>
      </c>
      <c r="I27" t="str">
        <f>IF(FT!B27&lt;&gt;"",FT!E27,"")</f>
        <v>1 [10.151666]</v>
      </c>
      <c r="J27">
        <f>IF(FT!B27&lt;&gt;"",FT!C27,"")</f>
        <v>10.1517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42277</v>
      </c>
      <c r="D28" s="61">
        <f>FH!B28*1</f>
        <v>42277</v>
      </c>
      <c r="E28">
        <f t="shared" si="3"/>
        <v>26</v>
      </c>
      <c r="F28" s="61">
        <f>IF(FT!A28&lt;&gt;"",FT!A28*10,"")</f>
        <v>3.7675299999999998</v>
      </c>
      <c r="G28" s="61">
        <f>IF(FT!B28&lt;&gt;"",FT!B28*100,"")</f>
        <v>37.7164</v>
      </c>
      <c r="H28" s="61">
        <f t="shared" si="1"/>
        <v>1</v>
      </c>
      <c r="I28" t="str">
        <f>IF(FT!B28&lt;&gt;"",FT!E28,"")</f>
        <v>1 [10.558620]</v>
      </c>
      <c r="J28">
        <f>IF(FT!B28&lt;&gt;"",FT!C28,"")</f>
        <v>10.5586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3.7946299999999997</v>
      </c>
      <c r="G29" s="61">
        <f>IF(FT!B29&lt;&gt;"",FT!B29*100,"")</f>
        <v>37.777999999999999</v>
      </c>
      <c r="H29" s="61">
        <f t="shared" si="1"/>
        <v>1</v>
      </c>
      <c r="I29" t="str">
        <f>IF(FT!B29&lt;&gt;"",FT!E29,"")</f>
        <v>1 [10.965663]</v>
      </c>
      <c r="J29">
        <f>IF(FT!B29&lt;&gt;"",FT!C29,"")</f>
        <v>10.9657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3.8160400000000001</v>
      </c>
      <c r="G30" s="61">
        <f>IF(FT!B30&lt;&gt;"",FT!B30*100,"")</f>
        <v>37.752699999999997</v>
      </c>
      <c r="H30" s="61">
        <f t="shared" si="1"/>
        <v>1</v>
      </c>
      <c r="I30" t="str">
        <f>IF(FT!B30&lt;&gt;"",FT!E30,"")</f>
        <v>1 [11.375421]</v>
      </c>
      <c r="J30">
        <f>IF(FT!B30&lt;&gt;"",FT!C30,"")</f>
        <v>11.375400000000001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53961</v>
      </c>
      <c r="D31" s="61">
        <f>FH!B31*1</f>
        <v>53961</v>
      </c>
      <c r="E31">
        <f t="shared" si="3"/>
        <v>29</v>
      </c>
      <c r="F31" s="61">
        <f>IF(FT!A31&lt;&gt;"",FT!A31*10,"")</f>
        <v>3.8323099999999997</v>
      </c>
      <c r="G31" s="61">
        <f>IF(FT!B31&lt;&gt;"",FT!B31*100,"")</f>
        <v>37.720100000000002</v>
      </c>
      <c r="H31" s="61">
        <f t="shared" si="1"/>
        <v>1</v>
      </c>
      <c r="I31" t="str">
        <f>IF(FT!B31&lt;&gt;"",FT!E31,"")</f>
        <v>1 [11.775818]</v>
      </c>
      <c r="J31">
        <f>IF(FT!B31&lt;&gt;"",FT!C31,"")</f>
        <v>11.7758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3.8457599999999998</v>
      </c>
      <c r="G32" s="61">
        <f>IF(FT!B32&lt;&gt;"",FT!B32*100,"")</f>
        <v>37.628499999999995</v>
      </c>
      <c r="H32" s="61">
        <f t="shared" si="1"/>
        <v>1</v>
      </c>
      <c r="I32" t="str">
        <f>IF(FT!B32&lt;&gt;"",FT!E32,"")</f>
        <v>1 [12.186266]</v>
      </c>
      <c r="J32">
        <f>IF(FT!B32&lt;&gt;"",FT!C32,"")</f>
        <v>12.186299999999999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55087</v>
      </c>
      <c r="D33" s="61">
        <f>FH!B33*1</f>
        <v>55087</v>
      </c>
      <c r="E33">
        <f t="shared" si="3"/>
        <v>31</v>
      </c>
      <c r="F33" s="61">
        <f>IF(FT!A33&lt;&gt;"",FT!A33*10,"")</f>
        <v>3.8584499999999999</v>
      </c>
      <c r="G33" s="61">
        <f>IF(FT!B33&lt;&gt;"",FT!B33*100,"")</f>
        <v>37.5229</v>
      </c>
      <c r="H33" s="61">
        <f t="shared" si="1"/>
        <v>1</v>
      </c>
      <c r="I33" t="str">
        <f>IF(FT!B33&lt;&gt;"",FT!E33,"")</f>
        <v>1 [12.593157]</v>
      </c>
      <c r="J33">
        <f>IF(FT!B33&lt;&gt;"",FT!C33,"")</f>
        <v>12.5932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3.8684000000000003</v>
      </c>
      <c r="G34" s="61">
        <f>IF(FT!B34&lt;&gt;"",FT!B34*100,"")</f>
        <v>37.462000000000003</v>
      </c>
      <c r="H34" s="61">
        <f t="shared" si="1"/>
        <v>1</v>
      </c>
      <c r="I34" t="str">
        <f>IF(FT!B34&lt;&gt;"",FT!E34,"")</f>
        <v>1 [12.996205]</v>
      </c>
      <c r="J34">
        <f>IF(FT!B34&lt;&gt;"",FT!C34,"")</f>
        <v>12.9962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3.8807700000000001</v>
      </c>
      <c r="G35" s="61">
        <f>IF(FT!B35&lt;&gt;"",FT!B35*100,"")</f>
        <v>37.3765</v>
      </c>
      <c r="H35" s="61">
        <f t="shared" si="1"/>
        <v>1</v>
      </c>
      <c r="I35" t="str">
        <f>IF(FT!B35&lt;&gt;"",FT!E35,"")</f>
        <v>1 [13.405041]</v>
      </c>
      <c r="J35">
        <f>IF(FT!B35&lt;&gt;"",FT!C35,"")</f>
        <v>13.404999999999999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62478</v>
      </c>
      <c r="D36" s="61">
        <f>FH!B36*1</f>
        <v>62478</v>
      </c>
      <c r="E36">
        <f t="shared" si="3"/>
        <v>34</v>
      </c>
      <c r="F36" s="61">
        <f>IF(FT!A36&lt;&gt;"",FT!A36*10,"")</f>
        <v>3.8925999999999998</v>
      </c>
      <c r="G36" s="61">
        <f>IF(FT!B36&lt;&gt;"",FT!B36*100,"")</f>
        <v>37.338000000000001</v>
      </c>
      <c r="H36" s="61">
        <f t="shared" si="1"/>
        <v>1</v>
      </c>
      <c r="I36" t="str">
        <f>IF(FT!B36&lt;&gt;"",FT!E36,"")</f>
        <v>1 [13.815906]</v>
      </c>
      <c r="J36">
        <f>IF(FT!B36&lt;&gt;"",FT!C36,"")</f>
        <v>13.815899999999999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3.9002300000000001</v>
      </c>
      <c r="G37" s="61">
        <f>IF(FT!B37&lt;&gt;"",FT!B37*100,"")</f>
        <v>37.4009</v>
      </c>
      <c r="H37" s="61">
        <f t="shared" si="1"/>
        <v>1</v>
      </c>
      <c r="I37" t="str">
        <f>IF(FT!B37&lt;&gt;"",FT!E37,"")</f>
        <v>1 [14.216844]</v>
      </c>
      <c r="J37">
        <f>IF(FT!B37&lt;&gt;"",FT!C37,"")</f>
        <v>14.216799999999999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3.9083200000000002</v>
      </c>
      <c r="G38" s="61">
        <f>IF(FT!B38&lt;&gt;"",FT!B38*100,"")</f>
        <v>37.450000000000003</v>
      </c>
      <c r="H38" s="61">
        <f t="shared" si="1"/>
        <v>1</v>
      </c>
      <c r="I38" t="str">
        <f>IF(FT!B38&lt;&gt;"",FT!E38,"")</f>
        <v>1 [14.623706]</v>
      </c>
      <c r="J38">
        <f>IF(FT!B38&lt;&gt;"",FT!C38,"")</f>
        <v>14.623699999999999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60737</v>
      </c>
      <c r="D39" s="61">
        <f>FH!B39*1</f>
        <v>60737</v>
      </c>
      <c r="E39">
        <f t="shared" si="3"/>
        <v>37</v>
      </c>
      <c r="F39" s="61">
        <f>IF(FT!A39&lt;&gt;"",FT!A39*10,"")</f>
        <v>3.9153500000000001</v>
      </c>
      <c r="G39" s="61">
        <f>IF(FT!B39&lt;&gt;"",FT!B39*100,"")</f>
        <v>37.528800000000004</v>
      </c>
      <c r="H39" s="61">
        <f t="shared" si="1"/>
        <v>1</v>
      </c>
      <c r="I39" t="str">
        <f>IF(FT!B39&lt;&gt;"",FT!E39,"")</f>
        <v>1 [15.025681]</v>
      </c>
      <c r="J39">
        <f>IF(FT!B39&lt;&gt;"",FT!C39,"")</f>
        <v>15.025700000000001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3.9186300000000003</v>
      </c>
      <c r="G40" s="61">
        <f>IF(FT!B40&lt;&gt;"",FT!B40*100,"")</f>
        <v>37.639600000000002</v>
      </c>
      <c r="H40" s="61">
        <f t="shared" si="1"/>
        <v>1</v>
      </c>
      <c r="I40" t="str">
        <f>IF(FT!B40&lt;&gt;"",FT!E40,"")</f>
        <v>1 [15.437558]</v>
      </c>
      <c r="J40">
        <f>IF(FT!B40&lt;&gt;"",FT!C40,"")</f>
        <v>15.4376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64650</v>
      </c>
      <c r="D41" s="61">
        <f>FH!B41*1</f>
        <v>64650</v>
      </c>
      <c r="E41">
        <f t="shared" si="3"/>
        <v>39</v>
      </c>
      <c r="F41" s="61">
        <f>IF(FT!A41&lt;&gt;"",FT!A41*10,"")</f>
        <v>3.9202199999999996</v>
      </c>
      <c r="G41" s="61">
        <f>IF(FT!B41&lt;&gt;"",FT!B41*100,"")</f>
        <v>37.781100000000002</v>
      </c>
      <c r="H41" s="61">
        <f t="shared" si="1"/>
        <v>1</v>
      </c>
      <c r="I41" t="str">
        <f>IF(FT!B41&lt;&gt;"",FT!E41,"")</f>
        <v>1 [15.844568]</v>
      </c>
      <c r="J41">
        <f>IF(FT!B41&lt;&gt;"",FT!C41,"")</f>
        <v>15.8446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3.9201599999999996</v>
      </c>
      <c r="G42" s="61">
        <f>IF(FT!B42&lt;&gt;"",FT!B42*100,"")</f>
        <v>37.956699999999998</v>
      </c>
      <c r="H42" s="61">
        <f t="shared" si="1"/>
        <v>1</v>
      </c>
      <c r="I42" t="str">
        <f>IF(FT!B42&lt;&gt;"",FT!E42,"")</f>
        <v>1 [16.250356]</v>
      </c>
      <c r="J42">
        <f>IF(FT!B42&lt;&gt;"",FT!C42,"")</f>
        <v>16.250399999999999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3.9161200000000003</v>
      </c>
      <c r="G43" s="61">
        <f>IF(FT!B43&lt;&gt;"",FT!B43*100,"")</f>
        <v>38.202199999999998</v>
      </c>
      <c r="H43" s="61">
        <f t="shared" si="1"/>
        <v>1</v>
      </c>
      <c r="I43" t="str">
        <f>IF(FT!B43&lt;&gt;"",FT!E43,"")</f>
        <v>1 [16.653401]</v>
      </c>
      <c r="J43">
        <f>IF(FT!B43&lt;&gt;"",FT!C43,"")</f>
        <v>16.653400000000001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70184</v>
      </c>
      <c r="D44" s="61">
        <f>FH!B44*1</f>
        <v>70184</v>
      </c>
      <c r="E44">
        <f t="shared" si="3"/>
        <v>42</v>
      </c>
      <c r="F44" s="61">
        <f>IF(FT!A44&lt;&gt;"",FT!A44*10,"")</f>
        <v>3.9109400000000001</v>
      </c>
      <c r="G44" s="61">
        <f>IF(FT!B44&lt;&gt;"",FT!B44*100,"")</f>
        <v>38.456499999999998</v>
      </c>
      <c r="H44" s="61">
        <f t="shared" si="1"/>
        <v>1</v>
      </c>
      <c r="I44" t="str">
        <f>IF(FT!B44&lt;&gt;"",FT!E44,"")</f>
        <v>1 [17.061593]</v>
      </c>
      <c r="J44">
        <f>IF(FT!B44&lt;&gt;"",FT!C44,"")</f>
        <v>17.061599999999999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3.9043699999999997</v>
      </c>
      <c r="G45" s="61">
        <f>IF(FT!B45&lt;&gt;"",FT!B45*100,"")</f>
        <v>38.694699999999997</v>
      </c>
      <c r="H45" s="61">
        <f t="shared" si="1"/>
        <v>1</v>
      </c>
      <c r="I45" t="str">
        <f>IF(FT!B45&lt;&gt;"",FT!E45,"")</f>
        <v>1 [17.466225]</v>
      </c>
      <c r="J45">
        <f>IF(FT!B45&lt;&gt;"",FT!C45,"")</f>
        <v>17.466200000000001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76100</v>
      </c>
      <c r="D46" s="61">
        <f>FH!B46*1</f>
        <v>76100</v>
      </c>
      <c r="E46">
        <f t="shared" si="3"/>
        <v>44</v>
      </c>
      <c r="F46" s="61">
        <f>IF(FT!A46&lt;&gt;"",FT!A46*10,"")</f>
        <v>3.8988099999999997</v>
      </c>
      <c r="G46" s="61">
        <f>IF(FT!B46&lt;&gt;"",FT!B46*100,"")</f>
        <v>38.860399999999998</v>
      </c>
      <c r="H46" s="61">
        <f t="shared" si="1"/>
        <v>1</v>
      </c>
      <c r="I46" t="str">
        <f>IF(FT!B46&lt;&gt;"",FT!E46,"")</f>
        <v>1 [17.874019]</v>
      </c>
      <c r="J46">
        <f>IF(FT!B46&lt;&gt;"",FT!C46,"")</f>
        <v>17.873999999999999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3.8968699999999998</v>
      </c>
      <c r="G47" s="61">
        <f>IF(FT!B47&lt;&gt;"",FT!B47*100,"")</f>
        <v>38.990499999999997</v>
      </c>
      <c r="H47" s="61">
        <f t="shared" si="1"/>
        <v>1</v>
      </c>
      <c r="I47" t="str">
        <f>IF(FT!B47&lt;&gt;"",FT!E47,"")</f>
        <v>1 [18.280936]</v>
      </c>
      <c r="J47">
        <f>IF(FT!B47&lt;&gt;"",FT!C47,"")</f>
        <v>18.280899999999999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3.8961099999999997</v>
      </c>
      <c r="G48" s="61">
        <f>IF(FT!B48&lt;&gt;"",FT!B48*100,"")</f>
        <v>39.103500000000004</v>
      </c>
      <c r="H48" s="61">
        <f t="shared" si="1"/>
        <v>1</v>
      </c>
      <c r="I48" t="str">
        <f>IF(FT!B48&lt;&gt;"",FT!E48,"")</f>
        <v>1 [18.683832]</v>
      </c>
      <c r="J48">
        <f>IF(FT!B48&lt;&gt;"",FT!C48,"")</f>
        <v>18.683800000000002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73079</v>
      </c>
      <c r="D49" s="61">
        <f>FH!B49*1</f>
        <v>73079</v>
      </c>
      <c r="E49">
        <f t="shared" si="3"/>
        <v>47</v>
      </c>
      <c r="F49" s="61">
        <f>IF(FT!A49&lt;&gt;"",FT!A49*10,"")</f>
        <v>3.89269</v>
      </c>
      <c r="G49" s="61">
        <f>IF(FT!B49&lt;&gt;"",FT!B49*100,"")</f>
        <v>39.243000000000002</v>
      </c>
      <c r="H49" s="61">
        <f t="shared" si="1"/>
        <v>1</v>
      </c>
      <c r="I49" t="str">
        <f>IF(FT!B49&lt;&gt;"",FT!E49,"")</f>
        <v>1 [19.088735]</v>
      </c>
      <c r="J49">
        <f>IF(FT!B49&lt;&gt;"",FT!C49,"")</f>
        <v>19.088699999999999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3.8867600000000002</v>
      </c>
      <c r="G50" s="61">
        <f>IF(FT!B50&lt;&gt;"",FT!B50*100,"")</f>
        <v>39.4054</v>
      </c>
      <c r="H50" s="61">
        <f t="shared" si="1"/>
        <v>1</v>
      </c>
      <c r="I50" t="str">
        <f>IF(FT!B50&lt;&gt;"",FT!E50,"")</f>
        <v>1 [19.500709]</v>
      </c>
      <c r="J50">
        <f>IF(FT!B50&lt;&gt;"",FT!C50,"")</f>
        <v>19.500699999999998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84237</v>
      </c>
      <c r="D51" s="61">
        <f>FH!B51*1</f>
        <v>84237</v>
      </c>
      <c r="E51">
        <f t="shared" si="3"/>
        <v>49</v>
      </c>
      <c r="F51" s="61">
        <f>IF(FT!A51&lt;&gt;"",FT!A51*10,"")</f>
        <v>3.8805899999999998</v>
      </c>
      <c r="G51" s="61">
        <f>IF(FT!B51&lt;&gt;"",FT!B51*100,"")</f>
        <v>39.537599999999998</v>
      </c>
      <c r="H51" s="61">
        <f t="shared" si="1"/>
        <v>1</v>
      </c>
      <c r="I51" t="str">
        <f>IF(FT!B51&lt;&gt;"",FT!E51,"")</f>
        <v>1 [19.904586]</v>
      </c>
      <c r="J51">
        <f>IF(FT!B51&lt;&gt;"",FT!C51,"")</f>
        <v>19.904599999999999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3.8765800000000001</v>
      </c>
      <c r="G52" s="61">
        <f>IF(FT!B52&lt;&gt;"",FT!B52*100,"")</f>
        <v>39.641999999999996</v>
      </c>
      <c r="H52" s="61">
        <f t="shared" si="1"/>
        <v>1</v>
      </c>
      <c r="I52" t="str">
        <f>IF(FT!B52&lt;&gt;"",FT!E52,"")</f>
        <v>1 [20.311710]</v>
      </c>
      <c r="J52">
        <f>IF(FT!B52&lt;&gt;"",FT!C52,"")</f>
        <v>20.311699999999998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3.8743100000000004</v>
      </c>
      <c r="G53" s="61">
        <f>IF(FT!B53&lt;&gt;"",FT!B53*100,"")</f>
        <v>39.6873</v>
      </c>
      <c r="H53" s="61">
        <f t="shared" si="1"/>
        <v>1</v>
      </c>
      <c r="I53" t="str">
        <f>IF(FT!B53&lt;&gt;"",FT!E53,"")</f>
        <v>1 [20.716458]</v>
      </c>
      <c r="J53">
        <f>IF(FT!B53&lt;&gt;"",FT!C53,"")</f>
        <v>20.7165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90825</v>
      </c>
      <c r="D54" s="61">
        <f>FH!B54*1</f>
        <v>90825</v>
      </c>
      <c r="E54">
        <f t="shared" si="3"/>
        <v>52</v>
      </c>
      <c r="F54" s="61">
        <f>IF(FT!A54&lt;&gt;"",FT!A54*10,"")</f>
        <v>3.8728499999999997</v>
      </c>
      <c r="G54" s="61">
        <f>IF(FT!B54&lt;&gt;"",FT!B54*100,"")</f>
        <v>39.694899999999997</v>
      </c>
      <c r="H54" s="61">
        <f t="shared" si="1"/>
        <v>1</v>
      </c>
      <c r="I54" t="str">
        <f>IF(FT!B54&lt;&gt;"",FT!E54,"")</f>
        <v>1 [21.120392]</v>
      </c>
      <c r="J54">
        <f>IF(FT!B54&lt;&gt;"",FT!C54,"")</f>
        <v>21.1204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3.8729300000000002</v>
      </c>
      <c r="G55" s="61">
        <f>IF(FT!B55&lt;&gt;"",FT!B55*100,"")</f>
        <v>39.734000000000002</v>
      </c>
      <c r="H55" s="61">
        <f t="shared" si="1"/>
        <v>1</v>
      </c>
      <c r="I55" t="str">
        <f>IF(FT!B55&lt;&gt;"",FT!E55,"")</f>
        <v>1 [21.527623]</v>
      </c>
      <c r="J55">
        <f>IF(FT!B55&lt;&gt;"",FT!C55,"")</f>
        <v>21.5276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3.8762600000000003</v>
      </c>
      <c r="G56" s="61">
        <f>IF(FT!B56&lt;&gt;"",FT!B56*100,"")</f>
        <v>39.774300000000004</v>
      </c>
      <c r="H56" s="61">
        <f t="shared" si="1"/>
        <v>1</v>
      </c>
      <c r="I56" t="str">
        <f>IF(FT!B56&lt;&gt;"",FT!E56,"")</f>
        <v>1 [21.935199]</v>
      </c>
      <c r="J56">
        <f>IF(FT!B56&lt;&gt;"",FT!C56,"")</f>
        <v>21.935199999999998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101742</v>
      </c>
      <c r="D57" s="61">
        <f>FH!B57*1</f>
        <v>101742</v>
      </c>
      <c r="E57">
        <f t="shared" si="3"/>
        <v>55</v>
      </c>
      <c r="F57" s="61">
        <f>IF(FT!A57&lt;&gt;"",FT!A57*10,"")</f>
        <v>3.8776000000000002</v>
      </c>
      <c r="G57" s="61">
        <f>IF(FT!B57&lt;&gt;"",FT!B57*100,"")</f>
        <v>39.823500000000003</v>
      </c>
      <c r="H57" s="61">
        <f t="shared" si="1"/>
        <v>1</v>
      </c>
      <c r="I57" t="str">
        <f>IF(FT!B57&lt;&gt;"",FT!E57,"")</f>
        <v>1 [22.341415]</v>
      </c>
      <c r="J57">
        <f>IF(FT!B57&lt;&gt;"",FT!C57,"")</f>
        <v>22.3414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3.8752599999999999</v>
      </c>
      <c r="G58" s="61">
        <f>IF(FT!B58&lt;&gt;"",FT!B58*100,"")</f>
        <v>39.848399999999998</v>
      </c>
      <c r="H58" s="61">
        <f t="shared" si="1"/>
        <v>1</v>
      </c>
      <c r="I58" t="str">
        <f>IF(FT!B58&lt;&gt;"",FT!E58,"")</f>
        <v>1 [22.747060]</v>
      </c>
      <c r="J58">
        <f>IF(FT!B58&lt;&gt;"",FT!C58,"")</f>
        <v>22.7471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106437</v>
      </c>
      <c r="D59" s="61">
        <f>FH!B59*1</f>
        <v>106437</v>
      </c>
      <c r="E59">
        <f t="shared" si="3"/>
        <v>57</v>
      </c>
      <c r="F59" s="61">
        <f>IF(FT!A59&lt;&gt;"",FT!A59*10,"")</f>
        <v>3.8724799999999999</v>
      </c>
      <c r="G59" s="61">
        <f>IF(FT!B59&lt;&gt;"",FT!B59*100,"")</f>
        <v>39.850499999999997</v>
      </c>
      <c r="H59" s="61">
        <f t="shared" si="1"/>
        <v>1</v>
      </c>
      <c r="I59" t="str">
        <f>IF(FT!B59&lt;&gt;"",FT!E59,"")</f>
        <v>1 [23.156955]</v>
      </c>
      <c r="J59">
        <f>IF(FT!B59&lt;&gt;"",FT!C59,"")</f>
        <v>23.157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3.86355</v>
      </c>
      <c r="G60" s="61">
        <f>IF(FT!B60&lt;&gt;"",FT!B60*100,"")</f>
        <v>39.860399999999998</v>
      </c>
      <c r="H60" s="61">
        <f t="shared" si="1"/>
        <v>1</v>
      </c>
      <c r="I60" t="str">
        <f>IF(FT!B60&lt;&gt;"",FT!E60,"")</f>
        <v>1 [23.561937]</v>
      </c>
      <c r="J60">
        <f>IF(FT!B60&lt;&gt;"",FT!C60,"")</f>
        <v>23.561900000000001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3.8501099999999999</v>
      </c>
      <c r="G61" s="61">
        <f>IF(FT!B61&lt;&gt;"",FT!B61*100,"")</f>
        <v>39.842399999999998</v>
      </c>
      <c r="H61" s="61">
        <f t="shared" si="1"/>
        <v>1</v>
      </c>
      <c r="I61" t="str">
        <f>IF(FT!B61&lt;&gt;"",FT!E61,"")</f>
        <v>1 [23.966816]</v>
      </c>
      <c r="J61">
        <f>IF(FT!B61&lt;&gt;"",FT!C61,"")</f>
        <v>23.966799999999999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109848</v>
      </c>
      <c r="D62" s="61">
        <f>FH!B62*1</f>
        <v>109848</v>
      </c>
      <c r="E62">
        <f t="shared" si="3"/>
        <v>60</v>
      </c>
      <c r="F62" s="61">
        <f>IF(FT!A62&lt;&gt;"",FT!A62*10,"")</f>
        <v>3.83839</v>
      </c>
      <c r="G62" s="61">
        <f>IF(FT!B62&lt;&gt;"",FT!B62*100,"")</f>
        <v>39.753999999999998</v>
      </c>
      <c r="H62" s="61">
        <f t="shared" si="1"/>
        <v>1</v>
      </c>
      <c r="I62" t="str">
        <f>IF(FT!B62&lt;&gt;"",FT!E62,"")</f>
        <v>1 [24.373835]</v>
      </c>
      <c r="J62">
        <f>IF(FT!B62&lt;&gt;"",FT!C62,"")</f>
        <v>24.373799999999999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3.8242399999999996</v>
      </c>
      <c r="G63" s="61">
        <f>IF(FT!B63&lt;&gt;"",FT!B63*100,"")</f>
        <v>39.727600000000002</v>
      </c>
      <c r="H63" s="61">
        <f t="shared" si="1"/>
        <v>1</v>
      </c>
      <c r="I63" t="str">
        <f>IF(FT!B63&lt;&gt;"",FT!E63,"")</f>
        <v>1 [24.778694]</v>
      </c>
      <c r="J63">
        <f>IF(FT!B63&lt;&gt;"",FT!C63,"")</f>
        <v>24.778700000000001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108822</v>
      </c>
      <c r="D64" s="61">
        <f>FH!B64*1</f>
        <v>108822</v>
      </c>
      <c r="E64">
        <f t="shared" si="3"/>
        <v>62</v>
      </c>
      <c r="F64" s="61">
        <f>IF(FT!A64&lt;&gt;"",FT!A64*10,"")</f>
        <v>3.8042899999999999</v>
      </c>
      <c r="G64" s="61">
        <f>IF(FT!B64&lt;&gt;"",FT!B64*100,"")</f>
        <v>39.690899999999999</v>
      </c>
      <c r="H64" s="61">
        <f t="shared" si="1"/>
        <v>1</v>
      </c>
      <c r="I64" t="str">
        <f>IF(FT!B64&lt;&gt;"",FT!E64,"")</f>
        <v>1 [25.186541]</v>
      </c>
      <c r="J64">
        <f>IF(FT!B64&lt;&gt;"",FT!C64,"")</f>
        <v>25.186499999999999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3.7827999999999999</v>
      </c>
      <c r="G65" s="61">
        <f>IF(FT!B65&lt;&gt;"",FT!B65*100,"")</f>
        <v>39.684799999999996</v>
      </c>
      <c r="H65" s="61">
        <f t="shared" si="1"/>
        <v>1</v>
      </c>
      <c r="I65" t="str">
        <f>IF(FT!B65&lt;&gt;"",FT!E65,"")</f>
        <v>1 [25.592482]</v>
      </c>
      <c r="J65">
        <f>IF(FT!B65&lt;&gt;"",FT!C65,"")</f>
        <v>25.592500000000001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3.7601</v>
      </c>
      <c r="G66" s="61">
        <f>IF(FT!B66&lt;&gt;"",FT!B66*100,"")</f>
        <v>39.6678</v>
      </c>
      <c r="H66" s="61">
        <f t="shared" si="1"/>
        <v>1</v>
      </c>
      <c r="I66" t="str">
        <f>IF(FT!B66&lt;&gt;"",FT!E66,"")</f>
        <v>1 [25.997424]</v>
      </c>
      <c r="J66">
        <f>IF(FT!B66&lt;&gt;"",FT!C66,"")</f>
        <v>25.997399999999999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118213</v>
      </c>
      <c r="D67" s="61">
        <f>FH!B67*1</f>
        <v>118213</v>
      </c>
      <c r="E67">
        <f t="shared" si="3"/>
        <v>65</v>
      </c>
      <c r="F67" s="61">
        <f>IF(FT!A67&lt;&gt;"",FT!A67*10,"")</f>
        <v>3.7364999999999999</v>
      </c>
      <c r="G67" s="61">
        <f>IF(FT!B67&lt;&gt;"",FT!B67*100,"")</f>
        <v>39.682299999999998</v>
      </c>
      <c r="H67" s="61">
        <f t="shared" ref="H67:H130" si="9">(IF(F67&lt;&gt;"",1,""))</f>
        <v>1</v>
      </c>
      <c r="I67" t="str">
        <f>IF(FT!B67&lt;&gt;"",FT!E67,"")</f>
        <v>1 [26.402287]</v>
      </c>
      <c r="J67">
        <f>IF(FT!B67&lt;&gt;"",FT!C67,"")</f>
        <v>26.4023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3.7141099999999998</v>
      </c>
      <c r="G68" s="61">
        <f>IF(FT!B68&lt;&gt;"",FT!B68*100,"")</f>
        <v>39.693100000000001</v>
      </c>
      <c r="H68" s="61">
        <f t="shared" si="9"/>
        <v>1</v>
      </c>
      <c r="I68" t="str">
        <f>IF(FT!B68&lt;&gt;"",FT!E68,"")</f>
        <v>1 [26.810389]</v>
      </c>
      <c r="J68">
        <f>IF(FT!B68&lt;&gt;"",FT!C68,"")</f>
        <v>26.810400000000001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128002</v>
      </c>
      <c r="D69" s="61">
        <f>FH!B69*1</f>
        <v>128002</v>
      </c>
      <c r="E69">
        <f t="shared" si="11"/>
        <v>67</v>
      </c>
      <c r="F69" s="61">
        <f>IF(FT!A69&lt;&gt;"",FT!A69*10,"")</f>
        <v>3.6924400000000004</v>
      </c>
      <c r="G69" s="61">
        <f>IF(FT!B69&lt;&gt;"",FT!B69*100,"")</f>
        <v>39.742400000000004</v>
      </c>
      <c r="H69" s="61">
        <f t="shared" si="9"/>
        <v>1</v>
      </c>
      <c r="I69" t="str">
        <f>IF(FT!B69&lt;&gt;"",FT!E69,"")</f>
        <v>1 [27.219358]</v>
      </c>
      <c r="J69">
        <f>IF(FT!B69&lt;&gt;"",FT!C69,"")</f>
        <v>27.2194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3.67347</v>
      </c>
      <c r="G70" s="61">
        <f>IF(FT!B70&lt;&gt;"",FT!B70*100,"")</f>
        <v>39.745799999999996</v>
      </c>
      <c r="H70" s="61">
        <f t="shared" si="9"/>
        <v>1</v>
      </c>
      <c r="I70" t="str">
        <f>IF(FT!B70&lt;&gt;"",FT!E70,"")</f>
        <v>1 [27.627238]</v>
      </c>
      <c r="J70">
        <f>IF(FT!B70&lt;&gt;"",FT!C70,"")</f>
        <v>27.627199999999998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3.6520900000000003</v>
      </c>
      <c r="G71" s="61">
        <f>IF(FT!B71&lt;&gt;"",FT!B71*100,"")</f>
        <v>39.779899999999998</v>
      </c>
      <c r="H71" s="61">
        <f t="shared" si="9"/>
        <v>1</v>
      </c>
      <c r="I71" t="str">
        <f>IF(FT!B71&lt;&gt;"",FT!E71,"")</f>
        <v>1 [28.028890]</v>
      </c>
      <c r="J71">
        <f>IF(FT!B71&lt;&gt;"",FT!C71,"")</f>
        <v>28.0289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139859</v>
      </c>
      <c r="D72" s="61">
        <f>FH!B72*1</f>
        <v>139859</v>
      </c>
      <c r="E72">
        <f t="shared" si="11"/>
        <v>70</v>
      </c>
      <c r="F72" s="61">
        <f>IF(FT!A72&lt;&gt;"",FT!A72*10,"")</f>
        <v>3.6268400000000001</v>
      </c>
      <c r="G72" s="61">
        <f>IF(FT!B72&lt;&gt;"",FT!B72*100,"")</f>
        <v>39.837699999999998</v>
      </c>
      <c r="H72" s="61">
        <f t="shared" si="9"/>
        <v>1</v>
      </c>
      <c r="I72" t="str">
        <f>IF(FT!B72&lt;&gt;"",FT!E72,"")</f>
        <v>1 [28.434781]</v>
      </c>
      <c r="J72">
        <f>IF(FT!B72&lt;&gt;"",FT!C72,"")</f>
        <v>28.434799999999999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3.6016399999999997</v>
      </c>
      <c r="G73" s="61">
        <f>IF(FT!B73&lt;&gt;"",FT!B73*100,"")</f>
        <v>39.899299999999997</v>
      </c>
      <c r="H73" s="61">
        <f t="shared" si="9"/>
        <v>1</v>
      </c>
      <c r="I73" t="str">
        <f>IF(FT!B73&lt;&gt;"",FT!E73,"")</f>
        <v>1 [28.838935]</v>
      </c>
      <c r="J73">
        <f>IF(FT!B73&lt;&gt;"",FT!C73,"")</f>
        <v>28.838899999999999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3.57796</v>
      </c>
      <c r="G74" s="61">
        <f>IF(FT!B74&lt;&gt;"",FT!B74*100,"")</f>
        <v>39.961999999999996</v>
      </c>
      <c r="H74" s="61">
        <f t="shared" si="9"/>
        <v>1</v>
      </c>
      <c r="I74" t="str">
        <f>IF(FT!B74&lt;&gt;"",FT!E74,"")</f>
        <v>1 [29.251790]</v>
      </c>
      <c r="J74">
        <f>IF(FT!B74&lt;&gt;"",FT!C74,"")</f>
        <v>29.251799999999999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139159</v>
      </c>
      <c r="D75" s="61">
        <f>FH!B75*1</f>
        <v>139159</v>
      </c>
      <c r="E75">
        <f t="shared" si="11"/>
        <v>73</v>
      </c>
      <c r="F75" s="61">
        <f>IF(FT!A75&lt;&gt;"",FT!A75*10,"")</f>
        <v>3.5563600000000002</v>
      </c>
      <c r="G75" s="61">
        <f>IF(FT!B75&lt;&gt;"",FT!B75*100,"")</f>
        <v>40.044699999999999</v>
      </c>
      <c r="H75" s="61">
        <f t="shared" si="9"/>
        <v>1</v>
      </c>
      <c r="I75" t="str">
        <f>IF(FT!B75&lt;&gt;"",FT!E75,"")</f>
        <v>1 [29.654602]</v>
      </c>
      <c r="J75">
        <f>IF(FT!B75&lt;&gt;"",FT!C75,"")</f>
        <v>29.654599999999999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3.5364100000000001</v>
      </c>
      <c r="G76" s="61">
        <f>IF(FT!B76&lt;&gt;"",FT!B76*100,"")</f>
        <v>40.135399999999997</v>
      </c>
      <c r="H76" s="61">
        <f t="shared" si="9"/>
        <v>1</v>
      </c>
      <c r="I76" t="str">
        <f>IF(FT!B76&lt;&gt;"",FT!E76,"")</f>
        <v>2 [30.061570]</v>
      </c>
      <c r="J76">
        <f>IF(FT!B76&lt;&gt;"",FT!C76,"")</f>
        <v>30.061599999999999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152153</v>
      </c>
      <c r="D77" s="61">
        <f>FH!B77*1</f>
        <v>152153</v>
      </c>
      <c r="E77">
        <f t="shared" si="11"/>
        <v>75</v>
      </c>
      <c r="F77" s="61">
        <f>IF(FT!A77&lt;&gt;"",FT!A77*10,"")</f>
        <v>3.51593</v>
      </c>
      <c r="G77" s="61">
        <f>IF(FT!B77&lt;&gt;"",FT!B77*100,"")</f>
        <v>40.262100000000004</v>
      </c>
      <c r="H77" s="61">
        <f t="shared" si="9"/>
        <v>1</v>
      </c>
      <c r="I77" t="str">
        <f>IF(FT!B77&lt;&gt;"",FT!E77,"")</f>
        <v>2 [30.497439]</v>
      </c>
      <c r="J77">
        <f>IF(FT!B77&lt;&gt;"",FT!C77,"")</f>
        <v>30.497399999999999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3.4988700000000001</v>
      </c>
      <c r="G78" s="61">
        <f>IF(FT!B78&lt;&gt;"",FT!B78*100,"")</f>
        <v>40.401499999999999</v>
      </c>
      <c r="H78" s="61">
        <f t="shared" si="9"/>
        <v>1</v>
      </c>
      <c r="I78" t="str">
        <f>IF(FT!B78&lt;&gt;"",FT!E78,"")</f>
        <v>2 [30.904349]</v>
      </c>
      <c r="J78">
        <f>IF(FT!B78&lt;&gt;"",FT!C78,"")</f>
        <v>30.904299999999999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3.4828299999999999</v>
      </c>
      <c r="G79" s="61">
        <f>IF(FT!B79&lt;&gt;"",FT!B79*100,"")</f>
        <v>40.543300000000002</v>
      </c>
      <c r="H79" s="61">
        <f t="shared" si="9"/>
        <v>1</v>
      </c>
      <c r="I79" t="str">
        <f>IF(FT!B79&lt;&gt;"",FT!E79,"")</f>
        <v>2 [31.311221]</v>
      </c>
      <c r="J79">
        <f>IF(FT!B79&lt;&gt;"",FT!C79,"")</f>
        <v>31.311199999999999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164563</v>
      </c>
      <c r="D80" s="61">
        <f>FH!B80*1</f>
        <v>164563</v>
      </c>
      <c r="E80">
        <f t="shared" si="11"/>
        <v>78</v>
      </c>
      <c r="F80" s="61">
        <f>IF(FT!A80&lt;&gt;"",FT!A80*10,"")</f>
        <v>3.4673700000000003</v>
      </c>
      <c r="G80" s="61">
        <f>IF(FT!B80&lt;&gt;"",FT!B80*100,"")</f>
        <v>40.676000000000002</v>
      </c>
      <c r="H80" s="61">
        <f t="shared" si="9"/>
        <v>1</v>
      </c>
      <c r="I80" t="str">
        <f>IF(FT!B80&lt;&gt;"",FT!E80,"")</f>
        <v>2 [31.717047]</v>
      </c>
      <c r="J80">
        <f>IF(FT!B80&lt;&gt;"",FT!C80,"")</f>
        <v>31.716999999999999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3.45106</v>
      </c>
      <c r="G81" s="61">
        <f>IF(FT!B81&lt;&gt;"",FT!B81*100,"")</f>
        <v>40.838099999999997</v>
      </c>
      <c r="H81" s="61">
        <f t="shared" si="9"/>
        <v>1</v>
      </c>
      <c r="I81" t="str">
        <f>IF(FT!B81&lt;&gt;"",FT!E81,"")</f>
        <v>2 [32.125952]</v>
      </c>
      <c r="J81">
        <f>IF(FT!B81&lt;&gt;"",FT!C81,"")</f>
        <v>32.125999999999998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171609</v>
      </c>
      <c r="D82" s="61">
        <f>FH!B82*1</f>
        <v>171609</v>
      </c>
      <c r="E82">
        <f t="shared" si="11"/>
        <v>80</v>
      </c>
      <c r="F82" s="61">
        <f>IF(FT!A82&lt;&gt;"",FT!A82*10,"")</f>
        <v>3.4390399999999999</v>
      </c>
      <c r="G82" s="61">
        <f>IF(FT!B82&lt;&gt;"",FT!B82*100,"")</f>
        <v>41.011800000000001</v>
      </c>
      <c r="H82" s="61">
        <f t="shared" si="9"/>
        <v>1</v>
      </c>
      <c r="I82" t="str">
        <f>IF(FT!B82&lt;&gt;"",FT!E82,"")</f>
        <v>2 [32.529947]</v>
      </c>
      <c r="J82">
        <f>IF(FT!B82&lt;&gt;"",FT!C82,"")</f>
        <v>32.529899999999998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3.4317500000000001</v>
      </c>
      <c r="G83" s="61">
        <f>IF(FT!B83&lt;&gt;"",FT!B83*100,"")</f>
        <v>41.117399999999996</v>
      </c>
      <c r="H83" s="61">
        <f t="shared" si="9"/>
        <v>1</v>
      </c>
      <c r="I83" t="str">
        <f>IF(FT!B83&lt;&gt;"",FT!E83,"")</f>
        <v>2 [32.934977]</v>
      </c>
      <c r="J83">
        <f>IF(FT!B83&lt;&gt;"",FT!C83,"")</f>
        <v>32.935000000000002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3.42523</v>
      </c>
      <c r="G84" s="61">
        <f>IF(FT!B84&lt;&gt;"",FT!B84*100,"")</f>
        <v>41.195500000000003</v>
      </c>
      <c r="H84" s="61">
        <f t="shared" si="9"/>
        <v>1</v>
      </c>
      <c r="I84" t="str">
        <f>IF(FT!B84&lt;&gt;"",FT!E84,"")</f>
        <v>2 [33.344824]</v>
      </c>
      <c r="J84">
        <f>IF(FT!B84&lt;&gt;"",FT!C84,"")</f>
        <v>33.344799999999999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193257</v>
      </c>
      <c r="D85" s="61">
        <f>FH!B85*1</f>
        <v>193257</v>
      </c>
      <c r="E85">
        <f t="shared" si="11"/>
        <v>83</v>
      </c>
      <c r="F85" s="61">
        <f>IF(FT!A85&lt;&gt;"",FT!A85*10,"")</f>
        <v>3.4191899999999995</v>
      </c>
      <c r="G85" s="61">
        <f>IF(FT!B85&lt;&gt;"",FT!B85*100,"")</f>
        <v>41.263300000000001</v>
      </c>
      <c r="H85" s="61">
        <f t="shared" si="9"/>
        <v>1</v>
      </c>
      <c r="I85" t="str">
        <f>IF(FT!B85&lt;&gt;"",FT!E85,"")</f>
        <v>2 [33.749711]</v>
      </c>
      <c r="J85">
        <f>IF(FT!B85&lt;&gt;"",FT!C85,"")</f>
        <v>33.749699999999997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3.41601</v>
      </c>
      <c r="G86" s="61">
        <f>IF(FT!B86&lt;&gt;"",FT!B86*100,"")</f>
        <v>41.287800000000004</v>
      </c>
      <c r="H86" s="61">
        <f t="shared" si="9"/>
        <v>1</v>
      </c>
      <c r="I86" t="str">
        <f>IF(FT!B86&lt;&gt;"",FT!E86,"")</f>
        <v>2 [34.156508]</v>
      </c>
      <c r="J86">
        <f>IF(FT!B86&lt;&gt;"",FT!C86,"")</f>
        <v>34.156500000000001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3.4166300000000001</v>
      </c>
      <c r="G87" s="61">
        <f>IF(FT!B87&lt;&gt;"",FT!B87*100,"")</f>
        <v>41.270099999999999</v>
      </c>
      <c r="H87" s="61">
        <f t="shared" si="9"/>
        <v>1</v>
      </c>
      <c r="I87" t="str">
        <f>IF(FT!B87&lt;&gt;"",FT!E87,"")</f>
        <v>2 [34.562473]</v>
      </c>
      <c r="J87">
        <f>IF(FT!B87&lt;&gt;"",FT!C87,"")</f>
        <v>34.5625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202146</v>
      </c>
      <c r="D88" s="61">
        <f>FH!B88*1</f>
        <v>202146</v>
      </c>
      <c r="E88">
        <f t="shared" si="11"/>
        <v>86</v>
      </c>
      <c r="F88" s="61">
        <f>IF(FT!A88&lt;&gt;"",FT!A88*10,"")</f>
        <v>3.4171800000000001</v>
      </c>
      <c r="G88" s="61">
        <f>IF(FT!B88&lt;&gt;"",FT!B88*100,"")</f>
        <v>41.189799999999998</v>
      </c>
      <c r="H88" s="61">
        <f t="shared" si="9"/>
        <v>1</v>
      </c>
      <c r="I88" t="str">
        <f>IF(FT!B88&lt;&gt;"",FT!E88,"")</f>
        <v>2 [34.964472]</v>
      </c>
      <c r="J88">
        <f>IF(FT!B88&lt;&gt;"",FT!C88,"")</f>
        <v>34.964500000000001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3.42075</v>
      </c>
      <c r="G89" s="61">
        <f>IF(FT!B89&lt;&gt;"",FT!B89*100,"")</f>
        <v>41.0807</v>
      </c>
      <c r="H89" s="61">
        <f t="shared" si="9"/>
        <v>1</v>
      </c>
      <c r="I89" t="str">
        <f>IF(FT!B89&lt;&gt;"",FT!E89,"")</f>
        <v>2 [35.376282]</v>
      </c>
      <c r="J89">
        <f>IF(FT!B89&lt;&gt;"",FT!C89,"")</f>
        <v>35.376300000000001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210482</v>
      </c>
      <c r="D90" s="61">
        <f>FH!B90*1</f>
        <v>210482</v>
      </c>
      <c r="E90">
        <f t="shared" si="11"/>
        <v>88</v>
      </c>
      <c r="F90" s="61">
        <f>IF(FT!A90&lt;&gt;"",FT!A90*10,"")</f>
        <v>3.4272799999999997</v>
      </c>
      <c r="G90" s="61">
        <f>IF(FT!B90&lt;&gt;"",FT!B90*100,"")</f>
        <v>40.943800000000003</v>
      </c>
      <c r="H90" s="61">
        <f t="shared" si="9"/>
        <v>1</v>
      </c>
      <c r="I90" t="str">
        <f>IF(FT!B90&lt;&gt;"",FT!E90,"")</f>
        <v>2 [35.782191]</v>
      </c>
      <c r="J90">
        <f>IF(FT!B90&lt;&gt;"",FT!C90,"")</f>
        <v>35.782200000000003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3.4350799999999997</v>
      </c>
      <c r="G91" s="61">
        <f>IF(FT!B91&lt;&gt;"",FT!B91*100,"")</f>
        <v>40.813400000000001</v>
      </c>
      <c r="H91" s="61">
        <f t="shared" si="9"/>
        <v>1</v>
      </c>
      <c r="I91" t="str">
        <f>IF(FT!B91&lt;&gt;"",FT!E91,"")</f>
        <v>2 [36.187047]</v>
      </c>
      <c r="J91">
        <f>IF(FT!B91&lt;&gt;"",FT!C91,"")</f>
        <v>36.186999999999998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3.4446599999999998</v>
      </c>
      <c r="G92" s="61">
        <f>IF(FT!B92&lt;&gt;"",FT!B92*100,"")</f>
        <v>40.590699999999998</v>
      </c>
      <c r="H92" s="61">
        <f t="shared" si="9"/>
        <v>1</v>
      </c>
      <c r="I92" t="str">
        <f>IF(FT!B92&lt;&gt;"",FT!E92,"")</f>
        <v>2 [36.591035]</v>
      </c>
      <c r="J92">
        <f>IF(FT!B92&lt;&gt;"",FT!C92,"")</f>
        <v>36.591000000000001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221346</v>
      </c>
      <c r="D93" s="61">
        <f>FH!B93*1</f>
        <v>221346</v>
      </c>
      <c r="E93">
        <f t="shared" si="11"/>
        <v>91</v>
      </c>
      <c r="F93" s="61">
        <f>IF(FT!A93&lt;&gt;"",FT!A93*10,"")</f>
        <v>3.4539399999999998</v>
      </c>
      <c r="G93" s="61">
        <f>IF(FT!B93&lt;&gt;"",FT!B93*100,"")</f>
        <v>40.402000000000001</v>
      </c>
      <c r="H93" s="61">
        <f t="shared" si="9"/>
        <v>1</v>
      </c>
      <c r="I93" t="str">
        <f>IF(FT!B93&lt;&gt;"",FT!E93,"")</f>
        <v>2 [36.997979]</v>
      </c>
      <c r="J93">
        <f>IF(FT!B93&lt;&gt;"",FT!C93,"")</f>
        <v>36.997999999999998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3.4646300000000001</v>
      </c>
      <c r="G94" s="61">
        <f>IF(FT!B94&lt;&gt;"",FT!B94*100,"")</f>
        <v>40.147199999999998</v>
      </c>
      <c r="H94" s="61">
        <f t="shared" si="9"/>
        <v>1</v>
      </c>
      <c r="I94" t="str">
        <f>IF(FT!B94&lt;&gt;"",FT!E94,"")</f>
        <v>2 [37.404822]</v>
      </c>
      <c r="J94">
        <f>IF(FT!B94&lt;&gt;"",FT!C94,"")</f>
        <v>37.404800000000002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237617</v>
      </c>
      <c r="D95" s="61">
        <f>FH!B95*1</f>
        <v>237617</v>
      </c>
      <c r="E95">
        <f t="shared" si="11"/>
        <v>93</v>
      </c>
      <c r="F95" s="61">
        <f>IF(FT!A95&lt;&gt;"",FT!A95*10,"")</f>
        <v>3.47682</v>
      </c>
      <c r="G95" s="61">
        <f>IF(FT!B95&lt;&gt;"",FT!B95*100,"")</f>
        <v>39.903399999999998</v>
      </c>
      <c r="H95" s="61">
        <f t="shared" si="9"/>
        <v>1</v>
      </c>
      <c r="I95" t="str">
        <f>IF(FT!B95&lt;&gt;"",FT!E95,"")</f>
        <v>2 [37.810997]</v>
      </c>
      <c r="J95">
        <f>IF(FT!B95&lt;&gt;"",FT!C95,"")</f>
        <v>37.811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3.49207</v>
      </c>
      <c r="G96" s="61">
        <f>IF(FT!B96&lt;&gt;"",FT!B96*100,"")</f>
        <v>39.6325</v>
      </c>
      <c r="H96" s="61">
        <f t="shared" si="9"/>
        <v>1</v>
      </c>
      <c r="I96" t="str">
        <f>IF(FT!B96&lt;&gt;"",FT!E96,"")</f>
        <v>2 [38.216669]</v>
      </c>
      <c r="J96">
        <f>IF(FT!B96&lt;&gt;"",FT!C96,"")</f>
        <v>38.216700000000003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3.5050699999999999</v>
      </c>
      <c r="G97" s="61">
        <f>IF(FT!B97&lt;&gt;"",FT!B97*100,"")</f>
        <v>39.432200000000002</v>
      </c>
      <c r="H97" s="61">
        <f t="shared" si="9"/>
        <v>1</v>
      </c>
      <c r="I97" t="str">
        <f>IF(FT!B97&lt;&gt;"",FT!E97,"")</f>
        <v>2 [38.624585]</v>
      </c>
      <c r="J97">
        <f>IF(FT!B97&lt;&gt;"",FT!C97,"")</f>
        <v>38.624600000000001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228373</v>
      </c>
      <c r="D98" s="61">
        <f>FH!B98*1</f>
        <v>228373</v>
      </c>
      <c r="E98">
        <f t="shared" si="11"/>
        <v>96</v>
      </c>
      <c r="F98" s="61">
        <f>IF(FT!A98&lt;&gt;"",FT!A98*10,"")</f>
        <v>3.5179500000000004</v>
      </c>
      <c r="G98" s="61">
        <f>IF(FT!B98&lt;&gt;"",FT!B98*100,"")</f>
        <v>39.2012</v>
      </c>
      <c r="H98" s="61">
        <f t="shared" si="9"/>
        <v>1</v>
      </c>
      <c r="I98" t="str">
        <f>IF(FT!B98&lt;&gt;"",FT!E98,"")</f>
        <v>2 [39.025528]</v>
      </c>
      <c r="J98">
        <f>IF(FT!B98&lt;&gt;"",FT!C98,"")</f>
        <v>39.025500000000001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3.5318899999999998</v>
      </c>
      <c r="G99" s="61">
        <f>IF(FT!B99&lt;&gt;"",FT!B99*100,"")</f>
        <v>38.963500000000003</v>
      </c>
      <c r="H99" s="61">
        <f t="shared" si="9"/>
        <v>1</v>
      </c>
      <c r="I99" t="str">
        <f>IF(FT!B99&lt;&gt;"",FT!E99,"")</f>
        <v>2 [39.438405]</v>
      </c>
      <c r="J99">
        <f>IF(FT!B99&lt;&gt;"",FT!C99,"")</f>
        <v>39.438400000000001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222357</v>
      </c>
      <c r="D100" s="61">
        <f>FH!B100*1</f>
        <v>222357</v>
      </c>
      <c r="E100">
        <f t="shared" si="11"/>
        <v>98</v>
      </c>
      <c r="F100" s="61">
        <f>IF(FT!A100&lt;&gt;"",FT!A100*10,"")</f>
        <v>3.5480099999999997</v>
      </c>
      <c r="G100" s="61">
        <f>IF(FT!B100&lt;&gt;"",FT!B100*100,"")</f>
        <v>38.708199999999998</v>
      </c>
      <c r="H100" s="61">
        <f t="shared" si="9"/>
        <v>1</v>
      </c>
      <c r="I100" t="str">
        <f>IF(FT!B100&lt;&gt;"",FT!E100,"")</f>
        <v>2 [39.842355]</v>
      </c>
      <c r="J100">
        <f>IF(FT!B100&lt;&gt;"",FT!C100,"")</f>
        <v>39.842399999999998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3.5645199999999999</v>
      </c>
      <c r="G101" s="61">
        <f>IF(FT!B101&lt;&gt;"",FT!B101*100,"")</f>
        <v>38.454100000000004</v>
      </c>
      <c r="H101" s="61">
        <f t="shared" si="9"/>
        <v>1</v>
      </c>
      <c r="I101" t="str">
        <f>IF(FT!B101&lt;&gt;"",FT!E101,"")</f>
        <v>2 [40.247293]</v>
      </c>
      <c r="J101">
        <f>IF(FT!B101&lt;&gt;"",FT!C101,"")</f>
        <v>40.247300000000003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3.5811100000000002</v>
      </c>
      <c r="G102" s="61">
        <f>IF(FT!B102&lt;&gt;"",FT!B102*100,"")</f>
        <v>38.166899999999998</v>
      </c>
      <c r="H102" s="61">
        <f t="shared" si="9"/>
        <v>1</v>
      </c>
      <c r="I102" t="str">
        <f>IF(FT!B102&lt;&gt;"",FT!E102,"")</f>
        <v>2 [40.657115]</v>
      </c>
      <c r="J102">
        <f>IF(FT!B102&lt;&gt;"",FT!C102,"")</f>
        <v>40.6571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221951</v>
      </c>
      <c r="D103" s="61">
        <f>FH!B103*1</f>
        <v>221951</v>
      </c>
      <c r="E103">
        <f t="shared" si="11"/>
        <v>101</v>
      </c>
      <c r="F103" s="61">
        <f>IF(FT!A103&lt;&gt;"",FT!A103*10,"")</f>
        <v>3.5983799999999997</v>
      </c>
      <c r="G103" s="61">
        <f>IF(FT!B103&lt;&gt;"",FT!B103*100,"")</f>
        <v>37.921100000000003</v>
      </c>
      <c r="H103" s="61">
        <f t="shared" si="9"/>
        <v>1</v>
      </c>
      <c r="I103" t="str">
        <f>IF(FT!B103&lt;&gt;"",FT!E103,"")</f>
        <v>2 [41.061238]</v>
      </c>
      <c r="J103">
        <f>IF(FT!B103&lt;&gt;"",FT!C103,"")</f>
        <v>41.061199999999999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3.6113299999999997</v>
      </c>
      <c r="G104" s="61">
        <f>IF(FT!B104&lt;&gt;"",FT!B104*100,"")</f>
        <v>37.704700000000003</v>
      </c>
      <c r="H104" s="61">
        <f t="shared" si="9"/>
        <v>1</v>
      </c>
      <c r="I104" t="str">
        <f>IF(FT!B104&lt;&gt;"",FT!E104,"")</f>
        <v>2 [41.466939]</v>
      </c>
      <c r="J104">
        <f>IF(FT!B104&lt;&gt;"",FT!C104,"")</f>
        <v>41.466900000000003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3.6243500000000002</v>
      </c>
      <c r="G105" s="61">
        <f>IF(FT!B105&lt;&gt;"",FT!B105*100,"")</f>
        <v>37.452200000000005</v>
      </c>
      <c r="H105" s="61">
        <f t="shared" si="9"/>
        <v>1</v>
      </c>
      <c r="I105" t="str">
        <f>IF(FT!B105&lt;&gt;"",FT!E105,"")</f>
        <v>2 [41.873846]</v>
      </c>
      <c r="J105">
        <f>IF(FT!B105&lt;&gt;"",FT!C105,"")</f>
        <v>41.873800000000003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203476</v>
      </c>
      <c r="D106" s="61">
        <f>FH!B106*1</f>
        <v>203476</v>
      </c>
      <c r="E106">
        <f t="shared" si="11"/>
        <v>104</v>
      </c>
      <c r="F106" s="61">
        <f>IF(FT!A106&lt;&gt;"",FT!A106*10,"")</f>
        <v>3.63483</v>
      </c>
      <c r="G106" s="61">
        <f>IF(FT!B106&lt;&gt;"",FT!B106*100,"")</f>
        <v>37.2044</v>
      </c>
      <c r="H106" s="61">
        <f t="shared" si="9"/>
        <v>1</v>
      </c>
      <c r="I106" t="str">
        <f>IF(FT!B106&lt;&gt;"",FT!E106,"")</f>
        <v>2 [42.280031]</v>
      </c>
      <c r="J106">
        <f>IF(FT!B106&lt;&gt;"",FT!C106,"")</f>
        <v>42.28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3.6440800000000002</v>
      </c>
      <c r="G107" s="61">
        <f>IF(FT!B107&lt;&gt;"",FT!B107*100,"")</f>
        <v>36.923699999999997</v>
      </c>
      <c r="H107" s="61">
        <f t="shared" si="9"/>
        <v>1</v>
      </c>
      <c r="I107" t="str">
        <f>IF(FT!B107&lt;&gt;"",FT!E107,"")</f>
        <v>2 [42.686740]</v>
      </c>
      <c r="J107">
        <f>IF(FT!B107&lt;&gt;"",FT!C107,"")</f>
        <v>42.686700000000002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188143</v>
      </c>
      <c r="D108" s="61">
        <f>FH!B108*1</f>
        <v>188143</v>
      </c>
      <c r="E108">
        <f t="shared" si="11"/>
        <v>106</v>
      </c>
      <c r="F108" s="61">
        <f>IF(FT!A108&lt;&gt;"",FT!A108*10,"")</f>
        <v>3.6473800000000001</v>
      </c>
      <c r="G108" s="61">
        <f>IF(FT!B108&lt;&gt;"",FT!B108*100,"")</f>
        <v>36.690800000000003</v>
      </c>
      <c r="H108" s="61">
        <f t="shared" si="9"/>
        <v>1</v>
      </c>
      <c r="I108" t="str">
        <f>IF(FT!B108&lt;&gt;"",FT!E108,"")</f>
        <v>2 [43.095609]</v>
      </c>
      <c r="J108">
        <f>IF(FT!B108&lt;&gt;"",FT!C108,"")</f>
        <v>43.095599999999997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3.6486600000000005</v>
      </c>
      <c r="G109" s="61">
        <f>IF(FT!B109&lt;&gt;"",FT!B109*100,"")</f>
        <v>36.4358</v>
      </c>
      <c r="H109" s="61">
        <f t="shared" si="9"/>
        <v>1</v>
      </c>
      <c r="I109" t="str">
        <f>IF(FT!B109&lt;&gt;"",FT!E109,"")</f>
        <v>2 [43.499614]</v>
      </c>
      <c r="J109">
        <f>IF(FT!B109&lt;&gt;"",FT!C109,"")</f>
        <v>43.499600000000001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3.6504300000000001</v>
      </c>
      <c r="G110" s="61">
        <f>IF(FT!B110&lt;&gt;"",FT!B110*100,"")</f>
        <v>36.228200000000001</v>
      </c>
      <c r="H110" s="61">
        <f t="shared" si="9"/>
        <v>1</v>
      </c>
      <c r="I110" t="str">
        <f>IF(FT!B110&lt;&gt;"",FT!E110,"")</f>
        <v>2 [43.903499]</v>
      </c>
      <c r="J110">
        <f>IF(FT!B110&lt;&gt;"",FT!C110,"")</f>
        <v>43.903500000000001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181064</v>
      </c>
      <c r="D111" s="61">
        <f>FH!B111*1</f>
        <v>181064</v>
      </c>
      <c r="E111">
        <f t="shared" si="11"/>
        <v>109</v>
      </c>
      <c r="F111" s="61">
        <f>IF(FT!A111&lt;&gt;"",FT!A111*10,"")</f>
        <v>3.6529499999999997</v>
      </c>
      <c r="G111" s="61">
        <f>IF(FT!B111&lt;&gt;"",FT!B111*100,"")</f>
        <v>36.032599999999995</v>
      </c>
      <c r="H111" s="61">
        <f t="shared" si="9"/>
        <v>1</v>
      </c>
      <c r="I111" t="str">
        <f>IF(FT!B111&lt;&gt;"",FT!E111,"")</f>
        <v>2 [44.312795]</v>
      </c>
      <c r="J111">
        <f>IF(FT!B111&lt;&gt;"",FT!C111,"")</f>
        <v>44.312800000000003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3.6525400000000001</v>
      </c>
      <c r="G112" s="61">
        <f>IF(FT!B112&lt;&gt;"",FT!B112*100,"")</f>
        <v>35.872399999999999</v>
      </c>
      <c r="H112" s="61">
        <f t="shared" si="9"/>
        <v>1</v>
      </c>
      <c r="I112" t="str">
        <f>IF(FT!B112&lt;&gt;"",FT!E112,"")</f>
        <v>2 [44.717218]</v>
      </c>
      <c r="J112">
        <f>IF(FT!B112&lt;&gt;"",FT!C112,"")</f>
        <v>44.717199999999998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169834</v>
      </c>
      <c r="D113" s="61">
        <f>FH!B113*1</f>
        <v>169834</v>
      </c>
      <c r="E113">
        <f t="shared" si="11"/>
        <v>111</v>
      </c>
      <c r="F113" s="61">
        <f>IF(FT!A113&lt;&gt;"",FT!A113*10,"")</f>
        <v>3.6533600000000002</v>
      </c>
      <c r="G113" s="61">
        <f>IF(FT!B113&lt;&gt;"",FT!B113*100,"")</f>
        <v>35.737000000000002</v>
      </c>
      <c r="H113" s="61">
        <f t="shared" si="9"/>
        <v>1</v>
      </c>
      <c r="I113" t="str">
        <f>IF(FT!B113&lt;&gt;"",FT!E113,"")</f>
        <v>2 [45.122216]</v>
      </c>
      <c r="J113">
        <f>IF(FT!B113&lt;&gt;"",FT!C113,"")</f>
        <v>45.122199999999999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3.65768</v>
      </c>
      <c r="G114" s="61">
        <f>IF(FT!B114&lt;&gt;"",FT!B114*100,"")</f>
        <v>35.6633</v>
      </c>
      <c r="H114" s="61">
        <f t="shared" si="9"/>
        <v>1</v>
      </c>
      <c r="I114" t="str">
        <f>IF(FT!B114&lt;&gt;"",FT!E114,"")</f>
        <v>2 [45.530180]</v>
      </c>
      <c r="J114">
        <f>IF(FT!B114&lt;&gt;"",FT!C114,"")</f>
        <v>45.530200000000001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3.6654100000000001</v>
      </c>
      <c r="G115" s="61">
        <f>IF(FT!B115&lt;&gt;"",FT!B115*100,"")</f>
        <v>35.5565</v>
      </c>
      <c r="H115" s="61">
        <f t="shared" si="9"/>
        <v>1</v>
      </c>
      <c r="I115" t="str">
        <f>IF(FT!B115&lt;&gt;"",FT!E115,"")</f>
        <v>2 [45.935003]</v>
      </c>
      <c r="J115">
        <f>IF(FT!B115&lt;&gt;"",FT!C115,"")</f>
        <v>45.935000000000002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150067</v>
      </c>
      <c r="D116" s="61">
        <f>FH!B116*1</f>
        <v>150067</v>
      </c>
      <c r="E116">
        <f t="shared" si="11"/>
        <v>114</v>
      </c>
      <c r="F116" s="61">
        <f>IF(FT!A116&lt;&gt;"",FT!A116*10,"")</f>
        <v>3.6747899999999998</v>
      </c>
      <c r="G116" s="61">
        <f>IF(FT!B116&lt;&gt;"",FT!B116*100,"")</f>
        <v>35.428800000000003</v>
      </c>
      <c r="H116" s="61">
        <f t="shared" si="9"/>
        <v>1</v>
      </c>
      <c r="I116" t="str">
        <f>IF(FT!B116&lt;&gt;"",FT!E116,"")</f>
        <v>2 [46.341082]</v>
      </c>
      <c r="J116">
        <f>IF(FT!B116&lt;&gt;"",FT!C116,"")</f>
        <v>46.341099999999997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3.6850399999999999</v>
      </c>
      <c r="G117" s="61">
        <f>IF(FT!B117&lt;&gt;"",FT!B117*100,"")</f>
        <v>35.3187</v>
      </c>
      <c r="H117" s="61">
        <f t="shared" si="9"/>
        <v>1</v>
      </c>
      <c r="I117" t="str">
        <f>IF(FT!B117&lt;&gt;"",FT!E117,"")</f>
        <v>2 [46.750863]</v>
      </c>
      <c r="J117">
        <f>IF(FT!B117&lt;&gt;"",FT!C117,"")</f>
        <v>46.750900000000001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140024</v>
      </c>
      <c r="D118" s="61">
        <f>FH!B118*1</f>
        <v>140024</v>
      </c>
      <c r="E118">
        <f t="shared" si="11"/>
        <v>116</v>
      </c>
      <c r="F118" s="61">
        <f>IF(FT!A118&lt;&gt;"",FT!A118*10,"")</f>
        <v>3.6969400000000001</v>
      </c>
      <c r="G118" s="61">
        <f>IF(FT!B118&lt;&gt;"",FT!B118*100,"")</f>
        <v>35.142000000000003</v>
      </c>
      <c r="H118" s="61">
        <f t="shared" si="9"/>
        <v>1</v>
      </c>
      <c r="I118" t="str">
        <f>IF(FT!B118&lt;&gt;"",FT!E118,"")</f>
        <v>2 [47.151824]</v>
      </c>
      <c r="J118">
        <f>IF(FT!B118&lt;&gt;"",FT!C118,"")</f>
        <v>47.151800000000001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3.7096</v>
      </c>
      <c r="G119" s="61">
        <f>IF(FT!B119&lt;&gt;"",FT!B119*100,"")</f>
        <v>34.915900000000001</v>
      </c>
      <c r="H119" s="61">
        <f t="shared" si="9"/>
        <v>1</v>
      </c>
      <c r="I119" t="str">
        <f>IF(FT!B119&lt;&gt;"",FT!E119,"")</f>
        <v>2 [47.558658]</v>
      </c>
      <c r="J119">
        <f>IF(FT!B119&lt;&gt;"",FT!C119,"")</f>
        <v>47.558700000000002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3.7237499999999999</v>
      </c>
      <c r="G120" s="61">
        <f>IF(FT!B120&lt;&gt;"",FT!B120*100,"")</f>
        <v>34.610700000000001</v>
      </c>
      <c r="H120" s="61">
        <f t="shared" si="9"/>
        <v>1</v>
      </c>
      <c r="I120" t="str">
        <f>IF(FT!B120&lt;&gt;"",FT!E120,"")</f>
        <v>2 [47.966661]</v>
      </c>
      <c r="J120">
        <f>IF(FT!B120&lt;&gt;"",FT!C120,"")</f>
        <v>47.966700000000003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123631</v>
      </c>
      <c r="D121" s="61">
        <f>FH!B121*1</f>
        <v>123631</v>
      </c>
      <c r="E121">
        <f t="shared" si="11"/>
        <v>119</v>
      </c>
      <c r="F121" s="61">
        <f>IF(FT!A121&lt;&gt;"",FT!A121*10,"")</f>
        <v>3.7357299999999998</v>
      </c>
      <c r="G121" s="61">
        <f>IF(FT!B121&lt;&gt;"",FT!B121*100,"")</f>
        <v>34.402500000000003</v>
      </c>
      <c r="H121" s="61">
        <f t="shared" si="9"/>
        <v>1</v>
      </c>
      <c r="I121" t="str">
        <f>IF(FT!B121&lt;&gt;"",FT!E121,"")</f>
        <v>2 [48.370492]</v>
      </c>
      <c r="J121">
        <f>IF(FT!B121&lt;&gt;"",FT!C121,"")</f>
        <v>48.3705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3.7503500000000001</v>
      </c>
      <c r="G122" s="61">
        <f>IF(FT!B122&lt;&gt;"",FT!B122*100,"")</f>
        <v>34.210900000000002</v>
      </c>
      <c r="H122" s="61">
        <f t="shared" si="9"/>
        <v>1</v>
      </c>
      <c r="I122" t="str">
        <f>IF(FT!B122&lt;&gt;"",FT!E122,"")</f>
        <v>2 [48.780535]</v>
      </c>
      <c r="J122">
        <f>IF(FT!B122&lt;&gt;"",FT!C122,"")</f>
        <v>48.780500000000004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3.7663500000000001</v>
      </c>
      <c r="G123" s="61">
        <f>IF(FT!B123&lt;&gt;"",FT!B123*100,"")</f>
        <v>34.0762</v>
      </c>
      <c r="H123" s="61">
        <f t="shared" si="9"/>
        <v>1</v>
      </c>
      <c r="I123" t="str">
        <f>IF(FT!B123&lt;&gt;"",FT!E123,"")</f>
        <v>2 [49.185315]</v>
      </c>
      <c r="J123">
        <f>IF(FT!B123&lt;&gt;"",FT!C123,"")</f>
        <v>49.185299999999998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110873</v>
      </c>
      <c r="D124" s="61">
        <f>FH!B124*1</f>
        <v>110873</v>
      </c>
      <c r="E124">
        <f t="shared" si="11"/>
        <v>122</v>
      </c>
      <c r="F124" s="61">
        <f>IF(FT!A124&lt;&gt;"",FT!A124*10,"")</f>
        <v>3.78179</v>
      </c>
      <c r="G124" s="61">
        <f>IF(FT!B124&lt;&gt;"",FT!B124*100,"")</f>
        <v>33.932400000000001</v>
      </c>
      <c r="H124" s="61">
        <f t="shared" si="9"/>
        <v>1</v>
      </c>
      <c r="I124" t="str">
        <f>IF(FT!B124&lt;&gt;"",FT!E124,"")</f>
        <v>2 [49.591246]</v>
      </c>
      <c r="J124">
        <f>IF(FT!B124&lt;&gt;"",FT!C124,"")</f>
        <v>49.591200000000001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3.7938800000000001</v>
      </c>
      <c r="G125" s="61">
        <f>IF(FT!B125&lt;&gt;"",FT!B125*100,"")</f>
        <v>33.788000000000004</v>
      </c>
      <c r="H125" s="61">
        <f t="shared" si="9"/>
        <v>1</v>
      </c>
      <c r="I125" t="str">
        <f>IF(FT!B125&lt;&gt;"",FT!E125,"")</f>
        <v>2 [49.999179]</v>
      </c>
      <c r="J125">
        <f>IF(FT!B125&lt;&gt;"",FT!C125,"")</f>
        <v>49.999200000000002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89799</v>
      </c>
      <c r="D126" s="61">
        <f>FH!B126*1</f>
        <v>89799</v>
      </c>
      <c r="E126">
        <f t="shared" si="11"/>
        <v>124</v>
      </c>
      <c r="F126" s="61">
        <f>IF(FT!A126&lt;&gt;"",FT!A126*10,"")</f>
        <v>3.7957400000000003</v>
      </c>
      <c r="G126" s="61">
        <f>IF(FT!B126&lt;&gt;"",FT!B126*100,"")</f>
        <v>33.731699999999996</v>
      </c>
      <c r="H126" s="61">
        <f t="shared" si="9"/>
        <v>1</v>
      </c>
      <c r="I126" t="str">
        <f>IF(FT!B126&lt;&gt;"",FT!E126,"")</f>
        <v>2 [50.403030]</v>
      </c>
      <c r="J126">
        <f>IF(FT!B126&lt;&gt;"",FT!C126,"")</f>
        <v>50.402999999999999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3.7974599999999996</v>
      </c>
      <c r="G127" s="61">
        <f>IF(FT!B127&lt;&gt;"",FT!B127*100,"")</f>
        <v>33.695500000000003</v>
      </c>
      <c r="H127" s="61">
        <f t="shared" si="9"/>
        <v>1</v>
      </c>
      <c r="I127" t="str">
        <f>IF(FT!B127&lt;&gt;"",FT!E127,"")</f>
        <v>2 [50.809032]</v>
      </c>
      <c r="J127">
        <f>IF(FT!B127&lt;&gt;"",FT!C127,"")</f>
        <v>50.808999999999997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3.7980100000000001</v>
      </c>
      <c r="G128" s="61">
        <f>IF(FT!B128&lt;&gt;"",FT!B128*100,"")</f>
        <v>33.619900000000001</v>
      </c>
      <c r="H128" s="61">
        <f t="shared" si="9"/>
        <v>1</v>
      </c>
      <c r="I128" t="str">
        <f>IF(FT!B128&lt;&gt;"",FT!E128,"")</f>
        <v>2 [51.218877]</v>
      </c>
      <c r="J128">
        <f>IF(FT!B128&lt;&gt;"",FT!C128,"")</f>
        <v>51.218899999999998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82569</v>
      </c>
      <c r="D129" s="61">
        <f>FH!B129*1</f>
        <v>82569</v>
      </c>
      <c r="E129">
        <f t="shared" si="11"/>
        <v>127</v>
      </c>
      <c r="F129" s="61">
        <f>IF(FT!A129&lt;&gt;"",FT!A129*10,"")</f>
        <v>3.8037700000000001</v>
      </c>
      <c r="G129" s="61">
        <f>IF(FT!B129&lt;&gt;"",FT!B129*100,"")</f>
        <v>33.569400000000002</v>
      </c>
      <c r="H129" s="61">
        <f t="shared" si="9"/>
        <v>1</v>
      </c>
      <c r="I129" t="str">
        <f>IF(FT!B129&lt;&gt;"",FT!E129,"")</f>
        <v>2 [51.624828]</v>
      </c>
      <c r="J129">
        <f>IF(FT!B129&lt;&gt;"",FT!C129,"")</f>
        <v>51.6248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3.8093700000000004</v>
      </c>
      <c r="G130" s="61">
        <f>IF(FT!B130&lt;&gt;"",FT!B130*100,"")</f>
        <v>33.567500000000003</v>
      </c>
      <c r="H130" s="61">
        <f t="shared" si="9"/>
        <v>1</v>
      </c>
      <c r="I130" t="str">
        <f>IF(FT!B130&lt;&gt;"",FT!E130,"")</f>
        <v>2 [52.030716]</v>
      </c>
      <c r="J130">
        <f>IF(FT!B130&lt;&gt;"",FT!C130,"")</f>
        <v>52.030700000000003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81314</v>
      </c>
      <c r="D131" s="61">
        <f>FH!B131*1</f>
        <v>81314</v>
      </c>
      <c r="E131">
        <f t="shared" si="11"/>
        <v>129</v>
      </c>
      <c r="F131" s="61">
        <f>IF(FT!A131&lt;&gt;"",FT!A131*10,"")</f>
        <v>3.8161699999999996</v>
      </c>
      <c r="G131" s="61">
        <f>IF(FT!B131&lt;&gt;"",FT!B131*100,"")</f>
        <v>33.559600000000003</v>
      </c>
      <c r="H131" s="61">
        <f t="shared" ref="H131:H194" si="13">(IF(F131&lt;&gt;"",1,""))</f>
        <v>1</v>
      </c>
      <c r="I131" t="str">
        <f>IF(FT!B131&lt;&gt;"",FT!E131,"")</f>
        <v>2 [52.434603]</v>
      </c>
      <c r="J131">
        <f>IF(FT!B131&lt;&gt;"",FT!C131,"")</f>
        <v>52.434600000000003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3.8221400000000001</v>
      </c>
      <c r="G132" s="61">
        <f>IF(FT!B132&lt;&gt;"",FT!B132*100,"")</f>
        <v>33.5396</v>
      </c>
      <c r="H132" s="61">
        <f t="shared" si="13"/>
        <v>1</v>
      </c>
      <c r="I132" t="str">
        <f>IF(FT!B132&lt;&gt;"",FT!E132,"")</f>
        <v>2 [52.841654]</v>
      </c>
      <c r="J132">
        <f>IF(FT!B132&lt;&gt;"",FT!C132,"")</f>
        <v>52.841700000000003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3.8329499999999999</v>
      </c>
      <c r="G133" s="61">
        <f>IF(FT!B133&lt;&gt;"",FT!B133*100,"")</f>
        <v>33.522200000000005</v>
      </c>
      <c r="H133" s="61">
        <f t="shared" si="13"/>
        <v>1</v>
      </c>
      <c r="I133" t="str">
        <f>IF(FT!B133&lt;&gt;"",FT!E133,"")</f>
        <v>2 [53.245446]</v>
      </c>
      <c r="J133">
        <f>IF(FT!B133&lt;&gt;"",FT!C133,"")</f>
        <v>53.245399999999997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65147</v>
      </c>
      <c r="D134" s="61">
        <f>FH!B134*1</f>
        <v>65147</v>
      </c>
      <c r="E134">
        <f t="shared" si="15"/>
        <v>132</v>
      </c>
      <c r="F134" s="61">
        <f>IF(FT!A134&lt;&gt;"",FT!A134*10,"")</f>
        <v>3.8489599999999999</v>
      </c>
      <c r="G134" s="61">
        <f>IF(FT!B134&lt;&gt;"",FT!B134*100,"")</f>
        <v>33.590499999999999</v>
      </c>
      <c r="H134" s="61">
        <f t="shared" si="13"/>
        <v>1</v>
      </c>
      <c r="I134" t="str">
        <f>IF(FT!B134&lt;&gt;"",FT!E134,"")</f>
        <v>2 [53.651614]</v>
      </c>
      <c r="J134">
        <f>IF(FT!B134&lt;&gt;"",FT!C134,"")</f>
        <v>53.651600000000002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3.8693599999999999</v>
      </c>
      <c r="G135" s="61">
        <f>IF(FT!B135&lt;&gt;"",FT!B135*100,"")</f>
        <v>33.620699999999999</v>
      </c>
      <c r="H135" s="61">
        <f t="shared" si="13"/>
        <v>1</v>
      </c>
      <c r="I135" t="str">
        <f>IF(FT!B135&lt;&gt;"",FT!E135,"")</f>
        <v>2 [54.060544]</v>
      </c>
      <c r="J135">
        <f>IF(FT!B135&lt;&gt;"",FT!C135,"")</f>
        <v>54.060499999999998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56548</v>
      </c>
      <c r="D136" s="61">
        <f>FH!B136*1</f>
        <v>56548</v>
      </c>
      <c r="E136">
        <f t="shared" si="15"/>
        <v>134</v>
      </c>
      <c r="F136" s="61">
        <f>IF(FT!A136&lt;&gt;"",FT!A136*10,"")</f>
        <v>3.89059</v>
      </c>
      <c r="G136" s="61">
        <f>IF(FT!B136&lt;&gt;"",FT!B136*100,"")</f>
        <v>33.633000000000003</v>
      </c>
      <c r="H136" s="61">
        <f t="shared" si="13"/>
        <v>1</v>
      </c>
      <c r="I136" t="str">
        <f>IF(FT!B136&lt;&gt;"",FT!E136,"")</f>
        <v>2 [54.463324]</v>
      </c>
      <c r="J136">
        <f>IF(FT!B136&lt;&gt;"",FT!C136,"")</f>
        <v>54.463299999999997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3.9138099999999998</v>
      </c>
      <c r="G137" s="61">
        <f>IF(FT!B137&lt;&gt;"",FT!B137*100,"")</f>
        <v>33.599699999999999</v>
      </c>
      <c r="H137" s="61">
        <f t="shared" si="13"/>
        <v>1</v>
      </c>
      <c r="I137" t="str">
        <f>IF(FT!B137&lt;&gt;"",FT!E137,"")</f>
        <v>2 [54.872109]</v>
      </c>
      <c r="J137">
        <f>IF(FT!B137&lt;&gt;"",FT!C137,"")</f>
        <v>54.872100000000003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3.9396100000000001</v>
      </c>
      <c r="G138" s="61">
        <f>IF(FT!B138&lt;&gt;"",FT!B138*100,"")</f>
        <v>33.602499999999999</v>
      </c>
      <c r="H138" s="61">
        <f t="shared" si="13"/>
        <v>1</v>
      </c>
      <c r="I138" t="str">
        <f>IF(FT!B138&lt;&gt;"",FT!E138,"")</f>
        <v>2 [55.279053]</v>
      </c>
      <c r="J138">
        <f>IF(FT!B138&lt;&gt;"",FT!C138,"")</f>
        <v>55.2791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43512</v>
      </c>
      <c r="D139" s="61">
        <f>FH!B139*1</f>
        <v>43512</v>
      </c>
      <c r="E139">
        <f t="shared" si="15"/>
        <v>137</v>
      </c>
      <c r="F139" s="61">
        <f>IF(FT!A139&lt;&gt;"",FT!A139*10,"")</f>
        <v>3.9629300000000001</v>
      </c>
      <c r="G139" s="61">
        <f>IF(FT!B139&lt;&gt;"",FT!B139*100,"")</f>
        <v>33.4482</v>
      </c>
      <c r="H139" s="61">
        <f t="shared" si="13"/>
        <v>1</v>
      </c>
      <c r="I139" t="str">
        <f>IF(FT!B139&lt;&gt;"",FT!E139,"")</f>
        <v>2 [55.688038]</v>
      </c>
      <c r="J139">
        <f>IF(FT!B139&lt;&gt;"",FT!C139,"")</f>
        <v>55.688000000000002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3.9799800000000003</v>
      </c>
      <c r="G140" s="61">
        <f>IF(FT!B140&lt;&gt;"",FT!B140*100,"")</f>
        <v>33.198100000000004</v>
      </c>
      <c r="H140" s="61">
        <f t="shared" si="13"/>
        <v>1</v>
      </c>
      <c r="I140" t="str">
        <f>IF(FT!B140&lt;&gt;"",FT!E140,"")</f>
        <v>2 [56.091951]</v>
      </c>
      <c r="J140">
        <f>IF(FT!B140&lt;&gt;"",FT!C140,"")</f>
        <v>56.091999999999999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3.99566</v>
      </c>
      <c r="G141" s="61">
        <f>IF(FT!B141&lt;&gt;"",FT!B141*100,"")</f>
        <v>32.926100000000005</v>
      </c>
      <c r="H141" s="61">
        <f t="shared" si="13"/>
        <v>1</v>
      </c>
      <c r="I141" t="str">
        <f>IF(FT!B141&lt;&gt;"",FT!E141,"")</f>
        <v>2 [56.500920]</v>
      </c>
      <c r="J141">
        <f>IF(FT!B141&lt;&gt;"",FT!C141,"")</f>
        <v>56.500900000000001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35686</v>
      </c>
      <c r="D142" s="61">
        <f>FH!B142*1</f>
        <v>35686</v>
      </c>
      <c r="E142">
        <f t="shared" si="15"/>
        <v>140</v>
      </c>
      <c r="F142" s="61">
        <f>IF(FT!A142&lt;&gt;"",FT!A142*10,"")</f>
        <v>4.0090300000000001</v>
      </c>
      <c r="G142" s="61">
        <f>IF(FT!B142&lt;&gt;"",FT!B142*100,"")</f>
        <v>32.681800000000003</v>
      </c>
      <c r="H142" s="61">
        <f t="shared" si="13"/>
        <v>1</v>
      </c>
      <c r="I142" t="str">
        <f>IF(FT!B142&lt;&gt;"",FT!E142,"")</f>
        <v>2 [56.902698]</v>
      </c>
      <c r="J142">
        <f>IF(FT!B142&lt;&gt;"",FT!C142,"")</f>
        <v>56.902700000000003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4.0223399999999998</v>
      </c>
      <c r="G143" s="61">
        <f>IF(FT!B143&lt;&gt;"",FT!B143*100,"")</f>
        <v>32.5167</v>
      </c>
      <c r="H143" s="61">
        <f t="shared" si="13"/>
        <v>1</v>
      </c>
      <c r="I143" t="str">
        <f>IF(FT!B143&lt;&gt;"",FT!E143,"")</f>
        <v>2 [57.312911]</v>
      </c>
      <c r="J143">
        <f>IF(FT!B143&lt;&gt;"",FT!C143,"")</f>
        <v>57.312899999999999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31029</v>
      </c>
      <c r="D144" s="61">
        <f>FH!B144*1</f>
        <v>31029</v>
      </c>
      <c r="E144">
        <f t="shared" si="15"/>
        <v>142</v>
      </c>
      <c r="F144" s="61">
        <f>IF(FT!A144&lt;&gt;"",FT!A144*10,"")</f>
        <v>4.0331400000000004</v>
      </c>
      <c r="G144" s="61">
        <f>IF(FT!B144&lt;&gt;"",FT!B144*100,"")</f>
        <v>32.496600000000001</v>
      </c>
      <c r="H144" s="61">
        <f t="shared" si="13"/>
        <v>1</v>
      </c>
      <c r="I144" t="str">
        <f>IF(FT!B144&lt;&gt;"",FT!E144,"")</f>
        <v>2 [57.720535]</v>
      </c>
      <c r="J144">
        <f>IF(FT!B144&lt;&gt;"",FT!C144,"")</f>
        <v>57.720500000000001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4.0373000000000001</v>
      </c>
      <c r="G145" s="61">
        <f>IF(FT!B145&lt;&gt;"",FT!B145*100,"")</f>
        <v>32.673499999999997</v>
      </c>
      <c r="H145" s="61">
        <f t="shared" si="13"/>
        <v>1</v>
      </c>
      <c r="I145" t="str">
        <f>IF(FT!B145&lt;&gt;"",FT!E145,"")</f>
        <v>2 [58.124472]</v>
      </c>
      <c r="J145">
        <f>IF(FT!B145&lt;&gt;"",FT!C145,"")</f>
        <v>58.124499999999998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4.0403000000000002</v>
      </c>
      <c r="G146" s="61">
        <f>IF(FT!B146&lt;&gt;"",FT!B146*100,"")</f>
        <v>32.6496</v>
      </c>
      <c r="H146" s="61">
        <f t="shared" si="13"/>
        <v>1</v>
      </c>
      <c r="I146" t="str">
        <f>IF(FT!B146&lt;&gt;"",FT!E146,"")</f>
        <v>2 [58.533356]</v>
      </c>
      <c r="J146">
        <f>IF(FT!B146&lt;&gt;"",FT!C146,"")</f>
        <v>58.5334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31708</v>
      </c>
      <c r="D147" s="61">
        <f>FH!B147*1</f>
        <v>31708</v>
      </c>
      <c r="E147">
        <f t="shared" si="15"/>
        <v>145</v>
      </c>
      <c r="F147" s="61">
        <f>IF(FT!A147&lt;&gt;"",FT!A147*10,"")</f>
        <v>4.0414399999999997</v>
      </c>
      <c r="G147" s="61">
        <f>IF(FT!B147&lt;&gt;"",FT!B147*100,"")</f>
        <v>32.602199999999996</v>
      </c>
      <c r="H147" s="61">
        <f t="shared" si="13"/>
        <v>1</v>
      </c>
      <c r="I147" t="str">
        <f>IF(FT!B147&lt;&gt;"",FT!E147,"")</f>
        <v>2 [58.939389]</v>
      </c>
      <c r="J147">
        <f>IF(FT!B147&lt;&gt;"",FT!C147,"")</f>
        <v>58.939399999999999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4.0324299999999997</v>
      </c>
      <c r="G148" s="61">
        <f>IF(FT!B148&lt;&gt;"",FT!B148*100,"")</f>
        <v>32.543599999999998</v>
      </c>
      <c r="H148" s="61">
        <f t="shared" si="13"/>
        <v>1</v>
      </c>
      <c r="I148" t="str">
        <f>IF(FT!B148&lt;&gt;"",FT!E148,"")</f>
        <v>2 [59.341268]</v>
      </c>
      <c r="J148">
        <f>IF(FT!B148&lt;&gt;"",FT!C148,"")</f>
        <v>59.341299999999997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27138</v>
      </c>
      <c r="D149" s="61">
        <f>FH!B149*1</f>
        <v>27138</v>
      </c>
      <c r="E149">
        <f t="shared" si="15"/>
        <v>147</v>
      </c>
      <c r="F149" s="61">
        <f>IF(FT!A149&lt;&gt;"",FT!A149*10,"")</f>
        <v>4.0218100000000003</v>
      </c>
      <c r="G149" s="61">
        <f>IF(FT!B149&lt;&gt;"",FT!B149*100,"")</f>
        <v>32.510099999999994</v>
      </c>
      <c r="H149" s="61">
        <f t="shared" si="13"/>
        <v>1</v>
      </c>
      <c r="I149" t="str">
        <f>IF(FT!B149&lt;&gt;"",FT!E149,"")</f>
        <v>2 [59.748273]</v>
      </c>
      <c r="J149">
        <f>IF(FT!B149&lt;&gt;"",FT!C149,"")</f>
        <v>59.7483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22460</v>
      </c>
      <c r="D152" s="61">
        <f>FH!B152*1</f>
        <v>22460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24612</v>
      </c>
      <c r="D154" s="61">
        <f>FH!B154*1</f>
        <v>24612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20352</v>
      </c>
      <c r="D157" s="61">
        <f>FH!B157*1</f>
        <v>20352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19930</v>
      </c>
      <c r="D160" s="61">
        <f>FH!B160*1</f>
        <v>19930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18067</v>
      </c>
      <c r="D162" s="61">
        <f>FH!B162*1</f>
        <v>18067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16691</v>
      </c>
      <c r="D165" s="61">
        <f>FH!B165*1</f>
        <v>16691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18577</v>
      </c>
      <c r="D167" s="61">
        <f>FH!B167*1</f>
        <v>18577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16859</v>
      </c>
      <c r="D170" s="61">
        <f>FH!B170*1</f>
        <v>16859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14013</v>
      </c>
      <c r="D173" s="61">
        <f>FH!B173*1</f>
        <v>14013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15980</v>
      </c>
      <c r="D175" s="61">
        <f>FH!B175*1</f>
        <v>15980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15222</v>
      </c>
      <c r="D178" s="61">
        <f>FH!B178*1</f>
        <v>15222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12169</v>
      </c>
      <c r="D180" s="61">
        <f>FH!B180*1</f>
        <v>12169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10102</v>
      </c>
      <c r="D183" s="61">
        <f>FH!B183*1</f>
        <v>10102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9013</v>
      </c>
      <c r="D185" s="61">
        <f>FH!B185*1</f>
        <v>9013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7203</v>
      </c>
      <c r="D188" s="61">
        <f>FH!B188*1</f>
        <v>7203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6590</v>
      </c>
      <c r="D191" s="61">
        <f>FH!B191*1</f>
        <v>6590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9879</v>
      </c>
      <c r="D193" s="61">
        <f>FH!B193*1</f>
        <v>9879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8094</v>
      </c>
      <c r="D196" s="61">
        <f>FH!B196*1</f>
        <v>8094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4795</v>
      </c>
      <c r="D198" s="61">
        <f>FH!B198*1</f>
        <v>4795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3674</v>
      </c>
      <c r="D201" s="61">
        <f>FH!B201*1</f>
        <v>3674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3275</v>
      </c>
      <c r="D203" s="61">
        <f>FH!B203*1</f>
        <v>3275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2995</v>
      </c>
      <c r="D206" s="61">
        <f>FH!B206*1</f>
        <v>2995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1152</v>
      </c>
      <c r="D209" s="61">
        <f>FH!B209*1</f>
        <v>1152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808</v>
      </c>
      <c r="D211" s="61">
        <f>FH!B211*1</f>
        <v>808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599</v>
      </c>
      <c r="D214" s="61">
        <f>FH!B214*1</f>
        <v>599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341</v>
      </c>
      <c r="D216" s="61">
        <f>FH!B216*1</f>
        <v>341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1218</v>
      </c>
      <c r="D219" s="61">
        <f>FH!B219*1</f>
        <v>1218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1489</v>
      </c>
      <c r="D221" s="61">
        <f>FH!B221*1</f>
        <v>1489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338</v>
      </c>
      <c r="D224" s="61">
        <f>FH!B224*1</f>
        <v>338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69</v>
      </c>
      <c r="D227" s="61">
        <f>FH!B227*1</f>
        <v>69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70</v>
      </c>
      <c r="D229" s="61">
        <f>FH!B229*1</f>
        <v>70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483</v>
      </c>
      <c r="D232" s="61">
        <f>FH!B232*1</f>
        <v>483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393</v>
      </c>
      <c r="D234" s="61">
        <f>FH!B234*1</f>
        <v>393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43.502600000000001</v>
      </c>
      <c r="C5" s="66">
        <v>9.4477200000000003</v>
      </c>
      <c r="D5" s="66">
        <v>21.717600000000001</v>
      </c>
      <c r="E5" s="66">
        <v>20</v>
      </c>
      <c r="F5" s="66">
        <v>10.3384</v>
      </c>
      <c r="G5" s="66">
        <v>50</v>
      </c>
      <c r="H5" s="66">
        <v>49.692</v>
      </c>
    </row>
    <row r="6" spans="1:8">
      <c r="A6" s="58" t="s">
        <v>303</v>
      </c>
      <c r="B6" s="66">
        <v>34.7654</v>
      </c>
      <c r="C6" s="66">
        <v>3.6514199999999999</v>
      </c>
      <c r="D6" s="66">
        <v>10.503</v>
      </c>
      <c r="E6" s="66">
        <v>20</v>
      </c>
      <c r="F6" s="66">
        <v>23.146999999999998</v>
      </c>
      <c r="G6" s="66">
        <v>40</v>
      </c>
      <c r="H6" s="66">
        <v>40.252499999999998</v>
      </c>
    </row>
    <row r="7" spans="1:8">
      <c r="A7" s="58" t="s">
        <v>304</v>
      </c>
      <c r="B7" s="66">
        <v>36.290500000000002</v>
      </c>
      <c r="C7" s="66">
        <v>6.1948699999999999</v>
      </c>
      <c r="D7" s="66">
        <v>17.0702</v>
      </c>
      <c r="E7" s="66">
        <v>15</v>
      </c>
      <c r="F7" s="66">
        <v>11.8569</v>
      </c>
      <c r="G7" s="66">
        <v>40</v>
      </c>
      <c r="H7" s="66">
        <v>43.069000000000003</v>
      </c>
    </row>
    <row r="8" spans="1:8">
      <c r="A8" s="58" t="s">
        <v>305</v>
      </c>
      <c r="B8" s="66">
        <v>38.813400000000001</v>
      </c>
      <c r="C8" s="66">
        <v>6.1581799999999998</v>
      </c>
      <c r="D8" s="66">
        <v>15.866099999999999</v>
      </c>
      <c r="E8" s="66">
        <v>20</v>
      </c>
      <c r="F8" s="66">
        <v>14.5817</v>
      </c>
      <c r="G8" s="66">
        <v>50</v>
      </c>
      <c r="H8" s="66">
        <v>42.0167</v>
      </c>
    </row>
    <row r="9" spans="1:8">
      <c r="A9" s="58" t="s">
        <v>306</v>
      </c>
      <c r="B9" s="66">
        <v>62.978200000000001</v>
      </c>
      <c r="C9" s="66">
        <v>8.3438400000000001</v>
      </c>
      <c r="D9" s="66">
        <v>13.248799999999999</v>
      </c>
      <c r="E9" s="66">
        <v>50</v>
      </c>
      <c r="F9" s="66">
        <v>45.759099999999997</v>
      </c>
      <c r="G9" s="66">
        <v>100</v>
      </c>
      <c r="H9" s="66">
        <v>76.593000000000004</v>
      </c>
    </row>
    <row r="10" spans="1:8">
      <c r="A10" s="58" t="s">
        <v>307</v>
      </c>
      <c r="B10" s="66">
        <v>63.679400000000001</v>
      </c>
      <c r="C10" s="66">
        <v>4.2355799999999997</v>
      </c>
      <c r="D10" s="66">
        <v>6.6514199999999999</v>
      </c>
      <c r="E10" s="66">
        <v>40</v>
      </c>
      <c r="F10" s="66">
        <v>56.374600000000001</v>
      </c>
      <c r="G10" s="66">
        <v>100</v>
      </c>
      <c r="H10" s="66">
        <v>74.356499999999997</v>
      </c>
    </row>
    <row r="11" spans="1:8">
      <c r="A11" s="58" t="s">
        <v>308</v>
      </c>
      <c r="B11" s="66">
        <v>23.8279</v>
      </c>
      <c r="C11" s="66">
        <v>4.9926300000000001</v>
      </c>
      <c r="D11" s="66">
        <v>20.9529</v>
      </c>
      <c r="E11" s="66">
        <v>10</v>
      </c>
      <c r="F11" s="66">
        <v>6.6550799999999999</v>
      </c>
      <c r="G11" s="66">
        <v>50</v>
      </c>
      <c r="H11" s="66">
        <v>28.144200000000001</v>
      </c>
    </row>
    <row r="12" spans="1:8">
      <c r="A12" s="58" t="s">
        <v>309</v>
      </c>
      <c r="B12" s="66">
        <v>62.243299999999998</v>
      </c>
      <c r="C12" s="66">
        <v>5.3019800000000004</v>
      </c>
      <c r="D12" s="66">
        <v>8.5181500000000003</v>
      </c>
      <c r="E12" s="66">
        <v>50</v>
      </c>
      <c r="F12" s="66">
        <v>54.121000000000002</v>
      </c>
      <c r="G12" s="66">
        <v>100</v>
      </c>
      <c r="H12" s="66">
        <v>74.693299999999994</v>
      </c>
    </row>
    <row r="13" spans="1:8">
      <c r="A13" s="58" t="s">
        <v>310</v>
      </c>
      <c r="B13" s="66">
        <v>21.6279</v>
      </c>
      <c r="C13" s="66">
        <v>2.68248</v>
      </c>
      <c r="D13" s="66">
        <v>12.402900000000001</v>
      </c>
      <c r="E13" s="66">
        <v>10</v>
      </c>
      <c r="F13" s="66">
        <v>15.5685</v>
      </c>
      <c r="G13" s="66">
        <v>25</v>
      </c>
      <c r="H13" s="66">
        <v>29.4786</v>
      </c>
    </row>
    <row r="14" spans="1:8">
      <c r="A14" s="58" t="s">
        <v>311</v>
      </c>
      <c r="B14" s="66">
        <v>26.8248</v>
      </c>
      <c r="C14" s="66">
        <v>9.6096400000000006</v>
      </c>
      <c r="D14" s="66">
        <v>35.823700000000002</v>
      </c>
      <c r="E14" s="66">
        <v>10</v>
      </c>
      <c r="F14" s="66">
        <v>1.3661300000000001</v>
      </c>
      <c r="G14" s="66">
        <v>50</v>
      </c>
      <c r="H14" s="66">
        <v>34.125399999999999</v>
      </c>
    </row>
    <row r="15" spans="1:8">
      <c r="A15" s="58" t="s">
        <v>312</v>
      </c>
      <c r="B15" s="66">
        <v>3.3803E-2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6.67957E-2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16.275500000000001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0.44817000000000001</v>
      </c>
      <c r="C18" s="66">
        <v>6.5774799999999994E-2</v>
      </c>
      <c r="D18" s="66">
        <v>0.146763</v>
      </c>
      <c r="E18" s="66">
        <v>0</v>
      </c>
      <c r="F18" s="66">
        <v>0.38239499999999998</v>
      </c>
      <c r="G18" s="66">
        <v>0</v>
      </c>
      <c r="H18" s="66">
        <v>0.51394499999999999</v>
      </c>
    </row>
    <row r="19" spans="1:8">
      <c r="A19" s="58" t="s">
        <v>316</v>
      </c>
      <c r="B19" s="66">
        <v>0.50645700000000005</v>
      </c>
      <c r="C19" s="66">
        <v>5.0574399999999999E-2</v>
      </c>
      <c r="D19" s="66">
        <v>9.9859299999999998E-2</v>
      </c>
      <c r="E19" s="66">
        <v>0</v>
      </c>
      <c r="F19" s="66">
        <v>0.45588200000000001</v>
      </c>
      <c r="G19" s="66">
        <v>0</v>
      </c>
      <c r="H19" s="66">
        <v>0.55703100000000005</v>
      </c>
    </row>
    <row r="20" spans="1:8">
      <c r="A20" s="58" t="s">
        <v>317</v>
      </c>
      <c r="B20" s="66">
        <v>7.7124799999999999E-4</v>
      </c>
      <c r="C20" s="66">
        <v>1.8504799999999998E-2</v>
      </c>
      <c r="D20" s="66">
        <v>23.993400000000001</v>
      </c>
      <c r="E20" s="66">
        <v>0</v>
      </c>
      <c r="F20" s="196">
        <v>3.9146200000000001E-5</v>
      </c>
      <c r="G20" s="66">
        <v>0</v>
      </c>
      <c r="H20" s="66">
        <v>0.11480899999999999</v>
      </c>
    </row>
    <row r="21" spans="1:8">
      <c r="A21" s="58" t="s">
        <v>318</v>
      </c>
      <c r="B21" s="66">
        <v>7.0316199999999995E-2</v>
      </c>
      <c r="C21" s="66">
        <v>0.109144</v>
      </c>
      <c r="D21" s="66">
        <v>1.55219</v>
      </c>
      <c r="E21" s="66">
        <v>0</v>
      </c>
      <c r="F21" s="66">
        <v>2.0461500000000001E-3</v>
      </c>
      <c r="G21" s="66">
        <v>0</v>
      </c>
      <c r="H21" s="66">
        <v>0.76297499999999996</v>
      </c>
    </row>
    <row r="22" spans="1:8">
      <c r="A22" s="58" t="s">
        <v>319</v>
      </c>
      <c r="B22" s="66">
        <v>43.389899999999997</v>
      </c>
      <c r="C22" s="66">
        <v>9.4100900000000003</v>
      </c>
      <c r="D22" s="66">
        <v>0.21687300000000001</v>
      </c>
      <c r="E22" s="66">
        <v>0</v>
      </c>
      <c r="F22" s="66">
        <v>21.2972</v>
      </c>
      <c r="G22" s="66">
        <v>0</v>
      </c>
      <c r="H22" s="66">
        <v>71.357799999999997</v>
      </c>
    </row>
    <row r="23" spans="1:8">
      <c r="A23" s="58" t="s">
        <v>320</v>
      </c>
      <c r="B23" s="66">
        <v>20.1556</v>
      </c>
      <c r="C23" s="66">
        <v>3.49722</v>
      </c>
      <c r="D23" s="66">
        <v>0.173511</v>
      </c>
      <c r="E23" s="66">
        <v>0</v>
      </c>
      <c r="F23" s="66">
        <v>8.9075199999999999</v>
      </c>
      <c r="G23" s="66">
        <v>0</v>
      </c>
      <c r="H23" s="66">
        <v>22.036899999999999</v>
      </c>
    </row>
    <row r="24" spans="1:8">
      <c r="A24" s="58" t="s">
        <v>321</v>
      </c>
      <c r="B24" s="66">
        <v>7.2306100000000002E-3</v>
      </c>
      <c r="C24" s="66">
        <v>8.5474399999999999E-3</v>
      </c>
      <c r="D24" s="66">
        <v>1.1821200000000001</v>
      </c>
      <c r="E24" s="66">
        <v>0</v>
      </c>
      <c r="F24" s="66">
        <v>2.0252200000000001E-4</v>
      </c>
      <c r="G24" s="66">
        <v>0</v>
      </c>
      <c r="H24" s="66">
        <v>3.5431900000000002E-2</v>
      </c>
    </row>
    <row r="25" spans="1:8">
      <c r="A25" s="58" t="s">
        <v>322</v>
      </c>
      <c r="B25" s="66">
        <v>8.7664400000000003E-2</v>
      </c>
      <c r="C25" s="66">
        <v>8.1556299999999998E-2</v>
      </c>
      <c r="D25" s="66">
        <v>0.93032400000000004</v>
      </c>
      <c r="E25" s="66">
        <v>0</v>
      </c>
      <c r="F25" s="66">
        <v>2.6575600000000001E-2</v>
      </c>
      <c r="G25" s="66">
        <v>0</v>
      </c>
      <c r="H25" s="66">
        <v>0.54280099999999998</v>
      </c>
    </row>
    <row r="26" spans="1:8">
      <c r="A26" s="58" t="s">
        <v>323</v>
      </c>
      <c r="B26" s="66">
        <v>2.36345E-4</v>
      </c>
      <c r="C26" s="66">
        <v>1.3940599999999999E-3</v>
      </c>
      <c r="D26" s="66">
        <v>5.8984399999999999</v>
      </c>
      <c r="E26" s="66">
        <v>0</v>
      </c>
      <c r="F26" s="196">
        <v>1.64128E-5</v>
      </c>
      <c r="G26" s="66">
        <v>0</v>
      </c>
      <c r="H26" s="66">
        <v>8.4066399999999999E-3</v>
      </c>
    </row>
    <row r="27" spans="1:8">
      <c r="A27" s="58" t="s">
        <v>324</v>
      </c>
      <c r="B27" s="196">
        <v>-1.31303E-5</v>
      </c>
      <c r="C27" s="66">
        <v>1.2491799999999999E-3</v>
      </c>
      <c r="D27" s="66">
        <v>-95.137699999999995</v>
      </c>
      <c r="E27" s="66">
        <v>0</v>
      </c>
      <c r="F27" s="66">
        <v>-6.1022799999999999E-3</v>
      </c>
      <c r="G27" s="66">
        <v>0</v>
      </c>
      <c r="H27" s="66">
        <v>5.2980600000000003E-3</v>
      </c>
    </row>
    <row r="28" spans="1:8">
      <c r="A28" s="58" t="s">
        <v>325</v>
      </c>
      <c r="B28" s="66">
        <v>9.8909500000000008E-3</v>
      </c>
      <c r="C28" s="66">
        <v>1.04793E-2</v>
      </c>
      <c r="D28" s="66">
        <v>1.05948</v>
      </c>
      <c r="E28" s="66">
        <v>0</v>
      </c>
      <c r="F28" s="66">
        <v>5.8919300000000001E-4</v>
      </c>
      <c r="G28" s="66">
        <v>0</v>
      </c>
      <c r="H28" s="66">
        <v>6.5722699999999995E-2</v>
      </c>
    </row>
    <row r="29" spans="1:8">
      <c r="A29" s="58" t="s">
        <v>326</v>
      </c>
      <c r="B29" s="66">
        <v>78.049800000000005</v>
      </c>
      <c r="C29" s="66">
        <v>8.0357099999999999</v>
      </c>
      <c r="D29" s="66">
        <v>0.10295600000000001</v>
      </c>
      <c r="E29" s="66">
        <v>0</v>
      </c>
      <c r="F29" s="66">
        <v>53.662700000000001</v>
      </c>
      <c r="G29" s="66">
        <v>0</v>
      </c>
      <c r="H29" s="66">
        <v>103.456</v>
      </c>
    </row>
    <row r="30" spans="1:8">
      <c r="A30" s="58" t="s">
        <v>327</v>
      </c>
      <c r="B30" s="66">
        <v>30.799900000000001</v>
      </c>
      <c r="C30" s="66">
        <v>6.9331500000000004</v>
      </c>
      <c r="D30" s="66">
        <v>0.225103</v>
      </c>
      <c r="E30" s="66">
        <v>0</v>
      </c>
      <c r="F30" s="66">
        <v>9.9454899999999995</v>
      </c>
      <c r="G30" s="66">
        <v>0</v>
      </c>
      <c r="H30" s="66">
        <v>35.275599999999997</v>
      </c>
    </row>
    <row r="31" spans="1:8">
      <c r="A31" s="58" t="s">
        <v>328</v>
      </c>
      <c r="B31" s="66">
        <v>289.8</v>
      </c>
      <c r="C31" s="66">
        <v>103.04900000000001</v>
      </c>
      <c r="D31" s="66">
        <v>0.35558699999999999</v>
      </c>
      <c r="E31" s="66">
        <v>0</v>
      </c>
      <c r="F31" s="66">
        <v>49.178199999999997</v>
      </c>
      <c r="G31" s="66">
        <v>0</v>
      </c>
      <c r="H31" s="66">
        <v>427.786</v>
      </c>
    </row>
    <row r="32" spans="1:8">
      <c r="A32" s="58" t="s">
        <v>329</v>
      </c>
      <c r="B32" s="66">
        <v>0.36290499999999998</v>
      </c>
      <c r="C32" s="66">
        <v>6.1948700000000002E-2</v>
      </c>
      <c r="D32" s="66">
        <v>0.17070199999999999</v>
      </c>
      <c r="E32" s="66">
        <v>0.15</v>
      </c>
      <c r="F32" s="66">
        <v>0.11856899999999999</v>
      </c>
      <c r="G32" s="66">
        <v>0.4</v>
      </c>
      <c r="H32" s="66">
        <v>0.43069000000000002</v>
      </c>
    </row>
    <row r="33" spans="1:8">
      <c r="A33" s="58" t="s">
        <v>330</v>
      </c>
      <c r="B33" s="66">
        <v>0.44360899999999998</v>
      </c>
      <c r="C33" s="66">
        <v>8.0201999999999996E-2</v>
      </c>
      <c r="D33" s="66">
        <v>0.18079400000000001</v>
      </c>
      <c r="E33" s="66">
        <v>0</v>
      </c>
      <c r="F33" s="66">
        <v>0.23987800000000001</v>
      </c>
      <c r="G33" s="66">
        <v>0</v>
      </c>
      <c r="H33" s="66">
        <v>0.50611799999999996</v>
      </c>
    </row>
    <row r="34" spans="1:8">
      <c r="A34" s="58" t="s">
        <v>331</v>
      </c>
      <c r="B34" s="66">
        <v>0.216279</v>
      </c>
      <c r="C34" s="66">
        <v>2.6824799999999999E-2</v>
      </c>
      <c r="D34" s="66">
        <v>0.124029</v>
      </c>
      <c r="E34" s="66">
        <v>0.1</v>
      </c>
      <c r="F34" s="66">
        <v>0.15568499999999999</v>
      </c>
      <c r="G34" s="66">
        <v>0.25</v>
      </c>
      <c r="H34" s="66">
        <v>0.29478599999999999</v>
      </c>
    </row>
    <row r="35" spans="1:8">
      <c r="A35" s="58" t="s">
        <v>332</v>
      </c>
      <c r="B35" s="66">
        <v>9.7968100000000002E-2</v>
      </c>
      <c r="C35" s="66">
        <v>2.4532399999999999E-2</v>
      </c>
      <c r="D35" s="66">
        <v>0.250413</v>
      </c>
      <c r="E35" s="66">
        <v>0</v>
      </c>
      <c r="F35" s="66">
        <v>4.8657600000000002E-2</v>
      </c>
      <c r="G35" s="66">
        <v>0</v>
      </c>
      <c r="H35" s="66">
        <v>0.193465</v>
      </c>
    </row>
    <row r="36" spans="1:8">
      <c r="A36" s="58" t="s">
        <v>333</v>
      </c>
      <c r="B36" s="66">
        <v>0.16881099999999999</v>
      </c>
      <c r="C36" s="66">
        <v>0.10760500000000001</v>
      </c>
      <c r="D36" s="66">
        <v>0.63742900000000002</v>
      </c>
      <c r="E36" s="66">
        <v>0</v>
      </c>
      <c r="F36" s="66">
        <v>4.1952000000000003E-2</v>
      </c>
      <c r="G36" s="66">
        <v>0</v>
      </c>
      <c r="H36" s="66">
        <v>0.64705000000000001</v>
      </c>
    </row>
    <row r="37" spans="1:8">
      <c r="A37" s="58" t="s">
        <v>334</v>
      </c>
      <c r="B37" s="66">
        <v>0.26824799999999999</v>
      </c>
      <c r="C37" s="66">
        <v>9.6096399999999998E-2</v>
      </c>
      <c r="D37" s="66">
        <v>0.35823700000000003</v>
      </c>
      <c r="E37" s="66">
        <v>0.1</v>
      </c>
      <c r="F37" s="66">
        <v>1.3661299999999999E-2</v>
      </c>
      <c r="G37" s="66">
        <v>0.5</v>
      </c>
      <c r="H37" s="66">
        <v>0.341254</v>
      </c>
    </row>
    <row r="38" spans="1:8">
      <c r="A38" s="58" t="s">
        <v>335</v>
      </c>
      <c r="B38" s="66">
        <v>-0.33627200000000002</v>
      </c>
      <c r="C38" s="66">
        <v>60.556800000000003</v>
      </c>
      <c r="D38" s="66">
        <v>-180.083</v>
      </c>
      <c r="E38" s="66">
        <v>0</v>
      </c>
      <c r="F38" s="66">
        <v>-272.697</v>
      </c>
      <c r="G38" s="66">
        <v>0</v>
      </c>
      <c r="H38" s="66">
        <v>283.68799999999999</v>
      </c>
    </row>
    <row r="39" spans="1:8">
      <c r="A39" s="58" t="s">
        <v>336</v>
      </c>
      <c r="B39" s="66">
        <v>2.8140399999999999</v>
      </c>
      <c r="C39" s="66">
        <v>8.3283500000000004</v>
      </c>
      <c r="D39" s="66">
        <v>2.9595699999999998</v>
      </c>
      <c r="E39" s="66">
        <v>0</v>
      </c>
      <c r="F39" s="66">
        <v>-8.6733700000000002</v>
      </c>
      <c r="G39" s="66">
        <v>0</v>
      </c>
      <c r="H39" s="66">
        <v>46.908299999999997</v>
      </c>
    </row>
    <row r="40" spans="1:8">
      <c r="A40" s="58" t="s">
        <v>337</v>
      </c>
      <c r="B40" s="66">
        <v>0.54304600000000003</v>
      </c>
      <c r="C40" s="66">
        <v>1.04931</v>
      </c>
      <c r="D40" s="66">
        <v>1.9322699999999999</v>
      </c>
      <c r="E40" s="66">
        <v>0</v>
      </c>
      <c r="F40" s="66">
        <v>-0.44065900000000002</v>
      </c>
      <c r="G40" s="66">
        <v>0</v>
      </c>
      <c r="H40" s="66">
        <v>2.63659</v>
      </c>
    </row>
    <row r="41" spans="1:8">
      <c r="A41" s="58" t="s">
        <v>338</v>
      </c>
      <c r="B41" s="66">
        <v>-1.8926200000000001E-2</v>
      </c>
      <c r="C41" s="66">
        <v>0.31920900000000002</v>
      </c>
      <c r="D41" s="66">
        <v>-16.866</v>
      </c>
      <c r="E41" s="66">
        <v>0</v>
      </c>
      <c r="F41" s="66">
        <v>-0.93103499999999995</v>
      </c>
      <c r="G41" s="66">
        <v>0</v>
      </c>
      <c r="H41" s="66">
        <v>1</v>
      </c>
    </row>
    <row r="42" spans="1:8">
      <c r="A42" s="58" t="s">
        <v>339</v>
      </c>
      <c r="B42" s="66">
        <v>5.9634399999999997E-2</v>
      </c>
      <c r="C42" s="66">
        <v>0.102687</v>
      </c>
      <c r="D42" s="66">
        <v>1.7219500000000001</v>
      </c>
      <c r="E42" s="66">
        <v>0</v>
      </c>
      <c r="F42" s="66">
        <v>-0.17614099999999999</v>
      </c>
      <c r="G42" s="66">
        <v>0</v>
      </c>
      <c r="H42" s="66">
        <v>0.42220600000000003</v>
      </c>
    </row>
    <row r="43" spans="1:8">
      <c r="A43" s="58" t="s">
        <v>340</v>
      </c>
      <c r="B43" s="66">
        <v>0.108555</v>
      </c>
      <c r="C43" s="66">
        <v>6.8441399999999999E-2</v>
      </c>
      <c r="D43" s="66">
        <v>0.63047600000000004</v>
      </c>
      <c r="E43" s="66">
        <v>0</v>
      </c>
      <c r="F43" s="66">
        <v>4.4165299999999998E-2</v>
      </c>
      <c r="G43" s="66">
        <v>0</v>
      </c>
      <c r="H43" s="66">
        <v>0.24898999999999999</v>
      </c>
    </row>
    <row r="44" spans="1:8">
      <c r="A44" s="58" t="s">
        <v>341</v>
      </c>
      <c r="B44" s="66">
        <v>77.912599999999998</v>
      </c>
      <c r="C44" s="66">
        <v>35.51</v>
      </c>
      <c r="D44" s="66">
        <v>0.45576800000000001</v>
      </c>
      <c r="E44" s="66">
        <v>0</v>
      </c>
      <c r="F44" s="66">
        <v>-6.2840100000000003</v>
      </c>
      <c r="G44" s="66">
        <v>0</v>
      </c>
      <c r="H44" s="66">
        <v>107.131</v>
      </c>
    </row>
    <row r="45" spans="1:8">
      <c r="A45" s="58" t="s">
        <v>342</v>
      </c>
      <c r="B45" s="66">
        <v>56.290199999999999</v>
      </c>
      <c r="C45" s="66">
        <v>5.9704899999999999</v>
      </c>
      <c r="D45" s="66">
        <v>0.10606599999999999</v>
      </c>
      <c r="E45" s="66">
        <v>0</v>
      </c>
      <c r="F45" s="66">
        <v>43.102800000000002</v>
      </c>
      <c r="G45" s="66">
        <v>0</v>
      </c>
      <c r="H45" s="66">
        <v>75.527299999999997</v>
      </c>
    </row>
    <row r="46" spans="1:8">
      <c r="A46" s="58" t="s">
        <v>343</v>
      </c>
      <c r="B46" s="66">
        <v>33.970599999999997</v>
      </c>
      <c r="C46" s="66">
        <v>7.8519199999999998</v>
      </c>
      <c r="D46" s="66">
        <v>0.23113900000000001</v>
      </c>
      <c r="E46" s="66">
        <v>0</v>
      </c>
      <c r="F46" s="66">
        <v>8.0294500000000006</v>
      </c>
      <c r="G46" s="66">
        <v>0</v>
      </c>
      <c r="H46" s="66">
        <v>39.064100000000003</v>
      </c>
    </row>
    <row r="47" spans="1:8">
      <c r="A47" s="58" t="s">
        <v>344</v>
      </c>
      <c r="B47" s="66">
        <v>0.87436000000000003</v>
      </c>
      <c r="C47" s="66">
        <v>0.41198600000000002</v>
      </c>
      <c r="D47" s="66">
        <v>0.47118599999999999</v>
      </c>
      <c r="E47" s="66">
        <v>0</v>
      </c>
      <c r="F47" s="66">
        <v>0.28049200000000002</v>
      </c>
      <c r="G47" s="66">
        <v>0</v>
      </c>
      <c r="H47" s="66">
        <v>2.8207499999999999</v>
      </c>
    </row>
    <row r="48" spans="1:8">
      <c r="A48" s="58" t="s">
        <v>345</v>
      </c>
      <c r="B48" s="66">
        <v>0.75323600000000002</v>
      </c>
      <c r="C48" s="66">
        <v>0.17258399999999999</v>
      </c>
      <c r="D48" s="66">
        <v>0.22912299999999999</v>
      </c>
      <c r="E48" s="66">
        <v>0</v>
      </c>
      <c r="F48" s="66">
        <v>0.52621499999999999</v>
      </c>
      <c r="G48" s="66">
        <v>0</v>
      </c>
      <c r="H48" s="66">
        <v>1.26142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-0.49969999999999715</v>
      </c>
      <c r="C5" s="66">
        <f>'M2'!C5-'M1'!C5</f>
        <v>-10.24756</v>
      </c>
      <c r="D5" s="66">
        <f>'M2'!D5-'M1'!D5</f>
        <v>-23.3294</v>
      </c>
      <c r="E5" s="66">
        <f>'M2'!E5-'M1'!E5</f>
        <v>0</v>
      </c>
      <c r="F5" s="66">
        <f>'M2'!F5-'M1'!F5</f>
        <v>27.670999999999999</v>
      </c>
      <c r="G5" s="66">
        <f>'M2'!G5-'M1'!G5</f>
        <v>0</v>
      </c>
      <c r="H5" s="66">
        <f>'M2'!H5-'M1'!H5</f>
        <v>-2.1805000000000021</v>
      </c>
    </row>
    <row r="6" spans="1:8">
      <c r="A6" s="66" t="s">
        <v>244</v>
      </c>
      <c r="B6" s="66">
        <f>'M2'!B6-'M1'!B6</f>
        <v>0.11139999999999617</v>
      </c>
      <c r="C6" s="66">
        <f>'M2'!C6-'M1'!C6</f>
        <v>-2.8939699999999995</v>
      </c>
      <c r="D6" s="66">
        <f>'M2'!D6-'M1'!D6</f>
        <v>-8.3658900000000003</v>
      </c>
      <c r="E6" s="66">
        <f>'M2'!E6-'M1'!E6</f>
        <v>0</v>
      </c>
      <c r="F6" s="66">
        <f>'M2'!F6-'M1'!F6</f>
        <v>8.7276000000000025</v>
      </c>
      <c r="G6" s="66">
        <f>'M2'!G6-'M1'!G6</f>
        <v>0</v>
      </c>
      <c r="H6" s="66">
        <f>'M2'!H6-'M1'!H6</f>
        <v>-1.411999999999999</v>
      </c>
    </row>
    <row r="7" spans="1:8">
      <c r="A7" s="66" t="s">
        <v>245</v>
      </c>
      <c r="B7" s="66">
        <f>'M2'!B7-'M1'!B7</f>
        <v>8.7800000000001432E-2</v>
      </c>
      <c r="C7" s="66">
        <f>'M2'!C7-'M1'!C7</f>
        <v>-5.4343700000000013</v>
      </c>
      <c r="D7" s="66">
        <f>'M2'!D7-'M1'!D7</f>
        <v>-15.007800000000001</v>
      </c>
      <c r="E7" s="66">
        <f>'M2'!E7-'M1'!E7</f>
        <v>0</v>
      </c>
      <c r="F7" s="66">
        <f>'M2'!F7-'M1'!F7</f>
        <v>18.9895</v>
      </c>
      <c r="G7" s="66">
        <f>'M2'!G7-'M1'!G7</f>
        <v>0</v>
      </c>
      <c r="H7" s="66">
        <f>'M2'!H7-'M1'!H7</f>
        <v>2.289999999999992E-2</v>
      </c>
    </row>
    <row r="8" spans="1:8">
      <c r="A8" s="66" t="s">
        <v>246</v>
      </c>
      <c r="B8" s="66">
        <f>'M2'!B8-'M1'!B8</f>
        <v>-0.49719999999999942</v>
      </c>
      <c r="C8" s="66">
        <f>'M2'!C8-'M1'!C8</f>
        <v>-6.7328400000000004</v>
      </c>
      <c r="D8" s="66">
        <f>'M2'!D8-'M1'!D8</f>
        <v>-17.12491</v>
      </c>
      <c r="E8" s="66">
        <f>'M2'!E8-'M1'!E8</f>
        <v>0</v>
      </c>
      <c r="F8" s="66">
        <f>'M2'!F8-'M1'!F8</f>
        <v>20.550600000000003</v>
      </c>
      <c r="G8" s="66">
        <f>'M2'!G8-'M1'!G8</f>
        <v>0</v>
      </c>
      <c r="H8" s="66">
        <f>'M2'!H8-'M1'!H8</f>
        <v>-0.57970000000000255</v>
      </c>
    </row>
    <row r="9" spans="1:8">
      <c r="A9" s="66" t="s">
        <v>247</v>
      </c>
      <c r="B9" s="66">
        <f>'M2'!B9-'M1'!B9</f>
        <v>-13.531000000000006</v>
      </c>
      <c r="C9" s="66">
        <f>'M2'!C9-'M1'!C9</f>
        <v>1.4013299999999997</v>
      </c>
      <c r="D9" s="66">
        <f>'M2'!D9-'M1'!D9</f>
        <v>4.1442900000000007</v>
      </c>
      <c r="E9" s="66">
        <f>'M2'!E9-'M1'!E9</f>
        <v>0</v>
      </c>
      <c r="F9" s="66">
        <f>'M2'!F9-'M1'!F9</f>
        <v>-15.821400000000004</v>
      </c>
      <c r="G9" s="66">
        <f>'M2'!G9-'M1'!G9</f>
        <v>0</v>
      </c>
      <c r="H9" s="66">
        <f>'M2'!H9-'M1'!H9</f>
        <v>-9.9128000000000043</v>
      </c>
    </row>
    <row r="10" spans="1:8">
      <c r="A10" s="66" t="s">
        <v>248</v>
      </c>
      <c r="B10" s="66">
        <f>'M2'!B10-'M1'!B10</f>
        <v>-3.6143999999999963</v>
      </c>
      <c r="C10" s="66">
        <f>'M2'!C10-'M1'!C10</f>
        <v>-2.1489100000000003</v>
      </c>
      <c r="D10" s="66">
        <f>'M2'!D10-'M1'!D10</f>
        <v>-2.97445</v>
      </c>
      <c r="E10" s="66">
        <f>'M2'!E10-'M1'!E10</f>
        <v>0</v>
      </c>
      <c r="F10" s="66">
        <f>'M2'!F10-'M1'!F10</f>
        <v>-1.599499999999999</v>
      </c>
      <c r="G10" s="66">
        <f>'M2'!G10-'M1'!G10</f>
        <v>0</v>
      </c>
      <c r="H10" s="66">
        <f>'M2'!H10-'M1'!H10</f>
        <v>-2.5622999999999934</v>
      </c>
    </row>
    <row r="11" spans="1:8">
      <c r="A11" s="66" t="s">
        <v>249</v>
      </c>
      <c r="B11" s="66">
        <f>'M2'!B11-'M1'!B11</f>
        <v>-1.3818999999999981</v>
      </c>
      <c r="C11" s="66">
        <f>'M2'!C11-'M1'!C11</f>
        <v>-5.1820700000000004</v>
      </c>
      <c r="D11" s="66">
        <f>'M2'!D11-'M1'!D11</f>
        <v>-20.348659999999999</v>
      </c>
      <c r="E11" s="66">
        <f>'M2'!E11-'M1'!E11</f>
        <v>0</v>
      </c>
      <c r="F11" s="66">
        <f>'M2'!F11-'M1'!F11</f>
        <v>14.482419999999999</v>
      </c>
      <c r="G11" s="66">
        <f>'M2'!G11-'M1'!G11</f>
        <v>0</v>
      </c>
      <c r="H11" s="66">
        <f>'M2'!H11-'M1'!H11</f>
        <v>-0.99950000000000117</v>
      </c>
    </row>
    <row r="12" spans="1:8">
      <c r="A12" s="66" t="s">
        <v>250</v>
      </c>
      <c r="B12" s="66">
        <f>'M2'!B12-'M1'!B12</f>
        <v>-7.0893999999999977</v>
      </c>
      <c r="C12" s="66">
        <f>'M2'!C12-'M1'!C12</f>
        <v>-1.5156000000000001</v>
      </c>
      <c r="D12" s="66">
        <f>'M2'!D12-'M1'!D12</f>
        <v>-1.7976999999999999</v>
      </c>
      <c r="E12" s="66">
        <f>'M2'!E12-'M1'!E12</f>
        <v>0</v>
      </c>
      <c r="F12" s="66">
        <f>'M2'!F12-'M1'!F12</f>
        <v>-6.3692999999999955</v>
      </c>
      <c r="G12" s="66">
        <f>'M2'!G12-'M1'!G12</f>
        <v>0</v>
      </c>
      <c r="H12" s="66">
        <f>'M2'!H12-'M1'!H12</f>
        <v>-10.753499999999995</v>
      </c>
    </row>
    <row r="13" spans="1:8">
      <c r="A13" s="66" t="s">
        <v>251</v>
      </c>
      <c r="B13" s="66">
        <f>'M2'!B13-'M1'!B13</f>
        <v>2.1642999999999972</v>
      </c>
      <c r="C13" s="66">
        <f>'M2'!C13-'M1'!C13</f>
        <v>-0.76887999999999979</v>
      </c>
      <c r="D13" s="66">
        <f>'M2'!D13-'M1'!D13</f>
        <v>-4.7920699999999989</v>
      </c>
      <c r="E13" s="66">
        <f>'M2'!E13-'M1'!E13</f>
        <v>0</v>
      </c>
      <c r="F13" s="66">
        <f>'M2'!F13-'M1'!F13</f>
        <v>1.8744000000000014</v>
      </c>
      <c r="G13" s="66">
        <f>'M2'!G13-'M1'!G13</f>
        <v>0</v>
      </c>
      <c r="H13" s="66">
        <f>'M2'!H13-'M1'!H13</f>
        <v>2.0472000000000001</v>
      </c>
    </row>
    <row r="14" spans="1:8">
      <c r="A14" s="66" t="s">
        <v>252</v>
      </c>
      <c r="B14" s="66">
        <f>'M2'!B14-'M1'!B14</f>
        <v>-7.688799999999997</v>
      </c>
      <c r="C14" s="66">
        <f>'M2'!C14-'M1'!C14</f>
        <v>-0.59970999999999997</v>
      </c>
      <c r="D14" s="66">
        <f>'M2'!D14-'M1'!D14</f>
        <v>9.3688000000000002</v>
      </c>
      <c r="E14" s="66">
        <f>'M2'!E14-'M1'!E14</f>
        <v>0</v>
      </c>
      <c r="F14" s="66">
        <f>'M2'!F14-'M1'!F14</f>
        <v>1.6011199999999999</v>
      </c>
      <c r="G14" s="66">
        <f>'M2'!G14-'M1'!G14</f>
        <v>0</v>
      </c>
      <c r="H14" s="66">
        <f>'M2'!H14-'M1'!H14</f>
        <v>-5.0006999999999984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-1.0000000000000009E-2</v>
      </c>
      <c r="C18" s="66">
        <f>'M2'!C18-'M1'!C18</f>
        <v>6.5774799999999994E-2</v>
      </c>
      <c r="D18" s="66">
        <f>'M2'!D18-'M1'!D18</f>
        <v>0.146763</v>
      </c>
      <c r="E18" s="66">
        <f>'M2'!E18-'M1'!E18</f>
        <v>0</v>
      </c>
      <c r="F18" s="66">
        <f>'M2'!F18-'M1'!F18</f>
        <v>0.38239499999999998</v>
      </c>
      <c r="G18" s="66">
        <f>'M2'!G18-'M1'!G18</f>
        <v>0</v>
      </c>
      <c r="H18" s="66">
        <f>'M2'!H18-'M1'!H18</f>
        <v>0.51394499999999999</v>
      </c>
    </row>
    <row r="19" spans="1:8">
      <c r="A19" s="66" t="s">
        <v>256</v>
      </c>
      <c r="B19" s="66">
        <f>'M2'!B19-'M1'!B19</f>
        <v>-3.3293999999999935E-2</v>
      </c>
      <c r="C19" s="66">
        <f>'M2'!C19-'M1'!C19</f>
        <v>5.0574399999999999E-2</v>
      </c>
      <c r="D19" s="66">
        <f>'M2'!D19-'M1'!D19</f>
        <v>9.9859299999999998E-2</v>
      </c>
      <c r="E19" s="66">
        <f>'M2'!E19-'M1'!E19</f>
        <v>0</v>
      </c>
      <c r="F19" s="66">
        <f>'M2'!F19-'M1'!F19</f>
        <v>0.45588200000000001</v>
      </c>
      <c r="G19" s="66">
        <f>'M2'!G19-'M1'!G19</f>
        <v>0</v>
      </c>
      <c r="H19" s="66">
        <f>'M2'!H19-'M1'!H19</f>
        <v>0.55703100000000005</v>
      </c>
    </row>
    <row r="20" spans="1:8">
      <c r="A20" s="66" t="s">
        <v>63</v>
      </c>
      <c r="B20" s="66">
        <f>'M2'!B20-'M1'!B20</f>
        <v>3.1751999999999996E-4</v>
      </c>
      <c r="C20" s="66">
        <f>'M2'!C20-'M1'!C20</f>
        <v>9.0199999999998615E-5</v>
      </c>
      <c r="D20" s="66">
        <f>'M2'!D20-'M1'!D20</f>
        <v>-9.0934999999999988</v>
      </c>
      <c r="E20" s="66">
        <f>'M2'!E20-'M1'!E20</f>
        <v>0</v>
      </c>
      <c r="F20" s="66">
        <f>'M2'!F20-'M1'!F20</f>
        <v>6.2304000000000005E-6</v>
      </c>
      <c r="G20" s="66">
        <f>'M2'!G20-'M1'!G20</f>
        <v>0</v>
      </c>
      <c r="H20" s="66">
        <f>'M2'!H20-'M1'!H20</f>
        <v>-1.7090099999999997E-2</v>
      </c>
    </row>
    <row r="21" spans="1:8">
      <c r="A21" s="66" t="s">
        <v>64</v>
      </c>
      <c r="B21" s="66">
        <f>'M2'!B21-'M1'!B21</f>
        <v>2.6999200000000001E-2</v>
      </c>
      <c r="C21" s="66">
        <f>'M2'!C21-'M1'!C21</f>
        <v>1.9247600000000004E-2</v>
      </c>
      <c r="D21" s="66">
        <f>'M2'!D21-'M1'!D21</f>
        <v>-0.28677000000000019</v>
      </c>
      <c r="E21" s="66">
        <f>'M2'!E21-'M1'!E21</f>
        <v>0</v>
      </c>
      <c r="F21" s="66">
        <f>'M2'!F21-'M1'!F21</f>
        <v>1.1786000000000001E-3</v>
      </c>
      <c r="G21" s="66">
        <f>'M2'!G21-'M1'!G21</f>
        <v>0</v>
      </c>
      <c r="H21" s="66">
        <f>'M2'!H21-'M1'!H21</f>
        <v>7.6952999999999938E-2</v>
      </c>
    </row>
    <row r="22" spans="1:8">
      <c r="A22" s="66" t="s">
        <v>65</v>
      </c>
      <c r="B22" s="66">
        <f>'M2'!B22-'M1'!B22</f>
        <v>4.2434000000000012</v>
      </c>
      <c r="C22" s="66">
        <f>'M2'!C22-'M1'!C22</f>
        <v>-1.1805599999999998</v>
      </c>
      <c r="D22" s="66">
        <f>'M2'!D22-'M1'!D22</f>
        <v>-4.7974000000000017E-2</v>
      </c>
      <c r="E22" s="66">
        <f>'M2'!E22-'M1'!E22</f>
        <v>0</v>
      </c>
      <c r="F22" s="66">
        <f>'M2'!F22-'M1'!F22</f>
        <v>3.5113999999999983</v>
      </c>
      <c r="G22" s="66">
        <f>'M2'!G22-'M1'!G22</f>
        <v>0</v>
      </c>
      <c r="H22" s="66">
        <f>'M2'!H22-'M1'!H22</f>
        <v>-1.3579000000000008</v>
      </c>
    </row>
    <row r="23" spans="1:8">
      <c r="A23" s="66" t="s">
        <v>66</v>
      </c>
      <c r="B23" s="66">
        <f>'M2'!B23-'M1'!B23</f>
        <v>4.3475000000000001</v>
      </c>
      <c r="C23" s="66">
        <f>'M2'!C23-'M1'!C23</f>
        <v>-2.7512840000000001</v>
      </c>
      <c r="D23" s="66">
        <f>'M2'!D23-'M1'!D23</f>
        <v>-0.17797639999999998</v>
      </c>
      <c r="E23" s="66">
        <f>'M2'!E23-'M1'!E23</f>
        <v>0</v>
      </c>
      <c r="F23" s="66">
        <f>'M2'!F23-'M1'!F23</f>
        <v>9.4550800000000006</v>
      </c>
      <c r="G23" s="66">
        <f>'M2'!G23-'M1'!G23</f>
        <v>0</v>
      </c>
      <c r="H23" s="66">
        <f>'M2'!H23-'M1'!H23</f>
        <v>0.51480000000000103</v>
      </c>
    </row>
    <row r="24" spans="1:8">
      <c r="A24" s="66" t="s">
        <v>67</v>
      </c>
      <c r="B24" s="66">
        <f>'M2'!B24-'M1'!B24</f>
        <v>4.260980000000001E-3</v>
      </c>
      <c r="C24" s="66">
        <f>'M2'!C24-'M1'!C24</f>
        <v>-2.4178000000000047E-4</v>
      </c>
      <c r="D24" s="66">
        <f>'M2'!D24-'M1'!D24</f>
        <v>-0.934145</v>
      </c>
      <c r="E24" s="66">
        <f>'M2'!E24-'M1'!E24</f>
        <v>0</v>
      </c>
      <c r="F24" s="66">
        <f>'M2'!F24-'M1'!F24</f>
        <v>-1.1081999999999986E-5</v>
      </c>
      <c r="G24" s="66">
        <f>'M2'!G24-'M1'!G24</f>
        <v>0</v>
      </c>
      <c r="H24" s="66">
        <f>'M2'!H24-'M1'!H24</f>
        <v>-2.7924000000000004E-3</v>
      </c>
    </row>
    <row r="25" spans="1:8">
      <c r="A25" s="66" t="s">
        <v>68</v>
      </c>
      <c r="B25" s="66">
        <f>'M2'!B25-'M1'!B25</f>
        <v>6.5622999999999931E-3</v>
      </c>
      <c r="C25" s="66">
        <f>'M2'!C25-'M1'!C25</f>
        <v>-3.9213499999999998E-2</v>
      </c>
      <c r="D25" s="66">
        <f>'M2'!D25-'M1'!D25</f>
        <v>-0.52685199999999999</v>
      </c>
      <c r="E25" s="66">
        <f>'M2'!E25-'M1'!E25</f>
        <v>0</v>
      </c>
      <c r="F25" s="66">
        <f>'M2'!F25-'M1'!F25</f>
        <v>2.0504999999999999E-2</v>
      </c>
      <c r="G25" s="66">
        <f>'M2'!G25-'M1'!G25</f>
        <v>0</v>
      </c>
      <c r="H25" s="66">
        <f>'M2'!H25-'M1'!H25</f>
        <v>-0.278584</v>
      </c>
    </row>
    <row r="26" spans="1:8">
      <c r="A26" s="66" t="s">
        <v>69</v>
      </c>
      <c r="B26" s="66">
        <f>'M2'!B26-'M1'!B26</f>
        <v>8.3706000000000015E-5</v>
      </c>
      <c r="C26" s="66">
        <f>'M2'!C26-'M1'!C26</f>
        <v>6.7479999999999971E-5</v>
      </c>
      <c r="D26" s="66">
        <f>'M2'!D26-'M1'!D26</f>
        <v>-1.7623800000000003</v>
      </c>
      <c r="E26" s="66">
        <f>'M2'!E26-'M1'!E26</f>
        <v>0</v>
      </c>
      <c r="F26" s="66">
        <f>'M2'!F26-'M1'!F26</f>
        <v>-3.2826000000000014E-6</v>
      </c>
      <c r="G26" s="66">
        <f>'M2'!G26-'M1'!G26</f>
        <v>0</v>
      </c>
      <c r="H26" s="66">
        <f>'M2'!H26-'M1'!H26</f>
        <v>-1.4902800000000001E-3</v>
      </c>
    </row>
    <row r="27" spans="1:8">
      <c r="A27" s="66" t="s">
        <v>70</v>
      </c>
      <c r="B27" s="66">
        <f>'M2'!B27-'M1'!B27</f>
        <v>-6.5651099999999999E-6</v>
      </c>
      <c r="C27" s="66">
        <f>'M2'!C27-'M1'!C27</f>
        <v>6.397999999999994E-5</v>
      </c>
      <c r="D27" s="66">
        <f>'M2'!D27-'M1'!D27</f>
        <v>45.540000000000006</v>
      </c>
      <c r="E27" s="66">
        <f>'M2'!E27-'M1'!E27</f>
        <v>0</v>
      </c>
      <c r="F27" s="66">
        <f>'M2'!F27-'M1'!F27</f>
        <v>5.7443999999999985E-4</v>
      </c>
      <c r="G27" s="66">
        <f>'M2'!G27-'M1'!G27</f>
        <v>0</v>
      </c>
      <c r="H27" s="66">
        <f>'M2'!H27-'M1'!H27</f>
        <v>1.6420000000000497E-5</v>
      </c>
    </row>
    <row r="28" spans="1:8">
      <c r="A28" s="66" t="s">
        <v>71</v>
      </c>
      <c r="B28" s="66">
        <f>'M2'!B28-'M1'!B28</f>
        <v>1.2141500000000006E-3</v>
      </c>
      <c r="C28" s="66">
        <f>'M2'!C28-'M1'!C28</f>
        <v>1.6140800000000004E-3</v>
      </c>
      <c r="D28" s="66">
        <f>'M2'!D28-'M1'!D28</f>
        <v>3.6010000000000097E-2</v>
      </c>
      <c r="E28" s="66">
        <f>'M2'!E28-'M1'!E28</f>
        <v>0</v>
      </c>
      <c r="F28" s="66">
        <f>'M2'!F28-'M1'!F28</f>
        <v>3.4179700000000002E-4</v>
      </c>
      <c r="G28" s="66">
        <f>'M2'!G28-'M1'!G28</f>
        <v>0</v>
      </c>
      <c r="H28" s="66">
        <f>'M2'!H28-'M1'!H28</f>
        <v>7.0670999999999928E-3</v>
      </c>
    </row>
    <row r="29" spans="1:8">
      <c r="A29" s="66" t="s">
        <v>72</v>
      </c>
      <c r="B29" s="66">
        <f>'M2'!B29-'M1'!B29</f>
        <v>2.6266999999999996</v>
      </c>
      <c r="C29" s="66">
        <f>'M2'!C29-'M1'!C29</f>
        <v>-1.1155499999999998</v>
      </c>
      <c r="D29" s="66">
        <f>'M2'!D29-'M1'!D29</f>
        <v>-1.7925999999999997E-2</v>
      </c>
      <c r="E29" s="66">
        <f>'M2'!E29-'M1'!E29</f>
        <v>0</v>
      </c>
      <c r="F29" s="66">
        <f>'M2'!F29-'M1'!F29</f>
        <v>-6.6711999999999989</v>
      </c>
      <c r="G29" s="66">
        <f>'M2'!G29-'M1'!G29</f>
        <v>0</v>
      </c>
      <c r="H29" s="66">
        <f>'M2'!H29-'M1'!H29</f>
        <v>-3.1180000000000092</v>
      </c>
    </row>
    <row r="30" spans="1:8">
      <c r="A30" s="66" t="s">
        <v>73</v>
      </c>
      <c r="B30" s="66">
        <f>'M2'!B30-'M1'!B30</f>
        <v>8.9272000000000027</v>
      </c>
      <c r="C30" s="66">
        <f>'M2'!C30-'M1'!C30</f>
        <v>-6.7959599999999991</v>
      </c>
      <c r="D30" s="66">
        <f>'M2'!D30-'M1'!D30</f>
        <v>-0.31689319999999999</v>
      </c>
      <c r="E30" s="66">
        <f>'M2'!E30-'M1'!E30</f>
        <v>0</v>
      </c>
      <c r="F30" s="66">
        <f>'M2'!F30-'M1'!F30</f>
        <v>17.681910000000002</v>
      </c>
      <c r="G30" s="66">
        <f>'M2'!G30-'M1'!G30</f>
        <v>0</v>
      </c>
      <c r="H30" s="66">
        <f>'M2'!H30-'M1'!H30</f>
        <v>-1.3920999999999992</v>
      </c>
    </row>
    <row r="31" spans="1:8">
      <c r="A31" s="66" t="s">
        <v>74</v>
      </c>
      <c r="B31" s="66">
        <f>'M2'!B31-'M1'!B31</f>
        <v>135.59599999999998</v>
      </c>
      <c r="C31" s="66">
        <f>'M2'!C31-'M1'!C31</f>
        <v>-42.451700000000002</v>
      </c>
      <c r="D31" s="66">
        <f>'M2'!D31-'M1'!D31</f>
        <v>-0.25070199999999998</v>
      </c>
      <c r="E31" s="66">
        <f>'M2'!E31-'M1'!E31</f>
        <v>0</v>
      </c>
      <c r="F31" s="66">
        <f>'M2'!F31-'M1'!F31</f>
        <v>228.83879999999999</v>
      </c>
      <c r="G31" s="66">
        <f>'M2'!G31-'M1'!G31</f>
        <v>0</v>
      </c>
      <c r="H31" s="66">
        <f>'M2'!H31-'M1'!H31</f>
        <v>108.96199999999999</v>
      </c>
    </row>
    <row r="32" spans="1:8">
      <c r="A32" s="66" t="s">
        <v>75</v>
      </c>
      <c r="B32" s="66">
        <f>'M2'!B32-'M1'!B32</f>
        <v>8.7800000000004541E-4</v>
      </c>
      <c r="C32" s="66">
        <f>'M2'!C32-'M1'!C32</f>
        <v>-5.4343699999999995E-2</v>
      </c>
      <c r="D32" s="66">
        <f>'M2'!D32-'M1'!D32</f>
        <v>-0.15007799999999999</v>
      </c>
      <c r="E32" s="66">
        <f>'M2'!E32-'M1'!E32</f>
        <v>0</v>
      </c>
      <c r="F32" s="66">
        <f>'M2'!F32-'M1'!F32</f>
        <v>0.18989500000000004</v>
      </c>
      <c r="G32" s="66">
        <f>'M2'!G32-'M1'!G32</f>
        <v>0</v>
      </c>
      <c r="H32" s="66">
        <f>'M2'!H32-'M1'!H32</f>
        <v>2.2900000000003473E-4</v>
      </c>
    </row>
    <row r="33" spans="1:8">
      <c r="A33" s="66" t="s">
        <v>76</v>
      </c>
      <c r="B33" s="66">
        <f>'M2'!B33-'M1'!B33</f>
        <v>0.150312</v>
      </c>
      <c r="C33" s="66">
        <f>'M2'!C33-'M1'!C33</f>
        <v>-4.4954099999999997E-2</v>
      </c>
      <c r="D33" s="66">
        <f>'M2'!D33-'M1'!D33</f>
        <v>-0.16032350000000001</v>
      </c>
      <c r="E33" s="66">
        <f>'M2'!E33-'M1'!E33</f>
        <v>0</v>
      </c>
      <c r="F33" s="66">
        <f>'M2'!F33-'M1'!F33</f>
        <v>0.18926899999999999</v>
      </c>
      <c r="G33" s="66">
        <f>'M2'!G33-'M1'!G33</f>
        <v>0</v>
      </c>
      <c r="H33" s="66">
        <f>'M2'!H33-'M1'!H33</f>
        <v>2.825799999999995E-2</v>
      </c>
    </row>
    <row r="34" spans="1:8">
      <c r="A34" s="66" t="s">
        <v>77</v>
      </c>
      <c r="B34" s="66">
        <f>'M2'!B34-'M1'!B34</f>
        <v>2.1642999999999996E-2</v>
      </c>
      <c r="C34" s="66">
        <f>'M2'!C34-'M1'!C34</f>
        <v>-7.6887999999999991E-3</v>
      </c>
      <c r="D34" s="66">
        <f>'M2'!D34-'M1'!D34</f>
        <v>-4.7920700000000011E-2</v>
      </c>
      <c r="E34" s="66">
        <f>'M2'!E34-'M1'!E34</f>
        <v>0</v>
      </c>
      <c r="F34" s="66">
        <f>'M2'!F34-'M1'!F34</f>
        <v>1.8744000000000011E-2</v>
      </c>
      <c r="G34" s="66">
        <f>'M2'!G34-'M1'!G34</f>
        <v>0</v>
      </c>
      <c r="H34" s="66">
        <f>'M2'!H34-'M1'!H34</f>
        <v>2.047199999999999E-2</v>
      </c>
    </row>
    <row r="35" spans="1:8">
      <c r="A35" s="66" t="s">
        <v>78</v>
      </c>
      <c r="B35" s="66">
        <f>'M2'!B35-'M1'!B35</f>
        <v>-4.8404999999999976E-3</v>
      </c>
      <c r="C35" s="66">
        <f>'M2'!C35-'M1'!C35</f>
        <v>-2.6963000000000022E-3</v>
      </c>
      <c r="D35" s="66">
        <f>'M2'!D35-'M1'!D35</f>
        <v>-1.5354000000000034E-2</v>
      </c>
      <c r="E35" s="66">
        <f>'M2'!E35-'M1'!E35</f>
        <v>0</v>
      </c>
      <c r="F35" s="66">
        <f>'M2'!F35-'M1'!F35</f>
        <v>-1.0066399999999996E-2</v>
      </c>
      <c r="G35" s="66">
        <f>'M2'!G35-'M1'!G35</f>
        <v>0</v>
      </c>
      <c r="H35" s="66">
        <f>'M2'!H35-'M1'!H35</f>
        <v>-4.0895999999999988E-2</v>
      </c>
    </row>
    <row r="36" spans="1:8">
      <c r="A36" s="66" t="s">
        <v>79</v>
      </c>
      <c r="B36" s="66">
        <f>'M2'!B36-'M1'!B36</f>
        <v>1.9633999999999985E-2</v>
      </c>
      <c r="C36" s="66">
        <f>'M2'!C36-'M1'!C36</f>
        <v>-7.875000000000007E-3</v>
      </c>
      <c r="D36" s="66">
        <f>'M2'!D36-'M1'!D36</f>
        <v>-0.12456900000000004</v>
      </c>
      <c r="E36" s="66">
        <f>'M2'!E36-'M1'!E36</f>
        <v>0</v>
      </c>
      <c r="F36" s="66">
        <f>'M2'!F36-'M1'!F36</f>
        <v>2.3287999999999989E-3</v>
      </c>
      <c r="G36" s="66">
        <f>'M2'!G36-'M1'!G36</f>
        <v>0</v>
      </c>
      <c r="H36" s="66">
        <f>'M2'!H36-'M1'!H36</f>
        <v>-0.10419100000000003</v>
      </c>
    </row>
    <row r="37" spans="1:8">
      <c r="A37" s="66" t="s">
        <v>80</v>
      </c>
      <c r="B37" s="66">
        <f>'M2'!B37-'M1'!B37</f>
        <v>-7.6888000000000012E-2</v>
      </c>
      <c r="C37" s="66">
        <f>'M2'!C37-'M1'!C37</f>
        <v>-5.9971000000000052E-3</v>
      </c>
      <c r="D37" s="66">
        <f>'M2'!D37-'M1'!D37</f>
        <v>9.3688000000000049E-2</v>
      </c>
      <c r="E37" s="66">
        <f>'M2'!E37-'M1'!E37</f>
        <v>0</v>
      </c>
      <c r="F37" s="66">
        <f>'M2'!F37-'M1'!F37</f>
        <v>1.6011200000000003E-2</v>
      </c>
      <c r="G37" s="66">
        <f>'M2'!G37-'M1'!G37</f>
        <v>0</v>
      </c>
      <c r="H37" s="66">
        <f>'M2'!H37-'M1'!H37</f>
        <v>-5.0007000000000024E-2</v>
      </c>
    </row>
    <row r="38" spans="1:8">
      <c r="A38" s="66" t="s">
        <v>81</v>
      </c>
      <c r="B38" s="66">
        <f>'M2'!B38-'M1'!B38</f>
        <v>3.6618060000000003</v>
      </c>
      <c r="C38" s="66">
        <f>'M2'!C38-'M1'!C38</f>
        <v>4.7847000000000008</v>
      </c>
      <c r="D38" s="66">
        <f>'M2'!D38-'M1'!D38</f>
        <v>104.96729999999999</v>
      </c>
      <c r="E38" s="66">
        <f>'M2'!E38-'M1'!E38</f>
        <v>0</v>
      </c>
      <c r="F38" s="66">
        <f>'M2'!F38-'M1'!F38</f>
        <v>-11.766999999999996</v>
      </c>
      <c r="G38" s="66">
        <f>'M2'!G38-'M1'!G38</f>
        <v>0</v>
      </c>
      <c r="H38" s="66">
        <f>'M2'!H38-'M1'!H38</f>
        <v>60.399999999999977</v>
      </c>
    </row>
    <row r="39" spans="1:8">
      <c r="A39" s="66" t="s">
        <v>82</v>
      </c>
      <c r="B39" s="66">
        <f>'M2'!B39-'M1'!B39</f>
        <v>-2.80748</v>
      </c>
      <c r="C39" s="66">
        <f>'M2'!C39-'M1'!C39</f>
        <v>-3.2520799999999994</v>
      </c>
      <c r="D39" s="66">
        <f>'M2'!D39-'M1'!D39</f>
        <v>1.4503599999999999</v>
      </c>
      <c r="E39" s="66">
        <f>'M2'!E39-'M1'!E39</f>
        <v>0</v>
      </c>
      <c r="F39" s="66">
        <f>'M2'!F39-'M1'!F39</f>
        <v>3.09009</v>
      </c>
      <c r="G39" s="66">
        <f>'M2'!G39-'M1'!G39</f>
        <v>0</v>
      </c>
      <c r="H39" s="66">
        <f>'M2'!H39-'M1'!H39</f>
        <v>-8.8765000000000001</v>
      </c>
    </row>
    <row r="40" spans="1:8">
      <c r="A40" s="66" t="s">
        <v>83</v>
      </c>
      <c r="B40" s="66">
        <f>'M2'!B40-'M1'!B40</f>
        <v>-2.0646374000000001</v>
      </c>
      <c r="C40" s="66">
        <f>'M2'!C40-'M1'!C40</f>
        <v>-0.51516800000000007</v>
      </c>
      <c r="D40" s="66">
        <f>'M2'!D40-'M1'!D40</f>
        <v>16.242452999999998</v>
      </c>
      <c r="E40" s="66">
        <f>'M2'!E40-'M1'!E40</f>
        <v>0</v>
      </c>
      <c r="F40" s="66">
        <f>'M2'!F40-'M1'!F40</f>
        <v>-0.59281000000000006</v>
      </c>
      <c r="G40" s="66">
        <f>'M2'!G40-'M1'!G40</f>
        <v>0</v>
      </c>
      <c r="H40" s="66">
        <f>'M2'!H40-'M1'!H40</f>
        <v>-1.8140480000000001</v>
      </c>
    </row>
    <row r="41" spans="1:8">
      <c r="A41" s="66" t="s">
        <v>84</v>
      </c>
      <c r="B41" s="66">
        <f>'M2'!B41-'M1'!B41</f>
        <v>2.6593479999999996E-2</v>
      </c>
      <c r="C41" s="66">
        <f>'M2'!C41-'M1'!C41</f>
        <v>-1.8919999999999992E-2</v>
      </c>
      <c r="D41" s="66">
        <f>'M2'!D41-'M1'!D41</f>
        <v>-22.621729999999999</v>
      </c>
      <c r="E41" s="66">
        <f>'M2'!E41-'M1'!E41</f>
        <v>0</v>
      </c>
      <c r="F41" s="66">
        <f>'M2'!F41-'M1'!F41</f>
        <v>-0.15989099999999989</v>
      </c>
      <c r="G41" s="66">
        <f>'M2'!G41-'M1'!G41</f>
        <v>0</v>
      </c>
      <c r="H41" s="66">
        <f>'M2'!H41-'M1'!H41</f>
        <v>-0.13253700000000002</v>
      </c>
    </row>
    <row r="42" spans="1:8">
      <c r="A42" s="66" t="s">
        <v>85</v>
      </c>
      <c r="B42" s="66">
        <f>'M2'!B42-'M1'!B42</f>
        <v>-6.7038800000000009E-2</v>
      </c>
      <c r="C42" s="66">
        <f>'M2'!C42-'M1'!C42</f>
        <v>-5.2690500000000001E-2</v>
      </c>
      <c r="D42" s="66">
        <f>'M2'!D42-'M1'!D42</f>
        <v>0.55786000000000002</v>
      </c>
      <c r="E42" s="66">
        <f>'M2'!E42-'M1'!E42</f>
        <v>0</v>
      </c>
      <c r="F42" s="66">
        <f>'M2'!F42-'M1'!F42</f>
        <v>0.10169739999999999</v>
      </c>
      <c r="G42" s="66">
        <f>'M2'!G42-'M1'!G42</f>
        <v>0</v>
      </c>
      <c r="H42" s="66">
        <f>'M2'!H42-'M1'!H42</f>
        <v>-0.14424600000000004</v>
      </c>
    </row>
    <row r="43" spans="1:8">
      <c r="A43" s="66" t="s">
        <v>86</v>
      </c>
      <c r="B43" s="66">
        <f>'M2'!B43-'M1'!B43</f>
        <v>-0.13396079999999999</v>
      </c>
      <c r="C43" s="66">
        <f>'M2'!C43-'M1'!C43</f>
        <v>-3.2207899999999998E-2</v>
      </c>
      <c r="D43" s="66">
        <f>'M2'!D43-'M1'!D43</f>
        <v>4.9061999999999995E-2</v>
      </c>
      <c r="E43" s="66">
        <f>'M2'!E43-'M1'!E43</f>
        <v>0</v>
      </c>
      <c r="F43" s="66">
        <f>'M2'!F43-'M1'!F43</f>
        <v>-2.1741799999999999E-2</v>
      </c>
      <c r="G43" s="66">
        <f>'M2'!G43-'M1'!G43</f>
        <v>0</v>
      </c>
      <c r="H43" s="66">
        <f>'M2'!H43-'M1'!H43</f>
        <v>-0.12777299999999997</v>
      </c>
    </row>
    <row r="44" spans="1:8">
      <c r="A44" s="66" t="s">
        <v>87</v>
      </c>
      <c r="B44" s="66">
        <f>'M2'!B44-'M1'!B44</f>
        <v>62.5428</v>
      </c>
      <c r="C44" s="66">
        <f>'M2'!C44-'M1'!C44</f>
        <v>-19.434899999999999</v>
      </c>
      <c r="D44" s="66">
        <f>'M2'!D44-'M1'!D44</f>
        <v>-0.87542889999999995</v>
      </c>
      <c r="E44" s="66">
        <f>'M2'!E44-'M1'!E44</f>
        <v>0</v>
      </c>
      <c r="F44" s="66">
        <f>'M2'!F44-'M1'!F44</f>
        <v>74.43540999999999</v>
      </c>
      <c r="G44" s="66">
        <f>'M2'!G44-'M1'!G44</f>
        <v>0</v>
      </c>
      <c r="H44" s="66">
        <f>'M2'!H44-'M1'!H44</f>
        <v>2.2450000000000045</v>
      </c>
    </row>
    <row r="45" spans="1:8">
      <c r="A45" s="66" t="s">
        <v>88</v>
      </c>
      <c r="B45" s="66">
        <f>'M2'!B45-'M1'!B45</f>
        <v>-3.3537000000000035</v>
      </c>
      <c r="C45" s="66">
        <f>'M2'!C45-'M1'!C45</f>
        <v>-0.12725000000000009</v>
      </c>
      <c r="D45" s="66">
        <f>'M2'!D45-'M1'!D45</f>
        <v>3.8204000000000016E-3</v>
      </c>
      <c r="E45" s="66">
        <f>'M2'!E45-'M1'!E45</f>
        <v>0</v>
      </c>
      <c r="F45" s="66">
        <f>'M2'!F45-'M1'!F45</f>
        <v>-2.1927999999999983</v>
      </c>
      <c r="G45" s="66">
        <f>'M2'!G45-'M1'!G45</f>
        <v>0</v>
      </c>
      <c r="H45" s="66">
        <f>'M2'!H45-'M1'!H45</f>
        <v>-2.6902999999999935</v>
      </c>
    </row>
    <row r="46" spans="1:8">
      <c r="A46" s="66" t="s">
        <v>89</v>
      </c>
      <c r="B46" s="66">
        <f>'M2'!B46-'M1'!B46</f>
        <v>-1.5006000000000057</v>
      </c>
      <c r="C46" s="66">
        <f>'M2'!C46-'M1'!C46</f>
        <v>-8.6313300000000002</v>
      </c>
      <c r="D46" s="66">
        <f>'M2'!D46-'M1'!D46</f>
        <v>-0.24190909999999999</v>
      </c>
      <c r="E46" s="66">
        <f>'M2'!E46-'M1'!E46</f>
        <v>0</v>
      </c>
      <c r="F46" s="66">
        <f>'M2'!F46-'M1'!F46</f>
        <v>23.757950000000001</v>
      </c>
      <c r="G46" s="66">
        <f>'M2'!G46-'M1'!G46</f>
        <v>0</v>
      </c>
      <c r="H46" s="66">
        <f>'M2'!H46-'M1'!H46</f>
        <v>-1.0781000000000063</v>
      </c>
    </row>
    <row r="47" spans="1:8">
      <c r="A47" s="66" t="s">
        <v>90</v>
      </c>
      <c r="B47" s="66">
        <f>'M2'!B47-'M1'!B47</f>
        <v>6.6333000000000086E-2</v>
      </c>
      <c r="C47" s="66">
        <f>'M2'!C47-'M1'!C47</f>
        <v>-1.8409999999999982E-2</v>
      </c>
      <c r="D47" s="66">
        <f>'M2'!D47-'M1'!D47</f>
        <v>-5.598599999999998E-2</v>
      </c>
      <c r="E47" s="66">
        <f>'M2'!E47-'M1'!E47</f>
        <v>0</v>
      </c>
      <c r="F47" s="66">
        <f>'M2'!F47-'M1'!F47</f>
        <v>7.7326000000000006E-2</v>
      </c>
      <c r="G47" s="66">
        <f>'M2'!G47-'M1'!G47</f>
        <v>0</v>
      </c>
      <c r="H47" s="66">
        <f>'M2'!H47-'M1'!H47</f>
        <v>0.11924000000000001</v>
      </c>
    </row>
    <row r="48" spans="1:8">
      <c r="A48" s="66" t="s">
        <v>91</v>
      </c>
      <c r="B48" s="66">
        <f>'M2'!B48-'M1'!B48</f>
        <v>-0.26869900000000002</v>
      </c>
      <c r="C48" s="66">
        <f>'M2'!C48-'M1'!C48</f>
        <v>-6.1172600000000001E-2</v>
      </c>
      <c r="D48" s="66">
        <f>'M2'!D48-'M1'!D48</f>
        <v>-4.2892600000000003E-2</v>
      </c>
      <c r="E48" s="66">
        <f>'M2'!E48-'M1'!E48</f>
        <v>0</v>
      </c>
      <c r="F48" s="66">
        <f>'M2'!F48-'M1'!F48</f>
        <v>-0.21343200000000007</v>
      </c>
      <c r="G48" s="66">
        <f>'M2'!G48-'M1'!G48</f>
        <v>0</v>
      </c>
      <c r="H48" s="66">
        <f>'M2'!H48-'M1'!H48</f>
        <v>-0.48412100000000002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43.8187</v>
      </c>
      <c r="C5" s="66">
        <v>12.410299999999999</v>
      </c>
      <c r="D5" s="66">
        <v>28.321999999999999</v>
      </c>
      <c r="E5" s="66">
        <v>20</v>
      </c>
      <c r="F5" s="66">
        <v>10.3384</v>
      </c>
      <c r="G5" s="66">
        <v>50</v>
      </c>
      <c r="H5" s="66">
        <v>49.692</v>
      </c>
    </row>
    <row r="6" spans="1:8">
      <c r="A6" s="66" t="s">
        <v>303</v>
      </c>
      <c r="B6" s="66">
        <v>34.660800000000002</v>
      </c>
      <c r="C6" s="66">
        <v>4.6786599999999998</v>
      </c>
      <c r="D6" s="66">
        <v>13.4984</v>
      </c>
      <c r="E6" s="66">
        <v>20</v>
      </c>
      <c r="F6" s="66">
        <v>23.146999999999998</v>
      </c>
      <c r="G6" s="66">
        <v>40</v>
      </c>
      <c r="H6" s="66">
        <v>40.252499999999998</v>
      </c>
    </row>
    <row r="7" spans="1:8">
      <c r="A7" s="66" t="s">
        <v>304</v>
      </c>
      <c r="B7" s="66">
        <v>36.254199999999997</v>
      </c>
      <c r="C7" s="66">
        <v>8.1658000000000008</v>
      </c>
      <c r="D7" s="66">
        <v>22.523700000000002</v>
      </c>
      <c r="E7" s="66">
        <v>15</v>
      </c>
      <c r="F7" s="66">
        <v>11.8569</v>
      </c>
      <c r="G7" s="66">
        <v>40</v>
      </c>
      <c r="H7" s="66">
        <v>43.046100000000003</v>
      </c>
    </row>
    <row r="8" spans="1:8">
      <c r="A8" s="66" t="s">
        <v>305</v>
      </c>
      <c r="B8" s="66">
        <v>39.2134</v>
      </c>
      <c r="C8" s="66">
        <v>8.1015700000000006</v>
      </c>
      <c r="D8" s="66">
        <v>20.6602</v>
      </c>
      <c r="E8" s="66">
        <v>20</v>
      </c>
      <c r="F8" s="66">
        <v>14.5817</v>
      </c>
      <c r="G8" s="66">
        <v>50</v>
      </c>
      <c r="H8" s="66">
        <v>42.0167</v>
      </c>
    </row>
    <row r="9" spans="1:8">
      <c r="A9" s="66" t="s">
        <v>306</v>
      </c>
      <c r="B9" s="66">
        <v>67.251800000000003</v>
      </c>
      <c r="C9" s="66">
        <v>4.1004100000000001</v>
      </c>
      <c r="D9" s="66">
        <v>6.0971099999999998</v>
      </c>
      <c r="E9" s="66">
        <v>50</v>
      </c>
      <c r="F9" s="66">
        <v>61.580500000000001</v>
      </c>
      <c r="G9" s="66">
        <v>100</v>
      </c>
      <c r="H9" s="66">
        <v>76.593000000000004</v>
      </c>
    </row>
    <row r="10" spans="1:8">
      <c r="A10" s="66" t="s">
        <v>307</v>
      </c>
      <c r="B10" s="66">
        <v>66.849199999999996</v>
      </c>
      <c r="C10" s="66">
        <v>4.9570800000000004</v>
      </c>
      <c r="D10" s="66">
        <v>7.4153200000000004</v>
      </c>
      <c r="E10" s="66">
        <v>40</v>
      </c>
      <c r="F10" s="66">
        <v>57.9741</v>
      </c>
      <c r="G10" s="66">
        <v>100</v>
      </c>
      <c r="H10" s="66">
        <v>74.356499999999997</v>
      </c>
    </row>
    <row r="11" spans="1:8">
      <c r="A11" s="66" t="s">
        <v>308</v>
      </c>
      <c r="B11" s="66">
        <v>25.0321</v>
      </c>
      <c r="C11" s="66">
        <v>6.6942000000000004</v>
      </c>
      <c r="D11" s="66">
        <v>26.7424</v>
      </c>
      <c r="E11" s="66">
        <v>10</v>
      </c>
      <c r="F11" s="66">
        <v>6.6550799999999999</v>
      </c>
      <c r="G11" s="66">
        <v>50</v>
      </c>
      <c r="H11" s="66">
        <v>28.144200000000001</v>
      </c>
    </row>
    <row r="12" spans="1:8">
      <c r="A12" s="66" t="s">
        <v>309</v>
      </c>
      <c r="B12" s="66">
        <v>67.153700000000001</v>
      </c>
      <c r="C12" s="66">
        <v>4.1282399999999999</v>
      </c>
      <c r="D12" s="66">
        <v>6.1474399999999996</v>
      </c>
      <c r="E12" s="66">
        <v>50</v>
      </c>
      <c r="F12" s="66">
        <v>60.490299999999998</v>
      </c>
      <c r="G12" s="66">
        <v>100</v>
      </c>
      <c r="H12" s="66">
        <v>74.693299999999994</v>
      </c>
    </row>
    <row r="13" spans="1:8">
      <c r="A13" s="66" t="s">
        <v>310</v>
      </c>
      <c r="B13" s="66">
        <v>20.348400000000002</v>
      </c>
      <c r="C13" s="66">
        <v>2.9140999999999999</v>
      </c>
      <c r="D13" s="66">
        <v>14.321</v>
      </c>
      <c r="E13" s="66">
        <v>10</v>
      </c>
      <c r="F13" s="66">
        <v>15.5685</v>
      </c>
      <c r="G13" s="66">
        <v>25</v>
      </c>
      <c r="H13" s="66">
        <v>27.4314</v>
      </c>
    </row>
    <row r="14" spans="1:8">
      <c r="A14" s="66" t="s">
        <v>311</v>
      </c>
      <c r="B14" s="66">
        <v>29.140999999999998</v>
      </c>
      <c r="C14" s="66">
        <v>9.8902999999999999</v>
      </c>
      <c r="D14" s="66">
        <v>33.939399999999999</v>
      </c>
      <c r="E14" s="66">
        <v>10</v>
      </c>
      <c r="F14" s="66">
        <v>1.3661300000000001</v>
      </c>
      <c r="G14" s="66">
        <v>50</v>
      </c>
      <c r="H14" s="66">
        <v>34.125399999999999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0.45817000000000002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0.53975099999999998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6.5558599999999999E-4</v>
      </c>
      <c r="C20" s="66">
        <v>1.84566E-2</v>
      </c>
      <c r="D20" s="66">
        <v>28.152799999999999</v>
      </c>
      <c r="E20" s="66">
        <v>0</v>
      </c>
      <c r="F20" s="196">
        <v>3.9146200000000001E-5</v>
      </c>
      <c r="G20" s="66">
        <v>0</v>
      </c>
      <c r="H20" s="66">
        <v>0.11480899999999999</v>
      </c>
    </row>
    <row r="21" spans="1:8">
      <c r="A21" s="66" t="s">
        <v>318</v>
      </c>
      <c r="B21" s="66">
        <v>6.0119300000000001E-2</v>
      </c>
      <c r="C21" s="66">
        <v>9.8487400000000003E-2</v>
      </c>
      <c r="D21" s="66">
        <v>1.6382000000000001</v>
      </c>
      <c r="E21" s="66">
        <v>0</v>
      </c>
      <c r="F21" s="66">
        <v>2.0461500000000001E-3</v>
      </c>
      <c r="G21" s="66">
        <v>0</v>
      </c>
      <c r="H21" s="66">
        <v>0.68602200000000002</v>
      </c>
    </row>
    <row r="22" spans="1:8">
      <c r="A22" s="66" t="s">
        <v>319</v>
      </c>
      <c r="B22" s="66">
        <v>41.283499999999997</v>
      </c>
      <c r="C22" s="66">
        <v>9.7632899999999996</v>
      </c>
      <c r="D22" s="66">
        <v>0.23649400000000001</v>
      </c>
      <c r="E22" s="66">
        <v>0</v>
      </c>
      <c r="F22" s="66">
        <v>21.2972</v>
      </c>
      <c r="G22" s="66">
        <v>0</v>
      </c>
      <c r="H22" s="66">
        <v>71.357799999999997</v>
      </c>
    </row>
    <row r="23" spans="1:8">
      <c r="A23" s="66" t="s">
        <v>320</v>
      </c>
      <c r="B23" s="66">
        <v>16.570399999999999</v>
      </c>
      <c r="C23" s="66">
        <v>3.70323</v>
      </c>
      <c r="D23" s="66">
        <v>0.22348499999999999</v>
      </c>
      <c r="E23" s="66">
        <v>0</v>
      </c>
      <c r="F23" s="66">
        <v>8.9075199999999999</v>
      </c>
      <c r="G23" s="66">
        <v>0</v>
      </c>
      <c r="H23" s="66">
        <v>21.522099999999998</v>
      </c>
    </row>
    <row r="24" spans="1:8">
      <c r="A24" s="66" t="s">
        <v>346</v>
      </c>
      <c r="B24" s="66">
        <v>4.5915499999999998E-3</v>
      </c>
      <c r="C24" s="66">
        <v>8.6505699999999998E-3</v>
      </c>
      <c r="D24" s="66">
        <v>1.88402</v>
      </c>
      <c r="E24" s="66">
        <v>0</v>
      </c>
      <c r="F24" s="66">
        <v>2.13604E-4</v>
      </c>
      <c r="G24" s="66">
        <v>0</v>
      </c>
      <c r="H24" s="66">
        <v>3.5431900000000002E-2</v>
      </c>
    </row>
    <row r="25" spans="1:8">
      <c r="A25" s="66" t="s">
        <v>322</v>
      </c>
      <c r="B25" s="66">
        <v>8.2711800000000002E-2</v>
      </c>
      <c r="C25" s="66">
        <v>9.85708E-2</v>
      </c>
      <c r="D25" s="66">
        <v>1.19174</v>
      </c>
      <c r="E25" s="66">
        <v>0</v>
      </c>
      <c r="F25" s="66">
        <v>2.6575600000000001E-2</v>
      </c>
      <c r="G25" s="66">
        <v>0</v>
      </c>
      <c r="H25" s="66">
        <v>0.54280099999999998</v>
      </c>
    </row>
    <row r="26" spans="1:8">
      <c r="A26" s="66" t="s">
        <v>323</v>
      </c>
      <c r="B26" s="66">
        <v>2.0023600000000001E-4</v>
      </c>
      <c r="C26" s="66">
        <v>1.35849E-3</v>
      </c>
      <c r="D26" s="66">
        <v>6.7844300000000004</v>
      </c>
      <c r="E26" s="66">
        <v>0</v>
      </c>
      <c r="F26" s="196">
        <v>1.9695400000000001E-5</v>
      </c>
      <c r="G26" s="66">
        <v>0</v>
      </c>
      <c r="H26" s="66">
        <v>8.4066399999999999E-3</v>
      </c>
    </row>
    <row r="27" spans="1:8">
      <c r="A27" s="66" t="s">
        <v>324</v>
      </c>
      <c r="B27" s="196">
        <v>-9.8476899999999999E-6</v>
      </c>
      <c r="C27" s="66">
        <v>1.21714E-3</v>
      </c>
      <c r="D27" s="66">
        <v>-123.596</v>
      </c>
      <c r="E27" s="66">
        <v>0</v>
      </c>
      <c r="F27" s="66">
        <v>-6.1022799999999999E-3</v>
      </c>
      <c r="G27" s="66">
        <v>0</v>
      </c>
      <c r="H27" s="66">
        <v>5.2816399999999998E-3</v>
      </c>
    </row>
    <row r="28" spans="1:8">
      <c r="A28" s="66" t="s">
        <v>325</v>
      </c>
      <c r="B28" s="66">
        <v>9.4661499999999996E-3</v>
      </c>
      <c r="C28" s="66">
        <v>9.5847199999999997E-3</v>
      </c>
      <c r="D28" s="66">
        <v>1.0125299999999999</v>
      </c>
      <c r="E28" s="66">
        <v>0</v>
      </c>
      <c r="F28" s="66">
        <v>5.8919300000000001E-4</v>
      </c>
      <c r="G28" s="66">
        <v>0</v>
      </c>
      <c r="H28" s="66">
        <v>5.8655600000000002E-2</v>
      </c>
    </row>
    <row r="29" spans="1:8">
      <c r="A29" s="66" t="s">
        <v>326</v>
      </c>
      <c r="B29" s="66">
        <v>76.081400000000002</v>
      </c>
      <c r="C29" s="66">
        <v>8.5552799999999998</v>
      </c>
      <c r="D29" s="66">
        <v>0.11244899999999999</v>
      </c>
      <c r="E29" s="66">
        <v>0</v>
      </c>
      <c r="F29" s="66">
        <v>60.3339</v>
      </c>
      <c r="G29" s="66">
        <v>0</v>
      </c>
      <c r="H29" s="66">
        <v>103.456</v>
      </c>
    </row>
    <row r="30" spans="1:8">
      <c r="A30" s="66" t="s">
        <v>327</v>
      </c>
      <c r="B30" s="66">
        <v>22.570599999999999</v>
      </c>
      <c r="C30" s="66">
        <v>8.0538799999999995</v>
      </c>
      <c r="D30" s="66">
        <v>0.35682999999999998</v>
      </c>
      <c r="E30" s="66">
        <v>0</v>
      </c>
      <c r="F30" s="66">
        <v>9.9454899999999995</v>
      </c>
      <c r="G30" s="66">
        <v>0</v>
      </c>
      <c r="H30" s="66">
        <v>35.275599999999997</v>
      </c>
    </row>
    <row r="31" spans="1:8">
      <c r="A31" s="66" t="s">
        <v>328</v>
      </c>
      <c r="B31" s="66">
        <v>227.25800000000001</v>
      </c>
      <c r="C31" s="66">
        <v>81.313000000000002</v>
      </c>
      <c r="D31" s="66">
        <v>0.35780099999999998</v>
      </c>
      <c r="E31" s="66">
        <v>0</v>
      </c>
      <c r="F31" s="66">
        <v>49.178199999999997</v>
      </c>
      <c r="G31" s="66">
        <v>0</v>
      </c>
      <c r="H31" s="66">
        <v>318.82400000000001</v>
      </c>
    </row>
    <row r="32" spans="1:8">
      <c r="A32" s="66" t="s">
        <v>329</v>
      </c>
      <c r="B32" s="66">
        <v>0.36254199999999998</v>
      </c>
      <c r="C32" s="66">
        <v>8.1657999999999994E-2</v>
      </c>
      <c r="D32" s="66">
        <v>0.22523699999999999</v>
      </c>
      <c r="E32" s="66">
        <v>0.15</v>
      </c>
      <c r="F32" s="66">
        <v>0.11856899999999999</v>
      </c>
      <c r="G32" s="66">
        <v>0.4</v>
      </c>
      <c r="H32" s="66">
        <v>0.43046099999999998</v>
      </c>
    </row>
    <row r="33" spans="1:8">
      <c r="A33" s="66" t="s">
        <v>330</v>
      </c>
      <c r="B33" s="66">
        <v>0.30825399999999997</v>
      </c>
      <c r="C33" s="66">
        <v>5.8579300000000001E-2</v>
      </c>
      <c r="D33" s="66">
        <v>0.19003600000000001</v>
      </c>
      <c r="E33" s="66">
        <v>0</v>
      </c>
      <c r="F33" s="66">
        <v>0.23987800000000001</v>
      </c>
      <c r="G33" s="66">
        <v>0</v>
      </c>
      <c r="H33" s="66">
        <v>0.47786000000000001</v>
      </c>
    </row>
    <row r="34" spans="1:8">
      <c r="A34" s="66" t="s">
        <v>331</v>
      </c>
      <c r="B34" s="66">
        <v>0.203484</v>
      </c>
      <c r="C34" s="66">
        <v>2.9141E-2</v>
      </c>
      <c r="D34" s="66">
        <v>0.14321</v>
      </c>
      <c r="E34" s="66">
        <v>0.1</v>
      </c>
      <c r="F34" s="66">
        <v>0.15568499999999999</v>
      </c>
      <c r="G34" s="66">
        <v>0.25</v>
      </c>
      <c r="H34" s="66">
        <v>0.274314</v>
      </c>
    </row>
    <row r="35" spans="1:8">
      <c r="A35" s="66" t="s">
        <v>332</v>
      </c>
      <c r="B35" s="66">
        <v>0.10027</v>
      </c>
      <c r="C35" s="66">
        <v>2.5498400000000001E-2</v>
      </c>
      <c r="D35" s="66">
        <v>0.25429600000000002</v>
      </c>
      <c r="E35" s="66">
        <v>0</v>
      </c>
      <c r="F35" s="66">
        <v>5.8723999999999998E-2</v>
      </c>
      <c r="G35" s="66">
        <v>0</v>
      </c>
      <c r="H35" s="66">
        <v>0.193465</v>
      </c>
    </row>
    <row r="36" spans="1:8">
      <c r="A36" s="66" t="s">
        <v>333</v>
      </c>
      <c r="B36" s="66">
        <v>0.15578</v>
      </c>
      <c r="C36" s="66">
        <v>0.11089400000000001</v>
      </c>
      <c r="D36" s="66">
        <v>0.71186000000000005</v>
      </c>
      <c r="E36" s="66">
        <v>0</v>
      </c>
      <c r="F36" s="66">
        <v>4.1952000000000003E-2</v>
      </c>
      <c r="G36" s="66">
        <v>0</v>
      </c>
      <c r="H36" s="66">
        <v>0.64705000000000001</v>
      </c>
    </row>
    <row r="37" spans="1:8">
      <c r="A37" s="66" t="s">
        <v>334</v>
      </c>
      <c r="B37" s="66">
        <v>0.29141</v>
      </c>
      <c r="C37" s="66">
        <v>9.8903000000000005E-2</v>
      </c>
      <c r="D37" s="66">
        <v>0.33939399999999997</v>
      </c>
      <c r="E37" s="66">
        <v>0.1</v>
      </c>
      <c r="F37" s="66">
        <v>1.3661299999999999E-2</v>
      </c>
      <c r="G37" s="66">
        <v>0.5</v>
      </c>
      <c r="H37" s="66">
        <v>0.341254</v>
      </c>
    </row>
    <row r="38" spans="1:8">
      <c r="A38" s="66" t="s">
        <v>335</v>
      </c>
      <c r="B38" s="66">
        <v>-2.9207800000000002</v>
      </c>
      <c r="C38" s="66">
        <v>58.226300000000002</v>
      </c>
      <c r="D38" s="66">
        <v>-19.935199999999998</v>
      </c>
      <c r="E38" s="66">
        <v>0</v>
      </c>
      <c r="F38" s="66">
        <v>-260.93</v>
      </c>
      <c r="G38" s="66">
        <v>0</v>
      </c>
      <c r="H38" s="66">
        <v>223.28800000000001</v>
      </c>
    </row>
    <row r="39" spans="1:8">
      <c r="A39" s="66" t="s">
        <v>336</v>
      </c>
      <c r="B39" s="66">
        <v>4.6135799999999998</v>
      </c>
      <c r="C39" s="66">
        <v>9.6488499999999995</v>
      </c>
      <c r="D39" s="66">
        <v>2.0914000000000001</v>
      </c>
      <c r="E39" s="66">
        <v>0</v>
      </c>
      <c r="F39" s="66">
        <v>-8.6733700000000002</v>
      </c>
      <c r="G39" s="66">
        <v>0</v>
      </c>
      <c r="H39" s="66">
        <v>46.908299999999997</v>
      </c>
    </row>
    <row r="40" spans="1:8">
      <c r="A40" s="66" t="s">
        <v>337</v>
      </c>
      <c r="B40" s="66">
        <v>2.08067</v>
      </c>
      <c r="C40" s="66">
        <v>0.78159900000000004</v>
      </c>
      <c r="D40" s="66">
        <v>0.37564700000000001</v>
      </c>
      <c r="E40" s="66">
        <v>0</v>
      </c>
      <c r="F40" s="66">
        <v>0.15215100000000001</v>
      </c>
      <c r="G40" s="66">
        <v>0</v>
      </c>
      <c r="H40" s="66">
        <v>2.63659</v>
      </c>
    </row>
    <row r="41" spans="1:8">
      <c r="A41" s="66" t="s">
        <v>338</v>
      </c>
      <c r="B41" s="66">
        <v>-3.6385399999999998E-2</v>
      </c>
      <c r="C41" s="66">
        <v>0.328959</v>
      </c>
      <c r="D41" s="66">
        <v>-9.0409699999999997</v>
      </c>
      <c r="E41" s="66">
        <v>0</v>
      </c>
      <c r="F41" s="66">
        <v>-0.77114400000000005</v>
      </c>
      <c r="G41" s="66">
        <v>0</v>
      </c>
      <c r="H41" s="66">
        <v>1</v>
      </c>
    </row>
    <row r="42" spans="1:8">
      <c r="A42" s="66" t="s">
        <v>339</v>
      </c>
      <c r="B42" s="66">
        <v>0.108558</v>
      </c>
      <c r="C42" s="66">
        <v>0.12282999999999999</v>
      </c>
      <c r="D42" s="66">
        <v>1.13147</v>
      </c>
      <c r="E42" s="66">
        <v>0</v>
      </c>
      <c r="F42" s="66">
        <v>-0.17614099999999999</v>
      </c>
      <c r="G42" s="66">
        <v>0</v>
      </c>
      <c r="H42" s="66">
        <v>0.42220600000000003</v>
      </c>
    </row>
    <row r="43" spans="1:8">
      <c r="A43" s="66" t="s">
        <v>340</v>
      </c>
      <c r="B43" s="66">
        <v>0.197522</v>
      </c>
      <c r="C43" s="66">
        <v>5.2087899999999999E-2</v>
      </c>
      <c r="D43" s="66">
        <v>0.26370700000000002</v>
      </c>
      <c r="E43" s="66">
        <v>0</v>
      </c>
      <c r="F43" s="66">
        <v>6.5907099999999996E-2</v>
      </c>
      <c r="G43" s="66">
        <v>0</v>
      </c>
      <c r="H43" s="66">
        <v>0.24898999999999999</v>
      </c>
    </row>
    <row r="44" spans="1:8">
      <c r="A44" s="66" t="s">
        <v>341</v>
      </c>
      <c r="B44" s="66">
        <v>29.025700000000001</v>
      </c>
      <c r="C44" s="66">
        <v>28.183</v>
      </c>
      <c r="D44" s="66">
        <v>0.97096499999999997</v>
      </c>
      <c r="E44" s="66">
        <v>0</v>
      </c>
      <c r="F44" s="66">
        <v>-6.2840100000000003</v>
      </c>
      <c r="G44" s="66">
        <v>0</v>
      </c>
      <c r="H44" s="66">
        <v>104.886</v>
      </c>
    </row>
    <row r="45" spans="1:8">
      <c r="A45" s="66" t="s">
        <v>342</v>
      </c>
      <c r="B45" s="66">
        <v>57.653500000000001</v>
      </c>
      <c r="C45" s="66">
        <v>5.75345</v>
      </c>
      <c r="D45" s="66">
        <v>9.9793599999999996E-2</v>
      </c>
      <c r="E45" s="66">
        <v>0</v>
      </c>
      <c r="F45" s="66">
        <v>45.2956</v>
      </c>
      <c r="G45" s="66">
        <v>0</v>
      </c>
      <c r="H45" s="66">
        <v>75.527299999999997</v>
      </c>
    </row>
    <row r="46" spans="1:8">
      <c r="A46" s="66" t="s">
        <v>343</v>
      </c>
      <c r="B46" s="66">
        <v>35.369500000000002</v>
      </c>
      <c r="C46" s="66">
        <v>10.3263</v>
      </c>
      <c r="D46" s="66">
        <v>0.29195399999999999</v>
      </c>
      <c r="E46" s="66">
        <v>0</v>
      </c>
      <c r="F46" s="66">
        <v>8.0294500000000006</v>
      </c>
      <c r="G46" s="66">
        <v>0</v>
      </c>
      <c r="H46" s="66">
        <v>39.064100000000003</v>
      </c>
    </row>
    <row r="47" spans="1:8">
      <c r="A47" s="66" t="s">
        <v>344</v>
      </c>
      <c r="B47" s="66">
        <v>0.84909199999999996</v>
      </c>
      <c r="C47" s="66">
        <v>0.420375</v>
      </c>
      <c r="D47" s="66">
        <v>0.49508799999999997</v>
      </c>
      <c r="E47" s="66">
        <v>0</v>
      </c>
      <c r="F47" s="66">
        <v>0.28049200000000002</v>
      </c>
      <c r="G47" s="66">
        <v>0</v>
      </c>
      <c r="H47" s="66">
        <v>2.7015099999999999</v>
      </c>
    </row>
    <row r="48" spans="1:8">
      <c r="A48" s="66" t="s">
        <v>345</v>
      </c>
      <c r="B48" s="66">
        <v>0.86625799999999997</v>
      </c>
      <c r="C48" s="66">
        <v>0.114582</v>
      </c>
      <c r="D48" s="66">
        <v>0.132272</v>
      </c>
      <c r="E48" s="66">
        <v>0</v>
      </c>
      <c r="F48" s="66">
        <v>0.73964700000000005</v>
      </c>
      <c r="G48" s="66">
        <v>0</v>
      </c>
      <c r="H48" s="66">
        <v>1.26142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43.319000000000003</v>
      </c>
      <c r="C5" s="66">
        <v>2.1627399999999999</v>
      </c>
      <c r="D5" s="66">
        <v>4.9926000000000004</v>
      </c>
      <c r="E5" s="66">
        <v>20</v>
      </c>
      <c r="F5" s="66">
        <v>38.009399999999999</v>
      </c>
      <c r="G5" s="66">
        <v>50</v>
      </c>
      <c r="H5" s="66">
        <v>47.511499999999998</v>
      </c>
    </row>
    <row r="6" spans="1:8">
      <c r="A6" s="66" t="s">
        <v>303</v>
      </c>
      <c r="B6" s="66">
        <v>34.772199999999998</v>
      </c>
      <c r="C6" s="66">
        <v>1.7846900000000001</v>
      </c>
      <c r="D6" s="66">
        <v>5.1325099999999999</v>
      </c>
      <c r="E6" s="66">
        <v>20</v>
      </c>
      <c r="F6" s="66">
        <v>31.874600000000001</v>
      </c>
      <c r="G6" s="66">
        <v>40</v>
      </c>
      <c r="H6" s="66">
        <v>38.840499999999999</v>
      </c>
    </row>
    <row r="7" spans="1:8">
      <c r="A7" s="66" t="s">
        <v>304</v>
      </c>
      <c r="B7" s="66">
        <v>36.341999999999999</v>
      </c>
      <c r="C7" s="66">
        <v>2.73143</v>
      </c>
      <c r="D7" s="66">
        <v>7.5159000000000002</v>
      </c>
      <c r="E7" s="66">
        <v>15</v>
      </c>
      <c r="F7" s="66">
        <v>30.846399999999999</v>
      </c>
      <c r="G7" s="66">
        <v>40</v>
      </c>
      <c r="H7" s="66">
        <v>43.069000000000003</v>
      </c>
    </row>
    <row r="8" spans="1:8">
      <c r="A8" s="66" t="s">
        <v>305</v>
      </c>
      <c r="B8" s="66">
        <v>38.716200000000001</v>
      </c>
      <c r="C8" s="66">
        <v>1.36873</v>
      </c>
      <c r="D8" s="66">
        <v>3.5352899999999998</v>
      </c>
      <c r="E8" s="66">
        <v>20</v>
      </c>
      <c r="F8" s="66">
        <v>35.132300000000001</v>
      </c>
      <c r="G8" s="66">
        <v>50</v>
      </c>
      <c r="H8" s="66">
        <v>41.436999999999998</v>
      </c>
    </row>
    <row r="9" spans="1:8">
      <c r="A9" s="66" t="s">
        <v>306</v>
      </c>
      <c r="B9" s="66">
        <v>53.720799999999997</v>
      </c>
      <c r="C9" s="66">
        <v>5.5017399999999999</v>
      </c>
      <c r="D9" s="66">
        <v>10.241400000000001</v>
      </c>
      <c r="E9" s="66">
        <v>50</v>
      </c>
      <c r="F9" s="66">
        <v>45.759099999999997</v>
      </c>
      <c r="G9" s="66">
        <v>100</v>
      </c>
      <c r="H9" s="66">
        <v>66.680199999999999</v>
      </c>
    </row>
    <row r="10" spans="1:8">
      <c r="A10" s="66" t="s">
        <v>307</v>
      </c>
      <c r="B10" s="66">
        <v>63.2348</v>
      </c>
      <c r="C10" s="66">
        <v>2.8081700000000001</v>
      </c>
      <c r="D10" s="66">
        <v>4.4408700000000003</v>
      </c>
      <c r="E10" s="66">
        <v>40</v>
      </c>
      <c r="F10" s="66">
        <v>56.374600000000001</v>
      </c>
      <c r="G10" s="66">
        <v>100</v>
      </c>
      <c r="H10" s="66">
        <v>71.794200000000004</v>
      </c>
    </row>
    <row r="11" spans="1:8">
      <c r="A11" s="66" t="s">
        <v>308</v>
      </c>
      <c r="B11" s="66">
        <v>23.650200000000002</v>
      </c>
      <c r="C11" s="66">
        <v>1.51213</v>
      </c>
      <c r="D11" s="66">
        <v>6.3937400000000002</v>
      </c>
      <c r="E11" s="66">
        <v>10</v>
      </c>
      <c r="F11" s="66">
        <v>21.137499999999999</v>
      </c>
      <c r="G11" s="66">
        <v>50</v>
      </c>
      <c r="H11" s="66">
        <v>27.1447</v>
      </c>
    </row>
    <row r="12" spans="1:8">
      <c r="A12" s="66" t="s">
        <v>309</v>
      </c>
      <c r="B12" s="66">
        <v>60.064300000000003</v>
      </c>
      <c r="C12" s="66">
        <v>2.6126399999999999</v>
      </c>
      <c r="D12" s="66">
        <v>4.3497399999999997</v>
      </c>
      <c r="E12" s="66">
        <v>50</v>
      </c>
      <c r="F12" s="66">
        <v>54.121000000000002</v>
      </c>
      <c r="G12" s="66">
        <v>100</v>
      </c>
      <c r="H12" s="66">
        <v>63.939799999999998</v>
      </c>
    </row>
    <row r="13" spans="1:8">
      <c r="A13" s="66" t="s">
        <v>310</v>
      </c>
      <c r="B13" s="66">
        <v>22.512699999999999</v>
      </c>
      <c r="C13" s="66">
        <v>2.1452200000000001</v>
      </c>
      <c r="D13" s="66">
        <v>9.5289300000000008</v>
      </c>
      <c r="E13" s="66">
        <v>10</v>
      </c>
      <c r="F13" s="66">
        <v>17.442900000000002</v>
      </c>
      <c r="G13" s="66">
        <v>25</v>
      </c>
      <c r="H13" s="66">
        <v>29.4786</v>
      </c>
    </row>
    <row r="14" spans="1:8">
      <c r="A14" s="66" t="s">
        <v>311</v>
      </c>
      <c r="B14" s="66">
        <v>21.452200000000001</v>
      </c>
      <c r="C14" s="66">
        <v>9.2905899999999999</v>
      </c>
      <c r="D14" s="66">
        <v>43.308199999999999</v>
      </c>
      <c r="E14" s="66">
        <v>10</v>
      </c>
      <c r="F14" s="66">
        <v>2.9672499999999999</v>
      </c>
      <c r="G14" s="66">
        <v>50</v>
      </c>
      <c r="H14" s="66">
        <v>29.124700000000001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0.44817000000000001</v>
      </c>
      <c r="C18" s="66">
        <v>6.5774799999999994E-2</v>
      </c>
      <c r="D18" s="66">
        <v>0.146763</v>
      </c>
      <c r="E18" s="66">
        <v>0</v>
      </c>
      <c r="F18" s="66">
        <v>0.38239499999999998</v>
      </c>
      <c r="G18" s="66">
        <v>0</v>
      </c>
      <c r="H18" s="66">
        <v>0.51394499999999999</v>
      </c>
    </row>
    <row r="19" spans="1:8">
      <c r="A19" s="66" t="s">
        <v>316</v>
      </c>
      <c r="B19" s="66">
        <v>0.50645700000000005</v>
      </c>
      <c r="C19" s="66">
        <v>5.0574399999999999E-2</v>
      </c>
      <c r="D19" s="66">
        <v>9.9859299999999998E-2</v>
      </c>
      <c r="E19" s="66">
        <v>0</v>
      </c>
      <c r="F19" s="66">
        <v>0.45588200000000001</v>
      </c>
      <c r="G19" s="66">
        <v>0</v>
      </c>
      <c r="H19" s="66">
        <v>0.55703100000000005</v>
      </c>
    </row>
    <row r="20" spans="1:8">
      <c r="A20" s="66" t="s">
        <v>317</v>
      </c>
      <c r="B20" s="66">
        <v>9.7310599999999995E-4</v>
      </c>
      <c r="C20" s="66">
        <v>1.8546799999999999E-2</v>
      </c>
      <c r="D20" s="66">
        <v>19.0593</v>
      </c>
      <c r="E20" s="66">
        <v>0</v>
      </c>
      <c r="F20" s="196">
        <v>4.5376600000000002E-5</v>
      </c>
      <c r="G20" s="66">
        <v>0</v>
      </c>
      <c r="H20" s="66">
        <v>9.7718899999999997E-2</v>
      </c>
    </row>
    <row r="21" spans="1:8">
      <c r="A21" s="66" t="s">
        <v>318</v>
      </c>
      <c r="B21" s="66">
        <v>8.7118500000000001E-2</v>
      </c>
      <c r="C21" s="66">
        <v>0.11773500000000001</v>
      </c>
      <c r="D21" s="66">
        <v>1.3514299999999999</v>
      </c>
      <c r="E21" s="66">
        <v>0</v>
      </c>
      <c r="F21" s="66">
        <v>3.2247500000000002E-3</v>
      </c>
      <c r="G21" s="66">
        <v>0</v>
      </c>
      <c r="H21" s="66">
        <v>0.76297499999999996</v>
      </c>
    </row>
    <row r="22" spans="1:8">
      <c r="A22" s="66" t="s">
        <v>319</v>
      </c>
      <c r="B22" s="66">
        <v>45.526899999999998</v>
      </c>
      <c r="C22" s="66">
        <v>8.5827299999999997</v>
      </c>
      <c r="D22" s="66">
        <v>0.18851999999999999</v>
      </c>
      <c r="E22" s="66">
        <v>0</v>
      </c>
      <c r="F22" s="66">
        <v>24.808599999999998</v>
      </c>
      <c r="G22" s="66">
        <v>0</v>
      </c>
      <c r="H22" s="66">
        <v>69.999899999999997</v>
      </c>
    </row>
    <row r="23" spans="1:8">
      <c r="A23" s="66" t="s">
        <v>320</v>
      </c>
      <c r="B23" s="66">
        <v>20.917899999999999</v>
      </c>
      <c r="C23" s="66">
        <v>0.95194599999999996</v>
      </c>
      <c r="D23" s="66">
        <v>4.5508600000000003E-2</v>
      </c>
      <c r="E23" s="66">
        <v>0</v>
      </c>
      <c r="F23" s="66">
        <v>18.3626</v>
      </c>
      <c r="G23" s="66">
        <v>0</v>
      </c>
      <c r="H23" s="66">
        <v>22.036899999999999</v>
      </c>
    </row>
    <row r="24" spans="1:8">
      <c r="A24" s="66" t="s">
        <v>321</v>
      </c>
      <c r="B24" s="66">
        <v>8.8525300000000008E-3</v>
      </c>
      <c r="C24" s="66">
        <v>8.4087899999999993E-3</v>
      </c>
      <c r="D24" s="66">
        <v>0.94987500000000002</v>
      </c>
      <c r="E24" s="66">
        <v>0</v>
      </c>
      <c r="F24" s="66">
        <v>2.0252200000000001E-4</v>
      </c>
      <c r="G24" s="66">
        <v>0</v>
      </c>
      <c r="H24" s="66">
        <v>3.2639500000000002E-2</v>
      </c>
    </row>
    <row r="25" spans="1:8">
      <c r="A25" s="66" t="s">
        <v>322</v>
      </c>
      <c r="B25" s="66">
        <v>8.9274099999999995E-2</v>
      </c>
      <c r="C25" s="66">
        <v>5.9357300000000002E-2</v>
      </c>
      <c r="D25" s="66">
        <v>0.66488800000000003</v>
      </c>
      <c r="E25" s="66">
        <v>0</v>
      </c>
      <c r="F25" s="66">
        <v>4.70806E-2</v>
      </c>
      <c r="G25" s="66">
        <v>0</v>
      </c>
      <c r="H25" s="66">
        <v>0.26421699999999998</v>
      </c>
    </row>
    <row r="26" spans="1:8">
      <c r="A26" s="66" t="s">
        <v>323</v>
      </c>
      <c r="B26" s="66">
        <v>2.8394200000000003E-4</v>
      </c>
      <c r="C26" s="66">
        <v>1.4259699999999999E-3</v>
      </c>
      <c r="D26" s="66">
        <v>5.0220500000000001</v>
      </c>
      <c r="E26" s="66">
        <v>0</v>
      </c>
      <c r="F26" s="196">
        <v>1.64128E-5</v>
      </c>
      <c r="G26" s="66">
        <v>0</v>
      </c>
      <c r="H26" s="66">
        <v>6.9163599999999999E-3</v>
      </c>
    </row>
    <row r="27" spans="1:8">
      <c r="A27" s="66" t="s">
        <v>324</v>
      </c>
      <c r="B27" s="196">
        <v>-1.64128E-5</v>
      </c>
      <c r="C27" s="66">
        <v>1.28112E-3</v>
      </c>
      <c r="D27" s="66">
        <v>-78.055999999999997</v>
      </c>
      <c r="E27" s="66">
        <v>0</v>
      </c>
      <c r="F27" s="66">
        <v>-5.52784E-3</v>
      </c>
      <c r="G27" s="66">
        <v>0</v>
      </c>
      <c r="H27" s="66">
        <v>5.2980600000000003E-3</v>
      </c>
    </row>
    <row r="28" spans="1:8">
      <c r="A28" s="66" t="s">
        <v>325</v>
      </c>
      <c r="B28" s="66">
        <v>1.06803E-2</v>
      </c>
      <c r="C28" s="66">
        <v>1.11988E-2</v>
      </c>
      <c r="D28" s="66">
        <v>1.04854</v>
      </c>
      <c r="E28" s="66">
        <v>0</v>
      </c>
      <c r="F28" s="66">
        <v>9.3099000000000003E-4</v>
      </c>
      <c r="G28" s="66">
        <v>0</v>
      </c>
      <c r="H28" s="66">
        <v>6.5722699999999995E-2</v>
      </c>
    </row>
    <row r="29" spans="1:8">
      <c r="A29" s="66" t="s">
        <v>326</v>
      </c>
      <c r="B29" s="66">
        <v>78.708100000000002</v>
      </c>
      <c r="C29" s="66">
        <v>7.43973</v>
      </c>
      <c r="D29" s="66">
        <v>9.4522999999999996E-2</v>
      </c>
      <c r="E29" s="66">
        <v>0</v>
      </c>
      <c r="F29" s="66">
        <v>53.662700000000001</v>
      </c>
      <c r="G29" s="66">
        <v>0</v>
      </c>
      <c r="H29" s="66">
        <v>100.33799999999999</v>
      </c>
    </row>
    <row r="30" spans="1:8">
      <c r="A30" s="66" t="s">
        <v>327</v>
      </c>
      <c r="B30" s="66">
        <v>31.497800000000002</v>
      </c>
      <c r="C30" s="66">
        <v>1.2579199999999999</v>
      </c>
      <c r="D30" s="66">
        <v>3.9936800000000001E-2</v>
      </c>
      <c r="E30" s="66">
        <v>0</v>
      </c>
      <c r="F30" s="66">
        <v>27.627400000000002</v>
      </c>
      <c r="G30" s="66">
        <v>0</v>
      </c>
      <c r="H30" s="66">
        <v>33.883499999999998</v>
      </c>
    </row>
    <row r="31" spans="1:8">
      <c r="A31" s="66" t="s">
        <v>328</v>
      </c>
      <c r="B31" s="66">
        <v>362.85399999999998</v>
      </c>
      <c r="C31" s="66">
        <v>38.8613</v>
      </c>
      <c r="D31" s="66">
        <v>0.107099</v>
      </c>
      <c r="E31" s="66">
        <v>0</v>
      </c>
      <c r="F31" s="66">
        <v>278.017</v>
      </c>
      <c r="G31" s="66">
        <v>0</v>
      </c>
      <c r="H31" s="66">
        <v>427.786</v>
      </c>
    </row>
    <row r="32" spans="1:8">
      <c r="A32" s="66" t="s">
        <v>329</v>
      </c>
      <c r="B32" s="66">
        <v>0.36342000000000002</v>
      </c>
      <c r="C32" s="66">
        <v>2.73143E-2</v>
      </c>
      <c r="D32" s="66">
        <v>7.5159000000000004E-2</v>
      </c>
      <c r="E32" s="66">
        <v>0.15</v>
      </c>
      <c r="F32" s="66">
        <v>0.30846400000000002</v>
      </c>
      <c r="G32" s="66">
        <v>0.4</v>
      </c>
      <c r="H32" s="66">
        <v>0.43069000000000002</v>
      </c>
    </row>
    <row r="33" spans="1:8">
      <c r="A33" s="66" t="s">
        <v>330</v>
      </c>
      <c r="B33" s="66">
        <v>0.45856599999999997</v>
      </c>
      <c r="C33" s="66">
        <v>1.3625200000000001E-2</v>
      </c>
      <c r="D33" s="66">
        <v>2.9712499999999999E-2</v>
      </c>
      <c r="E33" s="66">
        <v>0</v>
      </c>
      <c r="F33" s="66">
        <v>0.429147</v>
      </c>
      <c r="G33" s="66">
        <v>0</v>
      </c>
      <c r="H33" s="66">
        <v>0.50611799999999996</v>
      </c>
    </row>
    <row r="34" spans="1:8">
      <c r="A34" s="66" t="s">
        <v>331</v>
      </c>
      <c r="B34" s="66">
        <v>0.22512699999999999</v>
      </c>
      <c r="C34" s="66">
        <v>2.1452200000000001E-2</v>
      </c>
      <c r="D34" s="66">
        <v>9.5289299999999993E-2</v>
      </c>
      <c r="E34" s="66">
        <v>0.1</v>
      </c>
      <c r="F34" s="66">
        <v>0.174429</v>
      </c>
      <c r="G34" s="66">
        <v>0.25</v>
      </c>
      <c r="H34" s="66">
        <v>0.29478599999999999</v>
      </c>
    </row>
    <row r="35" spans="1:8">
      <c r="A35" s="66" t="s">
        <v>332</v>
      </c>
      <c r="B35" s="66">
        <v>9.54295E-2</v>
      </c>
      <c r="C35" s="66">
        <v>2.2802099999999999E-2</v>
      </c>
      <c r="D35" s="66">
        <v>0.23894199999999999</v>
      </c>
      <c r="E35" s="66">
        <v>0</v>
      </c>
      <c r="F35" s="66">
        <v>4.8657600000000002E-2</v>
      </c>
      <c r="G35" s="66">
        <v>0</v>
      </c>
      <c r="H35" s="66">
        <v>0.15256900000000001</v>
      </c>
    </row>
    <row r="36" spans="1:8">
      <c r="A36" s="66" t="s">
        <v>333</v>
      </c>
      <c r="B36" s="66">
        <v>0.17541399999999999</v>
      </c>
      <c r="C36" s="66">
        <v>0.103019</v>
      </c>
      <c r="D36" s="66">
        <v>0.58729100000000001</v>
      </c>
      <c r="E36" s="66">
        <v>0</v>
      </c>
      <c r="F36" s="66">
        <v>4.4280800000000002E-2</v>
      </c>
      <c r="G36" s="66">
        <v>0</v>
      </c>
      <c r="H36" s="66">
        <v>0.54285899999999998</v>
      </c>
    </row>
    <row r="37" spans="1:8">
      <c r="A37" s="66" t="s">
        <v>334</v>
      </c>
      <c r="B37" s="66">
        <v>0.21452199999999999</v>
      </c>
      <c r="C37" s="66">
        <v>9.29059E-2</v>
      </c>
      <c r="D37" s="66">
        <v>0.43308200000000002</v>
      </c>
      <c r="E37" s="66">
        <v>0.1</v>
      </c>
      <c r="F37" s="66">
        <v>2.9672500000000001E-2</v>
      </c>
      <c r="G37" s="66">
        <v>0.5</v>
      </c>
      <c r="H37" s="66">
        <v>0.29124699999999998</v>
      </c>
    </row>
    <row r="38" spans="1:8">
      <c r="A38" s="66" t="s">
        <v>335</v>
      </c>
      <c r="B38" s="66">
        <v>0.74102599999999996</v>
      </c>
      <c r="C38" s="66">
        <v>63.011000000000003</v>
      </c>
      <c r="D38" s="66">
        <v>85.0321</v>
      </c>
      <c r="E38" s="66">
        <v>0</v>
      </c>
      <c r="F38" s="66">
        <v>-272.697</v>
      </c>
      <c r="G38" s="66">
        <v>0</v>
      </c>
      <c r="H38" s="66">
        <v>283.68799999999999</v>
      </c>
    </row>
    <row r="39" spans="1:8">
      <c r="A39" s="66" t="s">
        <v>336</v>
      </c>
      <c r="B39" s="66">
        <v>1.8061</v>
      </c>
      <c r="C39" s="66">
        <v>6.3967700000000001</v>
      </c>
      <c r="D39" s="66">
        <v>3.54176</v>
      </c>
      <c r="E39" s="66">
        <v>0</v>
      </c>
      <c r="F39" s="66">
        <v>-5.5832800000000002</v>
      </c>
      <c r="G39" s="66">
        <v>0</v>
      </c>
      <c r="H39" s="66">
        <v>38.031799999999997</v>
      </c>
    </row>
    <row r="40" spans="1:8">
      <c r="A40" s="66" t="s">
        <v>337</v>
      </c>
      <c r="B40" s="66">
        <v>1.6032600000000001E-2</v>
      </c>
      <c r="C40" s="66">
        <v>0.26643099999999997</v>
      </c>
      <c r="D40" s="66">
        <v>16.618099999999998</v>
      </c>
      <c r="E40" s="66">
        <v>0</v>
      </c>
      <c r="F40" s="66">
        <v>-0.44065900000000002</v>
      </c>
      <c r="G40" s="66">
        <v>0</v>
      </c>
      <c r="H40" s="66">
        <v>0.822542</v>
      </c>
    </row>
    <row r="41" spans="1:8">
      <c r="A41" s="66" t="s">
        <v>338</v>
      </c>
      <c r="B41" s="66">
        <v>-9.7919200000000008E-3</v>
      </c>
      <c r="C41" s="66">
        <v>0.31003900000000001</v>
      </c>
      <c r="D41" s="66">
        <v>-31.662700000000001</v>
      </c>
      <c r="E41" s="66">
        <v>0</v>
      </c>
      <c r="F41" s="66">
        <v>-0.93103499999999995</v>
      </c>
      <c r="G41" s="66">
        <v>0</v>
      </c>
      <c r="H41" s="66">
        <v>0.86746299999999998</v>
      </c>
    </row>
    <row r="42" spans="1:8">
      <c r="A42" s="66" t="s">
        <v>339</v>
      </c>
      <c r="B42" s="66">
        <v>4.1519199999999999E-2</v>
      </c>
      <c r="C42" s="66">
        <v>7.0139499999999994E-2</v>
      </c>
      <c r="D42" s="66">
        <v>1.68933</v>
      </c>
      <c r="E42" s="66">
        <v>0</v>
      </c>
      <c r="F42" s="66">
        <v>-7.4443599999999999E-2</v>
      </c>
      <c r="G42" s="66">
        <v>0</v>
      </c>
      <c r="H42" s="66">
        <v>0.27795999999999998</v>
      </c>
    </row>
    <row r="43" spans="1:8">
      <c r="A43" s="66" t="s">
        <v>340</v>
      </c>
      <c r="B43" s="66">
        <v>6.3561199999999998E-2</v>
      </c>
      <c r="C43" s="66">
        <v>1.9879999999999998E-2</v>
      </c>
      <c r="D43" s="66">
        <v>0.31276900000000002</v>
      </c>
      <c r="E43" s="66">
        <v>0</v>
      </c>
      <c r="F43" s="66">
        <v>4.4165299999999998E-2</v>
      </c>
      <c r="G43" s="66">
        <v>0</v>
      </c>
      <c r="H43" s="66">
        <v>0.12121700000000001</v>
      </c>
    </row>
    <row r="44" spans="1:8">
      <c r="A44" s="66" t="s">
        <v>341</v>
      </c>
      <c r="B44" s="66">
        <v>91.5685</v>
      </c>
      <c r="C44" s="66">
        <v>8.7481000000000009</v>
      </c>
      <c r="D44" s="66">
        <v>9.5536099999999999E-2</v>
      </c>
      <c r="E44" s="66">
        <v>0</v>
      </c>
      <c r="F44" s="66">
        <v>68.151399999999995</v>
      </c>
      <c r="G44" s="66">
        <v>0</v>
      </c>
      <c r="H44" s="66">
        <v>107.131</v>
      </c>
    </row>
    <row r="45" spans="1:8">
      <c r="A45" s="66" t="s">
        <v>342</v>
      </c>
      <c r="B45" s="66">
        <v>54.299799999999998</v>
      </c>
      <c r="C45" s="66">
        <v>5.6261999999999999</v>
      </c>
      <c r="D45" s="66">
        <v>0.103614</v>
      </c>
      <c r="E45" s="66">
        <v>0</v>
      </c>
      <c r="F45" s="66">
        <v>43.102800000000002</v>
      </c>
      <c r="G45" s="66">
        <v>0</v>
      </c>
      <c r="H45" s="66">
        <v>72.837000000000003</v>
      </c>
    </row>
    <row r="46" spans="1:8">
      <c r="A46" s="66" t="s">
        <v>343</v>
      </c>
      <c r="B46" s="66">
        <v>33.868899999999996</v>
      </c>
      <c r="C46" s="66">
        <v>1.6949700000000001</v>
      </c>
      <c r="D46" s="66">
        <v>5.0044900000000003E-2</v>
      </c>
      <c r="E46" s="66">
        <v>0</v>
      </c>
      <c r="F46" s="66">
        <v>31.787400000000002</v>
      </c>
      <c r="G46" s="66">
        <v>0</v>
      </c>
      <c r="H46" s="66">
        <v>37.985999999999997</v>
      </c>
    </row>
    <row r="47" spans="1:8">
      <c r="A47" s="66" t="s">
        <v>344</v>
      </c>
      <c r="B47" s="66">
        <v>0.91542500000000004</v>
      </c>
      <c r="C47" s="66">
        <v>0.40196500000000002</v>
      </c>
      <c r="D47" s="66">
        <v>0.43910199999999999</v>
      </c>
      <c r="E47" s="66">
        <v>0</v>
      </c>
      <c r="F47" s="66">
        <v>0.35781800000000002</v>
      </c>
      <c r="G47" s="66">
        <v>0</v>
      </c>
      <c r="H47" s="66">
        <v>2.8207499999999999</v>
      </c>
    </row>
    <row r="48" spans="1:8">
      <c r="A48" s="66" t="s">
        <v>345</v>
      </c>
      <c r="B48" s="66">
        <v>0.59755899999999995</v>
      </c>
      <c r="C48" s="66">
        <v>5.3409400000000003E-2</v>
      </c>
      <c r="D48" s="66">
        <v>8.9379399999999998E-2</v>
      </c>
      <c r="E48" s="66">
        <v>0</v>
      </c>
      <c r="F48" s="66">
        <v>0.52621499999999999</v>
      </c>
      <c r="G48" s="66">
        <v>0</v>
      </c>
      <c r="H48" s="66">
        <v>0.77729899999999996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347</v>
      </c>
      <c r="B1" s="60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90.034943071362704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1.7373990002749644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0.64898495379996701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5836</v>
      </c>
      <c r="B8" s="66">
        <v>5836</v>
      </c>
      <c r="D8">
        <f t="shared" si="0"/>
        <v>2.456053228514795E-2</v>
      </c>
      <c r="E8">
        <f t="shared" si="0"/>
        <v>2.456053228514795E-2</v>
      </c>
      <c r="G8">
        <f t="shared" ca="1" si="1"/>
        <v>6</v>
      </c>
      <c r="H8">
        <f t="shared" ca="1" si="2"/>
        <v>0.14736319371088769</v>
      </c>
      <c r="I8">
        <f t="shared" ca="1" si="3"/>
        <v>173.44332682549586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8007</v>
      </c>
      <c r="B10" s="66">
        <v>8007</v>
      </c>
      <c r="D10">
        <f t="shared" si="0"/>
        <v>3.3697083962847776E-2</v>
      </c>
      <c r="E10">
        <f t="shared" si="0"/>
        <v>3.3697083962847776E-2</v>
      </c>
      <c r="G10">
        <f t="shared" ca="1" si="1"/>
        <v>8</v>
      </c>
      <c r="H10">
        <f t="shared" ca="1" si="2"/>
        <v>0.26957667170278221</v>
      </c>
      <c r="I10">
        <f t="shared" ca="1" si="3"/>
        <v>226.77234036692158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11127</v>
      </c>
      <c r="B13" s="66">
        <v>11127</v>
      </c>
      <c r="D13">
        <f t="shared" si="0"/>
        <v>4.6827457631398429E-2</v>
      </c>
      <c r="E13">
        <f t="shared" si="0"/>
        <v>4.6827457631398429E-2</v>
      </c>
      <c r="G13">
        <f t="shared" ca="1" si="1"/>
        <v>11</v>
      </c>
      <c r="H13">
        <f t="shared" ca="1" si="2"/>
        <v>0.51510203394538268</v>
      </c>
      <c r="I13">
        <f t="shared" ca="1" si="3"/>
        <v>292.50875489534945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16567</v>
      </c>
      <c r="B15" s="66">
        <v>16567</v>
      </c>
      <c r="D15">
        <f t="shared" si="0"/>
        <v>6.9721442489384181E-2</v>
      </c>
      <c r="E15">
        <f t="shared" si="0"/>
        <v>6.9721442489384181E-2</v>
      </c>
      <c r="G15">
        <f t="shared" ca="1" si="1"/>
        <v>13</v>
      </c>
      <c r="H15">
        <f t="shared" ca="1" si="2"/>
        <v>0.90637875236199439</v>
      </c>
      <c r="I15">
        <f t="shared" ca="1" si="3"/>
        <v>413.75370497713578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19641</v>
      </c>
      <c r="B18" s="66">
        <v>19641</v>
      </c>
      <c r="D18">
        <f t="shared" si="0"/>
        <v>8.2658227315385691E-2</v>
      </c>
      <c r="E18">
        <f t="shared" si="0"/>
        <v>8.2658227315385691E-2</v>
      </c>
      <c r="G18">
        <f t="shared" ca="1" si="1"/>
        <v>16</v>
      </c>
      <c r="H18">
        <f t="shared" ca="1" si="2"/>
        <v>1.322531637046171</v>
      </c>
      <c r="I18">
        <f t="shared" ca="1" si="3"/>
        <v>453.06402689195278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21875</v>
      </c>
      <c r="B21" s="66">
        <v>21875</v>
      </c>
      <c r="D21">
        <f t="shared" si="0"/>
        <v>9.2059911538315858E-2</v>
      </c>
      <c r="E21">
        <f t="shared" si="0"/>
        <v>9.2059911538315858E-2</v>
      </c>
      <c r="G21">
        <f t="shared" ca="1" si="1"/>
        <v>19</v>
      </c>
      <c r="H21">
        <f t="shared" ca="1" si="2"/>
        <v>1.7491383192280012</v>
      </c>
      <c r="I21">
        <f t="shared" ca="1" si="3"/>
        <v>464.53092003179194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27792</v>
      </c>
      <c r="B23" s="66">
        <v>27792</v>
      </c>
      <c r="D23">
        <f t="shared" si="0"/>
        <v>0.11696132852447426</v>
      </c>
      <c r="E23">
        <f t="shared" si="0"/>
        <v>0.11696132852447426</v>
      </c>
      <c r="G23">
        <f t="shared" ca="1" si="1"/>
        <v>21</v>
      </c>
      <c r="H23">
        <f t="shared" ca="1" si="2"/>
        <v>2.4561878990139596</v>
      </c>
      <c r="I23">
        <f t="shared" ca="1" si="3"/>
        <v>557.41703226774143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35888</v>
      </c>
      <c r="B26" s="66">
        <v>35888</v>
      </c>
      <c r="D26">
        <f t="shared" si="0"/>
        <v>0.15103296481312364</v>
      </c>
      <c r="E26">
        <f t="shared" si="0"/>
        <v>0.15103296481312364</v>
      </c>
      <c r="G26">
        <f t="shared" ca="1" si="1"/>
        <v>24</v>
      </c>
      <c r="H26">
        <f t="shared" ca="1" si="2"/>
        <v>3.6247911555149672</v>
      </c>
      <c r="I26">
        <f t="shared" ca="1" si="3"/>
        <v>658.59641648809213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42277</v>
      </c>
      <c r="B28" s="66">
        <v>42277</v>
      </c>
      <c r="D28">
        <f t="shared" si="0"/>
        <v>0.17792077166196021</v>
      </c>
      <c r="E28">
        <f t="shared" si="0"/>
        <v>0.17792077166196021</v>
      </c>
      <c r="G28">
        <f t="shared" ca="1" si="1"/>
        <v>26</v>
      </c>
      <c r="H28">
        <f t="shared" ca="1" si="2"/>
        <v>4.6259400632109653</v>
      </c>
      <c r="I28">
        <f t="shared" ca="1" si="3"/>
        <v>729.55948654419547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53961</v>
      </c>
      <c r="B31" s="66">
        <v>53961</v>
      </c>
      <c r="D31">
        <f t="shared" si="0"/>
        <v>0.22709233766944284</v>
      </c>
      <c r="E31">
        <f t="shared" si="0"/>
        <v>0.22709233766944284</v>
      </c>
      <c r="G31">
        <f t="shared" ca="1" si="1"/>
        <v>29</v>
      </c>
      <c r="H31">
        <f t="shared" ca="1" si="2"/>
        <v>6.5856777924138425</v>
      </c>
      <c r="I31">
        <f t="shared" ca="1" si="3"/>
        <v>845.97897281073745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55087</v>
      </c>
      <c r="B33" s="66">
        <v>55087</v>
      </c>
      <c r="D33">
        <f t="shared" si="0"/>
        <v>0.23183105585879799</v>
      </c>
      <c r="E33">
        <f t="shared" si="0"/>
        <v>0.23183105585879799</v>
      </c>
      <c r="G33">
        <f t="shared" ca="1" si="1"/>
        <v>31</v>
      </c>
      <c r="H33">
        <f t="shared" ca="1" si="2"/>
        <v>7.1867627316227374</v>
      </c>
      <c r="I33">
        <f t="shared" ca="1" si="3"/>
        <v>807.96009343164064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62478</v>
      </c>
      <c r="B36" s="66">
        <v>62478</v>
      </c>
      <c r="D36">
        <f t="shared" si="0"/>
        <v>0.2629357327127268</v>
      </c>
      <c r="E36">
        <f t="shared" si="0"/>
        <v>0.2629357327127268</v>
      </c>
      <c r="G36">
        <f t="shared" ca="1" si="1"/>
        <v>34</v>
      </c>
      <c r="H36">
        <f t="shared" ca="1" si="2"/>
        <v>8.9398149122327109</v>
      </c>
      <c r="I36">
        <f t="shared" ca="1" si="3"/>
        <v>825.59581042849823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60737</v>
      </c>
      <c r="B39" s="66">
        <v>60737</v>
      </c>
      <c r="D39">
        <f t="shared" si="0"/>
        <v>0.25560881586755158</v>
      </c>
      <c r="E39">
        <f t="shared" si="0"/>
        <v>0.25560881586755158</v>
      </c>
      <c r="G39">
        <f t="shared" ca="1" si="1"/>
        <v>37</v>
      </c>
      <c r="H39">
        <f t="shared" ca="1" si="2"/>
        <v>9.4575261870994076</v>
      </c>
      <c r="I39">
        <f t="shared" ca="1" si="3"/>
        <v>718.95224212692028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64650</v>
      </c>
      <c r="B41" s="66">
        <v>64650</v>
      </c>
      <c r="D41">
        <f t="shared" si="0"/>
        <v>0.27207649284352553</v>
      </c>
      <c r="E41">
        <f t="shared" si="0"/>
        <v>0.27207649284352553</v>
      </c>
      <c r="G41">
        <f t="shared" ca="1" si="1"/>
        <v>39</v>
      </c>
      <c r="H41">
        <f t="shared" ca="1" si="2"/>
        <v>10.610983220897495</v>
      </c>
      <c r="I41">
        <f t="shared" ca="1" si="3"/>
        <v>708.64102330353501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70184</v>
      </c>
      <c r="B44" s="66">
        <v>70184</v>
      </c>
      <c r="D44">
        <f t="shared" si="0"/>
        <v>0.29536607229280731</v>
      </c>
      <c r="E44">
        <f t="shared" si="0"/>
        <v>0.29536607229280731</v>
      </c>
      <c r="G44">
        <f t="shared" ca="1" si="1"/>
        <v>42</v>
      </c>
      <c r="H44">
        <f t="shared" ca="1" si="2"/>
        <v>12.405375036297908</v>
      </c>
      <c r="I44">
        <f t="shared" ca="1" si="3"/>
        <v>681.51460699324457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76100</v>
      </c>
      <c r="B46" s="66">
        <v>76100</v>
      </c>
      <c r="D46">
        <f t="shared" si="0"/>
        <v>0.32026328082586686</v>
      </c>
      <c r="E46">
        <f t="shared" si="0"/>
        <v>0.32026328082586686</v>
      </c>
      <c r="G46">
        <f t="shared" ca="1" si="1"/>
        <v>44</v>
      </c>
      <c r="H46">
        <f t="shared" ca="1" si="2"/>
        <v>14.091584356338142</v>
      </c>
      <c r="I46">
        <f t="shared" ca="1" si="3"/>
        <v>678.70706368110177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73079</v>
      </c>
      <c r="B49" s="66">
        <v>73079</v>
      </c>
      <c r="D49">
        <f t="shared" si="0"/>
        <v>0.30754954401410672</v>
      </c>
      <c r="E49">
        <f t="shared" si="0"/>
        <v>0.30754954401410672</v>
      </c>
      <c r="G49">
        <f t="shared" ca="1" si="1"/>
        <v>47</v>
      </c>
      <c r="H49">
        <f t="shared" ca="1" si="2"/>
        <v>14.454828568663016</v>
      </c>
      <c r="I49">
        <f t="shared" ca="1" si="3"/>
        <v>569.58370081279361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84237</v>
      </c>
      <c r="B51" s="66">
        <v>84237</v>
      </c>
      <c r="D51">
        <f t="shared" si="0"/>
        <v>0.35450746369157088</v>
      </c>
      <c r="E51">
        <f t="shared" si="0"/>
        <v>0.35450746369157088</v>
      </c>
      <c r="G51">
        <f t="shared" ca="1" si="1"/>
        <v>49</v>
      </c>
      <c r="H51">
        <f t="shared" ca="1" si="2"/>
        <v>17.370865720886972</v>
      </c>
      <c r="I51">
        <f t="shared" ca="1" si="3"/>
        <v>596.9432608530044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90825</v>
      </c>
      <c r="B54" s="66">
        <v>90825</v>
      </c>
      <c r="D54">
        <f t="shared" si="0"/>
        <v>0.38223275270708745</v>
      </c>
      <c r="E54">
        <f t="shared" si="0"/>
        <v>0.38223275270708745</v>
      </c>
      <c r="G54">
        <f t="shared" ca="1" si="1"/>
        <v>52</v>
      </c>
      <c r="H54">
        <f t="shared" ca="1" si="2"/>
        <v>19.876103140768549</v>
      </c>
      <c r="I54">
        <f t="shared" ca="1" si="3"/>
        <v>552.95964698517639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101742</v>
      </c>
      <c r="B57" s="66">
        <v>101742</v>
      </c>
      <c r="D57">
        <f t="shared" si="0"/>
        <v>0.42817643518771803</v>
      </c>
      <c r="E57">
        <f t="shared" si="0"/>
        <v>0.42817643518771803</v>
      </c>
      <c r="G57">
        <f t="shared" ca="1" si="1"/>
        <v>55</v>
      </c>
      <c r="H57">
        <f t="shared" ca="1" si="2"/>
        <v>23.549703935324491</v>
      </c>
      <c r="I57">
        <f t="shared" ca="1" si="3"/>
        <v>525.56398189733181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106437</v>
      </c>
      <c r="B59" s="66">
        <v>106437</v>
      </c>
      <c r="D59">
        <f t="shared" si="0"/>
        <v>0.44793512248702744</v>
      </c>
      <c r="E59">
        <f t="shared" si="0"/>
        <v>0.44793512248702744</v>
      </c>
      <c r="G59">
        <f t="shared" ca="1" si="1"/>
        <v>57</v>
      </c>
      <c r="H59">
        <f t="shared" ca="1" si="2"/>
        <v>25.532301981760565</v>
      </c>
      <c r="I59">
        <f t="shared" ca="1" si="3"/>
        <v>488.8349424360872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109848</v>
      </c>
      <c r="B62" s="66">
        <v>109848</v>
      </c>
      <c r="D62">
        <f t="shared" si="0"/>
        <v>0.4622901560073564</v>
      </c>
      <c r="E62">
        <f t="shared" si="0"/>
        <v>0.4622901560073564</v>
      </c>
      <c r="G62">
        <f t="shared" ca="1" si="1"/>
        <v>60</v>
      </c>
      <c r="H62">
        <f t="shared" ca="1" si="2"/>
        <v>27.737409360441383</v>
      </c>
      <c r="I62">
        <f t="shared" ca="1" si="3"/>
        <v>417.03093514603012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108822</v>
      </c>
      <c r="B64" s="66">
        <v>108822</v>
      </c>
      <c r="D64">
        <f t="shared" si="0"/>
        <v>0.45797228312789068</v>
      </c>
      <c r="E64">
        <f t="shared" si="0"/>
        <v>0.45797228312789068</v>
      </c>
      <c r="G64">
        <f t="shared" ca="1" si="1"/>
        <v>62</v>
      </c>
      <c r="H64">
        <f t="shared" ca="1" si="2"/>
        <v>28.394281553929222</v>
      </c>
      <c r="I64">
        <f t="shared" ca="1" si="3"/>
        <v>359.94699482237849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118213</v>
      </c>
      <c r="B67" s="66">
        <v>118213</v>
      </c>
      <c r="D67">
        <f t="shared" ref="D67:E130" si="4">IFERROR( A67/MAX(A$2:A$257), 0 )</f>
        <v>0.49749386617960834</v>
      </c>
      <c r="E67">
        <f t="shared" si="4"/>
        <v>0.49749386617960834</v>
      </c>
      <c r="G67">
        <f t="shared" ref="G67:G130" ca="1" si="5">CELL("row",D67)-2</f>
        <v>65</v>
      </c>
      <c r="H67">
        <f t="shared" ref="H67:H130" ca="1" si="6">D67*G67</f>
        <v>32.337101301674544</v>
      </c>
      <c r="I67">
        <f t="shared" ref="I67:I130" ca="1" si="7">D67*((G67-$L$1)^2)</f>
        <v>311.80347199475932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128002</v>
      </c>
      <c r="B69" s="66">
        <v>128002</v>
      </c>
      <c r="D69">
        <f t="shared" si="4"/>
        <v>0.53869041356468605</v>
      </c>
      <c r="E69">
        <f t="shared" si="4"/>
        <v>0.53869041356468605</v>
      </c>
      <c r="G69">
        <f t="shared" ca="1" si="5"/>
        <v>67</v>
      </c>
      <c r="H69">
        <f t="shared" ca="1" si="6"/>
        <v>36.092257708833962</v>
      </c>
      <c r="I69">
        <f t="shared" ca="1" si="7"/>
        <v>285.83376741446295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139859</v>
      </c>
      <c r="B72" s="66">
        <v>139859</v>
      </c>
      <c r="D72">
        <f t="shared" si="4"/>
        <v>0.58859004195827735</v>
      </c>
      <c r="E72">
        <f t="shared" si="4"/>
        <v>0.58859004195827735</v>
      </c>
      <c r="G72">
        <f t="shared" ca="1" si="5"/>
        <v>70</v>
      </c>
      <c r="H72">
        <f t="shared" ca="1" si="6"/>
        <v>41.201302937079411</v>
      </c>
      <c r="I72">
        <f t="shared" ca="1" si="7"/>
        <v>236.25942121606687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139159</v>
      </c>
      <c r="B75" s="66">
        <v>139159</v>
      </c>
      <c r="D75">
        <f t="shared" si="4"/>
        <v>0.58564412478905126</v>
      </c>
      <c r="E75">
        <f t="shared" si="4"/>
        <v>0.58564412478905126</v>
      </c>
      <c r="G75">
        <f t="shared" ca="1" si="5"/>
        <v>73</v>
      </c>
      <c r="H75">
        <f t="shared" ca="1" si="6"/>
        <v>42.75202110960074</v>
      </c>
      <c r="I75">
        <f t="shared" ca="1" si="7"/>
        <v>169.94765009734431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152153</v>
      </c>
      <c r="B77" s="66">
        <v>152153</v>
      </c>
      <c r="D77">
        <f t="shared" si="4"/>
        <v>0.64032876435608566</v>
      </c>
      <c r="E77">
        <f t="shared" si="4"/>
        <v>0.64032876435608566</v>
      </c>
      <c r="G77">
        <f t="shared" ca="1" si="5"/>
        <v>75</v>
      </c>
      <c r="H77">
        <f t="shared" ca="1" si="6"/>
        <v>48.024657326706425</v>
      </c>
      <c r="I77">
        <f t="shared" ca="1" si="7"/>
        <v>144.74600544447236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164563</v>
      </c>
      <c r="B80" s="66">
        <v>164563</v>
      </c>
      <c r="D80">
        <f t="shared" si="4"/>
        <v>0.6925556673133656</v>
      </c>
      <c r="E80">
        <f t="shared" si="4"/>
        <v>0.6925556673133656</v>
      </c>
      <c r="G80">
        <f t="shared" ca="1" si="5"/>
        <v>78</v>
      </c>
      <c r="H80">
        <f t="shared" ca="1" si="6"/>
        <v>54.019342050442518</v>
      </c>
      <c r="I80">
        <f t="shared" ca="1" si="7"/>
        <v>100.3096622467579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171609</v>
      </c>
      <c r="B82" s="66">
        <v>171609</v>
      </c>
      <c r="D82">
        <f t="shared" si="4"/>
        <v>0.72220842784817585</v>
      </c>
      <c r="E82">
        <f t="shared" si="4"/>
        <v>0.72220842784817585</v>
      </c>
      <c r="G82">
        <f t="shared" ca="1" si="5"/>
        <v>80</v>
      </c>
      <c r="H82">
        <f t="shared" ca="1" si="6"/>
        <v>57.776674227854066</v>
      </c>
      <c r="I82">
        <f t="shared" ca="1" si="7"/>
        <v>72.726448227139272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193257</v>
      </c>
      <c r="B85" s="66">
        <v>193257</v>
      </c>
      <c r="D85">
        <f t="shared" si="4"/>
        <v>0.81331302053304266</v>
      </c>
      <c r="E85">
        <f t="shared" si="4"/>
        <v>0.81331302053304266</v>
      </c>
      <c r="G85">
        <f t="shared" ca="1" si="5"/>
        <v>83</v>
      </c>
      <c r="H85">
        <f t="shared" ca="1" si="6"/>
        <v>67.504980704242541</v>
      </c>
      <c r="I85">
        <f t="shared" ca="1" si="7"/>
        <v>40.251206244982782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202146</v>
      </c>
      <c r="B88" s="66">
        <v>202146</v>
      </c>
      <c r="D88">
        <f t="shared" si="4"/>
        <v>0.85072196012911538</v>
      </c>
      <c r="E88">
        <f t="shared" si="4"/>
        <v>0.85072196012911538</v>
      </c>
      <c r="G88">
        <f t="shared" ca="1" si="5"/>
        <v>86</v>
      </c>
      <c r="H88">
        <f t="shared" ca="1" si="6"/>
        <v>73.162088571103922</v>
      </c>
      <c r="I88">
        <f t="shared" ca="1" si="7"/>
        <v>13.850404814394039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210482</v>
      </c>
      <c r="B90" s="66">
        <v>210482</v>
      </c>
      <c r="D90">
        <f t="shared" si="4"/>
        <v>0.88580362516149935</v>
      </c>
      <c r="E90">
        <f t="shared" si="4"/>
        <v>0.88580362516149935</v>
      </c>
      <c r="G90">
        <f t="shared" ca="1" si="5"/>
        <v>88</v>
      </c>
      <c r="H90">
        <f t="shared" ca="1" si="6"/>
        <v>77.950719014211941</v>
      </c>
      <c r="I90">
        <f t="shared" ca="1" si="7"/>
        <v>3.6681068801755057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221346</v>
      </c>
      <c r="B93" s="66">
        <v>221346</v>
      </c>
      <c r="D93">
        <f t="shared" si="4"/>
        <v>0.93152425962788854</v>
      </c>
      <c r="E93">
        <f t="shared" si="4"/>
        <v>0.93152425962788854</v>
      </c>
      <c r="G93">
        <f t="shared" ca="1" si="5"/>
        <v>91</v>
      </c>
      <c r="H93">
        <f t="shared" ca="1" si="6"/>
        <v>84.768707626137854</v>
      </c>
      <c r="I93">
        <f t="shared" ca="1" si="7"/>
        <v>0.86756103037587662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237617</v>
      </c>
      <c r="B95" s="66">
        <v>237617</v>
      </c>
      <c r="D95">
        <f t="shared" si="4"/>
        <v>1</v>
      </c>
      <c r="E95">
        <f t="shared" si="4"/>
        <v>1</v>
      </c>
      <c r="G95">
        <f t="shared" ca="1" si="5"/>
        <v>93</v>
      </c>
      <c r="H95">
        <f t="shared" ca="1" si="6"/>
        <v>93</v>
      </c>
      <c r="I95">
        <f t="shared" ca="1" si="7"/>
        <v>8.7915625900600336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228373</v>
      </c>
      <c r="B98" s="66">
        <v>228373</v>
      </c>
      <c r="D98">
        <f t="shared" si="4"/>
        <v>0.96109705955381985</v>
      </c>
      <c r="E98">
        <f t="shared" si="4"/>
        <v>0.96109705955381985</v>
      </c>
      <c r="G98">
        <f t="shared" ca="1" si="5"/>
        <v>96</v>
      </c>
      <c r="H98">
        <f t="shared" ca="1" si="6"/>
        <v>92.26531771716671</v>
      </c>
      <c r="I98">
        <f t="shared" ca="1" si="7"/>
        <v>34.197663463312352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222357</v>
      </c>
      <c r="B100" s="66">
        <v>222357</v>
      </c>
      <c r="D100">
        <f t="shared" si="4"/>
        <v>0.9357790057108708</v>
      </c>
      <c r="E100">
        <f t="shared" si="4"/>
        <v>0.9357790057108708</v>
      </c>
      <c r="G100">
        <f t="shared" ca="1" si="5"/>
        <v>98</v>
      </c>
      <c r="H100">
        <f t="shared" ca="1" si="6"/>
        <v>91.706342559665345</v>
      </c>
      <c r="I100">
        <f t="shared" ca="1" si="7"/>
        <v>59.367815087506401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221951</v>
      </c>
      <c r="B103" s="66">
        <v>221951</v>
      </c>
      <c r="D103">
        <f t="shared" si="4"/>
        <v>0.93407037375271973</v>
      </c>
      <c r="E103">
        <f t="shared" si="4"/>
        <v>0.93407037375271973</v>
      </c>
      <c r="G103">
        <f t="shared" ca="1" si="5"/>
        <v>101</v>
      </c>
      <c r="H103">
        <f t="shared" ca="1" si="6"/>
        <v>94.341107749024687</v>
      </c>
      <c r="I103">
        <f t="shared" ca="1" si="7"/>
        <v>112.30559141102715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203476</v>
      </c>
      <c r="B106" s="66">
        <v>203476</v>
      </c>
      <c r="D106">
        <f t="shared" si="4"/>
        <v>0.85631920275064499</v>
      </c>
      <c r="E106">
        <f t="shared" si="4"/>
        <v>0.85631920275064499</v>
      </c>
      <c r="G106">
        <f t="shared" ca="1" si="5"/>
        <v>104</v>
      </c>
      <c r="H106">
        <f t="shared" ca="1" si="6"/>
        <v>89.057197086067077</v>
      </c>
      <c r="I106">
        <f t="shared" ca="1" si="7"/>
        <v>167.00178147618189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188143</v>
      </c>
      <c r="B108" s="66">
        <v>188143</v>
      </c>
      <c r="D108">
        <f t="shared" si="4"/>
        <v>0.79179099138529652</v>
      </c>
      <c r="E108">
        <f t="shared" si="4"/>
        <v>0.79179099138529652</v>
      </c>
      <c r="G108">
        <f t="shared" ca="1" si="5"/>
        <v>106</v>
      </c>
      <c r="H108">
        <f t="shared" ca="1" si="6"/>
        <v>83.929845086841425</v>
      </c>
      <c r="I108">
        <f t="shared" ca="1" si="7"/>
        <v>201.81409709415337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181064</v>
      </c>
      <c r="B111" s="66">
        <v>181064</v>
      </c>
      <c r="D111">
        <f t="shared" si="4"/>
        <v>0.76199935189822277</v>
      </c>
      <c r="E111">
        <f t="shared" si="4"/>
        <v>0.76199935189822277</v>
      </c>
      <c r="G111">
        <f t="shared" ca="1" si="5"/>
        <v>109</v>
      </c>
      <c r="H111">
        <f t="shared" ca="1" si="6"/>
        <v>83.057929356906286</v>
      </c>
      <c r="I111">
        <f t="shared" ca="1" si="7"/>
        <v>274.07088573655795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169834</v>
      </c>
      <c r="B113" s="66">
        <v>169834</v>
      </c>
      <c r="D113">
        <f t="shared" si="4"/>
        <v>0.71473842359763817</v>
      </c>
      <c r="E113">
        <f t="shared" si="4"/>
        <v>0.71473842359763817</v>
      </c>
      <c r="G113">
        <f t="shared" ca="1" si="5"/>
        <v>111</v>
      </c>
      <c r="H113">
        <f t="shared" ca="1" si="6"/>
        <v>79.335965019337834</v>
      </c>
      <c r="I113">
        <f t="shared" ca="1" si="7"/>
        <v>314.15156097406737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150067</v>
      </c>
      <c r="B116" s="66">
        <v>150067</v>
      </c>
      <c r="D116">
        <f t="shared" si="4"/>
        <v>0.63154993119179181</v>
      </c>
      <c r="E116">
        <f t="shared" si="4"/>
        <v>0.63154993119179181</v>
      </c>
      <c r="G116">
        <f t="shared" ca="1" si="5"/>
        <v>114</v>
      </c>
      <c r="H116">
        <f t="shared" ca="1" si="6"/>
        <v>71.996692155864267</v>
      </c>
      <c r="I116">
        <f t="shared" ca="1" si="7"/>
        <v>362.71425337334739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140024</v>
      </c>
      <c r="B118" s="66">
        <v>140024</v>
      </c>
      <c r="D118">
        <f t="shared" si="4"/>
        <v>0.58928443671959496</v>
      </c>
      <c r="E118">
        <f t="shared" si="4"/>
        <v>0.58928443671959496</v>
      </c>
      <c r="G118">
        <f t="shared" ca="1" si="5"/>
        <v>116</v>
      </c>
      <c r="H118">
        <f t="shared" ca="1" si="6"/>
        <v>68.356994659473017</v>
      </c>
      <c r="I118">
        <f t="shared" ca="1" si="7"/>
        <v>397.28624552697812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123631</v>
      </c>
      <c r="B121" s="66">
        <v>123631</v>
      </c>
      <c r="D121">
        <f t="shared" si="4"/>
        <v>0.52029526506941848</v>
      </c>
      <c r="E121">
        <f t="shared" si="4"/>
        <v>0.52029526506941848</v>
      </c>
      <c r="G121">
        <f t="shared" ca="1" si="5"/>
        <v>119</v>
      </c>
      <c r="H121">
        <f t="shared" ca="1" si="6"/>
        <v>61.9151365432608</v>
      </c>
      <c r="I121">
        <f t="shared" ca="1" si="7"/>
        <v>436.51447176792198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110873</v>
      </c>
      <c r="B124" s="66">
        <v>110873</v>
      </c>
      <c r="D124">
        <f t="shared" si="4"/>
        <v>0.46660382043372317</v>
      </c>
      <c r="E124">
        <f t="shared" si="4"/>
        <v>0.46660382043372317</v>
      </c>
      <c r="G124">
        <f t="shared" ca="1" si="5"/>
        <v>122</v>
      </c>
      <c r="H124">
        <f t="shared" ca="1" si="6"/>
        <v>56.925666092914227</v>
      </c>
      <c r="I124">
        <f t="shared" ca="1" si="7"/>
        <v>476.7593893377927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89799</v>
      </c>
      <c r="B126" s="66">
        <v>89799</v>
      </c>
      <c r="D126">
        <f t="shared" si="4"/>
        <v>0.37791487982762179</v>
      </c>
      <c r="E126">
        <f t="shared" si="4"/>
        <v>0.37791487982762179</v>
      </c>
      <c r="G126">
        <f t="shared" ca="1" si="5"/>
        <v>124</v>
      </c>
      <c r="H126">
        <f t="shared" ca="1" si="6"/>
        <v>46.861445098625104</v>
      </c>
      <c r="I126">
        <f t="shared" ca="1" si="7"/>
        <v>435.97208807188139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82569</v>
      </c>
      <c r="B129" s="66">
        <v>82569</v>
      </c>
      <c r="D129">
        <f t="shared" si="4"/>
        <v>0.34748776392261499</v>
      </c>
      <c r="E129">
        <f t="shared" si="4"/>
        <v>0.34748776392261499</v>
      </c>
      <c r="G129">
        <f t="shared" ca="1" si="5"/>
        <v>127</v>
      </c>
      <c r="H129">
        <f t="shared" ca="1" si="6"/>
        <v>44.130946018172104</v>
      </c>
      <c r="I129">
        <f t="shared" ca="1" si="7"/>
        <v>474.81264365875785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81314</v>
      </c>
      <c r="B131" s="66">
        <v>81314</v>
      </c>
      <c r="D131">
        <f t="shared" ref="D131:E194" si="8">IFERROR( A131/MAX(A$2:A$257), 0 )</f>
        <v>0.34220615528350246</v>
      </c>
      <c r="E131">
        <f t="shared" si="8"/>
        <v>0.34220615528350246</v>
      </c>
      <c r="G131">
        <f t="shared" ref="G131:G194" ca="1" si="9">CELL("row",D131)-2</f>
        <v>129</v>
      </c>
      <c r="H131">
        <f t="shared" ref="H131:H194" ca="1" si="10">D131*G131</f>
        <v>44.144594031571813</v>
      </c>
      <c r="I131">
        <f t="shared" ref="I131:I194" ca="1" si="11">D131*((G131-$L$1)^2)</f>
        <v>519.56327676598676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65147</v>
      </c>
      <c r="B134" s="66">
        <v>65147</v>
      </c>
      <c r="D134">
        <f t="shared" si="8"/>
        <v>0.27416809403367604</v>
      </c>
      <c r="E134">
        <f t="shared" si="8"/>
        <v>0.27416809403367604</v>
      </c>
      <c r="G134">
        <f t="shared" ca="1" si="9"/>
        <v>132</v>
      </c>
      <c r="H134">
        <f t="shared" ca="1" si="10"/>
        <v>36.190188412445238</v>
      </c>
      <c r="I134">
        <f t="shared" ca="1" si="11"/>
        <v>482.82810951653073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56548</v>
      </c>
      <c r="B136" s="66">
        <v>56548</v>
      </c>
      <c r="D136">
        <f t="shared" si="8"/>
        <v>0.23797960583628275</v>
      </c>
      <c r="E136">
        <f t="shared" si="8"/>
        <v>0.23797960583628275</v>
      </c>
      <c r="G136">
        <f t="shared" ca="1" si="9"/>
        <v>134</v>
      </c>
      <c r="H136">
        <f t="shared" ca="1" si="10"/>
        <v>31.889267182061889</v>
      </c>
      <c r="I136">
        <f t="shared" ca="1" si="11"/>
        <v>459.99702250171669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43512</v>
      </c>
      <c r="B139" s="66">
        <v>43512</v>
      </c>
      <c r="D139">
        <f t="shared" si="8"/>
        <v>0.18311821123909486</v>
      </c>
      <c r="E139">
        <f t="shared" si="8"/>
        <v>0.18311821123909486</v>
      </c>
      <c r="G139">
        <f t="shared" ca="1" si="9"/>
        <v>137</v>
      </c>
      <c r="H139">
        <f t="shared" ca="1" si="10"/>
        <v>25.087194939755996</v>
      </c>
      <c r="I139">
        <f t="shared" ca="1" si="11"/>
        <v>403.90687322186085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35686</v>
      </c>
      <c r="B142" s="66">
        <v>35686</v>
      </c>
      <c r="D142">
        <f t="shared" si="8"/>
        <v>0.15018285728714698</v>
      </c>
      <c r="E142">
        <f t="shared" si="8"/>
        <v>0.15018285728714698</v>
      </c>
      <c r="G142">
        <f t="shared" ca="1" si="9"/>
        <v>140</v>
      </c>
      <c r="H142">
        <f t="shared" ca="1" si="10"/>
        <v>21.025600020200578</v>
      </c>
      <c r="I142">
        <f t="shared" ca="1" si="11"/>
        <v>374.932541563911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31029</v>
      </c>
      <c r="B144" s="66">
        <v>31029</v>
      </c>
      <c r="D144">
        <f t="shared" si="8"/>
        <v>0.13058409120559555</v>
      </c>
      <c r="E144">
        <f t="shared" si="8"/>
        <v>0.13058409120559555</v>
      </c>
      <c r="G144">
        <f t="shared" ca="1" si="9"/>
        <v>142</v>
      </c>
      <c r="H144">
        <f t="shared" ca="1" si="10"/>
        <v>18.54294095119457</v>
      </c>
      <c r="I144">
        <f t="shared" ca="1" si="11"/>
        <v>352.62498910683269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31708</v>
      </c>
      <c r="B147" s="66">
        <v>31708</v>
      </c>
      <c r="D147">
        <f t="shared" si="8"/>
        <v>0.13344163085974489</v>
      </c>
      <c r="E147">
        <f t="shared" si="8"/>
        <v>0.13344163085974489</v>
      </c>
      <c r="G147">
        <f t="shared" ca="1" si="9"/>
        <v>145</v>
      </c>
      <c r="H147">
        <f t="shared" ca="1" si="10"/>
        <v>19.349036474663009</v>
      </c>
      <c r="I147">
        <f t="shared" ca="1" si="11"/>
        <v>403.14818163810543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27138</v>
      </c>
      <c r="B149" s="66">
        <v>27138</v>
      </c>
      <c r="D149">
        <f t="shared" si="8"/>
        <v>0.1142090001977973</v>
      </c>
      <c r="E149">
        <f t="shared" si="8"/>
        <v>0.1142090001977973</v>
      </c>
      <c r="G149">
        <f t="shared" ca="1" si="9"/>
        <v>147</v>
      </c>
      <c r="H149">
        <f t="shared" ca="1" si="10"/>
        <v>16.788723029076202</v>
      </c>
      <c r="I149">
        <f t="shared" ca="1" si="11"/>
        <v>370.61022838407951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22460</v>
      </c>
      <c r="B152" s="66">
        <v>22460</v>
      </c>
      <c r="D152">
        <f t="shared" si="8"/>
        <v>9.4521856601169102E-2</v>
      </c>
      <c r="E152">
        <f t="shared" si="8"/>
        <v>9.4521856601169102E-2</v>
      </c>
      <c r="G152">
        <f t="shared" ca="1" si="9"/>
        <v>150</v>
      </c>
      <c r="H152">
        <f t="shared" ca="1" si="10"/>
        <v>14.178278490175366</v>
      </c>
      <c r="I152">
        <f t="shared" ca="1" si="11"/>
        <v>339.88245309945341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24612</v>
      </c>
      <c r="B154" s="66">
        <v>24612</v>
      </c>
      <c r="D154">
        <f t="shared" si="8"/>
        <v>0.10357844766998994</v>
      </c>
      <c r="E154">
        <f t="shared" si="8"/>
        <v>0.10357844766998994</v>
      </c>
      <c r="G154">
        <f t="shared" ca="1" si="9"/>
        <v>152</v>
      </c>
      <c r="H154">
        <f t="shared" ca="1" si="10"/>
        <v>15.743924045838471</v>
      </c>
      <c r="I154">
        <f t="shared" ca="1" si="11"/>
        <v>397.70688002763205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20352</v>
      </c>
      <c r="B157" s="66">
        <v>20352</v>
      </c>
      <c r="D157">
        <f t="shared" si="8"/>
        <v>8.5650437468699631E-2</v>
      </c>
      <c r="E157">
        <f t="shared" si="8"/>
        <v>8.5650437468699631E-2</v>
      </c>
      <c r="G157">
        <f t="shared" ca="1" si="9"/>
        <v>155</v>
      </c>
      <c r="H157">
        <f t="shared" ca="1" si="10"/>
        <v>13.275817807648442</v>
      </c>
      <c r="I157">
        <f t="shared" ca="1" si="11"/>
        <v>361.48412727066898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19930</v>
      </c>
      <c r="B160" s="66">
        <v>19930</v>
      </c>
      <c r="D160">
        <f t="shared" si="8"/>
        <v>8.3874470260966172E-2</v>
      </c>
      <c r="E160">
        <f t="shared" si="8"/>
        <v>8.3874470260966172E-2</v>
      </c>
      <c r="G160">
        <f t="shared" ca="1" si="9"/>
        <v>158</v>
      </c>
      <c r="H160">
        <f t="shared" ca="1" si="10"/>
        <v>13.252166301232656</v>
      </c>
      <c r="I160">
        <f t="shared" ca="1" si="11"/>
        <v>387.43705980138731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18067</v>
      </c>
      <c r="B162" s="66">
        <v>18067</v>
      </c>
      <c r="D162">
        <f t="shared" si="8"/>
        <v>7.603412213772584E-2</v>
      </c>
      <c r="E162">
        <f t="shared" si="8"/>
        <v>7.603412213772584E-2</v>
      </c>
      <c r="G162">
        <f t="shared" ca="1" si="9"/>
        <v>160</v>
      </c>
      <c r="H162">
        <f t="shared" ca="1" si="10"/>
        <v>12.165459542036135</v>
      </c>
      <c r="I162">
        <f t="shared" ca="1" si="11"/>
        <v>372.19533010808601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16691</v>
      </c>
      <c r="B165" s="66">
        <v>16691</v>
      </c>
      <c r="D165">
        <f t="shared" si="8"/>
        <v>7.0243290673647082E-2</v>
      </c>
      <c r="E165">
        <f t="shared" si="8"/>
        <v>7.0243290673647082E-2</v>
      </c>
      <c r="G165">
        <f t="shared" ca="1" si="9"/>
        <v>163</v>
      </c>
      <c r="H165">
        <f t="shared" ca="1" si="10"/>
        <v>11.449656379804475</v>
      </c>
      <c r="I165">
        <f t="shared" ca="1" si="11"/>
        <v>373.96822238566511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18577</v>
      </c>
      <c r="B167" s="66">
        <v>18577</v>
      </c>
      <c r="D167">
        <f t="shared" si="8"/>
        <v>7.8180433218161996E-2</v>
      </c>
      <c r="E167">
        <f t="shared" si="8"/>
        <v>7.8180433218161996E-2</v>
      </c>
      <c r="G167">
        <f t="shared" ca="1" si="9"/>
        <v>165</v>
      </c>
      <c r="H167">
        <f t="shared" ca="1" si="10"/>
        <v>12.89977148099673</v>
      </c>
      <c r="I167">
        <f t="shared" ca="1" si="11"/>
        <v>439.35525264332944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16859</v>
      </c>
      <c r="B170" s="66">
        <v>16859</v>
      </c>
      <c r="D170">
        <f t="shared" si="8"/>
        <v>7.0950310794261354E-2</v>
      </c>
      <c r="E170">
        <f t="shared" si="8"/>
        <v>7.0950310794261354E-2</v>
      </c>
      <c r="G170">
        <f t="shared" ca="1" si="9"/>
        <v>168</v>
      </c>
      <c r="H170">
        <f t="shared" ca="1" si="10"/>
        <v>11.919652213435908</v>
      </c>
      <c r="I170">
        <f t="shared" ca="1" si="11"/>
        <v>431.27501890727615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14013</v>
      </c>
      <c r="B173" s="66">
        <v>14013</v>
      </c>
      <c r="D173">
        <f t="shared" si="8"/>
        <v>5.8973053274807778E-2</v>
      </c>
      <c r="E173">
        <f t="shared" si="8"/>
        <v>5.8973053274807778E-2</v>
      </c>
      <c r="G173">
        <f t="shared" ca="1" si="9"/>
        <v>171</v>
      </c>
      <c r="H173">
        <f t="shared" ca="1" si="10"/>
        <v>10.08439210999213</v>
      </c>
      <c r="I173">
        <f t="shared" ca="1" si="11"/>
        <v>386.58844120651986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15980</v>
      </c>
      <c r="B175" s="66">
        <v>15980</v>
      </c>
      <c r="D175">
        <f t="shared" si="8"/>
        <v>6.7251080520333142E-2</v>
      </c>
      <c r="E175">
        <f t="shared" si="8"/>
        <v>6.7251080520333142E-2</v>
      </c>
      <c r="G175">
        <f t="shared" ca="1" si="9"/>
        <v>173</v>
      </c>
      <c r="H175">
        <f t="shared" ca="1" si="10"/>
        <v>11.634436930017634</v>
      </c>
      <c r="I175">
        <f t="shared" ca="1" si="11"/>
        <v>462.9026825746011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15222</v>
      </c>
      <c r="B178" s="66">
        <v>15222</v>
      </c>
      <c r="D178">
        <f t="shared" si="8"/>
        <v>6.4061073071371155E-2</v>
      </c>
      <c r="E178">
        <f t="shared" si="8"/>
        <v>6.4061073071371155E-2</v>
      </c>
      <c r="G178">
        <f t="shared" ca="1" si="9"/>
        <v>176</v>
      </c>
      <c r="H178">
        <f t="shared" ca="1" si="10"/>
        <v>11.274748860561324</v>
      </c>
      <c r="I178">
        <f t="shared" ca="1" si="11"/>
        <v>473.41075426415995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12169</v>
      </c>
      <c r="B180" s="66">
        <v>12169</v>
      </c>
      <c r="D180">
        <f t="shared" si="8"/>
        <v>5.1212665760446432E-2</v>
      </c>
      <c r="E180">
        <f t="shared" si="8"/>
        <v>5.1212665760446432E-2</v>
      </c>
      <c r="G180">
        <f t="shared" ca="1" si="9"/>
        <v>178</v>
      </c>
      <c r="H180">
        <f t="shared" ca="1" si="10"/>
        <v>9.1158545053594651</v>
      </c>
      <c r="I180">
        <f t="shared" ca="1" si="11"/>
        <v>396.27598928165185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10102</v>
      </c>
      <c r="B183" s="66">
        <v>10102</v>
      </c>
      <c r="D183">
        <f t="shared" si="8"/>
        <v>4.2513793205031625E-2</v>
      </c>
      <c r="E183">
        <f t="shared" si="8"/>
        <v>4.2513793205031625E-2</v>
      </c>
      <c r="G183">
        <f t="shared" ca="1" si="9"/>
        <v>181</v>
      </c>
      <c r="H183">
        <f t="shared" ca="1" si="10"/>
        <v>7.6949965701107237</v>
      </c>
      <c r="I183">
        <f t="shared" ca="1" si="11"/>
        <v>351.78640106418868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9013</v>
      </c>
      <c r="B185" s="66">
        <v>9013</v>
      </c>
      <c r="D185">
        <f t="shared" si="8"/>
        <v>3.7930787780335581E-2</v>
      </c>
      <c r="E185">
        <f t="shared" si="8"/>
        <v>3.7930787780335581E-2</v>
      </c>
      <c r="G185">
        <f t="shared" ca="1" si="9"/>
        <v>183</v>
      </c>
      <c r="H185">
        <f t="shared" ca="1" si="10"/>
        <v>6.941334163801411</v>
      </c>
      <c r="I185">
        <f t="shared" ca="1" si="11"/>
        <v>327.8169020365952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7203</v>
      </c>
      <c r="B188" s="66">
        <v>7203</v>
      </c>
      <c r="D188">
        <f t="shared" si="8"/>
        <v>3.0313487671336646E-2</v>
      </c>
      <c r="E188">
        <f t="shared" si="8"/>
        <v>3.0313487671336646E-2</v>
      </c>
      <c r="G188">
        <f t="shared" ca="1" si="9"/>
        <v>186</v>
      </c>
      <c r="H188">
        <f t="shared" ca="1" si="10"/>
        <v>5.6383087068686164</v>
      </c>
      <c r="I188">
        <f t="shared" ca="1" si="11"/>
        <v>279.16576409067301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6590</v>
      </c>
      <c r="B191" s="66">
        <v>6590</v>
      </c>
      <c r="D191">
        <f t="shared" si="8"/>
        <v>2.7733705921714355E-2</v>
      </c>
      <c r="E191">
        <f t="shared" si="8"/>
        <v>2.7733705921714355E-2</v>
      </c>
      <c r="G191">
        <f t="shared" ca="1" si="9"/>
        <v>189</v>
      </c>
      <c r="H191">
        <f t="shared" ca="1" si="10"/>
        <v>5.2416704192040129</v>
      </c>
      <c r="I191">
        <f t="shared" ca="1" si="11"/>
        <v>271.62620363077849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9879</v>
      </c>
      <c r="B193" s="66">
        <v>9879</v>
      </c>
      <c r="D193">
        <f t="shared" si="8"/>
        <v>4.157530816397817E-2</v>
      </c>
      <c r="E193">
        <f t="shared" si="8"/>
        <v>4.157530816397817E-2</v>
      </c>
      <c r="G193">
        <f t="shared" ca="1" si="9"/>
        <v>191</v>
      </c>
      <c r="H193">
        <f t="shared" ca="1" si="10"/>
        <v>7.9408838593198308</v>
      </c>
      <c r="I193">
        <f t="shared" ca="1" si="11"/>
        <v>423.81631001501052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8094</v>
      </c>
      <c r="B196" s="66">
        <v>8094</v>
      </c>
      <c r="D196">
        <f t="shared" si="12"/>
        <v>3.406321938245159E-2</v>
      </c>
      <c r="E196">
        <f t="shared" si="12"/>
        <v>3.406321938245159E-2</v>
      </c>
      <c r="G196">
        <f t="shared" ca="1" si="13"/>
        <v>194</v>
      </c>
      <c r="H196">
        <f t="shared" ca="1" si="14"/>
        <v>6.6082645601956083</v>
      </c>
      <c r="I196">
        <f t="shared" ca="1" si="15"/>
        <v>368.18024554321772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4795</v>
      </c>
      <c r="B198" s="66">
        <v>4795</v>
      </c>
      <c r="D198">
        <f t="shared" si="12"/>
        <v>2.0179532609198837E-2</v>
      </c>
      <c r="E198">
        <f t="shared" si="12"/>
        <v>2.0179532609198837E-2</v>
      </c>
      <c r="G198">
        <f t="shared" ca="1" si="13"/>
        <v>196</v>
      </c>
      <c r="H198">
        <f t="shared" ca="1" si="14"/>
        <v>3.955188391402972</v>
      </c>
      <c r="I198">
        <f t="shared" ca="1" si="15"/>
        <v>226.58776444875323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3674</v>
      </c>
      <c r="B201" s="66">
        <v>3674</v>
      </c>
      <c r="D201">
        <f t="shared" si="12"/>
        <v>1.5461856685338169E-2</v>
      </c>
      <c r="E201">
        <f t="shared" si="12"/>
        <v>1.5461856685338169E-2</v>
      </c>
      <c r="G201">
        <f t="shared" ca="1" si="13"/>
        <v>199</v>
      </c>
      <c r="H201">
        <f t="shared" ca="1" si="14"/>
        <v>3.0769094803822958</v>
      </c>
      <c r="I201">
        <f t="shared" ca="1" si="15"/>
        <v>183.58455607969265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3275</v>
      </c>
      <c r="B203" s="66">
        <v>3275</v>
      </c>
      <c r="D203">
        <f t="shared" si="12"/>
        <v>1.3782683898879289E-2</v>
      </c>
      <c r="E203">
        <f t="shared" si="12"/>
        <v>1.3782683898879289E-2</v>
      </c>
      <c r="G203">
        <f t="shared" ca="1" si="13"/>
        <v>201</v>
      </c>
      <c r="H203">
        <f t="shared" ca="1" si="14"/>
        <v>2.770319463674737</v>
      </c>
      <c r="I203">
        <f t="shared" ca="1" si="15"/>
        <v>169.70954788083543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2995</v>
      </c>
      <c r="B206" s="66">
        <v>2995</v>
      </c>
      <c r="D206">
        <f t="shared" si="12"/>
        <v>1.2604317031188845E-2</v>
      </c>
      <c r="E206">
        <f t="shared" si="12"/>
        <v>1.2604317031188845E-2</v>
      </c>
      <c r="G206">
        <f t="shared" ca="1" si="13"/>
        <v>204</v>
      </c>
      <c r="H206">
        <f t="shared" ca="1" si="14"/>
        <v>2.5712806743625243</v>
      </c>
      <c r="I206">
        <f t="shared" ca="1" si="15"/>
        <v>163.70530067814542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1152</v>
      </c>
      <c r="B209" s="66">
        <v>1152</v>
      </c>
      <c r="D209">
        <f t="shared" si="12"/>
        <v>4.8481379699263942E-3</v>
      </c>
      <c r="E209">
        <f t="shared" si="12"/>
        <v>4.8481379699263942E-3</v>
      </c>
      <c r="G209">
        <f t="shared" ca="1" si="13"/>
        <v>207</v>
      </c>
      <c r="H209">
        <f t="shared" ca="1" si="14"/>
        <v>1.0035645597747636</v>
      </c>
      <c r="I209">
        <f t="shared" ca="1" si="15"/>
        <v>66.326524923519386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808</v>
      </c>
      <c r="B211" s="66">
        <v>808</v>
      </c>
      <c r="D211">
        <f t="shared" si="12"/>
        <v>3.4004301039067069E-3</v>
      </c>
      <c r="E211">
        <f t="shared" si="12"/>
        <v>3.4004301039067069E-3</v>
      </c>
      <c r="G211">
        <f t="shared" ca="1" si="13"/>
        <v>209</v>
      </c>
      <c r="H211">
        <f t="shared" ca="1" si="14"/>
        <v>0.71068989171650176</v>
      </c>
      <c r="I211">
        <f t="shared" ca="1" si="15"/>
        <v>48.125215343125284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599</v>
      </c>
      <c r="B214" s="66">
        <v>599</v>
      </c>
      <c r="D214">
        <f t="shared" si="12"/>
        <v>2.520863406237769E-3</v>
      </c>
      <c r="E214">
        <f t="shared" si="12"/>
        <v>2.520863406237769E-3</v>
      </c>
      <c r="G214">
        <f t="shared" ca="1" si="13"/>
        <v>212</v>
      </c>
      <c r="H214">
        <f t="shared" ca="1" si="14"/>
        <v>0.53442304212240699</v>
      </c>
      <c r="I214">
        <f t="shared" ca="1" si="15"/>
        <v>37.499040859247593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341</v>
      </c>
      <c r="B216" s="66">
        <v>341</v>
      </c>
      <c r="D216">
        <f t="shared" si="12"/>
        <v>1.4350825067230039E-3</v>
      </c>
      <c r="E216">
        <f t="shared" si="12"/>
        <v>1.4350825067230039E-3</v>
      </c>
      <c r="G216">
        <f t="shared" ca="1" si="13"/>
        <v>214</v>
      </c>
      <c r="H216">
        <f t="shared" ca="1" si="14"/>
        <v>0.30710765643872284</v>
      </c>
      <c r="I216">
        <f t="shared" ca="1" si="15"/>
        <v>22.053394120404757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1218</v>
      </c>
      <c r="B219" s="66">
        <v>1218</v>
      </c>
      <c r="D219">
        <f t="shared" si="12"/>
        <v>5.1258958744534273E-3</v>
      </c>
      <c r="E219">
        <f t="shared" si="12"/>
        <v>5.1258958744534273E-3</v>
      </c>
      <c r="G219">
        <f t="shared" ca="1" si="13"/>
        <v>217</v>
      </c>
      <c r="H219">
        <f t="shared" ca="1" si="14"/>
        <v>1.1123194047563938</v>
      </c>
      <c r="I219">
        <f t="shared" ca="1" si="15"/>
        <v>82.630085723355606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1489</v>
      </c>
      <c r="B221" s="66">
        <v>1489</v>
      </c>
      <c r="D221">
        <f t="shared" si="12"/>
        <v>6.26638666425382E-3</v>
      </c>
      <c r="E221">
        <f t="shared" si="12"/>
        <v>6.26638666425382E-3</v>
      </c>
      <c r="G221">
        <f t="shared" ca="1" si="13"/>
        <v>219</v>
      </c>
      <c r="H221">
        <f t="shared" ca="1" si="14"/>
        <v>1.3723386794715866</v>
      </c>
      <c r="I221">
        <f t="shared" ca="1" si="15"/>
        <v>104.22245469775021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338</v>
      </c>
      <c r="B224" s="66">
        <v>338</v>
      </c>
      <c r="D224">
        <f t="shared" si="12"/>
        <v>1.4224571474263205E-3</v>
      </c>
      <c r="E224">
        <f t="shared" si="12"/>
        <v>1.4224571474263205E-3</v>
      </c>
      <c r="G224">
        <f t="shared" ca="1" si="13"/>
        <v>222</v>
      </c>
      <c r="H224">
        <f t="shared" ca="1" si="14"/>
        <v>0.31578548672864315</v>
      </c>
      <c r="I224">
        <f t="shared" ca="1" si="15"/>
        <v>24.771772947896519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69</v>
      </c>
      <c r="B227" s="66">
        <v>69</v>
      </c>
      <c r="D227">
        <f t="shared" si="12"/>
        <v>2.9038326382371631E-4</v>
      </c>
      <c r="E227">
        <f t="shared" si="12"/>
        <v>2.9038326382371631E-4</v>
      </c>
      <c r="G227">
        <f t="shared" ca="1" si="13"/>
        <v>225</v>
      </c>
      <c r="H227">
        <f t="shared" ca="1" si="14"/>
        <v>6.5336234360336171E-2</v>
      </c>
      <c r="I227">
        <f t="shared" ca="1" si="15"/>
        <v>5.2894956793107024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70</v>
      </c>
      <c r="B229" s="66">
        <v>70</v>
      </c>
      <c r="D229">
        <f t="shared" si="12"/>
        <v>2.9459171692261077E-4</v>
      </c>
      <c r="E229">
        <f t="shared" si="12"/>
        <v>2.9459171692261077E-4</v>
      </c>
      <c r="G229">
        <f t="shared" ca="1" si="13"/>
        <v>227</v>
      </c>
      <c r="H229">
        <f t="shared" ca="1" si="14"/>
        <v>6.6872319741432651E-2</v>
      </c>
      <c r="I229">
        <f t="shared" ca="1" si="15"/>
        <v>5.5263717552302225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483</v>
      </c>
      <c r="B232" s="66">
        <v>483</v>
      </c>
      <c r="D232">
        <f t="shared" si="12"/>
        <v>2.0326828467660141E-3</v>
      </c>
      <c r="E232">
        <f t="shared" si="12"/>
        <v>2.0326828467660141E-3</v>
      </c>
      <c r="G232">
        <f t="shared" ca="1" si="13"/>
        <v>230</v>
      </c>
      <c r="H232">
        <f t="shared" ca="1" si="14"/>
        <v>0.46751705475618327</v>
      </c>
      <c r="I232">
        <f t="shared" ca="1" si="15"/>
        <v>39.820698387660457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393</v>
      </c>
      <c r="B234" s="66">
        <v>393</v>
      </c>
      <c r="D234">
        <f t="shared" si="12"/>
        <v>1.6539220678655146E-3</v>
      </c>
      <c r="E234">
        <f t="shared" si="12"/>
        <v>1.6539220678655146E-3</v>
      </c>
      <c r="G234">
        <f t="shared" ca="1" si="13"/>
        <v>232</v>
      </c>
      <c r="H234">
        <f t="shared" ca="1" si="14"/>
        <v>0.3837099197447994</v>
      </c>
      <c r="I234">
        <f t="shared" ca="1" si="15"/>
        <v>33.333273350725044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86.956823299389143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1.6780007041010594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0.68177500171399952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2652</v>
      </c>
      <c r="B8" s="66">
        <v>2652</v>
      </c>
      <c r="D8">
        <f t="shared" si="0"/>
        <v>3.0419123213507375</v>
      </c>
      <c r="E8">
        <f t="shared" si="1"/>
        <v>3.0419123213507375</v>
      </c>
      <c r="G8">
        <f t="shared" ca="1" si="2"/>
        <v>6</v>
      </c>
      <c r="H8">
        <f t="shared" ca="1" si="3"/>
        <v>18.251473928104424</v>
      </c>
      <c r="I8">
        <f t="shared" ca="1" si="4"/>
        <v>19936.715373710202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3631</v>
      </c>
      <c r="B10" s="66">
        <v>3631</v>
      </c>
      <c r="D10">
        <f t="shared" si="0"/>
        <v>4.1648505425431859</v>
      </c>
      <c r="E10">
        <f t="shared" si="1"/>
        <v>4.1648505425431859</v>
      </c>
      <c r="G10">
        <f t="shared" ca="1" si="2"/>
        <v>8</v>
      </c>
      <c r="H10">
        <f t="shared" ca="1" si="3"/>
        <v>33.318804340345487</v>
      </c>
      <c r="I10">
        <f t="shared" ca="1" si="4"/>
        <v>25964.427728456467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5775</v>
      </c>
      <c r="B13" s="66">
        <v>5775</v>
      </c>
      <c r="D13">
        <f t="shared" si="0"/>
        <v>6.624073776697025</v>
      </c>
      <c r="E13">
        <f t="shared" si="1"/>
        <v>6.624073776697025</v>
      </c>
      <c r="G13">
        <f t="shared" ca="1" si="2"/>
        <v>11</v>
      </c>
      <c r="H13">
        <f t="shared" ca="1" si="3"/>
        <v>72.864811543667273</v>
      </c>
      <c r="I13">
        <f t="shared" ca="1" si="4"/>
        <v>38217.18962413969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9537</v>
      </c>
      <c r="B15" s="66">
        <v>9537</v>
      </c>
      <c r="D15">
        <f t="shared" si="0"/>
        <v>10.93918469408823</v>
      </c>
      <c r="E15">
        <f t="shared" si="1"/>
        <v>10.93918469408823</v>
      </c>
      <c r="G15">
        <f t="shared" ca="1" si="2"/>
        <v>13</v>
      </c>
      <c r="H15">
        <f t="shared" ca="1" si="3"/>
        <v>142.209401023147</v>
      </c>
      <c r="I15">
        <f t="shared" ca="1" si="4"/>
        <v>59833.09272839121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13185</v>
      </c>
      <c r="B18" s="66">
        <v>13185</v>
      </c>
      <c r="D18">
        <f t="shared" si="0"/>
        <v>15.123534674588791</v>
      </c>
      <c r="E18">
        <f t="shared" si="1"/>
        <v>15.123534674588791</v>
      </c>
      <c r="G18">
        <f t="shared" ca="1" si="2"/>
        <v>16</v>
      </c>
      <c r="H18">
        <f t="shared" ca="1" si="3"/>
        <v>241.97655479342066</v>
      </c>
      <c r="I18">
        <f t="shared" ca="1" si="4"/>
        <v>76145.042713618153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14915</v>
      </c>
      <c r="B21" s="66">
        <v>14915</v>
      </c>
      <c r="D21">
        <f t="shared" si="0"/>
        <v>17.107889243192403</v>
      </c>
      <c r="E21">
        <f t="shared" si="1"/>
        <v>17.107889243192403</v>
      </c>
      <c r="G21">
        <f t="shared" ca="1" si="2"/>
        <v>19</v>
      </c>
      <c r="H21">
        <f t="shared" ca="1" si="3"/>
        <v>325.04989562065566</v>
      </c>
      <c r="I21">
        <f t="shared" ca="1" si="4"/>
        <v>79006.453692695417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19268</v>
      </c>
      <c r="B23" s="66">
        <v>19268</v>
      </c>
      <c r="D23">
        <f t="shared" si="0"/>
        <v>22.10089238604299</v>
      </c>
      <c r="E23">
        <f t="shared" si="1"/>
        <v>22.10089238604299</v>
      </c>
      <c r="G23">
        <f t="shared" ca="1" si="2"/>
        <v>21</v>
      </c>
      <c r="H23">
        <f t="shared" ca="1" si="3"/>
        <v>464.11874010690281</v>
      </c>
      <c r="I23">
        <f t="shared" ca="1" si="4"/>
        <v>96145.56827767448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24077</v>
      </c>
      <c r="B26" s="66">
        <v>24077</v>
      </c>
      <c r="D26">
        <f t="shared" si="0"/>
        <v>27.616939276456151</v>
      </c>
      <c r="E26">
        <f t="shared" si="1"/>
        <v>27.616939276456151</v>
      </c>
      <c r="G26">
        <f t="shared" ca="1" si="2"/>
        <v>24</v>
      </c>
      <c r="H26">
        <f t="shared" ca="1" si="3"/>
        <v>662.80654263494762</v>
      </c>
      <c r="I26">
        <f t="shared" ca="1" si="4"/>
        <v>109461.44002432656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29172</v>
      </c>
      <c r="B28" s="66">
        <v>29172</v>
      </c>
      <c r="D28">
        <f t="shared" si="0"/>
        <v>33.461035534858112</v>
      </c>
      <c r="E28">
        <f t="shared" si="1"/>
        <v>33.461035534858112</v>
      </c>
      <c r="G28">
        <f t="shared" ca="1" si="2"/>
        <v>26</v>
      </c>
      <c r="H28">
        <f t="shared" ca="1" si="3"/>
        <v>869.98692390631095</v>
      </c>
      <c r="I28">
        <f t="shared" ca="1" si="4"/>
        <v>124332.31767635187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37999</v>
      </c>
      <c r="B31" s="66">
        <v>37999</v>
      </c>
      <c r="D31">
        <f t="shared" si="0"/>
        <v>43.585831937785322</v>
      </c>
      <c r="E31">
        <f t="shared" si="1"/>
        <v>43.585831937785322</v>
      </c>
      <c r="G31">
        <f t="shared" ca="1" si="2"/>
        <v>29</v>
      </c>
      <c r="H31">
        <f t="shared" ca="1" si="3"/>
        <v>1263.9891261957744</v>
      </c>
      <c r="I31">
        <f t="shared" ca="1" si="4"/>
        <v>146404.52037230672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38045</v>
      </c>
      <c r="B33" s="66">
        <v>38045</v>
      </c>
      <c r="D33">
        <f t="shared" si="0"/>
        <v>43.638595122846461</v>
      </c>
      <c r="E33">
        <f t="shared" si="1"/>
        <v>43.638595122846461</v>
      </c>
      <c r="G33">
        <f t="shared" ca="1" si="2"/>
        <v>31</v>
      </c>
      <c r="H33">
        <f t="shared" ca="1" si="3"/>
        <v>1352.7964488082403</v>
      </c>
      <c r="I33">
        <f t="shared" ca="1" si="4"/>
        <v>136639.68855516441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47404</v>
      </c>
      <c r="B36" s="66">
        <v>47404</v>
      </c>
      <c r="D36">
        <f t="shared" si="0"/>
        <v>54.373609231263337</v>
      </c>
      <c r="E36">
        <f t="shared" si="1"/>
        <v>54.373609231263337</v>
      </c>
      <c r="G36">
        <f t="shared" ca="1" si="2"/>
        <v>34</v>
      </c>
      <c r="H36">
        <f t="shared" ca="1" si="3"/>
        <v>1848.7027138629535</v>
      </c>
      <c r="I36">
        <f t="shared" ca="1" si="4"/>
        <v>152486.71635242255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43817</v>
      </c>
      <c r="B39" s="66">
        <v>43817</v>
      </c>
      <c r="D39">
        <f t="shared" si="0"/>
        <v>50.259227822256889</v>
      </c>
      <c r="E39">
        <f t="shared" si="1"/>
        <v>50.259227822256889</v>
      </c>
      <c r="G39">
        <f t="shared" ca="1" si="2"/>
        <v>37</v>
      </c>
      <c r="H39">
        <f t="shared" ca="1" si="3"/>
        <v>1859.5914294235049</v>
      </c>
      <c r="I39">
        <f t="shared" ca="1" si="4"/>
        <v>125431.16048701417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46584</v>
      </c>
      <c r="B41" s="66">
        <v>46584</v>
      </c>
      <c r="D41">
        <f t="shared" si="0"/>
        <v>53.433048106260465</v>
      </c>
      <c r="E41">
        <f t="shared" si="1"/>
        <v>53.433048106260465</v>
      </c>
      <c r="G41">
        <f t="shared" ca="1" si="2"/>
        <v>39</v>
      </c>
      <c r="H41">
        <f t="shared" ca="1" si="3"/>
        <v>2083.8888761441581</v>
      </c>
      <c r="I41">
        <f t="shared" ca="1" si="4"/>
        <v>122888.36442698279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47642</v>
      </c>
      <c r="B44" s="66">
        <v>47642</v>
      </c>
      <c r="D44">
        <f t="shared" si="0"/>
        <v>54.646601362666608</v>
      </c>
      <c r="E44">
        <f t="shared" si="1"/>
        <v>54.646601362666608</v>
      </c>
      <c r="G44">
        <f t="shared" ca="1" si="2"/>
        <v>42</v>
      </c>
      <c r="H44">
        <f t="shared" ca="1" si="3"/>
        <v>2295.1572572319974</v>
      </c>
      <c r="I44">
        <f t="shared" ca="1" si="4"/>
        <v>110447.11823791629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47951</v>
      </c>
      <c r="B46" s="66">
        <v>47951</v>
      </c>
      <c r="D46">
        <f t="shared" si="0"/>
        <v>55.001032323185981</v>
      </c>
      <c r="E46">
        <f t="shared" si="1"/>
        <v>55.001032323185981</v>
      </c>
      <c r="G46">
        <f t="shared" ca="1" si="2"/>
        <v>44</v>
      </c>
      <c r="H46">
        <f t="shared" ca="1" si="3"/>
        <v>2420.0454222201834</v>
      </c>
      <c r="I46">
        <f t="shared" ca="1" si="4"/>
        <v>101492.78167289859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43830</v>
      </c>
      <c r="B49" s="66">
        <v>43830</v>
      </c>
      <c r="D49">
        <f t="shared" si="0"/>
        <v>50.274139157165472</v>
      </c>
      <c r="E49">
        <f t="shared" si="1"/>
        <v>50.274139157165472</v>
      </c>
      <c r="G49">
        <f t="shared" ca="1" si="2"/>
        <v>47</v>
      </c>
      <c r="H49">
        <f t="shared" ca="1" si="3"/>
        <v>2362.8845403867772</v>
      </c>
      <c r="I49">
        <f t="shared" ca="1" si="4"/>
        <v>80265.062657507689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45398</v>
      </c>
      <c r="B51" s="66">
        <v>45398</v>
      </c>
      <c r="D51">
        <f t="shared" si="0"/>
        <v>52.072675552292907</v>
      </c>
      <c r="E51">
        <f t="shared" si="1"/>
        <v>52.072675552292907</v>
      </c>
      <c r="G51">
        <f t="shared" ca="1" si="2"/>
        <v>49</v>
      </c>
      <c r="H51">
        <f t="shared" ca="1" si="3"/>
        <v>2551.5611020623523</v>
      </c>
      <c r="I51">
        <f t="shared" ca="1" si="4"/>
        <v>75022.167772326546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46356</v>
      </c>
      <c r="B54" s="66">
        <v>46356</v>
      </c>
      <c r="D54">
        <f t="shared" si="0"/>
        <v>53.171526232479181</v>
      </c>
      <c r="E54">
        <f t="shared" si="1"/>
        <v>53.171526232479181</v>
      </c>
      <c r="G54">
        <f t="shared" ca="1" si="2"/>
        <v>52</v>
      </c>
      <c r="H54">
        <f t="shared" ca="1" si="3"/>
        <v>2764.9193640889175</v>
      </c>
      <c r="I54">
        <f t="shared" ca="1" si="4"/>
        <v>64974.514783765779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47990</v>
      </c>
      <c r="B57" s="66">
        <v>47990</v>
      </c>
      <c r="D57">
        <f t="shared" si="0"/>
        <v>55.045766327911728</v>
      </c>
      <c r="E57">
        <f t="shared" si="1"/>
        <v>55.045766327911728</v>
      </c>
      <c r="G57">
        <f t="shared" ca="1" si="2"/>
        <v>55</v>
      </c>
      <c r="H57">
        <f t="shared" ca="1" si="3"/>
        <v>3027.5171480351451</v>
      </c>
      <c r="I57">
        <f t="shared" ca="1" si="4"/>
        <v>56214.858884962945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51838</v>
      </c>
      <c r="B59" s="66">
        <v>51838</v>
      </c>
      <c r="D59">
        <f t="shared" si="0"/>
        <v>59.45952146085201</v>
      </c>
      <c r="E59">
        <f t="shared" si="1"/>
        <v>59.45952146085201</v>
      </c>
      <c r="G59">
        <f t="shared" ca="1" si="2"/>
        <v>57</v>
      </c>
      <c r="H59">
        <f t="shared" ca="1" si="3"/>
        <v>3389.1927232685644</v>
      </c>
      <c r="I59">
        <f t="shared" ca="1" si="4"/>
        <v>53359.644203445605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51514</v>
      </c>
      <c r="B62" s="66">
        <v>51514</v>
      </c>
      <c r="D62">
        <f t="shared" si="0"/>
        <v>59.087885113899659</v>
      </c>
      <c r="E62">
        <f t="shared" si="1"/>
        <v>59.087885113899659</v>
      </c>
      <c r="G62">
        <f t="shared" ca="1" si="2"/>
        <v>60</v>
      </c>
      <c r="H62">
        <f t="shared" ca="1" si="3"/>
        <v>3545.2731068339795</v>
      </c>
      <c r="I62">
        <f t="shared" ca="1" si="4"/>
        <v>42937.412525326014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51818</v>
      </c>
      <c r="B64" s="66">
        <v>51818</v>
      </c>
      <c r="D64">
        <f t="shared" si="0"/>
        <v>59.436580945608036</v>
      </c>
      <c r="E64">
        <f t="shared" si="1"/>
        <v>59.436580945608036</v>
      </c>
      <c r="G64">
        <f t="shared" ca="1" si="2"/>
        <v>62</v>
      </c>
      <c r="H64">
        <f t="shared" ca="1" si="3"/>
        <v>3685.0680186276982</v>
      </c>
      <c r="I64">
        <f t="shared" ca="1" si="4"/>
        <v>37019.660121271205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54928</v>
      </c>
      <c r="B67" s="66">
        <v>54928</v>
      </c>
      <c r="D67">
        <f t="shared" ref="D67:D130" si="5">IFERROR( 100*A67/MAX(A$2:A$257), 0 )</f>
        <v>63.003831066045741</v>
      </c>
      <c r="E67">
        <f t="shared" ref="E67:E130" si="6">IFERROR( 100*B67/MAX(B$2:B$257), 0 )</f>
        <v>63.003831066045741</v>
      </c>
      <c r="G67">
        <f t="shared" ref="G67:G130" ca="1" si="7">CELL("row",D67)-2</f>
        <v>65</v>
      </c>
      <c r="H67">
        <f t="shared" ref="H67:H130" ca="1" si="8">D67*G67</f>
        <v>4095.2490192929731</v>
      </c>
      <c r="I67">
        <f t="shared" ref="I67:I130" ca="1" si="9">D67*((G67-$L$1)^2)</f>
        <v>30374.278597182954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57054</v>
      </c>
      <c r="B69" s="66">
        <v>57054</v>
      </c>
      <c r="D69">
        <f t="shared" si="5"/>
        <v>65.442407836480001</v>
      </c>
      <c r="E69">
        <f t="shared" si="6"/>
        <v>65.442407836480001</v>
      </c>
      <c r="G69">
        <f t="shared" ca="1" si="7"/>
        <v>67</v>
      </c>
      <c r="H69">
        <f t="shared" ca="1" si="8"/>
        <v>4384.6413250441601</v>
      </c>
      <c r="I69">
        <f t="shared" ca="1" si="9"/>
        <v>26064.061644110392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57934</v>
      </c>
      <c r="B72" s="66">
        <v>57934</v>
      </c>
      <c r="D72">
        <f t="shared" si="5"/>
        <v>66.451790507214795</v>
      </c>
      <c r="E72">
        <f t="shared" si="6"/>
        <v>66.451790507214795</v>
      </c>
      <c r="G72">
        <f t="shared" ca="1" si="7"/>
        <v>70</v>
      </c>
      <c r="H72">
        <f t="shared" ca="1" si="8"/>
        <v>4651.6253355050358</v>
      </c>
      <c r="I72">
        <f t="shared" ca="1" si="9"/>
        <v>19107.139589670041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56550</v>
      </c>
      <c r="B75" s="66">
        <v>56550</v>
      </c>
      <c r="D75">
        <f t="shared" si="5"/>
        <v>64.864306852331907</v>
      </c>
      <c r="E75">
        <f t="shared" si="6"/>
        <v>64.864306852331907</v>
      </c>
      <c r="G75">
        <f t="shared" ca="1" si="7"/>
        <v>73</v>
      </c>
      <c r="H75">
        <f t="shared" ca="1" si="8"/>
        <v>4735.0944002202295</v>
      </c>
      <c r="I75">
        <f t="shared" ca="1" si="9"/>
        <v>12635.107515675847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56468</v>
      </c>
      <c r="B77" s="66">
        <v>56468</v>
      </c>
      <c r="D77">
        <f t="shared" si="5"/>
        <v>64.77025073983161</v>
      </c>
      <c r="E77">
        <f t="shared" si="6"/>
        <v>64.77025073983161</v>
      </c>
      <c r="G77">
        <f t="shared" ca="1" si="7"/>
        <v>75</v>
      </c>
      <c r="H77">
        <f t="shared" ca="1" si="8"/>
        <v>4857.7688054873706</v>
      </c>
      <c r="I77">
        <f t="shared" ca="1" si="9"/>
        <v>9259.9192756243719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54590</v>
      </c>
      <c r="B80" s="66">
        <v>54590</v>
      </c>
      <c r="D80">
        <f t="shared" si="5"/>
        <v>62.616136358422608</v>
      </c>
      <c r="E80">
        <f t="shared" si="6"/>
        <v>62.616136358422608</v>
      </c>
      <c r="G80">
        <f t="shared" ca="1" si="7"/>
        <v>78</v>
      </c>
      <c r="H80">
        <f t="shared" ca="1" si="8"/>
        <v>4884.0586359569634</v>
      </c>
      <c r="I80">
        <f t="shared" ca="1" si="9"/>
        <v>5023.3597286408367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56146</v>
      </c>
      <c r="B82" s="66">
        <v>56146</v>
      </c>
      <c r="D82">
        <f t="shared" si="5"/>
        <v>64.400908444403655</v>
      </c>
      <c r="E82">
        <f t="shared" si="6"/>
        <v>64.400908444403655</v>
      </c>
      <c r="G82">
        <f t="shared" ca="1" si="7"/>
        <v>80</v>
      </c>
      <c r="H82">
        <f t="shared" ca="1" si="8"/>
        <v>5152.0726755522919</v>
      </c>
      <c r="I82">
        <f t="shared" ca="1" si="9"/>
        <v>3116.8359093171603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60804</v>
      </c>
      <c r="B85" s="66">
        <v>60804</v>
      </c>
      <c r="D85">
        <f t="shared" si="5"/>
        <v>69.743754444724829</v>
      </c>
      <c r="E85">
        <f t="shared" si="6"/>
        <v>69.743754444724829</v>
      </c>
      <c r="G85">
        <f t="shared" ca="1" si="7"/>
        <v>83</v>
      </c>
      <c r="H85">
        <f t="shared" ca="1" si="8"/>
        <v>5788.7316189121611</v>
      </c>
      <c r="I85">
        <f t="shared" ca="1" si="9"/>
        <v>1091.9396476977911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62512</v>
      </c>
      <c r="B88" s="66">
        <v>62512</v>
      </c>
      <c r="D88">
        <f t="shared" si="5"/>
        <v>71.702874446560074</v>
      </c>
      <c r="E88">
        <f t="shared" si="6"/>
        <v>71.702874446560074</v>
      </c>
      <c r="G88">
        <f t="shared" ca="1" si="7"/>
        <v>86</v>
      </c>
      <c r="H88">
        <f t="shared" ca="1" si="8"/>
        <v>6166.4472024041661</v>
      </c>
      <c r="I88">
        <f t="shared" ca="1" si="9"/>
        <v>65.644757829351676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60323</v>
      </c>
      <c r="B90" s="66">
        <v>60323</v>
      </c>
      <c r="D90">
        <f t="shared" si="5"/>
        <v>69.19203505310729</v>
      </c>
      <c r="E90">
        <f t="shared" si="6"/>
        <v>69.19203505310729</v>
      </c>
      <c r="G90">
        <f t="shared" ca="1" si="7"/>
        <v>88</v>
      </c>
      <c r="H90">
        <f t="shared" ca="1" si="8"/>
        <v>6088.8990846734414</v>
      </c>
      <c r="I90">
        <f t="shared" ca="1" si="9"/>
        <v>75.295992310236613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65195</v>
      </c>
      <c r="B93" s="66">
        <v>65195</v>
      </c>
      <c r="D93">
        <f t="shared" si="5"/>
        <v>74.780344566538957</v>
      </c>
      <c r="E93">
        <f t="shared" si="6"/>
        <v>74.780344566538957</v>
      </c>
      <c r="G93">
        <f t="shared" ca="1" si="7"/>
        <v>91</v>
      </c>
      <c r="H93">
        <f t="shared" ca="1" si="8"/>
        <v>6805.0113555550452</v>
      </c>
      <c r="I93">
        <f t="shared" ca="1" si="9"/>
        <v>1222.4550690290116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68586</v>
      </c>
      <c r="B95" s="66">
        <v>68586</v>
      </c>
      <c r="D95">
        <f t="shared" si="5"/>
        <v>78.669908926154477</v>
      </c>
      <c r="E95">
        <f t="shared" si="6"/>
        <v>78.669908926154477</v>
      </c>
      <c r="G95">
        <f t="shared" ca="1" si="7"/>
        <v>93</v>
      </c>
      <c r="H95">
        <f t="shared" ca="1" si="8"/>
        <v>7316.3015301323667</v>
      </c>
      <c r="I95">
        <f t="shared" ca="1" si="9"/>
        <v>2873.0238652047433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69479</v>
      </c>
      <c r="B98" s="66">
        <v>69479</v>
      </c>
      <c r="D98">
        <f t="shared" si="5"/>
        <v>79.694202931797847</v>
      </c>
      <c r="E98">
        <f t="shared" si="6"/>
        <v>79.694202931797847</v>
      </c>
      <c r="G98">
        <f t="shared" ca="1" si="7"/>
        <v>96</v>
      </c>
      <c r="H98">
        <f t="shared" ca="1" si="8"/>
        <v>7650.6434814525928</v>
      </c>
      <c r="I98">
        <f t="shared" ca="1" si="9"/>
        <v>6517.3157949257084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76915</v>
      </c>
      <c r="B100" s="66">
        <v>76915</v>
      </c>
      <c r="D100">
        <f t="shared" si="5"/>
        <v>88.223486499506777</v>
      </c>
      <c r="E100">
        <f t="shared" si="6"/>
        <v>88.223486499506777</v>
      </c>
      <c r="G100">
        <f t="shared" ca="1" si="7"/>
        <v>98</v>
      </c>
      <c r="H100">
        <f t="shared" ca="1" si="8"/>
        <v>8645.9016769516638</v>
      </c>
      <c r="I100">
        <f t="shared" ca="1" si="9"/>
        <v>10759.008714483423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80427</v>
      </c>
      <c r="B103" s="66">
        <v>80427</v>
      </c>
      <c r="D103">
        <f t="shared" si="5"/>
        <v>92.251840976348333</v>
      </c>
      <c r="E103">
        <f t="shared" si="6"/>
        <v>92.251840976348333</v>
      </c>
      <c r="G103">
        <f t="shared" ca="1" si="7"/>
        <v>101</v>
      </c>
      <c r="H103">
        <f t="shared" ca="1" si="8"/>
        <v>9317.435938611181</v>
      </c>
      <c r="I103">
        <f t="shared" ca="1" si="9"/>
        <v>18193.060453102713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76399</v>
      </c>
      <c r="B106" s="66">
        <v>76399</v>
      </c>
      <c r="D106">
        <f t="shared" si="5"/>
        <v>87.631621206212287</v>
      </c>
      <c r="E106">
        <f t="shared" si="6"/>
        <v>87.631621206212287</v>
      </c>
      <c r="G106">
        <f t="shared" ca="1" si="7"/>
        <v>104</v>
      </c>
      <c r="H106">
        <f t="shared" ca="1" si="8"/>
        <v>9113.6886054460774</v>
      </c>
      <c r="I106">
        <f t="shared" ca="1" si="9"/>
        <v>25454.345799148738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78963</v>
      </c>
      <c r="B108" s="66">
        <v>78963</v>
      </c>
      <c r="D108">
        <f t="shared" si="5"/>
        <v>90.57259526048955</v>
      </c>
      <c r="E108">
        <f t="shared" si="6"/>
        <v>90.57259526048955</v>
      </c>
      <c r="G108">
        <f t="shared" ca="1" si="7"/>
        <v>106</v>
      </c>
      <c r="H108">
        <f t="shared" ca="1" si="8"/>
        <v>9600.6950976118915</v>
      </c>
      <c r="I108">
        <f t="shared" ca="1" si="9"/>
        <v>32845.479518463551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85041</v>
      </c>
      <c r="B111" s="66">
        <v>85041</v>
      </c>
      <c r="D111">
        <f t="shared" si="5"/>
        <v>97.544217843132756</v>
      </c>
      <c r="E111">
        <f t="shared" si="6"/>
        <v>97.544217843132756</v>
      </c>
      <c r="G111">
        <f t="shared" ca="1" si="7"/>
        <v>109</v>
      </c>
      <c r="H111">
        <f t="shared" ca="1" si="8"/>
        <v>10632.31974490147</v>
      </c>
      <c r="I111">
        <f t="shared" ca="1" si="9"/>
        <v>47396.895330253108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87182</v>
      </c>
      <c r="B113" s="66">
        <v>87182</v>
      </c>
      <c r="D113">
        <f t="shared" si="5"/>
        <v>100</v>
      </c>
      <c r="E113">
        <f t="shared" si="6"/>
        <v>100</v>
      </c>
      <c r="G113">
        <f t="shared" ca="1" si="7"/>
        <v>111</v>
      </c>
      <c r="H113">
        <f t="shared" ca="1" si="8"/>
        <v>11100</v>
      </c>
      <c r="I113">
        <f t="shared" ca="1" si="9"/>
        <v>57807.434585679672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81245</v>
      </c>
      <c r="B116" s="66">
        <v>81245</v>
      </c>
      <c r="D116">
        <f t="shared" si="5"/>
        <v>93.190108049826804</v>
      </c>
      <c r="E116">
        <f t="shared" si="6"/>
        <v>93.190108049826804</v>
      </c>
      <c r="G116">
        <f t="shared" ca="1" si="7"/>
        <v>114</v>
      </c>
      <c r="H116">
        <f t="shared" ca="1" si="8"/>
        <v>10623.672317680255</v>
      </c>
      <c r="I116">
        <f t="shared" ca="1" si="9"/>
        <v>68153.039131222307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81078</v>
      </c>
      <c r="B118" s="66">
        <v>81078</v>
      </c>
      <c r="D118">
        <f t="shared" si="5"/>
        <v>92.998554747539629</v>
      </c>
      <c r="E118">
        <f t="shared" si="6"/>
        <v>92.998554747539629</v>
      </c>
      <c r="G118">
        <f t="shared" ca="1" si="7"/>
        <v>116</v>
      </c>
      <c r="H118">
        <f t="shared" ca="1" si="8"/>
        <v>10787.832350714598</v>
      </c>
      <c r="I118">
        <f t="shared" ca="1" si="9"/>
        <v>78444.849416965255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73537</v>
      </c>
      <c r="B121" s="66">
        <v>73537</v>
      </c>
      <c r="D121">
        <f t="shared" si="5"/>
        <v>84.348833474799846</v>
      </c>
      <c r="E121">
        <f t="shared" si="6"/>
        <v>84.348833474799846</v>
      </c>
      <c r="G121">
        <f t="shared" ca="1" si="7"/>
        <v>119</v>
      </c>
      <c r="H121">
        <f t="shared" ca="1" si="8"/>
        <v>10037.511183501181</v>
      </c>
      <c r="I121">
        <f t="shared" ca="1" si="9"/>
        <v>86606.444600716204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68998</v>
      </c>
      <c r="B124" s="66">
        <v>68998</v>
      </c>
      <c r="D124">
        <f t="shared" si="5"/>
        <v>79.142483540180308</v>
      </c>
      <c r="E124">
        <f t="shared" si="6"/>
        <v>79.142483540180308</v>
      </c>
      <c r="G124">
        <f t="shared" ca="1" si="7"/>
        <v>122</v>
      </c>
      <c r="H124">
        <f t="shared" ca="1" si="8"/>
        <v>9655.3829919019972</v>
      </c>
      <c r="I124">
        <f t="shared" ca="1" si="9"/>
        <v>97188.887668532174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55645</v>
      </c>
      <c r="B126" s="66">
        <v>55645</v>
      </c>
      <c r="D126">
        <f t="shared" si="5"/>
        <v>63.826248537542156</v>
      </c>
      <c r="E126">
        <f t="shared" si="6"/>
        <v>63.826248537542156</v>
      </c>
      <c r="G126">
        <f t="shared" ca="1" si="7"/>
        <v>124</v>
      </c>
      <c r="H126">
        <f t="shared" ca="1" si="8"/>
        <v>7914.4548186552274</v>
      </c>
      <c r="I126">
        <f t="shared" ca="1" si="9"/>
        <v>87582.182939533654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49699</v>
      </c>
      <c r="B129" s="66">
        <v>49699</v>
      </c>
      <c r="D129">
        <f t="shared" si="5"/>
        <v>57.006033355509167</v>
      </c>
      <c r="E129">
        <f t="shared" si="6"/>
        <v>57.006033355509167</v>
      </c>
      <c r="G129">
        <f t="shared" ca="1" si="7"/>
        <v>127</v>
      </c>
      <c r="H129">
        <f t="shared" ca="1" si="8"/>
        <v>7239.7662361496641</v>
      </c>
      <c r="I129">
        <f t="shared" ca="1" si="9"/>
        <v>91406.66623584459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50840</v>
      </c>
      <c r="B131" s="66">
        <v>50840</v>
      </c>
      <c r="D131">
        <f t="shared" ref="D131:D194" si="10">IFERROR( 100*A131/MAX(A$2:A$257), 0 )</f>
        <v>58.314789750177788</v>
      </c>
      <c r="E131">
        <f t="shared" ref="E131:E194" si="11">IFERROR( 100*B131/MAX(B$2:B$257), 0 )</f>
        <v>58.314789750177788</v>
      </c>
      <c r="G131">
        <f t="shared" ref="G131:G194" ca="1" si="12">CELL("row",D131)-2</f>
        <v>129</v>
      </c>
      <c r="H131">
        <f t="shared" ref="H131:H194" ca="1" si="13">D131*G131</f>
        <v>7522.6078777729344</v>
      </c>
      <c r="I131">
        <f t="shared" ref="I131:I194" ca="1" si="14">D131*((G131-$L$1)^2)</f>
        <v>103078.8964096781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37253</v>
      </c>
      <c r="B134" s="66">
        <v>37253</v>
      </c>
      <c r="D134">
        <f t="shared" si="10"/>
        <v>42.730150719185154</v>
      </c>
      <c r="E134">
        <f t="shared" si="11"/>
        <v>42.730150719185154</v>
      </c>
      <c r="G134">
        <f t="shared" ca="1" si="12"/>
        <v>132</v>
      </c>
      <c r="H134">
        <f t="shared" ca="1" si="13"/>
        <v>5640.37989493244</v>
      </c>
      <c r="I134">
        <f t="shared" ca="1" si="14"/>
        <v>86694.680088290261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32255</v>
      </c>
      <c r="B136" s="66">
        <v>32255</v>
      </c>
      <c r="D136">
        <f t="shared" si="10"/>
        <v>36.997315959716452</v>
      </c>
      <c r="E136">
        <f t="shared" si="11"/>
        <v>36.997315959716452</v>
      </c>
      <c r="G136">
        <f t="shared" ca="1" si="12"/>
        <v>134</v>
      </c>
      <c r="H136">
        <f t="shared" ca="1" si="13"/>
        <v>4957.6403386020047</v>
      </c>
      <c r="I136">
        <f t="shared" ca="1" si="14"/>
        <v>81877.297597678786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23498</v>
      </c>
      <c r="B139" s="66">
        <v>23498</v>
      </c>
      <c r="D139">
        <f t="shared" si="10"/>
        <v>26.952811360143148</v>
      </c>
      <c r="E139">
        <f t="shared" si="11"/>
        <v>26.952811360143148</v>
      </c>
      <c r="G139">
        <f t="shared" ca="1" si="12"/>
        <v>137</v>
      </c>
      <c r="H139">
        <f t="shared" ca="1" si="13"/>
        <v>3692.5351563396111</v>
      </c>
      <c r="I139">
        <f t="shared" ca="1" si="14"/>
        <v>67498.451993201132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19818</v>
      </c>
      <c r="B142" s="66">
        <v>19818</v>
      </c>
      <c r="D142">
        <f t="shared" si="10"/>
        <v>22.731756555252232</v>
      </c>
      <c r="E142">
        <f t="shared" si="11"/>
        <v>22.731756555252232</v>
      </c>
      <c r="G142">
        <f t="shared" ca="1" si="12"/>
        <v>140</v>
      </c>
      <c r="H142">
        <f t="shared" ca="1" si="13"/>
        <v>3182.4459177353124</v>
      </c>
      <c r="I142">
        <f t="shared" ca="1" si="14"/>
        <v>63957.583659066026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16022</v>
      </c>
      <c r="B144" s="66">
        <v>16022</v>
      </c>
      <c r="D144">
        <f t="shared" si="10"/>
        <v>18.377646761946274</v>
      </c>
      <c r="E144">
        <f t="shared" si="11"/>
        <v>18.377646761946274</v>
      </c>
      <c r="G144">
        <f t="shared" ca="1" si="12"/>
        <v>142</v>
      </c>
      <c r="H144">
        <f t="shared" ca="1" si="13"/>
        <v>2609.625840196371</v>
      </c>
      <c r="I144">
        <f t="shared" ca="1" si="14"/>
        <v>55679.699191740503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15522</v>
      </c>
      <c r="B147" s="66">
        <v>15522</v>
      </c>
      <c r="D147">
        <f t="shared" si="10"/>
        <v>17.804133880846965</v>
      </c>
      <c r="E147">
        <f t="shared" si="11"/>
        <v>17.804133880846965</v>
      </c>
      <c r="G147">
        <f t="shared" ca="1" si="12"/>
        <v>145</v>
      </c>
      <c r="H147">
        <f t="shared" ca="1" si="13"/>
        <v>2581.59941272281</v>
      </c>
      <c r="I147">
        <f t="shared" ca="1" si="14"/>
        <v>59982.311522076991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12384</v>
      </c>
      <c r="B149" s="66">
        <v>12384</v>
      </c>
      <c r="D149">
        <f t="shared" si="10"/>
        <v>14.204767039067697</v>
      </c>
      <c r="E149">
        <f t="shared" si="11"/>
        <v>14.204767039067697</v>
      </c>
      <c r="G149">
        <f t="shared" ca="1" si="12"/>
        <v>147</v>
      </c>
      <c r="H149">
        <f t="shared" ca="1" si="13"/>
        <v>2088.1007547429513</v>
      </c>
      <c r="I149">
        <f t="shared" ca="1" si="14"/>
        <v>51210.785618403839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11944</v>
      </c>
      <c r="B152" s="66">
        <v>11944</v>
      </c>
      <c r="D152">
        <f t="shared" si="10"/>
        <v>13.700075703700305</v>
      </c>
      <c r="E152">
        <f t="shared" si="11"/>
        <v>13.700075703700305</v>
      </c>
      <c r="G152">
        <f t="shared" ca="1" si="12"/>
        <v>150</v>
      </c>
      <c r="H152">
        <f t="shared" ca="1" si="13"/>
        <v>2055.0113555550456</v>
      </c>
      <c r="I152">
        <f t="shared" ca="1" si="14"/>
        <v>54450.158040486654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13960</v>
      </c>
      <c r="B154" s="66">
        <v>13960</v>
      </c>
      <c r="D154">
        <f t="shared" si="10"/>
        <v>16.012479640292721</v>
      </c>
      <c r="E154">
        <f t="shared" si="11"/>
        <v>16.012479640292721</v>
      </c>
      <c r="G154">
        <f t="shared" ca="1" si="12"/>
        <v>152</v>
      </c>
      <c r="H154">
        <f t="shared" ca="1" si="13"/>
        <v>2433.8969053244937</v>
      </c>
      <c r="I154">
        <f t="shared" ca="1" si="14"/>
        <v>67742.63391627188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10286</v>
      </c>
      <c r="B157" s="66">
        <v>10286</v>
      </c>
      <c r="D157">
        <f t="shared" si="10"/>
        <v>11.798306989974995</v>
      </c>
      <c r="E157">
        <f t="shared" si="11"/>
        <v>11.798306989974995</v>
      </c>
      <c r="G157">
        <f t="shared" ca="1" si="12"/>
        <v>155</v>
      </c>
      <c r="H157">
        <f t="shared" ca="1" si="13"/>
        <v>1828.7375834461241</v>
      </c>
      <c r="I157">
        <f t="shared" ca="1" si="14"/>
        <v>54624.673544104902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9165</v>
      </c>
      <c r="B160" s="66">
        <v>9165</v>
      </c>
      <c r="D160">
        <f t="shared" si="10"/>
        <v>10.512491110550343</v>
      </c>
      <c r="E160">
        <f t="shared" si="11"/>
        <v>10.512491110550343</v>
      </c>
      <c r="G160">
        <f t="shared" ca="1" si="12"/>
        <v>158</v>
      </c>
      <c r="H160">
        <f t="shared" ca="1" si="13"/>
        <v>1660.9735954669541</v>
      </c>
      <c r="I160">
        <f t="shared" ca="1" si="14"/>
        <v>53057.940330711383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6726</v>
      </c>
      <c r="B162" s="66">
        <v>6726</v>
      </c>
      <c r="D162">
        <f t="shared" si="10"/>
        <v>7.7148952765479111</v>
      </c>
      <c r="E162">
        <f t="shared" si="11"/>
        <v>7.7148952765479111</v>
      </c>
      <c r="G162">
        <f t="shared" ca="1" si="12"/>
        <v>160</v>
      </c>
      <c r="H162">
        <f t="shared" ca="1" si="13"/>
        <v>1234.3832442476657</v>
      </c>
      <c r="I162">
        <f t="shared" ca="1" si="14"/>
        <v>41161.324454689107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5941</v>
      </c>
      <c r="B165" s="66">
        <v>5941</v>
      </c>
      <c r="D165">
        <f t="shared" si="10"/>
        <v>6.8144800532219953</v>
      </c>
      <c r="E165">
        <f t="shared" si="11"/>
        <v>6.8144800532219953</v>
      </c>
      <c r="G165">
        <f t="shared" ca="1" si="12"/>
        <v>163</v>
      </c>
      <c r="H165">
        <f t="shared" ca="1" si="13"/>
        <v>1110.7602486751853</v>
      </c>
      <c r="I165">
        <f t="shared" ca="1" si="14"/>
        <v>39405.171959442843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6753</v>
      </c>
      <c r="B167" s="66">
        <v>6753</v>
      </c>
      <c r="D167">
        <f t="shared" si="10"/>
        <v>7.7458649721272739</v>
      </c>
      <c r="E167">
        <f t="shared" si="11"/>
        <v>7.7458649721272739</v>
      </c>
      <c r="G167">
        <f t="shared" ca="1" si="12"/>
        <v>165</v>
      </c>
      <c r="H167">
        <f t="shared" ca="1" si="13"/>
        <v>1278.0677204010001</v>
      </c>
      <c r="I167">
        <f t="shared" ca="1" si="14"/>
        <v>47178.029709764931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5113</v>
      </c>
      <c r="B170" s="66">
        <v>5113</v>
      </c>
      <c r="D170">
        <f t="shared" si="10"/>
        <v>5.8647427221215391</v>
      </c>
      <c r="E170">
        <f t="shared" si="11"/>
        <v>5.8647427221215391</v>
      </c>
      <c r="G170">
        <f t="shared" ca="1" si="12"/>
        <v>168</v>
      </c>
      <c r="H170">
        <f t="shared" ca="1" si="13"/>
        <v>985.27677731641859</v>
      </c>
      <c r="I170">
        <f t="shared" ca="1" si="14"/>
        <v>38519.609612042921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3336</v>
      </c>
      <c r="B173" s="66">
        <v>3336</v>
      </c>
      <c r="D173">
        <f t="shared" si="10"/>
        <v>3.8264779426945927</v>
      </c>
      <c r="E173">
        <f t="shared" si="11"/>
        <v>3.8264779426945927</v>
      </c>
      <c r="G173">
        <f t="shared" ca="1" si="12"/>
        <v>171</v>
      </c>
      <c r="H173">
        <f t="shared" ca="1" si="13"/>
        <v>654.32772820077537</v>
      </c>
      <c r="I173">
        <f t="shared" ca="1" si="14"/>
        <v>27027.391565422691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3058</v>
      </c>
      <c r="B175" s="66">
        <v>3058</v>
      </c>
      <c r="D175">
        <f t="shared" si="10"/>
        <v>3.5076047808033768</v>
      </c>
      <c r="E175">
        <f t="shared" si="11"/>
        <v>3.5076047808033768</v>
      </c>
      <c r="G175">
        <f t="shared" ca="1" si="12"/>
        <v>173</v>
      </c>
      <c r="H175">
        <f t="shared" ca="1" si="13"/>
        <v>606.81562707898422</v>
      </c>
      <c r="I175">
        <f t="shared" ca="1" si="14"/>
        <v>25968.300347649878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4561</v>
      </c>
      <c r="B178" s="66">
        <v>4561</v>
      </c>
      <c r="D178">
        <f t="shared" si="10"/>
        <v>5.2315845013879008</v>
      </c>
      <c r="E178">
        <f t="shared" si="11"/>
        <v>5.2315845013879008</v>
      </c>
      <c r="G178">
        <f t="shared" ca="1" si="12"/>
        <v>176</v>
      </c>
      <c r="H178">
        <f t="shared" ca="1" si="13"/>
        <v>920.75887224427049</v>
      </c>
      <c r="I178">
        <f t="shared" ca="1" si="14"/>
        <v>41479.597683634282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3740</v>
      </c>
      <c r="B180" s="66">
        <v>3740</v>
      </c>
      <c r="D180">
        <f t="shared" si="10"/>
        <v>4.2898763506228352</v>
      </c>
      <c r="E180">
        <f t="shared" si="11"/>
        <v>4.2898763506228352</v>
      </c>
      <c r="G180">
        <f t="shared" ca="1" si="12"/>
        <v>178</v>
      </c>
      <c r="H180">
        <f t="shared" ca="1" si="13"/>
        <v>763.59799041086467</v>
      </c>
      <c r="I180">
        <f t="shared" ca="1" si="14"/>
        <v>35558.184589459474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1287</v>
      </c>
      <c r="B183" s="66">
        <v>1287</v>
      </c>
      <c r="D183">
        <f t="shared" si="10"/>
        <v>1.4762221559496227</v>
      </c>
      <c r="E183">
        <f t="shared" si="11"/>
        <v>1.4762221559496227</v>
      </c>
      <c r="G183">
        <f t="shared" ca="1" si="12"/>
        <v>181</v>
      </c>
      <c r="H183">
        <f t="shared" ca="1" si="13"/>
        <v>267.1962102268817</v>
      </c>
      <c r="I183">
        <f t="shared" ca="1" si="14"/>
        <v>13055.884541572528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293</v>
      </c>
      <c r="B185" s="66">
        <v>293</v>
      </c>
      <c r="D185">
        <f t="shared" si="10"/>
        <v>0.33607854832419537</v>
      </c>
      <c r="E185">
        <f t="shared" si="11"/>
        <v>0.33607854832419537</v>
      </c>
      <c r="G185">
        <f t="shared" ca="1" si="12"/>
        <v>183</v>
      </c>
      <c r="H185">
        <f t="shared" ca="1" si="13"/>
        <v>61.502374343327752</v>
      </c>
      <c r="I185">
        <f t="shared" ca="1" si="14"/>
        <v>3100.0865943522917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481</v>
      </c>
      <c r="B188" s="66">
        <v>481</v>
      </c>
      <c r="D188">
        <f t="shared" si="10"/>
        <v>0.55171939161753569</v>
      </c>
      <c r="E188">
        <f t="shared" si="11"/>
        <v>0.55171939161753569</v>
      </c>
      <c r="G188">
        <f t="shared" ca="1" si="12"/>
        <v>186</v>
      </c>
      <c r="H188">
        <f t="shared" ca="1" si="13"/>
        <v>102.61980684086164</v>
      </c>
      <c r="I188">
        <f t="shared" ca="1" si="14"/>
        <v>5412.1194275265452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945</v>
      </c>
      <c r="B191" s="66">
        <v>945</v>
      </c>
      <c r="D191">
        <f t="shared" si="10"/>
        <v>1.0839393452776949</v>
      </c>
      <c r="E191">
        <f t="shared" si="11"/>
        <v>1.0839393452776949</v>
      </c>
      <c r="G191">
        <f t="shared" ca="1" si="12"/>
        <v>189</v>
      </c>
      <c r="H191">
        <f t="shared" ca="1" si="13"/>
        <v>204.86453625748433</v>
      </c>
      <c r="I191">
        <f t="shared" ca="1" si="14"/>
        <v>11286.854357595288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2316</v>
      </c>
      <c r="B193" s="66">
        <v>2316</v>
      </c>
      <c r="D193">
        <f t="shared" si="10"/>
        <v>2.6565116652520016</v>
      </c>
      <c r="E193">
        <f t="shared" si="11"/>
        <v>2.6565116652520016</v>
      </c>
      <c r="G193">
        <f t="shared" ca="1" si="12"/>
        <v>191</v>
      </c>
      <c r="H193">
        <f t="shared" ca="1" si="13"/>
        <v>507.3937280631323</v>
      </c>
      <c r="I193">
        <f t="shared" ca="1" si="14"/>
        <v>28756.69260074637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1246</v>
      </c>
      <c r="B196" s="66">
        <v>1246</v>
      </c>
      <c r="D196">
        <f t="shared" si="15"/>
        <v>1.4291940996994792</v>
      </c>
      <c r="E196">
        <f t="shared" si="16"/>
        <v>1.4291940996994792</v>
      </c>
      <c r="G196">
        <f t="shared" ca="1" si="17"/>
        <v>194</v>
      </c>
      <c r="H196">
        <f t="shared" ca="1" si="18"/>
        <v>277.26365534169895</v>
      </c>
      <c r="I196">
        <f t="shared" ca="1" si="19"/>
        <v>16376.051399354357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107</v>
      </c>
      <c r="B198" s="66">
        <v>107</v>
      </c>
      <c r="D198">
        <f t="shared" si="15"/>
        <v>0.12273175655525223</v>
      </c>
      <c r="E198">
        <f t="shared" si="16"/>
        <v>0.12273175655525223</v>
      </c>
      <c r="G198">
        <f t="shared" ca="1" si="17"/>
        <v>196</v>
      </c>
      <c r="H198">
        <f t="shared" ca="1" si="18"/>
        <v>24.055424284829439</v>
      </c>
      <c r="I198">
        <f t="shared" ca="1" si="19"/>
        <v>1459.3314436360588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53</v>
      </c>
      <c r="B201" s="66">
        <v>53</v>
      </c>
      <c r="D201">
        <f t="shared" si="15"/>
        <v>6.0792365396526805E-2</v>
      </c>
      <c r="E201">
        <f t="shared" si="16"/>
        <v>6.0792365396526805E-2</v>
      </c>
      <c r="G201">
        <f t="shared" ca="1" si="17"/>
        <v>199</v>
      </c>
      <c r="H201">
        <f t="shared" ca="1" si="18"/>
        <v>12.097680713908835</v>
      </c>
      <c r="I201">
        <f t="shared" ca="1" si="19"/>
        <v>763.16750314710407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92.734198592562763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1.7894863752878254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0.6163443648926572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3298</v>
      </c>
      <c r="B8" s="66">
        <v>3298</v>
      </c>
      <c r="D8">
        <f t="shared" si="0"/>
        <v>1.8887266271511611</v>
      </c>
      <c r="E8">
        <f t="shared" si="1"/>
        <v>1.8887266271511611</v>
      </c>
      <c r="G8">
        <f t="shared" ca="1" si="2"/>
        <v>6</v>
      </c>
      <c r="H8">
        <f t="shared" ca="1" si="3"/>
        <v>11.332359762906966</v>
      </c>
      <c r="I8">
        <f t="shared" ca="1" si="4"/>
        <v>14208.552722114133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4508</v>
      </c>
      <c r="B10" s="66">
        <v>4508</v>
      </c>
      <c r="D10">
        <f t="shared" si="0"/>
        <v>2.5816796953297252</v>
      </c>
      <c r="E10">
        <f t="shared" si="1"/>
        <v>2.5816796953297252</v>
      </c>
      <c r="G10">
        <f t="shared" ca="1" si="2"/>
        <v>8</v>
      </c>
      <c r="H10">
        <f t="shared" ca="1" si="3"/>
        <v>20.653437562637802</v>
      </c>
      <c r="I10">
        <f t="shared" ca="1" si="4"/>
        <v>18536.161799012902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5517</v>
      </c>
      <c r="B13" s="66">
        <v>5517</v>
      </c>
      <c r="D13">
        <f t="shared" si="0"/>
        <v>3.1595223778025945</v>
      </c>
      <c r="E13">
        <f t="shared" si="1"/>
        <v>3.1595223778025945</v>
      </c>
      <c r="G13">
        <f t="shared" ca="1" si="2"/>
        <v>11</v>
      </c>
      <c r="H13">
        <f t="shared" ca="1" si="3"/>
        <v>34.754746155828542</v>
      </c>
      <c r="I13">
        <f t="shared" ca="1" si="4"/>
        <v>21107.123588671853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7321</v>
      </c>
      <c r="B15" s="66">
        <v>7321</v>
      </c>
      <c r="D15">
        <f t="shared" si="0"/>
        <v>4.1926524067233633</v>
      </c>
      <c r="E15">
        <f t="shared" si="1"/>
        <v>4.1926524067233633</v>
      </c>
      <c r="G15">
        <f t="shared" ca="1" si="2"/>
        <v>13</v>
      </c>
      <c r="H15">
        <f t="shared" ca="1" si="3"/>
        <v>54.504481287403721</v>
      </c>
      <c r="I15">
        <f t="shared" ca="1" si="4"/>
        <v>26654.965549853277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6616</v>
      </c>
      <c r="B18" s="66">
        <v>6616</v>
      </c>
      <c r="D18">
        <f t="shared" si="0"/>
        <v>3.7889070240242821</v>
      </c>
      <c r="E18">
        <f t="shared" si="1"/>
        <v>3.7889070240242821</v>
      </c>
      <c r="G18">
        <f t="shared" ca="1" si="2"/>
        <v>16</v>
      </c>
      <c r="H18">
        <f t="shared" ca="1" si="3"/>
        <v>60.622512384388514</v>
      </c>
      <c r="I18">
        <f t="shared" ca="1" si="4"/>
        <v>22309.604522968344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7582</v>
      </c>
      <c r="B21" s="66">
        <v>7582</v>
      </c>
      <c r="D21">
        <f t="shared" si="0"/>
        <v>4.342124101594937</v>
      </c>
      <c r="E21">
        <f t="shared" si="1"/>
        <v>4.342124101594937</v>
      </c>
      <c r="G21">
        <f t="shared" ca="1" si="2"/>
        <v>19</v>
      </c>
      <c r="H21">
        <f t="shared" ca="1" si="3"/>
        <v>82.500357930303807</v>
      </c>
      <c r="I21">
        <f t="shared" ca="1" si="4"/>
        <v>23606.965233861527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9005</v>
      </c>
      <c r="B23" s="66">
        <v>9005</v>
      </c>
      <c r="D23">
        <f t="shared" si="0"/>
        <v>5.1570598173123727</v>
      </c>
      <c r="E23">
        <f t="shared" si="1"/>
        <v>5.1570598173123727</v>
      </c>
      <c r="G23">
        <f t="shared" ca="1" si="2"/>
        <v>21</v>
      </c>
      <c r="H23">
        <f t="shared" ca="1" si="3"/>
        <v>108.29825616355983</v>
      </c>
      <c r="I23">
        <f t="shared" ca="1" si="4"/>
        <v>26537.173900119509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12235</v>
      </c>
      <c r="B26" s="66">
        <v>12235</v>
      </c>
      <c r="D26">
        <f t="shared" si="0"/>
        <v>7.0068436274088706</v>
      </c>
      <c r="E26">
        <f t="shared" si="1"/>
        <v>7.0068436274088706</v>
      </c>
      <c r="G26">
        <f t="shared" ca="1" si="2"/>
        <v>24</v>
      </c>
      <c r="H26">
        <f t="shared" ca="1" si="3"/>
        <v>168.1642470578129</v>
      </c>
      <c r="I26">
        <f t="shared" ca="1" si="4"/>
        <v>33103.062358411538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13559</v>
      </c>
      <c r="B28" s="66">
        <v>13559</v>
      </c>
      <c r="D28">
        <f t="shared" si="0"/>
        <v>7.7650831830026057</v>
      </c>
      <c r="E28">
        <f t="shared" si="1"/>
        <v>7.7650831830026057</v>
      </c>
      <c r="G28">
        <f t="shared" ca="1" si="2"/>
        <v>26</v>
      </c>
      <c r="H28">
        <f t="shared" ca="1" si="3"/>
        <v>201.89216275806774</v>
      </c>
      <c r="I28">
        <f t="shared" ca="1" si="4"/>
        <v>34581.435029426095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16763</v>
      </c>
      <c r="B31" s="66">
        <v>16763</v>
      </c>
      <c r="D31">
        <f t="shared" si="0"/>
        <v>9.5999770924605556</v>
      </c>
      <c r="E31">
        <f t="shared" si="1"/>
        <v>9.5999770924605556</v>
      </c>
      <c r="G31">
        <f t="shared" ca="1" si="2"/>
        <v>29</v>
      </c>
      <c r="H31">
        <f t="shared" ca="1" si="3"/>
        <v>278.39933568135609</v>
      </c>
      <c r="I31">
        <f t="shared" ca="1" si="4"/>
        <v>38995.568422741409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17582</v>
      </c>
      <c r="B33" s="66">
        <v>17582</v>
      </c>
      <c r="D33">
        <f t="shared" si="0"/>
        <v>10.069008962574808</v>
      </c>
      <c r="E33">
        <f t="shared" si="1"/>
        <v>10.069008962574808</v>
      </c>
      <c r="G33">
        <f t="shared" ca="1" si="2"/>
        <v>31</v>
      </c>
      <c r="H33">
        <f t="shared" ca="1" si="3"/>
        <v>312.13927783981904</v>
      </c>
      <c r="I33">
        <f t="shared" ca="1" si="4"/>
        <v>38374.113594064445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15894</v>
      </c>
      <c r="B36" s="66">
        <v>15894</v>
      </c>
      <c r="D36">
        <f t="shared" si="0"/>
        <v>9.1023107980414046</v>
      </c>
      <c r="E36">
        <f t="shared" si="1"/>
        <v>9.1023107980414046</v>
      </c>
      <c r="G36">
        <f t="shared" ca="1" si="2"/>
        <v>34</v>
      </c>
      <c r="H36">
        <f t="shared" ca="1" si="3"/>
        <v>309.47856713340775</v>
      </c>
      <c r="I36">
        <f t="shared" ca="1" si="4"/>
        <v>31400.296941289518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17402</v>
      </c>
      <c r="B39" s="66">
        <v>17402</v>
      </c>
      <c r="D39">
        <f t="shared" si="0"/>
        <v>9.96592503507717</v>
      </c>
      <c r="E39">
        <f t="shared" si="1"/>
        <v>9.96592503507717</v>
      </c>
      <c r="G39">
        <f t="shared" ca="1" si="2"/>
        <v>37</v>
      </c>
      <c r="H39">
        <f t="shared" ca="1" si="3"/>
        <v>368.73922629785528</v>
      </c>
      <c r="I39">
        <f t="shared" ca="1" si="4"/>
        <v>30957.161833591861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18872</v>
      </c>
      <c r="B41" s="66">
        <v>18872</v>
      </c>
      <c r="D41">
        <f t="shared" si="0"/>
        <v>10.807777109641211</v>
      </c>
      <c r="E41">
        <f t="shared" si="1"/>
        <v>10.807777109641211</v>
      </c>
      <c r="G41">
        <f t="shared" ca="1" si="2"/>
        <v>39</v>
      </c>
      <c r="H41">
        <f t="shared" ca="1" si="3"/>
        <v>421.50330727600726</v>
      </c>
      <c r="I41">
        <f t="shared" ca="1" si="4"/>
        <v>31205.987609724958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23365</v>
      </c>
      <c r="B44" s="66">
        <v>23365</v>
      </c>
      <c r="D44">
        <f t="shared" si="0"/>
        <v>13.380866477679467</v>
      </c>
      <c r="E44">
        <f t="shared" si="1"/>
        <v>13.380866477679467</v>
      </c>
      <c r="G44">
        <f t="shared" ca="1" si="2"/>
        <v>42</v>
      </c>
      <c r="H44">
        <f t="shared" ca="1" si="3"/>
        <v>561.99639206253755</v>
      </c>
      <c r="I44">
        <f t="shared" ca="1" si="4"/>
        <v>34441.800451320647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29479</v>
      </c>
      <c r="B46" s="66">
        <v>29479</v>
      </c>
      <c r="D46">
        <f t="shared" si="0"/>
        <v>16.882283881682557</v>
      </c>
      <c r="E46">
        <f t="shared" si="1"/>
        <v>16.882283881682557</v>
      </c>
      <c r="G46">
        <f t="shared" ca="1" si="2"/>
        <v>44</v>
      </c>
      <c r="H46">
        <f t="shared" ca="1" si="3"/>
        <v>742.82049079403248</v>
      </c>
      <c r="I46">
        <f t="shared" ca="1" si="4"/>
        <v>40095.797527812079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30215</v>
      </c>
      <c r="B49" s="66">
        <v>30215</v>
      </c>
      <c r="D49">
        <f t="shared" si="0"/>
        <v>17.303782607450678</v>
      </c>
      <c r="E49">
        <f t="shared" si="1"/>
        <v>17.303782607450678</v>
      </c>
      <c r="G49">
        <f t="shared" ca="1" si="2"/>
        <v>47</v>
      </c>
      <c r="H49">
        <f t="shared" ca="1" si="3"/>
        <v>813.27778255018188</v>
      </c>
      <c r="I49">
        <f t="shared" ca="1" si="4"/>
        <v>36192.884497387655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40427</v>
      </c>
      <c r="B51" s="66">
        <v>40427</v>
      </c>
      <c r="D51">
        <f t="shared" si="0"/>
        <v>23.15207742748332</v>
      </c>
      <c r="E51">
        <f t="shared" si="1"/>
        <v>23.15207742748332</v>
      </c>
      <c r="G51">
        <f t="shared" ca="1" si="2"/>
        <v>49</v>
      </c>
      <c r="H51">
        <f t="shared" ca="1" si="3"/>
        <v>1134.4517939466828</v>
      </c>
      <c r="I51">
        <f t="shared" ca="1" si="4"/>
        <v>44282.51838351725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45622</v>
      </c>
      <c r="B54" s="66">
        <v>45622</v>
      </c>
      <c r="D54">
        <f t="shared" si="0"/>
        <v>26.127194112762364</v>
      </c>
      <c r="E54">
        <f t="shared" si="1"/>
        <v>26.127194112762364</v>
      </c>
      <c r="G54">
        <f t="shared" ca="1" si="2"/>
        <v>52</v>
      </c>
      <c r="H54">
        <f t="shared" ca="1" si="3"/>
        <v>1358.6140938636429</v>
      </c>
      <c r="I54">
        <f t="shared" ca="1" si="4"/>
        <v>43352.198312620298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55817</v>
      </c>
      <c r="B57" s="66">
        <v>55817</v>
      </c>
      <c r="D57">
        <f t="shared" si="0"/>
        <v>31.965753228531341</v>
      </c>
      <c r="E57">
        <f t="shared" si="1"/>
        <v>31.965753228531341</v>
      </c>
      <c r="G57">
        <f t="shared" ca="1" si="2"/>
        <v>55</v>
      </c>
      <c r="H57">
        <f t="shared" ca="1" si="3"/>
        <v>1758.1164275692238</v>
      </c>
      <c r="I57">
        <f t="shared" ca="1" si="4"/>
        <v>45515.068847830749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57431</v>
      </c>
      <c r="B59" s="66">
        <v>57431</v>
      </c>
      <c r="D59">
        <f t="shared" si="0"/>
        <v>32.890072445093494</v>
      </c>
      <c r="E59">
        <f t="shared" si="1"/>
        <v>32.890072445093494</v>
      </c>
      <c r="G59">
        <f t="shared" ca="1" si="2"/>
        <v>57</v>
      </c>
      <c r="H59">
        <f t="shared" ca="1" si="3"/>
        <v>1874.7341293703291</v>
      </c>
      <c r="I59">
        <f t="shared" ca="1" si="4"/>
        <v>41998.417201870659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61278</v>
      </c>
      <c r="B62" s="66">
        <v>61278</v>
      </c>
      <c r="D62">
        <f t="shared" si="0"/>
        <v>35.093205051112449</v>
      </c>
      <c r="E62">
        <f t="shared" si="1"/>
        <v>35.093205051112449</v>
      </c>
      <c r="G62">
        <f t="shared" ca="1" si="2"/>
        <v>60</v>
      </c>
      <c r="H62">
        <f t="shared" ca="1" si="3"/>
        <v>2105.5923030667468</v>
      </c>
      <c r="I62">
        <f t="shared" ca="1" si="4"/>
        <v>37603.343311812772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59515</v>
      </c>
      <c r="B64" s="66">
        <v>59515</v>
      </c>
      <c r="D64">
        <f t="shared" si="0"/>
        <v>34.083555250121698</v>
      </c>
      <c r="E64">
        <f t="shared" si="1"/>
        <v>34.083555250121698</v>
      </c>
      <c r="G64">
        <f t="shared" ca="1" si="2"/>
        <v>62</v>
      </c>
      <c r="H64">
        <f t="shared" ca="1" si="3"/>
        <v>2113.1804255075454</v>
      </c>
      <c r="I64">
        <f t="shared" ca="1" si="4"/>
        <v>32195.018280507731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66295</v>
      </c>
      <c r="B67" s="66">
        <v>66295</v>
      </c>
      <c r="D67">
        <f t="shared" ref="D67:D130" si="5">IFERROR(100*A67/MAX(A$2:A$257), 0 )</f>
        <v>37.96638318586605</v>
      </c>
      <c r="E67">
        <f t="shared" ref="E67:E130" si="6">IFERROR(100*B67/MAX(B$2:B$257), 0 )</f>
        <v>37.96638318586605</v>
      </c>
      <c r="G67">
        <f t="shared" ref="G67:G130" ca="1" si="7">CELL("row",D67)-2</f>
        <v>65</v>
      </c>
      <c r="H67">
        <f t="shared" ref="H67:H130" ca="1" si="8">D67*G67</f>
        <v>2467.8149070812933</v>
      </c>
      <c r="I67">
        <f t="shared" ref="I67:I130" ca="1" si="9">D67*((G67-$L$1)^2)</f>
        <v>29203.201744607588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73364</v>
      </c>
      <c r="B69" s="66">
        <v>73364</v>
      </c>
      <c r="D69">
        <f t="shared" si="5"/>
        <v>42.014718094092721</v>
      </c>
      <c r="E69">
        <f t="shared" si="6"/>
        <v>42.014718094092721</v>
      </c>
      <c r="G69">
        <f t="shared" ca="1" si="7"/>
        <v>67</v>
      </c>
      <c r="H69">
        <f t="shared" ca="1" si="8"/>
        <v>2814.9861123042124</v>
      </c>
      <c r="I69">
        <f t="shared" ca="1" si="9"/>
        <v>27824.20408522055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84922</v>
      </c>
      <c r="B72" s="66">
        <v>84922</v>
      </c>
      <c r="D72">
        <f t="shared" si="5"/>
        <v>48.633851616413253</v>
      </c>
      <c r="E72">
        <f t="shared" si="6"/>
        <v>48.633851616413253</v>
      </c>
      <c r="G72">
        <f t="shared" ca="1" si="7"/>
        <v>70</v>
      </c>
      <c r="H72">
        <f t="shared" ca="1" si="8"/>
        <v>3404.3696131489278</v>
      </c>
      <c r="I72">
        <f t="shared" ca="1" si="9"/>
        <v>25136.103979976881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84627</v>
      </c>
      <c r="B75" s="66">
        <v>84627</v>
      </c>
      <c r="D75">
        <f t="shared" si="5"/>
        <v>48.464908513014343</v>
      </c>
      <c r="E75">
        <f t="shared" si="6"/>
        <v>48.464908513014343</v>
      </c>
      <c r="G75">
        <f t="shared" ca="1" si="7"/>
        <v>73</v>
      </c>
      <c r="H75">
        <f t="shared" ca="1" si="8"/>
        <v>3537.9383214500472</v>
      </c>
      <c r="I75">
        <f t="shared" ca="1" si="9"/>
        <v>18874.105834042999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97775</v>
      </c>
      <c r="B77" s="66">
        <v>97775</v>
      </c>
      <c r="D77">
        <f t="shared" si="5"/>
        <v>55.994616728230682</v>
      </c>
      <c r="E77">
        <f t="shared" si="6"/>
        <v>55.994616728230682</v>
      </c>
      <c r="G77">
        <f t="shared" ca="1" si="7"/>
        <v>75</v>
      </c>
      <c r="H77">
        <f t="shared" ca="1" si="8"/>
        <v>4199.5962546173014</v>
      </c>
      <c r="I77">
        <f t="shared" ca="1" si="9"/>
        <v>17610.407735685647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112857</v>
      </c>
      <c r="B80" s="66">
        <v>112857</v>
      </c>
      <c r="D80">
        <f t="shared" si="5"/>
        <v>64.631904475560518</v>
      </c>
      <c r="E80">
        <f t="shared" si="6"/>
        <v>64.631904475560518</v>
      </c>
      <c r="G80">
        <f t="shared" ca="1" si="7"/>
        <v>78</v>
      </c>
      <c r="H80">
        <f t="shared" ca="1" si="8"/>
        <v>5041.2885490937206</v>
      </c>
      <c r="I80">
        <f t="shared" ca="1" si="9"/>
        <v>14031.367240893545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117801</v>
      </c>
      <c r="B82" s="66">
        <v>117801</v>
      </c>
      <c r="D82">
        <f t="shared" si="5"/>
        <v>67.463276350828963</v>
      </c>
      <c r="E82">
        <f t="shared" si="6"/>
        <v>67.463276350828963</v>
      </c>
      <c r="G82">
        <f t="shared" ca="1" si="7"/>
        <v>80</v>
      </c>
      <c r="H82">
        <f t="shared" ca="1" si="8"/>
        <v>5397.0621080663168</v>
      </c>
      <c r="I82">
        <f t="shared" ca="1" si="9"/>
        <v>10939.83233103941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135130</v>
      </c>
      <c r="B85" s="66">
        <v>135130</v>
      </c>
      <c r="D85">
        <f t="shared" si="5"/>
        <v>77.387395126420984</v>
      </c>
      <c r="E85">
        <f t="shared" si="6"/>
        <v>77.387395126420984</v>
      </c>
      <c r="G85">
        <f t="shared" ca="1" si="7"/>
        <v>83</v>
      </c>
      <c r="H85">
        <f t="shared" ca="1" si="8"/>
        <v>6423.1537954929418</v>
      </c>
      <c r="I85">
        <f t="shared" ca="1" si="9"/>
        <v>7332.8133912991416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143721</v>
      </c>
      <c r="B88" s="66">
        <v>143721</v>
      </c>
      <c r="D88">
        <f t="shared" si="5"/>
        <v>82.307361910488794</v>
      </c>
      <c r="E88">
        <f t="shared" si="6"/>
        <v>82.307361910488794</v>
      </c>
      <c r="G88">
        <f t="shared" ca="1" si="7"/>
        <v>86</v>
      </c>
      <c r="H88">
        <f t="shared" ca="1" si="8"/>
        <v>7078.433124302036</v>
      </c>
      <c r="I88">
        <f t="shared" ca="1" si="9"/>
        <v>3732.5920037487281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154515</v>
      </c>
      <c r="B90" s="66">
        <v>154515</v>
      </c>
      <c r="D90">
        <f t="shared" si="5"/>
        <v>88.488961429430461</v>
      </c>
      <c r="E90">
        <f t="shared" si="6"/>
        <v>88.488961429430461</v>
      </c>
      <c r="G90">
        <f t="shared" ca="1" si="7"/>
        <v>88</v>
      </c>
      <c r="H90">
        <f t="shared" ca="1" si="8"/>
        <v>7787.0286057898802</v>
      </c>
      <c r="I90">
        <f t="shared" ca="1" si="9"/>
        <v>1983.2709103057573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160605</v>
      </c>
      <c r="B93" s="66">
        <v>160605</v>
      </c>
      <c r="D93">
        <f t="shared" si="5"/>
        <v>91.976634309767206</v>
      </c>
      <c r="E93">
        <f t="shared" si="6"/>
        <v>91.976634309767206</v>
      </c>
      <c r="G93">
        <f t="shared" ca="1" si="7"/>
        <v>91</v>
      </c>
      <c r="H93">
        <f t="shared" ca="1" si="8"/>
        <v>8369.873722188815</v>
      </c>
      <c r="I93">
        <f t="shared" ca="1" si="9"/>
        <v>276.61464675447519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174615</v>
      </c>
      <c r="B95" s="66">
        <v>174615</v>
      </c>
      <c r="D95">
        <f t="shared" si="5"/>
        <v>100</v>
      </c>
      <c r="E95">
        <f t="shared" si="6"/>
        <v>100</v>
      </c>
      <c r="G95">
        <f t="shared" ca="1" si="7"/>
        <v>93</v>
      </c>
      <c r="H95">
        <f t="shared" ca="1" si="8"/>
        <v>9300</v>
      </c>
      <c r="I95">
        <f t="shared" ca="1" si="9"/>
        <v>7.0650388195616305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163978</v>
      </c>
      <c r="B98" s="66">
        <v>163978</v>
      </c>
      <c r="D98">
        <f t="shared" si="5"/>
        <v>93.90831257337571</v>
      </c>
      <c r="E98">
        <f t="shared" si="6"/>
        <v>93.90831257337571</v>
      </c>
      <c r="G98">
        <f t="shared" ca="1" si="7"/>
        <v>96</v>
      </c>
      <c r="H98">
        <f t="shared" ca="1" si="8"/>
        <v>9015.1980070440677</v>
      </c>
      <c r="I98">
        <f t="shared" ca="1" si="9"/>
        <v>1001.5752418108414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150453</v>
      </c>
      <c r="B100" s="66">
        <v>150453</v>
      </c>
      <c r="D100">
        <f t="shared" si="5"/>
        <v>86.162700798900431</v>
      </c>
      <c r="E100">
        <f t="shared" si="6"/>
        <v>86.162700798900431</v>
      </c>
      <c r="G100">
        <f t="shared" ca="1" si="7"/>
        <v>98</v>
      </c>
      <c r="H100">
        <f t="shared" ca="1" si="8"/>
        <v>8443.9446782922423</v>
      </c>
      <c r="I100">
        <f t="shared" ca="1" si="9"/>
        <v>2389.1766196413491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149164</v>
      </c>
      <c r="B103" s="66">
        <v>149164</v>
      </c>
      <c r="D103">
        <f t="shared" si="5"/>
        <v>85.424505340320138</v>
      </c>
      <c r="E103">
        <f t="shared" si="6"/>
        <v>85.424505340320138</v>
      </c>
      <c r="G103">
        <f t="shared" ca="1" si="7"/>
        <v>101</v>
      </c>
      <c r="H103">
        <f t="shared" ca="1" si="8"/>
        <v>8627.8750393723349</v>
      </c>
      <c r="I103">
        <f t="shared" ca="1" si="9"/>
        <v>5836.4988762295916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132929</v>
      </c>
      <c r="B106" s="66">
        <v>132929</v>
      </c>
      <c r="D106">
        <f t="shared" si="5"/>
        <v>76.126907768519317</v>
      </c>
      <c r="E106">
        <f t="shared" si="6"/>
        <v>76.126907768519317</v>
      </c>
      <c r="G106">
        <f t="shared" ca="1" si="7"/>
        <v>104</v>
      </c>
      <c r="H106">
        <f t="shared" ca="1" si="8"/>
        <v>7917.1984079260092</v>
      </c>
      <c r="I106">
        <f t="shared" ca="1" si="9"/>
        <v>9661.8962986085935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116301</v>
      </c>
      <c r="B108" s="66">
        <v>116301</v>
      </c>
      <c r="D108">
        <f t="shared" si="5"/>
        <v>66.604243621681988</v>
      </c>
      <c r="E108">
        <f t="shared" si="6"/>
        <v>66.604243621681988</v>
      </c>
      <c r="G108">
        <f t="shared" ca="1" si="7"/>
        <v>106</v>
      </c>
      <c r="H108">
        <f t="shared" ca="1" si="8"/>
        <v>7060.0498238982909</v>
      </c>
      <c r="I108">
        <f t="shared" ca="1" si="9"/>
        <v>11721.113831825933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103029</v>
      </c>
      <c r="B111" s="66">
        <v>103029</v>
      </c>
      <c r="D111">
        <f t="shared" si="5"/>
        <v>59.003522034189501</v>
      </c>
      <c r="E111">
        <f t="shared" si="6"/>
        <v>59.003522034189501</v>
      </c>
      <c r="G111">
        <f t="shared" ca="1" si="7"/>
        <v>109</v>
      </c>
      <c r="H111">
        <f t="shared" ca="1" si="8"/>
        <v>6431.3839017266555</v>
      </c>
      <c r="I111">
        <f t="shared" ca="1" si="9"/>
        <v>15610.933276903266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88928</v>
      </c>
      <c r="B113" s="66">
        <v>88928</v>
      </c>
      <c r="D113">
        <f t="shared" si="5"/>
        <v>50.928041691721788</v>
      </c>
      <c r="E113">
        <f t="shared" si="6"/>
        <v>50.928041691721788</v>
      </c>
      <c r="G113">
        <f t="shared" ca="1" si="7"/>
        <v>111</v>
      </c>
      <c r="H113">
        <f t="shared" ca="1" si="8"/>
        <v>5653.0126277811187</v>
      </c>
      <c r="I113">
        <f t="shared" ca="1" si="9"/>
        <v>16991.606419781972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74573</v>
      </c>
      <c r="B116" s="66">
        <v>74573</v>
      </c>
      <c r="D116">
        <f t="shared" si="5"/>
        <v>42.707098473785187</v>
      </c>
      <c r="E116">
        <f t="shared" si="6"/>
        <v>42.707098473785187</v>
      </c>
      <c r="G116">
        <f t="shared" ca="1" si="7"/>
        <v>114</v>
      </c>
      <c r="H116">
        <f t="shared" ca="1" si="8"/>
        <v>4868.6092260115111</v>
      </c>
      <c r="I116">
        <f t="shared" ca="1" si="9"/>
        <v>19313.615189064647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64737</v>
      </c>
      <c r="B118" s="66">
        <v>64737</v>
      </c>
      <c r="D118">
        <f t="shared" si="5"/>
        <v>37.074134524525384</v>
      </c>
      <c r="E118">
        <f t="shared" si="6"/>
        <v>37.074134524525384</v>
      </c>
      <c r="G118">
        <f t="shared" ca="1" si="7"/>
        <v>116</v>
      </c>
      <c r="H118">
        <f t="shared" ca="1" si="8"/>
        <v>4300.5996048449442</v>
      </c>
      <c r="I118">
        <f t="shared" ca="1" si="9"/>
        <v>20068.136893732371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55595</v>
      </c>
      <c r="B121" s="66">
        <v>55595</v>
      </c>
      <c r="D121">
        <f t="shared" si="5"/>
        <v>31.838616384617588</v>
      </c>
      <c r="E121">
        <f t="shared" si="6"/>
        <v>31.838616384617588</v>
      </c>
      <c r="G121">
        <f t="shared" ca="1" si="7"/>
        <v>119</v>
      </c>
      <c r="H121">
        <f t="shared" ca="1" si="8"/>
        <v>3788.795349769493</v>
      </c>
      <c r="I121">
        <f t="shared" ca="1" si="9"/>
        <v>21965.217036994727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46782</v>
      </c>
      <c r="B124" s="66">
        <v>46782</v>
      </c>
      <c r="D124">
        <f t="shared" si="5"/>
        <v>26.791512756636028</v>
      </c>
      <c r="E124">
        <f t="shared" si="6"/>
        <v>26.791512756636028</v>
      </c>
      <c r="G124">
        <f t="shared" ca="1" si="7"/>
        <v>122</v>
      </c>
      <c r="H124">
        <f t="shared" ca="1" si="8"/>
        <v>3268.5645563095954</v>
      </c>
      <c r="I124">
        <f t="shared" ca="1" si="9"/>
        <v>22946.585923396524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37647</v>
      </c>
      <c r="B126" s="66">
        <v>37647</v>
      </c>
      <c r="D126">
        <f t="shared" si="5"/>
        <v>21.560003436130916</v>
      </c>
      <c r="E126">
        <f t="shared" si="6"/>
        <v>21.560003436130916</v>
      </c>
      <c r="G126">
        <f t="shared" ca="1" si="7"/>
        <v>124</v>
      </c>
      <c r="H126">
        <f t="shared" ca="1" si="8"/>
        <v>2673.4404260802335</v>
      </c>
      <c r="I126">
        <f t="shared" ca="1" si="9"/>
        <v>21075.98863870994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35810</v>
      </c>
      <c r="B129" s="66">
        <v>35810</v>
      </c>
      <c r="D129">
        <f t="shared" si="5"/>
        <v>20.507974687168915</v>
      </c>
      <c r="E129">
        <f t="shared" si="6"/>
        <v>20.507974687168915</v>
      </c>
      <c r="G129">
        <f t="shared" ca="1" si="7"/>
        <v>127</v>
      </c>
      <c r="H129">
        <f t="shared" ca="1" si="8"/>
        <v>2604.5127852704522</v>
      </c>
      <c r="I129">
        <f t="shared" ca="1" si="9"/>
        <v>24079.338935156517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32818</v>
      </c>
      <c r="B131" s="66">
        <v>32818</v>
      </c>
      <c r="D131">
        <f t="shared" ref="D131:D194" si="10">IFERROR(100*A131/MAX(A$2:A$257), 0 )</f>
        <v>18.794490736763738</v>
      </c>
      <c r="E131">
        <f t="shared" ref="E131:E194" si="11">IFERROR(100*B131/MAX(B$2:B$257), 0 )</f>
        <v>18.794490736763738</v>
      </c>
      <c r="G131">
        <f t="shared" ref="G131:G194" ca="1" si="12">CELL("row",D131)-2</f>
        <v>129</v>
      </c>
      <c r="H131">
        <f t="shared" ref="H131:H194" ca="1" si="13">D131*G131</f>
        <v>2424.4893050425221</v>
      </c>
      <c r="I131">
        <f t="shared" ref="I131:I194" ca="1" si="14">D131*((G131-$L$1)^2)</f>
        <v>24718.671183384948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29832</v>
      </c>
      <c r="B134" s="66">
        <v>29832</v>
      </c>
      <c r="D134">
        <f t="shared" si="10"/>
        <v>17.084442917275148</v>
      </c>
      <c r="E134">
        <f t="shared" si="11"/>
        <v>17.084442917275148</v>
      </c>
      <c r="G134">
        <f t="shared" ca="1" si="12"/>
        <v>132</v>
      </c>
      <c r="H134">
        <f t="shared" ca="1" si="13"/>
        <v>2255.1464650803196</v>
      </c>
      <c r="I134">
        <f t="shared" ca="1" si="14"/>
        <v>26340.848079569754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27018</v>
      </c>
      <c r="B136" s="66">
        <v>27018</v>
      </c>
      <c r="D136">
        <f t="shared" si="10"/>
        <v>15.472897517395413</v>
      </c>
      <c r="E136">
        <f t="shared" si="11"/>
        <v>15.472897517395413</v>
      </c>
      <c r="G136">
        <f t="shared" ca="1" si="12"/>
        <v>134</v>
      </c>
      <c r="H136">
        <f t="shared" ca="1" si="13"/>
        <v>2073.3682673309854</v>
      </c>
      <c r="I136">
        <f t="shared" ca="1" si="14"/>
        <v>26348.276763812784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20892</v>
      </c>
      <c r="B139" s="66">
        <v>20892</v>
      </c>
      <c r="D139">
        <f t="shared" si="10"/>
        <v>11.964607851559144</v>
      </c>
      <c r="E139">
        <f t="shared" si="11"/>
        <v>11.964607851559144</v>
      </c>
      <c r="G139">
        <f t="shared" ca="1" si="12"/>
        <v>137</v>
      </c>
      <c r="H139">
        <f t="shared" ca="1" si="13"/>
        <v>1639.1512756636027</v>
      </c>
      <c r="I139">
        <f t="shared" ca="1" si="14"/>
        <v>23444.184550169179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17173</v>
      </c>
      <c r="B142" s="66">
        <v>17173</v>
      </c>
      <c r="D142">
        <f t="shared" si="10"/>
        <v>9.8347793717607299</v>
      </c>
      <c r="E142">
        <f t="shared" si="11"/>
        <v>9.8347793717607299</v>
      </c>
      <c r="G142">
        <f t="shared" ca="1" si="12"/>
        <v>140</v>
      </c>
      <c r="H142">
        <f t="shared" ca="1" si="13"/>
        <v>1376.8691120465021</v>
      </c>
      <c r="I142">
        <f t="shared" ca="1" si="14"/>
        <v>21971.447693891663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16294</v>
      </c>
      <c r="B144" s="66">
        <v>16294</v>
      </c>
      <c r="D144">
        <f t="shared" si="10"/>
        <v>9.3313861924806005</v>
      </c>
      <c r="E144">
        <f t="shared" si="11"/>
        <v>9.3313861924806005</v>
      </c>
      <c r="G144">
        <f t="shared" ca="1" si="12"/>
        <v>142</v>
      </c>
      <c r="H144">
        <f t="shared" ca="1" si="13"/>
        <v>1325.0568393322453</v>
      </c>
      <c r="I144">
        <f t="shared" ca="1" si="14"/>
        <v>22648.386481366397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17049</v>
      </c>
      <c r="B147" s="66">
        <v>17049</v>
      </c>
      <c r="D147">
        <f t="shared" si="10"/>
        <v>9.7637659994845798</v>
      </c>
      <c r="E147">
        <f t="shared" si="11"/>
        <v>9.7637659994845798</v>
      </c>
      <c r="G147">
        <f t="shared" ca="1" si="12"/>
        <v>145</v>
      </c>
      <c r="H147">
        <f t="shared" ca="1" si="13"/>
        <v>1415.746069925264</v>
      </c>
      <c r="I147">
        <f t="shared" ca="1" si="14"/>
        <v>26671.816241897704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15284</v>
      </c>
      <c r="B149" s="66">
        <v>15284</v>
      </c>
      <c r="D149">
        <f t="shared" si="10"/>
        <v>8.7529708215216342</v>
      </c>
      <c r="E149">
        <f t="shared" si="11"/>
        <v>8.7529708215216342</v>
      </c>
      <c r="G149">
        <f t="shared" ca="1" si="12"/>
        <v>147</v>
      </c>
      <c r="H149">
        <f t="shared" ca="1" si="13"/>
        <v>1286.6867107636801</v>
      </c>
      <c r="I149">
        <f t="shared" ca="1" si="14"/>
        <v>25775.548928414184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10981</v>
      </c>
      <c r="B152" s="66">
        <v>10981</v>
      </c>
      <c r="D152">
        <f t="shared" si="10"/>
        <v>6.2886922658419948</v>
      </c>
      <c r="E152">
        <f t="shared" si="11"/>
        <v>6.2886922658419948</v>
      </c>
      <c r="G152">
        <f t="shared" ca="1" si="12"/>
        <v>150</v>
      </c>
      <c r="H152">
        <f t="shared" ca="1" si="13"/>
        <v>943.30383987629921</v>
      </c>
      <c r="I152">
        <f t="shared" ca="1" si="14"/>
        <v>20622.961401363322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11936</v>
      </c>
      <c r="B154" s="66">
        <v>11936</v>
      </c>
      <c r="D154">
        <f t="shared" si="10"/>
        <v>6.8356097700655729</v>
      </c>
      <c r="E154">
        <f t="shared" si="11"/>
        <v>6.8356097700655729</v>
      </c>
      <c r="G154">
        <f t="shared" ca="1" si="12"/>
        <v>152</v>
      </c>
      <c r="H154">
        <f t="shared" ca="1" si="13"/>
        <v>1039.0126850499671</v>
      </c>
      <c r="I154">
        <f t="shared" ca="1" si="14"/>
        <v>24009.636482395937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10662</v>
      </c>
      <c r="B157" s="66">
        <v>10662</v>
      </c>
      <c r="D157">
        <f t="shared" si="10"/>
        <v>6.1060046387767377</v>
      </c>
      <c r="E157">
        <f t="shared" si="11"/>
        <v>6.1060046387767377</v>
      </c>
      <c r="G157">
        <f t="shared" ca="1" si="12"/>
        <v>155</v>
      </c>
      <c r="H157">
        <f t="shared" ca="1" si="13"/>
        <v>946.43071901039434</v>
      </c>
      <c r="I157">
        <f t="shared" ca="1" si="14"/>
        <v>23673.163316779672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11607</v>
      </c>
      <c r="B160" s="66">
        <v>11607</v>
      </c>
      <c r="D160">
        <f t="shared" si="10"/>
        <v>6.6471952581393348</v>
      </c>
      <c r="E160">
        <f t="shared" si="11"/>
        <v>6.6471952581393348</v>
      </c>
      <c r="G160">
        <f t="shared" ca="1" si="12"/>
        <v>158</v>
      </c>
      <c r="H160">
        <f t="shared" ca="1" si="13"/>
        <v>1050.2568507860149</v>
      </c>
      <c r="I160">
        <f t="shared" ca="1" si="14"/>
        <v>28314.557993730152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11508</v>
      </c>
      <c r="B162" s="66">
        <v>11508</v>
      </c>
      <c r="D162">
        <f t="shared" si="10"/>
        <v>6.5904990980156342</v>
      </c>
      <c r="E162">
        <f t="shared" si="11"/>
        <v>6.5904990980156342</v>
      </c>
      <c r="G162">
        <f t="shared" ca="1" si="12"/>
        <v>160</v>
      </c>
      <c r="H162">
        <f t="shared" ca="1" si="13"/>
        <v>1054.4798556825015</v>
      </c>
      <c r="I162">
        <f t="shared" ca="1" si="14"/>
        <v>29819.952439731358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10952</v>
      </c>
      <c r="B165" s="66">
        <v>10952</v>
      </c>
      <c r="D165">
        <f t="shared" si="10"/>
        <v>6.2720842997451536</v>
      </c>
      <c r="E165">
        <f t="shared" si="11"/>
        <v>6.2720842997451536</v>
      </c>
      <c r="G165">
        <f t="shared" ca="1" si="12"/>
        <v>163</v>
      </c>
      <c r="H165">
        <f t="shared" ca="1" si="13"/>
        <v>1022.34974085846</v>
      </c>
      <c r="I165">
        <f t="shared" ca="1" si="14"/>
        <v>30967.054230763046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12608</v>
      </c>
      <c r="B167" s="66">
        <v>12608</v>
      </c>
      <c r="D167">
        <f t="shared" si="10"/>
        <v>7.2204564327234202</v>
      </c>
      <c r="E167">
        <f t="shared" si="11"/>
        <v>7.2204564327234202</v>
      </c>
      <c r="G167">
        <f t="shared" ca="1" si="12"/>
        <v>165</v>
      </c>
      <c r="H167">
        <f t="shared" ca="1" si="13"/>
        <v>1191.3753113993644</v>
      </c>
      <c r="I167">
        <f t="shared" ca="1" si="14"/>
        <v>37707.722152718758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12169</v>
      </c>
      <c r="B170" s="66">
        <v>12169</v>
      </c>
      <c r="D170">
        <f t="shared" si="10"/>
        <v>6.9690461873264038</v>
      </c>
      <c r="E170">
        <f t="shared" si="11"/>
        <v>6.9690461873264038</v>
      </c>
      <c r="G170">
        <f t="shared" ca="1" si="12"/>
        <v>168</v>
      </c>
      <c r="H170">
        <f t="shared" ca="1" si="13"/>
        <v>1170.7997594708359</v>
      </c>
      <c r="I170">
        <f t="shared" ca="1" si="14"/>
        <v>39479.234512292482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10910</v>
      </c>
      <c r="B173" s="66">
        <v>10910</v>
      </c>
      <c r="D173">
        <f t="shared" si="10"/>
        <v>6.248031383329038</v>
      </c>
      <c r="E173">
        <f t="shared" si="11"/>
        <v>6.248031383329038</v>
      </c>
      <c r="G173">
        <f t="shared" ca="1" si="12"/>
        <v>171</v>
      </c>
      <c r="H173">
        <f t="shared" ca="1" si="13"/>
        <v>1068.4133665492654</v>
      </c>
      <c r="I173">
        <f t="shared" ca="1" si="14"/>
        <v>38272.539105539094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12997</v>
      </c>
      <c r="B175" s="66">
        <v>12997</v>
      </c>
      <c r="D175">
        <f t="shared" si="10"/>
        <v>7.4432322538155367</v>
      </c>
      <c r="E175">
        <f t="shared" si="11"/>
        <v>7.4432322538155367</v>
      </c>
      <c r="G175">
        <f t="shared" ca="1" si="12"/>
        <v>173</v>
      </c>
      <c r="H175">
        <f t="shared" ca="1" si="13"/>
        <v>1287.6791799100879</v>
      </c>
      <c r="I175">
        <f t="shared" ca="1" si="14"/>
        <v>47953.759749099023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10823</v>
      </c>
      <c r="B178" s="66">
        <v>10823</v>
      </c>
      <c r="D178">
        <f t="shared" si="10"/>
        <v>6.1982074850385134</v>
      </c>
      <c r="E178">
        <f t="shared" si="11"/>
        <v>6.1982074850385134</v>
      </c>
      <c r="G178">
        <f t="shared" ca="1" si="12"/>
        <v>176</v>
      </c>
      <c r="H178">
        <f t="shared" ca="1" si="13"/>
        <v>1090.8845173667783</v>
      </c>
      <c r="I178">
        <f t="shared" ca="1" si="14"/>
        <v>42973.372987531722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8851</v>
      </c>
      <c r="B180" s="66">
        <v>8851</v>
      </c>
      <c r="D180">
        <f t="shared" si="10"/>
        <v>5.068865790453283</v>
      </c>
      <c r="E180">
        <f t="shared" si="11"/>
        <v>5.068865790453283</v>
      </c>
      <c r="G180">
        <f t="shared" ca="1" si="12"/>
        <v>178</v>
      </c>
      <c r="H180">
        <f t="shared" ca="1" si="13"/>
        <v>902.25811070068437</v>
      </c>
      <c r="I180">
        <f t="shared" ca="1" si="14"/>
        <v>36851.956435766981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8902</v>
      </c>
      <c r="B183" s="66">
        <v>8902</v>
      </c>
      <c r="D183">
        <f t="shared" si="10"/>
        <v>5.0980729032442804</v>
      </c>
      <c r="E183">
        <f t="shared" si="11"/>
        <v>5.0980729032442804</v>
      </c>
      <c r="G183">
        <f t="shared" ca="1" si="12"/>
        <v>181</v>
      </c>
      <c r="H183">
        <f t="shared" ca="1" si="13"/>
        <v>922.75119548721477</v>
      </c>
      <c r="I183">
        <f t="shared" ca="1" si="14"/>
        <v>39718.329935263762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8854</v>
      </c>
      <c r="B185" s="66">
        <v>8854</v>
      </c>
      <c r="D185">
        <f t="shared" si="10"/>
        <v>5.0705838559115772</v>
      </c>
      <c r="E185">
        <f t="shared" si="11"/>
        <v>5.0705838559115772</v>
      </c>
      <c r="G185">
        <f t="shared" ca="1" si="12"/>
        <v>183</v>
      </c>
      <c r="H185">
        <f t="shared" ca="1" si="13"/>
        <v>927.91684563181866</v>
      </c>
      <c r="I185">
        <f t="shared" ca="1" si="14"/>
        <v>41314.685770178941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6789</v>
      </c>
      <c r="B188" s="66">
        <v>6789</v>
      </c>
      <c r="D188">
        <f t="shared" si="10"/>
        <v>3.8879821321192338</v>
      </c>
      <c r="E188">
        <f t="shared" si="11"/>
        <v>3.8879821321192338</v>
      </c>
      <c r="G188">
        <f t="shared" ca="1" si="12"/>
        <v>186</v>
      </c>
      <c r="H188">
        <f t="shared" ca="1" si="13"/>
        <v>723.16467657417752</v>
      </c>
      <c r="I188">
        <f t="shared" ca="1" si="14"/>
        <v>33819.650336988496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5713</v>
      </c>
      <c r="B191" s="66">
        <v>5713</v>
      </c>
      <c r="D191">
        <f t="shared" si="10"/>
        <v>3.2717693210777998</v>
      </c>
      <c r="E191">
        <f t="shared" si="11"/>
        <v>3.2717693210777998</v>
      </c>
      <c r="G191">
        <f t="shared" ca="1" si="12"/>
        <v>189</v>
      </c>
      <c r="H191">
        <f t="shared" ca="1" si="13"/>
        <v>618.36440168370416</v>
      </c>
      <c r="I191">
        <f t="shared" ca="1" si="14"/>
        <v>30319.828265773296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7856</v>
      </c>
      <c r="B193" s="66">
        <v>7856</v>
      </c>
      <c r="D193">
        <f t="shared" si="10"/>
        <v>4.499040746785786</v>
      </c>
      <c r="E193">
        <f t="shared" si="11"/>
        <v>4.499040746785786</v>
      </c>
      <c r="G193">
        <f t="shared" ca="1" si="12"/>
        <v>191</v>
      </c>
      <c r="H193">
        <f t="shared" ca="1" si="13"/>
        <v>859.31678263608512</v>
      </c>
      <c r="I193">
        <f t="shared" ca="1" si="14"/>
        <v>43443.492058178133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7162</v>
      </c>
      <c r="B196" s="66">
        <v>7162</v>
      </c>
      <c r="D196">
        <f t="shared" si="15"/>
        <v>4.1015949374337826</v>
      </c>
      <c r="E196">
        <f t="shared" si="16"/>
        <v>4.1015949374337826</v>
      </c>
      <c r="G196">
        <f t="shared" ca="1" si="17"/>
        <v>194</v>
      </c>
      <c r="H196">
        <f t="shared" ca="1" si="18"/>
        <v>795.70941786215383</v>
      </c>
      <c r="I196">
        <f t="shared" ca="1" si="19"/>
        <v>42060.88209687225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4688</v>
      </c>
      <c r="B198" s="66">
        <v>4688</v>
      </c>
      <c r="D198">
        <f t="shared" si="15"/>
        <v>2.6847636228273632</v>
      </c>
      <c r="E198">
        <f t="shared" si="16"/>
        <v>2.6847636228273632</v>
      </c>
      <c r="G198">
        <f t="shared" ca="1" si="17"/>
        <v>196</v>
      </c>
      <c r="H198">
        <f t="shared" ca="1" si="18"/>
        <v>526.21367007416325</v>
      </c>
      <c r="I198">
        <f t="shared" ca="1" si="19"/>
        <v>28629.851427781927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3621</v>
      </c>
      <c r="B201" s="66">
        <v>3621</v>
      </c>
      <c r="D201">
        <f t="shared" si="15"/>
        <v>2.073705008160811</v>
      </c>
      <c r="E201">
        <f t="shared" si="16"/>
        <v>2.073705008160811</v>
      </c>
      <c r="G201">
        <f t="shared" ca="1" si="17"/>
        <v>199</v>
      </c>
      <c r="H201">
        <f t="shared" ca="1" si="18"/>
        <v>412.66729662400138</v>
      </c>
      <c r="I201">
        <f t="shared" ca="1" si="19"/>
        <v>23417.149046231807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3275</v>
      </c>
      <c r="B203" s="66">
        <v>3275</v>
      </c>
      <c r="D203">
        <f t="shared" si="15"/>
        <v>1.8755547919709075</v>
      </c>
      <c r="E203">
        <f t="shared" si="16"/>
        <v>1.8755547919709075</v>
      </c>
      <c r="G203">
        <f t="shared" ca="1" si="17"/>
        <v>201</v>
      </c>
      <c r="H203">
        <f t="shared" ca="1" si="18"/>
        <v>376.98651318615242</v>
      </c>
      <c r="I203">
        <f t="shared" ca="1" si="19"/>
        <v>21984.285024564011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2995</v>
      </c>
      <c r="B206" s="66">
        <v>2995</v>
      </c>
      <c r="D206">
        <f t="shared" si="15"/>
        <v>1.7152020158634711</v>
      </c>
      <c r="E206">
        <f t="shared" si="16"/>
        <v>1.7152020158634711</v>
      </c>
      <c r="G206">
        <f t="shared" ca="1" si="17"/>
        <v>204</v>
      </c>
      <c r="H206">
        <f t="shared" ca="1" si="18"/>
        <v>349.90121123614813</v>
      </c>
      <c r="I206">
        <f t="shared" ca="1" si="19"/>
        <v>21234.335707530048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1152</v>
      </c>
      <c r="B209" s="66">
        <v>1152</v>
      </c>
      <c r="D209">
        <f t="shared" si="15"/>
        <v>0.65973713598488104</v>
      </c>
      <c r="E209">
        <f t="shared" si="16"/>
        <v>0.65973713598488104</v>
      </c>
      <c r="G209">
        <f t="shared" ca="1" si="17"/>
        <v>207</v>
      </c>
      <c r="H209">
        <f t="shared" ca="1" si="18"/>
        <v>136.56558714887038</v>
      </c>
      <c r="I209">
        <f t="shared" ca="1" si="19"/>
        <v>8613.9722954608915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808</v>
      </c>
      <c r="B211" s="66">
        <v>808</v>
      </c>
      <c r="D211">
        <f t="shared" si="15"/>
        <v>0.46273229676717348</v>
      </c>
      <c r="E211">
        <f t="shared" si="16"/>
        <v>0.46273229676717348</v>
      </c>
      <c r="G211">
        <f t="shared" ca="1" si="17"/>
        <v>209</v>
      </c>
      <c r="H211">
        <f t="shared" ca="1" si="18"/>
        <v>96.711050024339258</v>
      </c>
      <c r="I211">
        <f t="shared" ca="1" si="19"/>
        <v>6255.0932933288759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599</v>
      </c>
      <c r="B214" s="66">
        <v>599</v>
      </c>
      <c r="D214">
        <f t="shared" si="15"/>
        <v>0.34304040317269419</v>
      </c>
      <c r="E214">
        <f t="shared" si="16"/>
        <v>0.34304040317269419</v>
      </c>
      <c r="G214">
        <f t="shared" ca="1" si="17"/>
        <v>212</v>
      </c>
      <c r="H214">
        <f t="shared" ca="1" si="18"/>
        <v>72.724565472611161</v>
      </c>
      <c r="I214">
        <f t="shared" ca="1" si="19"/>
        <v>4879.520373295305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341</v>
      </c>
      <c r="B216" s="66">
        <v>341</v>
      </c>
      <c r="D216">
        <f t="shared" si="15"/>
        <v>0.19528677375941356</v>
      </c>
      <c r="E216">
        <f t="shared" si="16"/>
        <v>0.19528677375941356</v>
      </c>
      <c r="G216">
        <f t="shared" ca="1" si="17"/>
        <v>214</v>
      </c>
      <c r="H216">
        <f t="shared" ca="1" si="18"/>
        <v>41.791369584514499</v>
      </c>
      <c r="I216">
        <f t="shared" ca="1" si="19"/>
        <v>2871.7690665331788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1218</v>
      </c>
      <c r="B219" s="66">
        <v>1218</v>
      </c>
      <c r="D219">
        <f t="shared" si="15"/>
        <v>0.69753457606734814</v>
      </c>
      <c r="E219">
        <f t="shared" si="16"/>
        <v>0.69753457606734814</v>
      </c>
      <c r="G219">
        <f t="shared" ca="1" si="17"/>
        <v>217</v>
      </c>
      <c r="H219">
        <f t="shared" ca="1" si="18"/>
        <v>151.36500300661456</v>
      </c>
      <c r="I219">
        <f t="shared" ca="1" si="19"/>
        <v>10771.321529369723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1489</v>
      </c>
      <c r="B221" s="66">
        <v>1489</v>
      </c>
      <c r="D221">
        <f t="shared" si="15"/>
        <v>0.85273315579990261</v>
      </c>
      <c r="E221">
        <f t="shared" si="16"/>
        <v>0.85273315579990261</v>
      </c>
      <c r="G221">
        <f t="shared" ca="1" si="17"/>
        <v>219</v>
      </c>
      <c r="H221">
        <f t="shared" ca="1" si="18"/>
        <v>186.74856112017866</v>
      </c>
      <c r="I221">
        <f t="shared" ca="1" si="19"/>
        <v>13595.169560998702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338</v>
      </c>
      <c r="B224" s="66">
        <v>338</v>
      </c>
      <c r="D224">
        <f t="shared" si="15"/>
        <v>0.19356870830111961</v>
      </c>
      <c r="E224">
        <f t="shared" si="16"/>
        <v>0.19356870830111961</v>
      </c>
      <c r="G224">
        <f t="shared" ca="1" si="17"/>
        <v>222</v>
      </c>
      <c r="H224">
        <f t="shared" ca="1" si="18"/>
        <v>42.972253242848552</v>
      </c>
      <c r="I224">
        <f t="shared" ca="1" si="19"/>
        <v>3234.4648659996947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69</v>
      </c>
      <c r="B227" s="66">
        <v>69</v>
      </c>
      <c r="D227">
        <f t="shared" si="15"/>
        <v>3.9515505540761102E-2</v>
      </c>
      <c r="E227">
        <f t="shared" si="16"/>
        <v>3.9515505540761102E-2</v>
      </c>
      <c r="G227">
        <f t="shared" ca="1" si="17"/>
        <v>225</v>
      </c>
      <c r="H227">
        <f t="shared" ca="1" si="18"/>
        <v>8.8909887466712476</v>
      </c>
      <c r="I227">
        <f t="shared" ca="1" si="19"/>
        <v>691.29382545294629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70</v>
      </c>
      <c r="B229" s="66">
        <v>70</v>
      </c>
      <c r="D229">
        <f t="shared" si="15"/>
        <v>4.0088194026859092E-2</v>
      </c>
      <c r="E229">
        <f t="shared" si="16"/>
        <v>4.0088194026859092E-2</v>
      </c>
      <c r="G229">
        <f t="shared" ca="1" si="17"/>
        <v>227</v>
      </c>
      <c r="H229">
        <f t="shared" ca="1" si="18"/>
        <v>9.1000200440970147</v>
      </c>
      <c r="I229">
        <f t="shared" ca="1" si="19"/>
        <v>722.68211776233215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483</v>
      </c>
      <c r="B232" s="66">
        <v>483</v>
      </c>
      <c r="D232">
        <f t="shared" si="15"/>
        <v>0.27660853878532771</v>
      </c>
      <c r="E232">
        <f t="shared" si="16"/>
        <v>0.27660853878532771</v>
      </c>
      <c r="G232">
        <f t="shared" ca="1" si="17"/>
        <v>230</v>
      </c>
      <c r="H232">
        <f t="shared" ca="1" si="18"/>
        <v>63.619963920625374</v>
      </c>
      <c r="I232">
        <f t="shared" ca="1" si="19"/>
        <v>5211.8304922260722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393</v>
      </c>
      <c r="B234" s="66">
        <v>393</v>
      </c>
      <c r="D234">
        <f t="shared" si="15"/>
        <v>0.2250665750365089</v>
      </c>
      <c r="E234">
        <f t="shared" si="16"/>
        <v>0.2250665750365089</v>
      </c>
      <c r="G234">
        <f t="shared" ca="1" si="17"/>
        <v>232</v>
      </c>
      <c r="H234">
        <f t="shared" ca="1" si="18"/>
        <v>52.215445408470067</v>
      </c>
      <c r="I234">
        <f t="shared" ca="1" si="19"/>
        <v>4365.157994771761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349</v>
      </c>
      <c r="B1" s="68" t="s">
        <v>350</v>
      </c>
      <c r="C1" s="32" t="s">
        <v>351</v>
      </c>
      <c r="D1" s="32" t="s">
        <v>352</v>
      </c>
      <c r="E1" s="32" t="s">
        <v>353</v>
      </c>
    </row>
    <row r="2" spans="1:5">
      <c r="A2" s="68">
        <v>0.193853</v>
      </c>
      <c r="B2" s="68">
        <v>0.58647400000000005</v>
      </c>
      <c r="C2" s="68">
        <v>0</v>
      </c>
      <c r="D2" s="68">
        <v>1</v>
      </c>
      <c r="E2" s="68" t="s">
        <v>354</v>
      </c>
    </row>
    <row r="3" spans="1:5">
      <c r="A3" s="68">
        <v>0.201046</v>
      </c>
      <c r="B3" s="68">
        <v>0.57411599999999996</v>
      </c>
      <c r="C3" s="68">
        <v>0.40678399999999998</v>
      </c>
      <c r="D3" s="89">
        <v>1</v>
      </c>
      <c r="E3" s="68" t="s">
        <v>355</v>
      </c>
    </row>
    <row r="4" spans="1:5">
      <c r="A4" s="68">
        <v>0.208341</v>
      </c>
      <c r="B4" s="68">
        <v>0.56196299999999999</v>
      </c>
      <c r="C4" s="68">
        <v>0.80868899999999999</v>
      </c>
      <c r="D4" s="89">
        <v>1</v>
      </c>
      <c r="E4" s="68" t="s">
        <v>356</v>
      </c>
    </row>
    <row r="5" spans="1:5">
      <c r="A5" s="89">
        <v>0.21603</v>
      </c>
      <c r="B5" s="89">
        <v>0.54827499999999996</v>
      </c>
      <c r="C5" s="89">
        <v>1.21458</v>
      </c>
      <c r="D5" s="89">
        <v>1</v>
      </c>
      <c r="E5" s="68" t="s">
        <v>357</v>
      </c>
    </row>
    <row r="6" spans="1:5">
      <c r="A6" s="68">
        <v>0.22392300000000001</v>
      </c>
      <c r="B6" s="68">
        <v>0.53399600000000003</v>
      </c>
      <c r="C6" s="68">
        <v>1.62165</v>
      </c>
      <c r="D6" s="68">
        <v>1</v>
      </c>
      <c r="E6" s="68" t="s">
        <v>358</v>
      </c>
    </row>
    <row r="7" spans="1:5">
      <c r="A7" s="68">
        <v>0.23199</v>
      </c>
      <c r="B7" s="68">
        <v>0.51956800000000003</v>
      </c>
      <c r="C7" s="68">
        <v>2.0314299999999998</v>
      </c>
      <c r="D7" s="68">
        <v>1</v>
      </c>
      <c r="E7" s="68" t="s">
        <v>359</v>
      </c>
    </row>
    <row r="8" spans="1:5">
      <c r="A8" s="68">
        <v>0.24032800000000001</v>
      </c>
      <c r="B8" s="68">
        <v>0.50511300000000003</v>
      </c>
      <c r="C8" s="68">
        <v>2.4323600000000001</v>
      </c>
      <c r="D8" s="68">
        <v>1</v>
      </c>
      <c r="E8" s="68" t="s">
        <v>360</v>
      </c>
    </row>
    <row r="9" spans="1:5">
      <c r="A9" s="68">
        <v>0.24853800000000001</v>
      </c>
      <c r="B9" s="68">
        <v>0.49145499999999998</v>
      </c>
      <c r="C9" s="68">
        <v>2.84226</v>
      </c>
      <c r="D9" s="68">
        <v>1</v>
      </c>
      <c r="E9" s="68" t="s">
        <v>361</v>
      </c>
    </row>
    <row r="10" spans="1:5">
      <c r="A10" s="68">
        <v>0.256714</v>
      </c>
      <c r="B10" s="68">
        <v>0.47886000000000001</v>
      </c>
      <c r="C10" s="68">
        <v>3.2461799999999998</v>
      </c>
      <c r="D10" s="68">
        <v>1</v>
      </c>
      <c r="E10" s="68" t="s">
        <v>362</v>
      </c>
    </row>
    <row r="11" spans="1:5">
      <c r="A11" s="68">
        <v>0.26507900000000001</v>
      </c>
      <c r="B11" s="68">
        <v>0.46616000000000002</v>
      </c>
      <c r="C11" s="68">
        <v>3.6560999999999999</v>
      </c>
      <c r="D11" s="68">
        <v>1</v>
      </c>
      <c r="E11" s="68" t="s">
        <v>363</v>
      </c>
    </row>
    <row r="12" spans="1:5">
      <c r="A12" s="68">
        <v>0.27326400000000001</v>
      </c>
      <c r="B12" s="68">
        <v>0.45452799999999999</v>
      </c>
      <c r="C12" s="68">
        <v>4.0579599999999996</v>
      </c>
      <c r="D12" s="68">
        <v>1</v>
      </c>
      <c r="E12" s="68" t="s">
        <v>364</v>
      </c>
    </row>
    <row r="13" spans="1:5">
      <c r="A13" s="68">
        <v>0.28128500000000001</v>
      </c>
      <c r="B13" s="68">
        <v>0.44433400000000001</v>
      </c>
      <c r="C13" s="68">
        <v>4.4628699999999997</v>
      </c>
      <c r="D13" s="68">
        <v>1</v>
      </c>
      <c r="E13" s="68" t="s">
        <v>365</v>
      </c>
    </row>
    <row r="14" spans="1:5">
      <c r="A14" s="68">
        <v>0.28969299999999998</v>
      </c>
      <c r="B14" s="68">
        <v>0.43347000000000002</v>
      </c>
      <c r="C14" s="68">
        <v>4.8783099999999999</v>
      </c>
      <c r="D14" s="68">
        <v>1</v>
      </c>
      <c r="E14" s="68" t="s">
        <v>366</v>
      </c>
    </row>
    <row r="15" spans="1:5">
      <c r="A15" s="68">
        <v>0.29825400000000002</v>
      </c>
      <c r="B15" s="68">
        <v>0.42313299999999998</v>
      </c>
      <c r="C15" s="68">
        <v>5.2786799999999996</v>
      </c>
      <c r="D15" s="68">
        <v>1</v>
      </c>
      <c r="E15" s="68" t="s">
        <v>367</v>
      </c>
    </row>
    <row r="16" spans="1:5">
      <c r="A16" s="68">
        <v>0.30654599999999999</v>
      </c>
      <c r="B16" s="68">
        <v>0.41411199999999998</v>
      </c>
      <c r="C16" s="68">
        <v>5.68459</v>
      </c>
      <c r="D16" s="68">
        <v>1</v>
      </c>
      <c r="E16" s="68" t="s">
        <v>368</v>
      </c>
    </row>
    <row r="17" spans="1:5">
      <c r="A17" s="68">
        <v>0.31467400000000001</v>
      </c>
      <c r="B17" s="68">
        <v>0.40646100000000002</v>
      </c>
      <c r="C17" s="68">
        <v>6.0897100000000002</v>
      </c>
      <c r="D17" s="68">
        <v>1</v>
      </c>
      <c r="E17" s="68" t="s">
        <v>369</v>
      </c>
    </row>
    <row r="18" spans="1:5">
      <c r="A18" s="68">
        <v>0.32267299999999999</v>
      </c>
      <c r="B18" s="68">
        <v>0.39852900000000002</v>
      </c>
      <c r="C18" s="68">
        <v>6.4974699999999999</v>
      </c>
      <c r="D18" s="68">
        <v>1</v>
      </c>
      <c r="E18" s="68" t="s">
        <v>370</v>
      </c>
    </row>
    <row r="19" spans="1:5">
      <c r="A19" s="68">
        <v>0.33024900000000001</v>
      </c>
      <c r="B19" s="68">
        <v>0.391683</v>
      </c>
      <c r="C19" s="68">
        <v>6.9015899999999997</v>
      </c>
      <c r="D19" s="68">
        <v>1</v>
      </c>
      <c r="E19" s="68" t="s">
        <v>371</v>
      </c>
    </row>
    <row r="20" spans="1:5">
      <c r="A20" s="68">
        <v>0.33711099999999999</v>
      </c>
      <c r="B20" s="68">
        <v>0.38727899999999998</v>
      </c>
      <c r="C20" s="68">
        <v>7.3133299999999997</v>
      </c>
      <c r="D20" s="68">
        <v>1</v>
      </c>
      <c r="E20" s="68" t="s">
        <v>372</v>
      </c>
    </row>
    <row r="21" spans="1:5">
      <c r="A21" s="68">
        <v>0.34361599999999998</v>
      </c>
      <c r="B21" s="68">
        <v>0.38401000000000002</v>
      </c>
      <c r="C21" s="68">
        <v>7.71915</v>
      </c>
      <c r="D21" s="68">
        <v>1</v>
      </c>
      <c r="E21" s="68" t="s">
        <v>373</v>
      </c>
    </row>
    <row r="22" spans="1:5">
      <c r="A22" s="68">
        <v>0.34972799999999998</v>
      </c>
      <c r="B22" s="68">
        <v>0.38224000000000002</v>
      </c>
      <c r="C22" s="68">
        <v>8.1241299999999992</v>
      </c>
      <c r="D22" s="68">
        <v>1</v>
      </c>
      <c r="E22" s="68" t="s">
        <v>374</v>
      </c>
    </row>
    <row r="23" spans="1:5">
      <c r="A23" s="68">
        <v>0.355209</v>
      </c>
      <c r="B23" s="68">
        <v>0.38136599999999998</v>
      </c>
      <c r="C23" s="68">
        <v>8.5290700000000008</v>
      </c>
      <c r="D23" s="68">
        <v>1</v>
      </c>
      <c r="E23" s="68" t="s">
        <v>375</v>
      </c>
    </row>
    <row r="24" spans="1:5">
      <c r="A24" s="68">
        <v>0.36024899999999999</v>
      </c>
      <c r="B24" s="68">
        <v>0.38001200000000002</v>
      </c>
      <c r="C24" s="68">
        <v>8.9360900000000001</v>
      </c>
      <c r="D24" s="68">
        <v>1</v>
      </c>
      <c r="E24" s="68" t="s">
        <v>376</v>
      </c>
    </row>
    <row r="25" spans="1:5">
      <c r="A25" s="68">
        <v>0.36508499999999999</v>
      </c>
      <c r="B25" s="68">
        <v>0.37817400000000001</v>
      </c>
      <c r="C25" s="68">
        <v>9.34422</v>
      </c>
      <c r="D25" s="68">
        <v>1</v>
      </c>
      <c r="E25" s="68" t="s">
        <v>377</v>
      </c>
    </row>
    <row r="26" spans="1:5">
      <c r="A26" s="68">
        <v>0.36956899999999998</v>
      </c>
      <c r="B26" s="68">
        <v>0.37702200000000002</v>
      </c>
      <c r="C26" s="68">
        <v>9.7499099999999999</v>
      </c>
      <c r="D26" s="68">
        <v>1</v>
      </c>
      <c r="E26" s="68" t="s">
        <v>378</v>
      </c>
    </row>
    <row r="27" spans="1:5">
      <c r="A27" s="68">
        <v>0.37354999999999999</v>
      </c>
      <c r="B27" s="68">
        <v>0.37678</v>
      </c>
      <c r="C27" s="68">
        <v>10.1517</v>
      </c>
      <c r="D27" s="68">
        <v>1</v>
      </c>
      <c r="E27" s="68" t="s">
        <v>379</v>
      </c>
    </row>
    <row r="28" spans="1:5">
      <c r="A28" s="68">
        <v>0.376753</v>
      </c>
      <c r="B28" s="68">
        <v>0.377164</v>
      </c>
      <c r="C28" s="68">
        <v>10.5586</v>
      </c>
      <c r="D28" s="68">
        <v>1</v>
      </c>
      <c r="E28" s="68" t="s">
        <v>380</v>
      </c>
    </row>
    <row r="29" spans="1:5">
      <c r="A29" s="68">
        <v>0.37946299999999999</v>
      </c>
      <c r="B29" s="68">
        <v>0.37778</v>
      </c>
      <c r="C29" s="68">
        <v>10.9657</v>
      </c>
      <c r="D29" s="68">
        <v>1</v>
      </c>
      <c r="E29" s="68" t="s">
        <v>381</v>
      </c>
    </row>
    <row r="30" spans="1:5">
      <c r="A30" s="68">
        <v>0.381604</v>
      </c>
      <c r="B30" s="68">
        <v>0.377527</v>
      </c>
      <c r="C30" s="68">
        <v>11.375400000000001</v>
      </c>
      <c r="D30" s="68">
        <v>1</v>
      </c>
      <c r="E30" s="68" t="s">
        <v>382</v>
      </c>
    </row>
    <row r="31" spans="1:5">
      <c r="A31" s="68">
        <v>0.38323099999999999</v>
      </c>
      <c r="B31" s="68">
        <v>0.37720100000000001</v>
      </c>
      <c r="C31" s="68">
        <v>11.7758</v>
      </c>
      <c r="D31" s="68">
        <v>1</v>
      </c>
      <c r="E31" s="68" t="s">
        <v>383</v>
      </c>
    </row>
    <row r="32" spans="1:5">
      <c r="A32" s="68">
        <v>0.38457599999999997</v>
      </c>
      <c r="B32" s="68">
        <v>0.37628499999999998</v>
      </c>
      <c r="C32" s="68">
        <v>12.186299999999999</v>
      </c>
      <c r="D32" s="68">
        <v>1</v>
      </c>
      <c r="E32" s="68" t="s">
        <v>384</v>
      </c>
    </row>
    <row r="33" spans="1:5">
      <c r="A33" s="68">
        <v>0.38584499999999999</v>
      </c>
      <c r="B33" s="68">
        <v>0.37522899999999998</v>
      </c>
      <c r="C33" s="68">
        <v>12.5932</v>
      </c>
      <c r="D33" s="68">
        <v>1</v>
      </c>
      <c r="E33" s="68" t="s">
        <v>385</v>
      </c>
    </row>
    <row r="34" spans="1:5">
      <c r="A34" s="68">
        <v>0.38684000000000002</v>
      </c>
      <c r="B34" s="68">
        <v>0.37462000000000001</v>
      </c>
      <c r="C34" s="68">
        <v>12.9962</v>
      </c>
      <c r="D34" s="68">
        <v>1</v>
      </c>
      <c r="E34" s="68" t="s">
        <v>386</v>
      </c>
    </row>
    <row r="35" spans="1:5">
      <c r="A35" s="68">
        <v>0.38807700000000001</v>
      </c>
      <c r="B35" s="68">
        <v>0.37376500000000001</v>
      </c>
      <c r="C35" s="68">
        <v>13.404999999999999</v>
      </c>
      <c r="D35" s="68">
        <v>1</v>
      </c>
      <c r="E35" s="68" t="s">
        <v>387</v>
      </c>
    </row>
    <row r="36" spans="1:5">
      <c r="A36" s="68">
        <v>0.38925999999999999</v>
      </c>
      <c r="B36" s="68">
        <v>0.37337999999999999</v>
      </c>
      <c r="C36" s="68">
        <v>13.815899999999999</v>
      </c>
      <c r="D36" s="68">
        <v>1</v>
      </c>
      <c r="E36" s="68" t="s">
        <v>388</v>
      </c>
    </row>
    <row r="37" spans="1:5">
      <c r="A37" s="68">
        <v>0.39002300000000001</v>
      </c>
      <c r="B37" s="68">
        <v>0.37400899999999998</v>
      </c>
      <c r="C37" s="68">
        <v>14.216799999999999</v>
      </c>
      <c r="D37" s="68">
        <v>1</v>
      </c>
      <c r="E37" s="68" t="s">
        <v>389</v>
      </c>
    </row>
    <row r="38" spans="1:5">
      <c r="A38" s="68">
        <v>0.39083200000000001</v>
      </c>
      <c r="B38" s="68">
        <v>0.3745</v>
      </c>
      <c r="C38" s="68">
        <v>14.623699999999999</v>
      </c>
      <c r="D38" s="68">
        <v>1</v>
      </c>
      <c r="E38" s="68" t="s">
        <v>390</v>
      </c>
    </row>
    <row r="39" spans="1:5">
      <c r="A39" s="68">
        <v>0.39153500000000002</v>
      </c>
      <c r="B39" s="68">
        <v>0.37528800000000001</v>
      </c>
      <c r="C39" s="68">
        <v>15.025700000000001</v>
      </c>
      <c r="D39" s="68">
        <v>1</v>
      </c>
      <c r="E39" s="68" t="s">
        <v>391</v>
      </c>
    </row>
    <row r="40" spans="1:5">
      <c r="A40" s="68">
        <v>0.39186300000000002</v>
      </c>
      <c r="B40" s="68">
        <v>0.37639600000000001</v>
      </c>
      <c r="C40" s="68">
        <v>15.4376</v>
      </c>
      <c r="D40" s="68">
        <v>1</v>
      </c>
      <c r="E40" s="68" t="s">
        <v>392</v>
      </c>
    </row>
    <row r="41" spans="1:5">
      <c r="A41" s="68">
        <v>0.39202199999999998</v>
      </c>
      <c r="B41" s="68">
        <v>0.37781100000000001</v>
      </c>
      <c r="C41" s="68">
        <v>15.8446</v>
      </c>
      <c r="D41" s="68">
        <v>1</v>
      </c>
      <c r="E41" s="68" t="s">
        <v>393</v>
      </c>
    </row>
    <row r="42" spans="1:5">
      <c r="A42" s="68">
        <v>0.39201599999999998</v>
      </c>
      <c r="B42" s="68">
        <v>0.37956699999999999</v>
      </c>
      <c r="C42" s="68">
        <v>16.250399999999999</v>
      </c>
      <c r="D42" s="68">
        <v>1</v>
      </c>
      <c r="E42" s="68" t="s">
        <v>394</v>
      </c>
    </row>
    <row r="43" spans="1:5">
      <c r="A43" s="68">
        <v>0.39161200000000002</v>
      </c>
      <c r="B43" s="68">
        <v>0.38202199999999997</v>
      </c>
      <c r="C43" s="68">
        <v>16.653400000000001</v>
      </c>
      <c r="D43" s="68">
        <v>1</v>
      </c>
      <c r="E43" s="68" t="s">
        <v>395</v>
      </c>
    </row>
    <row r="44" spans="1:5">
      <c r="A44" s="68">
        <v>0.391094</v>
      </c>
      <c r="B44" s="68">
        <v>0.38456499999999999</v>
      </c>
      <c r="C44" s="68">
        <v>17.061599999999999</v>
      </c>
      <c r="D44" s="68">
        <v>1</v>
      </c>
      <c r="E44" s="68" t="s">
        <v>396</v>
      </c>
    </row>
    <row r="45" spans="1:5">
      <c r="A45" s="68">
        <v>0.39043699999999998</v>
      </c>
      <c r="B45" s="68">
        <v>0.38694699999999999</v>
      </c>
      <c r="C45" s="68">
        <v>17.466200000000001</v>
      </c>
      <c r="D45" s="68">
        <v>1</v>
      </c>
      <c r="E45" s="68" t="s">
        <v>397</v>
      </c>
    </row>
    <row r="46" spans="1:5">
      <c r="A46" s="68">
        <v>0.38988099999999998</v>
      </c>
      <c r="B46" s="68">
        <v>0.388604</v>
      </c>
      <c r="C46" s="68">
        <v>17.873999999999999</v>
      </c>
      <c r="D46" s="68">
        <v>1</v>
      </c>
      <c r="E46" s="68" t="s">
        <v>398</v>
      </c>
    </row>
    <row r="47" spans="1:5">
      <c r="A47" s="68">
        <v>0.38968700000000001</v>
      </c>
      <c r="B47" s="68">
        <v>0.389905</v>
      </c>
      <c r="C47" s="68">
        <v>18.280899999999999</v>
      </c>
      <c r="D47" s="68">
        <v>1</v>
      </c>
      <c r="E47" s="68" t="s">
        <v>399</v>
      </c>
    </row>
    <row r="48" spans="1:5">
      <c r="A48" s="68">
        <v>0.38961099999999999</v>
      </c>
      <c r="B48" s="68">
        <v>0.39103500000000002</v>
      </c>
      <c r="C48" s="68">
        <v>18.683800000000002</v>
      </c>
      <c r="D48" s="68">
        <v>1</v>
      </c>
      <c r="E48" s="68" t="s">
        <v>400</v>
      </c>
    </row>
    <row r="49" spans="1:5">
      <c r="A49" s="68">
        <v>0.38926899999999998</v>
      </c>
      <c r="B49" s="68">
        <v>0.39243</v>
      </c>
      <c r="C49" s="68">
        <v>19.088699999999999</v>
      </c>
      <c r="D49" s="68">
        <v>1</v>
      </c>
      <c r="E49" s="68" t="s">
        <v>401</v>
      </c>
    </row>
    <row r="50" spans="1:5">
      <c r="A50" s="68">
        <v>0.38867600000000002</v>
      </c>
      <c r="B50" s="68">
        <v>0.39405400000000002</v>
      </c>
      <c r="C50" s="68">
        <v>19.500699999999998</v>
      </c>
      <c r="D50" s="68">
        <v>1</v>
      </c>
      <c r="E50" s="68" t="s">
        <v>402</v>
      </c>
    </row>
    <row r="51" spans="1:5">
      <c r="A51" s="68">
        <v>0.38805899999999999</v>
      </c>
      <c r="B51" s="68">
        <v>0.39537600000000001</v>
      </c>
      <c r="C51" s="68">
        <v>19.904599999999999</v>
      </c>
      <c r="D51" s="68">
        <v>1</v>
      </c>
      <c r="E51" s="68" t="s">
        <v>403</v>
      </c>
    </row>
    <row r="52" spans="1:5">
      <c r="A52" s="68">
        <v>0.387658</v>
      </c>
      <c r="B52" s="68">
        <v>0.39641999999999999</v>
      </c>
      <c r="C52" s="68">
        <v>20.311699999999998</v>
      </c>
      <c r="D52" s="68">
        <v>1</v>
      </c>
      <c r="E52" s="68" t="s">
        <v>404</v>
      </c>
    </row>
    <row r="53" spans="1:5">
      <c r="A53" s="68">
        <v>0.38743100000000003</v>
      </c>
      <c r="B53" s="68">
        <v>0.39687299999999998</v>
      </c>
      <c r="C53" s="68">
        <v>20.7165</v>
      </c>
      <c r="D53" s="68">
        <v>1</v>
      </c>
      <c r="E53" s="68" t="s">
        <v>405</v>
      </c>
    </row>
    <row r="54" spans="1:5">
      <c r="A54" s="68">
        <v>0.38728499999999999</v>
      </c>
      <c r="B54" s="68">
        <v>0.396949</v>
      </c>
      <c r="C54" s="68">
        <v>21.1204</v>
      </c>
      <c r="D54" s="68">
        <v>1</v>
      </c>
      <c r="E54" s="68" t="s">
        <v>406</v>
      </c>
    </row>
    <row r="55" spans="1:5">
      <c r="A55" s="68">
        <v>0.387293</v>
      </c>
      <c r="B55" s="68">
        <v>0.39734000000000003</v>
      </c>
      <c r="C55" s="68">
        <v>21.5276</v>
      </c>
      <c r="D55" s="68">
        <v>1</v>
      </c>
      <c r="E55" s="68" t="s">
        <v>407</v>
      </c>
    </row>
    <row r="56" spans="1:5">
      <c r="A56" s="68">
        <v>0.38762600000000003</v>
      </c>
      <c r="B56" s="68">
        <v>0.39774300000000001</v>
      </c>
      <c r="C56" s="68">
        <v>21.935199999999998</v>
      </c>
      <c r="D56" s="68">
        <v>1</v>
      </c>
      <c r="E56" s="68" t="s">
        <v>408</v>
      </c>
    </row>
    <row r="57" spans="1:5">
      <c r="A57" s="68">
        <v>0.38775999999999999</v>
      </c>
      <c r="B57" s="68">
        <v>0.39823500000000001</v>
      </c>
      <c r="C57" s="68">
        <v>22.3414</v>
      </c>
      <c r="D57" s="68">
        <v>1</v>
      </c>
      <c r="E57" s="68" t="s">
        <v>409</v>
      </c>
    </row>
    <row r="58" spans="1:5">
      <c r="A58" s="68">
        <v>0.38752599999999998</v>
      </c>
      <c r="B58" s="68">
        <v>0.398484</v>
      </c>
      <c r="C58" s="68">
        <v>22.7471</v>
      </c>
      <c r="D58" s="68">
        <v>1</v>
      </c>
      <c r="E58" s="68" t="s">
        <v>410</v>
      </c>
    </row>
    <row r="59" spans="1:5">
      <c r="A59" s="68">
        <v>0.38724799999999998</v>
      </c>
      <c r="B59" s="68">
        <v>0.398505</v>
      </c>
      <c r="C59" s="68">
        <v>23.157</v>
      </c>
      <c r="D59" s="68">
        <v>1</v>
      </c>
      <c r="E59" s="68" t="s">
        <v>411</v>
      </c>
    </row>
    <row r="60" spans="1:5">
      <c r="A60" s="68">
        <v>0.386355</v>
      </c>
      <c r="B60" s="68">
        <v>0.39860400000000001</v>
      </c>
      <c r="C60" s="68">
        <v>23.561900000000001</v>
      </c>
      <c r="D60" s="68">
        <v>1</v>
      </c>
      <c r="E60" s="68" t="s">
        <v>412</v>
      </c>
    </row>
    <row r="61" spans="1:5">
      <c r="A61" s="68">
        <v>0.38501099999999999</v>
      </c>
      <c r="B61" s="68">
        <v>0.398424</v>
      </c>
      <c r="C61" s="68">
        <v>23.966799999999999</v>
      </c>
      <c r="D61" s="68">
        <v>1</v>
      </c>
      <c r="E61" s="68" t="s">
        <v>413</v>
      </c>
    </row>
    <row r="62" spans="1:5">
      <c r="A62" s="68">
        <v>0.38383899999999999</v>
      </c>
      <c r="B62" s="68">
        <v>0.39754</v>
      </c>
      <c r="C62" s="68">
        <v>24.373799999999999</v>
      </c>
      <c r="D62" s="68">
        <v>1</v>
      </c>
      <c r="E62" s="68" t="s">
        <v>414</v>
      </c>
    </row>
    <row r="63" spans="1:5">
      <c r="A63" s="68">
        <v>0.38242399999999999</v>
      </c>
      <c r="B63" s="68">
        <v>0.39727600000000002</v>
      </c>
      <c r="C63" s="68">
        <v>24.778700000000001</v>
      </c>
      <c r="D63" s="68">
        <v>1</v>
      </c>
      <c r="E63" s="68" t="s">
        <v>415</v>
      </c>
    </row>
    <row r="64" spans="1:5">
      <c r="A64" s="68">
        <v>0.38042900000000002</v>
      </c>
      <c r="B64" s="68">
        <v>0.39690900000000001</v>
      </c>
      <c r="C64" s="68">
        <v>25.186499999999999</v>
      </c>
      <c r="D64" s="68">
        <v>1</v>
      </c>
      <c r="E64" s="68" t="s">
        <v>416</v>
      </c>
    </row>
    <row r="65" spans="1:5">
      <c r="A65" s="68">
        <v>0.37828000000000001</v>
      </c>
      <c r="B65" s="68">
        <v>0.39684799999999998</v>
      </c>
      <c r="C65" s="68">
        <v>25.592500000000001</v>
      </c>
      <c r="D65" s="68">
        <v>1</v>
      </c>
      <c r="E65" s="68" t="s">
        <v>417</v>
      </c>
    </row>
    <row r="66" spans="1:5">
      <c r="A66" s="68">
        <v>0.37601000000000001</v>
      </c>
      <c r="B66" s="68">
        <v>0.39667799999999998</v>
      </c>
      <c r="C66" s="68">
        <v>25.997399999999999</v>
      </c>
      <c r="D66" s="68">
        <v>1</v>
      </c>
      <c r="E66" s="68" t="s">
        <v>418</v>
      </c>
    </row>
    <row r="67" spans="1:5">
      <c r="A67" s="68">
        <v>0.37364999999999998</v>
      </c>
      <c r="B67" s="68">
        <v>0.39682299999999998</v>
      </c>
      <c r="C67" s="68">
        <v>26.4023</v>
      </c>
      <c r="D67" s="68">
        <v>1</v>
      </c>
      <c r="E67" s="68" t="s">
        <v>419</v>
      </c>
    </row>
    <row r="68" spans="1:5">
      <c r="A68" s="68">
        <v>0.37141099999999999</v>
      </c>
      <c r="B68" s="68">
        <v>0.39693099999999998</v>
      </c>
      <c r="C68" s="68">
        <v>26.810400000000001</v>
      </c>
      <c r="D68" s="68">
        <v>1</v>
      </c>
      <c r="E68" s="68" t="s">
        <v>420</v>
      </c>
    </row>
    <row r="69" spans="1:5">
      <c r="A69" s="68">
        <v>0.36924400000000002</v>
      </c>
      <c r="B69" s="68">
        <v>0.397424</v>
      </c>
      <c r="C69" s="68">
        <v>27.2194</v>
      </c>
      <c r="D69" s="68">
        <v>1</v>
      </c>
      <c r="E69" s="68" t="s">
        <v>421</v>
      </c>
    </row>
    <row r="70" spans="1:5">
      <c r="A70" s="68">
        <v>0.36734699999999998</v>
      </c>
      <c r="B70" s="68">
        <v>0.39745799999999998</v>
      </c>
      <c r="C70" s="68">
        <v>27.627199999999998</v>
      </c>
      <c r="D70" s="68">
        <v>1</v>
      </c>
      <c r="E70" s="68" t="s">
        <v>422</v>
      </c>
    </row>
    <row r="71" spans="1:5">
      <c r="A71" s="68">
        <v>0.36520900000000001</v>
      </c>
      <c r="B71" s="68">
        <v>0.39779900000000001</v>
      </c>
      <c r="C71" s="68">
        <v>28.0289</v>
      </c>
      <c r="D71" s="68">
        <v>1</v>
      </c>
      <c r="E71" s="68" t="s">
        <v>423</v>
      </c>
    </row>
    <row r="72" spans="1:5">
      <c r="A72" s="68">
        <v>0.36268400000000001</v>
      </c>
      <c r="B72" s="68">
        <v>0.39837699999999998</v>
      </c>
      <c r="C72" s="68">
        <v>28.434799999999999</v>
      </c>
      <c r="D72" s="68">
        <v>1</v>
      </c>
      <c r="E72" s="68" t="s">
        <v>424</v>
      </c>
    </row>
    <row r="73" spans="1:5">
      <c r="A73" s="68">
        <v>0.36016399999999998</v>
      </c>
      <c r="B73" s="68">
        <v>0.39899299999999999</v>
      </c>
      <c r="C73" s="68">
        <v>28.838899999999999</v>
      </c>
      <c r="D73" s="68">
        <v>1</v>
      </c>
      <c r="E73" s="68" t="s">
        <v>425</v>
      </c>
    </row>
    <row r="74" spans="1:5">
      <c r="A74" s="68">
        <v>0.357796</v>
      </c>
      <c r="B74" s="68">
        <v>0.39961999999999998</v>
      </c>
      <c r="C74" s="68">
        <v>29.251799999999999</v>
      </c>
      <c r="D74" s="68">
        <v>1</v>
      </c>
      <c r="E74" s="68" t="s">
        <v>426</v>
      </c>
    </row>
    <row r="75" spans="1:5">
      <c r="A75" s="68">
        <v>0.35563600000000001</v>
      </c>
      <c r="B75" s="68">
        <v>0.400447</v>
      </c>
      <c r="C75" s="68">
        <v>29.654599999999999</v>
      </c>
      <c r="D75" s="68">
        <v>1</v>
      </c>
      <c r="E75" s="68" t="s">
        <v>427</v>
      </c>
    </row>
    <row r="76" spans="1:5">
      <c r="A76" s="68">
        <v>0.35364099999999998</v>
      </c>
      <c r="B76" s="68">
        <v>0.40135399999999999</v>
      </c>
      <c r="C76" s="68">
        <v>30.061599999999999</v>
      </c>
      <c r="D76" s="68">
        <v>2</v>
      </c>
      <c r="E76" s="68" t="s">
        <v>428</v>
      </c>
    </row>
    <row r="77" spans="1:5">
      <c r="A77" s="68">
        <v>0.35159299999999999</v>
      </c>
      <c r="B77" s="68">
        <v>0.40262100000000001</v>
      </c>
      <c r="C77" s="68">
        <v>30.497399999999999</v>
      </c>
      <c r="D77" s="68">
        <v>2</v>
      </c>
      <c r="E77" s="68" t="s">
        <v>429</v>
      </c>
    </row>
    <row r="78" spans="1:5">
      <c r="A78" s="68">
        <v>0.349887</v>
      </c>
      <c r="B78" s="68">
        <v>0.40401500000000001</v>
      </c>
      <c r="C78" s="68">
        <v>30.904299999999999</v>
      </c>
      <c r="D78" s="68">
        <v>2</v>
      </c>
      <c r="E78" s="68" t="s">
        <v>430</v>
      </c>
    </row>
    <row r="79" spans="1:5">
      <c r="A79" s="68">
        <v>0.34828300000000001</v>
      </c>
      <c r="B79" s="68">
        <v>0.40543299999999999</v>
      </c>
      <c r="C79" s="68">
        <v>31.311199999999999</v>
      </c>
      <c r="D79" s="68">
        <v>2</v>
      </c>
      <c r="E79" s="68" t="s">
        <v>431</v>
      </c>
    </row>
    <row r="80" spans="1:5">
      <c r="A80" s="68">
        <v>0.34673700000000002</v>
      </c>
      <c r="B80" s="68">
        <v>0.40676000000000001</v>
      </c>
      <c r="C80" s="68">
        <v>31.716999999999999</v>
      </c>
      <c r="D80" s="68">
        <v>2</v>
      </c>
      <c r="E80" s="68" t="s">
        <v>432</v>
      </c>
    </row>
    <row r="81" spans="1:5">
      <c r="A81" s="68">
        <v>0.34510600000000002</v>
      </c>
      <c r="B81" s="68">
        <v>0.40838099999999999</v>
      </c>
      <c r="C81" s="68">
        <v>32.125999999999998</v>
      </c>
      <c r="D81" s="68">
        <v>2</v>
      </c>
      <c r="E81" s="68" t="s">
        <v>433</v>
      </c>
    </row>
    <row r="82" spans="1:5">
      <c r="A82" s="68">
        <v>0.34390399999999999</v>
      </c>
      <c r="B82" s="68">
        <v>0.41011799999999998</v>
      </c>
      <c r="C82" s="68">
        <v>32.529899999999998</v>
      </c>
      <c r="D82" s="68">
        <v>2</v>
      </c>
      <c r="E82" s="68" t="s">
        <v>434</v>
      </c>
    </row>
    <row r="83" spans="1:5">
      <c r="A83" s="68">
        <v>0.34317500000000001</v>
      </c>
      <c r="B83" s="68">
        <v>0.41117399999999998</v>
      </c>
      <c r="C83" s="68">
        <v>32.935000000000002</v>
      </c>
      <c r="D83" s="68">
        <v>2</v>
      </c>
      <c r="E83" s="68" t="s">
        <v>435</v>
      </c>
    </row>
    <row r="84" spans="1:5">
      <c r="A84" s="68">
        <v>0.34252300000000002</v>
      </c>
      <c r="B84" s="68">
        <v>0.41195500000000002</v>
      </c>
      <c r="C84" s="68">
        <v>33.344799999999999</v>
      </c>
      <c r="D84" s="68">
        <v>2</v>
      </c>
      <c r="E84" s="68" t="s">
        <v>436</v>
      </c>
    </row>
    <row r="85" spans="1:5">
      <c r="A85" s="68">
        <v>0.34191899999999997</v>
      </c>
      <c r="B85" s="68">
        <v>0.41263300000000003</v>
      </c>
      <c r="C85" s="68">
        <v>33.749699999999997</v>
      </c>
      <c r="D85" s="68">
        <v>2</v>
      </c>
      <c r="E85" s="68" t="s">
        <v>437</v>
      </c>
    </row>
    <row r="86" spans="1:5">
      <c r="A86" s="68">
        <v>0.34160099999999999</v>
      </c>
      <c r="B86" s="68">
        <v>0.41287800000000002</v>
      </c>
      <c r="C86" s="68">
        <v>34.156500000000001</v>
      </c>
      <c r="D86" s="68">
        <v>2</v>
      </c>
      <c r="E86" s="68" t="s">
        <v>438</v>
      </c>
    </row>
    <row r="87" spans="1:5">
      <c r="A87" s="68">
        <v>0.34166299999999999</v>
      </c>
      <c r="B87" s="68">
        <v>0.41270099999999998</v>
      </c>
      <c r="C87" s="68">
        <v>34.5625</v>
      </c>
      <c r="D87" s="68">
        <v>2</v>
      </c>
      <c r="E87" s="68" t="s">
        <v>439</v>
      </c>
    </row>
    <row r="88" spans="1:5">
      <c r="A88" s="68">
        <v>0.34171800000000002</v>
      </c>
      <c r="B88" s="68">
        <v>0.41189799999999999</v>
      </c>
      <c r="C88" s="68">
        <v>34.964500000000001</v>
      </c>
      <c r="D88" s="68">
        <v>2</v>
      </c>
      <c r="E88" s="68" t="s">
        <v>440</v>
      </c>
    </row>
    <row r="89" spans="1:5">
      <c r="A89" s="68">
        <v>0.34207500000000002</v>
      </c>
      <c r="B89" s="68">
        <v>0.41080699999999998</v>
      </c>
      <c r="C89" s="68">
        <v>35.376300000000001</v>
      </c>
      <c r="D89" s="68">
        <v>2</v>
      </c>
      <c r="E89" s="68" t="s">
        <v>441</v>
      </c>
    </row>
    <row r="90" spans="1:5">
      <c r="A90" s="68">
        <v>0.34272799999999998</v>
      </c>
      <c r="B90" s="68">
        <v>0.40943800000000002</v>
      </c>
      <c r="C90" s="68">
        <v>35.782200000000003</v>
      </c>
      <c r="D90" s="68">
        <v>2</v>
      </c>
      <c r="E90" s="68" t="s">
        <v>442</v>
      </c>
    </row>
    <row r="91" spans="1:5">
      <c r="A91" s="68">
        <v>0.34350799999999998</v>
      </c>
      <c r="B91" s="68">
        <v>0.408134</v>
      </c>
      <c r="C91" s="68">
        <v>36.186999999999998</v>
      </c>
      <c r="D91" s="68">
        <v>2</v>
      </c>
      <c r="E91" s="68" t="s">
        <v>443</v>
      </c>
    </row>
    <row r="92" spans="1:5">
      <c r="A92" s="68">
        <v>0.34446599999999999</v>
      </c>
      <c r="B92" s="68">
        <v>0.40590700000000002</v>
      </c>
      <c r="C92" s="68">
        <v>36.591000000000001</v>
      </c>
      <c r="D92" s="68">
        <v>2</v>
      </c>
      <c r="E92" s="68" t="s">
        <v>444</v>
      </c>
    </row>
    <row r="93" spans="1:5">
      <c r="A93" s="68">
        <v>0.34539399999999998</v>
      </c>
      <c r="B93" s="68">
        <v>0.40401999999999999</v>
      </c>
      <c r="C93" s="68">
        <v>36.997999999999998</v>
      </c>
      <c r="D93" s="68">
        <v>2</v>
      </c>
      <c r="E93" s="68" t="s">
        <v>445</v>
      </c>
    </row>
    <row r="94" spans="1:5">
      <c r="A94" s="68">
        <v>0.34646300000000002</v>
      </c>
      <c r="B94" s="68">
        <v>0.401472</v>
      </c>
      <c r="C94" s="68">
        <v>37.404800000000002</v>
      </c>
      <c r="D94" s="68">
        <v>2</v>
      </c>
      <c r="E94" s="68" t="s">
        <v>446</v>
      </c>
    </row>
    <row r="95" spans="1:5">
      <c r="A95" s="68">
        <v>0.34768199999999999</v>
      </c>
      <c r="B95" s="68">
        <v>0.399034</v>
      </c>
      <c r="C95" s="68">
        <v>37.811</v>
      </c>
      <c r="D95" s="68">
        <v>2</v>
      </c>
      <c r="E95" s="68" t="s">
        <v>447</v>
      </c>
    </row>
    <row r="96" spans="1:5">
      <c r="A96" s="68">
        <v>0.34920699999999999</v>
      </c>
      <c r="B96" s="68">
        <v>0.39632499999999998</v>
      </c>
      <c r="C96" s="68">
        <v>38.216700000000003</v>
      </c>
      <c r="D96" s="68">
        <v>2</v>
      </c>
      <c r="E96" s="68" t="s">
        <v>448</v>
      </c>
    </row>
    <row r="97" spans="1:5">
      <c r="A97" s="68">
        <v>0.35050700000000001</v>
      </c>
      <c r="B97" s="68">
        <v>0.39432200000000001</v>
      </c>
      <c r="C97" s="68">
        <v>38.624600000000001</v>
      </c>
      <c r="D97" s="68">
        <v>2</v>
      </c>
      <c r="E97" s="68" t="s">
        <v>449</v>
      </c>
    </row>
    <row r="98" spans="1:5">
      <c r="A98" s="68">
        <v>0.35179500000000002</v>
      </c>
      <c r="B98" s="68">
        <v>0.39201200000000003</v>
      </c>
      <c r="C98" s="68">
        <v>39.025500000000001</v>
      </c>
      <c r="D98" s="68">
        <v>2</v>
      </c>
      <c r="E98" s="68" t="s">
        <v>450</v>
      </c>
    </row>
    <row r="99" spans="1:5">
      <c r="A99" s="68">
        <v>0.35318899999999998</v>
      </c>
      <c r="B99" s="68">
        <v>0.38963500000000001</v>
      </c>
      <c r="C99" s="68">
        <v>39.438400000000001</v>
      </c>
      <c r="D99" s="68">
        <v>2</v>
      </c>
      <c r="E99" s="68" t="s">
        <v>451</v>
      </c>
    </row>
    <row r="100" spans="1:5">
      <c r="A100" s="68">
        <v>0.35480099999999998</v>
      </c>
      <c r="B100" s="68">
        <v>0.38708199999999998</v>
      </c>
      <c r="C100" s="68">
        <v>39.842399999999998</v>
      </c>
      <c r="D100" s="68">
        <v>2</v>
      </c>
      <c r="E100" s="68" t="s">
        <v>452</v>
      </c>
    </row>
    <row r="101" spans="1:5">
      <c r="A101" s="68">
        <v>0.35645199999999999</v>
      </c>
      <c r="B101" s="68">
        <v>0.38454100000000002</v>
      </c>
      <c r="C101" s="68">
        <v>40.247300000000003</v>
      </c>
      <c r="D101" s="68">
        <v>2</v>
      </c>
      <c r="E101" s="68" t="s">
        <v>453</v>
      </c>
    </row>
    <row r="102" spans="1:5">
      <c r="A102" s="68">
        <v>0.35811100000000001</v>
      </c>
      <c r="B102" s="68">
        <v>0.38166899999999998</v>
      </c>
      <c r="C102" s="68">
        <v>40.6571</v>
      </c>
      <c r="D102" s="68">
        <v>2</v>
      </c>
      <c r="E102" s="68" t="s">
        <v>454</v>
      </c>
    </row>
    <row r="103" spans="1:5">
      <c r="A103" s="68">
        <v>0.35983799999999999</v>
      </c>
      <c r="B103" s="68">
        <v>0.37921100000000002</v>
      </c>
      <c r="C103" s="68">
        <v>41.061199999999999</v>
      </c>
      <c r="D103" s="68">
        <v>2</v>
      </c>
      <c r="E103" s="68" t="s">
        <v>455</v>
      </c>
    </row>
    <row r="104" spans="1:5">
      <c r="A104" s="68">
        <v>0.36113299999999998</v>
      </c>
      <c r="B104" s="68">
        <v>0.37704700000000002</v>
      </c>
      <c r="C104" s="68">
        <v>41.466900000000003</v>
      </c>
      <c r="D104" s="68">
        <v>2</v>
      </c>
      <c r="E104" s="68" t="s">
        <v>456</v>
      </c>
    </row>
    <row r="105" spans="1:5">
      <c r="A105" s="68">
        <v>0.36243500000000001</v>
      </c>
      <c r="B105" s="68">
        <v>0.37452200000000002</v>
      </c>
      <c r="C105" s="68">
        <v>41.873800000000003</v>
      </c>
      <c r="D105" s="68">
        <v>2</v>
      </c>
      <c r="E105" s="68" t="s">
        <v>457</v>
      </c>
    </row>
    <row r="106" spans="1:5">
      <c r="A106" s="68">
        <v>0.363483</v>
      </c>
      <c r="B106" s="68">
        <v>0.37204399999999999</v>
      </c>
      <c r="C106" s="68">
        <v>42.28</v>
      </c>
      <c r="D106" s="68">
        <v>2</v>
      </c>
      <c r="E106" s="68" t="s">
        <v>458</v>
      </c>
    </row>
    <row r="107" spans="1:5">
      <c r="A107" s="68">
        <v>0.36440800000000001</v>
      </c>
      <c r="B107" s="68">
        <v>0.36923699999999998</v>
      </c>
      <c r="C107" s="68">
        <v>42.686700000000002</v>
      </c>
      <c r="D107" s="68">
        <v>2</v>
      </c>
      <c r="E107" s="68" t="s">
        <v>459</v>
      </c>
    </row>
    <row r="108" spans="1:5">
      <c r="A108" s="68">
        <v>0.36473800000000001</v>
      </c>
      <c r="B108" s="68">
        <v>0.36690800000000001</v>
      </c>
      <c r="C108" s="68">
        <v>43.095599999999997</v>
      </c>
      <c r="D108" s="68">
        <v>2</v>
      </c>
      <c r="E108" s="68" t="s">
        <v>460</v>
      </c>
    </row>
    <row r="109" spans="1:5">
      <c r="A109" s="68">
        <v>0.36486600000000002</v>
      </c>
      <c r="B109" s="68">
        <v>0.36435800000000002</v>
      </c>
      <c r="C109" s="68">
        <v>43.499600000000001</v>
      </c>
      <c r="D109" s="68">
        <v>2</v>
      </c>
      <c r="E109" s="68" t="s">
        <v>461</v>
      </c>
    </row>
    <row r="110" spans="1:5">
      <c r="A110" s="68">
        <v>0.36504300000000001</v>
      </c>
      <c r="B110" s="68">
        <v>0.36228199999999999</v>
      </c>
      <c r="C110" s="68">
        <v>43.903500000000001</v>
      </c>
      <c r="D110" s="68">
        <v>2</v>
      </c>
      <c r="E110" s="68" t="s">
        <v>462</v>
      </c>
    </row>
    <row r="111" spans="1:5">
      <c r="A111" s="68">
        <v>0.36529499999999998</v>
      </c>
      <c r="B111" s="68">
        <v>0.36032599999999998</v>
      </c>
      <c r="C111" s="68">
        <v>44.312800000000003</v>
      </c>
      <c r="D111" s="68">
        <v>2</v>
      </c>
      <c r="E111" s="68" t="s">
        <v>463</v>
      </c>
    </row>
    <row r="112" spans="1:5">
      <c r="A112" s="68">
        <v>0.36525400000000002</v>
      </c>
      <c r="B112" s="68">
        <v>0.35872399999999999</v>
      </c>
      <c r="C112" s="68">
        <v>44.717199999999998</v>
      </c>
      <c r="D112" s="68">
        <v>2</v>
      </c>
      <c r="E112" s="68" t="s">
        <v>464</v>
      </c>
    </row>
    <row r="113" spans="1:5">
      <c r="A113" s="68">
        <v>0.36533599999999999</v>
      </c>
      <c r="B113" s="68">
        <v>0.35737000000000002</v>
      </c>
      <c r="C113" s="68">
        <v>45.122199999999999</v>
      </c>
      <c r="D113" s="68">
        <v>2</v>
      </c>
      <c r="E113" s="68" t="s">
        <v>465</v>
      </c>
    </row>
    <row r="114" spans="1:5">
      <c r="A114" s="68">
        <v>0.36576799999999998</v>
      </c>
      <c r="B114" s="68">
        <v>0.35663299999999998</v>
      </c>
      <c r="C114" s="68">
        <v>45.530200000000001</v>
      </c>
      <c r="D114" s="68">
        <v>2</v>
      </c>
      <c r="E114" s="68" t="s">
        <v>466</v>
      </c>
    </row>
    <row r="115" spans="1:5">
      <c r="A115" s="68">
        <v>0.36654100000000001</v>
      </c>
      <c r="B115" s="68">
        <v>0.35556500000000002</v>
      </c>
      <c r="C115" s="68">
        <v>45.935000000000002</v>
      </c>
      <c r="D115" s="68">
        <v>2</v>
      </c>
      <c r="E115" s="68" t="s">
        <v>467</v>
      </c>
    </row>
    <row r="116" spans="1:5">
      <c r="A116" s="68">
        <v>0.367479</v>
      </c>
      <c r="B116" s="68">
        <v>0.35428799999999999</v>
      </c>
      <c r="C116" s="68">
        <v>46.341099999999997</v>
      </c>
      <c r="D116" s="68">
        <v>2</v>
      </c>
      <c r="E116" s="68" t="s">
        <v>468</v>
      </c>
    </row>
    <row r="117" spans="1:5">
      <c r="A117" s="68">
        <v>0.368504</v>
      </c>
      <c r="B117" s="68">
        <v>0.35318699999999997</v>
      </c>
      <c r="C117" s="68">
        <v>46.750900000000001</v>
      </c>
      <c r="D117" s="68">
        <v>2</v>
      </c>
      <c r="E117" s="68" t="s">
        <v>469</v>
      </c>
    </row>
    <row r="118" spans="1:5">
      <c r="A118" s="68">
        <v>0.36969400000000002</v>
      </c>
      <c r="B118" s="68">
        <v>0.35142000000000001</v>
      </c>
      <c r="C118" s="68">
        <v>47.151800000000001</v>
      </c>
      <c r="D118" s="68">
        <v>2</v>
      </c>
      <c r="E118" s="68" t="s">
        <v>470</v>
      </c>
    </row>
    <row r="119" spans="1:5">
      <c r="A119" s="68">
        <v>0.37096000000000001</v>
      </c>
      <c r="B119" s="68">
        <v>0.349159</v>
      </c>
      <c r="C119" s="68">
        <v>47.558700000000002</v>
      </c>
      <c r="D119" s="68">
        <v>2</v>
      </c>
      <c r="E119" s="68" t="s">
        <v>471</v>
      </c>
    </row>
    <row r="120" spans="1:5">
      <c r="A120" s="68">
        <v>0.37237500000000001</v>
      </c>
      <c r="B120" s="68">
        <v>0.346107</v>
      </c>
      <c r="C120" s="68">
        <v>47.966700000000003</v>
      </c>
      <c r="D120" s="68">
        <v>2</v>
      </c>
      <c r="E120" s="68" t="s">
        <v>472</v>
      </c>
    </row>
    <row r="121" spans="1:5">
      <c r="A121" s="68">
        <v>0.37357299999999999</v>
      </c>
      <c r="B121" s="68">
        <v>0.34402500000000003</v>
      </c>
      <c r="C121" s="68">
        <v>48.3705</v>
      </c>
      <c r="D121" s="68">
        <v>2</v>
      </c>
      <c r="E121" s="68" t="s">
        <v>473</v>
      </c>
    </row>
    <row r="122" spans="1:5">
      <c r="A122" s="68">
        <v>0.37503500000000001</v>
      </c>
      <c r="B122" s="68">
        <v>0.342109</v>
      </c>
      <c r="C122" s="68">
        <v>48.780500000000004</v>
      </c>
      <c r="D122" s="68">
        <v>2</v>
      </c>
      <c r="E122" s="68" t="s">
        <v>474</v>
      </c>
    </row>
    <row r="123" spans="1:5">
      <c r="A123" s="68">
        <v>0.376635</v>
      </c>
      <c r="B123" s="68">
        <v>0.34076200000000001</v>
      </c>
      <c r="C123" s="68">
        <v>49.185299999999998</v>
      </c>
      <c r="D123" s="68">
        <v>2</v>
      </c>
      <c r="E123" s="68" t="s">
        <v>475</v>
      </c>
    </row>
    <row r="124" spans="1:5">
      <c r="A124" s="68">
        <v>0.37817899999999999</v>
      </c>
      <c r="B124" s="68">
        <v>0.33932400000000001</v>
      </c>
      <c r="C124" s="68">
        <v>49.591200000000001</v>
      </c>
      <c r="D124" s="68">
        <v>2</v>
      </c>
      <c r="E124" s="68" t="s">
        <v>476</v>
      </c>
    </row>
    <row r="125" spans="1:5">
      <c r="A125" s="68">
        <v>0.379388</v>
      </c>
      <c r="B125" s="68">
        <v>0.33788000000000001</v>
      </c>
      <c r="C125" s="68">
        <v>49.999200000000002</v>
      </c>
      <c r="D125" s="68">
        <v>2</v>
      </c>
      <c r="E125" s="68" t="s">
        <v>477</v>
      </c>
    </row>
    <row r="126" spans="1:5">
      <c r="A126" s="68">
        <v>0.37957400000000002</v>
      </c>
      <c r="B126" s="68">
        <v>0.33731699999999998</v>
      </c>
      <c r="C126" s="68">
        <v>50.402999999999999</v>
      </c>
      <c r="D126" s="68">
        <v>2</v>
      </c>
      <c r="E126" s="68" t="s">
        <v>478</v>
      </c>
    </row>
    <row r="127" spans="1:5">
      <c r="A127" s="68">
        <v>0.37974599999999997</v>
      </c>
      <c r="B127" s="68">
        <v>0.336955</v>
      </c>
      <c r="C127" s="68">
        <v>50.808999999999997</v>
      </c>
      <c r="D127" s="68">
        <v>2</v>
      </c>
      <c r="E127" s="68" t="s">
        <v>479</v>
      </c>
    </row>
    <row r="128" spans="1:5">
      <c r="A128" s="68">
        <v>0.379801</v>
      </c>
      <c r="B128" s="68">
        <v>0.33619900000000003</v>
      </c>
      <c r="C128" s="68">
        <v>51.218899999999998</v>
      </c>
      <c r="D128" s="68">
        <v>2</v>
      </c>
      <c r="E128" s="68" t="s">
        <v>480</v>
      </c>
    </row>
    <row r="129" spans="1:5">
      <c r="A129" s="68">
        <v>0.38037700000000002</v>
      </c>
      <c r="B129" s="68">
        <v>0.33569399999999999</v>
      </c>
      <c r="C129" s="68">
        <v>51.6248</v>
      </c>
      <c r="D129" s="68">
        <v>2</v>
      </c>
      <c r="E129" s="68" t="s">
        <v>481</v>
      </c>
    </row>
    <row r="130" spans="1:5">
      <c r="A130" s="68">
        <v>0.38093700000000003</v>
      </c>
      <c r="B130" s="68">
        <v>0.335675</v>
      </c>
      <c r="C130" s="68">
        <v>52.030700000000003</v>
      </c>
      <c r="D130" s="68">
        <v>2</v>
      </c>
      <c r="E130" s="68" t="s">
        <v>482</v>
      </c>
    </row>
    <row r="131" spans="1:5">
      <c r="A131" s="68">
        <v>0.38161699999999998</v>
      </c>
      <c r="B131" s="68">
        <v>0.33559600000000001</v>
      </c>
      <c r="C131" s="68">
        <v>52.434600000000003</v>
      </c>
      <c r="D131" s="68">
        <v>2</v>
      </c>
      <c r="E131" s="68" t="s">
        <v>483</v>
      </c>
    </row>
    <row r="132" spans="1:5">
      <c r="A132" s="68">
        <v>0.382214</v>
      </c>
      <c r="B132" s="68">
        <v>0.33539600000000003</v>
      </c>
      <c r="C132" s="68">
        <v>52.841700000000003</v>
      </c>
      <c r="D132" s="68">
        <v>2</v>
      </c>
      <c r="E132" s="68" t="s">
        <v>484</v>
      </c>
    </row>
    <row r="133" spans="1:5">
      <c r="A133" s="68">
        <v>0.383295</v>
      </c>
      <c r="B133" s="68">
        <v>0.33522200000000002</v>
      </c>
      <c r="C133" s="68">
        <v>53.245399999999997</v>
      </c>
      <c r="D133" s="68">
        <v>2</v>
      </c>
      <c r="E133" s="68" t="s">
        <v>485</v>
      </c>
    </row>
    <row r="134" spans="1:5">
      <c r="A134" s="68">
        <v>0.38489600000000002</v>
      </c>
      <c r="B134" s="68">
        <v>0.33590500000000001</v>
      </c>
      <c r="C134" s="68">
        <v>53.651600000000002</v>
      </c>
      <c r="D134" s="68">
        <v>2</v>
      </c>
      <c r="E134" s="68" t="s">
        <v>486</v>
      </c>
    </row>
    <row r="135" spans="1:5">
      <c r="A135" s="68">
        <v>0.386936</v>
      </c>
      <c r="B135" s="68">
        <v>0.33620699999999998</v>
      </c>
      <c r="C135" s="68">
        <v>54.060499999999998</v>
      </c>
      <c r="D135" s="68">
        <v>2</v>
      </c>
      <c r="E135" s="68" t="s">
        <v>487</v>
      </c>
    </row>
    <row r="136" spans="1:5">
      <c r="A136" s="68">
        <v>0.38905899999999999</v>
      </c>
      <c r="B136" s="68">
        <v>0.33633000000000002</v>
      </c>
      <c r="C136" s="68">
        <v>54.463299999999997</v>
      </c>
      <c r="D136" s="68">
        <v>2</v>
      </c>
      <c r="E136" s="68" t="s">
        <v>488</v>
      </c>
    </row>
    <row r="137" spans="1:5">
      <c r="A137" s="68">
        <v>0.39138099999999998</v>
      </c>
      <c r="B137" s="68">
        <v>0.33599699999999999</v>
      </c>
      <c r="C137" s="68">
        <v>54.872100000000003</v>
      </c>
      <c r="D137" s="68">
        <v>2</v>
      </c>
      <c r="E137" s="68" t="s">
        <v>489</v>
      </c>
    </row>
    <row r="138" spans="1:5">
      <c r="A138" s="68">
        <v>0.39396100000000001</v>
      </c>
      <c r="B138" s="68">
        <v>0.33602500000000002</v>
      </c>
      <c r="C138" s="68">
        <v>55.2791</v>
      </c>
      <c r="D138" s="68">
        <v>2</v>
      </c>
      <c r="E138" s="68" t="s">
        <v>490</v>
      </c>
    </row>
    <row r="139" spans="1:5">
      <c r="A139" s="68">
        <v>0.39629300000000001</v>
      </c>
      <c r="B139" s="68">
        <v>0.334482</v>
      </c>
      <c r="C139" s="68">
        <v>55.688000000000002</v>
      </c>
      <c r="D139" s="68">
        <v>2</v>
      </c>
      <c r="E139" s="68" t="s">
        <v>491</v>
      </c>
    </row>
    <row r="140" spans="1:5">
      <c r="A140" s="68">
        <v>0.39799800000000002</v>
      </c>
      <c r="B140" s="68">
        <v>0.33198100000000003</v>
      </c>
      <c r="C140" s="68">
        <v>56.091999999999999</v>
      </c>
      <c r="D140" s="68">
        <v>2</v>
      </c>
      <c r="E140" s="68" t="s">
        <v>492</v>
      </c>
    </row>
    <row r="141" spans="1:5">
      <c r="A141" s="68">
        <v>0.39956599999999998</v>
      </c>
      <c r="B141" s="68">
        <v>0.32926100000000003</v>
      </c>
      <c r="C141" s="68">
        <v>56.500900000000001</v>
      </c>
      <c r="D141" s="68">
        <v>2</v>
      </c>
      <c r="E141" s="68" t="s">
        <v>493</v>
      </c>
    </row>
    <row r="142" spans="1:5">
      <c r="A142" s="68">
        <v>0.40090300000000001</v>
      </c>
      <c r="B142" s="68">
        <v>0.326818</v>
      </c>
      <c r="C142" s="68">
        <v>56.902700000000003</v>
      </c>
      <c r="D142" s="68">
        <v>2</v>
      </c>
      <c r="E142" s="68" t="s">
        <v>494</v>
      </c>
    </row>
    <row r="143" spans="1:5">
      <c r="A143" s="68">
        <v>0.40223399999999998</v>
      </c>
      <c r="B143" s="68">
        <v>0.32516699999999998</v>
      </c>
      <c r="C143" s="68">
        <v>57.312899999999999</v>
      </c>
      <c r="D143" s="68">
        <v>2</v>
      </c>
      <c r="E143" s="68" t="s">
        <v>495</v>
      </c>
    </row>
    <row r="144" spans="1:5">
      <c r="A144" s="68">
        <v>0.40331400000000001</v>
      </c>
      <c r="B144" s="68">
        <v>0.32496599999999998</v>
      </c>
      <c r="C144" s="68">
        <v>57.720500000000001</v>
      </c>
      <c r="D144" s="68">
        <v>2</v>
      </c>
      <c r="E144" s="68" t="s">
        <v>496</v>
      </c>
    </row>
    <row r="145" spans="1:5">
      <c r="A145" s="68">
        <v>0.40372999999999998</v>
      </c>
      <c r="B145" s="68">
        <v>0.326735</v>
      </c>
      <c r="C145" s="68">
        <v>58.124499999999998</v>
      </c>
      <c r="D145" s="68">
        <v>2</v>
      </c>
      <c r="E145" s="68" t="s">
        <v>497</v>
      </c>
    </row>
    <row r="146" spans="1:5">
      <c r="A146" s="68">
        <v>0.40403</v>
      </c>
      <c r="B146" s="68">
        <v>0.32649600000000001</v>
      </c>
      <c r="C146" s="68">
        <v>58.5334</v>
      </c>
      <c r="D146" s="68">
        <v>2</v>
      </c>
      <c r="E146" s="68" t="s">
        <v>498</v>
      </c>
    </row>
    <row r="147" spans="1:5">
      <c r="A147" s="68">
        <v>0.404144</v>
      </c>
      <c r="B147" s="68">
        <v>0.32602199999999998</v>
      </c>
      <c r="C147" s="68">
        <v>58.939399999999999</v>
      </c>
      <c r="D147" s="68">
        <v>2</v>
      </c>
      <c r="E147" s="68" t="s">
        <v>499</v>
      </c>
    </row>
    <row r="148" spans="1:5">
      <c r="A148" s="68">
        <v>0.40324300000000002</v>
      </c>
      <c r="B148" s="68">
        <v>0.325436</v>
      </c>
      <c r="C148" s="68">
        <v>59.341299999999997</v>
      </c>
      <c r="D148" s="68">
        <v>2</v>
      </c>
      <c r="E148" s="68" t="s">
        <v>500</v>
      </c>
    </row>
    <row r="149" spans="1:5">
      <c r="A149" s="68">
        <v>0.40218100000000001</v>
      </c>
      <c r="B149" s="68">
        <v>0.32510099999999997</v>
      </c>
      <c r="C149" s="68">
        <v>59.7483</v>
      </c>
      <c r="D149" s="68">
        <v>2</v>
      </c>
      <c r="E149" s="68" t="s">
        <v>501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502</v>
      </c>
      <c r="B1" s="66" t="s">
        <v>503</v>
      </c>
      <c r="C1" s="66" t="s">
        <v>505</v>
      </c>
      <c r="D1" s="66" t="s">
        <v>506</v>
      </c>
      <c r="E1" s="66" t="s">
        <v>507</v>
      </c>
      <c r="F1" s="66" t="s">
        <v>293</v>
      </c>
      <c r="G1" s="66" t="s">
        <v>294</v>
      </c>
      <c r="H1" s="66" t="s">
        <v>508</v>
      </c>
      <c r="I1" s="66" t="s">
        <v>509</v>
      </c>
      <c r="J1" s="66" t="s">
        <v>510</v>
      </c>
      <c r="K1" s="66" t="s">
        <v>511</v>
      </c>
      <c r="L1" s="66" t="s">
        <v>512</v>
      </c>
      <c r="M1" s="66" t="s">
        <v>513</v>
      </c>
      <c r="N1" s="66"/>
    </row>
    <row r="2" spans="1:14">
      <c r="A2" s="75">
        <v>43607.440625000003</v>
      </c>
      <c r="B2" s="66" t="s">
        <v>504</v>
      </c>
      <c r="C2" s="66"/>
      <c r="D2" s="66"/>
      <c r="E2" s="66">
        <v>4.9207200000000002</v>
      </c>
      <c r="F2" s="66">
        <v>1.7887999999999999</v>
      </c>
      <c r="G2" s="66">
        <v>0.61719100000000005</v>
      </c>
      <c r="H2" s="66">
        <v>0</v>
      </c>
      <c r="I2" s="66">
        <v>174615</v>
      </c>
      <c r="J2" s="66">
        <v>93</v>
      </c>
      <c r="K2" s="66">
        <v>93</v>
      </c>
      <c r="L2" s="66">
        <v>0</v>
      </c>
      <c r="M2" s="66" t="s">
        <v>514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2019-05-22T02:35:13Z</cp:lastPrinted>
  <dcterms:created xsi:type="dcterms:W3CDTF">2010-10-29T12:53:05Z</dcterms:created>
  <dcterms:modified xsi:type="dcterms:W3CDTF">2019-05-22T02:35:29Z</dcterms:modified>
</cp:coreProperties>
</file>