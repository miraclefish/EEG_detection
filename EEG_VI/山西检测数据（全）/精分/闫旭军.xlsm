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<sst xmlns="http://schemas.openxmlformats.org/spreadsheetml/2006/main" count="701" uniqueCount="572">
  <si>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</si>
  <si>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</si>
  <si>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</si>
  <si>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</si>
  <si>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</si>
  <si>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</si>
  <si>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</si>
  <si>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</si>
  <si>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</si>
  <si>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</si>
  <si>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</si>
  <si>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</si>
  <si>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</si>
  <si>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</si>
  <si>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</si>
  <si>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</si>
  <si>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</si>
  <si>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</si>
  <si>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</si>
  <si>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</si>
  <si>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</si>
  <si>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</si>
  <si>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</si>
  <si>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</si>
  <si>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</si>
  <si>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</si>
  <si>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</si>
  <si>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</si>
  <si>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</si>
  <si>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</si>
  <si>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</si>
  <si>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</si>
  <si>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</si>
  <si>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</si>
  <si>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</si>
  <si>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</si>
  <si>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</si>
  <si>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</si>
  <si>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</si>
  <si>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</si>
  <si>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</si>
  <si>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</si>
  <si>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</si>
  <si>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</si>
  <si>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</si>
  <si>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</si>
  <si>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</si>
  <si>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</si>
  <si>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</si>
  <si>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</si>
  <si>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</si>
  <si>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</si>
  <si>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</si>
  <si>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</si>
  <si>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</si>
  <si>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</si>
  <si>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</si>
  <si>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</si>
  <si>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</si>
  <si>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</si>
  <si>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</si>
  <si>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</si>
  <si>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</si>
  <si>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</si>
  <si>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</si>
  <si>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</si>
  <si>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</si>
  <si>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</si>
  <si>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</si>
  <si>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</si>
  <si>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</si>
  <si>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</si>
  <si>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</si>
  <si>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</si>
  <si>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</si>
  <si>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</si>
  <si>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</si>
  <si>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</si>
  <si>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</si>
  <si>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</si>
  <si>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</si>
  <si>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</si>
  <si>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</si>
  <si>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</si>
  <si>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</si>
  <si>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</si>
  <si>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</si>
  <si>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</si>
  <si>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</si>
  <si>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</si>
  <si>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</si>
  <si>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</si>
  <si>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</si>
  <si>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</si>
  <si>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</si>
  <si>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</si>
  <si>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</si>
  <si>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</si>
  <si>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</si>
  <si>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</si>
  <si>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</si>
  <si>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</si>
  <si>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</si>
  <si>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</si>
  <si>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</si>
  <si>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</si>
  <si>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</si>
  <si>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</si>
  <si>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</si>
  <si>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</si>
  <si>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</si>
  <si>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</si>
  <si>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</si>
  <si>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</si>
  <si>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</si>
  <si>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</si>
  <si>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</si>
  <si>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</si>
  <si>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</si>
  <si>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</si>
  <si>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</si>
  <si>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</si>
  <si>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</si>
  <si>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</si>
  <si>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</si>
  <si>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</si>
  <si>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</si>
  <si>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</si>
  <si>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</si>
  <si>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</si>
  <si>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</si>
  <si>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</si>
  <si>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</si>
  <si>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</si>
  <si>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</si>
  <si>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</si>
  <si>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</si>
  <si>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</si>
  <si>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</si>
  <si>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</si>
  <si>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</si>
  <si>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</si>
  <si>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</si>
  <si>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</si>
  <si>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</si>
  <si>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</si>
  <si>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</si>
  <si>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</si>
  <si>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</si>
  <si>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</si>
  <si>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</si>
  <si>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</si>
  <si>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</si>
  <si>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</si>
  <si>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</si>
  <si>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</si>
  <si>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</si>
  <si>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</si>
  <si>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</si>
  <si>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</si>
  <si>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</si>
  <si>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</si>
  <si>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</si>
  <si>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</si>
  <si>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</si>
  <si>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</si>
  <si>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</si>
  <si>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</si>
  <si>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</si>
  <si>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</si>
  <si>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</si>
  <si>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</si>
  <si>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</si>
  <si>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</si>
  <si>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</si>
  <si>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</si>
  <si>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</si>
  <si>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</si>
  <si>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</si>
  <si>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</si>
  <si>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</si>
  <si>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</si>
  <si>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</si>
  <si>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</si>
  <si>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</si>
  <si>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</si>
  <si>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</si>
  <si>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</si>
  <si>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</si>
  <si>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</si>
  <si>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</si>
  <si>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</si>
  <si>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</si>
  <si>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</si>
  <si>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</si>
  <si>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</si>
  <si>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</si>
  <si>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</si>
  <si>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</si>
  <si>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</si>
  <si>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</si>
  <si>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</si>
  <si>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</si>
  <si>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</si>
  <si>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</si>
  <si>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</si>
  <si>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</si>
  <si>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</si>
  <si>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</si>
  <si>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</si>
  <si>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</si>
  <si>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</si>
  <si>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</si>
  <si>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</si>
  <si>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</si>
  <si>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</si>
  <si>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</si>
  <si>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</si>
  <si>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</si>
  <si>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</si>
  <si>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</si>
  <si>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</si>
  <si>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</si>
  <si>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</si>
  <si>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</si>
  <si>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</si>
  <si>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</si>
  <si>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</si>
  <si>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</si>
  <si>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</si>
  <si>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</si>
  <si>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</si>
  <si>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</si>
  <si>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</si>
  <si>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</si>
  <si>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</si>
  <si>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</si>
  <si>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</si>
  <si>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</si>
  <si>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</si>
  <si>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</si>
  <si>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</si>
  <si>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</si>
  <si>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</si>
  <si>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</si>
  <si>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</si>
  <si>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</si>
  <si>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</si>
  <si>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</si>
  <si>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</si>
  <si>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</si>
  <si>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</si>
  <si>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</si>
  <si>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</si>
  <si>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</si>
  <si>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</si>
  <si>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</si>
  <si>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</si>
  <si>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</si>
  <si>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</si>
  <si>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</si>
  <si>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</si>
  <si>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</si>
  <si>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</si>
  <si>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</si>
  <si>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</si>
  <si>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</si>
  <si>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</si>
  <si>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</si>
  <si>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</si>
  <si>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</si>
  <si>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</si>
  <si>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</si>
  <si>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</si>
  <si>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</si>
  <si>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</si>
  <si>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</si>
  <si>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</si>
  <si>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</si>
  <si>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</si>
  <si>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</si>
  <si>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</si>
  <si>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</si>
  <si>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</si>
  <si>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</si>
  <si>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</si>
  <si>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</si>
  <si>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</si>
  <si>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</si>
  <si>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</si>
  <si>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</si>
  <si>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</si>
  <si>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</si>
  <si>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</si>
  <si>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</si>
  <si>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</si>
  <si>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</si>
  <si>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</si>
  <si>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</si>
  <si>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</si>
  <si>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</si>
  <si>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</si>
  <si>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</si>
  <si>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</si>
  <si>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</si>
  <si>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</si>
  <si>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</si>
  <si>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</si>
  <si>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</si>
  <si>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</si>
  <si>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</si>
  <si>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</si>
  <si>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</si>
  <si>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</si>
  <si>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</si>
  <si>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</si>
  <si>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</si>
  <si>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</si>
  <si>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</si>
  <si>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</si>
  <si>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</si>
  <si>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</si>
  <si>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</si>
  <si>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</si>
  <si>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</si>
  <si>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</si>
  <si>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</si>
  <si>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</si>
  <si>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</si>
  <si>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</si>
  <si>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</si>
  <si>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</si>
  <si>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</si>
  <si>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</si>
  <si>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</si>
  <si>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</si>
  <si>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</si>
  <si>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</si>
  <si>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</si>
  <si>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</si>
  <si>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</si>
  <si>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</si>
  <si>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</si>
  <si>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</si>
  <si>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</si>
  <si>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</si>
  <si>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</si>
  <si>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</si>
  <si>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</si>
  <si>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</si>
  <si>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</si>
  <si>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</si>
  <si>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</si>
  <si>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</si>
  <si>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</si>
  <si>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</si>
  <si>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</si>
  <si>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</si>
  <si>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</si>
  <si>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</si>
  <si>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</si>
  <si>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</si>
  <si>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</si>
  <si>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</si>
  <si>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</si>
  <si>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</si>
  <si>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</si>
  <si>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</si>
  <si>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</si>
  <si>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</si>
  <si>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</si>
  <si>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</si>
  <si>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</si>
  <si>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</si>
  <si>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</si>
  <si>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</si>
  <si>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</si>
  <si>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</si>
  <si>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</si>
  <si>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</si>
  <si>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</si>
  <si>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</si>
  <si>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</si>
  <si>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</si>
  <si>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</si>
  <si>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</si>
  <si>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</si>
  <si>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</si>
  <si>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</si>
  <si>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</si>
  <si>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</si>
  <si>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</si>
  <si>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</si>
  <si>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</si>
  <si>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</si>
  <si>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</si>
  <si>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</si>
  <si>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</si>
  <si>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</si>
  <si>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</si>
  <si>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</si>
  <si>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</si>
  <si>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</si>
  <si>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</si>
  <si>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</si>
  <si>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</si>
  <si>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</si>
  <si>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</si>
  <si>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</si>
  <si>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</si>
  <si>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[0.406721]</t>
  </si>
  <si>
    <t>1 [0.815742]</t>
  </si>
  <si>
    <t>1 [1.219623]</t>
  </si>
  <si>
    <t>1 [1.626706]</t>
  </si>
  <si>
    <t>1 [2.029998]</t>
  </si>
  <si>
    <t>1 [2.437111]</t>
  </si>
  <si>
    <t>1 [2.844095]</t>
  </si>
  <si>
    <t>1 [3.249817]</t>
  </si>
  <si>
    <t>1 [3.658956]</t>
  </si>
  <si>
    <t>1 [4.061565]</t>
  </si>
  <si>
    <t>1 [4.467363]</t>
  </si>
  <si>
    <t>1 [4.877005]</t>
  </si>
  <si>
    <t>1 [5.282578]</t>
  </si>
  <si>
    <t>1 [5.688493]</t>
  </si>
  <si>
    <t>1 [6.093057]</t>
  </si>
  <si>
    <t>1 [6.498765]</t>
  </si>
  <si>
    <t>1 [6.907971]</t>
  </si>
  <si>
    <t>1 [7.315242]</t>
  </si>
  <si>
    <t>1 [7.720885]</t>
  </si>
  <si>
    <t>1 [8.126103]</t>
  </si>
  <si>
    <t>1 [8.531152]</t>
  </si>
  <si>
    <t>1 [8.938078]</t>
  </si>
  <si>
    <t>1 [9.346098]</t>
  </si>
  <si>
    <t>1 [9.753033]</t>
  </si>
  <si>
    <t>1 [10.157240]</t>
  </si>
  <si>
    <t>1 [10.561956]</t>
  </si>
  <si>
    <t>1 [10.969784]</t>
  </si>
  <si>
    <t>1 [11.377293]</t>
  </si>
  <si>
    <t>1 [11.783138]</t>
  </si>
  <si>
    <t>1 [12.189607]</t>
  </si>
  <si>
    <t>1 [12.592938]</t>
  </si>
  <si>
    <t>1 [12.999784]</t>
  </si>
  <si>
    <t>1 [13.407743]</t>
  </si>
  <si>
    <t>1 [13.815035]</t>
  </si>
  <si>
    <t>1 [14.221289]</t>
  </si>
  <si>
    <t>1 [14.624070]</t>
  </si>
  <si>
    <t>1 [15.028640]</t>
  </si>
  <si>
    <t>1 [15.437719]</t>
  </si>
  <si>
    <t>1 [15.842596]</t>
  </si>
  <si>
    <t>1 [16.250071]</t>
  </si>
  <si>
    <t>1 [16.656786]</t>
  </si>
  <si>
    <t>1 [17.061927]</t>
  </si>
  <si>
    <t>1 [17.468951]</t>
  </si>
  <si>
    <t>1 [17.875402]</t>
  </si>
  <si>
    <t>1 [18.280848]</t>
  </si>
  <si>
    <t>1 [18.688081]</t>
  </si>
  <si>
    <t>1 [19.095943]</t>
  </si>
  <si>
    <t>1 [19.502130]</t>
  </si>
  <si>
    <t>1 [19.905357]</t>
  </si>
  <si>
    <t>1 [20.315112]</t>
  </si>
  <si>
    <t>1 [20.721113]</t>
  </si>
  <si>
    <t>1 [21.127878]</t>
  </si>
  <si>
    <t>1 [21.534669]</t>
  </si>
  <si>
    <t>1 [21.937917]</t>
  </si>
  <si>
    <t>1 [22.341868]</t>
  </si>
  <si>
    <t>1 [22.751252]</t>
  </si>
  <si>
    <t>1 [23.157114]</t>
  </si>
  <si>
    <t>1 [23.561728]</t>
  </si>
  <si>
    <t>1 [23.969013]</t>
  </si>
  <si>
    <t>1 [24.374472]</t>
  </si>
  <si>
    <t>1 [24.782472]</t>
  </si>
  <si>
    <t>1 [25.188181]</t>
  </si>
  <si>
    <t>1 [25.596077]</t>
  </si>
  <si>
    <t>1 [26.000866]</t>
  </si>
  <si>
    <t>1 [26.404588]</t>
  </si>
  <si>
    <t>1 [26.811934]</t>
  </si>
  <si>
    <t>1 [27.221778]</t>
  </si>
  <si>
    <t>1 [27.626128]</t>
  </si>
  <si>
    <t>1 [28.030939]</t>
  </si>
  <si>
    <t>1 [28.436100]</t>
  </si>
  <si>
    <t>1 [28.845700]</t>
  </si>
  <si>
    <t>1 [29.256036]</t>
  </si>
  <si>
    <t>1 [29.657908]</t>
  </si>
  <si>
    <t>2 [30.063555]</t>
  </si>
  <si>
    <t>2 [30.488676]</t>
  </si>
  <si>
    <t>2 [30.894613]</t>
  </si>
  <si>
    <t>2 [31.298637]</t>
  </si>
  <si>
    <t>2 [31.705365]</t>
  </si>
  <si>
    <t>2 [32.113101]</t>
  </si>
  <si>
    <t>2 [32.519781]</t>
  </si>
  <si>
    <t>2 [32.925668]</t>
  </si>
  <si>
    <t>2 [33.328122]</t>
  </si>
  <si>
    <t>2 [33.743583]</t>
  </si>
  <si>
    <t>2 [34.140406]</t>
  </si>
  <si>
    <t>2 [34.548640]</t>
  </si>
  <si>
    <t>2 [34.957607]</t>
  </si>
  <si>
    <t>2 [35.357930]</t>
  </si>
  <si>
    <t>2 [35.765610]</t>
  </si>
  <si>
    <t>2 [36.177776]</t>
  </si>
  <si>
    <t>2 [36.580088]</t>
  </si>
  <si>
    <t>2 [36.987056]</t>
  </si>
  <si>
    <t>2 [37.391444]</t>
  </si>
  <si>
    <t>2 [37.796531]</t>
  </si>
  <si>
    <t>2 [38.201856]</t>
  </si>
  <si>
    <t>2 [38.612044]</t>
  </si>
  <si>
    <t>2 [39.018868]</t>
  </si>
  <si>
    <t>2 [39.426054]</t>
  </si>
  <si>
    <t>2 [39.827867]</t>
  </si>
  <si>
    <t>2 [40.234210]</t>
  </si>
  <si>
    <t>2 [40.640052]</t>
  </si>
  <si>
    <t>2 [41.047455]</t>
  </si>
  <si>
    <t>2 [41.453057]</t>
  </si>
  <si>
    <t>2 [41.859638]</t>
  </si>
  <si>
    <t>2 [42.266562]</t>
  </si>
  <si>
    <t>2 [42.670522]</t>
  </si>
  <si>
    <t>2 [43.078603]</t>
  </si>
  <si>
    <t>2 [43.482808]</t>
  </si>
  <si>
    <t>2 [43.891456]</t>
  </si>
  <si>
    <t>2 [44.298761]</t>
  </si>
  <si>
    <t>2 [44.705953]</t>
  </si>
  <si>
    <t>2 [45.110209]</t>
  </si>
  <si>
    <t>2 [45.518659]</t>
  </si>
  <si>
    <t>2 [45.924447]</t>
  </si>
  <si>
    <t>2 [46.329507]</t>
  </si>
  <si>
    <t>2 [46.734413]</t>
  </si>
  <si>
    <t>2 [47.143210]</t>
  </si>
  <si>
    <t>2 [47.548249]</t>
  </si>
  <si>
    <t>2 [47.956044]</t>
  </si>
  <si>
    <t>2 [48.358205]</t>
  </si>
  <si>
    <t>2 [48.766063]</t>
  </si>
  <si>
    <t>2 [49.173599]</t>
  </si>
  <si>
    <t>2 [49.582496]</t>
  </si>
  <si>
    <t>2 [49.988711]</t>
  </si>
  <si>
    <t>2 [50.394018]</t>
  </si>
  <si>
    <t>2 [50.800280]</t>
  </si>
  <si>
    <t>2 [51.205899]</t>
  </si>
  <si>
    <t>2 [51.611157]</t>
  </si>
  <si>
    <t>2 [52.018467]</t>
  </si>
  <si>
    <t>2 [52.421112]</t>
  </si>
  <si>
    <t>2 [52.826365]</t>
  </si>
  <si>
    <t>2 [53.232571]</t>
  </si>
  <si>
    <t>2 [53.642938]</t>
  </si>
  <si>
    <t>2 [54.048524]</t>
  </si>
  <si>
    <t>2 [54.452822]</t>
  </si>
  <si>
    <t>2 [54.861078]</t>
  </si>
  <si>
    <t>2 [55.267540]</t>
  </si>
  <si>
    <t>2 [55.674383]</t>
  </si>
  <si>
    <t>2 [56.081384]</t>
  </si>
  <si>
    <t>2 [56.490122]</t>
  </si>
  <si>
    <t>2 [56.891285]</t>
  </si>
  <si>
    <t>2 [57.296969]</t>
  </si>
  <si>
    <t>2 [57.702830]</t>
  </si>
  <si>
    <t>2 [58.115938]</t>
  </si>
  <si>
    <t>2 [58.516682]</t>
  </si>
  <si>
    <t>2 [58.921776]</t>
  </si>
  <si>
    <t>2 [59.329457]</t>
  </si>
  <si>
    <t>2 [59.737178]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</si>
  <si>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</si>
  <si>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</si>
  <si>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</si>
  <si>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</si>
  <si>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</si>
  <si>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</si>
  <si>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</si>
  <si>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</si>
  <si>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</si>
  <si>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</si>
  <si>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</si>
  <si>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</si>
  <si>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</si>
  <si>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</si>
  <si>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闫旭军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</si>
</sst>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32.798699999999997</c:v>
                </c:pt>
                <c:pt idx="1">
                  <c:v>43.768799999999999</c:v>
                </c:pt>
                <c:pt idx="2">
                  <c:v>21.084099999999999</c:v>
                </c:pt>
                <c:pt idx="3">
                  <c:v>33.5062</c:v>
                </c:pt>
                <c:pt idx="4">
                  <c:v>64.3292</c:v>
                </c:pt>
                <c:pt idx="5">
                  <c:v>46.65</c:v>
                </c:pt>
                <c:pt idx="6">
                  <c:v>13.353999999999999</c:v>
                </c:pt>
                <c:pt idx="7">
                  <c:v>55.235399999999998</c:v>
                </c:pt>
                <c:pt idx="8">
                  <c:v>18.5947</c:v>
                </c:pt>
                <c:pt idx="9">
                  <c:v>26.524100000000001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0.44784220029728355</c:v>
                </c:pt>
                <c:pt idx="1">
                  <c:v>0.32710617412036991</c:v>
                </c:pt>
                <c:pt idx="2">
                  <c:v>0.22505162558234654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60233</c:v>
                </c:pt>
                <c:pt idx="7">
                  <c:v>0</c:v>
                </c:pt>
                <c:pt idx="8">
                  <c:v>49948</c:v>
                </c:pt>
                <c:pt idx="9">
                  <c:v>0</c:v>
                </c:pt>
                <c:pt idx="10">
                  <c:v>0</c:v>
                </c:pt>
                <c:pt idx="11">
                  <c:v>46816</c:v>
                </c:pt>
                <c:pt idx="12">
                  <c:v>0</c:v>
                </c:pt>
                <c:pt idx="13">
                  <c:v>39852</c:v>
                </c:pt>
                <c:pt idx="14">
                  <c:v>0</c:v>
                </c:pt>
                <c:pt idx="15">
                  <c:v>0</c:v>
                </c:pt>
                <c:pt idx="16">
                  <c:v>42986</c:v>
                </c:pt>
                <c:pt idx="17">
                  <c:v>0</c:v>
                </c:pt>
                <c:pt idx="18">
                  <c:v>0</c:v>
                </c:pt>
                <c:pt idx="19">
                  <c:v>52262</c:v>
                </c:pt>
                <c:pt idx="20">
                  <c:v>0</c:v>
                </c:pt>
                <c:pt idx="21">
                  <c:v>60415</c:v>
                </c:pt>
                <c:pt idx="22">
                  <c:v>0</c:v>
                </c:pt>
                <c:pt idx="23">
                  <c:v>0</c:v>
                </c:pt>
                <c:pt idx="24">
                  <c:v>65084</c:v>
                </c:pt>
                <c:pt idx="25">
                  <c:v>0</c:v>
                </c:pt>
                <c:pt idx="26">
                  <c:v>67462</c:v>
                </c:pt>
                <c:pt idx="27">
                  <c:v>0</c:v>
                </c:pt>
                <c:pt idx="28">
                  <c:v>0</c:v>
                </c:pt>
                <c:pt idx="29">
                  <c:v>80720</c:v>
                </c:pt>
                <c:pt idx="30">
                  <c:v>0</c:v>
                </c:pt>
                <c:pt idx="31">
                  <c:v>84913</c:v>
                </c:pt>
                <c:pt idx="32">
                  <c:v>0</c:v>
                </c:pt>
                <c:pt idx="33">
                  <c:v>0</c:v>
                </c:pt>
                <c:pt idx="34">
                  <c:v>97543</c:v>
                </c:pt>
                <c:pt idx="35">
                  <c:v>0</c:v>
                </c:pt>
                <c:pt idx="36">
                  <c:v>0</c:v>
                </c:pt>
                <c:pt idx="37">
                  <c:v>99645</c:v>
                </c:pt>
                <c:pt idx="38">
                  <c:v>0</c:v>
                </c:pt>
                <c:pt idx="39">
                  <c:v>97837</c:v>
                </c:pt>
                <c:pt idx="40">
                  <c:v>0</c:v>
                </c:pt>
                <c:pt idx="41">
                  <c:v>0</c:v>
                </c:pt>
                <c:pt idx="42">
                  <c:v>111891</c:v>
                </c:pt>
                <c:pt idx="43">
                  <c:v>0</c:v>
                </c:pt>
                <c:pt idx="44">
                  <c:v>108132</c:v>
                </c:pt>
                <c:pt idx="45">
                  <c:v>0</c:v>
                </c:pt>
                <c:pt idx="46">
                  <c:v>0</c:v>
                </c:pt>
                <c:pt idx="47">
                  <c:v>111093</c:v>
                </c:pt>
                <c:pt idx="48">
                  <c:v>0</c:v>
                </c:pt>
                <c:pt idx="49">
                  <c:v>105540</c:v>
                </c:pt>
                <c:pt idx="50">
                  <c:v>0</c:v>
                </c:pt>
                <c:pt idx="51">
                  <c:v>0</c:v>
                </c:pt>
                <c:pt idx="52">
                  <c:v>106014</c:v>
                </c:pt>
                <c:pt idx="53">
                  <c:v>0</c:v>
                </c:pt>
                <c:pt idx="54">
                  <c:v>0</c:v>
                </c:pt>
                <c:pt idx="55">
                  <c:v>98198</c:v>
                </c:pt>
                <c:pt idx="56">
                  <c:v>0</c:v>
                </c:pt>
                <c:pt idx="57">
                  <c:v>104031</c:v>
                </c:pt>
                <c:pt idx="58">
                  <c:v>0</c:v>
                </c:pt>
                <c:pt idx="59">
                  <c:v>0</c:v>
                </c:pt>
                <c:pt idx="60">
                  <c:v>104440</c:v>
                </c:pt>
                <c:pt idx="61">
                  <c:v>0</c:v>
                </c:pt>
                <c:pt idx="62">
                  <c:v>90549</c:v>
                </c:pt>
                <c:pt idx="63">
                  <c:v>0</c:v>
                </c:pt>
                <c:pt idx="64">
                  <c:v>0</c:v>
                </c:pt>
                <c:pt idx="65">
                  <c:v>108723</c:v>
                </c:pt>
                <c:pt idx="66">
                  <c:v>0</c:v>
                </c:pt>
                <c:pt idx="67">
                  <c:v>111167</c:v>
                </c:pt>
                <c:pt idx="68">
                  <c:v>0</c:v>
                </c:pt>
                <c:pt idx="69">
                  <c:v>0</c:v>
                </c:pt>
                <c:pt idx="70">
                  <c:v>99338</c:v>
                </c:pt>
                <c:pt idx="71">
                  <c:v>0</c:v>
                </c:pt>
                <c:pt idx="72">
                  <c:v>0</c:v>
                </c:pt>
                <c:pt idx="73">
                  <c:v>104879</c:v>
                </c:pt>
                <c:pt idx="74">
                  <c:v>0</c:v>
                </c:pt>
                <c:pt idx="75">
                  <c:v>103817</c:v>
                </c:pt>
                <c:pt idx="76">
                  <c:v>0</c:v>
                </c:pt>
                <c:pt idx="77">
                  <c:v>0</c:v>
                </c:pt>
                <c:pt idx="78">
                  <c:v>95474</c:v>
                </c:pt>
                <c:pt idx="79">
                  <c:v>0</c:v>
                </c:pt>
                <c:pt idx="80">
                  <c:v>95950</c:v>
                </c:pt>
                <c:pt idx="81">
                  <c:v>0</c:v>
                </c:pt>
                <c:pt idx="82">
                  <c:v>0</c:v>
                </c:pt>
                <c:pt idx="83">
                  <c:v>88402</c:v>
                </c:pt>
                <c:pt idx="84">
                  <c:v>0</c:v>
                </c:pt>
                <c:pt idx="85">
                  <c:v>0</c:v>
                </c:pt>
                <c:pt idx="86">
                  <c:v>82401</c:v>
                </c:pt>
                <c:pt idx="87">
                  <c:v>0</c:v>
                </c:pt>
                <c:pt idx="88">
                  <c:v>78190</c:v>
                </c:pt>
                <c:pt idx="89">
                  <c:v>0</c:v>
                </c:pt>
                <c:pt idx="90">
                  <c:v>0</c:v>
                </c:pt>
                <c:pt idx="91">
                  <c:v>73056</c:v>
                </c:pt>
                <c:pt idx="92">
                  <c:v>0</c:v>
                </c:pt>
                <c:pt idx="93">
                  <c:v>66732</c:v>
                </c:pt>
                <c:pt idx="94">
                  <c:v>0</c:v>
                </c:pt>
                <c:pt idx="95">
                  <c:v>0</c:v>
                </c:pt>
                <c:pt idx="96">
                  <c:v>65151</c:v>
                </c:pt>
                <c:pt idx="97">
                  <c:v>0</c:v>
                </c:pt>
                <c:pt idx="98">
                  <c:v>62438</c:v>
                </c:pt>
                <c:pt idx="99">
                  <c:v>0</c:v>
                </c:pt>
                <c:pt idx="100">
                  <c:v>0</c:v>
                </c:pt>
                <c:pt idx="101">
                  <c:v>57037</c:v>
                </c:pt>
                <c:pt idx="102">
                  <c:v>0</c:v>
                </c:pt>
                <c:pt idx="103">
                  <c:v>0</c:v>
                </c:pt>
                <c:pt idx="104">
                  <c:v>56086</c:v>
                </c:pt>
                <c:pt idx="105">
                  <c:v>0</c:v>
                </c:pt>
                <c:pt idx="106">
                  <c:v>54762</c:v>
                </c:pt>
                <c:pt idx="107">
                  <c:v>0</c:v>
                </c:pt>
                <c:pt idx="108">
                  <c:v>0</c:v>
                </c:pt>
                <c:pt idx="109">
                  <c:v>56432</c:v>
                </c:pt>
                <c:pt idx="110">
                  <c:v>0</c:v>
                </c:pt>
                <c:pt idx="111">
                  <c:v>48503</c:v>
                </c:pt>
                <c:pt idx="112">
                  <c:v>0</c:v>
                </c:pt>
                <c:pt idx="113">
                  <c:v>0</c:v>
                </c:pt>
                <c:pt idx="114">
                  <c:v>37952</c:v>
                </c:pt>
                <c:pt idx="115">
                  <c:v>0</c:v>
                </c:pt>
                <c:pt idx="116">
                  <c:v>31647</c:v>
                </c:pt>
                <c:pt idx="117">
                  <c:v>0</c:v>
                </c:pt>
                <c:pt idx="118">
                  <c:v>0</c:v>
                </c:pt>
                <c:pt idx="119">
                  <c:v>24756</c:v>
                </c:pt>
                <c:pt idx="120">
                  <c:v>0</c:v>
                </c:pt>
                <c:pt idx="121">
                  <c:v>0</c:v>
                </c:pt>
                <c:pt idx="122">
                  <c:v>27052</c:v>
                </c:pt>
                <c:pt idx="123">
                  <c:v>0</c:v>
                </c:pt>
                <c:pt idx="124">
                  <c:v>23428</c:v>
                </c:pt>
                <c:pt idx="125">
                  <c:v>0</c:v>
                </c:pt>
                <c:pt idx="126">
                  <c:v>0</c:v>
                </c:pt>
                <c:pt idx="127">
                  <c:v>19406</c:v>
                </c:pt>
                <c:pt idx="128">
                  <c:v>0</c:v>
                </c:pt>
                <c:pt idx="129">
                  <c:v>14281</c:v>
                </c:pt>
                <c:pt idx="130">
                  <c:v>0</c:v>
                </c:pt>
                <c:pt idx="131">
                  <c:v>0</c:v>
                </c:pt>
                <c:pt idx="132">
                  <c:v>12500</c:v>
                </c:pt>
                <c:pt idx="133">
                  <c:v>0</c:v>
                </c:pt>
                <c:pt idx="134">
                  <c:v>8811</c:v>
                </c:pt>
                <c:pt idx="135">
                  <c:v>0</c:v>
                </c:pt>
                <c:pt idx="136">
                  <c:v>0</c:v>
                </c:pt>
                <c:pt idx="137">
                  <c:v>7435</c:v>
                </c:pt>
                <c:pt idx="138">
                  <c:v>0</c:v>
                </c:pt>
                <c:pt idx="139">
                  <c:v>0</c:v>
                </c:pt>
                <c:pt idx="140">
                  <c:v>4850</c:v>
                </c:pt>
                <c:pt idx="141">
                  <c:v>0</c:v>
                </c:pt>
                <c:pt idx="142">
                  <c:v>4109</c:v>
                </c:pt>
                <c:pt idx="143">
                  <c:v>0</c:v>
                </c:pt>
                <c:pt idx="144">
                  <c:v>0</c:v>
                </c:pt>
                <c:pt idx="145">
                  <c:v>3003</c:v>
                </c:pt>
                <c:pt idx="146">
                  <c:v>0</c:v>
                </c:pt>
                <c:pt idx="147">
                  <c:v>1682</c:v>
                </c:pt>
                <c:pt idx="148">
                  <c:v>0</c:v>
                </c:pt>
                <c:pt idx="149">
                  <c:v>0</c:v>
                </c:pt>
                <c:pt idx="150">
                  <c:v>474</c:v>
                </c:pt>
                <c:pt idx="151">
                  <c:v>0</c:v>
                </c:pt>
                <c:pt idx="152">
                  <c:v>70</c:v>
                </c:pt>
                <c:pt idx="153">
                  <c:v>0</c:v>
                </c:pt>
                <c:pt idx="154">
                  <c:v>0</c:v>
                </c:pt>
                <c:pt idx="155">
                  <c:v>106</c:v>
                </c:pt>
                <c:pt idx="156">
                  <c:v>0</c:v>
                </c:pt>
                <c:pt idx="157">
                  <c:v>0</c:v>
                </c:pt>
                <c:pt idx="158">
                  <c:v>622</c:v>
                </c:pt>
                <c:pt idx="159">
                  <c:v>0</c:v>
                </c:pt>
                <c:pt idx="160">
                  <c:v>554</c:v>
                </c:pt>
                <c:pt idx="161">
                  <c:v>0</c:v>
                </c:pt>
                <c:pt idx="162">
                  <c:v>0</c:v>
                </c:pt>
                <c:pt idx="163">
                  <c:v>312</c:v>
                </c:pt>
                <c:pt idx="164">
                  <c:v>0</c:v>
                </c:pt>
                <c:pt idx="165">
                  <c:v>45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  <c:pt idx="74">
                  <c:v>2.4656600000000002</c:v>
                </c:pt>
                <c:pt idx="75">
                  <c:v>2.4540600000000001</c:v>
                </c:pt>
                <c:pt idx="76">
                  <c:v>2.4399799999999998</c:v>
                </c:pt>
                <c:pt idx="77">
                  <c:v>2.4244399999999997</c:v>
                </c:pt>
                <c:pt idx="78">
                  <c:v>2.4088099999999999</c:v>
                </c:pt>
                <c:pt idx="79">
                  <c:v>2.39642</c:v>
                </c:pt>
                <c:pt idx="80">
                  <c:v>2.3868</c:v>
                </c:pt>
                <c:pt idx="81">
                  <c:v>2.38158</c:v>
                </c:pt>
                <c:pt idx="82">
                  <c:v>2.3803999999999998</c:v>
                </c:pt>
                <c:pt idx="83">
                  <c:v>2.3810700000000002</c:v>
                </c:pt>
                <c:pt idx="84">
                  <c:v>2.3787500000000001</c:v>
                </c:pt>
                <c:pt idx="85">
                  <c:v>2.37635</c:v>
                </c:pt>
                <c:pt idx="86">
                  <c:v>2.3738600000000001</c:v>
                </c:pt>
                <c:pt idx="87">
                  <c:v>2.37039</c:v>
                </c:pt>
                <c:pt idx="88">
                  <c:v>2.3664399999999999</c:v>
                </c:pt>
                <c:pt idx="89">
                  <c:v>2.3623500000000002</c:v>
                </c:pt>
                <c:pt idx="90">
                  <c:v>2.3588899999999997</c:v>
                </c:pt>
                <c:pt idx="91">
                  <c:v>2.3590499999999999</c:v>
                </c:pt>
                <c:pt idx="92">
                  <c:v>2.3624300000000003</c:v>
                </c:pt>
                <c:pt idx="93">
                  <c:v>2.3681299999999998</c:v>
                </c:pt>
                <c:pt idx="94">
                  <c:v>2.3752899999999997</c:v>
                </c:pt>
                <c:pt idx="95">
                  <c:v>2.3822099999999997</c:v>
                </c:pt>
                <c:pt idx="96">
                  <c:v>2.39256</c:v>
                </c:pt>
                <c:pt idx="97">
                  <c:v>2.4072100000000001</c:v>
                </c:pt>
                <c:pt idx="98">
                  <c:v>2.42157</c:v>
                </c:pt>
                <c:pt idx="99">
                  <c:v>2.4359299999999999</c:v>
                </c:pt>
                <c:pt idx="100">
                  <c:v>2.44882</c:v>
                </c:pt>
                <c:pt idx="101">
                  <c:v>2.4674100000000001</c:v>
                </c:pt>
                <c:pt idx="102">
                  <c:v>2.4884400000000002</c:v>
                </c:pt>
                <c:pt idx="103">
                  <c:v>2.5075399999999997</c:v>
                </c:pt>
                <c:pt idx="104">
                  <c:v>2.5271100000000004</c:v>
                </c:pt>
                <c:pt idx="105">
                  <c:v>2.5465300000000002</c:v>
                </c:pt>
                <c:pt idx="106">
                  <c:v>2.5658099999999999</c:v>
                </c:pt>
                <c:pt idx="107">
                  <c:v>2.5858099999999999</c:v>
                </c:pt>
                <c:pt idx="108">
                  <c:v>2.6046999999999998</c:v>
                </c:pt>
                <c:pt idx="109">
                  <c:v>2.6310799999999999</c:v>
                </c:pt>
                <c:pt idx="110">
                  <c:v>2.6596299999999999</c:v>
                </c:pt>
                <c:pt idx="111">
                  <c:v>2.6909399999999999</c:v>
                </c:pt>
                <c:pt idx="112">
                  <c:v>2.7223899999999999</c:v>
                </c:pt>
                <c:pt idx="113">
                  <c:v>2.7483000000000004</c:v>
                </c:pt>
                <c:pt idx="114">
                  <c:v>2.7722000000000002</c:v>
                </c:pt>
                <c:pt idx="115">
                  <c:v>2.7983000000000002</c:v>
                </c:pt>
                <c:pt idx="116">
                  <c:v>2.8243200000000002</c:v>
                </c:pt>
                <c:pt idx="117">
                  <c:v>2.8521999999999998</c:v>
                </c:pt>
                <c:pt idx="118">
                  <c:v>2.8829400000000001</c:v>
                </c:pt>
                <c:pt idx="119">
                  <c:v>2.9136099999999998</c:v>
                </c:pt>
                <c:pt idx="120">
                  <c:v>2.9427399999999997</c:v>
                </c:pt>
                <c:pt idx="121">
                  <c:v>2.9723300000000004</c:v>
                </c:pt>
                <c:pt idx="122">
                  <c:v>3.0019299999999998</c:v>
                </c:pt>
                <c:pt idx="123">
                  <c:v>3.0287199999999999</c:v>
                </c:pt>
                <c:pt idx="124">
                  <c:v>3.0418600000000002</c:v>
                </c:pt>
                <c:pt idx="125">
                  <c:v>3.0573299999999999</c:v>
                </c:pt>
                <c:pt idx="126">
                  <c:v>3.07186</c:v>
                </c:pt>
                <c:pt idx="127">
                  <c:v>3.0866500000000001</c:v>
                </c:pt>
                <c:pt idx="128">
                  <c:v>3.1044300000000002</c:v>
                </c:pt>
                <c:pt idx="129">
                  <c:v>3.1213899999999999</c:v>
                </c:pt>
                <c:pt idx="130">
                  <c:v>3.1395200000000001</c:v>
                </c:pt>
                <c:pt idx="131">
                  <c:v>3.1564999999999999</c:v>
                </c:pt>
                <c:pt idx="132">
                  <c:v>3.1717599999999999</c:v>
                </c:pt>
                <c:pt idx="133">
                  <c:v>3.1885300000000001</c:v>
                </c:pt>
                <c:pt idx="134">
                  <c:v>3.1999599999999999</c:v>
                </c:pt>
                <c:pt idx="135">
                  <c:v>3.2096499999999999</c:v>
                </c:pt>
                <c:pt idx="136">
                  <c:v>3.2168799999999997</c:v>
                </c:pt>
                <c:pt idx="137">
                  <c:v>3.2244099999999998</c:v>
                </c:pt>
                <c:pt idx="138">
                  <c:v>3.2417600000000002</c:v>
                </c:pt>
                <c:pt idx="139">
                  <c:v>3.26451</c:v>
                </c:pt>
                <c:pt idx="140">
                  <c:v>3.2859500000000001</c:v>
                </c:pt>
                <c:pt idx="141">
                  <c:v>3.3064100000000001</c:v>
                </c:pt>
                <c:pt idx="142">
                  <c:v>3.32064</c:v>
                </c:pt>
                <c:pt idx="143">
                  <c:v>3.3269900000000003</c:v>
                </c:pt>
                <c:pt idx="144">
                  <c:v>3.3312199999999996</c:v>
                </c:pt>
                <c:pt idx="145">
                  <c:v>3.34138</c:v>
                </c:pt>
                <c:pt idx="146">
                  <c:v>3.3531599999999999</c:v>
                </c:pt>
                <c:pt idx="147">
                  <c:v>3.34253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  <c:pt idx="74">
                  <c:v>46.777200000000001</c:v>
                </c:pt>
                <c:pt idx="75">
                  <c:v>46.866</c:v>
                </c:pt>
                <c:pt idx="76">
                  <c:v>47.003599999999999</c:v>
                </c:pt>
                <c:pt idx="77">
                  <c:v>47.161999999999999</c:v>
                </c:pt>
                <c:pt idx="78">
                  <c:v>47.290300000000002</c:v>
                </c:pt>
                <c:pt idx="79">
                  <c:v>47.441000000000003</c:v>
                </c:pt>
                <c:pt idx="80">
                  <c:v>47.5822</c:v>
                </c:pt>
                <c:pt idx="81">
                  <c:v>47.672399999999996</c:v>
                </c:pt>
                <c:pt idx="82">
                  <c:v>47.7346</c:v>
                </c:pt>
                <c:pt idx="83">
                  <c:v>47.796100000000003</c:v>
                </c:pt>
                <c:pt idx="84">
                  <c:v>47.937800000000003</c:v>
                </c:pt>
                <c:pt idx="85">
                  <c:v>48.0777</c:v>
                </c:pt>
                <c:pt idx="86">
                  <c:v>48.2087</c:v>
                </c:pt>
                <c:pt idx="87">
                  <c:v>48.359200000000001</c:v>
                </c:pt>
                <c:pt idx="88">
                  <c:v>48.489100000000001</c:v>
                </c:pt>
                <c:pt idx="89">
                  <c:v>48.639200000000002</c:v>
                </c:pt>
                <c:pt idx="90">
                  <c:v>48.789900000000003</c:v>
                </c:pt>
                <c:pt idx="91">
                  <c:v>48.848799999999997</c:v>
                </c:pt>
                <c:pt idx="92">
                  <c:v>48.834000000000003</c:v>
                </c:pt>
                <c:pt idx="93">
                  <c:v>48.668800000000005</c:v>
                </c:pt>
                <c:pt idx="94">
                  <c:v>48.4833</c:v>
                </c:pt>
                <c:pt idx="95">
                  <c:v>48.397100000000002</c:v>
                </c:pt>
                <c:pt idx="96">
                  <c:v>48.291000000000004</c:v>
                </c:pt>
                <c:pt idx="97">
                  <c:v>48.084400000000002</c:v>
                </c:pt>
                <c:pt idx="98">
                  <c:v>47.797200000000004</c:v>
                </c:pt>
                <c:pt idx="99">
                  <c:v>47.5242</c:v>
                </c:pt>
                <c:pt idx="100">
                  <c:v>47.355799999999995</c:v>
                </c:pt>
                <c:pt idx="101">
                  <c:v>47.061799999999998</c:v>
                </c:pt>
                <c:pt idx="102">
                  <c:v>46.6922</c:v>
                </c:pt>
                <c:pt idx="103">
                  <c:v>46.398099999999999</c:v>
                </c:pt>
                <c:pt idx="104">
                  <c:v>46.048400000000001</c:v>
                </c:pt>
                <c:pt idx="105">
                  <c:v>45.623899999999999</c:v>
                </c:pt>
                <c:pt idx="106">
                  <c:v>45.164400000000001</c:v>
                </c:pt>
                <c:pt idx="107">
                  <c:v>44.597900000000003</c:v>
                </c:pt>
                <c:pt idx="108">
                  <c:v>44.033499999999997</c:v>
                </c:pt>
                <c:pt idx="109">
                  <c:v>43.319400000000002</c:v>
                </c:pt>
                <c:pt idx="110">
                  <c:v>42.590899999999998</c:v>
                </c:pt>
                <c:pt idx="111">
                  <c:v>41.797200000000004</c:v>
                </c:pt>
                <c:pt idx="112">
                  <c:v>41.049100000000003</c:v>
                </c:pt>
                <c:pt idx="113">
                  <c:v>40.549099999999996</c:v>
                </c:pt>
                <c:pt idx="114">
                  <c:v>40.1096</c:v>
                </c:pt>
                <c:pt idx="115">
                  <c:v>39.590899999999998</c:v>
                </c:pt>
                <c:pt idx="116">
                  <c:v>39.061199999999999</c:v>
                </c:pt>
                <c:pt idx="117">
                  <c:v>38.433199999999999</c:v>
                </c:pt>
                <c:pt idx="118">
                  <c:v>37.7607</c:v>
                </c:pt>
                <c:pt idx="119">
                  <c:v>37.066500000000005</c:v>
                </c:pt>
                <c:pt idx="120">
                  <c:v>36.446199999999997</c:v>
                </c:pt>
                <c:pt idx="121">
                  <c:v>35.799399999999999</c:v>
                </c:pt>
                <c:pt idx="122">
                  <c:v>35.202299999999994</c:v>
                </c:pt>
                <c:pt idx="123">
                  <c:v>34.738700000000001</c:v>
                </c:pt>
                <c:pt idx="124">
                  <c:v>34.568100000000001</c:v>
                </c:pt>
                <c:pt idx="125">
                  <c:v>34.371099999999998</c:v>
                </c:pt>
                <c:pt idx="126">
                  <c:v>34.1569</c:v>
                </c:pt>
                <c:pt idx="127">
                  <c:v>33.9422</c:v>
                </c:pt>
                <c:pt idx="128">
                  <c:v>33.725899999999996</c:v>
                </c:pt>
                <c:pt idx="129">
                  <c:v>33.491</c:v>
                </c:pt>
                <c:pt idx="130">
                  <c:v>33.277200000000001</c:v>
                </c:pt>
                <c:pt idx="131">
                  <c:v>33.0276</c:v>
                </c:pt>
                <c:pt idx="132">
                  <c:v>32.783499999999997</c:v>
                </c:pt>
                <c:pt idx="133">
                  <c:v>32.546799999999998</c:v>
                </c:pt>
                <c:pt idx="134">
                  <c:v>32.290999999999997</c:v>
                </c:pt>
                <c:pt idx="135">
                  <c:v>32.022199999999998</c:v>
                </c:pt>
                <c:pt idx="136">
                  <c:v>31.818200000000001</c:v>
                </c:pt>
                <c:pt idx="137">
                  <c:v>31.605599999999999</c:v>
                </c:pt>
                <c:pt idx="138">
                  <c:v>31.215</c:v>
                </c:pt>
                <c:pt idx="139">
                  <c:v>30.7606</c:v>
                </c:pt>
                <c:pt idx="140">
                  <c:v>30.317699999999999</c:v>
                </c:pt>
                <c:pt idx="141">
                  <c:v>29.773300000000003</c:v>
                </c:pt>
                <c:pt idx="142">
                  <c:v>29.263699999999996</c:v>
                </c:pt>
                <c:pt idx="143">
                  <c:v>28.9178</c:v>
                </c:pt>
                <c:pt idx="144">
                  <c:v>28.84</c:v>
                </c:pt>
                <c:pt idx="145">
                  <c:v>28.728999999999999</c:v>
                </c:pt>
                <c:pt idx="146">
                  <c:v>28.979300000000002</c:v>
                </c:pt>
                <c:pt idx="147">
                  <c:v>29.720200000000002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2.4761099999999998</c:v>
                </c:pt>
                <c:pt idx="1">
                  <c:v>2.4656600000000002</c:v>
                </c:pt>
                <c:pt idx="2">
                  <c:v>2.4540600000000001</c:v>
                </c:pt>
                <c:pt idx="3">
                  <c:v>2.4399799999999998</c:v>
                </c:pt>
                <c:pt idx="4">
                  <c:v>2.4244399999999997</c:v>
                </c:pt>
                <c:pt idx="5">
                  <c:v>2.4088099999999999</c:v>
                </c:pt>
                <c:pt idx="6">
                  <c:v>2.39642</c:v>
                </c:pt>
                <c:pt idx="7">
                  <c:v>2.3868</c:v>
                </c:pt>
                <c:pt idx="8">
                  <c:v>2.38158</c:v>
                </c:pt>
                <c:pt idx="9">
                  <c:v>2.3803999999999998</c:v>
                </c:pt>
                <c:pt idx="10">
                  <c:v>2.3810700000000002</c:v>
                </c:pt>
                <c:pt idx="11">
                  <c:v>2.3787500000000001</c:v>
                </c:pt>
                <c:pt idx="12">
                  <c:v>2.37635</c:v>
                </c:pt>
                <c:pt idx="13">
                  <c:v>2.3738600000000001</c:v>
                </c:pt>
                <c:pt idx="14">
                  <c:v>2.37039</c:v>
                </c:pt>
                <c:pt idx="15">
                  <c:v>2.3664399999999999</c:v>
                </c:pt>
                <c:pt idx="16">
                  <c:v>2.3623500000000002</c:v>
                </c:pt>
                <c:pt idx="17">
                  <c:v>2.3588899999999997</c:v>
                </c:pt>
                <c:pt idx="18">
                  <c:v>2.3590499999999999</c:v>
                </c:pt>
                <c:pt idx="19">
                  <c:v>2.3624300000000003</c:v>
                </c:pt>
                <c:pt idx="20">
                  <c:v>2.3681299999999998</c:v>
                </c:pt>
                <c:pt idx="21">
                  <c:v>2.3752899999999997</c:v>
                </c:pt>
                <c:pt idx="22">
                  <c:v>2.3822099999999997</c:v>
                </c:pt>
                <c:pt idx="23">
                  <c:v>2.39256</c:v>
                </c:pt>
                <c:pt idx="24">
                  <c:v>2.4072100000000001</c:v>
                </c:pt>
                <c:pt idx="25">
                  <c:v>2.42157</c:v>
                </c:pt>
                <c:pt idx="26">
                  <c:v>2.4359299999999999</c:v>
                </c:pt>
                <c:pt idx="27">
                  <c:v>2.44882</c:v>
                </c:pt>
                <c:pt idx="28">
                  <c:v>2.4674100000000001</c:v>
                </c:pt>
                <c:pt idx="29">
                  <c:v>2.4884400000000002</c:v>
                </c:pt>
                <c:pt idx="30">
                  <c:v>2.5075399999999997</c:v>
                </c:pt>
                <c:pt idx="31">
                  <c:v>2.5271100000000004</c:v>
                </c:pt>
                <c:pt idx="32">
                  <c:v>2.5465300000000002</c:v>
                </c:pt>
                <c:pt idx="33">
                  <c:v>2.5658099999999999</c:v>
                </c:pt>
                <c:pt idx="34">
                  <c:v>2.5858099999999999</c:v>
                </c:pt>
                <c:pt idx="35">
                  <c:v>2.6046999999999998</c:v>
                </c:pt>
                <c:pt idx="36">
                  <c:v>2.6310799999999999</c:v>
                </c:pt>
                <c:pt idx="37">
                  <c:v>2.6596299999999999</c:v>
                </c:pt>
                <c:pt idx="38">
                  <c:v>2.6909399999999999</c:v>
                </c:pt>
                <c:pt idx="39">
                  <c:v>2.7223899999999999</c:v>
                </c:pt>
                <c:pt idx="40">
                  <c:v>2.7483000000000004</c:v>
                </c:pt>
                <c:pt idx="41">
                  <c:v>2.7722000000000002</c:v>
                </c:pt>
                <c:pt idx="42">
                  <c:v>2.7983000000000002</c:v>
                </c:pt>
                <c:pt idx="43">
                  <c:v>2.8243200000000002</c:v>
                </c:pt>
                <c:pt idx="44">
                  <c:v>2.8521999999999998</c:v>
                </c:pt>
                <c:pt idx="45">
                  <c:v>2.8829400000000001</c:v>
                </c:pt>
                <c:pt idx="46">
                  <c:v>2.9136099999999998</c:v>
                </c:pt>
                <c:pt idx="47">
                  <c:v>2.9427399999999997</c:v>
                </c:pt>
                <c:pt idx="48">
                  <c:v>2.9723300000000004</c:v>
                </c:pt>
                <c:pt idx="49">
                  <c:v>3.0019299999999998</c:v>
                </c:pt>
                <c:pt idx="50">
                  <c:v>3.0287199999999999</c:v>
                </c:pt>
                <c:pt idx="51">
                  <c:v>3.0418600000000002</c:v>
                </c:pt>
                <c:pt idx="52">
                  <c:v>3.0573299999999999</c:v>
                </c:pt>
                <c:pt idx="53">
                  <c:v>3.07186</c:v>
                </c:pt>
                <c:pt idx="54">
                  <c:v>3.0866500000000001</c:v>
                </c:pt>
                <c:pt idx="55">
                  <c:v>3.1044300000000002</c:v>
                </c:pt>
                <c:pt idx="56">
                  <c:v>3.1213899999999999</c:v>
                </c:pt>
                <c:pt idx="57">
                  <c:v>3.1395200000000001</c:v>
                </c:pt>
                <c:pt idx="58">
                  <c:v>3.1564999999999999</c:v>
                </c:pt>
                <c:pt idx="59">
                  <c:v>3.1717599999999999</c:v>
                </c:pt>
                <c:pt idx="60">
                  <c:v>3.1885300000000001</c:v>
                </c:pt>
                <c:pt idx="61">
                  <c:v>3.1999599999999999</c:v>
                </c:pt>
                <c:pt idx="62">
                  <c:v>3.2096499999999999</c:v>
                </c:pt>
                <c:pt idx="63">
                  <c:v>3.2168799999999997</c:v>
                </c:pt>
                <c:pt idx="64">
                  <c:v>3.2244099999999998</c:v>
                </c:pt>
                <c:pt idx="65">
                  <c:v>3.2417600000000002</c:v>
                </c:pt>
                <c:pt idx="66">
                  <c:v>3.26451</c:v>
                </c:pt>
                <c:pt idx="67">
                  <c:v>3.2859500000000001</c:v>
                </c:pt>
                <c:pt idx="68">
                  <c:v>3.3064100000000001</c:v>
                </c:pt>
                <c:pt idx="69">
                  <c:v>3.32064</c:v>
                </c:pt>
                <c:pt idx="70">
                  <c:v>3.3269900000000003</c:v>
                </c:pt>
                <c:pt idx="71">
                  <c:v>3.3312199999999996</c:v>
                </c:pt>
                <c:pt idx="72">
                  <c:v>3.34138</c:v>
                </c:pt>
                <c:pt idx="73">
                  <c:v>3.3531599999999999</c:v>
                </c:pt>
                <c:pt idx="74">
                  <c:v>3.34253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46.669699999999999</c:v>
                </c:pt>
                <c:pt idx="1">
                  <c:v>46.777200000000001</c:v>
                </c:pt>
                <c:pt idx="2">
                  <c:v>46.866</c:v>
                </c:pt>
                <c:pt idx="3">
                  <c:v>47.003599999999999</c:v>
                </c:pt>
                <c:pt idx="4">
                  <c:v>47.161999999999999</c:v>
                </c:pt>
                <c:pt idx="5">
                  <c:v>47.290300000000002</c:v>
                </c:pt>
                <c:pt idx="6">
                  <c:v>47.441000000000003</c:v>
                </c:pt>
                <c:pt idx="7">
                  <c:v>47.5822</c:v>
                </c:pt>
                <c:pt idx="8">
                  <c:v>47.672399999999996</c:v>
                </c:pt>
                <c:pt idx="9">
                  <c:v>47.7346</c:v>
                </c:pt>
                <c:pt idx="10">
                  <c:v>47.796100000000003</c:v>
                </c:pt>
                <c:pt idx="11">
                  <c:v>47.937800000000003</c:v>
                </c:pt>
                <c:pt idx="12">
                  <c:v>48.0777</c:v>
                </c:pt>
                <c:pt idx="13">
                  <c:v>48.2087</c:v>
                </c:pt>
                <c:pt idx="14">
                  <c:v>48.359200000000001</c:v>
                </c:pt>
                <c:pt idx="15">
                  <c:v>48.489100000000001</c:v>
                </c:pt>
                <c:pt idx="16">
                  <c:v>48.639200000000002</c:v>
                </c:pt>
                <c:pt idx="17">
                  <c:v>48.789900000000003</c:v>
                </c:pt>
                <c:pt idx="18">
                  <c:v>48.848799999999997</c:v>
                </c:pt>
                <c:pt idx="19">
                  <c:v>48.834000000000003</c:v>
                </c:pt>
                <c:pt idx="20">
                  <c:v>48.668800000000005</c:v>
                </c:pt>
                <c:pt idx="21">
                  <c:v>48.4833</c:v>
                </c:pt>
                <c:pt idx="22">
                  <c:v>48.397100000000002</c:v>
                </c:pt>
                <c:pt idx="23">
                  <c:v>48.291000000000004</c:v>
                </c:pt>
                <c:pt idx="24">
                  <c:v>48.084400000000002</c:v>
                </c:pt>
                <c:pt idx="25">
                  <c:v>47.797200000000004</c:v>
                </c:pt>
                <c:pt idx="26">
                  <c:v>47.5242</c:v>
                </c:pt>
                <c:pt idx="27">
                  <c:v>47.355799999999995</c:v>
                </c:pt>
                <c:pt idx="28">
                  <c:v>47.061799999999998</c:v>
                </c:pt>
                <c:pt idx="29">
                  <c:v>46.6922</c:v>
                </c:pt>
                <c:pt idx="30">
                  <c:v>46.398099999999999</c:v>
                </c:pt>
                <c:pt idx="31">
                  <c:v>46.048400000000001</c:v>
                </c:pt>
                <c:pt idx="32">
                  <c:v>45.623899999999999</c:v>
                </c:pt>
                <c:pt idx="33">
                  <c:v>45.164400000000001</c:v>
                </c:pt>
                <c:pt idx="34">
                  <c:v>44.597900000000003</c:v>
                </c:pt>
                <c:pt idx="35">
                  <c:v>44.033499999999997</c:v>
                </c:pt>
                <c:pt idx="36">
                  <c:v>43.319400000000002</c:v>
                </c:pt>
                <c:pt idx="37">
                  <c:v>42.590899999999998</c:v>
                </c:pt>
                <c:pt idx="38">
                  <c:v>41.797200000000004</c:v>
                </c:pt>
                <c:pt idx="39">
                  <c:v>41.049100000000003</c:v>
                </c:pt>
                <c:pt idx="40">
                  <c:v>40.549099999999996</c:v>
                </c:pt>
                <c:pt idx="41">
                  <c:v>40.1096</c:v>
                </c:pt>
                <c:pt idx="42">
                  <c:v>39.590899999999998</c:v>
                </c:pt>
                <c:pt idx="43">
                  <c:v>39.061199999999999</c:v>
                </c:pt>
                <c:pt idx="44">
                  <c:v>38.433199999999999</c:v>
                </c:pt>
                <c:pt idx="45">
                  <c:v>37.7607</c:v>
                </c:pt>
                <c:pt idx="46">
                  <c:v>37.066500000000005</c:v>
                </c:pt>
                <c:pt idx="47">
                  <c:v>36.446199999999997</c:v>
                </c:pt>
                <c:pt idx="48">
                  <c:v>35.799399999999999</c:v>
                </c:pt>
                <c:pt idx="49">
                  <c:v>35.202299999999994</c:v>
                </c:pt>
                <c:pt idx="50">
                  <c:v>34.738700000000001</c:v>
                </c:pt>
                <c:pt idx="51">
                  <c:v>34.568100000000001</c:v>
                </c:pt>
                <c:pt idx="52">
                  <c:v>34.371099999999998</c:v>
                </c:pt>
                <c:pt idx="53">
                  <c:v>34.1569</c:v>
                </c:pt>
                <c:pt idx="54">
                  <c:v>33.9422</c:v>
                </c:pt>
                <c:pt idx="55">
                  <c:v>33.725899999999996</c:v>
                </c:pt>
                <c:pt idx="56">
                  <c:v>33.491</c:v>
                </c:pt>
                <c:pt idx="57">
                  <c:v>33.277200000000001</c:v>
                </c:pt>
                <c:pt idx="58">
                  <c:v>33.0276</c:v>
                </c:pt>
                <c:pt idx="59">
                  <c:v>32.783499999999997</c:v>
                </c:pt>
                <c:pt idx="60">
                  <c:v>32.546799999999998</c:v>
                </c:pt>
                <c:pt idx="61">
                  <c:v>32.290999999999997</c:v>
                </c:pt>
                <c:pt idx="62">
                  <c:v>32.022199999999998</c:v>
                </c:pt>
                <c:pt idx="63">
                  <c:v>31.818200000000001</c:v>
                </c:pt>
                <c:pt idx="64">
                  <c:v>31.605599999999999</c:v>
                </c:pt>
                <c:pt idx="65">
                  <c:v>31.215</c:v>
                </c:pt>
                <c:pt idx="66">
                  <c:v>30.7606</c:v>
                </c:pt>
                <c:pt idx="67">
                  <c:v>30.317699999999999</c:v>
                </c:pt>
                <c:pt idx="68">
                  <c:v>29.773300000000003</c:v>
                </c:pt>
                <c:pt idx="69">
                  <c:v>29.263699999999996</c:v>
                </c:pt>
                <c:pt idx="70">
                  <c:v>28.9178</c:v>
                </c:pt>
                <c:pt idx="71">
                  <c:v>28.84</c:v>
                </c:pt>
                <c:pt idx="72">
                  <c:v>28.728999999999999</c:v>
                </c:pt>
                <c:pt idx="73">
                  <c:v>28.979300000000002</c:v>
                </c:pt>
                <c:pt idx="74">
                  <c:v>29.720200000000002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2.0628227027027024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48.823720270270293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2.7635095945945953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40.586352702702705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2.7635095945945953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40.586352702702705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0.26285543324050331</c:v>
                </c:pt>
                <c:pt idx="1">
                  <c:v>0.35216476571938549</c:v>
                </c:pt>
                <c:pt idx="2">
                  <c:v>0.38497980104011115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  <c:pt idx="74">
                  <c:v>30.063600000000001</c:v>
                </c:pt>
                <c:pt idx="75">
                  <c:v>30.488700000000001</c:v>
                </c:pt>
                <c:pt idx="76">
                  <c:v>30.894600000000001</c:v>
                </c:pt>
                <c:pt idx="77">
                  <c:v>31.2986</c:v>
                </c:pt>
                <c:pt idx="78">
                  <c:v>31.705400000000001</c:v>
                </c:pt>
                <c:pt idx="79">
                  <c:v>32.113100000000003</c:v>
                </c:pt>
                <c:pt idx="80">
                  <c:v>32.519799999999996</c:v>
                </c:pt>
                <c:pt idx="81">
                  <c:v>32.925699999999999</c:v>
                </c:pt>
                <c:pt idx="82">
                  <c:v>33.328099999999999</c:v>
                </c:pt>
                <c:pt idx="83">
                  <c:v>33.743600000000001</c:v>
                </c:pt>
                <c:pt idx="84">
                  <c:v>34.1404</c:v>
                </c:pt>
                <c:pt idx="85">
                  <c:v>34.5486</c:v>
                </c:pt>
                <c:pt idx="86">
                  <c:v>34.957599999999999</c:v>
                </c:pt>
                <c:pt idx="87">
                  <c:v>35.357900000000001</c:v>
                </c:pt>
                <c:pt idx="88">
                  <c:v>35.765599999999999</c:v>
                </c:pt>
                <c:pt idx="89">
                  <c:v>36.177799999999998</c:v>
                </c:pt>
                <c:pt idx="90">
                  <c:v>36.580100000000002</c:v>
                </c:pt>
                <c:pt idx="91">
                  <c:v>36.987099999999998</c:v>
                </c:pt>
                <c:pt idx="92">
                  <c:v>37.391399999999997</c:v>
                </c:pt>
                <c:pt idx="93">
                  <c:v>37.796500000000002</c:v>
                </c:pt>
                <c:pt idx="94">
                  <c:v>38.201900000000002</c:v>
                </c:pt>
                <c:pt idx="95">
                  <c:v>38.612000000000002</c:v>
                </c:pt>
                <c:pt idx="96">
                  <c:v>39.018900000000002</c:v>
                </c:pt>
                <c:pt idx="97">
                  <c:v>39.426099999999998</c:v>
                </c:pt>
                <c:pt idx="98">
                  <c:v>39.8279</c:v>
                </c:pt>
                <c:pt idx="99">
                  <c:v>40.234200000000001</c:v>
                </c:pt>
                <c:pt idx="100">
                  <c:v>40.640099999999997</c:v>
                </c:pt>
                <c:pt idx="101">
                  <c:v>41.047499999999999</c:v>
                </c:pt>
                <c:pt idx="102">
                  <c:v>41.453099999999999</c:v>
                </c:pt>
                <c:pt idx="103">
                  <c:v>41.8596</c:v>
                </c:pt>
                <c:pt idx="104">
                  <c:v>42.266599999999997</c:v>
                </c:pt>
                <c:pt idx="105">
                  <c:v>42.670499999999997</c:v>
                </c:pt>
                <c:pt idx="106">
                  <c:v>43.078600000000002</c:v>
                </c:pt>
                <c:pt idx="107">
                  <c:v>43.482799999999997</c:v>
                </c:pt>
                <c:pt idx="108">
                  <c:v>43.891500000000001</c:v>
                </c:pt>
                <c:pt idx="109">
                  <c:v>44.2988</c:v>
                </c:pt>
                <c:pt idx="110">
                  <c:v>44.706000000000003</c:v>
                </c:pt>
                <c:pt idx="111">
                  <c:v>45.110199999999999</c:v>
                </c:pt>
                <c:pt idx="112">
                  <c:v>45.518700000000003</c:v>
                </c:pt>
                <c:pt idx="113">
                  <c:v>45.924399999999999</c:v>
                </c:pt>
                <c:pt idx="114">
                  <c:v>46.329500000000003</c:v>
                </c:pt>
                <c:pt idx="115">
                  <c:v>46.734400000000001</c:v>
                </c:pt>
                <c:pt idx="116">
                  <c:v>47.1432</c:v>
                </c:pt>
                <c:pt idx="117">
                  <c:v>47.548200000000001</c:v>
                </c:pt>
                <c:pt idx="118">
                  <c:v>47.956000000000003</c:v>
                </c:pt>
                <c:pt idx="119">
                  <c:v>48.358199999999997</c:v>
                </c:pt>
                <c:pt idx="120">
                  <c:v>48.766100000000002</c:v>
                </c:pt>
                <c:pt idx="121">
                  <c:v>49.1736</c:v>
                </c:pt>
                <c:pt idx="122">
                  <c:v>49.582500000000003</c:v>
                </c:pt>
                <c:pt idx="123">
                  <c:v>49.988700000000001</c:v>
                </c:pt>
                <c:pt idx="124">
                  <c:v>50.393999999999998</c:v>
                </c:pt>
                <c:pt idx="125">
                  <c:v>50.8003</c:v>
                </c:pt>
                <c:pt idx="126">
                  <c:v>51.2059</c:v>
                </c:pt>
                <c:pt idx="127">
                  <c:v>51.611199999999997</c:v>
                </c:pt>
                <c:pt idx="128">
                  <c:v>52.018500000000003</c:v>
                </c:pt>
                <c:pt idx="129">
                  <c:v>52.421100000000003</c:v>
                </c:pt>
                <c:pt idx="130">
                  <c:v>52.8264</c:v>
                </c:pt>
                <c:pt idx="131">
                  <c:v>53.232599999999998</c:v>
                </c:pt>
                <c:pt idx="132">
                  <c:v>53.642899999999997</c:v>
                </c:pt>
                <c:pt idx="133">
                  <c:v>54.048499999999997</c:v>
                </c:pt>
                <c:pt idx="134">
                  <c:v>54.452800000000003</c:v>
                </c:pt>
                <c:pt idx="135">
                  <c:v>54.8611</c:v>
                </c:pt>
                <c:pt idx="136">
                  <c:v>55.267499999999998</c:v>
                </c:pt>
                <c:pt idx="137">
                  <c:v>55.674399999999999</c:v>
                </c:pt>
                <c:pt idx="138">
                  <c:v>56.081400000000002</c:v>
                </c:pt>
                <c:pt idx="139">
                  <c:v>56.490099999999998</c:v>
                </c:pt>
                <c:pt idx="140">
                  <c:v>56.891300000000001</c:v>
                </c:pt>
                <c:pt idx="141">
                  <c:v>57.296999999999997</c:v>
                </c:pt>
                <c:pt idx="142">
                  <c:v>57.702800000000003</c:v>
                </c:pt>
                <c:pt idx="143">
                  <c:v>58.115900000000003</c:v>
                </c:pt>
                <c:pt idx="144">
                  <c:v>58.5167</c:v>
                </c:pt>
                <c:pt idx="145">
                  <c:v>58.921799999999998</c:v>
                </c:pt>
                <c:pt idx="146">
                  <c:v>59.329500000000003</c:v>
                </c:pt>
                <c:pt idx="147">
                  <c:v>59.737200000000001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  <c:pt idx="74">
                  <c:v>2.4656600000000002</c:v>
                </c:pt>
                <c:pt idx="75">
                  <c:v>2.4540600000000001</c:v>
                </c:pt>
                <c:pt idx="76">
                  <c:v>2.4399799999999998</c:v>
                </c:pt>
                <c:pt idx="77">
                  <c:v>2.4244399999999997</c:v>
                </c:pt>
                <c:pt idx="78">
                  <c:v>2.4088099999999999</c:v>
                </c:pt>
                <c:pt idx="79">
                  <c:v>2.39642</c:v>
                </c:pt>
                <c:pt idx="80">
                  <c:v>2.3868</c:v>
                </c:pt>
                <c:pt idx="81">
                  <c:v>2.38158</c:v>
                </c:pt>
                <c:pt idx="82">
                  <c:v>2.3803999999999998</c:v>
                </c:pt>
                <c:pt idx="83">
                  <c:v>2.3810700000000002</c:v>
                </c:pt>
                <c:pt idx="84">
                  <c:v>2.3787500000000001</c:v>
                </c:pt>
                <c:pt idx="85">
                  <c:v>2.37635</c:v>
                </c:pt>
                <c:pt idx="86">
                  <c:v>2.3738600000000001</c:v>
                </c:pt>
                <c:pt idx="87">
                  <c:v>2.37039</c:v>
                </c:pt>
                <c:pt idx="88">
                  <c:v>2.3664399999999999</c:v>
                </c:pt>
                <c:pt idx="89">
                  <c:v>2.3623500000000002</c:v>
                </c:pt>
                <c:pt idx="90">
                  <c:v>2.3588899999999997</c:v>
                </c:pt>
                <c:pt idx="91">
                  <c:v>2.3590499999999999</c:v>
                </c:pt>
                <c:pt idx="92">
                  <c:v>2.3624300000000003</c:v>
                </c:pt>
                <c:pt idx="93">
                  <c:v>2.3681299999999998</c:v>
                </c:pt>
                <c:pt idx="94">
                  <c:v>2.3752899999999997</c:v>
                </c:pt>
                <c:pt idx="95">
                  <c:v>2.3822099999999997</c:v>
                </c:pt>
                <c:pt idx="96">
                  <c:v>2.39256</c:v>
                </c:pt>
                <c:pt idx="97">
                  <c:v>2.4072100000000001</c:v>
                </c:pt>
                <c:pt idx="98">
                  <c:v>2.42157</c:v>
                </c:pt>
                <c:pt idx="99">
                  <c:v>2.4359299999999999</c:v>
                </c:pt>
                <c:pt idx="100">
                  <c:v>2.44882</c:v>
                </c:pt>
                <c:pt idx="101">
                  <c:v>2.4674100000000001</c:v>
                </c:pt>
                <c:pt idx="102">
                  <c:v>2.4884400000000002</c:v>
                </c:pt>
                <c:pt idx="103">
                  <c:v>2.5075399999999997</c:v>
                </c:pt>
                <c:pt idx="104">
                  <c:v>2.5271100000000004</c:v>
                </c:pt>
                <c:pt idx="105">
                  <c:v>2.5465300000000002</c:v>
                </c:pt>
                <c:pt idx="106">
                  <c:v>2.5658099999999999</c:v>
                </c:pt>
                <c:pt idx="107">
                  <c:v>2.5858099999999999</c:v>
                </c:pt>
                <c:pt idx="108">
                  <c:v>2.6046999999999998</c:v>
                </c:pt>
                <c:pt idx="109">
                  <c:v>2.6310799999999999</c:v>
                </c:pt>
                <c:pt idx="110">
                  <c:v>2.6596299999999999</c:v>
                </c:pt>
                <c:pt idx="111">
                  <c:v>2.6909399999999999</c:v>
                </c:pt>
                <c:pt idx="112">
                  <c:v>2.7223899999999999</c:v>
                </c:pt>
                <c:pt idx="113">
                  <c:v>2.7483000000000004</c:v>
                </c:pt>
                <c:pt idx="114">
                  <c:v>2.7722000000000002</c:v>
                </c:pt>
                <c:pt idx="115">
                  <c:v>2.7983000000000002</c:v>
                </c:pt>
                <c:pt idx="116">
                  <c:v>2.8243200000000002</c:v>
                </c:pt>
                <c:pt idx="117">
                  <c:v>2.8521999999999998</c:v>
                </c:pt>
                <c:pt idx="118">
                  <c:v>2.8829400000000001</c:v>
                </c:pt>
                <c:pt idx="119">
                  <c:v>2.9136099999999998</c:v>
                </c:pt>
                <c:pt idx="120">
                  <c:v>2.9427399999999997</c:v>
                </c:pt>
                <c:pt idx="121">
                  <c:v>2.9723300000000004</c:v>
                </c:pt>
                <c:pt idx="122">
                  <c:v>3.0019299999999998</c:v>
                </c:pt>
                <c:pt idx="123">
                  <c:v>3.0287199999999999</c:v>
                </c:pt>
                <c:pt idx="124">
                  <c:v>3.0418600000000002</c:v>
                </c:pt>
                <c:pt idx="125">
                  <c:v>3.0573299999999999</c:v>
                </c:pt>
                <c:pt idx="126">
                  <c:v>3.07186</c:v>
                </c:pt>
                <c:pt idx="127">
                  <c:v>3.0866500000000001</c:v>
                </c:pt>
                <c:pt idx="128">
                  <c:v>3.1044300000000002</c:v>
                </c:pt>
                <c:pt idx="129">
                  <c:v>3.1213899999999999</c:v>
                </c:pt>
                <c:pt idx="130">
                  <c:v>3.1395200000000001</c:v>
                </c:pt>
                <c:pt idx="131">
                  <c:v>3.1564999999999999</c:v>
                </c:pt>
                <c:pt idx="132">
                  <c:v>3.1717599999999999</c:v>
                </c:pt>
                <c:pt idx="133">
                  <c:v>3.1885300000000001</c:v>
                </c:pt>
                <c:pt idx="134">
                  <c:v>3.1999599999999999</c:v>
                </c:pt>
                <c:pt idx="135">
                  <c:v>3.2096499999999999</c:v>
                </c:pt>
                <c:pt idx="136">
                  <c:v>3.2168799999999997</c:v>
                </c:pt>
                <c:pt idx="137">
                  <c:v>3.2244099999999998</c:v>
                </c:pt>
                <c:pt idx="138">
                  <c:v>3.2417600000000002</c:v>
                </c:pt>
                <c:pt idx="139">
                  <c:v>3.26451</c:v>
                </c:pt>
                <c:pt idx="140">
                  <c:v>3.2859500000000001</c:v>
                </c:pt>
                <c:pt idx="141">
                  <c:v>3.3064100000000001</c:v>
                </c:pt>
                <c:pt idx="142">
                  <c:v>3.32064</c:v>
                </c:pt>
                <c:pt idx="143">
                  <c:v>3.3269900000000003</c:v>
                </c:pt>
                <c:pt idx="144">
                  <c:v>3.3312199999999996</c:v>
                </c:pt>
                <c:pt idx="145">
                  <c:v>3.34138</c:v>
                </c:pt>
                <c:pt idx="146">
                  <c:v>3.3531599999999999</c:v>
                </c:pt>
                <c:pt idx="147">
                  <c:v>3.34253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29.657900000000001</c:v>
                </c:pt>
                <c:pt idx="1">
                  <c:v>30.063600000000001</c:v>
                </c:pt>
                <c:pt idx="2">
                  <c:v>30.488700000000001</c:v>
                </c:pt>
                <c:pt idx="3">
                  <c:v>30.894600000000001</c:v>
                </c:pt>
                <c:pt idx="4">
                  <c:v>31.2986</c:v>
                </c:pt>
                <c:pt idx="5">
                  <c:v>31.705400000000001</c:v>
                </c:pt>
                <c:pt idx="6">
                  <c:v>32.113100000000003</c:v>
                </c:pt>
                <c:pt idx="7">
                  <c:v>32.519799999999996</c:v>
                </c:pt>
                <c:pt idx="8">
                  <c:v>32.925699999999999</c:v>
                </c:pt>
                <c:pt idx="9">
                  <c:v>33.328099999999999</c:v>
                </c:pt>
                <c:pt idx="10">
                  <c:v>33.743600000000001</c:v>
                </c:pt>
                <c:pt idx="11">
                  <c:v>34.1404</c:v>
                </c:pt>
                <c:pt idx="12">
                  <c:v>34.5486</c:v>
                </c:pt>
                <c:pt idx="13">
                  <c:v>34.957599999999999</c:v>
                </c:pt>
                <c:pt idx="14">
                  <c:v>35.357900000000001</c:v>
                </c:pt>
                <c:pt idx="15">
                  <c:v>35.765599999999999</c:v>
                </c:pt>
                <c:pt idx="16">
                  <c:v>36.177799999999998</c:v>
                </c:pt>
                <c:pt idx="17">
                  <c:v>36.580100000000002</c:v>
                </c:pt>
                <c:pt idx="18">
                  <c:v>36.987099999999998</c:v>
                </c:pt>
                <c:pt idx="19">
                  <c:v>37.391399999999997</c:v>
                </c:pt>
                <c:pt idx="20">
                  <c:v>37.796500000000002</c:v>
                </c:pt>
                <c:pt idx="21">
                  <c:v>38.201900000000002</c:v>
                </c:pt>
                <c:pt idx="22">
                  <c:v>38.612000000000002</c:v>
                </c:pt>
                <c:pt idx="23">
                  <c:v>39.018900000000002</c:v>
                </c:pt>
                <c:pt idx="24">
                  <c:v>39.426099999999998</c:v>
                </c:pt>
                <c:pt idx="25">
                  <c:v>39.8279</c:v>
                </c:pt>
                <c:pt idx="26">
                  <c:v>40.234200000000001</c:v>
                </c:pt>
                <c:pt idx="27">
                  <c:v>40.640099999999997</c:v>
                </c:pt>
                <c:pt idx="28">
                  <c:v>41.047499999999999</c:v>
                </c:pt>
                <c:pt idx="29">
                  <c:v>41.453099999999999</c:v>
                </c:pt>
                <c:pt idx="30">
                  <c:v>41.8596</c:v>
                </c:pt>
                <c:pt idx="31">
                  <c:v>42.266599999999997</c:v>
                </c:pt>
                <c:pt idx="32">
                  <c:v>42.670499999999997</c:v>
                </c:pt>
                <c:pt idx="33">
                  <c:v>43.078600000000002</c:v>
                </c:pt>
                <c:pt idx="34">
                  <c:v>43.482799999999997</c:v>
                </c:pt>
                <c:pt idx="35">
                  <c:v>43.891500000000001</c:v>
                </c:pt>
                <c:pt idx="36">
                  <c:v>44.2988</c:v>
                </c:pt>
                <c:pt idx="37">
                  <c:v>44.706000000000003</c:v>
                </c:pt>
                <c:pt idx="38">
                  <c:v>45.110199999999999</c:v>
                </c:pt>
                <c:pt idx="39">
                  <c:v>45.518700000000003</c:v>
                </c:pt>
                <c:pt idx="40">
                  <c:v>45.924399999999999</c:v>
                </c:pt>
                <c:pt idx="41">
                  <c:v>46.329500000000003</c:v>
                </c:pt>
                <c:pt idx="42">
                  <c:v>46.734400000000001</c:v>
                </c:pt>
                <c:pt idx="43">
                  <c:v>47.1432</c:v>
                </c:pt>
                <c:pt idx="44">
                  <c:v>47.548200000000001</c:v>
                </c:pt>
                <c:pt idx="45">
                  <c:v>47.956000000000003</c:v>
                </c:pt>
                <c:pt idx="46">
                  <c:v>48.358199999999997</c:v>
                </c:pt>
                <c:pt idx="47">
                  <c:v>48.766100000000002</c:v>
                </c:pt>
                <c:pt idx="48">
                  <c:v>49.1736</c:v>
                </c:pt>
                <c:pt idx="49">
                  <c:v>49.582500000000003</c:v>
                </c:pt>
                <c:pt idx="50">
                  <c:v>49.988700000000001</c:v>
                </c:pt>
                <c:pt idx="51">
                  <c:v>50.393999999999998</c:v>
                </c:pt>
                <c:pt idx="52">
                  <c:v>50.8003</c:v>
                </c:pt>
                <c:pt idx="53">
                  <c:v>51.2059</c:v>
                </c:pt>
                <c:pt idx="54">
                  <c:v>51.611199999999997</c:v>
                </c:pt>
                <c:pt idx="55">
                  <c:v>52.018500000000003</c:v>
                </c:pt>
                <c:pt idx="56">
                  <c:v>52.421100000000003</c:v>
                </c:pt>
                <c:pt idx="57">
                  <c:v>52.8264</c:v>
                </c:pt>
                <c:pt idx="58">
                  <c:v>53.232599999999998</c:v>
                </c:pt>
                <c:pt idx="59">
                  <c:v>53.642899999999997</c:v>
                </c:pt>
                <c:pt idx="60">
                  <c:v>54.048499999999997</c:v>
                </c:pt>
                <c:pt idx="61">
                  <c:v>54.452800000000003</c:v>
                </c:pt>
                <c:pt idx="62">
                  <c:v>54.8611</c:v>
                </c:pt>
                <c:pt idx="63">
                  <c:v>55.267499999999998</c:v>
                </c:pt>
                <c:pt idx="64">
                  <c:v>55.674399999999999</c:v>
                </c:pt>
                <c:pt idx="65">
                  <c:v>56.081400000000002</c:v>
                </c:pt>
                <c:pt idx="66">
                  <c:v>56.490099999999998</c:v>
                </c:pt>
                <c:pt idx="67">
                  <c:v>56.891300000000001</c:v>
                </c:pt>
                <c:pt idx="68">
                  <c:v>57.296999999999997</c:v>
                </c:pt>
                <c:pt idx="69">
                  <c:v>57.702800000000003</c:v>
                </c:pt>
                <c:pt idx="70">
                  <c:v>58.115900000000003</c:v>
                </c:pt>
                <c:pt idx="71">
                  <c:v>58.5167</c:v>
                </c:pt>
                <c:pt idx="72">
                  <c:v>58.921799999999998</c:v>
                </c:pt>
                <c:pt idx="73">
                  <c:v>59.329500000000003</c:v>
                </c:pt>
                <c:pt idx="74">
                  <c:v>59.737200000000001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2.4761099999999998</c:v>
                </c:pt>
                <c:pt idx="1">
                  <c:v>2.4656600000000002</c:v>
                </c:pt>
                <c:pt idx="2">
                  <c:v>2.4540600000000001</c:v>
                </c:pt>
                <c:pt idx="3">
                  <c:v>2.4399799999999998</c:v>
                </c:pt>
                <c:pt idx="4">
                  <c:v>2.4244399999999997</c:v>
                </c:pt>
                <c:pt idx="5">
                  <c:v>2.4088099999999999</c:v>
                </c:pt>
                <c:pt idx="6">
                  <c:v>2.39642</c:v>
                </c:pt>
                <c:pt idx="7">
                  <c:v>2.3868</c:v>
                </c:pt>
                <c:pt idx="8">
                  <c:v>2.38158</c:v>
                </c:pt>
                <c:pt idx="9">
                  <c:v>2.3803999999999998</c:v>
                </c:pt>
                <c:pt idx="10">
                  <c:v>2.3810700000000002</c:v>
                </c:pt>
                <c:pt idx="11">
                  <c:v>2.3787500000000001</c:v>
                </c:pt>
                <c:pt idx="12">
                  <c:v>2.37635</c:v>
                </c:pt>
                <c:pt idx="13">
                  <c:v>2.3738600000000001</c:v>
                </c:pt>
                <c:pt idx="14">
                  <c:v>2.37039</c:v>
                </c:pt>
                <c:pt idx="15">
                  <c:v>2.3664399999999999</c:v>
                </c:pt>
                <c:pt idx="16">
                  <c:v>2.3623500000000002</c:v>
                </c:pt>
                <c:pt idx="17">
                  <c:v>2.3588899999999997</c:v>
                </c:pt>
                <c:pt idx="18">
                  <c:v>2.3590499999999999</c:v>
                </c:pt>
                <c:pt idx="19">
                  <c:v>2.3624300000000003</c:v>
                </c:pt>
                <c:pt idx="20">
                  <c:v>2.3681299999999998</c:v>
                </c:pt>
                <c:pt idx="21">
                  <c:v>2.3752899999999997</c:v>
                </c:pt>
                <c:pt idx="22">
                  <c:v>2.3822099999999997</c:v>
                </c:pt>
                <c:pt idx="23">
                  <c:v>2.39256</c:v>
                </c:pt>
                <c:pt idx="24">
                  <c:v>2.4072100000000001</c:v>
                </c:pt>
                <c:pt idx="25">
                  <c:v>2.42157</c:v>
                </c:pt>
                <c:pt idx="26">
                  <c:v>2.4359299999999999</c:v>
                </c:pt>
                <c:pt idx="27">
                  <c:v>2.44882</c:v>
                </c:pt>
                <c:pt idx="28">
                  <c:v>2.4674100000000001</c:v>
                </c:pt>
                <c:pt idx="29">
                  <c:v>2.4884400000000002</c:v>
                </c:pt>
                <c:pt idx="30">
                  <c:v>2.5075399999999997</c:v>
                </c:pt>
                <c:pt idx="31">
                  <c:v>2.5271100000000004</c:v>
                </c:pt>
                <c:pt idx="32">
                  <c:v>2.5465300000000002</c:v>
                </c:pt>
                <c:pt idx="33">
                  <c:v>2.5658099999999999</c:v>
                </c:pt>
                <c:pt idx="34">
                  <c:v>2.5858099999999999</c:v>
                </c:pt>
                <c:pt idx="35">
                  <c:v>2.6046999999999998</c:v>
                </c:pt>
                <c:pt idx="36">
                  <c:v>2.6310799999999999</c:v>
                </c:pt>
                <c:pt idx="37">
                  <c:v>2.6596299999999999</c:v>
                </c:pt>
                <c:pt idx="38">
                  <c:v>2.6909399999999999</c:v>
                </c:pt>
                <c:pt idx="39">
                  <c:v>2.7223899999999999</c:v>
                </c:pt>
                <c:pt idx="40">
                  <c:v>2.7483000000000004</c:v>
                </c:pt>
                <c:pt idx="41">
                  <c:v>2.7722000000000002</c:v>
                </c:pt>
                <c:pt idx="42">
                  <c:v>2.7983000000000002</c:v>
                </c:pt>
                <c:pt idx="43">
                  <c:v>2.8243200000000002</c:v>
                </c:pt>
                <c:pt idx="44">
                  <c:v>2.8521999999999998</c:v>
                </c:pt>
                <c:pt idx="45">
                  <c:v>2.8829400000000001</c:v>
                </c:pt>
                <c:pt idx="46">
                  <c:v>2.9136099999999998</c:v>
                </c:pt>
                <c:pt idx="47">
                  <c:v>2.9427399999999997</c:v>
                </c:pt>
                <c:pt idx="48">
                  <c:v>2.9723300000000004</c:v>
                </c:pt>
                <c:pt idx="49">
                  <c:v>3.0019299999999998</c:v>
                </c:pt>
                <c:pt idx="50">
                  <c:v>3.0287199999999999</c:v>
                </c:pt>
                <c:pt idx="51">
                  <c:v>3.0418600000000002</c:v>
                </c:pt>
                <c:pt idx="52">
                  <c:v>3.0573299999999999</c:v>
                </c:pt>
                <c:pt idx="53">
                  <c:v>3.07186</c:v>
                </c:pt>
                <c:pt idx="54">
                  <c:v>3.0866500000000001</c:v>
                </c:pt>
                <c:pt idx="55">
                  <c:v>3.1044300000000002</c:v>
                </c:pt>
                <c:pt idx="56">
                  <c:v>3.1213899999999999</c:v>
                </c:pt>
                <c:pt idx="57">
                  <c:v>3.1395200000000001</c:v>
                </c:pt>
                <c:pt idx="58">
                  <c:v>3.1564999999999999</c:v>
                </c:pt>
                <c:pt idx="59">
                  <c:v>3.1717599999999999</c:v>
                </c:pt>
                <c:pt idx="60">
                  <c:v>3.1885300000000001</c:v>
                </c:pt>
                <c:pt idx="61">
                  <c:v>3.1999599999999999</c:v>
                </c:pt>
                <c:pt idx="62">
                  <c:v>3.2096499999999999</c:v>
                </c:pt>
                <c:pt idx="63">
                  <c:v>3.2168799999999997</c:v>
                </c:pt>
                <c:pt idx="64">
                  <c:v>3.2244099999999998</c:v>
                </c:pt>
                <c:pt idx="65">
                  <c:v>3.2417600000000002</c:v>
                </c:pt>
                <c:pt idx="66">
                  <c:v>3.26451</c:v>
                </c:pt>
                <c:pt idx="67">
                  <c:v>3.2859500000000001</c:v>
                </c:pt>
                <c:pt idx="68">
                  <c:v>3.3064100000000001</c:v>
                </c:pt>
                <c:pt idx="69">
                  <c:v>3.32064</c:v>
                </c:pt>
                <c:pt idx="70">
                  <c:v>3.3269900000000003</c:v>
                </c:pt>
                <c:pt idx="71">
                  <c:v>3.3312199999999996</c:v>
                </c:pt>
                <c:pt idx="72">
                  <c:v>3.34138</c:v>
                </c:pt>
                <c:pt idx="73">
                  <c:v>3.3531599999999999</c:v>
                </c:pt>
                <c:pt idx="74">
                  <c:v>3.34253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14.9343</c:v>
                </c:pt>
                <c:pt idx="1">
                  <c:v>44.802900000000001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2.0628227027027024</c:v>
                </c:pt>
                <c:pt idx="1">
                  <c:v>2.7635095945945953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  <c:pt idx="74">
                  <c:v>30.063600000000001</c:v>
                </c:pt>
                <c:pt idx="75">
                  <c:v>30.488700000000001</c:v>
                </c:pt>
                <c:pt idx="76">
                  <c:v>30.894600000000001</c:v>
                </c:pt>
                <c:pt idx="77">
                  <c:v>31.2986</c:v>
                </c:pt>
                <c:pt idx="78">
                  <c:v>31.705400000000001</c:v>
                </c:pt>
                <c:pt idx="79">
                  <c:v>32.113100000000003</c:v>
                </c:pt>
                <c:pt idx="80">
                  <c:v>32.519799999999996</c:v>
                </c:pt>
                <c:pt idx="81">
                  <c:v>32.925699999999999</c:v>
                </c:pt>
                <c:pt idx="82">
                  <c:v>33.328099999999999</c:v>
                </c:pt>
                <c:pt idx="83">
                  <c:v>33.743600000000001</c:v>
                </c:pt>
                <c:pt idx="84">
                  <c:v>34.1404</c:v>
                </c:pt>
                <c:pt idx="85">
                  <c:v>34.5486</c:v>
                </c:pt>
                <c:pt idx="86">
                  <c:v>34.957599999999999</c:v>
                </c:pt>
                <c:pt idx="87">
                  <c:v>35.357900000000001</c:v>
                </c:pt>
                <c:pt idx="88">
                  <c:v>35.765599999999999</c:v>
                </c:pt>
                <c:pt idx="89">
                  <c:v>36.177799999999998</c:v>
                </c:pt>
                <c:pt idx="90">
                  <c:v>36.580100000000002</c:v>
                </c:pt>
                <c:pt idx="91">
                  <c:v>36.987099999999998</c:v>
                </c:pt>
                <c:pt idx="92">
                  <c:v>37.391399999999997</c:v>
                </c:pt>
                <c:pt idx="93">
                  <c:v>37.796500000000002</c:v>
                </c:pt>
                <c:pt idx="94">
                  <c:v>38.201900000000002</c:v>
                </c:pt>
                <c:pt idx="95">
                  <c:v>38.612000000000002</c:v>
                </c:pt>
                <c:pt idx="96">
                  <c:v>39.018900000000002</c:v>
                </c:pt>
                <c:pt idx="97">
                  <c:v>39.426099999999998</c:v>
                </c:pt>
                <c:pt idx="98">
                  <c:v>39.8279</c:v>
                </c:pt>
                <c:pt idx="99">
                  <c:v>40.234200000000001</c:v>
                </c:pt>
                <c:pt idx="100">
                  <c:v>40.640099999999997</c:v>
                </c:pt>
                <c:pt idx="101">
                  <c:v>41.047499999999999</c:v>
                </c:pt>
                <c:pt idx="102">
                  <c:v>41.453099999999999</c:v>
                </c:pt>
                <c:pt idx="103">
                  <c:v>41.8596</c:v>
                </c:pt>
                <c:pt idx="104">
                  <c:v>42.266599999999997</c:v>
                </c:pt>
                <c:pt idx="105">
                  <c:v>42.670499999999997</c:v>
                </c:pt>
                <c:pt idx="106">
                  <c:v>43.078600000000002</c:v>
                </c:pt>
                <c:pt idx="107">
                  <c:v>43.482799999999997</c:v>
                </c:pt>
                <c:pt idx="108">
                  <c:v>43.891500000000001</c:v>
                </c:pt>
                <c:pt idx="109">
                  <c:v>44.2988</c:v>
                </c:pt>
                <c:pt idx="110">
                  <c:v>44.706000000000003</c:v>
                </c:pt>
                <c:pt idx="111">
                  <c:v>45.110199999999999</c:v>
                </c:pt>
                <c:pt idx="112">
                  <c:v>45.518700000000003</c:v>
                </c:pt>
                <c:pt idx="113">
                  <c:v>45.924399999999999</c:v>
                </c:pt>
                <c:pt idx="114">
                  <c:v>46.329500000000003</c:v>
                </c:pt>
                <c:pt idx="115">
                  <c:v>46.734400000000001</c:v>
                </c:pt>
                <c:pt idx="116">
                  <c:v>47.1432</c:v>
                </c:pt>
                <c:pt idx="117">
                  <c:v>47.548200000000001</c:v>
                </c:pt>
                <c:pt idx="118">
                  <c:v>47.956000000000003</c:v>
                </c:pt>
                <c:pt idx="119">
                  <c:v>48.358199999999997</c:v>
                </c:pt>
                <c:pt idx="120">
                  <c:v>48.766100000000002</c:v>
                </c:pt>
                <c:pt idx="121">
                  <c:v>49.1736</c:v>
                </c:pt>
                <c:pt idx="122">
                  <c:v>49.582500000000003</c:v>
                </c:pt>
                <c:pt idx="123">
                  <c:v>49.988700000000001</c:v>
                </c:pt>
                <c:pt idx="124">
                  <c:v>50.393999999999998</c:v>
                </c:pt>
                <c:pt idx="125">
                  <c:v>50.8003</c:v>
                </c:pt>
                <c:pt idx="126">
                  <c:v>51.2059</c:v>
                </c:pt>
                <c:pt idx="127">
                  <c:v>51.611199999999997</c:v>
                </c:pt>
                <c:pt idx="128">
                  <c:v>52.018500000000003</c:v>
                </c:pt>
                <c:pt idx="129">
                  <c:v>52.421100000000003</c:v>
                </c:pt>
                <c:pt idx="130">
                  <c:v>52.8264</c:v>
                </c:pt>
                <c:pt idx="131">
                  <c:v>53.232599999999998</c:v>
                </c:pt>
                <c:pt idx="132">
                  <c:v>53.642899999999997</c:v>
                </c:pt>
                <c:pt idx="133">
                  <c:v>54.048499999999997</c:v>
                </c:pt>
                <c:pt idx="134">
                  <c:v>54.452800000000003</c:v>
                </c:pt>
                <c:pt idx="135">
                  <c:v>54.8611</c:v>
                </c:pt>
                <c:pt idx="136">
                  <c:v>55.267499999999998</c:v>
                </c:pt>
                <c:pt idx="137">
                  <c:v>55.674399999999999</c:v>
                </c:pt>
                <c:pt idx="138">
                  <c:v>56.081400000000002</c:v>
                </c:pt>
                <c:pt idx="139">
                  <c:v>56.490099999999998</c:v>
                </c:pt>
                <c:pt idx="140">
                  <c:v>56.891300000000001</c:v>
                </c:pt>
                <c:pt idx="141">
                  <c:v>57.296999999999997</c:v>
                </c:pt>
                <c:pt idx="142">
                  <c:v>57.702800000000003</c:v>
                </c:pt>
                <c:pt idx="143">
                  <c:v>58.115900000000003</c:v>
                </c:pt>
                <c:pt idx="144">
                  <c:v>58.5167</c:v>
                </c:pt>
                <c:pt idx="145">
                  <c:v>58.921799999999998</c:v>
                </c:pt>
                <c:pt idx="146">
                  <c:v>59.329500000000003</c:v>
                </c:pt>
                <c:pt idx="147">
                  <c:v>59.737200000000001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  <c:pt idx="74">
                  <c:v>46.777200000000001</c:v>
                </c:pt>
                <c:pt idx="75">
                  <c:v>46.866</c:v>
                </c:pt>
                <c:pt idx="76">
                  <c:v>47.003599999999999</c:v>
                </c:pt>
                <c:pt idx="77">
                  <c:v>47.161999999999999</c:v>
                </c:pt>
                <c:pt idx="78">
                  <c:v>47.290300000000002</c:v>
                </c:pt>
                <c:pt idx="79">
                  <c:v>47.441000000000003</c:v>
                </c:pt>
                <c:pt idx="80">
                  <c:v>47.5822</c:v>
                </c:pt>
                <c:pt idx="81">
                  <c:v>47.672399999999996</c:v>
                </c:pt>
                <c:pt idx="82">
                  <c:v>47.7346</c:v>
                </c:pt>
                <c:pt idx="83">
                  <c:v>47.796100000000003</c:v>
                </c:pt>
                <c:pt idx="84">
                  <c:v>47.937800000000003</c:v>
                </c:pt>
                <c:pt idx="85">
                  <c:v>48.0777</c:v>
                </c:pt>
                <c:pt idx="86">
                  <c:v>48.2087</c:v>
                </c:pt>
                <c:pt idx="87">
                  <c:v>48.359200000000001</c:v>
                </c:pt>
                <c:pt idx="88">
                  <c:v>48.489100000000001</c:v>
                </c:pt>
                <c:pt idx="89">
                  <c:v>48.639200000000002</c:v>
                </c:pt>
                <c:pt idx="90">
                  <c:v>48.789900000000003</c:v>
                </c:pt>
                <c:pt idx="91">
                  <c:v>48.848799999999997</c:v>
                </c:pt>
                <c:pt idx="92">
                  <c:v>48.834000000000003</c:v>
                </c:pt>
                <c:pt idx="93">
                  <c:v>48.668800000000005</c:v>
                </c:pt>
                <c:pt idx="94">
                  <c:v>48.4833</c:v>
                </c:pt>
                <c:pt idx="95">
                  <c:v>48.397100000000002</c:v>
                </c:pt>
                <c:pt idx="96">
                  <c:v>48.291000000000004</c:v>
                </c:pt>
                <c:pt idx="97">
                  <c:v>48.084400000000002</c:v>
                </c:pt>
                <c:pt idx="98">
                  <c:v>47.797200000000004</c:v>
                </c:pt>
                <c:pt idx="99">
                  <c:v>47.5242</c:v>
                </c:pt>
                <c:pt idx="100">
                  <c:v>47.355799999999995</c:v>
                </c:pt>
                <c:pt idx="101">
                  <c:v>47.061799999999998</c:v>
                </c:pt>
                <c:pt idx="102">
                  <c:v>46.6922</c:v>
                </c:pt>
                <c:pt idx="103">
                  <c:v>46.398099999999999</c:v>
                </c:pt>
                <c:pt idx="104">
                  <c:v>46.048400000000001</c:v>
                </c:pt>
                <c:pt idx="105">
                  <c:v>45.623899999999999</c:v>
                </c:pt>
                <c:pt idx="106">
                  <c:v>45.164400000000001</c:v>
                </c:pt>
                <c:pt idx="107">
                  <c:v>44.597900000000003</c:v>
                </c:pt>
                <c:pt idx="108">
                  <c:v>44.033499999999997</c:v>
                </c:pt>
                <c:pt idx="109">
                  <c:v>43.319400000000002</c:v>
                </c:pt>
                <c:pt idx="110">
                  <c:v>42.590899999999998</c:v>
                </c:pt>
                <c:pt idx="111">
                  <c:v>41.797200000000004</c:v>
                </c:pt>
                <c:pt idx="112">
                  <c:v>41.049100000000003</c:v>
                </c:pt>
                <c:pt idx="113">
                  <c:v>40.549099999999996</c:v>
                </c:pt>
                <c:pt idx="114">
                  <c:v>40.1096</c:v>
                </c:pt>
                <c:pt idx="115">
                  <c:v>39.590899999999998</c:v>
                </c:pt>
                <c:pt idx="116">
                  <c:v>39.061199999999999</c:v>
                </c:pt>
                <c:pt idx="117">
                  <c:v>38.433199999999999</c:v>
                </c:pt>
                <c:pt idx="118">
                  <c:v>37.7607</c:v>
                </c:pt>
                <c:pt idx="119">
                  <c:v>37.066500000000005</c:v>
                </c:pt>
                <c:pt idx="120">
                  <c:v>36.446199999999997</c:v>
                </c:pt>
                <c:pt idx="121">
                  <c:v>35.799399999999999</c:v>
                </c:pt>
                <c:pt idx="122">
                  <c:v>35.202299999999994</c:v>
                </c:pt>
                <c:pt idx="123">
                  <c:v>34.738700000000001</c:v>
                </c:pt>
                <c:pt idx="124">
                  <c:v>34.568100000000001</c:v>
                </c:pt>
                <c:pt idx="125">
                  <c:v>34.371099999999998</c:v>
                </c:pt>
                <c:pt idx="126">
                  <c:v>34.1569</c:v>
                </c:pt>
                <c:pt idx="127">
                  <c:v>33.9422</c:v>
                </c:pt>
                <c:pt idx="128">
                  <c:v>33.725899999999996</c:v>
                </c:pt>
                <c:pt idx="129">
                  <c:v>33.491</c:v>
                </c:pt>
                <c:pt idx="130">
                  <c:v>33.277200000000001</c:v>
                </c:pt>
                <c:pt idx="131">
                  <c:v>33.0276</c:v>
                </c:pt>
                <c:pt idx="132">
                  <c:v>32.783499999999997</c:v>
                </c:pt>
                <c:pt idx="133">
                  <c:v>32.546799999999998</c:v>
                </c:pt>
                <c:pt idx="134">
                  <c:v>32.290999999999997</c:v>
                </c:pt>
                <c:pt idx="135">
                  <c:v>32.022199999999998</c:v>
                </c:pt>
                <c:pt idx="136">
                  <c:v>31.818200000000001</c:v>
                </c:pt>
                <c:pt idx="137">
                  <c:v>31.605599999999999</c:v>
                </c:pt>
                <c:pt idx="138">
                  <c:v>31.215</c:v>
                </c:pt>
                <c:pt idx="139">
                  <c:v>30.7606</c:v>
                </c:pt>
                <c:pt idx="140">
                  <c:v>30.317699999999999</c:v>
                </c:pt>
                <c:pt idx="141">
                  <c:v>29.773300000000003</c:v>
                </c:pt>
                <c:pt idx="142">
                  <c:v>29.263699999999996</c:v>
                </c:pt>
                <c:pt idx="143">
                  <c:v>28.9178</c:v>
                </c:pt>
                <c:pt idx="144">
                  <c:v>28.84</c:v>
                </c:pt>
                <c:pt idx="145">
                  <c:v>28.728999999999999</c:v>
                </c:pt>
                <c:pt idx="146">
                  <c:v>28.979300000000002</c:v>
                </c:pt>
                <c:pt idx="147">
                  <c:v>29.720200000000002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29.657900000000001</c:v>
                </c:pt>
                <c:pt idx="1">
                  <c:v>30.063600000000001</c:v>
                </c:pt>
                <c:pt idx="2">
                  <c:v>30.488700000000001</c:v>
                </c:pt>
                <c:pt idx="3">
                  <c:v>30.894600000000001</c:v>
                </c:pt>
                <c:pt idx="4">
                  <c:v>31.2986</c:v>
                </c:pt>
                <c:pt idx="5">
                  <c:v>31.705400000000001</c:v>
                </c:pt>
                <c:pt idx="6">
                  <c:v>32.113100000000003</c:v>
                </c:pt>
                <c:pt idx="7">
                  <c:v>32.519799999999996</c:v>
                </c:pt>
                <c:pt idx="8">
                  <c:v>32.925699999999999</c:v>
                </c:pt>
                <c:pt idx="9">
                  <c:v>33.328099999999999</c:v>
                </c:pt>
                <c:pt idx="10">
                  <c:v>33.743600000000001</c:v>
                </c:pt>
                <c:pt idx="11">
                  <c:v>34.1404</c:v>
                </c:pt>
                <c:pt idx="12">
                  <c:v>34.5486</c:v>
                </c:pt>
                <c:pt idx="13">
                  <c:v>34.957599999999999</c:v>
                </c:pt>
                <c:pt idx="14">
                  <c:v>35.357900000000001</c:v>
                </c:pt>
                <c:pt idx="15">
                  <c:v>35.765599999999999</c:v>
                </c:pt>
                <c:pt idx="16">
                  <c:v>36.177799999999998</c:v>
                </c:pt>
                <c:pt idx="17">
                  <c:v>36.580100000000002</c:v>
                </c:pt>
                <c:pt idx="18">
                  <c:v>36.987099999999998</c:v>
                </c:pt>
                <c:pt idx="19">
                  <c:v>37.391399999999997</c:v>
                </c:pt>
                <c:pt idx="20">
                  <c:v>37.796500000000002</c:v>
                </c:pt>
                <c:pt idx="21">
                  <c:v>38.201900000000002</c:v>
                </c:pt>
                <c:pt idx="22">
                  <c:v>38.612000000000002</c:v>
                </c:pt>
                <c:pt idx="23">
                  <c:v>39.018900000000002</c:v>
                </c:pt>
                <c:pt idx="24">
                  <c:v>39.426099999999998</c:v>
                </c:pt>
                <c:pt idx="25">
                  <c:v>39.8279</c:v>
                </c:pt>
                <c:pt idx="26">
                  <c:v>40.234200000000001</c:v>
                </c:pt>
                <c:pt idx="27">
                  <c:v>40.640099999999997</c:v>
                </c:pt>
                <c:pt idx="28">
                  <c:v>41.047499999999999</c:v>
                </c:pt>
                <c:pt idx="29">
                  <c:v>41.453099999999999</c:v>
                </c:pt>
                <c:pt idx="30">
                  <c:v>41.8596</c:v>
                </c:pt>
                <c:pt idx="31">
                  <c:v>42.266599999999997</c:v>
                </c:pt>
                <c:pt idx="32">
                  <c:v>42.670499999999997</c:v>
                </c:pt>
                <c:pt idx="33">
                  <c:v>43.078600000000002</c:v>
                </c:pt>
                <c:pt idx="34">
                  <c:v>43.482799999999997</c:v>
                </c:pt>
                <c:pt idx="35">
                  <c:v>43.891500000000001</c:v>
                </c:pt>
                <c:pt idx="36">
                  <c:v>44.2988</c:v>
                </c:pt>
                <c:pt idx="37">
                  <c:v>44.706000000000003</c:v>
                </c:pt>
                <c:pt idx="38">
                  <c:v>45.110199999999999</c:v>
                </c:pt>
                <c:pt idx="39">
                  <c:v>45.518700000000003</c:v>
                </c:pt>
                <c:pt idx="40">
                  <c:v>45.924399999999999</c:v>
                </c:pt>
                <c:pt idx="41">
                  <c:v>46.329500000000003</c:v>
                </c:pt>
                <c:pt idx="42">
                  <c:v>46.734400000000001</c:v>
                </c:pt>
                <c:pt idx="43">
                  <c:v>47.1432</c:v>
                </c:pt>
                <c:pt idx="44">
                  <c:v>47.548200000000001</c:v>
                </c:pt>
                <c:pt idx="45">
                  <c:v>47.956000000000003</c:v>
                </c:pt>
                <c:pt idx="46">
                  <c:v>48.358199999999997</c:v>
                </c:pt>
                <c:pt idx="47">
                  <c:v>48.766100000000002</c:v>
                </c:pt>
                <c:pt idx="48">
                  <c:v>49.1736</c:v>
                </c:pt>
                <c:pt idx="49">
                  <c:v>49.582500000000003</c:v>
                </c:pt>
                <c:pt idx="50">
                  <c:v>49.988700000000001</c:v>
                </c:pt>
                <c:pt idx="51">
                  <c:v>50.393999999999998</c:v>
                </c:pt>
                <c:pt idx="52">
                  <c:v>50.8003</c:v>
                </c:pt>
                <c:pt idx="53">
                  <c:v>51.2059</c:v>
                </c:pt>
                <c:pt idx="54">
                  <c:v>51.611199999999997</c:v>
                </c:pt>
                <c:pt idx="55">
                  <c:v>52.018500000000003</c:v>
                </c:pt>
                <c:pt idx="56">
                  <c:v>52.421100000000003</c:v>
                </c:pt>
                <c:pt idx="57">
                  <c:v>52.8264</c:v>
                </c:pt>
                <c:pt idx="58">
                  <c:v>53.232599999999998</c:v>
                </c:pt>
                <c:pt idx="59">
                  <c:v>53.642899999999997</c:v>
                </c:pt>
                <c:pt idx="60">
                  <c:v>54.048499999999997</c:v>
                </c:pt>
                <c:pt idx="61">
                  <c:v>54.452800000000003</c:v>
                </c:pt>
                <c:pt idx="62">
                  <c:v>54.8611</c:v>
                </c:pt>
                <c:pt idx="63">
                  <c:v>55.267499999999998</c:v>
                </c:pt>
                <c:pt idx="64">
                  <c:v>55.674399999999999</c:v>
                </c:pt>
                <c:pt idx="65">
                  <c:v>56.081400000000002</c:v>
                </c:pt>
                <c:pt idx="66">
                  <c:v>56.490099999999998</c:v>
                </c:pt>
                <c:pt idx="67">
                  <c:v>56.891300000000001</c:v>
                </c:pt>
                <c:pt idx="68">
                  <c:v>57.296999999999997</c:v>
                </c:pt>
                <c:pt idx="69">
                  <c:v>57.702800000000003</c:v>
                </c:pt>
                <c:pt idx="70">
                  <c:v>58.115900000000003</c:v>
                </c:pt>
                <c:pt idx="71">
                  <c:v>58.5167</c:v>
                </c:pt>
                <c:pt idx="72">
                  <c:v>58.921799999999998</c:v>
                </c:pt>
                <c:pt idx="73">
                  <c:v>59.329500000000003</c:v>
                </c:pt>
                <c:pt idx="74">
                  <c:v>59.737200000000001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46.669699999999999</c:v>
                </c:pt>
                <c:pt idx="1">
                  <c:v>46.777200000000001</c:v>
                </c:pt>
                <c:pt idx="2">
                  <c:v>46.866</c:v>
                </c:pt>
                <c:pt idx="3">
                  <c:v>47.003599999999999</c:v>
                </c:pt>
                <c:pt idx="4">
                  <c:v>47.161999999999999</c:v>
                </c:pt>
                <c:pt idx="5">
                  <c:v>47.290300000000002</c:v>
                </c:pt>
                <c:pt idx="6">
                  <c:v>47.441000000000003</c:v>
                </c:pt>
                <c:pt idx="7">
                  <c:v>47.5822</c:v>
                </c:pt>
                <c:pt idx="8">
                  <c:v>47.672399999999996</c:v>
                </c:pt>
                <c:pt idx="9">
                  <c:v>47.7346</c:v>
                </c:pt>
                <c:pt idx="10">
                  <c:v>47.796100000000003</c:v>
                </c:pt>
                <c:pt idx="11">
                  <c:v>47.937800000000003</c:v>
                </c:pt>
                <c:pt idx="12">
                  <c:v>48.0777</c:v>
                </c:pt>
                <c:pt idx="13">
                  <c:v>48.2087</c:v>
                </c:pt>
                <c:pt idx="14">
                  <c:v>48.359200000000001</c:v>
                </c:pt>
                <c:pt idx="15">
                  <c:v>48.489100000000001</c:v>
                </c:pt>
                <c:pt idx="16">
                  <c:v>48.639200000000002</c:v>
                </c:pt>
                <c:pt idx="17">
                  <c:v>48.789900000000003</c:v>
                </c:pt>
                <c:pt idx="18">
                  <c:v>48.848799999999997</c:v>
                </c:pt>
                <c:pt idx="19">
                  <c:v>48.834000000000003</c:v>
                </c:pt>
                <c:pt idx="20">
                  <c:v>48.668800000000005</c:v>
                </c:pt>
                <c:pt idx="21">
                  <c:v>48.4833</c:v>
                </c:pt>
                <c:pt idx="22">
                  <c:v>48.397100000000002</c:v>
                </c:pt>
                <c:pt idx="23">
                  <c:v>48.291000000000004</c:v>
                </c:pt>
                <c:pt idx="24">
                  <c:v>48.084400000000002</c:v>
                </c:pt>
                <c:pt idx="25">
                  <c:v>47.797200000000004</c:v>
                </c:pt>
                <c:pt idx="26">
                  <c:v>47.5242</c:v>
                </c:pt>
                <c:pt idx="27">
                  <c:v>47.355799999999995</c:v>
                </c:pt>
                <c:pt idx="28">
                  <c:v>47.061799999999998</c:v>
                </c:pt>
                <c:pt idx="29">
                  <c:v>46.6922</c:v>
                </c:pt>
                <c:pt idx="30">
                  <c:v>46.398099999999999</c:v>
                </c:pt>
                <c:pt idx="31">
                  <c:v>46.048400000000001</c:v>
                </c:pt>
                <c:pt idx="32">
                  <c:v>45.623899999999999</c:v>
                </c:pt>
                <c:pt idx="33">
                  <c:v>45.164400000000001</c:v>
                </c:pt>
                <c:pt idx="34">
                  <c:v>44.597900000000003</c:v>
                </c:pt>
                <c:pt idx="35">
                  <c:v>44.033499999999997</c:v>
                </c:pt>
                <c:pt idx="36">
                  <c:v>43.319400000000002</c:v>
                </c:pt>
                <c:pt idx="37">
                  <c:v>42.590899999999998</c:v>
                </c:pt>
                <c:pt idx="38">
                  <c:v>41.797200000000004</c:v>
                </c:pt>
                <c:pt idx="39">
                  <c:v>41.049100000000003</c:v>
                </c:pt>
                <c:pt idx="40">
                  <c:v>40.549099999999996</c:v>
                </c:pt>
                <c:pt idx="41">
                  <c:v>40.1096</c:v>
                </c:pt>
                <c:pt idx="42">
                  <c:v>39.590899999999998</c:v>
                </c:pt>
                <c:pt idx="43">
                  <c:v>39.061199999999999</c:v>
                </c:pt>
                <c:pt idx="44">
                  <c:v>38.433199999999999</c:v>
                </c:pt>
                <c:pt idx="45">
                  <c:v>37.7607</c:v>
                </c:pt>
                <c:pt idx="46">
                  <c:v>37.066500000000005</c:v>
                </c:pt>
                <c:pt idx="47">
                  <c:v>36.446199999999997</c:v>
                </c:pt>
                <c:pt idx="48">
                  <c:v>35.799399999999999</c:v>
                </c:pt>
                <c:pt idx="49">
                  <c:v>35.202299999999994</c:v>
                </c:pt>
                <c:pt idx="50">
                  <c:v>34.738700000000001</c:v>
                </c:pt>
                <c:pt idx="51">
                  <c:v>34.568100000000001</c:v>
                </c:pt>
                <c:pt idx="52">
                  <c:v>34.371099999999998</c:v>
                </c:pt>
                <c:pt idx="53">
                  <c:v>34.1569</c:v>
                </c:pt>
                <c:pt idx="54">
                  <c:v>33.9422</c:v>
                </c:pt>
                <c:pt idx="55">
                  <c:v>33.725899999999996</c:v>
                </c:pt>
                <c:pt idx="56">
                  <c:v>33.491</c:v>
                </c:pt>
                <c:pt idx="57">
                  <c:v>33.277200000000001</c:v>
                </c:pt>
                <c:pt idx="58">
                  <c:v>33.0276</c:v>
                </c:pt>
                <c:pt idx="59">
                  <c:v>32.783499999999997</c:v>
                </c:pt>
                <c:pt idx="60">
                  <c:v>32.546799999999998</c:v>
                </c:pt>
                <c:pt idx="61">
                  <c:v>32.290999999999997</c:v>
                </c:pt>
                <c:pt idx="62">
                  <c:v>32.022199999999998</c:v>
                </c:pt>
                <c:pt idx="63">
                  <c:v>31.818200000000001</c:v>
                </c:pt>
                <c:pt idx="64">
                  <c:v>31.605599999999999</c:v>
                </c:pt>
                <c:pt idx="65">
                  <c:v>31.215</c:v>
                </c:pt>
                <c:pt idx="66">
                  <c:v>30.7606</c:v>
                </c:pt>
                <c:pt idx="67">
                  <c:v>30.317699999999999</c:v>
                </c:pt>
                <c:pt idx="68">
                  <c:v>29.773300000000003</c:v>
                </c:pt>
                <c:pt idx="69">
                  <c:v>29.263699999999996</c:v>
                </c:pt>
                <c:pt idx="70">
                  <c:v>28.9178</c:v>
                </c:pt>
                <c:pt idx="71">
                  <c:v>28.84</c:v>
                </c:pt>
                <c:pt idx="72">
                  <c:v>28.728999999999999</c:v>
                </c:pt>
                <c:pt idx="73">
                  <c:v>28.979300000000002</c:v>
                </c:pt>
                <c:pt idx="74">
                  <c:v>29.720200000000002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14.9343</c:v>
                </c:pt>
                <c:pt idx="1">
                  <c:v>44.802900000000001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48.823720270270293</c:v>
                </c:pt>
                <c:pt idx="1">
                  <c:v>40.586352702702705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31.758500000000002</c:v>
                </c:pt>
                <c:pt idx="1">
                  <c:v>45.031599999999997</c:v>
                </c:pt>
                <c:pt idx="2">
                  <c:v>21.3095</c:v>
                </c:pt>
                <c:pt idx="3">
                  <c:v>33.669499999999999</c:v>
                </c:pt>
                <c:pt idx="4">
                  <c:v>60.438800000000001</c:v>
                </c:pt>
                <c:pt idx="5">
                  <c:v>56.170099999999998</c:v>
                </c:pt>
                <c:pt idx="6">
                  <c:v>8.9048200000000008</c:v>
                </c:pt>
                <c:pt idx="7">
                  <c:v>56.258200000000002</c:v>
                </c:pt>
                <c:pt idx="8">
                  <c:v>18.016400000000001</c:v>
                </c:pt>
                <c:pt idx="9">
                  <c:v>30.111899999999999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35.458100000000002</c:v>
                </c:pt>
                <c:pt idx="1">
                  <c:v>43.27</c:v>
                </c:pt>
                <c:pt idx="2">
                  <c:v>21.069900000000001</c:v>
                </c:pt>
                <c:pt idx="3">
                  <c:v>33.503100000000003</c:v>
                </c:pt>
                <c:pt idx="4">
                  <c:v>66.337100000000007</c:v>
                </c:pt>
                <c:pt idx="5">
                  <c:v>45.4681</c:v>
                </c:pt>
                <c:pt idx="6">
                  <c:v>14.4353</c:v>
                </c:pt>
                <c:pt idx="7">
                  <c:v>54.411499999999997</c:v>
                </c:pt>
                <c:pt idx="8">
                  <c:v>19.0059</c:v>
                </c:pt>
                <c:pt idx="9">
                  <c:v>21.4314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0.44356509439952341</c:v>
                </c:pt>
                <c:pt idx="1">
                  <c:v>0.32154676740191895</c:v>
                </c:pt>
                <c:pt idx="2">
                  <c:v>0.23488813819855761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46914</c:v>
                </c:pt>
                <c:pt idx="7">
                  <c:v>0</c:v>
                </c:pt>
                <c:pt idx="8">
                  <c:v>29714</c:v>
                </c:pt>
                <c:pt idx="9">
                  <c:v>0</c:v>
                </c:pt>
                <c:pt idx="10">
                  <c:v>0</c:v>
                </c:pt>
                <c:pt idx="11">
                  <c:v>27561</c:v>
                </c:pt>
                <c:pt idx="12">
                  <c:v>0</c:v>
                </c:pt>
                <c:pt idx="13">
                  <c:v>21281</c:v>
                </c:pt>
                <c:pt idx="14">
                  <c:v>0</c:v>
                </c:pt>
                <c:pt idx="15">
                  <c:v>0</c:v>
                </c:pt>
                <c:pt idx="16">
                  <c:v>23793</c:v>
                </c:pt>
                <c:pt idx="17">
                  <c:v>0</c:v>
                </c:pt>
                <c:pt idx="18">
                  <c:v>0</c:v>
                </c:pt>
                <c:pt idx="19">
                  <c:v>27422</c:v>
                </c:pt>
                <c:pt idx="20">
                  <c:v>0</c:v>
                </c:pt>
                <c:pt idx="21">
                  <c:v>32718</c:v>
                </c:pt>
                <c:pt idx="22">
                  <c:v>0</c:v>
                </c:pt>
                <c:pt idx="23">
                  <c:v>0</c:v>
                </c:pt>
                <c:pt idx="24">
                  <c:v>34465</c:v>
                </c:pt>
                <c:pt idx="25">
                  <c:v>0</c:v>
                </c:pt>
                <c:pt idx="26">
                  <c:v>33591</c:v>
                </c:pt>
                <c:pt idx="27">
                  <c:v>0</c:v>
                </c:pt>
                <c:pt idx="28">
                  <c:v>0</c:v>
                </c:pt>
                <c:pt idx="29">
                  <c:v>38173</c:v>
                </c:pt>
                <c:pt idx="30">
                  <c:v>0</c:v>
                </c:pt>
                <c:pt idx="31">
                  <c:v>41995</c:v>
                </c:pt>
                <c:pt idx="32">
                  <c:v>0</c:v>
                </c:pt>
                <c:pt idx="33">
                  <c:v>0</c:v>
                </c:pt>
                <c:pt idx="34">
                  <c:v>48530</c:v>
                </c:pt>
                <c:pt idx="35">
                  <c:v>0</c:v>
                </c:pt>
                <c:pt idx="36">
                  <c:v>0</c:v>
                </c:pt>
                <c:pt idx="37">
                  <c:v>43059</c:v>
                </c:pt>
                <c:pt idx="38">
                  <c:v>0</c:v>
                </c:pt>
                <c:pt idx="39">
                  <c:v>38510</c:v>
                </c:pt>
                <c:pt idx="40">
                  <c:v>0</c:v>
                </c:pt>
                <c:pt idx="41">
                  <c:v>0</c:v>
                </c:pt>
                <c:pt idx="42">
                  <c:v>40035</c:v>
                </c:pt>
                <c:pt idx="43">
                  <c:v>0</c:v>
                </c:pt>
                <c:pt idx="44">
                  <c:v>35904</c:v>
                </c:pt>
                <c:pt idx="45">
                  <c:v>0</c:v>
                </c:pt>
                <c:pt idx="46">
                  <c:v>0</c:v>
                </c:pt>
                <c:pt idx="47">
                  <c:v>40903</c:v>
                </c:pt>
                <c:pt idx="48">
                  <c:v>0</c:v>
                </c:pt>
                <c:pt idx="49">
                  <c:v>39183</c:v>
                </c:pt>
                <c:pt idx="50">
                  <c:v>0</c:v>
                </c:pt>
                <c:pt idx="51">
                  <c:v>0</c:v>
                </c:pt>
                <c:pt idx="52">
                  <c:v>42378</c:v>
                </c:pt>
                <c:pt idx="53">
                  <c:v>0</c:v>
                </c:pt>
                <c:pt idx="54">
                  <c:v>0</c:v>
                </c:pt>
                <c:pt idx="55">
                  <c:v>36210</c:v>
                </c:pt>
                <c:pt idx="56">
                  <c:v>0</c:v>
                </c:pt>
                <c:pt idx="57">
                  <c:v>37969</c:v>
                </c:pt>
                <c:pt idx="58">
                  <c:v>0</c:v>
                </c:pt>
                <c:pt idx="59">
                  <c:v>0</c:v>
                </c:pt>
                <c:pt idx="60">
                  <c:v>41799</c:v>
                </c:pt>
                <c:pt idx="61">
                  <c:v>0</c:v>
                </c:pt>
                <c:pt idx="62">
                  <c:v>31442</c:v>
                </c:pt>
                <c:pt idx="63">
                  <c:v>0</c:v>
                </c:pt>
                <c:pt idx="64">
                  <c:v>0</c:v>
                </c:pt>
                <c:pt idx="65">
                  <c:v>39134</c:v>
                </c:pt>
                <c:pt idx="66">
                  <c:v>0</c:v>
                </c:pt>
                <c:pt idx="67">
                  <c:v>38893</c:v>
                </c:pt>
                <c:pt idx="68">
                  <c:v>0</c:v>
                </c:pt>
                <c:pt idx="69">
                  <c:v>0</c:v>
                </c:pt>
                <c:pt idx="70">
                  <c:v>31542</c:v>
                </c:pt>
                <c:pt idx="71">
                  <c:v>0</c:v>
                </c:pt>
                <c:pt idx="72">
                  <c:v>0</c:v>
                </c:pt>
                <c:pt idx="73">
                  <c:v>34314</c:v>
                </c:pt>
                <c:pt idx="74">
                  <c:v>0</c:v>
                </c:pt>
                <c:pt idx="75">
                  <c:v>26139</c:v>
                </c:pt>
                <c:pt idx="76">
                  <c:v>0</c:v>
                </c:pt>
                <c:pt idx="77">
                  <c:v>0</c:v>
                </c:pt>
                <c:pt idx="78">
                  <c:v>25412</c:v>
                </c:pt>
                <c:pt idx="79">
                  <c:v>0</c:v>
                </c:pt>
                <c:pt idx="80">
                  <c:v>26249</c:v>
                </c:pt>
                <c:pt idx="81">
                  <c:v>0</c:v>
                </c:pt>
                <c:pt idx="82">
                  <c:v>0</c:v>
                </c:pt>
                <c:pt idx="83">
                  <c:v>25611</c:v>
                </c:pt>
                <c:pt idx="84">
                  <c:v>0</c:v>
                </c:pt>
                <c:pt idx="85">
                  <c:v>0</c:v>
                </c:pt>
                <c:pt idx="86">
                  <c:v>21359</c:v>
                </c:pt>
                <c:pt idx="87">
                  <c:v>0</c:v>
                </c:pt>
                <c:pt idx="88">
                  <c:v>20806</c:v>
                </c:pt>
                <c:pt idx="89">
                  <c:v>0</c:v>
                </c:pt>
                <c:pt idx="90">
                  <c:v>0</c:v>
                </c:pt>
                <c:pt idx="91">
                  <c:v>19546</c:v>
                </c:pt>
                <c:pt idx="92">
                  <c:v>0</c:v>
                </c:pt>
                <c:pt idx="93">
                  <c:v>17338</c:v>
                </c:pt>
                <c:pt idx="94">
                  <c:v>0</c:v>
                </c:pt>
                <c:pt idx="95">
                  <c:v>0</c:v>
                </c:pt>
                <c:pt idx="96">
                  <c:v>14275</c:v>
                </c:pt>
                <c:pt idx="97">
                  <c:v>0</c:v>
                </c:pt>
                <c:pt idx="98">
                  <c:v>13458</c:v>
                </c:pt>
                <c:pt idx="99">
                  <c:v>0</c:v>
                </c:pt>
                <c:pt idx="100">
                  <c:v>0</c:v>
                </c:pt>
                <c:pt idx="101">
                  <c:v>11213</c:v>
                </c:pt>
                <c:pt idx="102">
                  <c:v>0</c:v>
                </c:pt>
                <c:pt idx="103">
                  <c:v>0</c:v>
                </c:pt>
                <c:pt idx="104">
                  <c:v>13360</c:v>
                </c:pt>
                <c:pt idx="105">
                  <c:v>0</c:v>
                </c:pt>
                <c:pt idx="106">
                  <c:v>11795</c:v>
                </c:pt>
                <c:pt idx="107">
                  <c:v>0</c:v>
                </c:pt>
                <c:pt idx="108">
                  <c:v>0</c:v>
                </c:pt>
                <c:pt idx="109">
                  <c:v>11481</c:v>
                </c:pt>
                <c:pt idx="110">
                  <c:v>0</c:v>
                </c:pt>
                <c:pt idx="111">
                  <c:v>9533</c:v>
                </c:pt>
                <c:pt idx="112">
                  <c:v>0</c:v>
                </c:pt>
                <c:pt idx="113">
                  <c:v>0</c:v>
                </c:pt>
                <c:pt idx="114">
                  <c:v>8361</c:v>
                </c:pt>
                <c:pt idx="115">
                  <c:v>0</c:v>
                </c:pt>
                <c:pt idx="116">
                  <c:v>6816</c:v>
                </c:pt>
                <c:pt idx="117">
                  <c:v>0</c:v>
                </c:pt>
                <c:pt idx="118">
                  <c:v>0</c:v>
                </c:pt>
                <c:pt idx="119">
                  <c:v>4538</c:v>
                </c:pt>
                <c:pt idx="120">
                  <c:v>0</c:v>
                </c:pt>
                <c:pt idx="121">
                  <c:v>0</c:v>
                </c:pt>
                <c:pt idx="122">
                  <c:v>4640</c:v>
                </c:pt>
                <c:pt idx="123">
                  <c:v>0</c:v>
                </c:pt>
                <c:pt idx="124">
                  <c:v>3971</c:v>
                </c:pt>
                <c:pt idx="125">
                  <c:v>0</c:v>
                </c:pt>
                <c:pt idx="126">
                  <c:v>0</c:v>
                </c:pt>
                <c:pt idx="127">
                  <c:v>1697</c:v>
                </c:pt>
                <c:pt idx="128">
                  <c:v>0</c:v>
                </c:pt>
                <c:pt idx="129">
                  <c:v>783</c:v>
                </c:pt>
                <c:pt idx="130">
                  <c:v>0</c:v>
                </c:pt>
                <c:pt idx="131">
                  <c:v>0</c:v>
                </c:pt>
                <c:pt idx="132">
                  <c:v>694</c:v>
                </c:pt>
                <c:pt idx="133">
                  <c:v>0</c:v>
                </c:pt>
                <c:pt idx="134">
                  <c:v>742</c:v>
                </c:pt>
                <c:pt idx="135">
                  <c:v>0</c:v>
                </c:pt>
                <c:pt idx="136">
                  <c:v>0</c:v>
                </c:pt>
                <c:pt idx="137">
                  <c:v>714</c:v>
                </c:pt>
                <c:pt idx="138">
                  <c:v>0</c:v>
                </c:pt>
                <c:pt idx="139">
                  <c:v>0</c:v>
                </c:pt>
                <c:pt idx="140">
                  <c:v>1049</c:v>
                </c:pt>
                <c:pt idx="141">
                  <c:v>0</c:v>
                </c:pt>
                <c:pt idx="142">
                  <c:v>1258</c:v>
                </c:pt>
                <c:pt idx="143">
                  <c:v>0</c:v>
                </c:pt>
                <c:pt idx="144">
                  <c:v>0</c:v>
                </c:pt>
                <c:pt idx="145">
                  <c:v>314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14231</c:v>
                </c:pt>
                <c:pt idx="7">
                  <c:v>0</c:v>
                </c:pt>
                <c:pt idx="8">
                  <c:v>21181</c:v>
                </c:pt>
                <c:pt idx="9">
                  <c:v>0</c:v>
                </c:pt>
                <c:pt idx="10">
                  <c:v>0</c:v>
                </c:pt>
                <c:pt idx="11">
                  <c:v>20652</c:v>
                </c:pt>
                <c:pt idx="12">
                  <c:v>0</c:v>
                </c:pt>
                <c:pt idx="13">
                  <c:v>19293</c:v>
                </c:pt>
                <c:pt idx="14">
                  <c:v>0</c:v>
                </c:pt>
                <c:pt idx="15">
                  <c:v>0</c:v>
                </c:pt>
                <c:pt idx="16">
                  <c:v>20125</c:v>
                </c:pt>
                <c:pt idx="17">
                  <c:v>0</c:v>
                </c:pt>
                <c:pt idx="18">
                  <c:v>0</c:v>
                </c:pt>
                <c:pt idx="19">
                  <c:v>25843</c:v>
                </c:pt>
                <c:pt idx="20">
                  <c:v>0</c:v>
                </c:pt>
                <c:pt idx="21">
                  <c:v>28280</c:v>
                </c:pt>
                <c:pt idx="22">
                  <c:v>0</c:v>
                </c:pt>
                <c:pt idx="23">
                  <c:v>0</c:v>
                </c:pt>
                <c:pt idx="24">
                  <c:v>31650</c:v>
                </c:pt>
                <c:pt idx="25">
                  <c:v>0</c:v>
                </c:pt>
                <c:pt idx="26">
                  <c:v>35267</c:v>
                </c:pt>
                <c:pt idx="27">
                  <c:v>0</c:v>
                </c:pt>
                <c:pt idx="28">
                  <c:v>0</c:v>
                </c:pt>
                <c:pt idx="29">
                  <c:v>43651</c:v>
                </c:pt>
                <c:pt idx="30">
                  <c:v>0</c:v>
                </c:pt>
                <c:pt idx="31">
                  <c:v>44058</c:v>
                </c:pt>
                <c:pt idx="32">
                  <c:v>0</c:v>
                </c:pt>
                <c:pt idx="33">
                  <c:v>0</c:v>
                </c:pt>
                <c:pt idx="34">
                  <c:v>50186</c:v>
                </c:pt>
                <c:pt idx="35">
                  <c:v>0</c:v>
                </c:pt>
                <c:pt idx="36">
                  <c:v>0</c:v>
                </c:pt>
                <c:pt idx="37">
                  <c:v>57654</c:v>
                </c:pt>
                <c:pt idx="38">
                  <c:v>0</c:v>
                </c:pt>
                <c:pt idx="39">
                  <c:v>61682</c:v>
                </c:pt>
                <c:pt idx="40">
                  <c:v>0</c:v>
                </c:pt>
                <c:pt idx="41">
                  <c:v>0</c:v>
                </c:pt>
                <c:pt idx="42">
                  <c:v>73970</c:v>
                </c:pt>
                <c:pt idx="43">
                  <c:v>0</c:v>
                </c:pt>
                <c:pt idx="44">
                  <c:v>75488</c:v>
                </c:pt>
                <c:pt idx="45">
                  <c:v>0</c:v>
                </c:pt>
                <c:pt idx="46">
                  <c:v>0</c:v>
                </c:pt>
                <c:pt idx="47">
                  <c:v>73527</c:v>
                </c:pt>
                <c:pt idx="48">
                  <c:v>0</c:v>
                </c:pt>
                <c:pt idx="49">
                  <c:v>68807</c:v>
                </c:pt>
                <c:pt idx="50">
                  <c:v>0</c:v>
                </c:pt>
                <c:pt idx="51">
                  <c:v>0</c:v>
                </c:pt>
                <c:pt idx="52">
                  <c:v>66386</c:v>
                </c:pt>
                <c:pt idx="53">
                  <c:v>0</c:v>
                </c:pt>
                <c:pt idx="54">
                  <c:v>0</c:v>
                </c:pt>
                <c:pt idx="55">
                  <c:v>64527</c:v>
                </c:pt>
                <c:pt idx="56">
                  <c:v>0</c:v>
                </c:pt>
                <c:pt idx="57">
                  <c:v>68581</c:v>
                </c:pt>
                <c:pt idx="58">
                  <c:v>0</c:v>
                </c:pt>
                <c:pt idx="59">
                  <c:v>0</c:v>
                </c:pt>
                <c:pt idx="60">
                  <c:v>64525</c:v>
                </c:pt>
                <c:pt idx="61">
                  <c:v>0</c:v>
                </c:pt>
                <c:pt idx="62">
                  <c:v>61152</c:v>
                </c:pt>
                <c:pt idx="63">
                  <c:v>0</c:v>
                </c:pt>
                <c:pt idx="64">
                  <c:v>0</c:v>
                </c:pt>
                <c:pt idx="65">
                  <c:v>72425</c:v>
                </c:pt>
                <c:pt idx="66">
                  <c:v>0</c:v>
                </c:pt>
                <c:pt idx="67">
                  <c:v>74526</c:v>
                </c:pt>
                <c:pt idx="68">
                  <c:v>0</c:v>
                </c:pt>
                <c:pt idx="69">
                  <c:v>0</c:v>
                </c:pt>
                <c:pt idx="70">
                  <c:v>71657</c:v>
                </c:pt>
                <c:pt idx="71">
                  <c:v>0</c:v>
                </c:pt>
                <c:pt idx="72">
                  <c:v>0</c:v>
                </c:pt>
                <c:pt idx="73">
                  <c:v>73789</c:v>
                </c:pt>
                <c:pt idx="74">
                  <c:v>0</c:v>
                </c:pt>
                <c:pt idx="75">
                  <c:v>80130</c:v>
                </c:pt>
                <c:pt idx="76">
                  <c:v>0</c:v>
                </c:pt>
                <c:pt idx="77">
                  <c:v>0</c:v>
                </c:pt>
                <c:pt idx="78">
                  <c:v>71905</c:v>
                </c:pt>
                <c:pt idx="79">
                  <c:v>0</c:v>
                </c:pt>
                <c:pt idx="80">
                  <c:v>73650</c:v>
                </c:pt>
                <c:pt idx="81">
                  <c:v>0</c:v>
                </c:pt>
                <c:pt idx="82">
                  <c:v>0</c:v>
                </c:pt>
                <c:pt idx="83">
                  <c:v>66236</c:v>
                </c:pt>
                <c:pt idx="84">
                  <c:v>0</c:v>
                </c:pt>
                <c:pt idx="85">
                  <c:v>0</c:v>
                </c:pt>
                <c:pt idx="86">
                  <c:v>63783</c:v>
                </c:pt>
                <c:pt idx="87">
                  <c:v>0</c:v>
                </c:pt>
                <c:pt idx="88">
                  <c:v>60763</c:v>
                </c:pt>
                <c:pt idx="89">
                  <c:v>0</c:v>
                </c:pt>
                <c:pt idx="90">
                  <c:v>0</c:v>
                </c:pt>
                <c:pt idx="91">
                  <c:v>55075</c:v>
                </c:pt>
                <c:pt idx="92">
                  <c:v>0</c:v>
                </c:pt>
                <c:pt idx="93">
                  <c:v>51555</c:v>
                </c:pt>
                <c:pt idx="94">
                  <c:v>0</c:v>
                </c:pt>
                <c:pt idx="95">
                  <c:v>0</c:v>
                </c:pt>
                <c:pt idx="96">
                  <c:v>53143</c:v>
                </c:pt>
                <c:pt idx="97">
                  <c:v>0</c:v>
                </c:pt>
                <c:pt idx="98">
                  <c:v>51027</c:v>
                </c:pt>
                <c:pt idx="99">
                  <c:v>0</c:v>
                </c:pt>
                <c:pt idx="100">
                  <c:v>0</c:v>
                </c:pt>
                <c:pt idx="101">
                  <c:v>47157</c:v>
                </c:pt>
                <c:pt idx="102">
                  <c:v>0</c:v>
                </c:pt>
                <c:pt idx="103">
                  <c:v>0</c:v>
                </c:pt>
                <c:pt idx="104">
                  <c:v>45193</c:v>
                </c:pt>
                <c:pt idx="105">
                  <c:v>0</c:v>
                </c:pt>
                <c:pt idx="106">
                  <c:v>44487</c:v>
                </c:pt>
                <c:pt idx="107">
                  <c:v>0</c:v>
                </c:pt>
                <c:pt idx="108">
                  <c:v>0</c:v>
                </c:pt>
                <c:pt idx="109">
                  <c:v>46769</c:v>
                </c:pt>
                <c:pt idx="110">
                  <c:v>0</c:v>
                </c:pt>
                <c:pt idx="111">
                  <c:v>40228</c:v>
                </c:pt>
                <c:pt idx="112">
                  <c:v>0</c:v>
                </c:pt>
                <c:pt idx="113">
                  <c:v>0</c:v>
                </c:pt>
                <c:pt idx="114">
                  <c:v>30953</c:v>
                </c:pt>
                <c:pt idx="115">
                  <c:v>0</c:v>
                </c:pt>
                <c:pt idx="116">
                  <c:v>25595</c:v>
                </c:pt>
                <c:pt idx="117">
                  <c:v>0</c:v>
                </c:pt>
                <c:pt idx="118">
                  <c:v>0</c:v>
                </c:pt>
                <c:pt idx="119">
                  <c:v>20379</c:v>
                </c:pt>
                <c:pt idx="120">
                  <c:v>0</c:v>
                </c:pt>
                <c:pt idx="121">
                  <c:v>0</c:v>
                </c:pt>
                <c:pt idx="122">
                  <c:v>22761</c:v>
                </c:pt>
                <c:pt idx="123">
                  <c:v>0</c:v>
                </c:pt>
                <c:pt idx="124">
                  <c:v>19832</c:v>
                </c:pt>
                <c:pt idx="125">
                  <c:v>0</c:v>
                </c:pt>
                <c:pt idx="126">
                  <c:v>0</c:v>
                </c:pt>
                <c:pt idx="127">
                  <c:v>17877</c:v>
                </c:pt>
                <c:pt idx="128">
                  <c:v>0</c:v>
                </c:pt>
                <c:pt idx="129">
                  <c:v>13544</c:v>
                </c:pt>
                <c:pt idx="130">
                  <c:v>0</c:v>
                </c:pt>
                <c:pt idx="131">
                  <c:v>0</c:v>
                </c:pt>
                <c:pt idx="132">
                  <c:v>11930</c:v>
                </c:pt>
                <c:pt idx="133">
                  <c:v>0</c:v>
                </c:pt>
                <c:pt idx="134">
                  <c:v>8132</c:v>
                </c:pt>
                <c:pt idx="135">
                  <c:v>0</c:v>
                </c:pt>
                <c:pt idx="136">
                  <c:v>0</c:v>
                </c:pt>
                <c:pt idx="137">
                  <c:v>6920</c:v>
                </c:pt>
                <c:pt idx="138">
                  <c:v>0</c:v>
                </c:pt>
                <c:pt idx="139">
                  <c:v>0</c:v>
                </c:pt>
                <c:pt idx="140">
                  <c:v>3801</c:v>
                </c:pt>
                <c:pt idx="141">
                  <c:v>0</c:v>
                </c:pt>
                <c:pt idx="142">
                  <c:v>2851</c:v>
                </c:pt>
                <c:pt idx="143">
                  <c:v>0</c:v>
                </c:pt>
                <c:pt idx="144">
                  <c:v>0</c:v>
                </c:pt>
                <c:pt idx="145">
                  <c:v>2689</c:v>
                </c:pt>
                <c:pt idx="146">
                  <c:v>0</c:v>
                </c:pt>
                <c:pt idx="147">
                  <c:v>1682</c:v>
                </c:pt>
                <c:pt idx="148">
                  <c:v>0</c:v>
                </c:pt>
                <c:pt idx="149">
                  <c:v>0</c:v>
                </c:pt>
                <c:pt idx="150">
                  <c:v>474</c:v>
                </c:pt>
                <c:pt idx="151">
                  <c:v>0</c:v>
                </c:pt>
                <c:pt idx="152">
                  <c:v>70</c:v>
                </c:pt>
                <c:pt idx="153">
                  <c:v>0</c:v>
                </c:pt>
                <c:pt idx="154">
                  <c:v>0</c:v>
                </c:pt>
                <c:pt idx="155">
                  <c:v>106</c:v>
                </c:pt>
                <c:pt idx="156">
                  <c:v>0</c:v>
                </c:pt>
                <c:pt idx="157">
                  <c:v>0</c:v>
                </c:pt>
                <c:pt idx="158">
                  <c:v>622</c:v>
                </c:pt>
                <c:pt idx="159">
                  <c:v>0</c:v>
                </c:pt>
                <c:pt idx="160">
                  <c:v>554</c:v>
                </c:pt>
                <c:pt idx="161">
                  <c:v>0</c:v>
                </c:pt>
                <c:pt idx="162">
                  <c:v>0</c:v>
                </c:pt>
                <c:pt idx="163">
                  <c:v>312</c:v>
                </c:pt>
                <c:pt idx="164">
                  <c:v>0</c:v>
                </c:pt>
                <c:pt idx="165">
                  <c:v>45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0.280006871319323</c:v>
                </c:pt>
                <c:pt idx="1">
                  <c:v>0.36852070387898228</c:v>
                </c:pt>
                <c:pt idx="2">
                  <c:v>0.35147242480169466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0.45754641834906717</c:v>
                </c:pt>
                <c:pt idx="1">
                  <c:v>0.3376184092453493</c:v>
                </c:pt>
                <c:pt idx="2">
                  <c:v>0.20483517240558347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10.375635000000001</c:v>
                </c:pt>
                <c:pt idx="1">
                  <c:v>13.7641975</c:v>
                </c:pt>
                <c:pt idx="2">
                  <c:v>27.439549999999997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  <c:pt idx="74">
                  <c:v>30.063600000000001</c:v>
                </c:pt>
                <c:pt idx="75">
                  <c:v>30.488700000000001</c:v>
                </c:pt>
                <c:pt idx="76">
                  <c:v>30.894600000000001</c:v>
                </c:pt>
                <c:pt idx="77">
                  <c:v>31.2986</c:v>
                </c:pt>
                <c:pt idx="78">
                  <c:v>31.705400000000001</c:v>
                </c:pt>
                <c:pt idx="79">
                  <c:v>32.113100000000003</c:v>
                </c:pt>
                <c:pt idx="80">
                  <c:v>32.519799999999996</c:v>
                </c:pt>
                <c:pt idx="81">
                  <c:v>32.925699999999999</c:v>
                </c:pt>
                <c:pt idx="82">
                  <c:v>33.328099999999999</c:v>
                </c:pt>
                <c:pt idx="83">
                  <c:v>33.743600000000001</c:v>
                </c:pt>
                <c:pt idx="84">
                  <c:v>34.1404</c:v>
                </c:pt>
                <c:pt idx="85">
                  <c:v>34.5486</c:v>
                </c:pt>
                <c:pt idx="86">
                  <c:v>34.957599999999999</c:v>
                </c:pt>
                <c:pt idx="87">
                  <c:v>35.357900000000001</c:v>
                </c:pt>
                <c:pt idx="88">
                  <c:v>35.765599999999999</c:v>
                </c:pt>
                <c:pt idx="89">
                  <c:v>36.177799999999998</c:v>
                </c:pt>
                <c:pt idx="90">
                  <c:v>36.580100000000002</c:v>
                </c:pt>
                <c:pt idx="91">
                  <c:v>36.987099999999998</c:v>
                </c:pt>
                <c:pt idx="92">
                  <c:v>37.391399999999997</c:v>
                </c:pt>
                <c:pt idx="93">
                  <c:v>37.796500000000002</c:v>
                </c:pt>
                <c:pt idx="94">
                  <c:v>38.201900000000002</c:v>
                </c:pt>
                <c:pt idx="95">
                  <c:v>38.612000000000002</c:v>
                </c:pt>
                <c:pt idx="96">
                  <c:v>39.018900000000002</c:v>
                </c:pt>
                <c:pt idx="97">
                  <c:v>39.426099999999998</c:v>
                </c:pt>
                <c:pt idx="98">
                  <c:v>39.8279</c:v>
                </c:pt>
                <c:pt idx="99">
                  <c:v>40.234200000000001</c:v>
                </c:pt>
                <c:pt idx="100">
                  <c:v>40.640099999999997</c:v>
                </c:pt>
                <c:pt idx="101">
                  <c:v>41.047499999999999</c:v>
                </c:pt>
                <c:pt idx="102">
                  <c:v>41.453099999999999</c:v>
                </c:pt>
                <c:pt idx="103">
                  <c:v>41.8596</c:v>
                </c:pt>
                <c:pt idx="104">
                  <c:v>42.266599999999997</c:v>
                </c:pt>
                <c:pt idx="105">
                  <c:v>42.670499999999997</c:v>
                </c:pt>
                <c:pt idx="106">
                  <c:v>43.078600000000002</c:v>
                </c:pt>
                <c:pt idx="107">
                  <c:v>43.482799999999997</c:v>
                </c:pt>
                <c:pt idx="108">
                  <c:v>43.891500000000001</c:v>
                </c:pt>
                <c:pt idx="109">
                  <c:v>44.2988</c:v>
                </c:pt>
                <c:pt idx="110">
                  <c:v>44.706000000000003</c:v>
                </c:pt>
                <c:pt idx="111">
                  <c:v>45.110199999999999</c:v>
                </c:pt>
                <c:pt idx="112">
                  <c:v>45.518700000000003</c:v>
                </c:pt>
                <c:pt idx="113">
                  <c:v>45.924399999999999</c:v>
                </c:pt>
                <c:pt idx="114">
                  <c:v>46.329500000000003</c:v>
                </c:pt>
                <c:pt idx="115">
                  <c:v>46.734400000000001</c:v>
                </c:pt>
                <c:pt idx="116">
                  <c:v>47.1432</c:v>
                </c:pt>
                <c:pt idx="117">
                  <c:v>47.548200000000001</c:v>
                </c:pt>
                <c:pt idx="118">
                  <c:v>47.956000000000003</c:v>
                </c:pt>
                <c:pt idx="119">
                  <c:v>48.358199999999997</c:v>
                </c:pt>
                <c:pt idx="120">
                  <c:v>48.766100000000002</c:v>
                </c:pt>
                <c:pt idx="121">
                  <c:v>49.1736</c:v>
                </c:pt>
                <c:pt idx="122">
                  <c:v>49.582500000000003</c:v>
                </c:pt>
                <c:pt idx="123">
                  <c:v>49.988700000000001</c:v>
                </c:pt>
                <c:pt idx="124">
                  <c:v>50.393999999999998</c:v>
                </c:pt>
                <c:pt idx="125">
                  <c:v>50.8003</c:v>
                </c:pt>
                <c:pt idx="126">
                  <c:v>51.2059</c:v>
                </c:pt>
                <c:pt idx="127">
                  <c:v>51.611199999999997</c:v>
                </c:pt>
                <c:pt idx="128">
                  <c:v>52.018500000000003</c:v>
                </c:pt>
                <c:pt idx="129">
                  <c:v>52.421100000000003</c:v>
                </c:pt>
                <c:pt idx="130">
                  <c:v>52.8264</c:v>
                </c:pt>
                <c:pt idx="131">
                  <c:v>53.232599999999998</c:v>
                </c:pt>
                <c:pt idx="132">
                  <c:v>53.642899999999997</c:v>
                </c:pt>
                <c:pt idx="133">
                  <c:v>54.048499999999997</c:v>
                </c:pt>
                <c:pt idx="134">
                  <c:v>54.452800000000003</c:v>
                </c:pt>
                <c:pt idx="135">
                  <c:v>54.8611</c:v>
                </c:pt>
                <c:pt idx="136">
                  <c:v>55.267499999999998</c:v>
                </c:pt>
                <c:pt idx="137">
                  <c:v>55.674399999999999</c:v>
                </c:pt>
                <c:pt idx="138">
                  <c:v>56.081400000000002</c:v>
                </c:pt>
                <c:pt idx="139">
                  <c:v>56.490099999999998</c:v>
                </c:pt>
                <c:pt idx="140">
                  <c:v>56.891300000000001</c:v>
                </c:pt>
                <c:pt idx="141">
                  <c:v>57.296999999999997</c:v>
                </c:pt>
                <c:pt idx="142">
                  <c:v>57.702800000000003</c:v>
                </c:pt>
                <c:pt idx="143">
                  <c:v>58.115900000000003</c:v>
                </c:pt>
                <c:pt idx="144">
                  <c:v>58.5167</c:v>
                </c:pt>
                <c:pt idx="145">
                  <c:v>58.921799999999998</c:v>
                </c:pt>
                <c:pt idx="146">
                  <c:v>59.329500000000003</c:v>
                </c:pt>
                <c:pt idx="147">
                  <c:v>59.737200000000001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  <c:pt idx="74">
                  <c:v>2.4656600000000002</c:v>
                </c:pt>
                <c:pt idx="75">
                  <c:v>2.4540600000000001</c:v>
                </c:pt>
                <c:pt idx="76">
                  <c:v>2.4399799999999998</c:v>
                </c:pt>
                <c:pt idx="77">
                  <c:v>2.4244399999999997</c:v>
                </c:pt>
                <c:pt idx="78">
                  <c:v>2.4088099999999999</c:v>
                </c:pt>
                <c:pt idx="79">
                  <c:v>2.39642</c:v>
                </c:pt>
                <c:pt idx="80">
                  <c:v>2.3868</c:v>
                </c:pt>
                <c:pt idx="81">
                  <c:v>2.38158</c:v>
                </c:pt>
                <c:pt idx="82">
                  <c:v>2.3803999999999998</c:v>
                </c:pt>
                <c:pt idx="83">
                  <c:v>2.3810700000000002</c:v>
                </c:pt>
                <c:pt idx="84">
                  <c:v>2.3787500000000001</c:v>
                </c:pt>
                <c:pt idx="85">
                  <c:v>2.37635</c:v>
                </c:pt>
                <c:pt idx="86">
                  <c:v>2.3738600000000001</c:v>
                </c:pt>
                <c:pt idx="87">
                  <c:v>2.37039</c:v>
                </c:pt>
                <c:pt idx="88">
                  <c:v>2.3664399999999999</c:v>
                </c:pt>
                <c:pt idx="89">
                  <c:v>2.3623500000000002</c:v>
                </c:pt>
                <c:pt idx="90">
                  <c:v>2.3588899999999997</c:v>
                </c:pt>
                <c:pt idx="91">
                  <c:v>2.3590499999999999</c:v>
                </c:pt>
                <c:pt idx="92">
                  <c:v>2.3624300000000003</c:v>
                </c:pt>
                <c:pt idx="93">
                  <c:v>2.3681299999999998</c:v>
                </c:pt>
                <c:pt idx="94">
                  <c:v>2.3752899999999997</c:v>
                </c:pt>
                <c:pt idx="95">
                  <c:v>2.3822099999999997</c:v>
                </c:pt>
                <c:pt idx="96">
                  <c:v>2.39256</c:v>
                </c:pt>
                <c:pt idx="97">
                  <c:v>2.4072100000000001</c:v>
                </c:pt>
                <c:pt idx="98">
                  <c:v>2.42157</c:v>
                </c:pt>
                <c:pt idx="99">
                  <c:v>2.4359299999999999</c:v>
                </c:pt>
                <c:pt idx="100">
                  <c:v>2.44882</c:v>
                </c:pt>
                <c:pt idx="101">
                  <c:v>2.4674100000000001</c:v>
                </c:pt>
                <c:pt idx="102">
                  <c:v>2.4884400000000002</c:v>
                </c:pt>
                <c:pt idx="103">
                  <c:v>2.5075399999999997</c:v>
                </c:pt>
                <c:pt idx="104">
                  <c:v>2.5271100000000004</c:v>
                </c:pt>
                <c:pt idx="105">
                  <c:v>2.5465300000000002</c:v>
                </c:pt>
                <c:pt idx="106">
                  <c:v>2.5658099999999999</c:v>
                </c:pt>
                <c:pt idx="107">
                  <c:v>2.5858099999999999</c:v>
                </c:pt>
                <c:pt idx="108">
                  <c:v>2.6046999999999998</c:v>
                </c:pt>
                <c:pt idx="109">
                  <c:v>2.6310799999999999</c:v>
                </c:pt>
                <c:pt idx="110">
                  <c:v>2.6596299999999999</c:v>
                </c:pt>
                <c:pt idx="111">
                  <c:v>2.6909399999999999</c:v>
                </c:pt>
                <c:pt idx="112">
                  <c:v>2.7223899999999999</c:v>
                </c:pt>
                <c:pt idx="113">
                  <c:v>2.7483000000000004</c:v>
                </c:pt>
                <c:pt idx="114">
                  <c:v>2.7722000000000002</c:v>
                </c:pt>
                <c:pt idx="115">
                  <c:v>2.7983000000000002</c:v>
                </c:pt>
                <c:pt idx="116">
                  <c:v>2.8243200000000002</c:v>
                </c:pt>
                <c:pt idx="117">
                  <c:v>2.8521999999999998</c:v>
                </c:pt>
                <c:pt idx="118">
                  <c:v>2.8829400000000001</c:v>
                </c:pt>
                <c:pt idx="119">
                  <c:v>2.9136099999999998</c:v>
                </c:pt>
                <c:pt idx="120">
                  <c:v>2.9427399999999997</c:v>
                </c:pt>
                <c:pt idx="121">
                  <c:v>2.9723300000000004</c:v>
                </c:pt>
                <c:pt idx="122">
                  <c:v>3.0019299999999998</c:v>
                </c:pt>
                <c:pt idx="123">
                  <c:v>3.0287199999999999</c:v>
                </c:pt>
                <c:pt idx="124">
                  <c:v>3.0418600000000002</c:v>
                </c:pt>
                <c:pt idx="125">
                  <c:v>3.0573299999999999</c:v>
                </c:pt>
                <c:pt idx="126">
                  <c:v>3.07186</c:v>
                </c:pt>
                <c:pt idx="127">
                  <c:v>3.0866500000000001</c:v>
                </c:pt>
                <c:pt idx="128">
                  <c:v>3.1044300000000002</c:v>
                </c:pt>
                <c:pt idx="129">
                  <c:v>3.1213899999999999</c:v>
                </c:pt>
                <c:pt idx="130">
                  <c:v>3.1395200000000001</c:v>
                </c:pt>
                <c:pt idx="131">
                  <c:v>3.1564999999999999</c:v>
                </c:pt>
                <c:pt idx="132">
                  <c:v>3.1717599999999999</c:v>
                </c:pt>
                <c:pt idx="133">
                  <c:v>3.1885300000000001</c:v>
                </c:pt>
                <c:pt idx="134">
                  <c:v>3.1999599999999999</c:v>
                </c:pt>
                <c:pt idx="135">
                  <c:v>3.2096499999999999</c:v>
                </c:pt>
                <c:pt idx="136">
                  <c:v>3.2168799999999997</c:v>
                </c:pt>
                <c:pt idx="137">
                  <c:v>3.2244099999999998</c:v>
                </c:pt>
                <c:pt idx="138">
                  <c:v>3.2417600000000002</c:v>
                </c:pt>
                <c:pt idx="139">
                  <c:v>3.26451</c:v>
                </c:pt>
                <c:pt idx="140">
                  <c:v>3.2859500000000001</c:v>
                </c:pt>
                <c:pt idx="141">
                  <c:v>3.3064100000000001</c:v>
                </c:pt>
                <c:pt idx="142">
                  <c:v>3.32064</c:v>
                </c:pt>
                <c:pt idx="143">
                  <c:v>3.3269900000000003</c:v>
                </c:pt>
                <c:pt idx="144">
                  <c:v>3.3312199999999996</c:v>
                </c:pt>
                <c:pt idx="145">
                  <c:v>3.34138</c:v>
                </c:pt>
                <c:pt idx="146">
                  <c:v>3.3531599999999999</c:v>
                </c:pt>
                <c:pt idx="147">
                  <c:v>3.34253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29.657900000000001</c:v>
                </c:pt>
                <c:pt idx="1">
                  <c:v>30.063600000000001</c:v>
                </c:pt>
                <c:pt idx="2">
                  <c:v>30.488700000000001</c:v>
                </c:pt>
                <c:pt idx="3">
                  <c:v>30.894600000000001</c:v>
                </c:pt>
                <c:pt idx="4">
                  <c:v>31.2986</c:v>
                </c:pt>
                <c:pt idx="5">
                  <c:v>31.705400000000001</c:v>
                </c:pt>
                <c:pt idx="6">
                  <c:v>32.113100000000003</c:v>
                </c:pt>
                <c:pt idx="7">
                  <c:v>32.519799999999996</c:v>
                </c:pt>
                <c:pt idx="8">
                  <c:v>32.925699999999999</c:v>
                </c:pt>
                <c:pt idx="9">
                  <c:v>33.328099999999999</c:v>
                </c:pt>
                <c:pt idx="10">
                  <c:v>33.743600000000001</c:v>
                </c:pt>
                <c:pt idx="11">
                  <c:v>34.1404</c:v>
                </c:pt>
                <c:pt idx="12">
                  <c:v>34.5486</c:v>
                </c:pt>
                <c:pt idx="13">
                  <c:v>34.957599999999999</c:v>
                </c:pt>
                <c:pt idx="14">
                  <c:v>35.357900000000001</c:v>
                </c:pt>
                <c:pt idx="15">
                  <c:v>35.765599999999999</c:v>
                </c:pt>
                <c:pt idx="16">
                  <c:v>36.177799999999998</c:v>
                </c:pt>
                <c:pt idx="17">
                  <c:v>36.580100000000002</c:v>
                </c:pt>
                <c:pt idx="18">
                  <c:v>36.987099999999998</c:v>
                </c:pt>
                <c:pt idx="19">
                  <c:v>37.391399999999997</c:v>
                </c:pt>
                <c:pt idx="20">
                  <c:v>37.796500000000002</c:v>
                </c:pt>
                <c:pt idx="21">
                  <c:v>38.201900000000002</c:v>
                </c:pt>
                <c:pt idx="22">
                  <c:v>38.612000000000002</c:v>
                </c:pt>
                <c:pt idx="23">
                  <c:v>39.018900000000002</c:v>
                </c:pt>
                <c:pt idx="24">
                  <c:v>39.426099999999998</c:v>
                </c:pt>
                <c:pt idx="25">
                  <c:v>39.8279</c:v>
                </c:pt>
                <c:pt idx="26">
                  <c:v>40.234200000000001</c:v>
                </c:pt>
                <c:pt idx="27">
                  <c:v>40.640099999999997</c:v>
                </c:pt>
                <c:pt idx="28">
                  <c:v>41.047499999999999</c:v>
                </c:pt>
                <c:pt idx="29">
                  <c:v>41.453099999999999</c:v>
                </c:pt>
                <c:pt idx="30">
                  <c:v>41.8596</c:v>
                </c:pt>
                <c:pt idx="31">
                  <c:v>42.266599999999997</c:v>
                </c:pt>
                <c:pt idx="32">
                  <c:v>42.670499999999997</c:v>
                </c:pt>
                <c:pt idx="33">
                  <c:v>43.078600000000002</c:v>
                </c:pt>
                <c:pt idx="34">
                  <c:v>43.482799999999997</c:v>
                </c:pt>
                <c:pt idx="35">
                  <c:v>43.891500000000001</c:v>
                </c:pt>
                <c:pt idx="36">
                  <c:v>44.2988</c:v>
                </c:pt>
                <c:pt idx="37">
                  <c:v>44.706000000000003</c:v>
                </c:pt>
                <c:pt idx="38">
                  <c:v>45.110199999999999</c:v>
                </c:pt>
                <c:pt idx="39">
                  <c:v>45.518700000000003</c:v>
                </c:pt>
                <c:pt idx="40">
                  <c:v>45.924399999999999</c:v>
                </c:pt>
                <c:pt idx="41">
                  <c:v>46.329500000000003</c:v>
                </c:pt>
                <c:pt idx="42">
                  <c:v>46.734400000000001</c:v>
                </c:pt>
                <c:pt idx="43">
                  <c:v>47.1432</c:v>
                </c:pt>
                <c:pt idx="44">
                  <c:v>47.548200000000001</c:v>
                </c:pt>
                <c:pt idx="45">
                  <c:v>47.956000000000003</c:v>
                </c:pt>
                <c:pt idx="46">
                  <c:v>48.358199999999997</c:v>
                </c:pt>
                <c:pt idx="47">
                  <c:v>48.766100000000002</c:v>
                </c:pt>
                <c:pt idx="48">
                  <c:v>49.1736</c:v>
                </c:pt>
                <c:pt idx="49">
                  <c:v>49.582500000000003</c:v>
                </c:pt>
                <c:pt idx="50">
                  <c:v>49.988700000000001</c:v>
                </c:pt>
                <c:pt idx="51">
                  <c:v>50.393999999999998</c:v>
                </c:pt>
                <c:pt idx="52">
                  <c:v>50.8003</c:v>
                </c:pt>
                <c:pt idx="53">
                  <c:v>51.2059</c:v>
                </c:pt>
                <c:pt idx="54">
                  <c:v>51.611199999999997</c:v>
                </c:pt>
                <c:pt idx="55">
                  <c:v>52.018500000000003</c:v>
                </c:pt>
                <c:pt idx="56">
                  <c:v>52.421100000000003</c:v>
                </c:pt>
                <c:pt idx="57">
                  <c:v>52.8264</c:v>
                </c:pt>
                <c:pt idx="58">
                  <c:v>53.232599999999998</c:v>
                </c:pt>
                <c:pt idx="59">
                  <c:v>53.642899999999997</c:v>
                </c:pt>
                <c:pt idx="60">
                  <c:v>54.048499999999997</c:v>
                </c:pt>
                <c:pt idx="61">
                  <c:v>54.452800000000003</c:v>
                </c:pt>
                <c:pt idx="62">
                  <c:v>54.8611</c:v>
                </c:pt>
                <c:pt idx="63">
                  <c:v>55.267499999999998</c:v>
                </c:pt>
                <c:pt idx="64">
                  <c:v>55.674399999999999</c:v>
                </c:pt>
                <c:pt idx="65">
                  <c:v>56.081400000000002</c:v>
                </c:pt>
                <c:pt idx="66">
                  <c:v>56.490099999999998</c:v>
                </c:pt>
                <c:pt idx="67">
                  <c:v>56.891300000000001</c:v>
                </c:pt>
                <c:pt idx="68">
                  <c:v>57.296999999999997</c:v>
                </c:pt>
                <c:pt idx="69">
                  <c:v>57.702800000000003</c:v>
                </c:pt>
                <c:pt idx="70">
                  <c:v>58.115900000000003</c:v>
                </c:pt>
                <c:pt idx="71">
                  <c:v>58.5167</c:v>
                </c:pt>
                <c:pt idx="72">
                  <c:v>58.921799999999998</c:v>
                </c:pt>
                <c:pt idx="73">
                  <c:v>59.329500000000003</c:v>
                </c:pt>
                <c:pt idx="74">
                  <c:v>59.737200000000001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2.4761099999999998</c:v>
                </c:pt>
                <c:pt idx="1">
                  <c:v>2.4656600000000002</c:v>
                </c:pt>
                <c:pt idx="2">
                  <c:v>2.4540600000000001</c:v>
                </c:pt>
                <c:pt idx="3">
                  <c:v>2.4399799999999998</c:v>
                </c:pt>
                <c:pt idx="4">
                  <c:v>2.4244399999999997</c:v>
                </c:pt>
                <c:pt idx="5">
                  <c:v>2.4088099999999999</c:v>
                </c:pt>
                <c:pt idx="6">
                  <c:v>2.39642</c:v>
                </c:pt>
                <c:pt idx="7">
                  <c:v>2.3868</c:v>
                </c:pt>
                <c:pt idx="8">
                  <c:v>2.38158</c:v>
                </c:pt>
                <c:pt idx="9">
                  <c:v>2.3803999999999998</c:v>
                </c:pt>
                <c:pt idx="10">
                  <c:v>2.3810700000000002</c:v>
                </c:pt>
                <c:pt idx="11">
                  <c:v>2.3787500000000001</c:v>
                </c:pt>
                <c:pt idx="12">
                  <c:v>2.37635</c:v>
                </c:pt>
                <c:pt idx="13">
                  <c:v>2.3738600000000001</c:v>
                </c:pt>
                <c:pt idx="14">
                  <c:v>2.37039</c:v>
                </c:pt>
                <c:pt idx="15">
                  <c:v>2.3664399999999999</c:v>
                </c:pt>
                <c:pt idx="16">
                  <c:v>2.3623500000000002</c:v>
                </c:pt>
                <c:pt idx="17">
                  <c:v>2.3588899999999997</c:v>
                </c:pt>
                <c:pt idx="18">
                  <c:v>2.3590499999999999</c:v>
                </c:pt>
                <c:pt idx="19">
                  <c:v>2.3624300000000003</c:v>
                </c:pt>
                <c:pt idx="20">
                  <c:v>2.3681299999999998</c:v>
                </c:pt>
                <c:pt idx="21">
                  <c:v>2.3752899999999997</c:v>
                </c:pt>
                <c:pt idx="22">
                  <c:v>2.3822099999999997</c:v>
                </c:pt>
                <c:pt idx="23">
                  <c:v>2.39256</c:v>
                </c:pt>
                <c:pt idx="24">
                  <c:v>2.4072100000000001</c:v>
                </c:pt>
                <c:pt idx="25">
                  <c:v>2.42157</c:v>
                </c:pt>
                <c:pt idx="26">
                  <c:v>2.4359299999999999</c:v>
                </c:pt>
                <c:pt idx="27">
                  <c:v>2.44882</c:v>
                </c:pt>
                <c:pt idx="28">
                  <c:v>2.4674100000000001</c:v>
                </c:pt>
                <c:pt idx="29">
                  <c:v>2.4884400000000002</c:v>
                </c:pt>
                <c:pt idx="30">
                  <c:v>2.5075399999999997</c:v>
                </c:pt>
                <c:pt idx="31">
                  <c:v>2.5271100000000004</c:v>
                </c:pt>
                <c:pt idx="32">
                  <c:v>2.5465300000000002</c:v>
                </c:pt>
                <c:pt idx="33">
                  <c:v>2.5658099999999999</c:v>
                </c:pt>
                <c:pt idx="34">
                  <c:v>2.5858099999999999</c:v>
                </c:pt>
                <c:pt idx="35">
                  <c:v>2.6046999999999998</c:v>
                </c:pt>
                <c:pt idx="36">
                  <c:v>2.6310799999999999</c:v>
                </c:pt>
                <c:pt idx="37">
                  <c:v>2.6596299999999999</c:v>
                </c:pt>
                <c:pt idx="38">
                  <c:v>2.6909399999999999</c:v>
                </c:pt>
                <c:pt idx="39">
                  <c:v>2.7223899999999999</c:v>
                </c:pt>
                <c:pt idx="40">
                  <c:v>2.7483000000000004</c:v>
                </c:pt>
                <c:pt idx="41">
                  <c:v>2.7722000000000002</c:v>
                </c:pt>
                <c:pt idx="42">
                  <c:v>2.7983000000000002</c:v>
                </c:pt>
                <c:pt idx="43">
                  <c:v>2.8243200000000002</c:v>
                </c:pt>
                <c:pt idx="44">
                  <c:v>2.8521999999999998</c:v>
                </c:pt>
                <c:pt idx="45">
                  <c:v>2.8829400000000001</c:v>
                </c:pt>
                <c:pt idx="46">
                  <c:v>2.9136099999999998</c:v>
                </c:pt>
                <c:pt idx="47">
                  <c:v>2.9427399999999997</c:v>
                </c:pt>
                <c:pt idx="48">
                  <c:v>2.9723300000000004</c:v>
                </c:pt>
                <c:pt idx="49">
                  <c:v>3.0019299999999998</c:v>
                </c:pt>
                <c:pt idx="50">
                  <c:v>3.0287199999999999</c:v>
                </c:pt>
                <c:pt idx="51">
                  <c:v>3.0418600000000002</c:v>
                </c:pt>
                <c:pt idx="52">
                  <c:v>3.0573299999999999</c:v>
                </c:pt>
                <c:pt idx="53">
                  <c:v>3.07186</c:v>
                </c:pt>
                <c:pt idx="54">
                  <c:v>3.0866500000000001</c:v>
                </c:pt>
                <c:pt idx="55">
                  <c:v>3.1044300000000002</c:v>
                </c:pt>
                <c:pt idx="56">
                  <c:v>3.1213899999999999</c:v>
                </c:pt>
                <c:pt idx="57">
                  <c:v>3.1395200000000001</c:v>
                </c:pt>
                <c:pt idx="58">
                  <c:v>3.1564999999999999</c:v>
                </c:pt>
                <c:pt idx="59">
                  <c:v>3.1717599999999999</c:v>
                </c:pt>
                <c:pt idx="60">
                  <c:v>3.1885300000000001</c:v>
                </c:pt>
                <c:pt idx="61">
                  <c:v>3.1999599999999999</c:v>
                </c:pt>
                <c:pt idx="62">
                  <c:v>3.2096499999999999</c:v>
                </c:pt>
                <c:pt idx="63">
                  <c:v>3.2168799999999997</c:v>
                </c:pt>
                <c:pt idx="64">
                  <c:v>3.2244099999999998</c:v>
                </c:pt>
                <c:pt idx="65">
                  <c:v>3.2417600000000002</c:v>
                </c:pt>
                <c:pt idx="66">
                  <c:v>3.26451</c:v>
                </c:pt>
                <c:pt idx="67">
                  <c:v>3.2859500000000001</c:v>
                </c:pt>
                <c:pt idx="68">
                  <c:v>3.3064100000000001</c:v>
                </c:pt>
                <c:pt idx="69">
                  <c:v>3.32064</c:v>
                </c:pt>
                <c:pt idx="70">
                  <c:v>3.3269900000000003</c:v>
                </c:pt>
                <c:pt idx="71">
                  <c:v>3.3312199999999996</c:v>
                </c:pt>
                <c:pt idx="72">
                  <c:v>3.34138</c:v>
                </c:pt>
                <c:pt idx="73">
                  <c:v>3.3531599999999999</c:v>
                </c:pt>
                <c:pt idx="74">
                  <c:v>3.34253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1.09409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14.9343</c:v>
                </c:pt>
                <c:pt idx="1">
                  <c:v>44.802900000000001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2.0628227027027024</c:v>
                </c:pt>
                <c:pt idx="1">
                  <c:v>2.7635095945945953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  <c:pt idx="74">
                  <c:v>30.063600000000001</c:v>
                </c:pt>
                <c:pt idx="75">
                  <c:v>30.488700000000001</c:v>
                </c:pt>
                <c:pt idx="76">
                  <c:v>30.894600000000001</c:v>
                </c:pt>
                <c:pt idx="77">
                  <c:v>31.2986</c:v>
                </c:pt>
                <c:pt idx="78">
                  <c:v>31.705400000000001</c:v>
                </c:pt>
                <c:pt idx="79">
                  <c:v>32.113100000000003</c:v>
                </c:pt>
                <c:pt idx="80">
                  <c:v>32.519799999999996</c:v>
                </c:pt>
                <c:pt idx="81">
                  <c:v>32.925699999999999</c:v>
                </c:pt>
                <c:pt idx="82">
                  <c:v>33.328099999999999</c:v>
                </c:pt>
                <c:pt idx="83">
                  <c:v>33.743600000000001</c:v>
                </c:pt>
                <c:pt idx="84">
                  <c:v>34.1404</c:v>
                </c:pt>
                <c:pt idx="85">
                  <c:v>34.5486</c:v>
                </c:pt>
                <c:pt idx="86">
                  <c:v>34.957599999999999</c:v>
                </c:pt>
                <c:pt idx="87">
                  <c:v>35.357900000000001</c:v>
                </c:pt>
                <c:pt idx="88">
                  <c:v>35.765599999999999</c:v>
                </c:pt>
                <c:pt idx="89">
                  <c:v>36.177799999999998</c:v>
                </c:pt>
                <c:pt idx="90">
                  <c:v>36.580100000000002</c:v>
                </c:pt>
                <c:pt idx="91">
                  <c:v>36.987099999999998</c:v>
                </c:pt>
                <c:pt idx="92">
                  <c:v>37.391399999999997</c:v>
                </c:pt>
                <c:pt idx="93">
                  <c:v>37.796500000000002</c:v>
                </c:pt>
                <c:pt idx="94">
                  <c:v>38.201900000000002</c:v>
                </c:pt>
                <c:pt idx="95">
                  <c:v>38.612000000000002</c:v>
                </c:pt>
                <c:pt idx="96">
                  <c:v>39.018900000000002</c:v>
                </c:pt>
                <c:pt idx="97">
                  <c:v>39.426099999999998</c:v>
                </c:pt>
                <c:pt idx="98">
                  <c:v>39.8279</c:v>
                </c:pt>
                <c:pt idx="99">
                  <c:v>40.234200000000001</c:v>
                </c:pt>
                <c:pt idx="100">
                  <c:v>40.640099999999997</c:v>
                </c:pt>
                <c:pt idx="101">
                  <c:v>41.047499999999999</c:v>
                </c:pt>
                <c:pt idx="102">
                  <c:v>41.453099999999999</c:v>
                </c:pt>
                <c:pt idx="103">
                  <c:v>41.8596</c:v>
                </c:pt>
                <c:pt idx="104">
                  <c:v>42.266599999999997</c:v>
                </c:pt>
                <c:pt idx="105">
                  <c:v>42.670499999999997</c:v>
                </c:pt>
                <c:pt idx="106">
                  <c:v>43.078600000000002</c:v>
                </c:pt>
                <c:pt idx="107">
                  <c:v>43.482799999999997</c:v>
                </c:pt>
                <c:pt idx="108">
                  <c:v>43.891500000000001</c:v>
                </c:pt>
                <c:pt idx="109">
                  <c:v>44.2988</c:v>
                </c:pt>
                <c:pt idx="110">
                  <c:v>44.706000000000003</c:v>
                </c:pt>
                <c:pt idx="111">
                  <c:v>45.110199999999999</c:v>
                </c:pt>
                <c:pt idx="112">
                  <c:v>45.518700000000003</c:v>
                </c:pt>
                <c:pt idx="113">
                  <c:v>45.924399999999999</c:v>
                </c:pt>
                <c:pt idx="114">
                  <c:v>46.329500000000003</c:v>
                </c:pt>
                <c:pt idx="115">
                  <c:v>46.734400000000001</c:v>
                </c:pt>
                <c:pt idx="116">
                  <c:v>47.1432</c:v>
                </c:pt>
                <c:pt idx="117">
                  <c:v>47.548200000000001</c:v>
                </c:pt>
                <c:pt idx="118">
                  <c:v>47.956000000000003</c:v>
                </c:pt>
                <c:pt idx="119">
                  <c:v>48.358199999999997</c:v>
                </c:pt>
                <c:pt idx="120">
                  <c:v>48.766100000000002</c:v>
                </c:pt>
                <c:pt idx="121">
                  <c:v>49.1736</c:v>
                </c:pt>
                <c:pt idx="122">
                  <c:v>49.582500000000003</c:v>
                </c:pt>
                <c:pt idx="123">
                  <c:v>49.988700000000001</c:v>
                </c:pt>
                <c:pt idx="124">
                  <c:v>50.393999999999998</c:v>
                </c:pt>
                <c:pt idx="125">
                  <c:v>50.8003</c:v>
                </c:pt>
                <c:pt idx="126">
                  <c:v>51.2059</c:v>
                </c:pt>
                <c:pt idx="127">
                  <c:v>51.611199999999997</c:v>
                </c:pt>
                <c:pt idx="128">
                  <c:v>52.018500000000003</c:v>
                </c:pt>
                <c:pt idx="129">
                  <c:v>52.421100000000003</c:v>
                </c:pt>
                <c:pt idx="130">
                  <c:v>52.8264</c:v>
                </c:pt>
                <c:pt idx="131">
                  <c:v>53.232599999999998</c:v>
                </c:pt>
                <c:pt idx="132">
                  <c:v>53.642899999999997</c:v>
                </c:pt>
                <c:pt idx="133">
                  <c:v>54.048499999999997</c:v>
                </c:pt>
                <c:pt idx="134">
                  <c:v>54.452800000000003</c:v>
                </c:pt>
                <c:pt idx="135">
                  <c:v>54.8611</c:v>
                </c:pt>
                <c:pt idx="136">
                  <c:v>55.267499999999998</c:v>
                </c:pt>
                <c:pt idx="137">
                  <c:v>55.674399999999999</c:v>
                </c:pt>
                <c:pt idx="138">
                  <c:v>56.081400000000002</c:v>
                </c:pt>
                <c:pt idx="139">
                  <c:v>56.490099999999998</c:v>
                </c:pt>
                <c:pt idx="140">
                  <c:v>56.891300000000001</c:v>
                </c:pt>
                <c:pt idx="141">
                  <c:v>57.296999999999997</c:v>
                </c:pt>
                <c:pt idx="142">
                  <c:v>57.702800000000003</c:v>
                </c:pt>
                <c:pt idx="143">
                  <c:v>58.115900000000003</c:v>
                </c:pt>
                <c:pt idx="144">
                  <c:v>58.5167</c:v>
                </c:pt>
                <c:pt idx="145">
                  <c:v>58.921799999999998</c:v>
                </c:pt>
                <c:pt idx="146">
                  <c:v>59.329500000000003</c:v>
                </c:pt>
                <c:pt idx="147">
                  <c:v>59.737200000000001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  <c:pt idx="74">
                  <c:v>46.777200000000001</c:v>
                </c:pt>
                <c:pt idx="75">
                  <c:v>46.866</c:v>
                </c:pt>
                <c:pt idx="76">
                  <c:v>47.003599999999999</c:v>
                </c:pt>
                <c:pt idx="77">
                  <c:v>47.161999999999999</c:v>
                </c:pt>
                <c:pt idx="78">
                  <c:v>47.290300000000002</c:v>
                </c:pt>
                <c:pt idx="79">
                  <c:v>47.441000000000003</c:v>
                </c:pt>
                <c:pt idx="80">
                  <c:v>47.5822</c:v>
                </c:pt>
                <c:pt idx="81">
                  <c:v>47.672399999999996</c:v>
                </c:pt>
                <c:pt idx="82">
                  <c:v>47.7346</c:v>
                </c:pt>
                <c:pt idx="83">
                  <c:v>47.796100000000003</c:v>
                </c:pt>
                <c:pt idx="84">
                  <c:v>47.937800000000003</c:v>
                </c:pt>
                <c:pt idx="85">
                  <c:v>48.0777</c:v>
                </c:pt>
                <c:pt idx="86">
                  <c:v>48.2087</c:v>
                </c:pt>
                <c:pt idx="87">
                  <c:v>48.359200000000001</c:v>
                </c:pt>
                <c:pt idx="88">
                  <c:v>48.489100000000001</c:v>
                </c:pt>
                <c:pt idx="89">
                  <c:v>48.639200000000002</c:v>
                </c:pt>
                <c:pt idx="90">
                  <c:v>48.789900000000003</c:v>
                </c:pt>
                <c:pt idx="91">
                  <c:v>48.848799999999997</c:v>
                </c:pt>
                <c:pt idx="92">
                  <c:v>48.834000000000003</c:v>
                </c:pt>
                <c:pt idx="93">
                  <c:v>48.668800000000005</c:v>
                </c:pt>
                <c:pt idx="94">
                  <c:v>48.4833</c:v>
                </c:pt>
                <c:pt idx="95">
                  <c:v>48.397100000000002</c:v>
                </c:pt>
                <c:pt idx="96">
                  <c:v>48.291000000000004</c:v>
                </c:pt>
                <c:pt idx="97">
                  <c:v>48.084400000000002</c:v>
                </c:pt>
                <c:pt idx="98">
                  <c:v>47.797200000000004</c:v>
                </c:pt>
                <c:pt idx="99">
                  <c:v>47.5242</c:v>
                </c:pt>
                <c:pt idx="100">
                  <c:v>47.355799999999995</c:v>
                </c:pt>
                <c:pt idx="101">
                  <c:v>47.061799999999998</c:v>
                </c:pt>
                <c:pt idx="102">
                  <c:v>46.6922</c:v>
                </c:pt>
                <c:pt idx="103">
                  <c:v>46.398099999999999</c:v>
                </c:pt>
                <c:pt idx="104">
                  <c:v>46.048400000000001</c:v>
                </c:pt>
                <c:pt idx="105">
                  <c:v>45.623899999999999</c:v>
                </c:pt>
                <c:pt idx="106">
                  <c:v>45.164400000000001</c:v>
                </c:pt>
                <c:pt idx="107">
                  <c:v>44.597900000000003</c:v>
                </c:pt>
                <c:pt idx="108">
                  <c:v>44.033499999999997</c:v>
                </c:pt>
                <c:pt idx="109">
                  <c:v>43.319400000000002</c:v>
                </c:pt>
                <c:pt idx="110">
                  <c:v>42.590899999999998</c:v>
                </c:pt>
                <c:pt idx="111">
                  <c:v>41.797200000000004</c:v>
                </c:pt>
                <c:pt idx="112">
                  <c:v>41.049100000000003</c:v>
                </c:pt>
                <c:pt idx="113">
                  <c:v>40.549099999999996</c:v>
                </c:pt>
                <c:pt idx="114">
                  <c:v>40.1096</c:v>
                </c:pt>
                <c:pt idx="115">
                  <c:v>39.590899999999998</c:v>
                </c:pt>
                <c:pt idx="116">
                  <c:v>39.061199999999999</c:v>
                </c:pt>
                <c:pt idx="117">
                  <c:v>38.433199999999999</c:v>
                </c:pt>
                <c:pt idx="118">
                  <c:v>37.7607</c:v>
                </c:pt>
                <c:pt idx="119">
                  <c:v>37.066500000000005</c:v>
                </c:pt>
                <c:pt idx="120">
                  <c:v>36.446199999999997</c:v>
                </c:pt>
                <c:pt idx="121">
                  <c:v>35.799399999999999</c:v>
                </c:pt>
                <c:pt idx="122">
                  <c:v>35.202299999999994</c:v>
                </c:pt>
                <c:pt idx="123">
                  <c:v>34.738700000000001</c:v>
                </c:pt>
                <c:pt idx="124">
                  <c:v>34.568100000000001</c:v>
                </c:pt>
                <c:pt idx="125">
                  <c:v>34.371099999999998</c:v>
                </c:pt>
                <c:pt idx="126">
                  <c:v>34.1569</c:v>
                </c:pt>
                <c:pt idx="127">
                  <c:v>33.9422</c:v>
                </c:pt>
                <c:pt idx="128">
                  <c:v>33.725899999999996</c:v>
                </c:pt>
                <c:pt idx="129">
                  <c:v>33.491</c:v>
                </c:pt>
                <c:pt idx="130">
                  <c:v>33.277200000000001</c:v>
                </c:pt>
                <c:pt idx="131">
                  <c:v>33.0276</c:v>
                </c:pt>
                <c:pt idx="132">
                  <c:v>32.783499999999997</c:v>
                </c:pt>
                <c:pt idx="133">
                  <c:v>32.546799999999998</c:v>
                </c:pt>
                <c:pt idx="134">
                  <c:v>32.290999999999997</c:v>
                </c:pt>
                <c:pt idx="135">
                  <c:v>32.022199999999998</c:v>
                </c:pt>
                <c:pt idx="136">
                  <c:v>31.818200000000001</c:v>
                </c:pt>
                <c:pt idx="137">
                  <c:v>31.605599999999999</c:v>
                </c:pt>
                <c:pt idx="138">
                  <c:v>31.215</c:v>
                </c:pt>
                <c:pt idx="139">
                  <c:v>30.7606</c:v>
                </c:pt>
                <c:pt idx="140">
                  <c:v>30.317699999999999</c:v>
                </c:pt>
                <c:pt idx="141">
                  <c:v>29.773300000000003</c:v>
                </c:pt>
                <c:pt idx="142">
                  <c:v>29.263699999999996</c:v>
                </c:pt>
                <c:pt idx="143">
                  <c:v>28.9178</c:v>
                </c:pt>
                <c:pt idx="144">
                  <c:v>28.84</c:v>
                </c:pt>
                <c:pt idx="145">
                  <c:v>28.728999999999999</c:v>
                </c:pt>
                <c:pt idx="146">
                  <c:v>28.979300000000002</c:v>
                </c:pt>
                <c:pt idx="147">
                  <c:v>29.720200000000002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0.406721</c:v>
                </c:pt>
                <c:pt idx="2">
                  <c:v>0.81574199999999997</c:v>
                </c:pt>
                <c:pt idx="3">
                  <c:v>1.2196199999999999</c:v>
                </c:pt>
                <c:pt idx="4">
                  <c:v>1.6267100000000001</c:v>
                </c:pt>
                <c:pt idx="5">
                  <c:v>2.0299999999999998</c:v>
                </c:pt>
                <c:pt idx="6">
                  <c:v>2.4371100000000001</c:v>
                </c:pt>
                <c:pt idx="7">
                  <c:v>2.8441000000000001</c:v>
                </c:pt>
                <c:pt idx="8">
                  <c:v>3.2498200000000002</c:v>
                </c:pt>
                <c:pt idx="9">
                  <c:v>3.65896</c:v>
                </c:pt>
                <c:pt idx="10">
                  <c:v>4.0615699999999997</c:v>
                </c:pt>
                <c:pt idx="11">
                  <c:v>4.4673600000000002</c:v>
                </c:pt>
                <c:pt idx="12">
                  <c:v>4.8769999999999998</c:v>
                </c:pt>
                <c:pt idx="13">
                  <c:v>5.2825800000000003</c:v>
                </c:pt>
                <c:pt idx="14">
                  <c:v>5.6884899999999998</c:v>
                </c:pt>
                <c:pt idx="15">
                  <c:v>6.0930600000000004</c:v>
                </c:pt>
                <c:pt idx="16">
                  <c:v>6.4987700000000004</c:v>
                </c:pt>
                <c:pt idx="17">
                  <c:v>6.9079699999999997</c:v>
                </c:pt>
                <c:pt idx="18">
                  <c:v>7.3152400000000002</c:v>
                </c:pt>
                <c:pt idx="19">
                  <c:v>7.7208899999999998</c:v>
                </c:pt>
                <c:pt idx="20">
                  <c:v>8.1260999999999992</c:v>
                </c:pt>
                <c:pt idx="21">
                  <c:v>8.5311500000000002</c:v>
                </c:pt>
                <c:pt idx="22">
                  <c:v>8.9380799999999994</c:v>
                </c:pt>
                <c:pt idx="23">
                  <c:v>9.3460999999999999</c:v>
                </c:pt>
                <c:pt idx="24">
                  <c:v>9.7530300000000008</c:v>
                </c:pt>
                <c:pt idx="25">
                  <c:v>10.1572</c:v>
                </c:pt>
                <c:pt idx="26">
                  <c:v>10.561999999999999</c:v>
                </c:pt>
                <c:pt idx="27">
                  <c:v>10.969799999999999</c:v>
                </c:pt>
                <c:pt idx="28">
                  <c:v>11.3773</c:v>
                </c:pt>
                <c:pt idx="29">
                  <c:v>11.783099999999999</c:v>
                </c:pt>
                <c:pt idx="30">
                  <c:v>12.1896</c:v>
                </c:pt>
                <c:pt idx="31">
                  <c:v>12.5929</c:v>
                </c:pt>
                <c:pt idx="32">
                  <c:v>12.9998</c:v>
                </c:pt>
                <c:pt idx="33">
                  <c:v>13.4077</c:v>
                </c:pt>
                <c:pt idx="34">
                  <c:v>13.815</c:v>
                </c:pt>
                <c:pt idx="35">
                  <c:v>14.221299999999999</c:v>
                </c:pt>
                <c:pt idx="36">
                  <c:v>14.6241</c:v>
                </c:pt>
                <c:pt idx="37">
                  <c:v>15.028600000000001</c:v>
                </c:pt>
                <c:pt idx="38">
                  <c:v>15.4377</c:v>
                </c:pt>
                <c:pt idx="39">
                  <c:v>15.842599999999999</c:v>
                </c:pt>
                <c:pt idx="40">
                  <c:v>16.2501</c:v>
                </c:pt>
                <c:pt idx="41">
                  <c:v>16.6568</c:v>
                </c:pt>
                <c:pt idx="42">
                  <c:v>17.061900000000001</c:v>
                </c:pt>
                <c:pt idx="43">
                  <c:v>17.469000000000001</c:v>
                </c:pt>
                <c:pt idx="44">
                  <c:v>17.875399999999999</c:v>
                </c:pt>
                <c:pt idx="45">
                  <c:v>18.280799999999999</c:v>
                </c:pt>
                <c:pt idx="46">
                  <c:v>18.688099999999999</c:v>
                </c:pt>
                <c:pt idx="47">
                  <c:v>19.0959</c:v>
                </c:pt>
                <c:pt idx="48">
                  <c:v>19.502099999999999</c:v>
                </c:pt>
                <c:pt idx="49">
                  <c:v>19.9054</c:v>
                </c:pt>
                <c:pt idx="50">
                  <c:v>20.315100000000001</c:v>
                </c:pt>
                <c:pt idx="51">
                  <c:v>20.7211</c:v>
                </c:pt>
                <c:pt idx="52">
                  <c:v>21.1279</c:v>
                </c:pt>
                <c:pt idx="53">
                  <c:v>21.534700000000001</c:v>
                </c:pt>
                <c:pt idx="54">
                  <c:v>21.937899999999999</c:v>
                </c:pt>
                <c:pt idx="55">
                  <c:v>22.341899999999999</c:v>
                </c:pt>
                <c:pt idx="56">
                  <c:v>22.751300000000001</c:v>
                </c:pt>
                <c:pt idx="57">
                  <c:v>23.1571</c:v>
                </c:pt>
                <c:pt idx="58">
                  <c:v>23.561699999999998</c:v>
                </c:pt>
                <c:pt idx="59">
                  <c:v>23.969000000000001</c:v>
                </c:pt>
                <c:pt idx="60">
                  <c:v>24.374500000000001</c:v>
                </c:pt>
                <c:pt idx="61">
                  <c:v>24.782499999999999</c:v>
                </c:pt>
                <c:pt idx="62">
                  <c:v>25.188199999999998</c:v>
                </c:pt>
                <c:pt idx="63">
                  <c:v>25.5961</c:v>
                </c:pt>
                <c:pt idx="64">
                  <c:v>26.000900000000001</c:v>
                </c:pt>
                <c:pt idx="65">
                  <c:v>26.404599999999999</c:v>
                </c:pt>
                <c:pt idx="66">
                  <c:v>26.811900000000001</c:v>
                </c:pt>
                <c:pt idx="67">
                  <c:v>27.221800000000002</c:v>
                </c:pt>
                <c:pt idx="68">
                  <c:v>27.626100000000001</c:v>
                </c:pt>
                <c:pt idx="69">
                  <c:v>28.030899999999999</c:v>
                </c:pt>
                <c:pt idx="70">
                  <c:v>28.4361</c:v>
                </c:pt>
                <c:pt idx="71">
                  <c:v>28.845700000000001</c:v>
                </c:pt>
                <c:pt idx="72">
                  <c:v>29.256</c:v>
                </c:pt>
                <c:pt idx="73">
                  <c:v>29.657900000000001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29.657900000000001</c:v>
                </c:pt>
                <c:pt idx="1">
                  <c:v>30.063600000000001</c:v>
                </c:pt>
                <c:pt idx="2">
                  <c:v>30.488700000000001</c:v>
                </c:pt>
                <c:pt idx="3">
                  <c:v>30.894600000000001</c:v>
                </c:pt>
                <c:pt idx="4">
                  <c:v>31.2986</c:v>
                </c:pt>
                <c:pt idx="5">
                  <c:v>31.705400000000001</c:v>
                </c:pt>
                <c:pt idx="6">
                  <c:v>32.113100000000003</c:v>
                </c:pt>
                <c:pt idx="7">
                  <c:v>32.519799999999996</c:v>
                </c:pt>
                <c:pt idx="8">
                  <c:v>32.925699999999999</c:v>
                </c:pt>
                <c:pt idx="9">
                  <c:v>33.328099999999999</c:v>
                </c:pt>
                <c:pt idx="10">
                  <c:v>33.743600000000001</c:v>
                </c:pt>
                <c:pt idx="11">
                  <c:v>34.1404</c:v>
                </c:pt>
                <c:pt idx="12">
                  <c:v>34.5486</c:v>
                </c:pt>
                <c:pt idx="13">
                  <c:v>34.957599999999999</c:v>
                </c:pt>
                <c:pt idx="14">
                  <c:v>35.357900000000001</c:v>
                </c:pt>
                <c:pt idx="15">
                  <c:v>35.765599999999999</c:v>
                </c:pt>
                <c:pt idx="16">
                  <c:v>36.177799999999998</c:v>
                </c:pt>
                <c:pt idx="17">
                  <c:v>36.580100000000002</c:v>
                </c:pt>
                <c:pt idx="18">
                  <c:v>36.987099999999998</c:v>
                </c:pt>
                <c:pt idx="19">
                  <c:v>37.391399999999997</c:v>
                </c:pt>
                <c:pt idx="20">
                  <c:v>37.796500000000002</c:v>
                </c:pt>
                <c:pt idx="21">
                  <c:v>38.201900000000002</c:v>
                </c:pt>
                <c:pt idx="22">
                  <c:v>38.612000000000002</c:v>
                </c:pt>
                <c:pt idx="23">
                  <c:v>39.018900000000002</c:v>
                </c:pt>
                <c:pt idx="24">
                  <c:v>39.426099999999998</c:v>
                </c:pt>
                <c:pt idx="25">
                  <c:v>39.8279</c:v>
                </c:pt>
                <c:pt idx="26">
                  <c:v>40.234200000000001</c:v>
                </c:pt>
                <c:pt idx="27">
                  <c:v>40.640099999999997</c:v>
                </c:pt>
                <c:pt idx="28">
                  <c:v>41.047499999999999</c:v>
                </c:pt>
                <c:pt idx="29">
                  <c:v>41.453099999999999</c:v>
                </c:pt>
                <c:pt idx="30">
                  <c:v>41.8596</c:v>
                </c:pt>
                <c:pt idx="31">
                  <c:v>42.266599999999997</c:v>
                </c:pt>
                <c:pt idx="32">
                  <c:v>42.670499999999997</c:v>
                </c:pt>
                <c:pt idx="33">
                  <c:v>43.078600000000002</c:v>
                </c:pt>
                <c:pt idx="34">
                  <c:v>43.482799999999997</c:v>
                </c:pt>
                <c:pt idx="35">
                  <c:v>43.891500000000001</c:v>
                </c:pt>
                <c:pt idx="36">
                  <c:v>44.2988</c:v>
                </c:pt>
                <c:pt idx="37">
                  <c:v>44.706000000000003</c:v>
                </c:pt>
                <c:pt idx="38">
                  <c:v>45.110199999999999</c:v>
                </c:pt>
                <c:pt idx="39">
                  <c:v>45.518700000000003</c:v>
                </c:pt>
                <c:pt idx="40">
                  <c:v>45.924399999999999</c:v>
                </c:pt>
                <c:pt idx="41">
                  <c:v>46.329500000000003</c:v>
                </c:pt>
                <c:pt idx="42">
                  <c:v>46.734400000000001</c:v>
                </c:pt>
                <c:pt idx="43">
                  <c:v>47.1432</c:v>
                </c:pt>
                <c:pt idx="44">
                  <c:v>47.548200000000001</c:v>
                </c:pt>
                <c:pt idx="45">
                  <c:v>47.956000000000003</c:v>
                </c:pt>
                <c:pt idx="46">
                  <c:v>48.358199999999997</c:v>
                </c:pt>
                <c:pt idx="47">
                  <c:v>48.766100000000002</c:v>
                </c:pt>
                <c:pt idx="48">
                  <c:v>49.1736</c:v>
                </c:pt>
                <c:pt idx="49">
                  <c:v>49.582500000000003</c:v>
                </c:pt>
                <c:pt idx="50">
                  <c:v>49.988700000000001</c:v>
                </c:pt>
                <c:pt idx="51">
                  <c:v>50.393999999999998</c:v>
                </c:pt>
                <c:pt idx="52">
                  <c:v>50.8003</c:v>
                </c:pt>
                <c:pt idx="53">
                  <c:v>51.2059</c:v>
                </c:pt>
                <c:pt idx="54">
                  <c:v>51.611199999999997</c:v>
                </c:pt>
                <c:pt idx="55">
                  <c:v>52.018500000000003</c:v>
                </c:pt>
                <c:pt idx="56">
                  <c:v>52.421100000000003</c:v>
                </c:pt>
                <c:pt idx="57">
                  <c:v>52.8264</c:v>
                </c:pt>
                <c:pt idx="58">
                  <c:v>53.232599999999998</c:v>
                </c:pt>
                <c:pt idx="59">
                  <c:v>53.642899999999997</c:v>
                </c:pt>
                <c:pt idx="60">
                  <c:v>54.048499999999997</c:v>
                </c:pt>
                <c:pt idx="61">
                  <c:v>54.452800000000003</c:v>
                </c:pt>
                <c:pt idx="62">
                  <c:v>54.8611</c:v>
                </c:pt>
                <c:pt idx="63">
                  <c:v>55.267499999999998</c:v>
                </c:pt>
                <c:pt idx="64">
                  <c:v>55.674399999999999</c:v>
                </c:pt>
                <c:pt idx="65">
                  <c:v>56.081400000000002</c:v>
                </c:pt>
                <c:pt idx="66">
                  <c:v>56.490099999999998</c:v>
                </c:pt>
                <c:pt idx="67">
                  <c:v>56.891300000000001</c:v>
                </c:pt>
                <c:pt idx="68">
                  <c:v>57.296999999999997</c:v>
                </c:pt>
                <c:pt idx="69">
                  <c:v>57.702800000000003</c:v>
                </c:pt>
                <c:pt idx="70">
                  <c:v>58.115900000000003</c:v>
                </c:pt>
                <c:pt idx="71">
                  <c:v>58.5167</c:v>
                </c:pt>
                <c:pt idx="72">
                  <c:v>58.921799999999998</c:v>
                </c:pt>
                <c:pt idx="73">
                  <c:v>59.329500000000003</c:v>
                </c:pt>
                <c:pt idx="74">
                  <c:v>59.737200000000001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46.669699999999999</c:v>
                </c:pt>
                <c:pt idx="1">
                  <c:v>46.777200000000001</c:v>
                </c:pt>
                <c:pt idx="2">
                  <c:v>46.866</c:v>
                </c:pt>
                <c:pt idx="3">
                  <c:v>47.003599999999999</c:v>
                </c:pt>
                <c:pt idx="4">
                  <c:v>47.161999999999999</c:v>
                </c:pt>
                <c:pt idx="5">
                  <c:v>47.290300000000002</c:v>
                </c:pt>
                <c:pt idx="6">
                  <c:v>47.441000000000003</c:v>
                </c:pt>
                <c:pt idx="7">
                  <c:v>47.5822</c:v>
                </c:pt>
                <c:pt idx="8">
                  <c:v>47.672399999999996</c:v>
                </c:pt>
                <c:pt idx="9">
                  <c:v>47.7346</c:v>
                </c:pt>
                <c:pt idx="10">
                  <c:v>47.796100000000003</c:v>
                </c:pt>
                <c:pt idx="11">
                  <c:v>47.937800000000003</c:v>
                </c:pt>
                <c:pt idx="12">
                  <c:v>48.0777</c:v>
                </c:pt>
                <c:pt idx="13">
                  <c:v>48.2087</c:v>
                </c:pt>
                <c:pt idx="14">
                  <c:v>48.359200000000001</c:v>
                </c:pt>
                <c:pt idx="15">
                  <c:v>48.489100000000001</c:v>
                </c:pt>
                <c:pt idx="16">
                  <c:v>48.639200000000002</c:v>
                </c:pt>
                <c:pt idx="17">
                  <c:v>48.789900000000003</c:v>
                </c:pt>
                <c:pt idx="18">
                  <c:v>48.848799999999997</c:v>
                </c:pt>
                <c:pt idx="19">
                  <c:v>48.834000000000003</c:v>
                </c:pt>
                <c:pt idx="20">
                  <c:v>48.668800000000005</c:v>
                </c:pt>
                <c:pt idx="21">
                  <c:v>48.4833</c:v>
                </c:pt>
                <c:pt idx="22">
                  <c:v>48.397100000000002</c:v>
                </c:pt>
                <c:pt idx="23">
                  <c:v>48.291000000000004</c:v>
                </c:pt>
                <c:pt idx="24">
                  <c:v>48.084400000000002</c:v>
                </c:pt>
                <c:pt idx="25">
                  <c:v>47.797200000000004</c:v>
                </c:pt>
                <c:pt idx="26">
                  <c:v>47.5242</c:v>
                </c:pt>
                <c:pt idx="27">
                  <c:v>47.355799999999995</c:v>
                </c:pt>
                <c:pt idx="28">
                  <c:v>47.061799999999998</c:v>
                </c:pt>
                <c:pt idx="29">
                  <c:v>46.6922</c:v>
                </c:pt>
                <c:pt idx="30">
                  <c:v>46.398099999999999</c:v>
                </c:pt>
                <c:pt idx="31">
                  <c:v>46.048400000000001</c:v>
                </c:pt>
                <c:pt idx="32">
                  <c:v>45.623899999999999</c:v>
                </c:pt>
                <c:pt idx="33">
                  <c:v>45.164400000000001</c:v>
                </c:pt>
                <c:pt idx="34">
                  <c:v>44.597900000000003</c:v>
                </c:pt>
                <c:pt idx="35">
                  <c:v>44.033499999999997</c:v>
                </c:pt>
                <c:pt idx="36">
                  <c:v>43.319400000000002</c:v>
                </c:pt>
                <c:pt idx="37">
                  <c:v>42.590899999999998</c:v>
                </c:pt>
                <c:pt idx="38">
                  <c:v>41.797200000000004</c:v>
                </c:pt>
                <c:pt idx="39">
                  <c:v>41.049100000000003</c:v>
                </c:pt>
                <c:pt idx="40">
                  <c:v>40.549099999999996</c:v>
                </c:pt>
                <c:pt idx="41">
                  <c:v>40.1096</c:v>
                </c:pt>
                <c:pt idx="42">
                  <c:v>39.590899999999998</c:v>
                </c:pt>
                <c:pt idx="43">
                  <c:v>39.061199999999999</c:v>
                </c:pt>
                <c:pt idx="44">
                  <c:v>38.433199999999999</c:v>
                </c:pt>
                <c:pt idx="45">
                  <c:v>37.7607</c:v>
                </c:pt>
                <c:pt idx="46">
                  <c:v>37.066500000000005</c:v>
                </c:pt>
                <c:pt idx="47">
                  <c:v>36.446199999999997</c:v>
                </c:pt>
                <c:pt idx="48">
                  <c:v>35.799399999999999</c:v>
                </c:pt>
                <c:pt idx="49">
                  <c:v>35.202299999999994</c:v>
                </c:pt>
                <c:pt idx="50">
                  <c:v>34.738700000000001</c:v>
                </c:pt>
                <c:pt idx="51">
                  <c:v>34.568100000000001</c:v>
                </c:pt>
                <c:pt idx="52">
                  <c:v>34.371099999999998</c:v>
                </c:pt>
                <c:pt idx="53">
                  <c:v>34.1569</c:v>
                </c:pt>
                <c:pt idx="54">
                  <c:v>33.9422</c:v>
                </c:pt>
                <c:pt idx="55">
                  <c:v>33.725899999999996</c:v>
                </c:pt>
                <c:pt idx="56">
                  <c:v>33.491</c:v>
                </c:pt>
                <c:pt idx="57">
                  <c:v>33.277200000000001</c:v>
                </c:pt>
                <c:pt idx="58">
                  <c:v>33.0276</c:v>
                </c:pt>
                <c:pt idx="59">
                  <c:v>32.783499999999997</c:v>
                </c:pt>
                <c:pt idx="60">
                  <c:v>32.546799999999998</c:v>
                </c:pt>
                <c:pt idx="61">
                  <c:v>32.290999999999997</c:v>
                </c:pt>
                <c:pt idx="62">
                  <c:v>32.022199999999998</c:v>
                </c:pt>
                <c:pt idx="63">
                  <c:v>31.818200000000001</c:v>
                </c:pt>
                <c:pt idx="64">
                  <c:v>31.605599999999999</c:v>
                </c:pt>
                <c:pt idx="65">
                  <c:v>31.215</c:v>
                </c:pt>
                <c:pt idx="66">
                  <c:v>30.7606</c:v>
                </c:pt>
                <c:pt idx="67">
                  <c:v>30.317699999999999</c:v>
                </c:pt>
                <c:pt idx="68">
                  <c:v>29.773300000000003</c:v>
                </c:pt>
                <c:pt idx="69">
                  <c:v>29.263699999999996</c:v>
                </c:pt>
                <c:pt idx="70">
                  <c:v>28.9178</c:v>
                </c:pt>
                <c:pt idx="71">
                  <c:v>28.84</c:v>
                </c:pt>
                <c:pt idx="72">
                  <c:v>28.728999999999999</c:v>
                </c:pt>
                <c:pt idx="73">
                  <c:v>28.979300000000002</c:v>
                </c:pt>
                <c:pt idx="74">
                  <c:v>29.720200000000002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14.9343</c:v>
                </c:pt>
                <c:pt idx="1">
                  <c:v>44.802900000000001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48.823720270270293</c:v>
                </c:pt>
                <c:pt idx="1">
                  <c:v>40.586352702702705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  <c:pt idx="74">
                  <c:v>2.4656600000000002</c:v>
                </c:pt>
                <c:pt idx="75">
                  <c:v>2.4540600000000001</c:v>
                </c:pt>
                <c:pt idx="76">
                  <c:v>2.4399799999999998</c:v>
                </c:pt>
                <c:pt idx="77">
                  <c:v>2.4244399999999997</c:v>
                </c:pt>
                <c:pt idx="78">
                  <c:v>2.4088099999999999</c:v>
                </c:pt>
                <c:pt idx="79">
                  <c:v>2.39642</c:v>
                </c:pt>
                <c:pt idx="80">
                  <c:v>2.3868</c:v>
                </c:pt>
                <c:pt idx="81">
                  <c:v>2.38158</c:v>
                </c:pt>
                <c:pt idx="82">
                  <c:v>2.3803999999999998</c:v>
                </c:pt>
                <c:pt idx="83">
                  <c:v>2.3810700000000002</c:v>
                </c:pt>
                <c:pt idx="84">
                  <c:v>2.3787500000000001</c:v>
                </c:pt>
                <c:pt idx="85">
                  <c:v>2.37635</c:v>
                </c:pt>
                <c:pt idx="86">
                  <c:v>2.3738600000000001</c:v>
                </c:pt>
                <c:pt idx="87">
                  <c:v>2.37039</c:v>
                </c:pt>
                <c:pt idx="88">
                  <c:v>2.3664399999999999</c:v>
                </c:pt>
                <c:pt idx="89">
                  <c:v>2.3623500000000002</c:v>
                </c:pt>
                <c:pt idx="90">
                  <c:v>2.3588899999999997</c:v>
                </c:pt>
                <c:pt idx="91">
                  <c:v>2.3590499999999999</c:v>
                </c:pt>
                <c:pt idx="92">
                  <c:v>2.3624300000000003</c:v>
                </c:pt>
                <c:pt idx="93">
                  <c:v>2.3681299999999998</c:v>
                </c:pt>
                <c:pt idx="94">
                  <c:v>2.3752899999999997</c:v>
                </c:pt>
                <c:pt idx="95">
                  <c:v>2.3822099999999997</c:v>
                </c:pt>
                <c:pt idx="96">
                  <c:v>2.39256</c:v>
                </c:pt>
                <c:pt idx="97">
                  <c:v>2.4072100000000001</c:v>
                </c:pt>
                <c:pt idx="98">
                  <c:v>2.42157</c:v>
                </c:pt>
                <c:pt idx="99">
                  <c:v>2.4359299999999999</c:v>
                </c:pt>
                <c:pt idx="100">
                  <c:v>2.44882</c:v>
                </c:pt>
                <c:pt idx="101">
                  <c:v>2.4674100000000001</c:v>
                </c:pt>
                <c:pt idx="102">
                  <c:v>2.4884400000000002</c:v>
                </c:pt>
                <c:pt idx="103">
                  <c:v>2.5075399999999997</c:v>
                </c:pt>
                <c:pt idx="104">
                  <c:v>2.5271100000000004</c:v>
                </c:pt>
                <c:pt idx="105">
                  <c:v>2.5465300000000002</c:v>
                </c:pt>
                <c:pt idx="106">
                  <c:v>2.5658099999999999</c:v>
                </c:pt>
                <c:pt idx="107">
                  <c:v>2.5858099999999999</c:v>
                </c:pt>
                <c:pt idx="108">
                  <c:v>2.6046999999999998</c:v>
                </c:pt>
                <c:pt idx="109">
                  <c:v>2.6310799999999999</c:v>
                </c:pt>
                <c:pt idx="110">
                  <c:v>2.6596299999999999</c:v>
                </c:pt>
                <c:pt idx="111">
                  <c:v>2.6909399999999999</c:v>
                </c:pt>
                <c:pt idx="112">
                  <c:v>2.7223899999999999</c:v>
                </c:pt>
                <c:pt idx="113">
                  <c:v>2.7483000000000004</c:v>
                </c:pt>
                <c:pt idx="114">
                  <c:v>2.7722000000000002</c:v>
                </c:pt>
                <c:pt idx="115">
                  <c:v>2.7983000000000002</c:v>
                </c:pt>
                <c:pt idx="116">
                  <c:v>2.8243200000000002</c:v>
                </c:pt>
                <c:pt idx="117">
                  <c:v>2.8521999999999998</c:v>
                </c:pt>
                <c:pt idx="118">
                  <c:v>2.8829400000000001</c:v>
                </c:pt>
                <c:pt idx="119">
                  <c:v>2.9136099999999998</c:v>
                </c:pt>
                <c:pt idx="120">
                  <c:v>2.9427399999999997</c:v>
                </c:pt>
                <c:pt idx="121">
                  <c:v>2.9723300000000004</c:v>
                </c:pt>
                <c:pt idx="122">
                  <c:v>3.0019299999999998</c:v>
                </c:pt>
                <c:pt idx="123">
                  <c:v>3.0287199999999999</c:v>
                </c:pt>
                <c:pt idx="124">
                  <c:v>3.0418600000000002</c:v>
                </c:pt>
                <c:pt idx="125">
                  <c:v>3.0573299999999999</c:v>
                </c:pt>
                <c:pt idx="126">
                  <c:v>3.07186</c:v>
                </c:pt>
                <c:pt idx="127">
                  <c:v>3.0866500000000001</c:v>
                </c:pt>
                <c:pt idx="128">
                  <c:v>3.1044300000000002</c:v>
                </c:pt>
                <c:pt idx="129">
                  <c:v>3.1213899999999999</c:v>
                </c:pt>
                <c:pt idx="130">
                  <c:v>3.1395200000000001</c:v>
                </c:pt>
                <c:pt idx="131">
                  <c:v>3.1564999999999999</c:v>
                </c:pt>
                <c:pt idx="132">
                  <c:v>3.1717599999999999</c:v>
                </c:pt>
                <c:pt idx="133">
                  <c:v>3.1885300000000001</c:v>
                </c:pt>
                <c:pt idx="134">
                  <c:v>3.1999599999999999</c:v>
                </c:pt>
                <c:pt idx="135">
                  <c:v>3.2096499999999999</c:v>
                </c:pt>
                <c:pt idx="136">
                  <c:v>3.2168799999999997</c:v>
                </c:pt>
                <c:pt idx="137">
                  <c:v>3.2244099999999998</c:v>
                </c:pt>
                <c:pt idx="138">
                  <c:v>3.2417600000000002</c:v>
                </c:pt>
                <c:pt idx="139">
                  <c:v>3.26451</c:v>
                </c:pt>
                <c:pt idx="140">
                  <c:v>3.2859500000000001</c:v>
                </c:pt>
                <c:pt idx="141">
                  <c:v>3.3064100000000001</c:v>
                </c:pt>
                <c:pt idx="142">
                  <c:v>3.32064</c:v>
                </c:pt>
                <c:pt idx="143">
                  <c:v>3.3269900000000003</c:v>
                </c:pt>
                <c:pt idx="144">
                  <c:v>3.3312199999999996</c:v>
                </c:pt>
                <c:pt idx="145">
                  <c:v>3.34138</c:v>
                </c:pt>
                <c:pt idx="146">
                  <c:v>3.3531599999999999</c:v>
                </c:pt>
                <c:pt idx="147">
                  <c:v>3.34253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  <c:pt idx="74">
                  <c:v>46.777200000000001</c:v>
                </c:pt>
                <c:pt idx="75">
                  <c:v>46.866</c:v>
                </c:pt>
                <c:pt idx="76">
                  <c:v>47.003599999999999</c:v>
                </c:pt>
                <c:pt idx="77">
                  <c:v>47.161999999999999</c:v>
                </c:pt>
                <c:pt idx="78">
                  <c:v>47.290300000000002</c:v>
                </c:pt>
                <c:pt idx="79">
                  <c:v>47.441000000000003</c:v>
                </c:pt>
                <c:pt idx="80">
                  <c:v>47.5822</c:v>
                </c:pt>
                <c:pt idx="81">
                  <c:v>47.672399999999996</c:v>
                </c:pt>
                <c:pt idx="82">
                  <c:v>47.7346</c:v>
                </c:pt>
                <c:pt idx="83">
                  <c:v>47.796100000000003</c:v>
                </c:pt>
                <c:pt idx="84">
                  <c:v>47.937800000000003</c:v>
                </c:pt>
                <c:pt idx="85">
                  <c:v>48.0777</c:v>
                </c:pt>
                <c:pt idx="86">
                  <c:v>48.2087</c:v>
                </c:pt>
                <c:pt idx="87">
                  <c:v>48.359200000000001</c:v>
                </c:pt>
                <c:pt idx="88">
                  <c:v>48.489100000000001</c:v>
                </c:pt>
                <c:pt idx="89">
                  <c:v>48.639200000000002</c:v>
                </c:pt>
                <c:pt idx="90">
                  <c:v>48.789900000000003</c:v>
                </c:pt>
                <c:pt idx="91">
                  <c:v>48.848799999999997</c:v>
                </c:pt>
                <c:pt idx="92">
                  <c:v>48.834000000000003</c:v>
                </c:pt>
                <c:pt idx="93">
                  <c:v>48.668800000000005</c:v>
                </c:pt>
                <c:pt idx="94">
                  <c:v>48.4833</c:v>
                </c:pt>
                <c:pt idx="95">
                  <c:v>48.397100000000002</c:v>
                </c:pt>
                <c:pt idx="96">
                  <c:v>48.291000000000004</c:v>
                </c:pt>
                <c:pt idx="97">
                  <c:v>48.084400000000002</c:v>
                </c:pt>
                <c:pt idx="98">
                  <c:v>47.797200000000004</c:v>
                </c:pt>
                <c:pt idx="99">
                  <c:v>47.5242</c:v>
                </c:pt>
                <c:pt idx="100">
                  <c:v>47.355799999999995</c:v>
                </c:pt>
                <c:pt idx="101">
                  <c:v>47.061799999999998</c:v>
                </c:pt>
                <c:pt idx="102">
                  <c:v>46.6922</c:v>
                </c:pt>
                <c:pt idx="103">
                  <c:v>46.398099999999999</c:v>
                </c:pt>
                <c:pt idx="104">
                  <c:v>46.048400000000001</c:v>
                </c:pt>
                <c:pt idx="105">
                  <c:v>45.623899999999999</c:v>
                </c:pt>
                <c:pt idx="106">
                  <c:v>45.164400000000001</c:v>
                </c:pt>
                <c:pt idx="107">
                  <c:v>44.597900000000003</c:v>
                </c:pt>
                <c:pt idx="108">
                  <c:v>44.033499999999997</c:v>
                </c:pt>
                <c:pt idx="109">
                  <c:v>43.319400000000002</c:v>
                </c:pt>
                <c:pt idx="110">
                  <c:v>42.590899999999998</c:v>
                </c:pt>
                <c:pt idx="111">
                  <c:v>41.797200000000004</c:v>
                </c:pt>
                <c:pt idx="112">
                  <c:v>41.049100000000003</c:v>
                </c:pt>
                <c:pt idx="113">
                  <c:v>40.549099999999996</c:v>
                </c:pt>
                <c:pt idx="114">
                  <c:v>40.1096</c:v>
                </c:pt>
                <c:pt idx="115">
                  <c:v>39.590899999999998</c:v>
                </c:pt>
                <c:pt idx="116">
                  <c:v>39.061199999999999</c:v>
                </c:pt>
                <c:pt idx="117">
                  <c:v>38.433199999999999</c:v>
                </c:pt>
                <c:pt idx="118">
                  <c:v>37.7607</c:v>
                </c:pt>
                <c:pt idx="119">
                  <c:v>37.066500000000005</c:v>
                </c:pt>
                <c:pt idx="120">
                  <c:v>36.446199999999997</c:v>
                </c:pt>
                <c:pt idx="121">
                  <c:v>35.799399999999999</c:v>
                </c:pt>
                <c:pt idx="122">
                  <c:v>35.202299999999994</c:v>
                </c:pt>
                <c:pt idx="123">
                  <c:v>34.738700000000001</c:v>
                </c:pt>
                <c:pt idx="124">
                  <c:v>34.568100000000001</c:v>
                </c:pt>
                <c:pt idx="125">
                  <c:v>34.371099999999998</c:v>
                </c:pt>
                <c:pt idx="126">
                  <c:v>34.1569</c:v>
                </c:pt>
                <c:pt idx="127">
                  <c:v>33.9422</c:v>
                </c:pt>
                <c:pt idx="128">
                  <c:v>33.725899999999996</c:v>
                </c:pt>
                <c:pt idx="129">
                  <c:v>33.491</c:v>
                </c:pt>
                <c:pt idx="130">
                  <c:v>33.277200000000001</c:v>
                </c:pt>
                <c:pt idx="131">
                  <c:v>33.0276</c:v>
                </c:pt>
                <c:pt idx="132">
                  <c:v>32.783499999999997</c:v>
                </c:pt>
                <c:pt idx="133">
                  <c:v>32.546799999999998</c:v>
                </c:pt>
                <c:pt idx="134">
                  <c:v>32.290999999999997</c:v>
                </c:pt>
                <c:pt idx="135">
                  <c:v>32.022199999999998</c:v>
                </c:pt>
                <c:pt idx="136">
                  <c:v>31.818200000000001</c:v>
                </c:pt>
                <c:pt idx="137">
                  <c:v>31.605599999999999</c:v>
                </c:pt>
                <c:pt idx="138">
                  <c:v>31.215</c:v>
                </c:pt>
                <c:pt idx="139">
                  <c:v>30.7606</c:v>
                </c:pt>
                <c:pt idx="140">
                  <c:v>30.317699999999999</c:v>
                </c:pt>
                <c:pt idx="141">
                  <c:v>29.773300000000003</c:v>
                </c:pt>
                <c:pt idx="142">
                  <c:v>29.263699999999996</c:v>
                </c:pt>
                <c:pt idx="143">
                  <c:v>28.9178</c:v>
                </c:pt>
                <c:pt idx="144">
                  <c:v>28.84</c:v>
                </c:pt>
                <c:pt idx="145">
                  <c:v>28.728999999999999</c:v>
                </c:pt>
                <c:pt idx="146">
                  <c:v>28.979300000000002</c:v>
                </c:pt>
                <c:pt idx="147">
                  <c:v>29.720200000000002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1.09409</c:v>
                </c:pt>
                <c:pt idx="1">
                  <c:v>1.11981</c:v>
                </c:pt>
                <c:pt idx="2">
                  <c:v>1.1447699999999998</c:v>
                </c:pt>
                <c:pt idx="3">
                  <c:v>1.16926</c:v>
                </c:pt>
                <c:pt idx="4">
                  <c:v>1.1964299999999999</c:v>
                </c:pt>
                <c:pt idx="5">
                  <c:v>1.22394</c:v>
                </c:pt>
                <c:pt idx="6">
                  <c:v>1.2531400000000001</c:v>
                </c:pt>
                <c:pt idx="7">
                  <c:v>1.28223</c:v>
                </c:pt>
                <c:pt idx="8">
                  <c:v>1.3110299999999999</c:v>
                </c:pt>
                <c:pt idx="9">
                  <c:v>1.3414300000000001</c:v>
                </c:pt>
                <c:pt idx="10">
                  <c:v>1.3733799999999998</c:v>
                </c:pt>
                <c:pt idx="11">
                  <c:v>1.4083000000000001</c:v>
                </c:pt>
                <c:pt idx="12">
                  <c:v>1.4441300000000001</c:v>
                </c:pt>
                <c:pt idx="13">
                  <c:v>1.48176</c:v>
                </c:pt>
                <c:pt idx="14">
                  <c:v>1.5216499999999999</c:v>
                </c:pt>
                <c:pt idx="15">
                  <c:v>1.5603900000000002</c:v>
                </c:pt>
                <c:pt idx="16">
                  <c:v>1.5973200000000001</c:v>
                </c:pt>
                <c:pt idx="17">
                  <c:v>1.6320899999999998</c:v>
                </c:pt>
                <c:pt idx="18">
                  <c:v>1.66594</c:v>
                </c:pt>
                <c:pt idx="19">
                  <c:v>1.6994699999999998</c:v>
                </c:pt>
                <c:pt idx="20">
                  <c:v>1.7325499999999998</c:v>
                </c:pt>
                <c:pt idx="21">
                  <c:v>1.7649999999999999</c:v>
                </c:pt>
                <c:pt idx="22">
                  <c:v>1.7961</c:v>
                </c:pt>
                <c:pt idx="23">
                  <c:v>1.8273600000000001</c:v>
                </c:pt>
                <c:pt idx="24">
                  <c:v>1.8573200000000001</c:v>
                </c:pt>
                <c:pt idx="25">
                  <c:v>1.89059</c:v>
                </c:pt>
                <c:pt idx="26">
                  <c:v>1.9369100000000001</c:v>
                </c:pt>
                <c:pt idx="27">
                  <c:v>1.98078</c:v>
                </c:pt>
                <c:pt idx="28">
                  <c:v>2.0230999999999999</c:v>
                </c:pt>
                <c:pt idx="29">
                  <c:v>2.0603500000000001</c:v>
                </c:pt>
                <c:pt idx="30">
                  <c:v>2.0937399999999999</c:v>
                </c:pt>
                <c:pt idx="31">
                  <c:v>2.1236899999999999</c:v>
                </c:pt>
                <c:pt idx="32">
                  <c:v>2.1498500000000003</c:v>
                </c:pt>
                <c:pt idx="33">
                  <c:v>2.1742500000000002</c:v>
                </c:pt>
                <c:pt idx="34">
                  <c:v>2.1981800000000002</c:v>
                </c:pt>
                <c:pt idx="35">
                  <c:v>2.2248399999999999</c:v>
                </c:pt>
                <c:pt idx="36">
                  <c:v>2.2493499999999997</c:v>
                </c:pt>
                <c:pt idx="37">
                  <c:v>2.27217</c:v>
                </c:pt>
                <c:pt idx="38">
                  <c:v>2.2923499999999999</c:v>
                </c:pt>
                <c:pt idx="39">
                  <c:v>2.3075600000000001</c:v>
                </c:pt>
                <c:pt idx="40">
                  <c:v>2.32219</c:v>
                </c:pt>
                <c:pt idx="41">
                  <c:v>2.3356399999999997</c:v>
                </c:pt>
                <c:pt idx="42">
                  <c:v>2.3459500000000002</c:v>
                </c:pt>
                <c:pt idx="43">
                  <c:v>2.3591100000000003</c:v>
                </c:pt>
                <c:pt idx="44">
                  <c:v>2.3737500000000002</c:v>
                </c:pt>
                <c:pt idx="45">
                  <c:v>2.3885899999999998</c:v>
                </c:pt>
                <c:pt idx="46">
                  <c:v>2.40239</c:v>
                </c:pt>
                <c:pt idx="47">
                  <c:v>2.4175599999999999</c:v>
                </c:pt>
                <c:pt idx="48">
                  <c:v>2.4316599999999999</c:v>
                </c:pt>
                <c:pt idx="49">
                  <c:v>2.44496</c:v>
                </c:pt>
                <c:pt idx="50">
                  <c:v>2.45845</c:v>
                </c:pt>
                <c:pt idx="51">
                  <c:v>2.47207</c:v>
                </c:pt>
                <c:pt idx="52">
                  <c:v>2.4845700000000002</c:v>
                </c:pt>
                <c:pt idx="53">
                  <c:v>2.49566</c:v>
                </c:pt>
                <c:pt idx="54">
                  <c:v>2.5049600000000001</c:v>
                </c:pt>
                <c:pt idx="55">
                  <c:v>2.5125799999999998</c:v>
                </c:pt>
                <c:pt idx="56">
                  <c:v>2.51898</c:v>
                </c:pt>
                <c:pt idx="57">
                  <c:v>2.5250699999999999</c:v>
                </c:pt>
                <c:pt idx="58">
                  <c:v>2.5303900000000001</c:v>
                </c:pt>
                <c:pt idx="59">
                  <c:v>2.53423</c:v>
                </c:pt>
                <c:pt idx="60">
                  <c:v>2.5350099999999998</c:v>
                </c:pt>
                <c:pt idx="61">
                  <c:v>2.5343999999999998</c:v>
                </c:pt>
                <c:pt idx="62">
                  <c:v>2.5333299999999999</c:v>
                </c:pt>
                <c:pt idx="63">
                  <c:v>2.5324400000000002</c:v>
                </c:pt>
                <c:pt idx="64">
                  <c:v>2.53396</c:v>
                </c:pt>
                <c:pt idx="65">
                  <c:v>2.5345200000000001</c:v>
                </c:pt>
                <c:pt idx="66">
                  <c:v>2.5346800000000003</c:v>
                </c:pt>
                <c:pt idx="67">
                  <c:v>2.53552</c:v>
                </c:pt>
                <c:pt idx="68">
                  <c:v>2.5315599999999998</c:v>
                </c:pt>
                <c:pt idx="69">
                  <c:v>2.5239000000000003</c:v>
                </c:pt>
                <c:pt idx="70">
                  <c:v>2.5152000000000001</c:v>
                </c:pt>
                <c:pt idx="71">
                  <c:v>2.5041200000000003</c:v>
                </c:pt>
                <c:pt idx="72">
                  <c:v>2.4887699999999997</c:v>
                </c:pt>
                <c:pt idx="73">
                  <c:v>2.4761099999999998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65.404799999999994</c:v>
                </c:pt>
                <c:pt idx="1">
                  <c:v>64.732199999999992</c:v>
                </c:pt>
                <c:pt idx="2">
                  <c:v>64.089500000000001</c:v>
                </c:pt>
                <c:pt idx="3">
                  <c:v>63.477600000000002</c:v>
                </c:pt>
                <c:pt idx="4">
                  <c:v>62.779600000000002</c:v>
                </c:pt>
                <c:pt idx="5">
                  <c:v>61.997199999999999</c:v>
                </c:pt>
                <c:pt idx="6">
                  <c:v>61.122900000000001</c:v>
                </c:pt>
                <c:pt idx="7">
                  <c:v>60.258599999999994</c:v>
                </c:pt>
                <c:pt idx="8">
                  <c:v>59.407299999999999</c:v>
                </c:pt>
                <c:pt idx="9">
                  <c:v>58.482100000000003</c:v>
                </c:pt>
                <c:pt idx="10">
                  <c:v>57.488399999999999</c:v>
                </c:pt>
                <c:pt idx="11">
                  <c:v>56.5002</c:v>
                </c:pt>
                <c:pt idx="12">
                  <c:v>55.476899999999993</c:v>
                </c:pt>
                <c:pt idx="13">
                  <c:v>54.362600000000008</c:v>
                </c:pt>
                <c:pt idx="14">
                  <c:v>53.224700000000006</c:v>
                </c:pt>
                <c:pt idx="15">
                  <c:v>52.250399999999999</c:v>
                </c:pt>
                <c:pt idx="16">
                  <c:v>51.424999999999997</c:v>
                </c:pt>
                <c:pt idx="17">
                  <c:v>50.666500000000006</c:v>
                </c:pt>
                <c:pt idx="18">
                  <c:v>49.979199999999999</c:v>
                </c:pt>
                <c:pt idx="19">
                  <c:v>49.378799999999998</c:v>
                </c:pt>
                <c:pt idx="20">
                  <c:v>48.855199999999996</c:v>
                </c:pt>
                <c:pt idx="21">
                  <c:v>48.354900000000001</c:v>
                </c:pt>
                <c:pt idx="22">
                  <c:v>47.839300000000001</c:v>
                </c:pt>
                <c:pt idx="23">
                  <c:v>47.344700000000003</c:v>
                </c:pt>
                <c:pt idx="24">
                  <c:v>46.942499999999995</c:v>
                </c:pt>
                <c:pt idx="25">
                  <c:v>46.5715</c:v>
                </c:pt>
                <c:pt idx="26">
                  <c:v>46.455500000000001</c:v>
                </c:pt>
                <c:pt idx="27">
                  <c:v>46.345599999999997</c:v>
                </c:pt>
                <c:pt idx="28">
                  <c:v>46.207799999999999</c:v>
                </c:pt>
                <c:pt idx="29">
                  <c:v>46.111000000000004</c:v>
                </c:pt>
                <c:pt idx="30">
                  <c:v>46.091000000000001</c:v>
                </c:pt>
                <c:pt idx="31">
                  <c:v>46.087299999999999</c:v>
                </c:pt>
                <c:pt idx="32">
                  <c:v>46.125699999999995</c:v>
                </c:pt>
                <c:pt idx="33">
                  <c:v>46.148099999999999</c:v>
                </c:pt>
                <c:pt idx="34">
                  <c:v>46.061600000000006</c:v>
                </c:pt>
                <c:pt idx="35">
                  <c:v>45.869100000000003</c:v>
                </c:pt>
                <c:pt idx="36">
                  <c:v>45.659599999999998</c:v>
                </c:pt>
                <c:pt idx="37">
                  <c:v>45.428100000000001</c:v>
                </c:pt>
                <c:pt idx="38">
                  <c:v>45.177499999999995</c:v>
                </c:pt>
                <c:pt idx="39">
                  <c:v>45.076599999999999</c:v>
                </c:pt>
                <c:pt idx="40">
                  <c:v>44.988900000000001</c:v>
                </c:pt>
                <c:pt idx="41">
                  <c:v>44.934800000000003</c:v>
                </c:pt>
                <c:pt idx="42">
                  <c:v>44.981000000000002</c:v>
                </c:pt>
                <c:pt idx="43">
                  <c:v>44.973800000000004</c:v>
                </c:pt>
                <c:pt idx="44">
                  <c:v>44.869399999999999</c:v>
                </c:pt>
                <c:pt idx="45">
                  <c:v>44.783799999999999</c:v>
                </c:pt>
                <c:pt idx="46">
                  <c:v>44.737100000000005</c:v>
                </c:pt>
                <c:pt idx="47">
                  <c:v>44.708500000000001</c:v>
                </c:pt>
                <c:pt idx="48">
                  <c:v>44.699399999999997</c:v>
                </c:pt>
                <c:pt idx="49">
                  <c:v>44.715600000000002</c:v>
                </c:pt>
                <c:pt idx="50">
                  <c:v>44.7241</c:v>
                </c:pt>
                <c:pt idx="51">
                  <c:v>44.542300000000004</c:v>
                </c:pt>
                <c:pt idx="52">
                  <c:v>44.414900000000003</c:v>
                </c:pt>
                <c:pt idx="53">
                  <c:v>44.363100000000003</c:v>
                </c:pt>
                <c:pt idx="54">
                  <c:v>44.332100000000004</c:v>
                </c:pt>
                <c:pt idx="55">
                  <c:v>44.337600000000002</c:v>
                </c:pt>
                <c:pt idx="56">
                  <c:v>44.375599999999999</c:v>
                </c:pt>
                <c:pt idx="57">
                  <c:v>44.415199999999999</c:v>
                </c:pt>
                <c:pt idx="58">
                  <c:v>44.447199999999995</c:v>
                </c:pt>
                <c:pt idx="59">
                  <c:v>44.507300000000001</c:v>
                </c:pt>
                <c:pt idx="60">
                  <c:v>44.593199999999996</c:v>
                </c:pt>
                <c:pt idx="61">
                  <c:v>44.711500000000001</c:v>
                </c:pt>
                <c:pt idx="62">
                  <c:v>44.871600000000001</c:v>
                </c:pt>
                <c:pt idx="63">
                  <c:v>45.100499999999997</c:v>
                </c:pt>
                <c:pt idx="64">
                  <c:v>45.230800000000002</c:v>
                </c:pt>
                <c:pt idx="65">
                  <c:v>45.370899999999999</c:v>
                </c:pt>
                <c:pt idx="66">
                  <c:v>45.521799999999999</c:v>
                </c:pt>
                <c:pt idx="67">
                  <c:v>45.660200000000003</c:v>
                </c:pt>
                <c:pt idx="68">
                  <c:v>45.856099999999998</c:v>
                </c:pt>
                <c:pt idx="69">
                  <c:v>46.1051</c:v>
                </c:pt>
                <c:pt idx="70">
                  <c:v>46.255600000000001</c:v>
                </c:pt>
                <c:pt idx="71">
                  <c:v>46.379599999999996</c:v>
                </c:pt>
                <c:pt idx="72">
                  <c:v>46.5199</c:v>
                </c:pt>
                <c:pt idx="73">
                  <c:v>46.669699999999999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2.4761099999999998</c:v>
                </c:pt>
                <c:pt idx="1">
                  <c:v>2.4656600000000002</c:v>
                </c:pt>
                <c:pt idx="2">
                  <c:v>2.4540600000000001</c:v>
                </c:pt>
                <c:pt idx="3">
                  <c:v>2.4399799999999998</c:v>
                </c:pt>
                <c:pt idx="4">
                  <c:v>2.4244399999999997</c:v>
                </c:pt>
                <c:pt idx="5">
                  <c:v>2.4088099999999999</c:v>
                </c:pt>
                <c:pt idx="6">
                  <c:v>2.39642</c:v>
                </c:pt>
                <c:pt idx="7">
                  <c:v>2.3868</c:v>
                </c:pt>
                <c:pt idx="8">
                  <c:v>2.38158</c:v>
                </c:pt>
                <c:pt idx="9">
                  <c:v>2.3803999999999998</c:v>
                </c:pt>
                <c:pt idx="10">
                  <c:v>2.3810700000000002</c:v>
                </c:pt>
                <c:pt idx="11">
                  <c:v>2.3787500000000001</c:v>
                </c:pt>
                <c:pt idx="12">
                  <c:v>2.37635</c:v>
                </c:pt>
                <c:pt idx="13">
                  <c:v>2.3738600000000001</c:v>
                </c:pt>
                <c:pt idx="14">
                  <c:v>2.37039</c:v>
                </c:pt>
                <c:pt idx="15">
                  <c:v>2.3664399999999999</c:v>
                </c:pt>
                <c:pt idx="16">
                  <c:v>2.3623500000000002</c:v>
                </c:pt>
                <c:pt idx="17">
                  <c:v>2.3588899999999997</c:v>
                </c:pt>
                <c:pt idx="18">
                  <c:v>2.3590499999999999</c:v>
                </c:pt>
                <c:pt idx="19">
                  <c:v>2.3624300000000003</c:v>
                </c:pt>
                <c:pt idx="20">
                  <c:v>2.3681299999999998</c:v>
                </c:pt>
                <c:pt idx="21">
                  <c:v>2.3752899999999997</c:v>
                </c:pt>
                <c:pt idx="22">
                  <c:v>2.3822099999999997</c:v>
                </c:pt>
                <c:pt idx="23">
                  <c:v>2.39256</c:v>
                </c:pt>
                <c:pt idx="24">
                  <c:v>2.4072100000000001</c:v>
                </c:pt>
                <c:pt idx="25">
                  <c:v>2.42157</c:v>
                </c:pt>
                <c:pt idx="26">
                  <c:v>2.4359299999999999</c:v>
                </c:pt>
                <c:pt idx="27">
                  <c:v>2.44882</c:v>
                </c:pt>
                <c:pt idx="28">
                  <c:v>2.4674100000000001</c:v>
                </c:pt>
                <c:pt idx="29">
                  <c:v>2.4884400000000002</c:v>
                </c:pt>
                <c:pt idx="30">
                  <c:v>2.5075399999999997</c:v>
                </c:pt>
                <c:pt idx="31">
                  <c:v>2.5271100000000004</c:v>
                </c:pt>
                <c:pt idx="32">
                  <c:v>2.5465300000000002</c:v>
                </c:pt>
                <c:pt idx="33">
                  <c:v>2.5658099999999999</c:v>
                </c:pt>
                <c:pt idx="34">
                  <c:v>2.5858099999999999</c:v>
                </c:pt>
                <c:pt idx="35">
                  <c:v>2.6046999999999998</c:v>
                </c:pt>
                <c:pt idx="36">
                  <c:v>2.6310799999999999</c:v>
                </c:pt>
                <c:pt idx="37">
                  <c:v>2.6596299999999999</c:v>
                </c:pt>
                <c:pt idx="38">
                  <c:v>2.6909399999999999</c:v>
                </c:pt>
                <c:pt idx="39">
                  <c:v>2.7223899999999999</c:v>
                </c:pt>
                <c:pt idx="40">
                  <c:v>2.7483000000000004</c:v>
                </c:pt>
                <c:pt idx="41">
                  <c:v>2.7722000000000002</c:v>
                </c:pt>
                <c:pt idx="42">
                  <c:v>2.7983000000000002</c:v>
                </c:pt>
                <c:pt idx="43">
                  <c:v>2.8243200000000002</c:v>
                </c:pt>
                <c:pt idx="44">
                  <c:v>2.8521999999999998</c:v>
                </c:pt>
                <c:pt idx="45">
                  <c:v>2.8829400000000001</c:v>
                </c:pt>
                <c:pt idx="46">
                  <c:v>2.9136099999999998</c:v>
                </c:pt>
                <c:pt idx="47">
                  <c:v>2.9427399999999997</c:v>
                </c:pt>
                <c:pt idx="48">
                  <c:v>2.9723300000000004</c:v>
                </c:pt>
                <c:pt idx="49">
                  <c:v>3.0019299999999998</c:v>
                </c:pt>
                <c:pt idx="50">
                  <c:v>3.0287199999999999</c:v>
                </c:pt>
                <c:pt idx="51">
                  <c:v>3.0418600000000002</c:v>
                </c:pt>
                <c:pt idx="52">
                  <c:v>3.0573299999999999</c:v>
                </c:pt>
                <c:pt idx="53">
                  <c:v>3.07186</c:v>
                </c:pt>
                <c:pt idx="54">
                  <c:v>3.0866500000000001</c:v>
                </c:pt>
                <c:pt idx="55">
                  <c:v>3.1044300000000002</c:v>
                </c:pt>
                <c:pt idx="56">
                  <c:v>3.1213899999999999</c:v>
                </c:pt>
                <c:pt idx="57">
                  <c:v>3.1395200000000001</c:v>
                </c:pt>
                <c:pt idx="58">
                  <c:v>3.1564999999999999</c:v>
                </c:pt>
                <c:pt idx="59">
                  <c:v>3.1717599999999999</c:v>
                </c:pt>
                <c:pt idx="60">
                  <c:v>3.1885300000000001</c:v>
                </c:pt>
                <c:pt idx="61">
                  <c:v>3.1999599999999999</c:v>
                </c:pt>
                <c:pt idx="62">
                  <c:v>3.2096499999999999</c:v>
                </c:pt>
                <c:pt idx="63">
                  <c:v>3.2168799999999997</c:v>
                </c:pt>
                <c:pt idx="64">
                  <c:v>3.2244099999999998</c:v>
                </c:pt>
                <c:pt idx="65">
                  <c:v>3.2417600000000002</c:v>
                </c:pt>
                <c:pt idx="66">
                  <c:v>3.26451</c:v>
                </c:pt>
                <c:pt idx="67">
                  <c:v>3.2859500000000001</c:v>
                </c:pt>
                <c:pt idx="68">
                  <c:v>3.3064100000000001</c:v>
                </c:pt>
                <c:pt idx="69">
                  <c:v>3.32064</c:v>
                </c:pt>
                <c:pt idx="70">
                  <c:v>3.3269900000000003</c:v>
                </c:pt>
                <c:pt idx="71">
                  <c:v>3.3312199999999996</c:v>
                </c:pt>
                <c:pt idx="72">
                  <c:v>3.34138</c:v>
                </c:pt>
                <c:pt idx="73">
                  <c:v>3.3531599999999999</c:v>
                </c:pt>
                <c:pt idx="74">
                  <c:v>3.34253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46.669699999999999</c:v>
                </c:pt>
                <c:pt idx="1">
                  <c:v>46.777200000000001</c:v>
                </c:pt>
                <c:pt idx="2">
                  <c:v>46.866</c:v>
                </c:pt>
                <c:pt idx="3">
                  <c:v>47.003599999999999</c:v>
                </c:pt>
                <c:pt idx="4">
                  <c:v>47.161999999999999</c:v>
                </c:pt>
                <c:pt idx="5">
                  <c:v>47.290300000000002</c:v>
                </c:pt>
                <c:pt idx="6">
                  <c:v>47.441000000000003</c:v>
                </c:pt>
                <c:pt idx="7">
                  <c:v>47.5822</c:v>
                </c:pt>
                <c:pt idx="8">
                  <c:v>47.672399999999996</c:v>
                </c:pt>
                <c:pt idx="9">
                  <c:v>47.7346</c:v>
                </c:pt>
                <c:pt idx="10">
                  <c:v>47.796100000000003</c:v>
                </c:pt>
                <c:pt idx="11">
                  <c:v>47.937800000000003</c:v>
                </c:pt>
                <c:pt idx="12">
                  <c:v>48.0777</c:v>
                </c:pt>
                <c:pt idx="13">
                  <c:v>48.2087</c:v>
                </c:pt>
                <c:pt idx="14">
                  <c:v>48.359200000000001</c:v>
                </c:pt>
                <c:pt idx="15">
                  <c:v>48.489100000000001</c:v>
                </c:pt>
                <c:pt idx="16">
                  <c:v>48.639200000000002</c:v>
                </c:pt>
                <c:pt idx="17">
                  <c:v>48.789900000000003</c:v>
                </c:pt>
                <c:pt idx="18">
                  <c:v>48.848799999999997</c:v>
                </c:pt>
                <c:pt idx="19">
                  <c:v>48.834000000000003</c:v>
                </c:pt>
                <c:pt idx="20">
                  <c:v>48.668800000000005</c:v>
                </c:pt>
                <c:pt idx="21">
                  <c:v>48.4833</c:v>
                </c:pt>
                <c:pt idx="22">
                  <c:v>48.397100000000002</c:v>
                </c:pt>
                <c:pt idx="23">
                  <c:v>48.291000000000004</c:v>
                </c:pt>
                <c:pt idx="24">
                  <c:v>48.084400000000002</c:v>
                </c:pt>
                <c:pt idx="25">
                  <c:v>47.797200000000004</c:v>
                </c:pt>
                <c:pt idx="26">
                  <c:v>47.5242</c:v>
                </c:pt>
                <c:pt idx="27">
                  <c:v>47.355799999999995</c:v>
                </c:pt>
                <c:pt idx="28">
                  <c:v>47.061799999999998</c:v>
                </c:pt>
                <c:pt idx="29">
                  <c:v>46.6922</c:v>
                </c:pt>
                <c:pt idx="30">
                  <c:v>46.398099999999999</c:v>
                </c:pt>
                <c:pt idx="31">
                  <c:v>46.048400000000001</c:v>
                </c:pt>
                <c:pt idx="32">
                  <c:v>45.623899999999999</c:v>
                </c:pt>
                <c:pt idx="33">
                  <c:v>45.164400000000001</c:v>
                </c:pt>
                <c:pt idx="34">
                  <c:v>44.597900000000003</c:v>
                </c:pt>
                <c:pt idx="35">
                  <c:v>44.033499999999997</c:v>
                </c:pt>
                <c:pt idx="36">
                  <c:v>43.319400000000002</c:v>
                </c:pt>
                <c:pt idx="37">
                  <c:v>42.590899999999998</c:v>
                </c:pt>
                <c:pt idx="38">
                  <c:v>41.797200000000004</c:v>
                </c:pt>
                <c:pt idx="39">
                  <c:v>41.049100000000003</c:v>
                </c:pt>
                <c:pt idx="40">
                  <c:v>40.549099999999996</c:v>
                </c:pt>
                <c:pt idx="41">
                  <c:v>40.1096</c:v>
                </c:pt>
                <c:pt idx="42">
                  <c:v>39.590899999999998</c:v>
                </c:pt>
                <c:pt idx="43">
                  <c:v>39.061199999999999</c:v>
                </c:pt>
                <c:pt idx="44">
                  <c:v>38.433199999999999</c:v>
                </c:pt>
                <c:pt idx="45">
                  <c:v>37.7607</c:v>
                </c:pt>
                <c:pt idx="46">
                  <c:v>37.066500000000005</c:v>
                </c:pt>
                <c:pt idx="47">
                  <c:v>36.446199999999997</c:v>
                </c:pt>
                <c:pt idx="48">
                  <c:v>35.799399999999999</c:v>
                </c:pt>
                <c:pt idx="49">
                  <c:v>35.202299999999994</c:v>
                </c:pt>
                <c:pt idx="50">
                  <c:v>34.738700000000001</c:v>
                </c:pt>
                <c:pt idx="51">
                  <c:v>34.568100000000001</c:v>
                </c:pt>
                <c:pt idx="52">
                  <c:v>34.371099999999998</c:v>
                </c:pt>
                <c:pt idx="53">
                  <c:v>34.1569</c:v>
                </c:pt>
                <c:pt idx="54">
                  <c:v>33.9422</c:v>
                </c:pt>
                <c:pt idx="55">
                  <c:v>33.725899999999996</c:v>
                </c:pt>
                <c:pt idx="56">
                  <c:v>33.491</c:v>
                </c:pt>
                <c:pt idx="57">
                  <c:v>33.277200000000001</c:v>
                </c:pt>
                <c:pt idx="58">
                  <c:v>33.0276</c:v>
                </c:pt>
                <c:pt idx="59">
                  <c:v>32.783499999999997</c:v>
                </c:pt>
                <c:pt idx="60">
                  <c:v>32.546799999999998</c:v>
                </c:pt>
                <c:pt idx="61">
                  <c:v>32.290999999999997</c:v>
                </c:pt>
                <c:pt idx="62">
                  <c:v>32.022199999999998</c:v>
                </c:pt>
                <c:pt idx="63">
                  <c:v>31.818200000000001</c:v>
                </c:pt>
                <c:pt idx="64">
                  <c:v>31.605599999999999</c:v>
                </c:pt>
                <c:pt idx="65">
                  <c:v>31.215</c:v>
                </c:pt>
                <c:pt idx="66">
                  <c:v>30.7606</c:v>
                </c:pt>
                <c:pt idx="67">
                  <c:v>30.317699999999999</c:v>
                </c:pt>
                <c:pt idx="68">
                  <c:v>29.773300000000003</c:v>
                </c:pt>
                <c:pt idx="69">
                  <c:v>29.263699999999996</c:v>
                </c:pt>
                <c:pt idx="70">
                  <c:v>28.9178</c:v>
                </c:pt>
                <c:pt idx="71">
                  <c:v>28.84</c:v>
                </c:pt>
                <c:pt idx="72">
                  <c:v>28.728999999999999</c:v>
                </c:pt>
                <c:pt idx="73">
                  <c:v>28.979300000000002</c:v>
                </c:pt>
                <c:pt idx="74">
                  <c:v>29.720200000000002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1.09409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65.404799999999994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2.0628227027027024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48.823720270270293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2.7635095945945953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40.586352702702705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2.7635095945945953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40.586352702702705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571</v>
      </c>
      <c r="D5" s="151"/>
      <c r="E5" s="151"/>
      <c r="F5" s="152"/>
      <c r="G5" s="48" t="str">
        <f>lang!B27</f>
        <v>编号</v>
      </c>
      <c r="H5" s="150">
        <v>6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570</v>
      </c>
      <c r="D6" s="188"/>
      <c r="E6" s="188"/>
      <c r="F6" s="189"/>
      <c r="G6" s="49" t="str">
        <f>lang!B28</f>
        <v xml:space="preserve"> 日期</v>
      </c>
      <c r="H6" s="172">
        <f>FH_info!A2</f>
        <v>43628.389699074076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14</v>
      </c>
      <c r="D7" s="191"/>
      <c r="E7" s="191"/>
      <c r="F7" s="192"/>
      <c r="G7" s="50" t="str">
        <f>lang!B29</f>
        <v>误差率（%）</v>
      </c>
      <c r="H7" s="175">
        <f>M!B17*1</f>
        <v>21.103899999999999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32.798699999999997</v>
      </c>
      <c r="O8" s="59">
        <f>M!C5*1</f>
        <v>9.2182099999999991</v>
      </c>
      <c r="P8" s="59">
        <f>M!D5*1</f>
        <v>28.105399999999999</v>
      </c>
      <c r="Q8" s="59">
        <f>M!E5*1</f>
        <v>20</v>
      </c>
      <c r="R8" s="59">
        <f>M!F5*1</f>
        <v>9.0540900000000004</v>
      </c>
      <c r="S8" s="59">
        <f>M!G5*1</f>
        <v>50</v>
      </c>
      <c r="T8" s="59">
        <f>M!H5*1</f>
        <v>53.753799999999998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43.768799999999999</v>
      </c>
      <c r="O9" s="59">
        <f>M!C6*1</f>
        <v>3.2291500000000002</v>
      </c>
      <c r="P9" s="59">
        <f>M!D6*1</f>
        <v>7.3777499999999998</v>
      </c>
      <c r="Q9" s="59">
        <f>M!E6*1</f>
        <v>20</v>
      </c>
      <c r="R9" s="59">
        <f>M!F6*1</f>
        <v>38.244999999999997</v>
      </c>
      <c r="S9" s="59">
        <f>M!G6*1</f>
        <v>40</v>
      </c>
      <c r="T9" s="59">
        <f>M!H6*1</f>
        <v>52.6462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9.0540900000000004</v>
      </c>
      <c r="D10" s="99">
        <f>N8</f>
        <v>32.798699999999997</v>
      </c>
      <c r="E10" s="100">
        <f>T8</f>
        <v>53.753799999999998</v>
      </c>
      <c r="F10" s="91">
        <f>P8</f>
        <v>28.105399999999999</v>
      </c>
      <c r="G10" s="81" t="str">
        <f>CONCATENATE(M9,"
(20 ~ 40)")</f>
        <v>压力
(20 ~ 40)</v>
      </c>
      <c r="H10" s="98">
        <f>R9</f>
        <v>38.244999999999997</v>
      </c>
      <c r="I10" s="108">
        <f>N9</f>
        <v>43.768799999999999</v>
      </c>
      <c r="J10" s="98">
        <f>T9</f>
        <v>52.6462</v>
      </c>
      <c r="K10" s="92">
        <f>P9</f>
        <v>7.3777499999999998</v>
      </c>
      <c r="L10" s="6"/>
      <c r="M10" s="27" t="str">
        <f>lang!B16</f>
        <v>焦虑</v>
      </c>
      <c r="N10" s="59">
        <f>M!B7*1</f>
        <v>21.084099999999999</v>
      </c>
      <c r="O10" s="59">
        <f>M!C7*1</f>
        <v>9.8120100000000008</v>
      </c>
      <c r="P10" s="59">
        <f>M!D7*1</f>
        <v>46.537500000000001</v>
      </c>
      <c r="Q10" s="59">
        <f>M!E7*1</f>
        <v>15</v>
      </c>
      <c r="R10" s="59">
        <f>M!F7*1</f>
        <v>10.2768</v>
      </c>
      <c r="S10" s="59">
        <f>M!G7*1</f>
        <v>40</v>
      </c>
      <c r="T10" s="59">
        <f>M!H7*1</f>
        <v>53.0792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10.2768</v>
      </c>
      <c r="D11" s="102">
        <f>N10</f>
        <v>21.084099999999999</v>
      </c>
      <c r="E11" s="103">
        <f>T10</f>
        <v>53.0792</v>
      </c>
      <c r="F11" s="94">
        <f>P10</f>
        <v>46.537500000000001</v>
      </c>
      <c r="G11" s="52" t="str">
        <f>CONCATENATE(M11,"
(20 ~ 50)")</f>
        <v>可疑
(20 ~ 50)</v>
      </c>
      <c r="H11" s="101">
        <f>R11</f>
        <v>25.0745</v>
      </c>
      <c r="I11" s="104">
        <f>N11</f>
        <v>33.5062</v>
      </c>
      <c r="J11" s="101">
        <f>T11</f>
        <v>42.229799999999997</v>
      </c>
      <c r="K11" s="95">
        <f>P11</f>
        <v>10.0159</v>
      </c>
      <c r="L11" s="4"/>
      <c r="M11" s="27" t="str">
        <f>lang!B17</f>
        <v>可疑</v>
      </c>
      <c r="N11" s="59">
        <f>M!B8*1</f>
        <v>33.5062</v>
      </c>
      <c r="O11" s="59">
        <f>M!C8*1</f>
        <v>3.35595</v>
      </c>
      <c r="P11" s="59">
        <f>M!D8*1</f>
        <v>10.0159</v>
      </c>
      <c r="Q11" s="59">
        <f>M!E8*1</f>
        <v>20</v>
      </c>
      <c r="R11" s="59">
        <f>M!F8*1</f>
        <v>25.0745</v>
      </c>
      <c r="S11" s="59">
        <f>M!G8*1</f>
        <v>50</v>
      </c>
      <c r="T11" s="59">
        <f>M!H8*1</f>
        <v>42.229799999999997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43.449599999999997</v>
      </c>
      <c r="D12" s="104">
        <f>N12</f>
        <v>64.3292</v>
      </c>
      <c r="E12" s="101">
        <f>T12</f>
        <v>81.223500000000001</v>
      </c>
      <c r="F12" s="93">
        <f>P12</f>
        <v>12.376899999999999</v>
      </c>
      <c r="G12" s="52" t="str">
        <f>CONCATENATE(M13,"
(40 ~ 100)")</f>
        <v>自信
(40 ~ 100)</v>
      </c>
      <c r="H12" s="101">
        <f>R13</f>
        <v>34.114600000000003</v>
      </c>
      <c r="I12" s="104">
        <f>N13</f>
        <v>46.65</v>
      </c>
      <c r="J12" s="101">
        <f>T13</f>
        <v>63.982500000000002</v>
      </c>
      <c r="K12" s="95">
        <f>P13</f>
        <v>16.891500000000001</v>
      </c>
      <c r="L12" s="4"/>
      <c r="M12" s="27" t="str">
        <f>lang!B18</f>
        <v>平衡</v>
      </c>
      <c r="N12" s="59">
        <f>M!B9*1</f>
        <v>64.3292</v>
      </c>
      <c r="O12" s="59">
        <f>M!C9*1</f>
        <v>7.9619499999999999</v>
      </c>
      <c r="P12" s="59">
        <f>M!D9*1</f>
        <v>12.376899999999999</v>
      </c>
      <c r="Q12" s="59">
        <f>M!E9*1</f>
        <v>50</v>
      </c>
      <c r="R12" s="59">
        <f>M!F9*1</f>
        <v>43.449599999999997</v>
      </c>
      <c r="S12" s="59">
        <f>M!G9*1</f>
        <v>100</v>
      </c>
      <c r="T12" s="59">
        <f>M!H9*1</f>
        <v>81.223500000000001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3.1889799999999999</v>
      </c>
      <c r="D13" s="102">
        <f>N14</f>
        <v>13.353999999999999</v>
      </c>
      <c r="E13" s="103">
        <f>T14</f>
        <v>19.300999999999998</v>
      </c>
      <c r="F13" s="94">
        <f>P14</f>
        <v>33.075299999999999</v>
      </c>
      <c r="G13" s="52" t="str">
        <f>CONCATENATE(M15,"
(50 ~ 100)")</f>
        <v>自我调节
(50 ~ 100)</v>
      </c>
      <c r="H13" s="101">
        <f>R15</f>
        <v>47.051600000000001</v>
      </c>
      <c r="I13" s="104">
        <f>N15</f>
        <v>55.235399999999998</v>
      </c>
      <c r="J13" s="101">
        <f>T15</f>
        <v>65.3048</v>
      </c>
      <c r="K13" s="95">
        <f>P15</f>
        <v>6.35229</v>
      </c>
      <c r="L13" s="4"/>
      <c r="M13" s="27" t="str">
        <f>lang!B19</f>
        <v>自信</v>
      </c>
      <c r="N13" s="59">
        <f>M!B10*1</f>
        <v>46.65</v>
      </c>
      <c r="O13" s="59">
        <f>M!C10*1</f>
        <v>7.8798899999999996</v>
      </c>
      <c r="P13" s="59">
        <f>M!D10*1</f>
        <v>16.891500000000001</v>
      </c>
      <c r="Q13" s="59">
        <f>M!E10*1</f>
        <v>40</v>
      </c>
      <c r="R13" s="59">
        <f>M!F10*1</f>
        <v>34.114600000000003</v>
      </c>
      <c r="S13" s="59">
        <f>M!G10*1</f>
        <v>100</v>
      </c>
      <c r="T13" s="59">
        <f>M!H10*1</f>
        <v>63.982500000000002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13.279</v>
      </c>
      <c r="D14" s="106">
        <f>N16</f>
        <v>18.5947</v>
      </c>
      <c r="E14" s="107">
        <f>T16</f>
        <v>26.315000000000001</v>
      </c>
      <c r="F14" s="96">
        <f>P16</f>
        <v>14.2643</v>
      </c>
      <c r="G14" s="112" t="str">
        <f>CONCATENATE(M17,"
(10 ~ 50)")</f>
        <v>神经质
(10 ~ 50)</v>
      </c>
      <c r="H14" s="105">
        <f>R17</f>
        <v>2.1833499999999999</v>
      </c>
      <c r="I14" s="106">
        <f>N17</f>
        <v>26.524100000000001</v>
      </c>
      <c r="J14" s="107">
        <f>T17</f>
        <v>36.731099999999998</v>
      </c>
      <c r="K14" s="97">
        <f>P17</f>
        <v>36.042000000000002</v>
      </c>
      <c r="M14" s="27" t="str">
        <f>lang!B20</f>
        <v>活力</v>
      </c>
      <c r="N14" s="59">
        <f>M!B11*1</f>
        <v>13.353999999999999</v>
      </c>
      <c r="O14" s="59">
        <f>M!C11*1</f>
        <v>4.4168900000000004</v>
      </c>
      <c r="P14" s="59">
        <f>M!D11*1</f>
        <v>33.075299999999999</v>
      </c>
      <c r="Q14" s="59">
        <f>M!E11*1</f>
        <v>10</v>
      </c>
      <c r="R14" s="59">
        <f>M!F11*1</f>
        <v>3.1889799999999999</v>
      </c>
      <c r="S14" s="59">
        <f>M!G11*1</f>
        <v>50</v>
      </c>
      <c r="T14" s="59">
        <f>M!H11*1</f>
        <v>19.300999999999998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55.235399999999998</v>
      </c>
      <c r="O15" s="59">
        <f>M!C12*1</f>
        <v>3.5087100000000002</v>
      </c>
      <c r="P15" s="59">
        <f>M!D12*1</f>
        <v>6.35229</v>
      </c>
      <c r="Q15" s="59">
        <f>M!E12*1</f>
        <v>50</v>
      </c>
      <c r="R15" s="59">
        <f>M!F12*1</f>
        <v>47.051600000000001</v>
      </c>
      <c r="S15" s="59">
        <f>M!G12*1</f>
        <v>100</v>
      </c>
      <c r="T15" s="59">
        <f>M!H12*1</f>
        <v>65.3048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18.5947</v>
      </c>
      <c r="O16" s="59">
        <f>M!C13*1</f>
        <v>2.6524100000000002</v>
      </c>
      <c r="P16" s="59">
        <f>M!D13*1</f>
        <v>14.2643</v>
      </c>
      <c r="Q16" s="59">
        <f>M!E13*1</f>
        <v>10</v>
      </c>
      <c r="R16" s="59">
        <f>M!F13*1</f>
        <v>13.279</v>
      </c>
      <c r="S16" s="59">
        <f>M!G13*1</f>
        <v>25</v>
      </c>
      <c r="T16" s="59">
        <f>M!H13*1</f>
        <v>26.315000000000001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26.524100000000001</v>
      </c>
      <c r="O17" s="59">
        <f>M!C14*1</f>
        <v>9.5598200000000002</v>
      </c>
      <c r="P17" s="59">
        <f>M!D14*1</f>
        <v>36.042000000000002</v>
      </c>
      <c r="Q17" s="59">
        <f>M!E14*1</f>
        <v>10</v>
      </c>
      <c r="R17" s="59">
        <f>M!F14*1</f>
        <v>2.1833499999999999</v>
      </c>
      <c r="S17" s="59">
        <f>M!G14*1</f>
        <v>50</v>
      </c>
      <c r="T17" s="59">
        <f>M!H14*1</f>
        <v>36.731099999999998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44.892150000000001</v>
      </c>
      <c r="O18" s="22">
        <f>N18/(N18+N19+N20)</f>
        <v>0.44784220029728355</v>
      </c>
      <c r="P18" s="65">
        <f>SUM(P12:P15)/4</f>
        <v>17.173997499999999</v>
      </c>
      <c r="Q18" s="22">
        <f>P18/(P18+P19+P20)</f>
        <v>0.26285543324050331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32.789450000000002</v>
      </c>
      <c r="O19" s="22">
        <f>N19/(N18+N19+N20)</f>
        <v>0.32710617412036991</v>
      </c>
      <c r="P19" s="18">
        <f>SUM(P8:P11)/4</f>
        <v>23.009137500000001</v>
      </c>
      <c r="Q19" s="22">
        <f>P19/(P18+P19+P20)</f>
        <v>0.35216476571938549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22.5594</v>
      </c>
      <c r="O20" s="22">
        <f>N20/(N18+N19+N20)</f>
        <v>0.22505162558234654</v>
      </c>
      <c r="P20" s="18">
        <f>(P16+P17)/2</f>
        <v>25.15315</v>
      </c>
      <c r="Q20" s="22">
        <f>P20/(P18+P19+P20)</f>
        <v>0.38497980104011115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-0.15244236486486518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1.2137494897677592</v>
      </c>
      <c r="D25" s="44" t="str">
        <f>lang!B11</f>
        <v>频率方差</v>
      </c>
      <c r="E25" s="142">
        <f ca="1">FH!L3</f>
        <v>0.59479552463187901</v>
      </c>
      <c r="F25" s="143"/>
      <c r="G25" s="134" t="str">
        <f>lang!B12</f>
        <v>生理变化率</v>
      </c>
      <c r="H25" s="135"/>
      <c r="I25" s="62" t="str">
        <f ca="1">CONCATENATE(info!M7,"-",info!M8)</f>
        <v>28.7-65.4</v>
      </c>
      <c r="J25" s="42" t="str">
        <f>lang!B13</f>
        <v>千卡l/分钟</v>
      </c>
      <c r="K25" s="41" t="str">
        <f ca="1">CONCATENATE(info!M5,"-",info!M6)</f>
        <v>1.1-3.4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56.664200000000001</v>
      </c>
      <c r="F28" s="164"/>
      <c r="G28" s="178" t="str">
        <f>lang!B33</f>
        <v>稳定性</v>
      </c>
      <c r="H28" s="179"/>
      <c r="I28" s="180"/>
      <c r="J28" s="181">
        <f>M!B19*100</f>
        <v>78.686300000000003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43628.389699074076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3.6996000000000002</v>
      </c>
      <c r="O7" s="59">
        <f t="shared" ref="O7:T7" si="2">AG7-X7</f>
        <v>-1.2068799999999991</v>
      </c>
      <c r="P7" s="59">
        <f t="shared" si="2"/>
        <v>-6.0991999999999997</v>
      </c>
      <c r="Q7" s="59">
        <f t="shared" si="2"/>
        <v>0</v>
      </c>
      <c r="R7" s="59">
        <f t="shared" si="2"/>
        <v>18.230109999999996</v>
      </c>
      <c r="S7" s="59">
        <f t="shared" si="2"/>
        <v>0</v>
      </c>
      <c r="T7" s="59">
        <f t="shared" si="2"/>
        <v>15.244999999999997</v>
      </c>
      <c r="U7" s="14"/>
      <c r="V7" s="27" t="str">
        <f>M7</f>
        <v>攻击性</v>
      </c>
      <c r="W7" s="59">
        <f>'M1'!B5*1</f>
        <v>31.758500000000002</v>
      </c>
      <c r="X7" s="59">
        <f>'M1'!C5*1</f>
        <v>8.2048799999999993</v>
      </c>
      <c r="Y7" s="59">
        <f>'M1'!D5*1</f>
        <v>25.8352</v>
      </c>
      <c r="Z7" s="59">
        <f>'M1'!E5*1</f>
        <v>20</v>
      </c>
      <c r="AA7" s="59">
        <f>'M1'!F5*1</f>
        <v>9.0540900000000004</v>
      </c>
      <c r="AB7" s="59">
        <f>'M1'!G5*1</f>
        <v>50</v>
      </c>
      <c r="AC7" s="59">
        <f>'M1'!H5*1</f>
        <v>38.508800000000001</v>
      </c>
      <c r="AE7" s="27" t="str">
        <f>V7</f>
        <v>攻击性</v>
      </c>
      <c r="AF7" s="59">
        <f>'M2'!B5*1</f>
        <v>35.458100000000002</v>
      </c>
      <c r="AG7" s="59">
        <f>'M2'!C5*1</f>
        <v>6.9980000000000002</v>
      </c>
      <c r="AH7" s="59">
        <f>'M2'!D5*1</f>
        <v>19.736000000000001</v>
      </c>
      <c r="AI7" s="59">
        <f>'M2'!E5*1</f>
        <v>20</v>
      </c>
      <c r="AJ7" s="59">
        <f>'M2'!F5*1</f>
        <v>27.284199999999998</v>
      </c>
      <c r="AK7" s="59">
        <f>'M2'!G5*1</f>
        <v>50</v>
      </c>
      <c r="AL7" s="59">
        <f>'M2'!H5*1</f>
        <v>53.753799999999998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-1.7615999999999943</v>
      </c>
      <c r="O8" s="59">
        <f t="shared" ref="O8:O16" si="5">AG8-X8</f>
        <v>-0.68057999999999996</v>
      </c>
      <c r="P8" s="59">
        <f t="shared" ref="P8:P16" si="6">AH8-Y8</f>
        <v>-1.2716699999999994</v>
      </c>
      <c r="Q8" s="59">
        <f t="shared" ref="Q8:Q16" si="7">AI8-Z8</f>
        <v>0</v>
      </c>
      <c r="R8" s="59">
        <f t="shared" ref="R8:R16" si="8">AJ8-AA8</f>
        <v>-1.9211000000000027</v>
      </c>
      <c r="S8" s="59">
        <f t="shared" ref="S8:S16" si="9">AK8-AB8</f>
        <v>0</v>
      </c>
      <c r="T8" s="59">
        <f t="shared" ref="T8:T16" si="10">AL8-AC8</f>
        <v>-2.6846999999999994</v>
      </c>
      <c r="U8" s="15"/>
      <c r="V8" s="27" t="str">
        <f t="shared" ref="V8:V16" si="11">M8</f>
        <v>压力</v>
      </c>
      <c r="W8" s="59">
        <f>'M1'!B6*1</f>
        <v>45.031599999999997</v>
      </c>
      <c r="X8" s="59">
        <f>'M1'!C6*1</f>
        <v>3.33162</v>
      </c>
      <c r="Y8" s="59">
        <f>'M1'!D6*1</f>
        <v>7.3983999999999996</v>
      </c>
      <c r="Z8" s="59">
        <f>'M1'!E6*1</f>
        <v>20</v>
      </c>
      <c r="AA8" s="59">
        <f>'M1'!F6*1</f>
        <v>40.1661</v>
      </c>
      <c r="AB8" s="59">
        <f>'M1'!G6*1</f>
        <v>40</v>
      </c>
      <c r="AC8" s="59">
        <f>'M1'!H6*1</f>
        <v>52.6462</v>
      </c>
      <c r="AE8" s="27" t="str">
        <f t="shared" ref="AE8:AE16" si="12">V8</f>
        <v>压力</v>
      </c>
      <c r="AF8" s="59">
        <f>'M2'!B6*1</f>
        <v>43.27</v>
      </c>
      <c r="AG8" s="59">
        <f>'M2'!C6*1</f>
        <v>2.6510400000000001</v>
      </c>
      <c r="AH8" s="59">
        <f>'M2'!D6*1</f>
        <v>6.1267300000000002</v>
      </c>
      <c r="AI8" s="59">
        <f>'M2'!E6*1</f>
        <v>20</v>
      </c>
      <c r="AJ8" s="59">
        <f>'M2'!F6*1</f>
        <v>38.244999999999997</v>
      </c>
      <c r="AK8" s="59">
        <f>'M2'!G6*1</f>
        <v>40</v>
      </c>
      <c r="AL8" s="59">
        <f>'M2'!H6*1</f>
        <v>49.961500000000001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18.230109999999996</v>
      </c>
      <c r="D9" s="78">
        <f>N7</f>
        <v>3.6996000000000002</v>
      </c>
      <c r="E9" s="79">
        <f>T7</f>
        <v>15.244999999999997</v>
      </c>
      <c r="F9" s="79">
        <f>P7</f>
        <v>-6.0991999999999997</v>
      </c>
      <c r="G9" s="80" t="str">
        <f>CONCATENATE(M8,"
(20 ~ 40)")</f>
        <v>压力
(20 ~ 40)</v>
      </c>
      <c r="H9" s="77">
        <f>R8</f>
        <v>-1.9211000000000027</v>
      </c>
      <c r="I9" s="81">
        <f>N8</f>
        <v>-1.7615999999999943</v>
      </c>
      <c r="J9" s="77">
        <f>T8</f>
        <v>-2.6846999999999994</v>
      </c>
      <c r="K9" s="82">
        <f>P8</f>
        <v>-1.2716699999999994</v>
      </c>
      <c r="L9" s="6"/>
      <c r="M9" s="27" t="str">
        <f>lang!B16</f>
        <v>焦虑</v>
      </c>
      <c r="N9" s="59">
        <f t="shared" si="4"/>
        <v>-0.23959999999999937</v>
      </c>
      <c r="O9" s="59">
        <f t="shared" si="5"/>
        <v>-8.262439999999998</v>
      </c>
      <c r="P9" s="59">
        <f t="shared" si="6"/>
        <v>-38.544400000000003</v>
      </c>
      <c r="Q9" s="59">
        <f t="shared" si="7"/>
        <v>0</v>
      </c>
      <c r="R9" s="59">
        <f t="shared" si="8"/>
        <v>-1.2484999999999999</v>
      </c>
      <c r="S9" s="59">
        <f t="shared" si="9"/>
        <v>0</v>
      </c>
      <c r="T9" s="59">
        <f t="shared" si="10"/>
        <v>-8.5202999999999989</v>
      </c>
      <c r="U9" s="14"/>
      <c r="V9" s="27" t="str">
        <f t="shared" si="11"/>
        <v>焦虑</v>
      </c>
      <c r="W9" s="59">
        <f>'M1'!B7*1</f>
        <v>21.3095</v>
      </c>
      <c r="X9" s="59">
        <f>'M1'!C7*1</f>
        <v>12.555199999999999</v>
      </c>
      <c r="Y9" s="59">
        <f>'M1'!D7*1</f>
        <v>58.918300000000002</v>
      </c>
      <c r="Z9" s="59">
        <f>'M1'!E7*1</f>
        <v>15</v>
      </c>
      <c r="AA9" s="59">
        <f>'M1'!F7*1</f>
        <v>11.5253</v>
      </c>
      <c r="AB9" s="59">
        <f>'M1'!G7*1</f>
        <v>40</v>
      </c>
      <c r="AC9" s="59">
        <f>'M1'!H7*1</f>
        <v>53.0792</v>
      </c>
      <c r="AE9" s="27" t="str">
        <f t="shared" si="12"/>
        <v>焦虑</v>
      </c>
      <c r="AF9" s="59">
        <f>'M2'!B7*1</f>
        <v>21.069900000000001</v>
      </c>
      <c r="AG9" s="59">
        <f>'M2'!C7*1</f>
        <v>4.2927600000000004</v>
      </c>
      <c r="AH9" s="59">
        <f>'M2'!D7*1</f>
        <v>20.373899999999999</v>
      </c>
      <c r="AI9" s="59">
        <f>'M2'!E7*1</f>
        <v>15</v>
      </c>
      <c r="AJ9" s="59">
        <f>'M2'!F7*1</f>
        <v>10.2768</v>
      </c>
      <c r="AK9" s="59">
        <f>'M2'!G7*1</f>
        <v>40</v>
      </c>
      <c r="AL9" s="59">
        <f>'M2'!H7*1</f>
        <v>44.558900000000001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-1.2484999999999999</v>
      </c>
      <c r="D10" s="51">
        <f>N9</f>
        <v>-0.23959999999999937</v>
      </c>
      <c r="E10" s="53">
        <f>T9</f>
        <v>-8.5202999999999989</v>
      </c>
      <c r="F10" s="53">
        <f>P9</f>
        <v>-38.544400000000003</v>
      </c>
      <c r="G10" s="73" t="str">
        <f>CONCATENATE(M10,"
(20 ~ 50)")</f>
        <v>可疑
(20 ~ 50)</v>
      </c>
      <c r="H10" s="24">
        <f>R10</f>
        <v>4.9105999999999987</v>
      </c>
      <c r="I10" s="52">
        <f>N10</f>
        <v>-0.16639999999999588</v>
      </c>
      <c r="J10" s="24">
        <f>T10</f>
        <v>4.3327999999999989</v>
      </c>
      <c r="K10" s="25">
        <f>P10</f>
        <v>-1.9150400000000012</v>
      </c>
      <c r="L10" s="4"/>
      <c r="M10" s="27" t="str">
        <f>lang!B17</f>
        <v>可疑</v>
      </c>
      <c r="N10" s="59">
        <f t="shared" si="4"/>
        <v>-0.16639999999999588</v>
      </c>
      <c r="O10" s="59">
        <f t="shared" si="5"/>
        <v>-0.65946999999999978</v>
      </c>
      <c r="P10" s="59">
        <f t="shared" si="6"/>
        <v>-1.9150400000000012</v>
      </c>
      <c r="Q10" s="59">
        <f t="shared" si="7"/>
        <v>0</v>
      </c>
      <c r="R10" s="59">
        <f t="shared" si="8"/>
        <v>4.9105999999999987</v>
      </c>
      <c r="S10" s="59">
        <f t="shared" si="9"/>
        <v>0</v>
      </c>
      <c r="T10" s="59">
        <f t="shared" si="10"/>
        <v>4.3327999999999989</v>
      </c>
      <c r="U10" s="14"/>
      <c r="V10" s="27" t="str">
        <f t="shared" si="11"/>
        <v>可疑</v>
      </c>
      <c r="W10" s="59">
        <f>'M1'!B8*1</f>
        <v>33.669499999999999</v>
      </c>
      <c r="X10" s="59">
        <f>'M1'!C8*1</f>
        <v>3.61449</v>
      </c>
      <c r="Y10" s="59">
        <f>'M1'!D8*1</f>
        <v>10.735200000000001</v>
      </c>
      <c r="Z10" s="59">
        <f>'M1'!E8*1</f>
        <v>20</v>
      </c>
      <c r="AA10" s="59">
        <f>'M1'!F8*1</f>
        <v>25.0745</v>
      </c>
      <c r="AB10" s="59">
        <f>'M1'!G8*1</f>
        <v>50</v>
      </c>
      <c r="AC10" s="59">
        <f>'M1'!H8*1</f>
        <v>37.896999999999998</v>
      </c>
      <c r="AE10" s="27" t="str">
        <f t="shared" si="12"/>
        <v>可疑</v>
      </c>
      <c r="AF10" s="59">
        <f>'M2'!B8*1</f>
        <v>33.503100000000003</v>
      </c>
      <c r="AG10" s="59">
        <f>'M2'!C8*1</f>
        <v>2.9550200000000002</v>
      </c>
      <c r="AH10" s="59">
        <f>'M2'!D8*1</f>
        <v>8.8201599999999996</v>
      </c>
      <c r="AI10" s="59">
        <f>'M2'!E8*1</f>
        <v>20</v>
      </c>
      <c r="AJ10" s="59">
        <f>'M2'!F8*1</f>
        <v>29.985099999999999</v>
      </c>
      <c r="AK10" s="59">
        <f>'M2'!G8*1</f>
        <v>50</v>
      </c>
      <c r="AL10" s="59">
        <f>'M2'!H8*1</f>
        <v>42.229799999999997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3.5762</v>
      </c>
      <c r="D11" s="52">
        <f>N11</f>
        <v>5.8983000000000061</v>
      </c>
      <c r="E11" s="24">
        <f>T11</f>
        <v>-6.1422000000000025</v>
      </c>
      <c r="F11" s="24">
        <f>P11</f>
        <v>-1.5861000000000001</v>
      </c>
      <c r="G11" s="73" t="str">
        <f>CONCATENATE(M12,"
(40 ~ 100)")</f>
        <v>自信
(40 ~ 100)</v>
      </c>
      <c r="H11" s="24">
        <f>R12</f>
        <v>-1.3736999999999995</v>
      </c>
      <c r="I11" s="52">
        <f>N12</f>
        <v>-10.701999999999998</v>
      </c>
      <c r="J11" s="24">
        <f>T12</f>
        <v>-10.6205</v>
      </c>
      <c r="K11" s="25">
        <f>P12</f>
        <v>-2.8269000000000002</v>
      </c>
      <c r="L11" s="4"/>
      <c r="M11" s="27" t="str">
        <f>lang!B18</f>
        <v>平衡</v>
      </c>
      <c r="N11" s="59">
        <f t="shared" si="4"/>
        <v>5.8983000000000061</v>
      </c>
      <c r="O11" s="59">
        <f t="shared" si="5"/>
        <v>-0.27461000000000002</v>
      </c>
      <c r="P11" s="59">
        <f t="shared" si="6"/>
        <v>-1.5861000000000001</v>
      </c>
      <c r="Q11" s="59">
        <f t="shared" si="7"/>
        <v>0</v>
      </c>
      <c r="R11" s="59">
        <f t="shared" si="8"/>
        <v>3.5762</v>
      </c>
      <c r="S11" s="59">
        <f t="shared" si="9"/>
        <v>0</v>
      </c>
      <c r="T11" s="59">
        <f t="shared" si="10"/>
        <v>-6.1422000000000025</v>
      </c>
      <c r="U11" s="14"/>
      <c r="V11" s="27" t="str">
        <f t="shared" si="11"/>
        <v>平衡</v>
      </c>
      <c r="W11" s="59">
        <f>'M1'!B9*1</f>
        <v>60.438800000000001</v>
      </c>
      <c r="X11" s="59">
        <f>'M1'!C9*1</f>
        <v>7.9670899999999998</v>
      </c>
      <c r="Y11" s="59">
        <f>'M1'!D9*1</f>
        <v>13.1821</v>
      </c>
      <c r="Z11" s="59">
        <f>'M1'!E9*1</f>
        <v>50</v>
      </c>
      <c r="AA11" s="59">
        <f>'M1'!F9*1</f>
        <v>43.449599999999997</v>
      </c>
      <c r="AB11" s="59">
        <f>'M1'!G9*1</f>
        <v>100</v>
      </c>
      <c r="AC11" s="59">
        <f>'M1'!H9*1</f>
        <v>81.223500000000001</v>
      </c>
      <c r="AE11" s="27" t="str">
        <f t="shared" si="12"/>
        <v>平衡</v>
      </c>
      <c r="AF11" s="59">
        <f>'M2'!B9*1</f>
        <v>66.337100000000007</v>
      </c>
      <c r="AG11" s="59">
        <f>'M2'!C9*1</f>
        <v>7.6924799999999998</v>
      </c>
      <c r="AH11" s="59">
        <f>'M2'!D9*1</f>
        <v>11.596</v>
      </c>
      <c r="AI11" s="59">
        <f>'M2'!E9*1</f>
        <v>50</v>
      </c>
      <c r="AJ11" s="59">
        <f>'M2'!F9*1</f>
        <v>47.025799999999997</v>
      </c>
      <c r="AK11" s="59">
        <f>'M2'!G9*1</f>
        <v>100</v>
      </c>
      <c r="AL11" s="59">
        <f>'M2'!H9*1</f>
        <v>75.081299999999999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8.6658200000000001</v>
      </c>
      <c r="D12" s="51">
        <f>N13</f>
        <v>5.530479999999999</v>
      </c>
      <c r="E12" s="53">
        <f>T13</f>
        <v>4.4324999999999992</v>
      </c>
      <c r="F12" s="53">
        <f>P13</f>
        <v>-29.8901</v>
      </c>
      <c r="G12" s="73" t="str">
        <f>CONCATENATE(M14,"
(50 ~ 100)")</f>
        <v>自我调节
(50 ~ 100)</v>
      </c>
      <c r="H12" s="24">
        <f>R14</f>
        <v>8.0999999999995964E-2</v>
      </c>
      <c r="I12" s="52">
        <f>N14</f>
        <v>-1.8467000000000056</v>
      </c>
      <c r="J12" s="24">
        <f>T14</f>
        <v>-4.7336000000000027</v>
      </c>
      <c r="K12" s="25">
        <f>P14</f>
        <v>-2.3693300000000006</v>
      </c>
      <c r="L12" s="4"/>
      <c r="M12" s="27" t="str">
        <f>lang!B19</f>
        <v>自信</v>
      </c>
      <c r="N12" s="59">
        <f t="shared" si="4"/>
        <v>-10.701999999999998</v>
      </c>
      <c r="O12" s="59">
        <f t="shared" si="5"/>
        <v>-2.8598499999999998</v>
      </c>
      <c r="P12" s="59">
        <f t="shared" si="6"/>
        <v>-2.8269000000000002</v>
      </c>
      <c r="Q12" s="59">
        <f t="shared" si="7"/>
        <v>0</v>
      </c>
      <c r="R12" s="59">
        <f t="shared" si="8"/>
        <v>-1.3736999999999995</v>
      </c>
      <c r="S12" s="59">
        <f t="shared" si="9"/>
        <v>0</v>
      </c>
      <c r="T12" s="59">
        <f t="shared" si="10"/>
        <v>-10.6205</v>
      </c>
      <c r="U12" s="15"/>
      <c r="V12" s="27" t="str">
        <f t="shared" si="11"/>
        <v>自信</v>
      </c>
      <c r="W12" s="59">
        <f>'M1'!B10*1</f>
        <v>56.170099999999998</v>
      </c>
      <c r="X12" s="59">
        <f>'M1'!C10*1</f>
        <v>8.2639999999999993</v>
      </c>
      <c r="Y12" s="59">
        <f>'M1'!D10*1</f>
        <v>14.7125</v>
      </c>
      <c r="Z12" s="59">
        <f>'M1'!E10*1</f>
        <v>40</v>
      </c>
      <c r="AA12" s="59">
        <f>'M1'!F10*1</f>
        <v>35.488300000000002</v>
      </c>
      <c r="AB12" s="59">
        <f>'M1'!G10*1</f>
        <v>100</v>
      </c>
      <c r="AC12" s="59">
        <f>'M1'!H10*1</f>
        <v>63.982500000000002</v>
      </c>
      <c r="AE12" s="27" t="str">
        <f t="shared" si="12"/>
        <v>自信</v>
      </c>
      <c r="AF12" s="59">
        <f>'M2'!B10*1</f>
        <v>45.4681</v>
      </c>
      <c r="AG12" s="59">
        <f>'M2'!C10*1</f>
        <v>5.4041499999999996</v>
      </c>
      <c r="AH12" s="59">
        <f>'M2'!D10*1</f>
        <v>11.8856</v>
      </c>
      <c r="AI12" s="59">
        <f>'M2'!E10*1</f>
        <v>40</v>
      </c>
      <c r="AJ12" s="59">
        <f>'M2'!F10*1</f>
        <v>34.114600000000003</v>
      </c>
      <c r="AK12" s="59">
        <f>'M2'!G10*1</f>
        <v>100</v>
      </c>
      <c r="AL12" s="59">
        <f>'M2'!H10*1</f>
        <v>53.362000000000002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2.1721000000000004</v>
      </c>
      <c r="D13" s="55">
        <f>N15</f>
        <v>0.9894999999999996</v>
      </c>
      <c r="E13" s="56">
        <f>T15</f>
        <v>-0.90120000000000289</v>
      </c>
      <c r="F13" s="56">
        <f>P15</f>
        <v>-5.4374000000000002</v>
      </c>
      <c r="G13" s="74" t="str">
        <f>CONCATENATE(M16,"
(10 ~ 50)")</f>
        <v>神经质
(10 ~ 50)</v>
      </c>
      <c r="H13" s="54">
        <f>R16</f>
        <v>1.64147</v>
      </c>
      <c r="I13" s="55">
        <f>N16</f>
        <v>-8.6804999999999986</v>
      </c>
      <c r="J13" s="56">
        <f>T16</f>
        <v>-5.2049999999999983</v>
      </c>
      <c r="K13" s="57">
        <f>P16</f>
        <v>11.252800000000001</v>
      </c>
      <c r="M13" s="27" t="str">
        <f>lang!B20</f>
        <v>活力</v>
      </c>
      <c r="N13" s="59">
        <f t="shared" si="4"/>
        <v>5.530479999999999</v>
      </c>
      <c r="O13" s="59">
        <f t="shared" si="5"/>
        <v>-1.9212200000000001</v>
      </c>
      <c r="P13" s="59">
        <f t="shared" si="6"/>
        <v>-29.8901</v>
      </c>
      <c r="Q13" s="59">
        <f t="shared" si="7"/>
        <v>0</v>
      </c>
      <c r="R13" s="59">
        <f t="shared" si="8"/>
        <v>8.6658200000000001</v>
      </c>
      <c r="S13" s="59">
        <f t="shared" si="9"/>
        <v>0</v>
      </c>
      <c r="T13" s="59">
        <f t="shared" si="10"/>
        <v>4.4324999999999992</v>
      </c>
      <c r="U13" s="14"/>
      <c r="V13" s="27" t="str">
        <f t="shared" si="11"/>
        <v>活力</v>
      </c>
      <c r="W13" s="59">
        <f>'M1'!B11*1</f>
        <v>8.9048200000000008</v>
      </c>
      <c r="X13" s="59">
        <f>'M1'!C11*1</f>
        <v>3.8538700000000001</v>
      </c>
      <c r="Y13" s="59">
        <f>'M1'!D11*1</f>
        <v>43.278500000000001</v>
      </c>
      <c r="Z13" s="59">
        <f>'M1'!E11*1</f>
        <v>10</v>
      </c>
      <c r="AA13" s="59">
        <f>'M1'!F11*1</f>
        <v>3.1889799999999999</v>
      </c>
      <c r="AB13" s="59">
        <f>'M1'!G11*1</f>
        <v>50</v>
      </c>
      <c r="AC13" s="59">
        <f>'M1'!H11*1</f>
        <v>14.857799999999999</v>
      </c>
      <c r="AE13" s="27" t="str">
        <f t="shared" si="12"/>
        <v>活力</v>
      </c>
      <c r="AF13" s="59">
        <f>'M2'!B11*1</f>
        <v>14.4353</v>
      </c>
      <c r="AG13" s="59">
        <f>'M2'!C11*1</f>
        <v>1.93265</v>
      </c>
      <c r="AH13" s="59">
        <f>'M2'!D11*1</f>
        <v>13.388400000000001</v>
      </c>
      <c r="AI13" s="59">
        <f>'M2'!E11*1</f>
        <v>10</v>
      </c>
      <c r="AJ13" s="59">
        <f>'M2'!F11*1</f>
        <v>11.854799999999999</v>
      </c>
      <c r="AK13" s="59">
        <f>'M2'!G11*1</f>
        <v>50</v>
      </c>
      <c r="AL13" s="59">
        <f>'M2'!H11*1</f>
        <v>19.290299999999998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-1.8467000000000056</v>
      </c>
      <c r="O14" s="59">
        <f t="shared" si="5"/>
        <v>-1.4184799999999997</v>
      </c>
      <c r="P14" s="59">
        <f t="shared" si="6"/>
        <v>-2.3693300000000006</v>
      </c>
      <c r="Q14" s="59">
        <f t="shared" si="7"/>
        <v>0</v>
      </c>
      <c r="R14" s="59">
        <f t="shared" si="8"/>
        <v>8.0999999999995964E-2</v>
      </c>
      <c r="S14" s="59">
        <f t="shared" si="9"/>
        <v>0</v>
      </c>
      <c r="T14" s="59">
        <f t="shared" si="10"/>
        <v>-4.7336000000000027</v>
      </c>
      <c r="U14" s="14"/>
      <c r="V14" s="27" t="str">
        <f t="shared" si="11"/>
        <v>自我调节</v>
      </c>
      <c r="W14" s="59">
        <f>'M1'!B12*1</f>
        <v>56.258200000000002</v>
      </c>
      <c r="X14" s="59">
        <f>'M1'!C12*1</f>
        <v>3.93912</v>
      </c>
      <c r="Y14" s="59">
        <f>'M1'!D12*1</f>
        <v>7.0018700000000003</v>
      </c>
      <c r="Z14" s="59">
        <f>'M1'!E12*1</f>
        <v>50</v>
      </c>
      <c r="AA14" s="59">
        <f>'M1'!F12*1</f>
        <v>47.051600000000001</v>
      </c>
      <c r="AB14" s="59">
        <f>'M1'!G12*1</f>
        <v>100</v>
      </c>
      <c r="AC14" s="59">
        <f>'M1'!H12*1</f>
        <v>65.3048</v>
      </c>
      <c r="AE14" s="27" t="str">
        <f t="shared" si="12"/>
        <v>自我调节</v>
      </c>
      <c r="AF14" s="59">
        <f>'M2'!B12*1</f>
        <v>54.411499999999997</v>
      </c>
      <c r="AG14" s="59">
        <f>'M2'!C12*1</f>
        <v>2.5206400000000002</v>
      </c>
      <c r="AH14" s="59">
        <f>'M2'!D12*1</f>
        <v>4.6325399999999997</v>
      </c>
      <c r="AI14" s="59">
        <f>'M2'!E12*1</f>
        <v>50</v>
      </c>
      <c r="AJ14" s="59">
        <f>'M2'!F12*1</f>
        <v>47.132599999999996</v>
      </c>
      <c r="AK14" s="59">
        <f>'M2'!G12*1</f>
        <v>100</v>
      </c>
      <c r="AL14" s="59">
        <f>'M2'!H12*1</f>
        <v>60.571199999999997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0.9894999999999996</v>
      </c>
      <c r="O15" s="59">
        <f t="shared" si="5"/>
        <v>-0.86805000000000021</v>
      </c>
      <c r="P15" s="59">
        <f t="shared" si="6"/>
        <v>-5.4374000000000002</v>
      </c>
      <c r="Q15" s="59">
        <f t="shared" si="7"/>
        <v>0</v>
      </c>
      <c r="R15" s="59">
        <f t="shared" si="8"/>
        <v>2.1721000000000004</v>
      </c>
      <c r="S15" s="59">
        <f t="shared" si="9"/>
        <v>0</v>
      </c>
      <c r="T15" s="59">
        <f t="shared" si="10"/>
        <v>-0.90120000000000289</v>
      </c>
      <c r="U15" s="14"/>
      <c r="V15" s="27" t="str">
        <f t="shared" si="11"/>
        <v>抑郁</v>
      </c>
      <c r="W15" s="59">
        <f>'M1'!B13*1</f>
        <v>18.016400000000001</v>
      </c>
      <c r="X15" s="59">
        <f>'M1'!C13*1</f>
        <v>3.01119</v>
      </c>
      <c r="Y15" s="59">
        <f>'M1'!D13*1</f>
        <v>16.7136</v>
      </c>
      <c r="Z15" s="59">
        <f>'M1'!E13*1</f>
        <v>10</v>
      </c>
      <c r="AA15" s="59">
        <f>'M1'!F13*1</f>
        <v>13.279</v>
      </c>
      <c r="AB15" s="59">
        <f>'M1'!G13*1</f>
        <v>25</v>
      </c>
      <c r="AC15" s="59">
        <f>'M1'!H13*1</f>
        <v>26.315000000000001</v>
      </c>
      <c r="AE15" s="27" t="str">
        <f t="shared" si="12"/>
        <v>抑郁</v>
      </c>
      <c r="AF15" s="59">
        <f>'M2'!B13*1</f>
        <v>19.0059</v>
      </c>
      <c r="AG15" s="59">
        <f>'M2'!C13*1</f>
        <v>2.1431399999999998</v>
      </c>
      <c r="AH15" s="59">
        <f>'M2'!D13*1</f>
        <v>11.276199999999999</v>
      </c>
      <c r="AI15" s="59">
        <f>'M2'!E13*1</f>
        <v>10</v>
      </c>
      <c r="AJ15" s="59">
        <f>'M2'!F13*1</f>
        <v>15.4511</v>
      </c>
      <c r="AK15" s="59">
        <f>'M2'!G13*1</f>
        <v>25</v>
      </c>
      <c r="AL15" s="59">
        <f>'M2'!H13*1</f>
        <v>25.413799999999998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-8.6804999999999986</v>
      </c>
      <c r="O16" s="59">
        <f t="shared" si="5"/>
        <v>-0.39652000000000065</v>
      </c>
      <c r="P16" s="59">
        <f t="shared" si="6"/>
        <v>11.252800000000001</v>
      </c>
      <c r="Q16" s="59">
        <f t="shared" si="7"/>
        <v>0</v>
      </c>
      <c r="R16" s="59">
        <f t="shared" si="8"/>
        <v>1.64147</v>
      </c>
      <c r="S16" s="59">
        <f t="shared" si="9"/>
        <v>0</v>
      </c>
      <c r="T16" s="59">
        <f t="shared" si="10"/>
        <v>-5.2049999999999983</v>
      </c>
      <c r="U16" s="15"/>
      <c r="V16" s="27" t="str">
        <f t="shared" si="11"/>
        <v>神经质</v>
      </c>
      <c r="W16" s="59">
        <f>'M1'!B14*1</f>
        <v>30.111899999999999</v>
      </c>
      <c r="X16" s="59">
        <f>'M1'!C14*1</f>
        <v>9.7412500000000009</v>
      </c>
      <c r="Y16" s="59">
        <f>'M1'!D14*1</f>
        <v>32.350099999999998</v>
      </c>
      <c r="Z16" s="59">
        <f>'M1'!E14*1</f>
        <v>10</v>
      </c>
      <c r="AA16" s="59">
        <f>'M1'!F14*1</f>
        <v>2.1833499999999999</v>
      </c>
      <c r="AB16" s="59">
        <f>'M1'!G14*1</f>
        <v>50</v>
      </c>
      <c r="AC16" s="59">
        <f>'M1'!H14*1</f>
        <v>36.731099999999998</v>
      </c>
      <c r="AE16" s="27" t="str">
        <f t="shared" si="12"/>
        <v>神经质</v>
      </c>
      <c r="AF16" s="59">
        <f>'M2'!B14*1</f>
        <v>21.4314</v>
      </c>
      <c r="AG16" s="59">
        <f>'M2'!C14*1</f>
        <v>9.3447300000000002</v>
      </c>
      <c r="AH16" s="59">
        <f>'M2'!D14*1</f>
        <v>43.602899999999998</v>
      </c>
      <c r="AI16" s="59">
        <f>'M2'!E14*1</f>
        <v>10</v>
      </c>
      <c r="AJ16" s="59">
        <f>'M2'!F14*1</f>
        <v>3.8248199999999999</v>
      </c>
      <c r="AK16" s="59">
        <f>'M2'!G14*1</f>
        <v>50</v>
      </c>
      <c r="AL16" s="59">
        <f>'M2'!H14*1</f>
        <v>31.5261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-0.27997999999999967</v>
      </c>
      <c r="O17" s="22">
        <f>N17/(N17+N18+N19)</f>
        <v>7.481135503730145E-2</v>
      </c>
      <c r="P17" s="65">
        <f>SUM(P11:P14)/4</f>
        <v>-9.1681074999999996</v>
      </c>
      <c r="Q17" s="22">
        <f>P17/(P17+P18+P19)</f>
        <v>0.50324487038495203</v>
      </c>
      <c r="R17" s="14"/>
      <c r="S17" s="14"/>
      <c r="T17" s="14"/>
      <c r="U17" s="14"/>
      <c r="V17" s="21" t="str">
        <f>M17</f>
        <v>Positive</v>
      </c>
      <c r="W17" s="65">
        <f>SUM(W11:W14)/4</f>
        <v>45.442980000000006</v>
      </c>
      <c r="X17" s="22">
        <f>W17/(W17+W18+W19)</f>
        <v>0.44356509439952341</v>
      </c>
      <c r="Y17" s="65">
        <f>SUM(Y11:Y14)/4</f>
        <v>19.5437425</v>
      </c>
      <c r="Z17" s="22">
        <f>Y17/(Y17+Y18+Y19)</f>
        <v>0.280006871319323</v>
      </c>
      <c r="AA17" s="14"/>
      <c r="AB17" s="14"/>
      <c r="AC17" s="14"/>
      <c r="AE17" s="21" t="str">
        <f>V17</f>
        <v>Positive</v>
      </c>
      <c r="AF17" s="65">
        <f>SUM(AF11:AF14)/4</f>
        <v>45.163000000000004</v>
      </c>
      <c r="AG17" s="22">
        <f>AF17/(AF17+AF18+AF19)</f>
        <v>0.45754641834906717</v>
      </c>
      <c r="AH17" s="65">
        <f>SUM(AH11:AH14)/4</f>
        <v>10.375635000000001</v>
      </c>
      <c r="AI17" s="22">
        <f>AH17/(AH17+AH18+AH19)</f>
        <v>0.20115857338928014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0.38300000000000267</v>
      </c>
      <c r="O18" s="22">
        <f>N18/(N17+N18+N19)</f>
        <v>-0.10233855625147043</v>
      </c>
      <c r="P18" s="18">
        <f>SUM(P7:P10)/4</f>
        <v>-11.957577499999999</v>
      </c>
      <c r="Q18" s="22">
        <f>P18/(P17+P18+P19)</f>
        <v>0.65636114531876055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32.942274999999995</v>
      </c>
      <c r="X18" s="22">
        <f>W18/(W17+W18+W19)</f>
        <v>0.32154676740191895</v>
      </c>
      <c r="Y18" s="18">
        <f>SUM(Y7:Y10)/4</f>
        <v>25.721775000000004</v>
      </c>
      <c r="Z18" s="22">
        <f>Y18/(Y17+Y18+Y19)</f>
        <v>0.36852070387898228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33.325275000000005</v>
      </c>
      <c r="AG18" s="22">
        <f>AF18/(AF17+AF18+AF19)</f>
        <v>0.3376184092453493</v>
      </c>
      <c r="AH18" s="18">
        <f>SUM(AH7:AH10)/4</f>
        <v>13.7641975</v>
      </c>
      <c r="AI18" s="22">
        <f>AH18/(AH17+AH18+AH19)</f>
        <v>0.26685463906048124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-3.8454999999999995</v>
      </c>
      <c r="O19" s="22">
        <f>N19/(N17+N18+N19)</f>
        <v>1.027527201214169</v>
      </c>
      <c r="P19" s="18">
        <f>(P15+P16)/2</f>
        <v>2.9077000000000002</v>
      </c>
      <c r="Q19" s="22">
        <f>P19/(P17+P18+P19)</f>
        <v>-0.15960601570371258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24.064149999999998</v>
      </c>
      <c r="X19" s="22">
        <f>W19/(W17+W18+W19)</f>
        <v>0.23488813819855761</v>
      </c>
      <c r="Y19" s="18">
        <f>(Y15+Y16)/2</f>
        <v>24.531849999999999</v>
      </c>
      <c r="Z19" s="22">
        <f>Y19/(Y17+Y18+Y19)</f>
        <v>0.35147242480169466</v>
      </c>
      <c r="AA19" s="14"/>
      <c r="AB19" s="14"/>
      <c r="AC19" s="14"/>
      <c r="AE19" s="21" t="str">
        <f t="shared" si="14"/>
        <v>Physiological</v>
      </c>
      <c r="AF19" s="18">
        <f>(AF15+AF16)/2</f>
        <v>20.21865</v>
      </c>
      <c r="AG19" s="22">
        <f>AF19/(AF17+AF18+AF19)</f>
        <v>0.20483517240558347</v>
      </c>
      <c r="AH19" s="18">
        <f>(AH15+AH16)/2</f>
        <v>27.439549999999997</v>
      </c>
      <c r="AI19" s="22">
        <f>AH19/(AH17+AH18+AH19)</f>
        <v>0.53198678755023876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1.02/1.32</v>
      </c>
      <c r="D24" s="44" t="str">
        <f>lang!B11</f>
        <v>频率方差</v>
      </c>
      <c r="E24" s="142" t="str">
        <f ca="1">CONCATENATE(ROUND('FH1'!L3,2),"/",ROUND('FH2'!L3,2))</f>
        <v>0.56/0.58</v>
      </c>
      <c r="F24" s="143"/>
      <c r="G24" s="134" t="str">
        <f>lang!B12</f>
        <v>生理变化率</v>
      </c>
      <c r="H24" s="135"/>
      <c r="I24" s="62" t="str">
        <f ca="1">CONCATENATE(info!M7,"-",info!M8)</f>
        <v>28.7-65.4</v>
      </c>
      <c r="J24" s="42" t="str">
        <f>lang!B13</f>
        <v>千卡l/分钟</v>
      </c>
      <c r="K24" s="41" t="str">
        <f ca="1">CONCATENATE(info!M5,"-",info!M6)</f>
        <v>1.1-3.4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5.770900000000001</v>
      </c>
      <c r="F27" s="164"/>
      <c r="G27" s="178" t="str">
        <f>lang!B33</f>
        <v>稳定性</v>
      </c>
      <c r="H27" s="179"/>
      <c r="I27" s="180"/>
      <c r="J27" s="181">
        <f>dM!B19*100</f>
        <v>13.162699999999994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-0.91659436749910184</v>
      </c>
      <c r="C2">
        <f t="array" aca="1" ref="C2" ca="1">CORREL(FT_E02,FT_PH02)</f>
        <v>-0.9986244675413779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1.09409</v>
      </c>
      <c r="G2" s="61">
        <f>IF(FT!B2&lt;&gt;"",FT!B2*100,"")</f>
        <v>65.404799999999994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1.11981</v>
      </c>
      <c r="G3" s="61">
        <f>IF(FT!B3&lt;&gt;"",FT!B3*100,"")</f>
        <v>64.732199999999992</v>
      </c>
      <c r="H3" s="61">
        <f t="shared" ref="H3:H66" si="1">(IF(F3&lt;&gt;"",1,""))</f>
        <v>1</v>
      </c>
      <c r="I3" t="str">
        <f>IF(FT!B3&lt;&gt;"",FT!E3,"")</f>
        <v>1 [0.406721]</v>
      </c>
      <c r="J3">
        <f>IF(FT!B3&lt;&gt;"",FT!C3,"")</f>
        <v>0.406721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0.48823720270270293</v>
      </c>
      <c r="V3">
        <f ca="1">AVERAGE(OFFSET(FT!B2,info!$L$3/2,0,info!$L$3/2,1))</f>
        <v>0.40586352702702705</v>
      </c>
      <c r="W3">
        <f ca="1">AVERAGE(OFFSET(FT!A2,0,0,info!$L$3/2,1))</f>
        <v>0.20628227027027024</v>
      </c>
      <c r="X3">
        <f ca="1">AVERAGE(OFFSET(FT!A2,info!$L$3/2,0,info!$L$3/2,1))</f>
        <v>0.27635095945945953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1.1447699999999998</v>
      </c>
      <c r="G4" s="61">
        <f>IF(FT!B4&lt;&gt;"",FT!B4*100,"")</f>
        <v>64.089500000000001</v>
      </c>
      <c r="H4" s="61">
        <f t="shared" si="1"/>
        <v>1</v>
      </c>
      <c r="I4" t="str">
        <f>IF(FT!B4&lt;&gt;"",FT!E4,"")</f>
        <v>1 [0.815742]</v>
      </c>
      <c r="J4">
        <f>IF(FT!B4&lt;&gt;"",FT!C4,"")</f>
        <v>0.81574199999999997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14.9343</v>
      </c>
      <c r="V4">
        <f>U4*3</f>
        <v>44.802900000000001</v>
      </c>
      <c r="W4">
        <f>U4</f>
        <v>14.9343</v>
      </c>
      <c r="X4">
        <f>V4</f>
        <v>44.802900000000001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1.16926</v>
      </c>
      <c r="G5" s="61">
        <f>IF(FT!B5&lt;&gt;"",FT!B5*100,"")</f>
        <v>63.477600000000002</v>
      </c>
      <c r="H5" s="61">
        <f t="shared" si="1"/>
        <v>1</v>
      </c>
      <c r="I5" t="str">
        <f>IF(FT!B5&lt;&gt;"",FT!E5,"")</f>
        <v>1 [1.219623]</v>
      </c>
      <c r="J5">
        <f>IF(FT!B5&lt;&gt;"",FT!C5,"")</f>
        <v>1.2196199999999999</v>
      </c>
      <c r="K5" t="s">
        <v>53</v>
      </c>
      <c r="L5" s="63">
        <f ca="1">MIN(FT_E)</f>
        <v>1.09409</v>
      </c>
      <c r="M5" s="63">
        <f ca="1">ROUND(L5,1)</f>
        <v>1.1000000000000001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48.823720270270293</v>
      </c>
      <c r="V5">
        <f ca="1">V3*100</f>
        <v>40.586352702702705</v>
      </c>
      <c r="W5">
        <f ca="1">W3*10</f>
        <v>2.0628227027027024</v>
      </c>
      <c r="X5">
        <f ca="1">X3*10</f>
        <v>2.7635095945945953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1.1964299999999999</v>
      </c>
      <c r="G6" s="61">
        <f>IF(FT!B6&lt;&gt;"",FT!B6*100,"")</f>
        <v>62.779600000000002</v>
      </c>
      <c r="H6" s="61">
        <f t="shared" si="1"/>
        <v>1</v>
      </c>
      <c r="I6" t="str">
        <f>IF(FT!B6&lt;&gt;"",FT!E6,"")</f>
        <v>1 [1.626706]</v>
      </c>
      <c r="J6">
        <f>IF(FT!B6&lt;&gt;"",FT!C6,"")</f>
        <v>1.6267100000000001</v>
      </c>
      <c r="K6" t="s">
        <v>54</v>
      </c>
      <c r="L6" s="63">
        <f ca="1">MAX(FT_E)</f>
        <v>3.3531599999999999</v>
      </c>
      <c r="M6" s="63">
        <f ca="1">ROUND(L6,1)</f>
        <v>3.4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1.22394</v>
      </c>
      <c r="G7" s="61">
        <f>IF(FT!B7&lt;&gt;"",FT!B7*100,"")</f>
        <v>61.997199999999999</v>
      </c>
      <c r="H7" s="61">
        <f t="shared" si="1"/>
        <v>1</v>
      </c>
      <c r="I7" t="str">
        <f>IF(FT!B7&lt;&gt;"",FT!E7,"")</f>
        <v>1 [2.029998]</v>
      </c>
      <c r="J7">
        <f>IF(FT!B7&lt;&gt;"",FT!C7,"")</f>
        <v>2.0299999999999998</v>
      </c>
      <c r="K7" t="s">
        <v>55</v>
      </c>
      <c r="L7" s="63">
        <f ca="1">MIN(FT_PH)</f>
        <v>28.728999999999999</v>
      </c>
      <c r="M7" s="63">
        <f ca="1">ROUND(L7,1)</f>
        <v>28.7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60233</v>
      </c>
      <c r="D8" s="61">
        <f>FH!B8*1</f>
        <v>60233</v>
      </c>
      <c r="E8">
        <f t="shared" si="3"/>
        <v>6</v>
      </c>
      <c r="F8" s="61">
        <f>IF(FT!A8&lt;&gt;"",FT!A8*10,"")</f>
        <v>1.2531400000000001</v>
      </c>
      <c r="G8" s="61">
        <f>IF(FT!B8&lt;&gt;"",FT!B8*100,"")</f>
        <v>61.122900000000001</v>
      </c>
      <c r="H8" s="61">
        <f t="shared" si="1"/>
        <v>1</v>
      </c>
      <c r="I8" t="str">
        <f>IF(FT!B8&lt;&gt;"",FT!E8,"")</f>
        <v>1 [2.437111]</v>
      </c>
      <c r="J8">
        <f>IF(FT!B8&lt;&gt;"",FT!C8,"")</f>
        <v>2.4371100000000001</v>
      </c>
      <c r="K8" t="s">
        <v>56</v>
      </c>
      <c r="L8" s="63">
        <f ca="1">MAX(FT_PH)</f>
        <v>65.404799999999994</v>
      </c>
      <c r="M8" s="63">
        <f ca="1">ROUND(L8,1)</f>
        <v>65.400000000000006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1.28223</v>
      </c>
      <c r="G9" s="61">
        <f>IF(FT!B9&lt;&gt;"",FT!B9*100,"")</f>
        <v>60.258599999999994</v>
      </c>
      <c r="H9" s="61">
        <f t="shared" si="1"/>
        <v>1</v>
      </c>
      <c r="I9" t="str">
        <f>IF(FT!B9&lt;&gt;"",FT!E9,"")</f>
        <v>1 [2.844095]</v>
      </c>
      <c r="J9">
        <f>IF(FT!B9&lt;&gt;"",FT!C9,"")</f>
        <v>2.8441000000000001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49948</v>
      </c>
      <c r="D10" s="61">
        <f>FH!B10*1</f>
        <v>49948</v>
      </c>
      <c r="E10">
        <f t="shared" si="3"/>
        <v>8</v>
      </c>
      <c r="F10" s="61">
        <f>IF(FT!A10&lt;&gt;"",FT!A10*10,"")</f>
        <v>1.3110299999999999</v>
      </c>
      <c r="G10" s="61">
        <f>IF(FT!B10&lt;&gt;"",FT!B10*100,"")</f>
        <v>59.407299999999999</v>
      </c>
      <c r="H10" s="61">
        <f t="shared" si="1"/>
        <v>1</v>
      </c>
      <c r="I10" t="str">
        <f>IF(FT!B10&lt;&gt;"",FT!E10,"")</f>
        <v>1 [3.249817]</v>
      </c>
      <c r="J10">
        <f>IF(FT!B10&lt;&gt;"",FT!C10,"")</f>
        <v>3.2498200000000002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1.3414300000000001</v>
      </c>
      <c r="G11" s="61">
        <f>IF(FT!B11&lt;&gt;"",FT!B11*100,"")</f>
        <v>58.482100000000003</v>
      </c>
      <c r="H11" s="61">
        <f t="shared" si="1"/>
        <v>1</v>
      </c>
      <c r="I11" t="str">
        <f>IF(FT!B11&lt;&gt;"",FT!E11,"")</f>
        <v>1 [3.658956]</v>
      </c>
      <c r="J11">
        <f>IF(FT!B11&lt;&gt;"",FT!C11,"")</f>
        <v>3.65896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1.3733799999999998</v>
      </c>
      <c r="G12" s="61">
        <f>IF(FT!B12&lt;&gt;"",FT!B12*100,"")</f>
        <v>57.488399999999999</v>
      </c>
      <c r="H12" s="61">
        <f t="shared" si="1"/>
        <v>1</v>
      </c>
      <c r="I12" t="str">
        <f>IF(FT!B12&lt;&gt;"",FT!E12,"")</f>
        <v>1 [4.061565]</v>
      </c>
      <c r="J12">
        <f>IF(FT!B12&lt;&gt;"",FT!C12,"")</f>
        <v>4.0615699999999997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46816</v>
      </c>
      <c r="D13" s="61">
        <f>FH!B13*1</f>
        <v>46816</v>
      </c>
      <c r="E13">
        <f t="shared" si="3"/>
        <v>11</v>
      </c>
      <c r="F13" s="61">
        <f>IF(FT!A13&lt;&gt;"",FT!A13*10,"")</f>
        <v>1.4083000000000001</v>
      </c>
      <c r="G13" s="61">
        <f>IF(FT!B13&lt;&gt;"",FT!B13*100,"")</f>
        <v>56.5002</v>
      </c>
      <c r="H13" s="61">
        <f t="shared" si="1"/>
        <v>1</v>
      </c>
      <c r="I13" t="str">
        <f>IF(FT!B13&lt;&gt;"",FT!E13,"")</f>
        <v>1 [4.467363]</v>
      </c>
      <c r="J13">
        <f>IF(FT!B13&lt;&gt;"",FT!C13,"")</f>
        <v>4.4673600000000002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1.4441300000000001</v>
      </c>
      <c r="G14" s="61">
        <f>IF(FT!B14&lt;&gt;"",FT!B14*100,"")</f>
        <v>55.476899999999993</v>
      </c>
      <c r="H14" s="61">
        <f t="shared" si="1"/>
        <v>1</v>
      </c>
      <c r="I14" t="str">
        <f>IF(FT!B14&lt;&gt;"",FT!E14,"")</f>
        <v>1 [4.877005]</v>
      </c>
      <c r="J14">
        <f>IF(FT!B14&lt;&gt;"",FT!C14,"")</f>
        <v>4.8769999999999998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39852</v>
      </c>
      <c r="D15" s="61">
        <f>FH!B15*1</f>
        <v>39852</v>
      </c>
      <c r="E15">
        <f t="shared" si="3"/>
        <v>13</v>
      </c>
      <c r="F15" s="61">
        <f>IF(FT!A15&lt;&gt;"",FT!A15*10,"")</f>
        <v>1.48176</v>
      </c>
      <c r="G15" s="61">
        <f>IF(FT!B15&lt;&gt;"",FT!B15*100,"")</f>
        <v>54.362600000000008</v>
      </c>
      <c r="H15" s="61">
        <f t="shared" si="1"/>
        <v>1</v>
      </c>
      <c r="I15" t="str">
        <f>IF(FT!B15&lt;&gt;"",FT!E15,"")</f>
        <v>1 [5.282578]</v>
      </c>
      <c r="J15">
        <f>IF(FT!B15&lt;&gt;"",FT!C15,"")</f>
        <v>5.2825800000000003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1.5216499999999999</v>
      </c>
      <c r="G16" s="61">
        <f>IF(FT!B16&lt;&gt;"",FT!B16*100,"")</f>
        <v>53.224700000000006</v>
      </c>
      <c r="H16" s="61">
        <f t="shared" si="1"/>
        <v>1</v>
      </c>
      <c r="I16" t="str">
        <f>IF(FT!B16&lt;&gt;"",FT!E16,"")</f>
        <v>1 [5.688493]</v>
      </c>
      <c r="J16">
        <f>IF(FT!B16&lt;&gt;"",FT!C16,"")</f>
        <v>5.6884899999999998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1.5603900000000002</v>
      </c>
      <c r="G17" s="61">
        <f>IF(FT!B17&lt;&gt;"",FT!B17*100,"")</f>
        <v>52.250399999999999</v>
      </c>
      <c r="H17" s="61">
        <f t="shared" si="1"/>
        <v>1</v>
      </c>
      <c r="I17" t="str">
        <f>IF(FT!B17&lt;&gt;"",FT!E17,"")</f>
        <v>1 [6.093057]</v>
      </c>
      <c r="J17">
        <f>IF(FT!B17&lt;&gt;"",FT!C17,"")</f>
        <v>6.0930600000000004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42986</v>
      </c>
      <c r="D18" s="61">
        <f>FH!B18*1</f>
        <v>42986</v>
      </c>
      <c r="E18">
        <f t="shared" si="3"/>
        <v>16</v>
      </c>
      <c r="F18" s="61">
        <f>IF(FT!A18&lt;&gt;"",FT!A18*10,"")</f>
        <v>1.5973200000000001</v>
      </c>
      <c r="G18" s="61">
        <f>IF(FT!B18&lt;&gt;"",FT!B18*100,"")</f>
        <v>51.424999999999997</v>
      </c>
      <c r="H18" s="61">
        <f t="shared" si="1"/>
        <v>1</v>
      </c>
      <c r="I18" t="str">
        <f>IF(FT!B18&lt;&gt;"",FT!E18,"")</f>
        <v>1 [6.498765]</v>
      </c>
      <c r="J18">
        <f>IF(FT!B18&lt;&gt;"",FT!C18,"")</f>
        <v>6.4987700000000004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1.6320899999999998</v>
      </c>
      <c r="G19" s="61">
        <f>IF(FT!B19&lt;&gt;"",FT!B19*100,"")</f>
        <v>50.666500000000006</v>
      </c>
      <c r="H19" s="61">
        <f t="shared" si="1"/>
        <v>1</v>
      </c>
      <c r="I19" t="str">
        <f>IF(FT!B19&lt;&gt;"",FT!E19,"")</f>
        <v>1 [6.907971]</v>
      </c>
      <c r="J19">
        <f>IF(FT!B19&lt;&gt;"",FT!C19,"")</f>
        <v>6.9079699999999997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1.66594</v>
      </c>
      <c r="G20" s="61">
        <f>IF(FT!B20&lt;&gt;"",FT!B20*100,"")</f>
        <v>49.979199999999999</v>
      </c>
      <c r="H20" s="61">
        <f t="shared" si="1"/>
        <v>1</v>
      </c>
      <c r="I20" t="str">
        <f>IF(FT!B20&lt;&gt;"",FT!E20,"")</f>
        <v>1 [7.315242]</v>
      </c>
      <c r="J20">
        <f>IF(FT!B20&lt;&gt;"",FT!C20,"")</f>
        <v>7.3152400000000002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52262</v>
      </c>
      <c r="D21" s="61">
        <f>FH!B21*1</f>
        <v>52262</v>
      </c>
      <c r="E21">
        <f t="shared" si="3"/>
        <v>19</v>
      </c>
      <c r="F21" s="61">
        <f>IF(FT!A21&lt;&gt;"",FT!A21*10,"")</f>
        <v>1.6994699999999998</v>
      </c>
      <c r="G21" s="61">
        <f>IF(FT!B21&lt;&gt;"",FT!B21*100,"")</f>
        <v>49.378799999999998</v>
      </c>
      <c r="H21" s="61">
        <f t="shared" si="1"/>
        <v>1</v>
      </c>
      <c r="I21" t="str">
        <f>IF(FT!B21&lt;&gt;"",FT!E21,"")</f>
        <v>1 [7.720885]</v>
      </c>
      <c r="J21">
        <f>IF(FT!B21&lt;&gt;"",FT!C21,"")</f>
        <v>7.7208899999999998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1.7325499999999998</v>
      </c>
      <c r="G22" s="61">
        <f>IF(FT!B22&lt;&gt;"",FT!B22*100,"")</f>
        <v>48.855199999999996</v>
      </c>
      <c r="H22" s="61">
        <f t="shared" si="1"/>
        <v>1</v>
      </c>
      <c r="I22" t="str">
        <f>IF(FT!B22&lt;&gt;"",FT!E22,"")</f>
        <v>1 [8.126103]</v>
      </c>
      <c r="J22">
        <f>IF(FT!B22&lt;&gt;"",FT!C22,"")</f>
        <v>8.1260999999999992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60415</v>
      </c>
      <c r="D23" s="61">
        <f>FH!B23*1</f>
        <v>60415</v>
      </c>
      <c r="E23">
        <f t="shared" si="3"/>
        <v>21</v>
      </c>
      <c r="F23" s="61">
        <f>IF(FT!A23&lt;&gt;"",FT!A23*10,"")</f>
        <v>1.7649999999999999</v>
      </c>
      <c r="G23" s="61">
        <f>IF(FT!B23&lt;&gt;"",FT!B23*100,"")</f>
        <v>48.354900000000001</v>
      </c>
      <c r="H23" s="61">
        <f t="shared" si="1"/>
        <v>1</v>
      </c>
      <c r="I23" t="str">
        <f>IF(FT!B23&lt;&gt;"",FT!E23,"")</f>
        <v>1 [8.531152]</v>
      </c>
      <c r="J23">
        <f>IF(FT!B23&lt;&gt;"",FT!C23,"")</f>
        <v>8.5311500000000002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1.7961</v>
      </c>
      <c r="G24" s="61">
        <f>IF(FT!B24&lt;&gt;"",FT!B24*100,"")</f>
        <v>47.839300000000001</v>
      </c>
      <c r="H24" s="61">
        <f t="shared" si="1"/>
        <v>1</v>
      </c>
      <c r="I24" t="str">
        <f>IF(FT!B24&lt;&gt;"",FT!E24,"")</f>
        <v>1 [8.938078]</v>
      </c>
      <c r="J24">
        <f>IF(FT!B24&lt;&gt;"",FT!C24,"")</f>
        <v>8.9380799999999994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1.8273600000000001</v>
      </c>
      <c r="G25" s="61">
        <f>IF(FT!B25&lt;&gt;"",FT!B25*100,"")</f>
        <v>47.344700000000003</v>
      </c>
      <c r="H25" s="61">
        <f t="shared" si="1"/>
        <v>1</v>
      </c>
      <c r="I25" t="str">
        <f>IF(FT!B25&lt;&gt;"",FT!E25,"")</f>
        <v>1 [9.346098]</v>
      </c>
      <c r="J25">
        <f>IF(FT!B25&lt;&gt;"",FT!C25,"")</f>
        <v>9.3460999999999999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65084</v>
      </c>
      <c r="D26" s="61">
        <f>FH!B26*1</f>
        <v>65084</v>
      </c>
      <c r="E26">
        <f t="shared" si="3"/>
        <v>24</v>
      </c>
      <c r="F26" s="61">
        <f>IF(FT!A26&lt;&gt;"",FT!A26*10,"")</f>
        <v>1.8573200000000001</v>
      </c>
      <c r="G26" s="61">
        <f>IF(FT!B26&lt;&gt;"",FT!B26*100,"")</f>
        <v>46.942499999999995</v>
      </c>
      <c r="H26" s="61">
        <f t="shared" si="1"/>
        <v>1</v>
      </c>
      <c r="I26" t="str">
        <f>IF(FT!B26&lt;&gt;"",FT!E26,"")</f>
        <v>1 [9.753033]</v>
      </c>
      <c r="J26">
        <f>IF(FT!B26&lt;&gt;"",FT!C26,"")</f>
        <v>9.7530300000000008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1.89059</v>
      </c>
      <c r="G27" s="61">
        <f>IF(FT!B27&lt;&gt;"",FT!B27*100,"")</f>
        <v>46.5715</v>
      </c>
      <c r="H27" s="61">
        <f t="shared" si="1"/>
        <v>1</v>
      </c>
      <c r="I27" t="str">
        <f>IF(FT!B27&lt;&gt;"",FT!E27,"")</f>
        <v>1 [10.157240]</v>
      </c>
      <c r="J27">
        <f>IF(FT!B27&lt;&gt;"",FT!C27,"")</f>
        <v>10.1572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67462</v>
      </c>
      <c r="D28" s="61">
        <f>FH!B28*1</f>
        <v>67462</v>
      </c>
      <c r="E28">
        <f t="shared" si="3"/>
        <v>26</v>
      </c>
      <c r="F28" s="61">
        <f>IF(FT!A28&lt;&gt;"",FT!A28*10,"")</f>
        <v>1.9369100000000001</v>
      </c>
      <c r="G28" s="61">
        <f>IF(FT!B28&lt;&gt;"",FT!B28*100,"")</f>
        <v>46.455500000000001</v>
      </c>
      <c r="H28" s="61">
        <f t="shared" si="1"/>
        <v>1</v>
      </c>
      <c r="I28" t="str">
        <f>IF(FT!B28&lt;&gt;"",FT!E28,"")</f>
        <v>1 [10.561956]</v>
      </c>
      <c r="J28">
        <f>IF(FT!B28&lt;&gt;"",FT!C28,"")</f>
        <v>10.561999999999999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1.98078</v>
      </c>
      <c r="G29" s="61">
        <f>IF(FT!B29&lt;&gt;"",FT!B29*100,"")</f>
        <v>46.345599999999997</v>
      </c>
      <c r="H29" s="61">
        <f t="shared" si="1"/>
        <v>1</v>
      </c>
      <c r="I29" t="str">
        <f>IF(FT!B29&lt;&gt;"",FT!E29,"")</f>
        <v>1 [10.969784]</v>
      </c>
      <c r="J29">
        <f>IF(FT!B29&lt;&gt;"",FT!C29,"")</f>
        <v>10.969799999999999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2.0230999999999999</v>
      </c>
      <c r="G30" s="61">
        <f>IF(FT!B30&lt;&gt;"",FT!B30*100,"")</f>
        <v>46.207799999999999</v>
      </c>
      <c r="H30" s="61">
        <f t="shared" si="1"/>
        <v>1</v>
      </c>
      <c r="I30" t="str">
        <f>IF(FT!B30&lt;&gt;"",FT!E30,"")</f>
        <v>1 [11.377293]</v>
      </c>
      <c r="J30">
        <f>IF(FT!B30&lt;&gt;"",FT!C30,"")</f>
        <v>11.3773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80720</v>
      </c>
      <c r="D31" s="61">
        <f>FH!B31*1</f>
        <v>80720</v>
      </c>
      <c r="E31">
        <f t="shared" si="3"/>
        <v>29</v>
      </c>
      <c r="F31" s="61">
        <f>IF(FT!A31&lt;&gt;"",FT!A31*10,"")</f>
        <v>2.0603500000000001</v>
      </c>
      <c r="G31" s="61">
        <f>IF(FT!B31&lt;&gt;"",FT!B31*100,"")</f>
        <v>46.111000000000004</v>
      </c>
      <c r="H31" s="61">
        <f t="shared" si="1"/>
        <v>1</v>
      </c>
      <c r="I31" t="str">
        <f>IF(FT!B31&lt;&gt;"",FT!E31,"")</f>
        <v>1 [11.783138]</v>
      </c>
      <c r="J31">
        <f>IF(FT!B31&lt;&gt;"",FT!C31,"")</f>
        <v>11.783099999999999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2.0937399999999999</v>
      </c>
      <c r="G32" s="61">
        <f>IF(FT!B32&lt;&gt;"",FT!B32*100,"")</f>
        <v>46.091000000000001</v>
      </c>
      <c r="H32" s="61">
        <f t="shared" si="1"/>
        <v>1</v>
      </c>
      <c r="I32" t="str">
        <f>IF(FT!B32&lt;&gt;"",FT!E32,"")</f>
        <v>1 [12.189607]</v>
      </c>
      <c r="J32">
        <f>IF(FT!B32&lt;&gt;"",FT!C32,"")</f>
        <v>12.1896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84913</v>
      </c>
      <c r="D33" s="61">
        <f>FH!B33*1</f>
        <v>84913</v>
      </c>
      <c r="E33">
        <f t="shared" si="3"/>
        <v>31</v>
      </c>
      <c r="F33" s="61">
        <f>IF(FT!A33&lt;&gt;"",FT!A33*10,"")</f>
        <v>2.1236899999999999</v>
      </c>
      <c r="G33" s="61">
        <f>IF(FT!B33&lt;&gt;"",FT!B33*100,"")</f>
        <v>46.087299999999999</v>
      </c>
      <c r="H33" s="61">
        <f t="shared" si="1"/>
        <v>1</v>
      </c>
      <c r="I33" t="str">
        <f>IF(FT!B33&lt;&gt;"",FT!E33,"")</f>
        <v>1 [12.592938]</v>
      </c>
      <c r="J33">
        <f>IF(FT!B33&lt;&gt;"",FT!C33,"")</f>
        <v>12.5929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2.1498500000000003</v>
      </c>
      <c r="G34" s="61">
        <f>IF(FT!B34&lt;&gt;"",FT!B34*100,"")</f>
        <v>46.125699999999995</v>
      </c>
      <c r="H34" s="61">
        <f t="shared" si="1"/>
        <v>1</v>
      </c>
      <c r="I34" t="str">
        <f>IF(FT!B34&lt;&gt;"",FT!E34,"")</f>
        <v>1 [12.999784]</v>
      </c>
      <c r="J34">
        <f>IF(FT!B34&lt;&gt;"",FT!C34,"")</f>
        <v>12.9998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2.1742500000000002</v>
      </c>
      <c r="G35" s="61">
        <f>IF(FT!B35&lt;&gt;"",FT!B35*100,"")</f>
        <v>46.148099999999999</v>
      </c>
      <c r="H35" s="61">
        <f t="shared" si="1"/>
        <v>1</v>
      </c>
      <c r="I35" t="str">
        <f>IF(FT!B35&lt;&gt;"",FT!E35,"")</f>
        <v>1 [13.407743]</v>
      </c>
      <c r="J35">
        <f>IF(FT!B35&lt;&gt;"",FT!C35,"")</f>
        <v>13.4077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97543</v>
      </c>
      <c r="D36" s="61">
        <f>FH!B36*1</f>
        <v>97543</v>
      </c>
      <c r="E36">
        <f t="shared" si="3"/>
        <v>34</v>
      </c>
      <c r="F36" s="61">
        <f>IF(FT!A36&lt;&gt;"",FT!A36*10,"")</f>
        <v>2.1981800000000002</v>
      </c>
      <c r="G36" s="61">
        <f>IF(FT!B36&lt;&gt;"",FT!B36*100,"")</f>
        <v>46.061600000000006</v>
      </c>
      <c r="H36" s="61">
        <f t="shared" si="1"/>
        <v>1</v>
      </c>
      <c r="I36" t="str">
        <f>IF(FT!B36&lt;&gt;"",FT!E36,"")</f>
        <v>1 [13.815035]</v>
      </c>
      <c r="J36">
        <f>IF(FT!B36&lt;&gt;"",FT!C36,"")</f>
        <v>13.815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2.2248399999999999</v>
      </c>
      <c r="G37" s="61">
        <f>IF(FT!B37&lt;&gt;"",FT!B37*100,"")</f>
        <v>45.869100000000003</v>
      </c>
      <c r="H37" s="61">
        <f t="shared" si="1"/>
        <v>1</v>
      </c>
      <c r="I37" t="str">
        <f>IF(FT!B37&lt;&gt;"",FT!E37,"")</f>
        <v>1 [14.221289]</v>
      </c>
      <c r="J37">
        <f>IF(FT!B37&lt;&gt;"",FT!C37,"")</f>
        <v>14.221299999999999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2.2493499999999997</v>
      </c>
      <c r="G38" s="61">
        <f>IF(FT!B38&lt;&gt;"",FT!B38*100,"")</f>
        <v>45.659599999999998</v>
      </c>
      <c r="H38" s="61">
        <f t="shared" si="1"/>
        <v>1</v>
      </c>
      <c r="I38" t="str">
        <f>IF(FT!B38&lt;&gt;"",FT!E38,"")</f>
        <v>1 [14.624070]</v>
      </c>
      <c r="J38">
        <f>IF(FT!B38&lt;&gt;"",FT!C38,"")</f>
        <v>14.6241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99645</v>
      </c>
      <c r="D39" s="61">
        <f>FH!B39*1</f>
        <v>99645</v>
      </c>
      <c r="E39">
        <f t="shared" si="3"/>
        <v>37</v>
      </c>
      <c r="F39" s="61">
        <f>IF(FT!A39&lt;&gt;"",FT!A39*10,"")</f>
        <v>2.27217</v>
      </c>
      <c r="G39" s="61">
        <f>IF(FT!B39&lt;&gt;"",FT!B39*100,"")</f>
        <v>45.428100000000001</v>
      </c>
      <c r="H39" s="61">
        <f t="shared" si="1"/>
        <v>1</v>
      </c>
      <c r="I39" t="str">
        <f>IF(FT!B39&lt;&gt;"",FT!E39,"")</f>
        <v>1 [15.028640]</v>
      </c>
      <c r="J39">
        <f>IF(FT!B39&lt;&gt;"",FT!C39,"")</f>
        <v>15.028600000000001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2.2923499999999999</v>
      </c>
      <c r="G40" s="61">
        <f>IF(FT!B40&lt;&gt;"",FT!B40*100,"")</f>
        <v>45.177499999999995</v>
      </c>
      <c r="H40" s="61">
        <f t="shared" si="1"/>
        <v>1</v>
      </c>
      <c r="I40" t="str">
        <f>IF(FT!B40&lt;&gt;"",FT!E40,"")</f>
        <v>1 [15.437719]</v>
      </c>
      <c r="J40">
        <f>IF(FT!B40&lt;&gt;"",FT!C40,"")</f>
        <v>15.4377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97837</v>
      </c>
      <c r="D41" s="61">
        <f>FH!B41*1</f>
        <v>97837</v>
      </c>
      <c r="E41">
        <f t="shared" si="3"/>
        <v>39</v>
      </c>
      <c r="F41" s="61">
        <f>IF(FT!A41&lt;&gt;"",FT!A41*10,"")</f>
        <v>2.3075600000000001</v>
      </c>
      <c r="G41" s="61">
        <f>IF(FT!B41&lt;&gt;"",FT!B41*100,"")</f>
        <v>45.076599999999999</v>
      </c>
      <c r="H41" s="61">
        <f t="shared" si="1"/>
        <v>1</v>
      </c>
      <c r="I41" t="str">
        <f>IF(FT!B41&lt;&gt;"",FT!E41,"")</f>
        <v>1 [15.842596]</v>
      </c>
      <c r="J41">
        <f>IF(FT!B41&lt;&gt;"",FT!C41,"")</f>
        <v>15.842599999999999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2.32219</v>
      </c>
      <c r="G42" s="61">
        <f>IF(FT!B42&lt;&gt;"",FT!B42*100,"")</f>
        <v>44.988900000000001</v>
      </c>
      <c r="H42" s="61">
        <f t="shared" si="1"/>
        <v>1</v>
      </c>
      <c r="I42" t="str">
        <f>IF(FT!B42&lt;&gt;"",FT!E42,"")</f>
        <v>1 [16.250071]</v>
      </c>
      <c r="J42">
        <f>IF(FT!B42&lt;&gt;"",FT!C42,"")</f>
        <v>16.2501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2.3356399999999997</v>
      </c>
      <c r="G43" s="61">
        <f>IF(FT!B43&lt;&gt;"",FT!B43*100,"")</f>
        <v>44.934800000000003</v>
      </c>
      <c r="H43" s="61">
        <f t="shared" si="1"/>
        <v>1</v>
      </c>
      <c r="I43" t="str">
        <f>IF(FT!B43&lt;&gt;"",FT!E43,"")</f>
        <v>1 [16.656786]</v>
      </c>
      <c r="J43">
        <f>IF(FT!B43&lt;&gt;"",FT!C43,"")</f>
        <v>16.6568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111891</v>
      </c>
      <c r="D44" s="61">
        <f>FH!B44*1</f>
        <v>111891</v>
      </c>
      <c r="E44">
        <f t="shared" si="3"/>
        <v>42</v>
      </c>
      <c r="F44" s="61">
        <f>IF(FT!A44&lt;&gt;"",FT!A44*10,"")</f>
        <v>2.3459500000000002</v>
      </c>
      <c r="G44" s="61">
        <f>IF(FT!B44&lt;&gt;"",FT!B44*100,"")</f>
        <v>44.981000000000002</v>
      </c>
      <c r="H44" s="61">
        <f t="shared" si="1"/>
        <v>1</v>
      </c>
      <c r="I44" t="str">
        <f>IF(FT!B44&lt;&gt;"",FT!E44,"")</f>
        <v>1 [17.061927]</v>
      </c>
      <c r="J44">
        <f>IF(FT!B44&lt;&gt;"",FT!C44,"")</f>
        <v>17.061900000000001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2.3591100000000003</v>
      </c>
      <c r="G45" s="61">
        <f>IF(FT!B45&lt;&gt;"",FT!B45*100,"")</f>
        <v>44.973800000000004</v>
      </c>
      <c r="H45" s="61">
        <f t="shared" si="1"/>
        <v>1</v>
      </c>
      <c r="I45" t="str">
        <f>IF(FT!B45&lt;&gt;"",FT!E45,"")</f>
        <v>1 [17.468951]</v>
      </c>
      <c r="J45">
        <f>IF(FT!B45&lt;&gt;"",FT!C45,"")</f>
        <v>17.469000000000001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108132</v>
      </c>
      <c r="D46" s="61">
        <f>FH!B46*1</f>
        <v>108132</v>
      </c>
      <c r="E46">
        <f t="shared" si="3"/>
        <v>44</v>
      </c>
      <c r="F46" s="61">
        <f>IF(FT!A46&lt;&gt;"",FT!A46*10,"")</f>
        <v>2.3737500000000002</v>
      </c>
      <c r="G46" s="61">
        <f>IF(FT!B46&lt;&gt;"",FT!B46*100,"")</f>
        <v>44.869399999999999</v>
      </c>
      <c r="H46" s="61">
        <f t="shared" si="1"/>
        <v>1</v>
      </c>
      <c r="I46" t="str">
        <f>IF(FT!B46&lt;&gt;"",FT!E46,"")</f>
        <v>1 [17.875402]</v>
      </c>
      <c r="J46">
        <f>IF(FT!B46&lt;&gt;"",FT!C46,"")</f>
        <v>17.875399999999999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2.3885899999999998</v>
      </c>
      <c r="G47" s="61">
        <f>IF(FT!B47&lt;&gt;"",FT!B47*100,"")</f>
        <v>44.783799999999999</v>
      </c>
      <c r="H47" s="61">
        <f t="shared" si="1"/>
        <v>1</v>
      </c>
      <c r="I47" t="str">
        <f>IF(FT!B47&lt;&gt;"",FT!E47,"")</f>
        <v>1 [18.280848]</v>
      </c>
      <c r="J47">
        <f>IF(FT!B47&lt;&gt;"",FT!C47,"")</f>
        <v>18.280799999999999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2.40239</v>
      </c>
      <c r="G48" s="61">
        <f>IF(FT!B48&lt;&gt;"",FT!B48*100,"")</f>
        <v>44.737100000000005</v>
      </c>
      <c r="H48" s="61">
        <f t="shared" si="1"/>
        <v>1</v>
      </c>
      <c r="I48" t="str">
        <f>IF(FT!B48&lt;&gt;"",FT!E48,"")</f>
        <v>1 [18.688081]</v>
      </c>
      <c r="J48">
        <f>IF(FT!B48&lt;&gt;"",FT!C48,"")</f>
        <v>18.688099999999999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111093</v>
      </c>
      <c r="D49" s="61">
        <f>FH!B49*1</f>
        <v>111093</v>
      </c>
      <c r="E49">
        <f t="shared" si="3"/>
        <v>47</v>
      </c>
      <c r="F49" s="61">
        <f>IF(FT!A49&lt;&gt;"",FT!A49*10,"")</f>
        <v>2.4175599999999999</v>
      </c>
      <c r="G49" s="61">
        <f>IF(FT!B49&lt;&gt;"",FT!B49*100,"")</f>
        <v>44.708500000000001</v>
      </c>
      <c r="H49" s="61">
        <f t="shared" si="1"/>
        <v>1</v>
      </c>
      <c r="I49" t="str">
        <f>IF(FT!B49&lt;&gt;"",FT!E49,"")</f>
        <v>1 [19.095943]</v>
      </c>
      <c r="J49">
        <f>IF(FT!B49&lt;&gt;"",FT!C49,"")</f>
        <v>19.0959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2.4316599999999999</v>
      </c>
      <c r="G50" s="61">
        <f>IF(FT!B50&lt;&gt;"",FT!B50*100,"")</f>
        <v>44.699399999999997</v>
      </c>
      <c r="H50" s="61">
        <f t="shared" si="1"/>
        <v>1</v>
      </c>
      <c r="I50" t="str">
        <f>IF(FT!B50&lt;&gt;"",FT!E50,"")</f>
        <v>1 [19.502130]</v>
      </c>
      <c r="J50">
        <f>IF(FT!B50&lt;&gt;"",FT!C50,"")</f>
        <v>19.502099999999999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105540</v>
      </c>
      <c r="D51" s="61">
        <f>FH!B51*1</f>
        <v>105540</v>
      </c>
      <c r="E51">
        <f t="shared" si="3"/>
        <v>49</v>
      </c>
      <c r="F51" s="61">
        <f>IF(FT!A51&lt;&gt;"",FT!A51*10,"")</f>
        <v>2.44496</v>
      </c>
      <c r="G51" s="61">
        <f>IF(FT!B51&lt;&gt;"",FT!B51*100,"")</f>
        <v>44.715600000000002</v>
      </c>
      <c r="H51" s="61">
        <f t="shared" si="1"/>
        <v>1</v>
      </c>
      <c r="I51" t="str">
        <f>IF(FT!B51&lt;&gt;"",FT!E51,"")</f>
        <v>1 [19.905357]</v>
      </c>
      <c r="J51">
        <f>IF(FT!B51&lt;&gt;"",FT!C51,"")</f>
        <v>19.9054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2.45845</v>
      </c>
      <c r="G52" s="61">
        <f>IF(FT!B52&lt;&gt;"",FT!B52*100,"")</f>
        <v>44.7241</v>
      </c>
      <c r="H52" s="61">
        <f t="shared" si="1"/>
        <v>1</v>
      </c>
      <c r="I52" t="str">
        <f>IF(FT!B52&lt;&gt;"",FT!E52,"")</f>
        <v>1 [20.315112]</v>
      </c>
      <c r="J52">
        <f>IF(FT!B52&lt;&gt;"",FT!C52,"")</f>
        <v>20.315100000000001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2.47207</v>
      </c>
      <c r="G53" s="61">
        <f>IF(FT!B53&lt;&gt;"",FT!B53*100,"")</f>
        <v>44.542300000000004</v>
      </c>
      <c r="H53" s="61">
        <f t="shared" si="1"/>
        <v>1</v>
      </c>
      <c r="I53" t="str">
        <f>IF(FT!B53&lt;&gt;"",FT!E53,"")</f>
        <v>1 [20.721113]</v>
      </c>
      <c r="J53">
        <f>IF(FT!B53&lt;&gt;"",FT!C53,"")</f>
        <v>20.7211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106014</v>
      </c>
      <c r="D54" s="61">
        <f>FH!B54*1</f>
        <v>106014</v>
      </c>
      <c r="E54">
        <f t="shared" si="3"/>
        <v>52</v>
      </c>
      <c r="F54" s="61">
        <f>IF(FT!A54&lt;&gt;"",FT!A54*10,"")</f>
        <v>2.4845700000000002</v>
      </c>
      <c r="G54" s="61">
        <f>IF(FT!B54&lt;&gt;"",FT!B54*100,"")</f>
        <v>44.414900000000003</v>
      </c>
      <c r="H54" s="61">
        <f t="shared" si="1"/>
        <v>1</v>
      </c>
      <c r="I54" t="str">
        <f>IF(FT!B54&lt;&gt;"",FT!E54,"")</f>
        <v>1 [21.127878]</v>
      </c>
      <c r="J54">
        <f>IF(FT!B54&lt;&gt;"",FT!C54,"")</f>
        <v>21.1279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2.49566</v>
      </c>
      <c r="G55" s="61">
        <f>IF(FT!B55&lt;&gt;"",FT!B55*100,"")</f>
        <v>44.363100000000003</v>
      </c>
      <c r="H55" s="61">
        <f t="shared" si="1"/>
        <v>1</v>
      </c>
      <c r="I55" t="str">
        <f>IF(FT!B55&lt;&gt;"",FT!E55,"")</f>
        <v>1 [21.534669]</v>
      </c>
      <c r="J55">
        <f>IF(FT!B55&lt;&gt;"",FT!C55,"")</f>
        <v>21.534700000000001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2.5049600000000001</v>
      </c>
      <c r="G56" s="61">
        <f>IF(FT!B56&lt;&gt;"",FT!B56*100,"")</f>
        <v>44.332100000000004</v>
      </c>
      <c r="H56" s="61">
        <f t="shared" si="1"/>
        <v>1</v>
      </c>
      <c r="I56" t="str">
        <f>IF(FT!B56&lt;&gt;"",FT!E56,"")</f>
        <v>1 [21.937917]</v>
      </c>
      <c r="J56">
        <f>IF(FT!B56&lt;&gt;"",FT!C56,"")</f>
        <v>21.937899999999999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98198</v>
      </c>
      <c r="D57" s="61">
        <f>FH!B57*1</f>
        <v>98198</v>
      </c>
      <c r="E57">
        <f t="shared" si="3"/>
        <v>55</v>
      </c>
      <c r="F57" s="61">
        <f>IF(FT!A57&lt;&gt;"",FT!A57*10,"")</f>
        <v>2.5125799999999998</v>
      </c>
      <c r="G57" s="61">
        <f>IF(FT!B57&lt;&gt;"",FT!B57*100,"")</f>
        <v>44.337600000000002</v>
      </c>
      <c r="H57" s="61">
        <f t="shared" si="1"/>
        <v>1</v>
      </c>
      <c r="I57" t="str">
        <f>IF(FT!B57&lt;&gt;"",FT!E57,"")</f>
        <v>1 [22.341868]</v>
      </c>
      <c r="J57">
        <f>IF(FT!B57&lt;&gt;"",FT!C57,"")</f>
        <v>22.341899999999999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2.51898</v>
      </c>
      <c r="G58" s="61">
        <f>IF(FT!B58&lt;&gt;"",FT!B58*100,"")</f>
        <v>44.375599999999999</v>
      </c>
      <c r="H58" s="61">
        <f t="shared" si="1"/>
        <v>1</v>
      </c>
      <c r="I58" t="str">
        <f>IF(FT!B58&lt;&gt;"",FT!E58,"")</f>
        <v>1 [22.751252]</v>
      </c>
      <c r="J58">
        <f>IF(FT!B58&lt;&gt;"",FT!C58,"")</f>
        <v>22.751300000000001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104031</v>
      </c>
      <c r="D59" s="61">
        <f>FH!B59*1</f>
        <v>104031</v>
      </c>
      <c r="E59">
        <f t="shared" si="3"/>
        <v>57</v>
      </c>
      <c r="F59" s="61">
        <f>IF(FT!A59&lt;&gt;"",FT!A59*10,"")</f>
        <v>2.5250699999999999</v>
      </c>
      <c r="G59" s="61">
        <f>IF(FT!B59&lt;&gt;"",FT!B59*100,"")</f>
        <v>44.415199999999999</v>
      </c>
      <c r="H59" s="61">
        <f t="shared" si="1"/>
        <v>1</v>
      </c>
      <c r="I59" t="str">
        <f>IF(FT!B59&lt;&gt;"",FT!E59,"")</f>
        <v>1 [23.157114]</v>
      </c>
      <c r="J59">
        <f>IF(FT!B59&lt;&gt;"",FT!C59,"")</f>
        <v>23.1571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2.5303900000000001</v>
      </c>
      <c r="G60" s="61">
        <f>IF(FT!B60&lt;&gt;"",FT!B60*100,"")</f>
        <v>44.447199999999995</v>
      </c>
      <c r="H60" s="61">
        <f t="shared" si="1"/>
        <v>1</v>
      </c>
      <c r="I60" t="str">
        <f>IF(FT!B60&lt;&gt;"",FT!E60,"")</f>
        <v>1 [23.561728]</v>
      </c>
      <c r="J60">
        <f>IF(FT!B60&lt;&gt;"",FT!C60,"")</f>
        <v>23.561699999999998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2.53423</v>
      </c>
      <c r="G61" s="61">
        <f>IF(FT!B61&lt;&gt;"",FT!B61*100,"")</f>
        <v>44.507300000000001</v>
      </c>
      <c r="H61" s="61">
        <f t="shared" si="1"/>
        <v>1</v>
      </c>
      <c r="I61" t="str">
        <f>IF(FT!B61&lt;&gt;"",FT!E61,"")</f>
        <v>1 [23.969013]</v>
      </c>
      <c r="J61">
        <f>IF(FT!B61&lt;&gt;"",FT!C61,"")</f>
        <v>23.969000000000001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104440</v>
      </c>
      <c r="D62" s="61">
        <f>FH!B62*1</f>
        <v>104440</v>
      </c>
      <c r="E62">
        <f t="shared" si="3"/>
        <v>60</v>
      </c>
      <c r="F62" s="61">
        <f>IF(FT!A62&lt;&gt;"",FT!A62*10,"")</f>
        <v>2.5350099999999998</v>
      </c>
      <c r="G62" s="61">
        <f>IF(FT!B62&lt;&gt;"",FT!B62*100,"")</f>
        <v>44.593199999999996</v>
      </c>
      <c r="H62" s="61">
        <f t="shared" si="1"/>
        <v>1</v>
      </c>
      <c r="I62" t="str">
        <f>IF(FT!B62&lt;&gt;"",FT!E62,"")</f>
        <v>1 [24.374472]</v>
      </c>
      <c r="J62">
        <f>IF(FT!B62&lt;&gt;"",FT!C62,"")</f>
        <v>24.374500000000001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2.5343999999999998</v>
      </c>
      <c r="G63" s="61">
        <f>IF(FT!B63&lt;&gt;"",FT!B63*100,"")</f>
        <v>44.711500000000001</v>
      </c>
      <c r="H63" s="61">
        <f t="shared" si="1"/>
        <v>1</v>
      </c>
      <c r="I63" t="str">
        <f>IF(FT!B63&lt;&gt;"",FT!E63,"")</f>
        <v>1 [24.782472]</v>
      </c>
      <c r="J63">
        <f>IF(FT!B63&lt;&gt;"",FT!C63,"")</f>
        <v>24.782499999999999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90549</v>
      </c>
      <c r="D64" s="61">
        <f>FH!B64*1</f>
        <v>90549</v>
      </c>
      <c r="E64">
        <f t="shared" si="3"/>
        <v>62</v>
      </c>
      <c r="F64" s="61">
        <f>IF(FT!A64&lt;&gt;"",FT!A64*10,"")</f>
        <v>2.5333299999999999</v>
      </c>
      <c r="G64" s="61">
        <f>IF(FT!B64&lt;&gt;"",FT!B64*100,"")</f>
        <v>44.871600000000001</v>
      </c>
      <c r="H64" s="61">
        <f t="shared" si="1"/>
        <v>1</v>
      </c>
      <c r="I64" t="str">
        <f>IF(FT!B64&lt;&gt;"",FT!E64,"")</f>
        <v>1 [25.188181]</v>
      </c>
      <c r="J64">
        <f>IF(FT!B64&lt;&gt;"",FT!C64,"")</f>
        <v>25.188199999999998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2.5324400000000002</v>
      </c>
      <c r="G65" s="61">
        <f>IF(FT!B65&lt;&gt;"",FT!B65*100,"")</f>
        <v>45.100499999999997</v>
      </c>
      <c r="H65" s="61">
        <f t="shared" si="1"/>
        <v>1</v>
      </c>
      <c r="I65" t="str">
        <f>IF(FT!B65&lt;&gt;"",FT!E65,"")</f>
        <v>1 [25.596077]</v>
      </c>
      <c r="J65">
        <f>IF(FT!B65&lt;&gt;"",FT!C65,"")</f>
        <v>25.5961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2.53396</v>
      </c>
      <c r="G66" s="61">
        <f>IF(FT!B66&lt;&gt;"",FT!B66*100,"")</f>
        <v>45.230800000000002</v>
      </c>
      <c r="H66" s="61">
        <f t="shared" si="1"/>
        <v>1</v>
      </c>
      <c r="I66" t="str">
        <f>IF(FT!B66&lt;&gt;"",FT!E66,"")</f>
        <v>1 [26.000866]</v>
      </c>
      <c r="J66">
        <f>IF(FT!B66&lt;&gt;"",FT!C66,"")</f>
        <v>26.000900000000001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108723</v>
      </c>
      <c r="D67" s="61">
        <f>FH!B67*1</f>
        <v>108723</v>
      </c>
      <c r="E67">
        <f t="shared" si="3"/>
        <v>65</v>
      </c>
      <c r="F67" s="61">
        <f>IF(FT!A67&lt;&gt;"",FT!A67*10,"")</f>
        <v>2.5345200000000001</v>
      </c>
      <c r="G67" s="61">
        <f>IF(FT!B67&lt;&gt;"",FT!B67*100,"")</f>
        <v>45.370899999999999</v>
      </c>
      <c r="H67" s="61">
        <f t="shared" ref="H67:H130" si="9">(IF(F67&lt;&gt;"",1,""))</f>
        <v>1</v>
      </c>
      <c r="I67" t="str">
        <f>IF(FT!B67&lt;&gt;"",FT!E67,"")</f>
        <v>1 [26.404588]</v>
      </c>
      <c r="J67">
        <f>IF(FT!B67&lt;&gt;"",FT!C67,"")</f>
        <v>26.404599999999999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2.5346800000000003</v>
      </c>
      <c r="G68" s="61">
        <f>IF(FT!B68&lt;&gt;"",FT!B68*100,"")</f>
        <v>45.521799999999999</v>
      </c>
      <c r="H68" s="61">
        <f t="shared" si="9"/>
        <v>1</v>
      </c>
      <c r="I68" t="str">
        <f>IF(FT!B68&lt;&gt;"",FT!E68,"")</f>
        <v>1 [26.811934]</v>
      </c>
      <c r="J68">
        <f>IF(FT!B68&lt;&gt;"",FT!C68,"")</f>
        <v>26.811900000000001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111167</v>
      </c>
      <c r="D69" s="61">
        <f>FH!B69*1</f>
        <v>111167</v>
      </c>
      <c r="E69">
        <f t="shared" si="11"/>
        <v>67</v>
      </c>
      <c r="F69" s="61">
        <f>IF(FT!A69&lt;&gt;"",FT!A69*10,"")</f>
        <v>2.53552</v>
      </c>
      <c r="G69" s="61">
        <f>IF(FT!B69&lt;&gt;"",FT!B69*100,"")</f>
        <v>45.660200000000003</v>
      </c>
      <c r="H69" s="61">
        <f t="shared" si="9"/>
        <v>1</v>
      </c>
      <c r="I69" t="str">
        <f>IF(FT!B69&lt;&gt;"",FT!E69,"")</f>
        <v>1 [27.221778]</v>
      </c>
      <c r="J69">
        <f>IF(FT!B69&lt;&gt;"",FT!C69,"")</f>
        <v>27.221800000000002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2.5315599999999998</v>
      </c>
      <c r="G70" s="61">
        <f>IF(FT!B70&lt;&gt;"",FT!B70*100,"")</f>
        <v>45.856099999999998</v>
      </c>
      <c r="H70" s="61">
        <f t="shared" si="9"/>
        <v>1</v>
      </c>
      <c r="I70" t="str">
        <f>IF(FT!B70&lt;&gt;"",FT!E70,"")</f>
        <v>1 [27.626128]</v>
      </c>
      <c r="J70">
        <f>IF(FT!B70&lt;&gt;"",FT!C70,"")</f>
        <v>27.626100000000001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2.5239000000000003</v>
      </c>
      <c r="G71" s="61">
        <f>IF(FT!B71&lt;&gt;"",FT!B71*100,"")</f>
        <v>46.1051</v>
      </c>
      <c r="H71" s="61">
        <f t="shared" si="9"/>
        <v>1</v>
      </c>
      <c r="I71" t="str">
        <f>IF(FT!B71&lt;&gt;"",FT!E71,"")</f>
        <v>1 [28.030939]</v>
      </c>
      <c r="J71">
        <f>IF(FT!B71&lt;&gt;"",FT!C71,"")</f>
        <v>28.030899999999999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99338</v>
      </c>
      <c r="D72" s="61">
        <f>FH!B72*1</f>
        <v>99338</v>
      </c>
      <c r="E72">
        <f t="shared" si="11"/>
        <v>70</v>
      </c>
      <c r="F72" s="61">
        <f>IF(FT!A72&lt;&gt;"",FT!A72*10,"")</f>
        <v>2.5152000000000001</v>
      </c>
      <c r="G72" s="61">
        <f>IF(FT!B72&lt;&gt;"",FT!B72*100,"")</f>
        <v>46.255600000000001</v>
      </c>
      <c r="H72" s="61">
        <f t="shared" si="9"/>
        <v>1</v>
      </c>
      <c r="I72" t="str">
        <f>IF(FT!B72&lt;&gt;"",FT!E72,"")</f>
        <v>1 [28.436100]</v>
      </c>
      <c r="J72">
        <f>IF(FT!B72&lt;&gt;"",FT!C72,"")</f>
        <v>28.4361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2.5041200000000003</v>
      </c>
      <c r="G73" s="61">
        <f>IF(FT!B73&lt;&gt;"",FT!B73*100,"")</f>
        <v>46.379599999999996</v>
      </c>
      <c r="H73" s="61">
        <f t="shared" si="9"/>
        <v>1</v>
      </c>
      <c r="I73" t="str">
        <f>IF(FT!B73&lt;&gt;"",FT!E73,"")</f>
        <v>1 [28.845700]</v>
      </c>
      <c r="J73">
        <f>IF(FT!B73&lt;&gt;"",FT!C73,"")</f>
        <v>28.845700000000001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2.4887699999999997</v>
      </c>
      <c r="G74" s="61">
        <f>IF(FT!B74&lt;&gt;"",FT!B74*100,"")</f>
        <v>46.5199</v>
      </c>
      <c r="H74" s="61">
        <f t="shared" si="9"/>
        <v>1</v>
      </c>
      <c r="I74" t="str">
        <f>IF(FT!B74&lt;&gt;"",FT!E74,"")</f>
        <v>1 [29.256036]</v>
      </c>
      <c r="J74">
        <f>IF(FT!B74&lt;&gt;"",FT!C74,"")</f>
        <v>29.256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104879</v>
      </c>
      <c r="D75" s="61">
        <f>FH!B75*1</f>
        <v>104879</v>
      </c>
      <c r="E75">
        <f t="shared" si="11"/>
        <v>73</v>
      </c>
      <c r="F75" s="61">
        <f>IF(FT!A75&lt;&gt;"",FT!A75*10,"")</f>
        <v>2.4761099999999998</v>
      </c>
      <c r="G75" s="61">
        <f>IF(FT!B75&lt;&gt;"",FT!B75*100,"")</f>
        <v>46.669699999999999</v>
      </c>
      <c r="H75" s="61">
        <f t="shared" si="9"/>
        <v>1</v>
      </c>
      <c r="I75" t="str">
        <f>IF(FT!B75&lt;&gt;"",FT!E75,"")</f>
        <v>1 [29.657908]</v>
      </c>
      <c r="J75">
        <f>IF(FT!B75&lt;&gt;"",FT!C75,"")</f>
        <v>29.657900000000001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2.4656600000000002</v>
      </c>
      <c r="G76" s="61">
        <f>IF(FT!B76&lt;&gt;"",FT!B76*100,"")</f>
        <v>46.777200000000001</v>
      </c>
      <c r="H76" s="61">
        <f t="shared" si="9"/>
        <v>1</v>
      </c>
      <c r="I76" t="str">
        <f>IF(FT!B76&lt;&gt;"",FT!E76,"")</f>
        <v>2 [30.063555]</v>
      </c>
      <c r="J76">
        <f>IF(FT!B76&lt;&gt;"",FT!C76,"")</f>
        <v>30.063600000000001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103817</v>
      </c>
      <c r="D77" s="61">
        <f>FH!B77*1</f>
        <v>103817</v>
      </c>
      <c r="E77">
        <f t="shared" si="11"/>
        <v>75</v>
      </c>
      <c r="F77" s="61">
        <f>IF(FT!A77&lt;&gt;"",FT!A77*10,"")</f>
        <v>2.4540600000000001</v>
      </c>
      <c r="G77" s="61">
        <f>IF(FT!B77&lt;&gt;"",FT!B77*100,"")</f>
        <v>46.866</v>
      </c>
      <c r="H77" s="61">
        <f t="shared" si="9"/>
        <v>1</v>
      </c>
      <c r="I77" t="str">
        <f>IF(FT!B77&lt;&gt;"",FT!E77,"")</f>
        <v>2 [30.488676]</v>
      </c>
      <c r="J77">
        <f>IF(FT!B77&lt;&gt;"",FT!C77,"")</f>
        <v>30.488700000000001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2.4399799999999998</v>
      </c>
      <c r="G78" s="61">
        <f>IF(FT!B78&lt;&gt;"",FT!B78*100,"")</f>
        <v>47.003599999999999</v>
      </c>
      <c r="H78" s="61">
        <f t="shared" si="9"/>
        <v>1</v>
      </c>
      <c r="I78" t="str">
        <f>IF(FT!B78&lt;&gt;"",FT!E78,"")</f>
        <v>2 [30.894613]</v>
      </c>
      <c r="J78">
        <f>IF(FT!B78&lt;&gt;"",FT!C78,"")</f>
        <v>30.894600000000001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2.4244399999999997</v>
      </c>
      <c r="G79" s="61">
        <f>IF(FT!B79&lt;&gt;"",FT!B79*100,"")</f>
        <v>47.161999999999999</v>
      </c>
      <c r="H79" s="61">
        <f t="shared" si="9"/>
        <v>1</v>
      </c>
      <c r="I79" t="str">
        <f>IF(FT!B79&lt;&gt;"",FT!E79,"")</f>
        <v>2 [31.298637]</v>
      </c>
      <c r="J79">
        <f>IF(FT!B79&lt;&gt;"",FT!C79,"")</f>
        <v>31.2986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95474</v>
      </c>
      <c r="D80" s="61">
        <f>FH!B80*1</f>
        <v>95474</v>
      </c>
      <c r="E80">
        <f t="shared" si="11"/>
        <v>78</v>
      </c>
      <c r="F80" s="61">
        <f>IF(FT!A80&lt;&gt;"",FT!A80*10,"")</f>
        <v>2.4088099999999999</v>
      </c>
      <c r="G80" s="61">
        <f>IF(FT!B80&lt;&gt;"",FT!B80*100,"")</f>
        <v>47.290300000000002</v>
      </c>
      <c r="H80" s="61">
        <f t="shared" si="9"/>
        <v>1</v>
      </c>
      <c r="I80" t="str">
        <f>IF(FT!B80&lt;&gt;"",FT!E80,"")</f>
        <v>2 [31.705365]</v>
      </c>
      <c r="J80">
        <f>IF(FT!B80&lt;&gt;"",FT!C80,"")</f>
        <v>31.705400000000001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2.39642</v>
      </c>
      <c r="G81" s="61">
        <f>IF(FT!B81&lt;&gt;"",FT!B81*100,"")</f>
        <v>47.441000000000003</v>
      </c>
      <c r="H81" s="61">
        <f t="shared" si="9"/>
        <v>1</v>
      </c>
      <c r="I81" t="str">
        <f>IF(FT!B81&lt;&gt;"",FT!E81,"")</f>
        <v>2 [32.113101]</v>
      </c>
      <c r="J81">
        <f>IF(FT!B81&lt;&gt;"",FT!C81,"")</f>
        <v>32.113100000000003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95950</v>
      </c>
      <c r="D82" s="61">
        <f>FH!B82*1</f>
        <v>95950</v>
      </c>
      <c r="E82">
        <f t="shared" si="11"/>
        <v>80</v>
      </c>
      <c r="F82" s="61">
        <f>IF(FT!A82&lt;&gt;"",FT!A82*10,"")</f>
        <v>2.3868</v>
      </c>
      <c r="G82" s="61">
        <f>IF(FT!B82&lt;&gt;"",FT!B82*100,"")</f>
        <v>47.5822</v>
      </c>
      <c r="H82" s="61">
        <f t="shared" si="9"/>
        <v>1</v>
      </c>
      <c r="I82" t="str">
        <f>IF(FT!B82&lt;&gt;"",FT!E82,"")</f>
        <v>2 [32.519781]</v>
      </c>
      <c r="J82">
        <f>IF(FT!B82&lt;&gt;"",FT!C82,"")</f>
        <v>32.519799999999996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2.38158</v>
      </c>
      <c r="G83" s="61">
        <f>IF(FT!B83&lt;&gt;"",FT!B83*100,"")</f>
        <v>47.672399999999996</v>
      </c>
      <c r="H83" s="61">
        <f t="shared" si="9"/>
        <v>1</v>
      </c>
      <c r="I83" t="str">
        <f>IF(FT!B83&lt;&gt;"",FT!E83,"")</f>
        <v>2 [32.925668]</v>
      </c>
      <c r="J83">
        <f>IF(FT!B83&lt;&gt;"",FT!C83,"")</f>
        <v>32.925699999999999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2.3803999999999998</v>
      </c>
      <c r="G84" s="61">
        <f>IF(FT!B84&lt;&gt;"",FT!B84*100,"")</f>
        <v>47.7346</v>
      </c>
      <c r="H84" s="61">
        <f t="shared" si="9"/>
        <v>1</v>
      </c>
      <c r="I84" t="str">
        <f>IF(FT!B84&lt;&gt;"",FT!E84,"")</f>
        <v>2 [33.328122]</v>
      </c>
      <c r="J84">
        <f>IF(FT!B84&lt;&gt;"",FT!C84,"")</f>
        <v>33.328099999999999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88402</v>
      </c>
      <c r="D85" s="61">
        <f>FH!B85*1</f>
        <v>88402</v>
      </c>
      <c r="E85">
        <f t="shared" si="11"/>
        <v>83</v>
      </c>
      <c r="F85" s="61">
        <f>IF(FT!A85&lt;&gt;"",FT!A85*10,"")</f>
        <v>2.3810700000000002</v>
      </c>
      <c r="G85" s="61">
        <f>IF(FT!B85&lt;&gt;"",FT!B85*100,"")</f>
        <v>47.796100000000003</v>
      </c>
      <c r="H85" s="61">
        <f t="shared" si="9"/>
        <v>1</v>
      </c>
      <c r="I85" t="str">
        <f>IF(FT!B85&lt;&gt;"",FT!E85,"")</f>
        <v>2 [33.743583]</v>
      </c>
      <c r="J85">
        <f>IF(FT!B85&lt;&gt;"",FT!C85,"")</f>
        <v>33.743600000000001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2.3787500000000001</v>
      </c>
      <c r="G86" s="61">
        <f>IF(FT!B86&lt;&gt;"",FT!B86*100,"")</f>
        <v>47.937800000000003</v>
      </c>
      <c r="H86" s="61">
        <f t="shared" si="9"/>
        <v>1</v>
      </c>
      <c r="I86" t="str">
        <f>IF(FT!B86&lt;&gt;"",FT!E86,"")</f>
        <v>2 [34.140406]</v>
      </c>
      <c r="J86">
        <f>IF(FT!B86&lt;&gt;"",FT!C86,"")</f>
        <v>34.1404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2.37635</v>
      </c>
      <c r="G87" s="61">
        <f>IF(FT!B87&lt;&gt;"",FT!B87*100,"")</f>
        <v>48.0777</v>
      </c>
      <c r="H87" s="61">
        <f t="shared" si="9"/>
        <v>1</v>
      </c>
      <c r="I87" t="str">
        <f>IF(FT!B87&lt;&gt;"",FT!E87,"")</f>
        <v>2 [34.548640]</v>
      </c>
      <c r="J87">
        <f>IF(FT!B87&lt;&gt;"",FT!C87,"")</f>
        <v>34.5486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82401</v>
      </c>
      <c r="D88" s="61">
        <f>FH!B88*1</f>
        <v>82401</v>
      </c>
      <c r="E88">
        <f t="shared" si="11"/>
        <v>86</v>
      </c>
      <c r="F88" s="61">
        <f>IF(FT!A88&lt;&gt;"",FT!A88*10,"")</f>
        <v>2.3738600000000001</v>
      </c>
      <c r="G88" s="61">
        <f>IF(FT!B88&lt;&gt;"",FT!B88*100,"")</f>
        <v>48.2087</v>
      </c>
      <c r="H88" s="61">
        <f t="shared" si="9"/>
        <v>1</v>
      </c>
      <c r="I88" t="str">
        <f>IF(FT!B88&lt;&gt;"",FT!E88,"")</f>
        <v>2 [34.957607]</v>
      </c>
      <c r="J88">
        <f>IF(FT!B88&lt;&gt;"",FT!C88,"")</f>
        <v>34.957599999999999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2.37039</v>
      </c>
      <c r="G89" s="61">
        <f>IF(FT!B89&lt;&gt;"",FT!B89*100,"")</f>
        <v>48.359200000000001</v>
      </c>
      <c r="H89" s="61">
        <f t="shared" si="9"/>
        <v>1</v>
      </c>
      <c r="I89" t="str">
        <f>IF(FT!B89&lt;&gt;"",FT!E89,"")</f>
        <v>2 [35.357930]</v>
      </c>
      <c r="J89">
        <f>IF(FT!B89&lt;&gt;"",FT!C89,"")</f>
        <v>35.357900000000001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78190</v>
      </c>
      <c r="D90" s="61">
        <f>FH!B90*1</f>
        <v>78190</v>
      </c>
      <c r="E90">
        <f t="shared" si="11"/>
        <v>88</v>
      </c>
      <c r="F90" s="61">
        <f>IF(FT!A90&lt;&gt;"",FT!A90*10,"")</f>
        <v>2.3664399999999999</v>
      </c>
      <c r="G90" s="61">
        <f>IF(FT!B90&lt;&gt;"",FT!B90*100,"")</f>
        <v>48.489100000000001</v>
      </c>
      <c r="H90" s="61">
        <f t="shared" si="9"/>
        <v>1</v>
      </c>
      <c r="I90" t="str">
        <f>IF(FT!B90&lt;&gt;"",FT!E90,"")</f>
        <v>2 [35.765610]</v>
      </c>
      <c r="J90">
        <f>IF(FT!B90&lt;&gt;"",FT!C90,"")</f>
        <v>35.765599999999999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2.3623500000000002</v>
      </c>
      <c r="G91" s="61">
        <f>IF(FT!B91&lt;&gt;"",FT!B91*100,"")</f>
        <v>48.639200000000002</v>
      </c>
      <c r="H91" s="61">
        <f t="shared" si="9"/>
        <v>1</v>
      </c>
      <c r="I91" t="str">
        <f>IF(FT!B91&lt;&gt;"",FT!E91,"")</f>
        <v>2 [36.177776]</v>
      </c>
      <c r="J91">
        <f>IF(FT!B91&lt;&gt;"",FT!C91,"")</f>
        <v>36.177799999999998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2.3588899999999997</v>
      </c>
      <c r="G92" s="61">
        <f>IF(FT!B92&lt;&gt;"",FT!B92*100,"")</f>
        <v>48.789900000000003</v>
      </c>
      <c r="H92" s="61">
        <f t="shared" si="9"/>
        <v>1</v>
      </c>
      <c r="I92" t="str">
        <f>IF(FT!B92&lt;&gt;"",FT!E92,"")</f>
        <v>2 [36.580088]</v>
      </c>
      <c r="J92">
        <f>IF(FT!B92&lt;&gt;"",FT!C92,"")</f>
        <v>36.580100000000002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73056</v>
      </c>
      <c r="D93" s="61">
        <f>FH!B93*1</f>
        <v>73056</v>
      </c>
      <c r="E93">
        <f t="shared" si="11"/>
        <v>91</v>
      </c>
      <c r="F93" s="61">
        <f>IF(FT!A93&lt;&gt;"",FT!A93*10,"")</f>
        <v>2.3590499999999999</v>
      </c>
      <c r="G93" s="61">
        <f>IF(FT!B93&lt;&gt;"",FT!B93*100,"")</f>
        <v>48.848799999999997</v>
      </c>
      <c r="H93" s="61">
        <f t="shared" si="9"/>
        <v>1</v>
      </c>
      <c r="I93" t="str">
        <f>IF(FT!B93&lt;&gt;"",FT!E93,"")</f>
        <v>2 [36.987056]</v>
      </c>
      <c r="J93">
        <f>IF(FT!B93&lt;&gt;"",FT!C93,"")</f>
        <v>36.987099999999998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2.3624300000000003</v>
      </c>
      <c r="G94" s="61">
        <f>IF(FT!B94&lt;&gt;"",FT!B94*100,"")</f>
        <v>48.834000000000003</v>
      </c>
      <c r="H94" s="61">
        <f t="shared" si="9"/>
        <v>1</v>
      </c>
      <c r="I94" t="str">
        <f>IF(FT!B94&lt;&gt;"",FT!E94,"")</f>
        <v>2 [37.391444]</v>
      </c>
      <c r="J94">
        <f>IF(FT!B94&lt;&gt;"",FT!C94,"")</f>
        <v>37.391399999999997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66732</v>
      </c>
      <c r="D95" s="61">
        <f>FH!B95*1</f>
        <v>66732</v>
      </c>
      <c r="E95">
        <f t="shared" si="11"/>
        <v>93</v>
      </c>
      <c r="F95" s="61">
        <f>IF(FT!A95&lt;&gt;"",FT!A95*10,"")</f>
        <v>2.3681299999999998</v>
      </c>
      <c r="G95" s="61">
        <f>IF(FT!B95&lt;&gt;"",FT!B95*100,"")</f>
        <v>48.668800000000005</v>
      </c>
      <c r="H95" s="61">
        <f t="shared" si="9"/>
        <v>1</v>
      </c>
      <c r="I95" t="str">
        <f>IF(FT!B95&lt;&gt;"",FT!E95,"")</f>
        <v>2 [37.796531]</v>
      </c>
      <c r="J95">
        <f>IF(FT!B95&lt;&gt;"",FT!C95,"")</f>
        <v>37.796500000000002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2.3752899999999997</v>
      </c>
      <c r="G96" s="61">
        <f>IF(FT!B96&lt;&gt;"",FT!B96*100,"")</f>
        <v>48.4833</v>
      </c>
      <c r="H96" s="61">
        <f t="shared" si="9"/>
        <v>1</v>
      </c>
      <c r="I96" t="str">
        <f>IF(FT!B96&lt;&gt;"",FT!E96,"")</f>
        <v>2 [38.201856]</v>
      </c>
      <c r="J96">
        <f>IF(FT!B96&lt;&gt;"",FT!C96,"")</f>
        <v>38.201900000000002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2.3822099999999997</v>
      </c>
      <c r="G97" s="61">
        <f>IF(FT!B97&lt;&gt;"",FT!B97*100,"")</f>
        <v>48.397100000000002</v>
      </c>
      <c r="H97" s="61">
        <f t="shared" si="9"/>
        <v>1</v>
      </c>
      <c r="I97" t="str">
        <f>IF(FT!B97&lt;&gt;"",FT!E97,"")</f>
        <v>2 [38.612044]</v>
      </c>
      <c r="J97">
        <f>IF(FT!B97&lt;&gt;"",FT!C97,"")</f>
        <v>38.612000000000002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65151</v>
      </c>
      <c r="D98" s="61">
        <f>FH!B98*1</f>
        <v>65151</v>
      </c>
      <c r="E98">
        <f t="shared" si="11"/>
        <v>96</v>
      </c>
      <c r="F98" s="61">
        <f>IF(FT!A98&lt;&gt;"",FT!A98*10,"")</f>
        <v>2.39256</v>
      </c>
      <c r="G98" s="61">
        <f>IF(FT!B98&lt;&gt;"",FT!B98*100,"")</f>
        <v>48.291000000000004</v>
      </c>
      <c r="H98" s="61">
        <f t="shared" si="9"/>
        <v>1</v>
      </c>
      <c r="I98" t="str">
        <f>IF(FT!B98&lt;&gt;"",FT!E98,"")</f>
        <v>2 [39.018868]</v>
      </c>
      <c r="J98">
        <f>IF(FT!B98&lt;&gt;"",FT!C98,"")</f>
        <v>39.018900000000002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2.4072100000000001</v>
      </c>
      <c r="G99" s="61">
        <f>IF(FT!B99&lt;&gt;"",FT!B99*100,"")</f>
        <v>48.084400000000002</v>
      </c>
      <c r="H99" s="61">
        <f t="shared" si="9"/>
        <v>1</v>
      </c>
      <c r="I99" t="str">
        <f>IF(FT!B99&lt;&gt;"",FT!E99,"")</f>
        <v>2 [39.426054]</v>
      </c>
      <c r="J99">
        <f>IF(FT!B99&lt;&gt;"",FT!C99,"")</f>
        <v>39.426099999999998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62438</v>
      </c>
      <c r="D100" s="61">
        <f>FH!B100*1</f>
        <v>62438</v>
      </c>
      <c r="E100">
        <f t="shared" si="11"/>
        <v>98</v>
      </c>
      <c r="F100" s="61">
        <f>IF(FT!A100&lt;&gt;"",FT!A100*10,"")</f>
        <v>2.42157</v>
      </c>
      <c r="G100" s="61">
        <f>IF(FT!B100&lt;&gt;"",FT!B100*100,"")</f>
        <v>47.797200000000004</v>
      </c>
      <c r="H100" s="61">
        <f t="shared" si="9"/>
        <v>1</v>
      </c>
      <c r="I100" t="str">
        <f>IF(FT!B100&lt;&gt;"",FT!E100,"")</f>
        <v>2 [39.827867]</v>
      </c>
      <c r="J100">
        <f>IF(FT!B100&lt;&gt;"",FT!C100,"")</f>
        <v>39.8279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2.4359299999999999</v>
      </c>
      <c r="G101" s="61">
        <f>IF(FT!B101&lt;&gt;"",FT!B101*100,"")</f>
        <v>47.5242</v>
      </c>
      <c r="H101" s="61">
        <f t="shared" si="9"/>
        <v>1</v>
      </c>
      <c r="I101" t="str">
        <f>IF(FT!B101&lt;&gt;"",FT!E101,"")</f>
        <v>2 [40.234210]</v>
      </c>
      <c r="J101">
        <f>IF(FT!B101&lt;&gt;"",FT!C101,"")</f>
        <v>40.234200000000001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2.44882</v>
      </c>
      <c r="G102" s="61">
        <f>IF(FT!B102&lt;&gt;"",FT!B102*100,"")</f>
        <v>47.355799999999995</v>
      </c>
      <c r="H102" s="61">
        <f t="shared" si="9"/>
        <v>1</v>
      </c>
      <c r="I102" t="str">
        <f>IF(FT!B102&lt;&gt;"",FT!E102,"")</f>
        <v>2 [40.640052]</v>
      </c>
      <c r="J102">
        <f>IF(FT!B102&lt;&gt;"",FT!C102,"")</f>
        <v>40.640099999999997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57037</v>
      </c>
      <c r="D103" s="61">
        <f>FH!B103*1</f>
        <v>57037</v>
      </c>
      <c r="E103">
        <f t="shared" si="11"/>
        <v>101</v>
      </c>
      <c r="F103" s="61">
        <f>IF(FT!A103&lt;&gt;"",FT!A103*10,"")</f>
        <v>2.4674100000000001</v>
      </c>
      <c r="G103" s="61">
        <f>IF(FT!B103&lt;&gt;"",FT!B103*100,"")</f>
        <v>47.061799999999998</v>
      </c>
      <c r="H103" s="61">
        <f t="shared" si="9"/>
        <v>1</v>
      </c>
      <c r="I103" t="str">
        <f>IF(FT!B103&lt;&gt;"",FT!E103,"")</f>
        <v>2 [41.047455]</v>
      </c>
      <c r="J103">
        <f>IF(FT!B103&lt;&gt;"",FT!C103,"")</f>
        <v>41.047499999999999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2.4884400000000002</v>
      </c>
      <c r="G104" s="61">
        <f>IF(FT!B104&lt;&gt;"",FT!B104*100,"")</f>
        <v>46.6922</v>
      </c>
      <c r="H104" s="61">
        <f t="shared" si="9"/>
        <v>1</v>
      </c>
      <c r="I104" t="str">
        <f>IF(FT!B104&lt;&gt;"",FT!E104,"")</f>
        <v>2 [41.453057]</v>
      </c>
      <c r="J104">
        <f>IF(FT!B104&lt;&gt;"",FT!C104,"")</f>
        <v>41.453099999999999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2.5075399999999997</v>
      </c>
      <c r="G105" s="61">
        <f>IF(FT!B105&lt;&gt;"",FT!B105*100,"")</f>
        <v>46.398099999999999</v>
      </c>
      <c r="H105" s="61">
        <f t="shared" si="9"/>
        <v>1</v>
      </c>
      <c r="I105" t="str">
        <f>IF(FT!B105&lt;&gt;"",FT!E105,"")</f>
        <v>2 [41.859638]</v>
      </c>
      <c r="J105">
        <f>IF(FT!B105&lt;&gt;"",FT!C105,"")</f>
        <v>41.8596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56086</v>
      </c>
      <c r="D106" s="61">
        <f>FH!B106*1</f>
        <v>56086</v>
      </c>
      <c r="E106">
        <f t="shared" si="11"/>
        <v>104</v>
      </c>
      <c r="F106" s="61">
        <f>IF(FT!A106&lt;&gt;"",FT!A106*10,"")</f>
        <v>2.5271100000000004</v>
      </c>
      <c r="G106" s="61">
        <f>IF(FT!B106&lt;&gt;"",FT!B106*100,"")</f>
        <v>46.048400000000001</v>
      </c>
      <c r="H106" s="61">
        <f t="shared" si="9"/>
        <v>1</v>
      </c>
      <c r="I106" t="str">
        <f>IF(FT!B106&lt;&gt;"",FT!E106,"")</f>
        <v>2 [42.266562]</v>
      </c>
      <c r="J106">
        <f>IF(FT!B106&lt;&gt;"",FT!C106,"")</f>
        <v>42.266599999999997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2.5465300000000002</v>
      </c>
      <c r="G107" s="61">
        <f>IF(FT!B107&lt;&gt;"",FT!B107*100,"")</f>
        <v>45.623899999999999</v>
      </c>
      <c r="H107" s="61">
        <f t="shared" si="9"/>
        <v>1</v>
      </c>
      <c r="I107" t="str">
        <f>IF(FT!B107&lt;&gt;"",FT!E107,"")</f>
        <v>2 [42.670522]</v>
      </c>
      <c r="J107">
        <f>IF(FT!B107&lt;&gt;"",FT!C107,"")</f>
        <v>42.670499999999997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54762</v>
      </c>
      <c r="D108" s="61">
        <f>FH!B108*1</f>
        <v>54762</v>
      </c>
      <c r="E108">
        <f t="shared" si="11"/>
        <v>106</v>
      </c>
      <c r="F108" s="61">
        <f>IF(FT!A108&lt;&gt;"",FT!A108*10,"")</f>
        <v>2.5658099999999999</v>
      </c>
      <c r="G108" s="61">
        <f>IF(FT!B108&lt;&gt;"",FT!B108*100,"")</f>
        <v>45.164400000000001</v>
      </c>
      <c r="H108" s="61">
        <f t="shared" si="9"/>
        <v>1</v>
      </c>
      <c r="I108" t="str">
        <f>IF(FT!B108&lt;&gt;"",FT!E108,"")</f>
        <v>2 [43.078603]</v>
      </c>
      <c r="J108">
        <f>IF(FT!B108&lt;&gt;"",FT!C108,"")</f>
        <v>43.078600000000002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2.5858099999999999</v>
      </c>
      <c r="G109" s="61">
        <f>IF(FT!B109&lt;&gt;"",FT!B109*100,"")</f>
        <v>44.597900000000003</v>
      </c>
      <c r="H109" s="61">
        <f t="shared" si="9"/>
        <v>1</v>
      </c>
      <c r="I109" t="str">
        <f>IF(FT!B109&lt;&gt;"",FT!E109,"")</f>
        <v>2 [43.482808]</v>
      </c>
      <c r="J109">
        <f>IF(FT!B109&lt;&gt;"",FT!C109,"")</f>
        <v>43.482799999999997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2.6046999999999998</v>
      </c>
      <c r="G110" s="61">
        <f>IF(FT!B110&lt;&gt;"",FT!B110*100,"")</f>
        <v>44.033499999999997</v>
      </c>
      <c r="H110" s="61">
        <f t="shared" si="9"/>
        <v>1</v>
      </c>
      <c r="I110" t="str">
        <f>IF(FT!B110&lt;&gt;"",FT!E110,"")</f>
        <v>2 [43.891456]</v>
      </c>
      <c r="J110">
        <f>IF(FT!B110&lt;&gt;"",FT!C110,"")</f>
        <v>43.891500000000001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56432</v>
      </c>
      <c r="D111" s="61">
        <f>FH!B111*1</f>
        <v>56432</v>
      </c>
      <c r="E111">
        <f t="shared" si="11"/>
        <v>109</v>
      </c>
      <c r="F111" s="61">
        <f>IF(FT!A111&lt;&gt;"",FT!A111*10,"")</f>
        <v>2.6310799999999999</v>
      </c>
      <c r="G111" s="61">
        <f>IF(FT!B111&lt;&gt;"",FT!B111*100,"")</f>
        <v>43.319400000000002</v>
      </c>
      <c r="H111" s="61">
        <f t="shared" si="9"/>
        <v>1</v>
      </c>
      <c r="I111" t="str">
        <f>IF(FT!B111&lt;&gt;"",FT!E111,"")</f>
        <v>2 [44.298761]</v>
      </c>
      <c r="J111">
        <f>IF(FT!B111&lt;&gt;"",FT!C111,"")</f>
        <v>44.2988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2.6596299999999999</v>
      </c>
      <c r="G112" s="61">
        <f>IF(FT!B112&lt;&gt;"",FT!B112*100,"")</f>
        <v>42.590899999999998</v>
      </c>
      <c r="H112" s="61">
        <f t="shared" si="9"/>
        <v>1</v>
      </c>
      <c r="I112" t="str">
        <f>IF(FT!B112&lt;&gt;"",FT!E112,"")</f>
        <v>2 [44.705953]</v>
      </c>
      <c r="J112">
        <f>IF(FT!B112&lt;&gt;"",FT!C112,"")</f>
        <v>44.706000000000003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48503</v>
      </c>
      <c r="D113" s="61">
        <f>FH!B113*1</f>
        <v>48503</v>
      </c>
      <c r="E113">
        <f t="shared" si="11"/>
        <v>111</v>
      </c>
      <c r="F113" s="61">
        <f>IF(FT!A113&lt;&gt;"",FT!A113*10,"")</f>
        <v>2.6909399999999999</v>
      </c>
      <c r="G113" s="61">
        <f>IF(FT!B113&lt;&gt;"",FT!B113*100,"")</f>
        <v>41.797200000000004</v>
      </c>
      <c r="H113" s="61">
        <f t="shared" si="9"/>
        <v>1</v>
      </c>
      <c r="I113" t="str">
        <f>IF(FT!B113&lt;&gt;"",FT!E113,"")</f>
        <v>2 [45.110209]</v>
      </c>
      <c r="J113">
        <f>IF(FT!B113&lt;&gt;"",FT!C113,"")</f>
        <v>45.110199999999999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2.7223899999999999</v>
      </c>
      <c r="G114" s="61">
        <f>IF(FT!B114&lt;&gt;"",FT!B114*100,"")</f>
        <v>41.049100000000003</v>
      </c>
      <c r="H114" s="61">
        <f t="shared" si="9"/>
        <v>1</v>
      </c>
      <c r="I114" t="str">
        <f>IF(FT!B114&lt;&gt;"",FT!E114,"")</f>
        <v>2 [45.518659]</v>
      </c>
      <c r="J114">
        <f>IF(FT!B114&lt;&gt;"",FT!C114,"")</f>
        <v>45.518700000000003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2.7483000000000004</v>
      </c>
      <c r="G115" s="61">
        <f>IF(FT!B115&lt;&gt;"",FT!B115*100,"")</f>
        <v>40.549099999999996</v>
      </c>
      <c r="H115" s="61">
        <f t="shared" si="9"/>
        <v>1</v>
      </c>
      <c r="I115" t="str">
        <f>IF(FT!B115&lt;&gt;"",FT!E115,"")</f>
        <v>2 [45.924447]</v>
      </c>
      <c r="J115">
        <f>IF(FT!B115&lt;&gt;"",FT!C115,"")</f>
        <v>45.924399999999999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37952</v>
      </c>
      <c r="D116" s="61">
        <f>FH!B116*1</f>
        <v>37952</v>
      </c>
      <c r="E116">
        <f t="shared" si="11"/>
        <v>114</v>
      </c>
      <c r="F116" s="61">
        <f>IF(FT!A116&lt;&gt;"",FT!A116*10,"")</f>
        <v>2.7722000000000002</v>
      </c>
      <c r="G116" s="61">
        <f>IF(FT!B116&lt;&gt;"",FT!B116*100,"")</f>
        <v>40.1096</v>
      </c>
      <c r="H116" s="61">
        <f t="shared" si="9"/>
        <v>1</v>
      </c>
      <c r="I116" t="str">
        <f>IF(FT!B116&lt;&gt;"",FT!E116,"")</f>
        <v>2 [46.329507]</v>
      </c>
      <c r="J116">
        <f>IF(FT!B116&lt;&gt;"",FT!C116,"")</f>
        <v>46.329500000000003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2.7983000000000002</v>
      </c>
      <c r="G117" s="61">
        <f>IF(FT!B117&lt;&gt;"",FT!B117*100,"")</f>
        <v>39.590899999999998</v>
      </c>
      <c r="H117" s="61">
        <f t="shared" si="9"/>
        <v>1</v>
      </c>
      <c r="I117" t="str">
        <f>IF(FT!B117&lt;&gt;"",FT!E117,"")</f>
        <v>2 [46.734413]</v>
      </c>
      <c r="J117">
        <f>IF(FT!B117&lt;&gt;"",FT!C117,"")</f>
        <v>46.734400000000001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31647</v>
      </c>
      <c r="D118" s="61">
        <f>FH!B118*1</f>
        <v>31647</v>
      </c>
      <c r="E118">
        <f t="shared" si="11"/>
        <v>116</v>
      </c>
      <c r="F118" s="61">
        <f>IF(FT!A118&lt;&gt;"",FT!A118*10,"")</f>
        <v>2.8243200000000002</v>
      </c>
      <c r="G118" s="61">
        <f>IF(FT!B118&lt;&gt;"",FT!B118*100,"")</f>
        <v>39.061199999999999</v>
      </c>
      <c r="H118" s="61">
        <f t="shared" si="9"/>
        <v>1</v>
      </c>
      <c r="I118" t="str">
        <f>IF(FT!B118&lt;&gt;"",FT!E118,"")</f>
        <v>2 [47.143210]</v>
      </c>
      <c r="J118">
        <f>IF(FT!B118&lt;&gt;"",FT!C118,"")</f>
        <v>47.1432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2.8521999999999998</v>
      </c>
      <c r="G119" s="61">
        <f>IF(FT!B119&lt;&gt;"",FT!B119*100,"")</f>
        <v>38.433199999999999</v>
      </c>
      <c r="H119" s="61">
        <f t="shared" si="9"/>
        <v>1</v>
      </c>
      <c r="I119" t="str">
        <f>IF(FT!B119&lt;&gt;"",FT!E119,"")</f>
        <v>2 [47.548249]</v>
      </c>
      <c r="J119">
        <f>IF(FT!B119&lt;&gt;"",FT!C119,"")</f>
        <v>47.548200000000001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2.8829400000000001</v>
      </c>
      <c r="G120" s="61">
        <f>IF(FT!B120&lt;&gt;"",FT!B120*100,"")</f>
        <v>37.7607</v>
      </c>
      <c r="H120" s="61">
        <f t="shared" si="9"/>
        <v>1</v>
      </c>
      <c r="I120" t="str">
        <f>IF(FT!B120&lt;&gt;"",FT!E120,"")</f>
        <v>2 [47.956044]</v>
      </c>
      <c r="J120">
        <f>IF(FT!B120&lt;&gt;"",FT!C120,"")</f>
        <v>47.956000000000003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24756</v>
      </c>
      <c r="D121" s="61">
        <f>FH!B121*1</f>
        <v>24756</v>
      </c>
      <c r="E121">
        <f t="shared" si="11"/>
        <v>119</v>
      </c>
      <c r="F121" s="61">
        <f>IF(FT!A121&lt;&gt;"",FT!A121*10,"")</f>
        <v>2.9136099999999998</v>
      </c>
      <c r="G121" s="61">
        <f>IF(FT!B121&lt;&gt;"",FT!B121*100,"")</f>
        <v>37.066500000000005</v>
      </c>
      <c r="H121" s="61">
        <f t="shared" si="9"/>
        <v>1</v>
      </c>
      <c r="I121" t="str">
        <f>IF(FT!B121&lt;&gt;"",FT!E121,"")</f>
        <v>2 [48.358205]</v>
      </c>
      <c r="J121">
        <f>IF(FT!B121&lt;&gt;"",FT!C121,"")</f>
        <v>48.358199999999997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2.9427399999999997</v>
      </c>
      <c r="G122" s="61">
        <f>IF(FT!B122&lt;&gt;"",FT!B122*100,"")</f>
        <v>36.446199999999997</v>
      </c>
      <c r="H122" s="61">
        <f t="shared" si="9"/>
        <v>1</v>
      </c>
      <c r="I122" t="str">
        <f>IF(FT!B122&lt;&gt;"",FT!E122,"")</f>
        <v>2 [48.766063]</v>
      </c>
      <c r="J122">
        <f>IF(FT!B122&lt;&gt;"",FT!C122,"")</f>
        <v>48.766100000000002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2.9723300000000004</v>
      </c>
      <c r="G123" s="61">
        <f>IF(FT!B123&lt;&gt;"",FT!B123*100,"")</f>
        <v>35.799399999999999</v>
      </c>
      <c r="H123" s="61">
        <f t="shared" si="9"/>
        <v>1</v>
      </c>
      <c r="I123" t="str">
        <f>IF(FT!B123&lt;&gt;"",FT!E123,"")</f>
        <v>2 [49.173599]</v>
      </c>
      <c r="J123">
        <f>IF(FT!B123&lt;&gt;"",FT!C123,"")</f>
        <v>49.1736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27052</v>
      </c>
      <c r="D124" s="61">
        <f>FH!B124*1</f>
        <v>27052</v>
      </c>
      <c r="E124">
        <f t="shared" si="11"/>
        <v>122</v>
      </c>
      <c r="F124" s="61">
        <f>IF(FT!A124&lt;&gt;"",FT!A124*10,"")</f>
        <v>3.0019299999999998</v>
      </c>
      <c r="G124" s="61">
        <f>IF(FT!B124&lt;&gt;"",FT!B124*100,"")</f>
        <v>35.202299999999994</v>
      </c>
      <c r="H124" s="61">
        <f t="shared" si="9"/>
        <v>1</v>
      </c>
      <c r="I124" t="str">
        <f>IF(FT!B124&lt;&gt;"",FT!E124,"")</f>
        <v>2 [49.582496]</v>
      </c>
      <c r="J124">
        <f>IF(FT!B124&lt;&gt;"",FT!C124,"")</f>
        <v>49.582500000000003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3.0287199999999999</v>
      </c>
      <c r="G125" s="61">
        <f>IF(FT!B125&lt;&gt;"",FT!B125*100,"")</f>
        <v>34.738700000000001</v>
      </c>
      <c r="H125" s="61">
        <f t="shared" si="9"/>
        <v>1</v>
      </c>
      <c r="I125" t="str">
        <f>IF(FT!B125&lt;&gt;"",FT!E125,"")</f>
        <v>2 [49.988711]</v>
      </c>
      <c r="J125">
        <f>IF(FT!B125&lt;&gt;"",FT!C125,"")</f>
        <v>49.988700000000001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23428</v>
      </c>
      <c r="D126" s="61">
        <f>FH!B126*1</f>
        <v>23428</v>
      </c>
      <c r="E126">
        <f t="shared" si="11"/>
        <v>124</v>
      </c>
      <c r="F126" s="61">
        <f>IF(FT!A126&lt;&gt;"",FT!A126*10,"")</f>
        <v>3.0418600000000002</v>
      </c>
      <c r="G126" s="61">
        <f>IF(FT!B126&lt;&gt;"",FT!B126*100,"")</f>
        <v>34.568100000000001</v>
      </c>
      <c r="H126" s="61">
        <f t="shared" si="9"/>
        <v>1</v>
      </c>
      <c r="I126" t="str">
        <f>IF(FT!B126&lt;&gt;"",FT!E126,"")</f>
        <v>2 [50.394018]</v>
      </c>
      <c r="J126">
        <f>IF(FT!B126&lt;&gt;"",FT!C126,"")</f>
        <v>50.393999999999998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3.0573299999999999</v>
      </c>
      <c r="G127" s="61">
        <f>IF(FT!B127&lt;&gt;"",FT!B127*100,"")</f>
        <v>34.371099999999998</v>
      </c>
      <c r="H127" s="61">
        <f t="shared" si="9"/>
        <v>1</v>
      </c>
      <c r="I127" t="str">
        <f>IF(FT!B127&lt;&gt;"",FT!E127,"")</f>
        <v>2 [50.800280]</v>
      </c>
      <c r="J127">
        <f>IF(FT!B127&lt;&gt;"",FT!C127,"")</f>
        <v>50.8003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3.07186</v>
      </c>
      <c r="G128" s="61">
        <f>IF(FT!B128&lt;&gt;"",FT!B128*100,"")</f>
        <v>34.1569</v>
      </c>
      <c r="H128" s="61">
        <f t="shared" si="9"/>
        <v>1</v>
      </c>
      <c r="I128" t="str">
        <f>IF(FT!B128&lt;&gt;"",FT!E128,"")</f>
        <v>2 [51.205899]</v>
      </c>
      <c r="J128">
        <f>IF(FT!B128&lt;&gt;"",FT!C128,"")</f>
        <v>51.2059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19406</v>
      </c>
      <c r="D129" s="61">
        <f>FH!B129*1</f>
        <v>19406</v>
      </c>
      <c r="E129">
        <f t="shared" si="11"/>
        <v>127</v>
      </c>
      <c r="F129" s="61">
        <f>IF(FT!A129&lt;&gt;"",FT!A129*10,"")</f>
        <v>3.0866500000000001</v>
      </c>
      <c r="G129" s="61">
        <f>IF(FT!B129&lt;&gt;"",FT!B129*100,"")</f>
        <v>33.9422</v>
      </c>
      <c r="H129" s="61">
        <f t="shared" si="9"/>
        <v>1</v>
      </c>
      <c r="I129" t="str">
        <f>IF(FT!B129&lt;&gt;"",FT!E129,"")</f>
        <v>2 [51.611157]</v>
      </c>
      <c r="J129">
        <f>IF(FT!B129&lt;&gt;"",FT!C129,"")</f>
        <v>51.611199999999997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3.1044300000000002</v>
      </c>
      <c r="G130" s="61">
        <f>IF(FT!B130&lt;&gt;"",FT!B130*100,"")</f>
        <v>33.725899999999996</v>
      </c>
      <c r="H130" s="61">
        <f t="shared" si="9"/>
        <v>1</v>
      </c>
      <c r="I130" t="str">
        <f>IF(FT!B130&lt;&gt;"",FT!E130,"")</f>
        <v>2 [52.018467]</v>
      </c>
      <c r="J130">
        <f>IF(FT!B130&lt;&gt;"",FT!C130,"")</f>
        <v>52.018500000000003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14281</v>
      </c>
      <c r="D131" s="61">
        <f>FH!B131*1</f>
        <v>14281</v>
      </c>
      <c r="E131">
        <f t="shared" si="11"/>
        <v>129</v>
      </c>
      <c r="F131" s="61">
        <f>IF(FT!A131&lt;&gt;"",FT!A131*10,"")</f>
        <v>3.1213899999999999</v>
      </c>
      <c r="G131" s="61">
        <f>IF(FT!B131&lt;&gt;"",FT!B131*100,"")</f>
        <v>33.491</v>
      </c>
      <c r="H131" s="61">
        <f t="shared" ref="H131:H194" si="13">(IF(F131&lt;&gt;"",1,""))</f>
        <v>1</v>
      </c>
      <c r="I131" t="str">
        <f>IF(FT!B131&lt;&gt;"",FT!E131,"")</f>
        <v>2 [52.421112]</v>
      </c>
      <c r="J131">
        <f>IF(FT!B131&lt;&gt;"",FT!C131,"")</f>
        <v>52.421100000000003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3.1395200000000001</v>
      </c>
      <c r="G132" s="61">
        <f>IF(FT!B132&lt;&gt;"",FT!B132*100,"")</f>
        <v>33.277200000000001</v>
      </c>
      <c r="H132" s="61">
        <f t="shared" si="13"/>
        <v>1</v>
      </c>
      <c r="I132" t="str">
        <f>IF(FT!B132&lt;&gt;"",FT!E132,"")</f>
        <v>2 [52.826365]</v>
      </c>
      <c r="J132">
        <f>IF(FT!B132&lt;&gt;"",FT!C132,"")</f>
        <v>52.8264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3.1564999999999999</v>
      </c>
      <c r="G133" s="61">
        <f>IF(FT!B133&lt;&gt;"",FT!B133*100,"")</f>
        <v>33.0276</v>
      </c>
      <c r="H133" s="61">
        <f t="shared" si="13"/>
        <v>1</v>
      </c>
      <c r="I133" t="str">
        <f>IF(FT!B133&lt;&gt;"",FT!E133,"")</f>
        <v>2 [53.232571]</v>
      </c>
      <c r="J133">
        <f>IF(FT!B133&lt;&gt;"",FT!C133,"")</f>
        <v>53.232599999999998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12500</v>
      </c>
      <c r="D134" s="61">
        <f>FH!B134*1</f>
        <v>12500</v>
      </c>
      <c r="E134">
        <f t="shared" si="15"/>
        <v>132</v>
      </c>
      <c r="F134" s="61">
        <f>IF(FT!A134&lt;&gt;"",FT!A134*10,"")</f>
        <v>3.1717599999999999</v>
      </c>
      <c r="G134" s="61">
        <f>IF(FT!B134&lt;&gt;"",FT!B134*100,"")</f>
        <v>32.783499999999997</v>
      </c>
      <c r="H134" s="61">
        <f t="shared" si="13"/>
        <v>1</v>
      </c>
      <c r="I134" t="str">
        <f>IF(FT!B134&lt;&gt;"",FT!E134,"")</f>
        <v>2 [53.642938]</v>
      </c>
      <c r="J134">
        <f>IF(FT!B134&lt;&gt;"",FT!C134,"")</f>
        <v>53.642899999999997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3.1885300000000001</v>
      </c>
      <c r="G135" s="61">
        <f>IF(FT!B135&lt;&gt;"",FT!B135*100,"")</f>
        <v>32.546799999999998</v>
      </c>
      <c r="H135" s="61">
        <f t="shared" si="13"/>
        <v>1</v>
      </c>
      <c r="I135" t="str">
        <f>IF(FT!B135&lt;&gt;"",FT!E135,"")</f>
        <v>2 [54.048524]</v>
      </c>
      <c r="J135">
        <f>IF(FT!B135&lt;&gt;"",FT!C135,"")</f>
        <v>54.048499999999997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8811</v>
      </c>
      <c r="D136" s="61">
        <f>FH!B136*1</f>
        <v>8811</v>
      </c>
      <c r="E136">
        <f t="shared" si="15"/>
        <v>134</v>
      </c>
      <c r="F136" s="61">
        <f>IF(FT!A136&lt;&gt;"",FT!A136*10,"")</f>
        <v>3.1999599999999999</v>
      </c>
      <c r="G136" s="61">
        <f>IF(FT!B136&lt;&gt;"",FT!B136*100,"")</f>
        <v>32.290999999999997</v>
      </c>
      <c r="H136" s="61">
        <f t="shared" si="13"/>
        <v>1</v>
      </c>
      <c r="I136" t="str">
        <f>IF(FT!B136&lt;&gt;"",FT!E136,"")</f>
        <v>2 [54.452822]</v>
      </c>
      <c r="J136">
        <f>IF(FT!B136&lt;&gt;"",FT!C136,"")</f>
        <v>54.452800000000003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3.2096499999999999</v>
      </c>
      <c r="G137" s="61">
        <f>IF(FT!B137&lt;&gt;"",FT!B137*100,"")</f>
        <v>32.022199999999998</v>
      </c>
      <c r="H137" s="61">
        <f t="shared" si="13"/>
        <v>1</v>
      </c>
      <c r="I137" t="str">
        <f>IF(FT!B137&lt;&gt;"",FT!E137,"")</f>
        <v>2 [54.861078]</v>
      </c>
      <c r="J137">
        <f>IF(FT!B137&lt;&gt;"",FT!C137,"")</f>
        <v>54.8611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3.2168799999999997</v>
      </c>
      <c r="G138" s="61">
        <f>IF(FT!B138&lt;&gt;"",FT!B138*100,"")</f>
        <v>31.818200000000001</v>
      </c>
      <c r="H138" s="61">
        <f t="shared" si="13"/>
        <v>1</v>
      </c>
      <c r="I138" t="str">
        <f>IF(FT!B138&lt;&gt;"",FT!E138,"")</f>
        <v>2 [55.267540]</v>
      </c>
      <c r="J138">
        <f>IF(FT!B138&lt;&gt;"",FT!C138,"")</f>
        <v>55.267499999999998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7435</v>
      </c>
      <c r="D139" s="61">
        <f>FH!B139*1</f>
        <v>7435</v>
      </c>
      <c r="E139">
        <f t="shared" si="15"/>
        <v>137</v>
      </c>
      <c r="F139" s="61">
        <f>IF(FT!A139&lt;&gt;"",FT!A139*10,"")</f>
        <v>3.2244099999999998</v>
      </c>
      <c r="G139" s="61">
        <f>IF(FT!B139&lt;&gt;"",FT!B139*100,"")</f>
        <v>31.605599999999999</v>
      </c>
      <c r="H139" s="61">
        <f t="shared" si="13"/>
        <v>1</v>
      </c>
      <c r="I139" t="str">
        <f>IF(FT!B139&lt;&gt;"",FT!E139,"")</f>
        <v>2 [55.674383]</v>
      </c>
      <c r="J139">
        <f>IF(FT!B139&lt;&gt;"",FT!C139,"")</f>
        <v>55.674399999999999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3.2417600000000002</v>
      </c>
      <c r="G140" s="61">
        <f>IF(FT!B140&lt;&gt;"",FT!B140*100,"")</f>
        <v>31.215</v>
      </c>
      <c r="H140" s="61">
        <f t="shared" si="13"/>
        <v>1</v>
      </c>
      <c r="I140" t="str">
        <f>IF(FT!B140&lt;&gt;"",FT!E140,"")</f>
        <v>2 [56.081384]</v>
      </c>
      <c r="J140">
        <f>IF(FT!B140&lt;&gt;"",FT!C140,"")</f>
        <v>56.081400000000002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3.26451</v>
      </c>
      <c r="G141" s="61">
        <f>IF(FT!B141&lt;&gt;"",FT!B141*100,"")</f>
        <v>30.7606</v>
      </c>
      <c r="H141" s="61">
        <f t="shared" si="13"/>
        <v>1</v>
      </c>
      <c r="I141" t="str">
        <f>IF(FT!B141&lt;&gt;"",FT!E141,"")</f>
        <v>2 [56.490122]</v>
      </c>
      <c r="J141">
        <f>IF(FT!B141&lt;&gt;"",FT!C141,"")</f>
        <v>56.490099999999998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4850</v>
      </c>
      <c r="D142" s="61">
        <f>FH!B142*1</f>
        <v>4850</v>
      </c>
      <c r="E142">
        <f t="shared" si="15"/>
        <v>140</v>
      </c>
      <c r="F142" s="61">
        <f>IF(FT!A142&lt;&gt;"",FT!A142*10,"")</f>
        <v>3.2859500000000001</v>
      </c>
      <c r="G142" s="61">
        <f>IF(FT!B142&lt;&gt;"",FT!B142*100,"")</f>
        <v>30.317699999999999</v>
      </c>
      <c r="H142" s="61">
        <f t="shared" si="13"/>
        <v>1</v>
      </c>
      <c r="I142" t="str">
        <f>IF(FT!B142&lt;&gt;"",FT!E142,"")</f>
        <v>2 [56.891285]</v>
      </c>
      <c r="J142">
        <f>IF(FT!B142&lt;&gt;"",FT!C142,"")</f>
        <v>56.891300000000001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3.3064100000000001</v>
      </c>
      <c r="G143" s="61">
        <f>IF(FT!B143&lt;&gt;"",FT!B143*100,"")</f>
        <v>29.773300000000003</v>
      </c>
      <c r="H143" s="61">
        <f t="shared" si="13"/>
        <v>1</v>
      </c>
      <c r="I143" t="str">
        <f>IF(FT!B143&lt;&gt;"",FT!E143,"")</f>
        <v>2 [57.296969]</v>
      </c>
      <c r="J143">
        <f>IF(FT!B143&lt;&gt;"",FT!C143,"")</f>
        <v>57.296999999999997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4109</v>
      </c>
      <c r="D144" s="61">
        <f>FH!B144*1</f>
        <v>4109</v>
      </c>
      <c r="E144">
        <f t="shared" si="15"/>
        <v>142</v>
      </c>
      <c r="F144" s="61">
        <f>IF(FT!A144&lt;&gt;"",FT!A144*10,"")</f>
        <v>3.32064</v>
      </c>
      <c r="G144" s="61">
        <f>IF(FT!B144&lt;&gt;"",FT!B144*100,"")</f>
        <v>29.263699999999996</v>
      </c>
      <c r="H144" s="61">
        <f t="shared" si="13"/>
        <v>1</v>
      </c>
      <c r="I144" t="str">
        <f>IF(FT!B144&lt;&gt;"",FT!E144,"")</f>
        <v>2 [57.702830]</v>
      </c>
      <c r="J144">
        <f>IF(FT!B144&lt;&gt;"",FT!C144,"")</f>
        <v>57.702800000000003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3.3269900000000003</v>
      </c>
      <c r="G145" s="61">
        <f>IF(FT!B145&lt;&gt;"",FT!B145*100,"")</f>
        <v>28.9178</v>
      </c>
      <c r="H145" s="61">
        <f t="shared" si="13"/>
        <v>1</v>
      </c>
      <c r="I145" t="str">
        <f>IF(FT!B145&lt;&gt;"",FT!E145,"")</f>
        <v>2 [58.115938]</v>
      </c>
      <c r="J145">
        <f>IF(FT!B145&lt;&gt;"",FT!C145,"")</f>
        <v>58.115900000000003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3.3312199999999996</v>
      </c>
      <c r="G146" s="61">
        <f>IF(FT!B146&lt;&gt;"",FT!B146*100,"")</f>
        <v>28.84</v>
      </c>
      <c r="H146" s="61">
        <f t="shared" si="13"/>
        <v>1</v>
      </c>
      <c r="I146" t="str">
        <f>IF(FT!B146&lt;&gt;"",FT!E146,"")</f>
        <v>2 [58.516682]</v>
      </c>
      <c r="J146">
        <f>IF(FT!B146&lt;&gt;"",FT!C146,"")</f>
        <v>58.5167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3003</v>
      </c>
      <c r="D147" s="61">
        <f>FH!B147*1</f>
        <v>3003</v>
      </c>
      <c r="E147">
        <f t="shared" si="15"/>
        <v>145</v>
      </c>
      <c r="F147" s="61">
        <f>IF(FT!A147&lt;&gt;"",FT!A147*10,"")</f>
        <v>3.34138</v>
      </c>
      <c r="G147" s="61">
        <f>IF(FT!B147&lt;&gt;"",FT!B147*100,"")</f>
        <v>28.728999999999999</v>
      </c>
      <c r="H147" s="61">
        <f t="shared" si="13"/>
        <v>1</v>
      </c>
      <c r="I147" t="str">
        <f>IF(FT!B147&lt;&gt;"",FT!E147,"")</f>
        <v>2 [58.921776]</v>
      </c>
      <c r="J147">
        <f>IF(FT!B147&lt;&gt;"",FT!C147,"")</f>
        <v>58.921799999999998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3.3531599999999999</v>
      </c>
      <c r="G148" s="61">
        <f>IF(FT!B148&lt;&gt;"",FT!B148*100,"")</f>
        <v>28.979300000000002</v>
      </c>
      <c r="H148" s="61">
        <f t="shared" si="13"/>
        <v>1</v>
      </c>
      <c r="I148" t="str">
        <f>IF(FT!B148&lt;&gt;"",FT!E148,"")</f>
        <v>2 [59.329457]</v>
      </c>
      <c r="J148">
        <f>IF(FT!B148&lt;&gt;"",FT!C148,"")</f>
        <v>59.329500000000003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1682</v>
      </c>
      <c r="D149" s="61">
        <f>FH!B149*1</f>
        <v>1682</v>
      </c>
      <c r="E149">
        <f t="shared" si="15"/>
        <v>147</v>
      </c>
      <c r="F149" s="61">
        <f>IF(FT!A149&lt;&gt;"",FT!A149*10,"")</f>
        <v>3.34253</v>
      </c>
      <c r="G149" s="61">
        <f>IF(FT!B149&lt;&gt;"",FT!B149*100,"")</f>
        <v>29.720200000000002</v>
      </c>
      <c r="H149" s="61">
        <f t="shared" si="13"/>
        <v>1</v>
      </c>
      <c r="I149" t="str">
        <f>IF(FT!B149&lt;&gt;"",FT!E149,"")</f>
        <v>2 [59.737178]</v>
      </c>
      <c r="J149">
        <f>IF(FT!B149&lt;&gt;"",FT!C149,"")</f>
        <v>59.737200000000001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474</v>
      </c>
      <c r="D152" s="61">
        <f>FH!B152*1</f>
        <v>474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70</v>
      </c>
      <c r="D154" s="61">
        <f>FH!B154*1</f>
        <v>70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106</v>
      </c>
      <c r="D157" s="61">
        <f>FH!B157*1</f>
        <v>106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622</v>
      </c>
      <c r="D160" s="61">
        <f>FH!B160*1</f>
        <v>622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554</v>
      </c>
      <c r="D162" s="61">
        <f>FH!B162*1</f>
        <v>554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312</v>
      </c>
      <c r="D165" s="61">
        <f>FH!B165*1</f>
        <v>312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45</v>
      </c>
      <c r="D167" s="61">
        <f>FH!B167*1</f>
        <v>45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32.798699999999997</v>
      </c>
      <c r="C5" s="66">
        <v>9.2182099999999991</v>
      </c>
      <c r="D5" s="66">
        <v>28.105399999999999</v>
      </c>
      <c r="E5" s="66">
        <v>20</v>
      </c>
      <c r="F5" s="66">
        <v>9.0540900000000004</v>
      </c>
      <c r="G5" s="66">
        <v>50</v>
      </c>
      <c r="H5" s="66">
        <v>53.753799999999998</v>
      </c>
    </row>
    <row r="6" spans="1:8">
      <c r="A6" s="58" t="s">
        <v>303</v>
      </c>
      <c r="B6" s="66">
        <v>43.768799999999999</v>
      </c>
      <c r="C6" s="66">
        <v>3.2291500000000002</v>
      </c>
      <c r="D6" s="66">
        <v>7.3777499999999998</v>
      </c>
      <c r="E6" s="66">
        <v>20</v>
      </c>
      <c r="F6" s="66">
        <v>38.244999999999997</v>
      </c>
      <c r="G6" s="66">
        <v>40</v>
      </c>
      <c r="H6" s="66">
        <v>52.6462</v>
      </c>
    </row>
    <row r="7" spans="1:8">
      <c r="A7" s="58" t="s">
        <v>304</v>
      </c>
      <c r="B7" s="66">
        <v>21.084099999999999</v>
      </c>
      <c r="C7" s="66">
        <v>9.8120100000000008</v>
      </c>
      <c r="D7" s="66">
        <v>46.537500000000001</v>
      </c>
      <c r="E7" s="66">
        <v>15</v>
      </c>
      <c r="F7" s="66">
        <v>10.2768</v>
      </c>
      <c r="G7" s="66">
        <v>40</v>
      </c>
      <c r="H7" s="66">
        <v>53.0792</v>
      </c>
    </row>
    <row r="8" spans="1:8">
      <c r="A8" s="58" t="s">
        <v>305</v>
      </c>
      <c r="B8" s="66">
        <v>33.5062</v>
      </c>
      <c r="C8" s="66">
        <v>3.35595</v>
      </c>
      <c r="D8" s="66">
        <v>10.0159</v>
      </c>
      <c r="E8" s="66">
        <v>20</v>
      </c>
      <c r="F8" s="66">
        <v>25.0745</v>
      </c>
      <c r="G8" s="66">
        <v>50</v>
      </c>
      <c r="H8" s="66">
        <v>42.229799999999997</v>
      </c>
    </row>
    <row r="9" spans="1:8">
      <c r="A9" s="58" t="s">
        <v>306</v>
      </c>
      <c r="B9" s="66">
        <v>64.3292</v>
      </c>
      <c r="C9" s="66">
        <v>7.9619499999999999</v>
      </c>
      <c r="D9" s="66">
        <v>12.376899999999999</v>
      </c>
      <c r="E9" s="66">
        <v>50</v>
      </c>
      <c r="F9" s="66">
        <v>43.449599999999997</v>
      </c>
      <c r="G9" s="66">
        <v>100</v>
      </c>
      <c r="H9" s="66">
        <v>81.223500000000001</v>
      </c>
    </row>
    <row r="10" spans="1:8">
      <c r="A10" s="58" t="s">
        <v>307</v>
      </c>
      <c r="B10" s="66">
        <v>46.65</v>
      </c>
      <c r="C10" s="66">
        <v>7.8798899999999996</v>
      </c>
      <c r="D10" s="66">
        <v>16.891500000000001</v>
      </c>
      <c r="E10" s="66">
        <v>40</v>
      </c>
      <c r="F10" s="66">
        <v>34.114600000000003</v>
      </c>
      <c r="G10" s="66">
        <v>100</v>
      </c>
      <c r="H10" s="66">
        <v>63.982500000000002</v>
      </c>
    </row>
    <row r="11" spans="1:8">
      <c r="A11" s="58" t="s">
        <v>308</v>
      </c>
      <c r="B11" s="66">
        <v>13.353999999999999</v>
      </c>
      <c r="C11" s="66">
        <v>4.4168900000000004</v>
      </c>
      <c r="D11" s="66">
        <v>33.075299999999999</v>
      </c>
      <c r="E11" s="66">
        <v>10</v>
      </c>
      <c r="F11" s="66">
        <v>3.1889799999999999</v>
      </c>
      <c r="G11" s="66">
        <v>50</v>
      </c>
      <c r="H11" s="66">
        <v>19.300999999999998</v>
      </c>
    </row>
    <row r="12" spans="1:8">
      <c r="A12" s="58" t="s">
        <v>309</v>
      </c>
      <c r="B12" s="66">
        <v>55.235399999999998</v>
      </c>
      <c r="C12" s="66">
        <v>3.5087100000000002</v>
      </c>
      <c r="D12" s="66">
        <v>6.35229</v>
      </c>
      <c r="E12" s="66">
        <v>50</v>
      </c>
      <c r="F12" s="66">
        <v>47.051600000000001</v>
      </c>
      <c r="G12" s="66">
        <v>100</v>
      </c>
      <c r="H12" s="66">
        <v>65.3048</v>
      </c>
    </row>
    <row r="13" spans="1:8">
      <c r="A13" s="58" t="s">
        <v>310</v>
      </c>
      <c r="B13" s="66">
        <v>18.5947</v>
      </c>
      <c r="C13" s="66">
        <v>2.6524100000000002</v>
      </c>
      <c r="D13" s="66">
        <v>14.2643</v>
      </c>
      <c r="E13" s="66">
        <v>10</v>
      </c>
      <c r="F13" s="66">
        <v>13.279</v>
      </c>
      <c r="G13" s="66">
        <v>25</v>
      </c>
      <c r="H13" s="66">
        <v>26.315000000000001</v>
      </c>
    </row>
    <row r="14" spans="1:8">
      <c r="A14" s="58" t="s">
        <v>311</v>
      </c>
      <c r="B14" s="66">
        <v>26.524100000000001</v>
      </c>
      <c r="C14" s="66">
        <v>9.5598200000000002</v>
      </c>
      <c r="D14" s="66">
        <v>36.042000000000002</v>
      </c>
      <c r="E14" s="66">
        <v>10</v>
      </c>
      <c r="F14" s="66">
        <v>2.1833499999999999</v>
      </c>
      <c r="G14" s="66">
        <v>50</v>
      </c>
      <c r="H14" s="66">
        <v>36.731099999999998</v>
      </c>
    </row>
    <row r="15" spans="1:8">
      <c r="A15" s="58" t="s">
        <v>312</v>
      </c>
      <c r="B15" s="66">
        <v>0.111759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0.21889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21.103899999999999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0.56664199999999998</v>
      </c>
      <c r="C18" s="66">
        <v>3.7399700000000001E-2</v>
      </c>
      <c r="D18" s="66">
        <v>6.6002400000000003E-2</v>
      </c>
      <c r="E18" s="66">
        <v>0</v>
      </c>
      <c r="F18" s="66">
        <v>0.52924199999999999</v>
      </c>
      <c r="G18" s="66">
        <v>0</v>
      </c>
      <c r="H18" s="66">
        <v>0.60404100000000005</v>
      </c>
    </row>
    <row r="19" spans="1:8">
      <c r="A19" s="58" t="s">
        <v>316</v>
      </c>
      <c r="B19" s="66">
        <v>0.78686299999999998</v>
      </c>
      <c r="C19" s="66">
        <v>4.6470600000000001E-2</v>
      </c>
      <c r="D19" s="66">
        <v>5.9058100000000002E-2</v>
      </c>
      <c r="E19" s="66">
        <v>0</v>
      </c>
      <c r="F19" s="66">
        <v>0.74039200000000005</v>
      </c>
      <c r="G19" s="66">
        <v>0</v>
      </c>
      <c r="H19" s="66">
        <v>0.83333299999999999</v>
      </c>
    </row>
    <row r="20" spans="1:8">
      <c r="A20" s="58" t="s">
        <v>317</v>
      </c>
      <c r="B20" s="196">
        <v>2.82043E-5</v>
      </c>
      <c r="C20" s="66">
        <v>2.88174E-2</v>
      </c>
      <c r="D20" s="66">
        <v>1021.74</v>
      </c>
      <c r="E20" s="66">
        <v>0</v>
      </c>
      <c r="F20" s="66">
        <v>0</v>
      </c>
      <c r="G20" s="66">
        <v>0</v>
      </c>
      <c r="H20" s="66">
        <v>1.00624</v>
      </c>
    </row>
    <row r="21" spans="1:8">
      <c r="A21" s="58" t="s">
        <v>318</v>
      </c>
      <c r="B21" s="66">
        <v>1.0515500000000001E-2</v>
      </c>
      <c r="C21" s="66">
        <v>8.3348900000000004E-2</v>
      </c>
      <c r="D21" s="66">
        <v>7.9262600000000001</v>
      </c>
      <c r="E21" s="66">
        <v>0</v>
      </c>
      <c r="F21" s="66">
        <v>0</v>
      </c>
      <c r="G21" s="66">
        <v>0</v>
      </c>
      <c r="H21" s="66">
        <v>1.1489799999999999</v>
      </c>
    </row>
    <row r="22" spans="1:8">
      <c r="A22" s="58" t="s">
        <v>319</v>
      </c>
      <c r="B22" s="66">
        <v>26.8033</v>
      </c>
      <c r="C22" s="66">
        <v>12.4634</v>
      </c>
      <c r="D22" s="66">
        <v>0.46499499999999999</v>
      </c>
      <c r="E22" s="66">
        <v>0</v>
      </c>
      <c r="F22" s="66">
        <v>12.384399999999999</v>
      </c>
      <c r="G22" s="66">
        <v>0</v>
      </c>
      <c r="H22" s="66">
        <v>68.563900000000004</v>
      </c>
    </row>
    <row r="23" spans="1:8">
      <c r="A23" s="58" t="s">
        <v>320</v>
      </c>
      <c r="B23" s="66">
        <v>11.797599999999999</v>
      </c>
      <c r="C23" s="66">
        <v>3.0334300000000001</v>
      </c>
      <c r="D23" s="66">
        <v>0.25712299999999999</v>
      </c>
      <c r="E23" s="66">
        <v>0</v>
      </c>
      <c r="F23" s="66">
        <v>5.9423199999999996</v>
      </c>
      <c r="G23" s="66">
        <v>0</v>
      </c>
      <c r="H23" s="66">
        <v>17.139199999999999</v>
      </c>
    </row>
    <row r="24" spans="1:8">
      <c r="A24" s="58" t="s">
        <v>321</v>
      </c>
      <c r="B24" s="196">
        <v>6.9116100000000001E-5</v>
      </c>
      <c r="C24" s="66">
        <v>1.0478700000000001E-2</v>
      </c>
      <c r="D24" s="66">
        <v>151.61000000000001</v>
      </c>
      <c r="E24" s="66">
        <v>0</v>
      </c>
      <c r="F24" s="196">
        <v>-2.13084E-8</v>
      </c>
      <c r="G24" s="66">
        <v>0</v>
      </c>
      <c r="H24" s="66">
        <v>0.16669900000000001</v>
      </c>
    </row>
    <row r="25" spans="1:8">
      <c r="A25" s="58" t="s">
        <v>322</v>
      </c>
      <c r="B25" s="66">
        <v>1.8557199999999999E-2</v>
      </c>
      <c r="C25" s="66">
        <v>3.4096399999999999E-2</v>
      </c>
      <c r="D25" s="66">
        <v>1.8373699999999999</v>
      </c>
      <c r="E25" s="66">
        <v>0</v>
      </c>
      <c r="F25" s="66">
        <v>3.9782799999999998E-3</v>
      </c>
      <c r="G25" s="66">
        <v>0</v>
      </c>
      <c r="H25" s="66">
        <v>0.211754</v>
      </c>
    </row>
    <row r="26" spans="1:8">
      <c r="A26" s="58" t="s">
        <v>323</v>
      </c>
      <c r="B26" s="196">
        <v>1.31303E-5</v>
      </c>
      <c r="C26" s="66">
        <v>3.5635599999999999E-3</v>
      </c>
      <c r="D26" s="66">
        <v>271.40100000000001</v>
      </c>
      <c r="E26" s="66">
        <v>0</v>
      </c>
      <c r="F26" s="66">
        <v>0</v>
      </c>
      <c r="G26" s="66">
        <v>0</v>
      </c>
      <c r="H26" s="66">
        <v>0.124862</v>
      </c>
    </row>
    <row r="27" spans="1:8">
      <c r="A27" s="58" t="s">
        <v>324</v>
      </c>
      <c r="B27" s="66">
        <v>0</v>
      </c>
      <c r="C27" s="66">
        <v>5.0229300000000001E-3</v>
      </c>
      <c r="D27" s="66">
        <v>0</v>
      </c>
      <c r="E27" s="66">
        <v>0</v>
      </c>
      <c r="F27" s="66">
        <v>-0.124764</v>
      </c>
      <c r="G27" s="66">
        <v>0</v>
      </c>
      <c r="H27" s="66">
        <v>0.12431399999999999</v>
      </c>
    </row>
    <row r="28" spans="1:8">
      <c r="A28" s="58" t="s">
        <v>325</v>
      </c>
      <c r="B28" s="66">
        <v>2.5878899999999998E-3</v>
      </c>
      <c r="C28" s="66">
        <v>1.0023199999999999E-2</v>
      </c>
      <c r="D28" s="66">
        <v>3.8731100000000001</v>
      </c>
      <c r="E28" s="66">
        <v>0</v>
      </c>
      <c r="F28" s="66">
        <v>0</v>
      </c>
      <c r="G28" s="66">
        <v>0</v>
      </c>
      <c r="H28" s="66">
        <v>0.13846700000000001</v>
      </c>
    </row>
    <row r="29" spans="1:8">
      <c r="A29" s="58" t="s">
        <v>326</v>
      </c>
      <c r="B29" s="66">
        <v>67.874300000000005</v>
      </c>
      <c r="C29" s="66">
        <v>12.061199999999999</v>
      </c>
      <c r="D29" s="66">
        <v>0.177699</v>
      </c>
      <c r="E29" s="66">
        <v>0</v>
      </c>
      <c r="F29" s="66">
        <v>36.027799999999999</v>
      </c>
      <c r="G29" s="66">
        <v>0</v>
      </c>
      <c r="H29" s="66">
        <v>90.5625</v>
      </c>
    </row>
    <row r="30" spans="1:8">
      <c r="A30" s="58" t="s">
        <v>327</v>
      </c>
      <c r="B30" s="66">
        <v>19.333300000000001</v>
      </c>
      <c r="C30" s="66">
        <v>7.40219</v>
      </c>
      <c r="D30" s="66">
        <v>0.38287199999999999</v>
      </c>
      <c r="E30" s="66">
        <v>0</v>
      </c>
      <c r="F30" s="66">
        <v>5.3799099999999997</v>
      </c>
      <c r="G30" s="66">
        <v>0</v>
      </c>
      <c r="H30" s="66">
        <v>29.667899999999999</v>
      </c>
    </row>
    <row r="31" spans="1:8">
      <c r="A31" s="58" t="s">
        <v>328</v>
      </c>
      <c r="B31" s="66">
        <v>90.507499999999993</v>
      </c>
      <c r="C31" s="66">
        <v>23.7105</v>
      </c>
      <c r="D31" s="66">
        <v>0.26197300000000001</v>
      </c>
      <c r="E31" s="66">
        <v>0</v>
      </c>
      <c r="F31" s="66">
        <v>27.282</v>
      </c>
      <c r="G31" s="66">
        <v>0</v>
      </c>
      <c r="H31" s="66">
        <v>134.79900000000001</v>
      </c>
    </row>
    <row r="32" spans="1:8">
      <c r="A32" s="58" t="s">
        <v>329</v>
      </c>
      <c r="B32" s="66">
        <v>0.210841</v>
      </c>
      <c r="C32" s="66">
        <v>9.8120100000000002E-2</v>
      </c>
      <c r="D32" s="66">
        <v>0.46537499999999998</v>
      </c>
      <c r="E32" s="66">
        <v>0.15</v>
      </c>
      <c r="F32" s="66">
        <v>0.102768</v>
      </c>
      <c r="G32" s="66">
        <v>0.4</v>
      </c>
      <c r="H32" s="66">
        <v>0.53079200000000004</v>
      </c>
    </row>
    <row r="33" spans="1:8">
      <c r="A33" s="58" t="s">
        <v>330</v>
      </c>
      <c r="B33" s="66">
        <v>0.37997900000000001</v>
      </c>
      <c r="C33" s="66">
        <v>4.7394800000000001E-2</v>
      </c>
      <c r="D33" s="66">
        <v>0.12472999999999999</v>
      </c>
      <c r="E33" s="66">
        <v>0</v>
      </c>
      <c r="F33" s="66">
        <v>0.29775499999999999</v>
      </c>
      <c r="G33" s="66">
        <v>0</v>
      </c>
      <c r="H33" s="66">
        <v>0.49238999999999999</v>
      </c>
    </row>
    <row r="34" spans="1:8">
      <c r="A34" s="58" t="s">
        <v>331</v>
      </c>
      <c r="B34" s="66">
        <v>0.185947</v>
      </c>
      <c r="C34" s="66">
        <v>2.6524099999999998E-2</v>
      </c>
      <c r="D34" s="66">
        <v>0.14264299999999999</v>
      </c>
      <c r="E34" s="66">
        <v>0.1</v>
      </c>
      <c r="F34" s="66">
        <v>0.13278999999999999</v>
      </c>
      <c r="G34" s="66">
        <v>0.25</v>
      </c>
      <c r="H34" s="66">
        <v>0.26315</v>
      </c>
    </row>
    <row r="35" spans="1:8">
      <c r="A35" s="58" t="s">
        <v>332</v>
      </c>
      <c r="B35" s="66">
        <v>8.2416299999999998E-2</v>
      </c>
      <c r="C35" s="66">
        <v>2.0446200000000001E-2</v>
      </c>
      <c r="D35" s="66">
        <v>0.248084</v>
      </c>
      <c r="E35" s="66">
        <v>0</v>
      </c>
      <c r="F35" s="66">
        <v>4.3810399999999999E-2</v>
      </c>
      <c r="G35" s="66">
        <v>0</v>
      </c>
      <c r="H35" s="66">
        <v>0.13639100000000001</v>
      </c>
    </row>
    <row r="36" spans="1:8">
      <c r="A36" s="58" t="s">
        <v>333</v>
      </c>
      <c r="B36" s="66">
        <v>0.16106500000000001</v>
      </c>
      <c r="C36" s="66">
        <v>9.3384300000000003E-2</v>
      </c>
      <c r="D36" s="66">
        <v>0.579793</v>
      </c>
      <c r="E36" s="66">
        <v>0</v>
      </c>
      <c r="F36" s="66">
        <v>3.4923799999999998E-2</v>
      </c>
      <c r="G36" s="66">
        <v>0</v>
      </c>
      <c r="H36" s="66">
        <v>0.44286500000000001</v>
      </c>
    </row>
    <row r="37" spans="1:8">
      <c r="A37" s="58" t="s">
        <v>334</v>
      </c>
      <c r="B37" s="66">
        <v>0.265241</v>
      </c>
      <c r="C37" s="66">
        <v>9.5598199999999994E-2</v>
      </c>
      <c r="D37" s="66">
        <v>0.36042000000000002</v>
      </c>
      <c r="E37" s="66">
        <v>0.1</v>
      </c>
      <c r="F37" s="66">
        <v>2.1833499999999999E-2</v>
      </c>
      <c r="G37" s="66">
        <v>0.5</v>
      </c>
      <c r="H37" s="66">
        <v>0.367311</v>
      </c>
    </row>
    <row r="38" spans="1:8">
      <c r="A38" s="58" t="s">
        <v>335</v>
      </c>
      <c r="B38" s="66">
        <v>0</v>
      </c>
      <c r="C38" s="66">
        <v>39.442500000000003</v>
      </c>
      <c r="D38" s="66">
        <v>0</v>
      </c>
      <c r="E38" s="66">
        <v>0</v>
      </c>
      <c r="F38" s="66">
        <v>-239.166</v>
      </c>
      <c r="G38" s="66">
        <v>0</v>
      </c>
      <c r="H38" s="66">
        <v>123.982</v>
      </c>
    </row>
    <row r="39" spans="1:8">
      <c r="A39" s="58" t="s">
        <v>336</v>
      </c>
      <c r="B39" s="66">
        <v>-2.6905000000000001</v>
      </c>
      <c r="C39" s="66">
        <v>6.5335200000000002</v>
      </c>
      <c r="D39" s="66">
        <v>-2.4283700000000001</v>
      </c>
      <c r="E39" s="66">
        <v>0</v>
      </c>
      <c r="F39" s="66">
        <v>-29.428100000000001</v>
      </c>
      <c r="G39" s="66">
        <v>0</v>
      </c>
      <c r="H39" s="66">
        <v>16.607299999999999</v>
      </c>
    </row>
    <row r="40" spans="1:8">
      <c r="A40" s="58" t="s">
        <v>337</v>
      </c>
      <c r="B40" s="66">
        <v>-0.48174099999999997</v>
      </c>
      <c r="C40" s="66">
        <v>1.3093699999999999</v>
      </c>
      <c r="D40" s="66">
        <v>-2.7179899999999999</v>
      </c>
      <c r="E40" s="66">
        <v>0</v>
      </c>
      <c r="F40" s="66">
        <v>-2.6522000000000001</v>
      </c>
      <c r="G40" s="66">
        <v>0</v>
      </c>
      <c r="H40" s="66">
        <v>2.51823</v>
      </c>
    </row>
    <row r="41" spans="1:8">
      <c r="A41" s="58" t="s">
        <v>338</v>
      </c>
      <c r="B41" s="66">
        <v>4.9270900000000003E-3</v>
      </c>
      <c r="C41" s="66">
        <v>0.37150899999999998</v>
      </c>
      <c r="D41" s="66">
        <v>75.401399999999995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-2.7529000000000001E-2</v>
      </c>
      <c r="C42" s="66">
        <v>0.203565</v>
      </c>
      <c r="D42" s="66">
        <v>-7.3945499999999997</v>
      </c>
      <c r="E42" s="66">
        <v>0</v>
      </c>
      <c r="F42" s="66">
        <v>-0.58311299999999999</v>
      </c>
      <c r="G42" s="66">
        <v>0</v>
      </c>
      <c r="H42" s="66">
        <v>0.687164</v>
      </c>
    </row>
    <row r="43" spans="1:8">
      <c r="A43" s="58" t="s">
        <v>340</v>
      </c>
      <c r="B43" s="66">
        <v>-6.7777799999999997E-3</v>
      </c>
      <c r="C43" s="66">
        <v>0.13156799999999999</v>
      </c>
      <c r="D43" s="66">
        <v>-19.4116</v>
      </c>
      <c r="E43" s="66">
        <v>0</v>
      </c>
      <c r="F43" s="66">
        <v>-0.18067900000000001</v>
      </c>
      <c r="G43" s="66">
        <v>0</v>
      </c>
      <c r="H43" s="66">
        <v>0.34125499999999998</v>
      </c>
    </row>
    <row r="44" spans="1:8">
      <c r="A44" s="58" t="s">
        <v>341</v>
      </c>
      <c r="B44" s="66">
        <v>-18.216100000000001</v>
      </c>
      <c r="C44" s="66">
        <v>6.3479799999999997</v>
      </c>
      <c r="D44" s="66">
        <v>-0.34848200000000001</v>
      </c>
      <c r="E44" s="66">
        <v>0</v>
      </c>
      <c r="F44" s="66">
        <v>-29.916699999999999</v>
      </c>
      <c r="G44" s="66">
        <v>0</v>
      </c>
      <c r="H44" s="66">
        <v>-4.4396899999999997</v>
      </c>
    </row>
    <row r="45" spans="1:8">
      <c r="A45" s="58" t="s">
        <v>342</v>
      </c>
      <c r="B45" s="66">
        <v>55.579700000000003</v>
      </c>
      <c r="C45" s="66">
        <v>8.4308200000000006</v>
      </c>
      <c r="D45" s="66">
        <v>0.15168899999999999</v>
      </c>
      <c r="E45" s="66">
        <v>0</v>
      </c>
      <c r="F45" s="66">
        <v>32.250100000000003</v>
      </c>
      <c r="G45" s="66">
        <v>0</v>
      </c>
      <c r="H45" s="66">
        <v>76.182400000000001</v>
      </c>
    </row>
    <row r="46" spans="1:8">
      <c r="A46" s="58" t="s">
        <v>343</v>
      </c>
      <c r="B46" s="66">
        <v>29.385200000000001</v>
      </c>
      <c r="C46" s="66">
        <v>7.7343700000000002</v>
      </c>
      <c r="D46" s="66">
        <v>0.263206</v>
      </c>
      <c r="E46" s="66">
        <v>0</v>
      </c>
      <c r="F46" s="66">
        <v>9.3451299999999993</v>
      </c>
      <c r="G46" s="66">
        <v>0</v>
      </c>
      <c r="H46" s="66">
        <v>42.263800000000003</v>
      </c>
    </row>
    <row r="47" spans="1:8">
      <c r="A47" s="58" t="s">
        <v>344</v>
      </c>
      <c r="B47" s="66">
        <v>0.48753000000000002</v>
      </c>
      <c r="C47" s="66">
        <v>0.169041</v>
      </c>
      <c r="D47" s="66">
        <v>0.34672900000000001</v>
      </c>
      <c r="E47" s="66">
        <v>0</v>
      </c>
      <c r="F47" s="66">
        <v>0.193775</v>
      </c>
      <c r="G47" s="66">
        <v>0</v>
      </c>
      <c r="H47" s="66">
        <v>1.15107</v>
      </c>
    </row>
    <row r="48" spans="1:8">
      <c r="A48" s="58" t="s">
        <v>345</v>
      </c>
      <c r="B48" s="66">
        <v>0.47004800000000002</v>
      </c>
      <c r="C48" s="66">
        <v>8.0782599999999996E-2</v>
      </c>
      <c r="D48" s="66">
        <v>0.17186000000000001</v>
      </c>
      <c r="E48" s="66">
        <v>0</v>
      </c>
      <c r="F48" s="66">
        <v>0.307529</v>
      </c>
      <c r="G48" s="66">
        <v>0</v>
      </c>
      <c r="H48" s="66">
        <v>0.61035499999999998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3.6996000000000002</v>
      </c>
      <c r="C5" s="66">
        <f>'M2'!C5-'M1'!C5</f>
        <v>-1.2068799999999991</v>
      </c>
      <c r="D5" s="66">
        <f>'M2'!D5-'M1'!D5</f>
        <v>-6.0991999999999997</v>
      </c>
      <c r="E5" s="66">
        <f>'M2'!E5-'M1'!E5</f>
        <v>0</v>
      </c>
      <c r="F5" s="66">
        <f>'M2'!F5-'M1'!F5</f>
        <v>18.230109999999996</v>
      </c>
      <c r="G5" s="66">
        <f>'M2'!G5-'M1'!G5</f>
        <v>0</v>
      </c>
      <c r="H5" s="66">
        <f>'M2'!H5-'M1'!H5</f>
        <v>15.244999999999997</v>
      </c>
    </row>
    <row r="6" spans="1:8">
      <c r="A6" s="66" t="s">
        <v>244</v>
      </c>
      <c r="B6" s="66">
        <f>'M2'!B6-'M1'!B6</f>
        <v>-1.7615999999999943</v>
      </c>
      <c r="C6" s="66">
        <f>'M2'!C6-'M1'!C6</f>
        <v>-0.68057999999999996</v>
      </c>
      <c r="D6" s="66">
        <f>'M2'!D6-'M1'!D6</f>
        <v>-1.2716699999999994</v>
      </c>
      <c r="E6" s="66">
        <f>'M2'!E6-'M1'!E6</f>
        <v>0</v>
      </c>
      <c r="F6" s="66">
        <f>'M2'!F6-'M1'!F6</f>
        <v>-1.9211000000000027</v>
      </c>
      <c r="G6" s="66">
        <f>'M2'!G6-'M1'!G6</f>
        <v>0</v>
      </c>
      <c r="H6" s="66">
        <f>'M2'!H6-'M1'!H6</f>
        <v>-2.6846999999999994</v>
      </c>
    </row>
    <row r="7" spans="1:8">
      <c r="A7" s="66" t="s">
        <v>245</v>
      </c>
      <c r="B7" s="66">
        <f>'M2'!B7-'M1'!B7</f>
        <v>-0.23959999999999937</v>
      </c>
      <c r="C7" s="66">
        <f>'M2'!C7-'M1'!C7</f>
        <v>-8.262439999999998</v>
      </c>
      <c r="D7" s="66">
        <f>'M2'!D7-'M1'!D7</f>
        <v>-38.544400000000003</v>
      </c>
      <c r="E7" s="66">
        <f>'M2'!E7-'M1'!E7</f>
        <v>0</v>
      </c>
      <c r="F7" s="66">
        <f>'M2'!F7-'M1'!F7</f>
        <v>-1.2484999999999999</v>
      </c>
      <c r="G7" s="66">
        <f>'M2'!G7-'M1'!G7</f>
        <v>0</v>
      </c>
      <c r="H7" s="66">
        <f>'M2'!H7-'M1'!H7</f>
        <v>-8.5202999999999989</v>
      </c>
    </row>
    <row r="8" spans="1:8">
      <c r="A8" s="66" t="s">
        <v>246</v>
      </c>
      <c r="B8" s="66">
        <f>'M2'!B8-'M1'!B8</f>
        <v>-0.16639999999999588</v>
      </c>
      <c r="C8" s="66">
        <f>'M2'!C8-'M1'!C8</f>
        <v>-0.65946999999999978</v>
      </c>
      <c r="D8" s="66">
        <f>'M2'!D8-'M1'!D8</f>
        <v>-1.9150400000000012</v>
      </c>
      <c r="E8" s="66">
        <f>'M2'!E8-'M1'!E8</f>
        <v>0</v>
      </c>
      <c r="F8" s="66">
        <f>'M2'!F8-'M1'!F8</f>
        <v>4.9105999999999987</v>
      </c>
      <c r="G8" s="66">
        <f>'M2'!G8-'M1'!G8</f>
        <v>0</v>
      </c>
      <c r="H8" s="66">
        <f>'M2'!H8-'M1'!H8</f>
        <v>4.3327999999999989</v>
      </c>
    </row>
    <row r="9" spans="1:8">
      <c r="A9" s="66" t="s">
        <v>247</v>
      </c>
      <c r="B9" s="66">
        <f>'M2'!B9-'M1'!B9</f>
        <v>5.8983000000000061</v>
      </c>
      <c r="C9" s="66">
        <f>'M2'!C9-'M1'!C9</f>
        <v>-0.27461000000000002</v>
      </c>
      <c r="D9" s="66">
        <f>'M2'!D9-'M1'!D9</f>
        <v>-1.5861000000000001</v>
      </c>
      <c r="E9" s="66">
        <f>'M2'!E9-'M1'!E9</f>
        <v>0</v>
      </c>
      <c r="F9" s="66">
        <f>'M2'!F9-'M1'!F9</f>
        <v>3.5762</v>
      </c>
      <c r="G9" s="66">
        <f>'M2'!G9-'M1'!G9</f>
        <v>0</v>
      </c>
      <c r="H9" s="66">
        <f>'M2'!H9-'M1'!H9</f>
        <v>-6.1422000000000025</v>
      </c>
    </row>
    <row r="10" spans="1:8">
      <c r="A10" s="66" t="s">
        <v>248</v>
      </c>
      <c r="B10" s="66">
        <f>'M2'!B10-'M1'!B10</f>
        <v>-10.701999999999998</v>
      </c>
      <c r="C10" s="66">
        <f>'M2'!C10-'M1'!C10</f>
        <v>-2.8598499999999998</v>
      </c>
      <c r="D10" s="66">
        <f>'M2'!D10-'M1'!D10</f>
        <v>-2.8269000000000002</v>
      </c>
      <c r="E10" s="66">
        <f>'M2'!E10-'M1'!E10</f>
        <v>0</v>
      </c>
      <c r="F10" s="66">
        <f>'M2'!F10-'M1'!F10</f>
        <v>-1.3736999999999995</v>
      </c>
      <c r="G10" s="66">
        <f>'M2'!G10-'M1'!G10</f>
        <v>0</v>
      </c>
      <c r="H10" s="66">
        <f>'M2'!H10-'M1'!H10</f>
        <v>-10.6205</v>
      </c>
    </row>
    <row r="11" spans="1:8">
      <c r="A11" s="66" t="s">
        <v>249</v>
      </c>
      <c r="B11" s="66">
        <f>'M2'!B11-'M1'!B11</f>
        <v>5.530479999999999</v>
      </c>
      <c r="C11" s="66">
        <f>'M2'!C11-'M1'!C11</f>
        <v>-1.9212200000000001</v>
      </c>
      <c r="D11" s="66">
        <f>'M2'!D11-'M1'!D11</f>
        <v>-29.8901</v>
      </c>
      <c r="E11" s="66">
        <f>'M2'!E11-'M1'!E11</f>
        <v>0</v>
      </c>
      <c r="F11" s="66">
        <f>'M2'!F11-'M1'!F11</f>
        <v>8.6658200000000001</v>
      </c>
      <c r="G11" s="66">
        <f>'M2'!G11-'M1'!G11</f>
        <v>0</v>
      </c>
      <c r="H11" s="66">
        <f>'M2'!H11-'M1'!H11</f>
        <v>4.4324999999999992</v>
      </c>
    </row>
    <row r="12" spans="1:8">
      <c r="A12" s="66" t="s">
        <v>250</v>
      </c>
      <c r="B12" s="66">
        <f>'M2'!B12-'M1'!B12</f>
        <v>-1.8467000000000056</v>
      </c>
      <c r="C12" s="66">
        <f>'M2'!C12-'M1'!C12</f>
        <v>-1.4184799999999997</v>
      </c>
      <c r="D12" s="66">
        <f>'M2'!D12-'M1'!D12</f>
        <v>-2.3693300000000006</v>
      </c>
      <c r="E12" s="66">
        <f>'M2'!E12-'M1'!E12</f>
        <v>0</v>
      </c>
      <c r="F12" s="66">
        <f>'M2'!F12-'M1'!F12</f>
        <v>8.0999999999995964E-2</v>
      </c>
      <c r="G12" s="66">
        <f>'M2'!G12-'M1'!G12</f>
        <v>0</v>
      </c>
      <c r="H12" s="66">
        <f>'M2'!H12-'M1'!H12</f>
        <v>-4.7336000000000027</v>
      </c>
    </row>
    <row r="13" spans="1:8">
      <c r="A13" s="66" t="s">
        <v>251</v>
      </c>
      <c r="B13" s="66">
        <f>'M2'!B13-'M1'!B13</f>
        <v>0.9894999999999996</v>
      </c>
      <c r="C13" s="66">
        <f>'M2'!C13-'M1'!C13</f>
        <v>-0.86805000000000021</v>
      </c>
      <c r="D13" s="66">
        <f>'M2'!D13-'M1'!D13</f>
        <v>-5.4374000000000002</v>
      </c>
      <c r="E13" s="66">
        <f>'M2'!E13-'M1'!E13</f>
        <v>0</v>
      </c>
      <c r="F13" s="66">
        <f>'M2'!F13-'M1'!F13</f>
        <v>2.1721000000000004</v>
      </c>
      <c r="G13" s="66">
        <f>'M2'!G13-'M1'!G13</f>
        <v>0</v>
      </c>
      <c r="H13" s="66">
        <f>'M2'!H13-'M1'!H13</f>
        <v>-0.90120000000000289</v>
      </c>
    </row>
    <row r="14" spans="1:8">
      <c r="A14" s="66" t="s">
        <v>252</v>
      </c>
      <c r="B14" s="66">
        <f>'M2'!B14-'M1'!B14</f>
        <v>-8.6804999999999986</v>
      </c>
      <c r="C14" s="66">
        <f>'M2'!C14-'M1'!C14</f>
        <v>-0.39652000000000065</v>
      </c>
      <c r="D14" s="66">
        <f>'M2'!D14-'M1'!D14</f>
        <v>11.252800000000001</v>
      </c>
      <c r="E14" s="66">
        <f>'M2'!E14-'M1'!E14</f>
        <v>0</v>
      </c>
      <c r="F14" s="66">
        <f>'M2'!F14-'M1'!F14</f>
        <v>1.64147</v>
      </c>
      <c r="G14" s="66">
        <f>'M2'!G14-'M1'!G14</f>
        <v>0</v>
      </c>
      <c r="H14" s="66">
        <f>'M2'!H14-'M1'!H14</f>
        <v>-5.2049999999999983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5.770900000000001E-2</v>
      </c>
      <c r="C18" s="66">
        <f>'M2'!C18-'M1'!C18</f>
        <v>3.7399700000000001E-2</v>
      </c>
      <c r="D18" s="66">
        <f>'M2'!D18-'M1'!D18</f>
        <v>6.6002400000000003E-2</v>
      </c>
      <c r="E18" s="66">
        <f>'M2'!E18-'M1'!E18</f>
        <v>0</v>
      </c>
      <c r="F18" s="66">
        <f>'M2'!F18-'M1'!F18</f>
        <v>0.52924199999999999</v>
      </c>
      <c r="G18" s="66">
        <f>'M2'!G18-'M1'!G18</f>
        <v>0</v>
      </c>
      <c r="H18" s="66">
        <f>'M2'!H18-'M1'!H18</f>
        <v>0.60404100000000005</v>
      </c>
    </row>
    <row r="19" spans="1:8">
      <c r="A19" s="66" t="s">
        <v>256</v>
      </c>
      <c r="B19" s="66">
        <f>'M2'!B19-'M1'!B19</f>
        <v>0.13162699999999994</v>
      </c>
      <c r="C19" s="66">
        <f>'M2'!C19-'M1'!C19</f>
        <v>4.6470600000000001E-2</v>
      </c>
      <c r="D19" s="66">
        <f>'M2'!D19-'M1'!D19</f>
        <v>5.9058100000000002E-2</v>
      </c>
      <c r="E19" s="66">
        <f>'M2'!E19-'M1'!E19</f>
        <v>0</v>
      </c>
      <c r="F19" s="66">
        <f>'M2'!F19-'M1'!F19</f>
        <v>0.74039200000000005</v>
      </c>
      <c r="G19" s="66">
        <f>'M2'!G19-'M1'!G19</f>
        <v>0</v>
      </c>
      <c r="H19" s="66">
        <f>'M2'!H19-'M1'!H19</f>
        <v>0.83333299999999999</v>
      </c>
    </row>
    <row r="20" spans="1:8">
      <c r="A20" s="66" t="s">
        <v>63</v>
      </c>
      <c r="B20" s="66">
        <f>'M2'!B20-'M1'!B20</f>
        <v>-7.9039000000000007E-6</v>
      </c>
      <c r="C20" s="66">
        <f>'M2'!C20-'M1'!C20</f>
        <v>-3.6474920000000001E-2</v>
      </c>
      <c r="D20" s="66">
        <f>'M2'!D20-'M1'!D20</f>
        <v>-1033.6940000000002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-0.96465089999999998</v>
      </c>
    </row>
    <row r="21" spans="1:8">
      <c r="A21" s="66" t="s">
        <v>64</v>
      </c>
      <c r="B21" s="66">
        <f>'M2'!B21-'M1'!B21</f>
        <v>-6.8100000000000105E-4</v>
      </c>
      <c r="C21" s="66">
        <f>'M2'!C21-'M1'!C21</f>
        <v>-8.7659000000000001E-2</v>
      </c>
      <c r="D21" s="66">
        <f>'M2'!D21-'M1'!D21</f>
        <v>-7.9399500000000005</v>
      </c>
      <c r="E21" s="66">
        <f>'M2'!E21-'M1'!E21</f>
        <v>0</v>
      </c>
      <c r="F21" s="66">
        <f>'M2'!F21-'M1'!F21</f>
        <v>-6.4338199999999998E-6</v>
      </c>
      <c r="G21" s="66">
        <f>'M2'!G21-'M1'!G21</f>
        <v>0</v>
      </c>
      <c r="H21" s="66">
        <f>'M2'!H21-'M1'!H21</f>
        <v>-1.0112329999999998</v>
      </c>
    </row>
    <row r="22" spans="1:8">
      <c r="A22" s="66" t="s">
        <v>65</v>
      </c>
      <c r="B22" s="66">
        <f>'M2'!B22-'M1'!B22</f>
        <v>3.5920999999999985</v>
      </c>
      <c r="C22" s="66">
        <f>'M2'!C22-'M1'!C22</f>
        <v>-8.8499999999999801E-2</v>
      </c>
      <c r="D22" s="66">
        <f>'M2'!D22-'M1'!D22</f>
        <v>-6.2259999999999982E-2</v>
      </c>
      <c r="E22" s="66">
        <f>'M2'!E22-'M1'!E22</f>
        <v>0</v>
      </c>
      <c r="F22" s="66">
        <f>'M2'!F22-'M1'!F22</f>
        <v>0.55840000000000067</v>
      </c>
      <c r="G22" s="66">
        <f>'M2'!G22-'M1'!G22</f>
        <v>0</v>
      </c>
      <c r="H22" s="66">
        <f>'M2'!H22-'M1'!H22</f>
        <v>-3.9311000000000007</v>
      </c>
    </row>
    <row r="23" spans="1:8">
      <c r="A23" s="66" t="s">
        <v>66</v>
      </c>
      <c r="B23" s="66">
        <f>'M2'!B23-'M1'!B23</f>
        <v>3.9736000000000011</v>
      </c>
      <c r="C23" s="66">
        <f>'M2'!C23-'M1'!C23</f>
        <v>-0.4757699999999998</v>
      </c>
      <c r="D23" s="66">
        <f>'M2'!D23-'M1'!D23</f>
        <v>-0.10798199999999999</v>
      </c>
      <c r="E23" s="66">
        <f>'M2'!E23-'M1'!E23</f>
        <v>0</v>
      </c>
      <c r="F23" s="66">
        <f>'M2'!F23-'M1'!F23</f>
        <v>5.1397800000000009</v>
      </c>
      <c r="G23" s="66">
        <f>'M2'!G23-'M1'!G23</f>
        <v>0</v>
      </c>
      <c r="H23" s="66">
        <f>'M2'!H23-'M1'!H23</f>
        <v>3.8535999999999984</v>
      </c>
    </row>
    <row r="24" spans="1:8">
      <c r="A24" s="66" t="s">
        <v>67</v>
      </c>
      <c r="B24" s="66">
        <f>'M2'!B24-'M1'!B24</f>
        <v>-1.7462100000000003E-5</v>
      </c>
      <c r="C24" s="66">
        <f>'M2'!C24-'M1'!C24</f>
        <v>-1.2011440000000002E-2</v>
      </c>
      <c r="D24" s="66">
        <f>'M2'!D24-'M1'!D24</f>
        <v>-144.1026</v>
      </c>
      <c r="E24" s="66">
        <f>'M2'!E24-'M1'!E24</f>
        <v>0</v>
      </c>
      <c r="F24" s="66">
        <f>'M2'!F24-'M1'!F24</f>
        <v>-2.5782984000000001E-6</v>
      </c>
      <c r="G24" s="66">
        <f>'M2'!G24-'M1'!G24</f>
        <v>0</v>
      </c>
      <c r="H24" s="66">
        <f>'M2'!H24-'M1'!H24</f>
        <v>-0.1529124</v>
      </c>
    </row>
    <row r="25" spans="1:8">
      <c r="A25" s="66" t="s">
        <v>68</v>
      </c>
      <c r="B25" s="66">
        <f>'M2'!B25-'M1'!B25</f>
        <v>-4.5911000000000007E-3</v>
      </c>
      <c r="C25" s="66">
        <f>'M2'!C25-'M1'!C25</f>
        <v>-3.6839940000000002E-2</v>
      </c>
      <c r="D25" s="66">
        <f>'M2'!D25-'M1'!D25</f>
        <v>-1.6078799999999998</v>
      </c>
      <c r="E25" s="66">
        <f>'M2'!E25-'M1'!E25</f>
        <v>0</v>
      </c>
      <c r="F25" s="66">
        <f>'M2'!F25-'M1'!F25</f>
        <v>-2.7692999999999988E-4</v>
      </c>
      <c r="G25" s="66">
        <f>'M2'!G25-'M1'!G25</f>
        <v>0</v>
      </c>
      <c r="H25" s="66">
        <f>'M2'!H25-'M1'!H25</f>
        <v>-0.16457919999999998</v>
      </c>
    </row>
    <row r="26" spans="1:8">
      <c r="A26" s="66" t="s">
        <v>69</v>
      </c>
      <c r="B26" s="66">
        <f>'M2'!B26-'M1'!B26</f>
        <v>-6.5651099999999999E-6</v>
      </c>
      <c r="C26" s="66">
        <f>'M2'!C26-'M1'!C26</f>
        <v>-4.6866299999999998E-3</v>
      </c>
      <c r="D26" s="66">
        <f>'M2'!D26-'M1'!D26</f>
        <v>-271.64670000000001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-0.12256092</v>
      </c>
    </row>
    <row r="27" spans="1:8">
      <c r="A27" s="66" t="s">
        <v>70</v>
      </c>
      <c r="B27" s="66">
        <f>'M2'!B27-'M1'!B27</f>
        <v>0</v>
      </c>
      <c r="C27" s="66">
        <f>'M2'!C27-'M1'!C27</f>
        <v>-6.8832249999999998E-3</v>
      </c>
      <c r="D27" s="66">
        <f>'M2'!D27-'M1'!D27</f>
        <v>0</v>
      </c>
      <c r="E27" s="66">
        <f>'M2'!E27-'M1'!E27</f>
        <v>0</v>
      </c>
      <c r="F27" s="66">
        <f>'M2'!F27-'M1'!F27</f>
        <v>0.12301111000000001</v>
      </c>
      <c r="G27" s="66">
        <f>'M2'!G27-'M1'!G27</f>
        <v>0</v>
      </c>
      <c r="H27" s="66">
        <f>'M2'!H27-'M1'!H27</f>
        <v>-0.12278433</v>
      </c>
    </row>
    <row r="28" spans="1:8">
      <c r="A28" s="66" t="s">
        <v>71</v>
      </c>
      <c r="B28" s="66">
        <f>'M2'!B28-'M1'!B28</f>
        <v>-3.4179999999999974E-4</v>
      </c>
      <c r="C28" s="66">
        <f>'M2'!C28-'M1'!C28</f>
        <v>-1.105078E-2</v>
      </c>
      <c r="D28" s="66">
        <f>'M2'!D28-'M1'!D28</f>
        <v>-4.0007099999999998</v>
      </c>
      <c r="E28" s="66">
        <f>'M2'!E28-'M1'!E28</f>
        <v>0</v>
      </c>
      <c r="F28" s="66">
        <f>'M2'!F28-'M1'!F28</f>
        <v>-3.25521E-6</v>
      </c>
      <c r="G28" s="66">
        <f>'M2'!G28-'M1'!G28</f>
        <v>0</v>
      </c>
      <c r="H28" s="66">
        <f>'M2'!H28-'M1'!H28</f>
        <v>-0.12317400000000001</v>
      </c>
    </row>
    <row r="29" spans="1:8">
      <c r="A29" s="66" t="s">
        <v>72</v>
      </c>
      <c r="B29" s="66">
        <f>'M2'!B29-'M1'!B29</f>
        <v>1.4531999999999954</v>
      </c>
      <c r="C29" s="66">
        <f>'M2'!C29-'M1'!C29</f>
        <v>-2.2627000000000006</v>
      </c>
      <c r="D29" s="66">
        <f>'M2'!D29-'M1'!D29</f>
        <v>-3.7290000000000018E-2</v>
      </c>
      <c r="E29" s="66">
        <f>'M2'!E29-'M1'!E29</f>
        <v>0</v>
      </c>
      <c r="F29" s="66">
        <f>'M2'!F29-'M1'!F29</f>
        <v>3.9359000000000037</v>
      </c>
      <c r="G29" s="66">
        <f>'M2'!G29-'M1'!G29</f>
        <v>0</v>
      </c>
      <c r="H29" s="66">
        <f>'M2'!H29-'M1'!H29</f>
        <v>-0.64759999999999707</v>
      </c>
    </row>
    <row r="30" spans="1:8">
      <c r="A30" s="66" t="s">
        <v>73</v>
      </c>
      <c r="B30" s="66">
        <f>'M2'!B30-'M1'!B30</f>
        <v>14.808459999999998</v>
      </c>
      <c r="C30" s="66">
        <f>'M2'!C30-'M1'!C30</f>
        <v>-1.5623200000000002</v>
      </c>
      <c r="D30" s="66">
        <f>'M2'!D30-'M1'!D30</f>
        <v>-0.371448</v>
      </c>
      <c r="E30" s="66">
        <f>'M2'!E30-'M1'!E30</f>
        <v>0</v>
      </c>
      <c r="F30" s="66">
        <f>'M2'!F30-'M1'!F30</f>
        <v>12.980990000000002</v>
      </c>
      <c r="G30" s="66">
        <f>'M2'!G30-'M1'!G30</f>
        <v>0</v>
      </c>
      <c r="H30" s="66">
        <f>'M2'!H30-'M1'!H30</f>
        <v>9.9484999999999992</v>
      </c>
    </row>
    <row r="31" spans="1:8">
      <c r="A31" s="66" t="s">
        <v>74</v>
      </c>
      <c r="B31" s="66">
        <f>'M2'!B31-'M1'!B31</f>
        <v>13.534900000000007</v>
      </c>
      <c r="C31" s="66">
        <f>'M2'!C31-'M1'!C31</f>
        <v>-11.676299999999999</v>
      </c>
      <c r="D31" s="66">
        <f>'M2'!D31-'M1'!D31</f>
        <v>-0.16304199999999999</v>
      </c>
      <c r="E31" s="66">
        <f>'M2'!E31-'M1'!E31</f>
        <v>0</v>
      </c>
      <c r="F31" s="66">
        <f>'M2'!F31-'M1'!F31</f>
        <v>51.783100000000005</v>
      </c>
      <c r="G31" s="66">
        <f>'M2'!G31-'M1'!G31</f>
        <v>0</v>
      </c>
      <c r="H31" s="66">
        <f>'M2'!H31-'M1'!H31</f>
        <v>30.814000000000007</v>
      </c>
    </row>
    <row r="32" spans="1:8">
      <c r="A32" s="66" t="s">
        <v>75</v>
      </c>
      <c r="B32" s="66">
        <f>'M2'!B32-'M1'!B32</f>
        <v>-2.3960000000000092E-3</v>
      </c>
      <c r="C32" s="66">
        <f>'M2'!C32-'M1'!C32</f>
        <v>-8.2624399999999987E-2</v>
      </c>
      <c r="D32" s="66">
        <f>'M2'!D32-'M1'!D32</f>
        <v>-0.38544400000000001</v>
      </c>
      <c r="E32" s="66">
        <f>'M2'!E32-'M1'!E32</f>
        <v>0</v>
      </c>
      <c r="F32" s="66">
        <f>'M2'!F32-'M1'!F32</f>
        <v>-1.2484999999999996E-2</v>
      </c>
      <c r="G32" s="66">
        <f>'M2'!G32-'M1'!G32</f>
        <v>0</v>
      </c>
      <c r="H32" s="66">
        <f>'M2'!H32-'M1'!H32</f>
        <v>-8.5203000000000029E-2</v>
      </c>
    </row>
    <row r="33" spans="1:8">
      <c r="A33" s="66" t="s">
        <v>76</v>
      </c>
      <c r="B33" s="66">
        <f>'M2'!B33-'M1'!B33</f>
        <v>9.1774000000000022E-2</v>
      </c>
      <c r="C33" s="66">
        <f>'M2'!C33-'M1'!C33</f>
        <v>-6.3377000000000017E-3</v>
      </c>
      <c r="D33" s="66">
        <f>'M2'!D33-'M1'!D33</f>
        <v>-3.1195400000000005E-2</v>
      </c>
      <c r="E33" s="66">
        <f>'M2'!E33-'M1'!E33</f>
        <v>0</v>
      </c>
      <c r="F33" s="66">
        <f>'M2'!F33-'M1'!F33</f>
        <v>6.1555000000000026E-2</v>
      </c>
      <c r="G33" s="66">
        <f>'M2'!G33-'M1'!G33</f>
        <v>0</v>
      </c>
      <c r="H33" s="66">
        <f>'M2'!H33-'M1'!H33</f>
        <v>-4.4011999999999996E-2</v>
      </c>
    </row>
    <row r="34" spans="1:8">
      <c r="A34" s="66" t="s">
        <v>77</v>
      </c>
      <c r="B34" s="66">
        <f>'M2'!B34-'M1'!B34</f>
        <v>9.8950000000000149E-3</v>
      </c>
      <c r="C34" s="66">
        <f>'M2'!C34-'M1'!C34</f>
        <v>-8.6805000000000007E-3</v>
      </c>
      <c r="D34" s="66">
        <f>'M2'!D34-'M1'!D34</f>
        <v>-5.4374000000000006E-2</v>
      </c>
      <c r="E34" s="66">
        <f>'M2'!E34-'M1'!E34</f>
        <v>0</v>
      </c>
      <c r="F34" s="66">
        <f>'M2'!F34-'M1'!F34</f>
        <v>2.1721000000000018E-2</v>
      </c>
      <c r="G34" s="66">
        <f>'M2'!G34-'M1'!G34</f>
        <v>0</v>
      </c>
      <c r="H34" s="66">
        <f>'M2'!H34-'M1'!H34</f>
        <v>-9.01200000000002E-3</v>
      </c>
    </row>
    <row r="35" spans="1:8">
      <c r="A35" s="66" t="s">
        <v>78</v>
      </c>
      <c r="B35" s="66">
        <f>'M2'!B35-'M1'!B35</f>
        <v>-1.0425000000000018E-3</v>
      </c>
      <c r="C35" s="66">
        <f>'M2'!C35-'M1'!C35</f>
        <v>-1.2320999999999999E-3</v>
      </c>
      <c r="D35" s="66">
        <f>'M2'!D35-'M1'!D35</f>
        <v>-1.1778999999999984E-2</v>
      </c>
      <c r="E35" s="66">
        <f>'M2'!E35-'M1'!E35</f>
        <v>0</v>
      </c>
      <c r="F35" s="66">
        <f>'M2'!F35-'M1'!F35</f>
        <v>1.0426299999999999E-2</v>
      </c>
      <c r="G35" s="66">
        <f>'M2'!G35-'M1'!G35</f>
        <v>0</v>
      </c>
      <c r="H35" s="66">
        <f>'M2'!H35-'M1'!H35</f>
        <v>-2.2250000000000048E-3</v>
      </c>
    </row>
    <row r="36" spans="1:8">
      <c r="A36" s="66" t="s">
        <v>79</v>
      </c>
      <c r="B36" s="66">
        <f>'M2'!B36-'M1'!B36</f>
        <v>1.3136000000000009E-2</v>
      </c>
      <c r="C36" s="66">
        <f>'M2'!C36-'M1'!C36</f>
        <v>1.2005999999999961E-3</v>
      </c>
      <c r="D36" s="66">
        <f>'M2'!D36-'M1'!D36</f>
        <v>-3.9104000000000028E-2</v>
      </c>
      <c r="E36" s="66">
        <f>'M2'!E36-'M1'!E36</f>
        <v>0</v>
      </c>
      <c r="F36" s="66">
        <f>'M2'!F36-'M1'!F36</f>
        <v>6.6101000000000007E-3</v>
      </c>
      <c r="G36" s="66">
        <f>'M2'!G36-'M1'!G36</f>
        <v>0</v>
      </c>
      <c r="H36" s="66">
        <f>'M2'!H36-'M1'!H36</f>
        <v>-6.848999999999994E-3</v>
      </c>
    </row>
    <row r="37" spans="1:8">
      <c r="A37" s="66" t="s">
        <v>80</v>
      </c>
      <c r="B37" s="66">
        <f>'M2'!B37-'M1'!B37</f>
        <v>-8.6805000000000021E-2</v>
      </c>
      <c r="C37" s="66">
        <f>'M2'!C37-'M1'!C37</f>
        <v>-3.9652000000000021E-3</v>
      </c>
      <c r="D37" s="66">
        <f>'M2'!D37-'M1'!D37</f>
        <v>0.11252800000000002</v>
      </c>
      <c r="E37" s="66">
        <f>'M2'!E37-'M1'!E37</f>
        <v>0</v>
      </c>
      <c r="F37" s="66">
        <f>'M2'!F37-'M1'!F37</f>
        <v>1.6414700000000004E-2</v>
      </c>
      <c r="G37" s="66">
        <f>'M2'!G37-'M1'!G37</f>
        <v>0</v>
      </c>
      <c r="H37" s="66">
        <f>'M2'!H37-'M1'!H37</f>
        <v>-5.2049999999999985E-2</v>
      </c>
    </row>
    <row r="38" spans="1:8">
      <c r="A38" s="66" t="s">
        <v>81</v>
      </c>
      <c r="B38" s="66">
        <f>'M2'!B38-'M1'!B38</f>
        <v>0</v>
      </c>
      <c r="C38" s="66">
        <f>'M2'!C38-'M1'!C38</f>
        <v>-7.1868000000000052</v>
      </c>
      <c r="D38" s="66">
        <f>'M2'!D38-'M1'!D38</f>
        <v>0</v>
      </c>
      <c r="E38" s="66">
        <f>'M2'!E38-'M1'!E38</f>
        <v>0</v>
      </c>
      <c r="F38" s="66">
        <f>'M2'!F38-'M1'!F38</f>
        <v>111.95699999999999</v>
      </c>
      <c r="G38" s="66">
        <f>'M2'!G38-'M1'!G38</f>
        <v>0</v>
      </c>
      <c r="H38" s="66">
        <f>'M2'!H38-'M1'!H38</f>
        <v>-15.864999999999995</v>
      </c>
    </row>
    <row r="39" spans="1:8">
      <c r="A39" s="66" t="s">
        <v>82</v>
      </c>
      <c r="B39" s="66">
        <f>'M2'!B39-'M1'!B39</f>
        <v>-0.21591000000000005</v>
      </c>
      <c r="C39" s="66">
        <f>'M2'!C39-'M1'!C39</f>
        <v>-0.61855999999999955</v>
      </c>
      <c r="D39" s="66">
        <f>'M2'!D39-'M1'!D39</f>
        <v>0.40287000000000006</v>
      </c>
      <c r="E39" s="66">
        <f>'M2'!E39-'M1'!E39</f>
        <v>0</v>
      </c>
      <c r="F39" s="66">
        <f>'M2'!F39-'M1'!F39</f>
        <v>10.2591</v>
      </c>
      <c r="G39" s="66">
        <f>'M2'!G39-'M1'!G39</f>
        <v>0</v>
      </c>
      <c r="H39" s="66">
        <f>'M2'!H39-'M1'!H39</f>
        <v>-8.9492199999999986</v>
      </c>
    </row>
    <row r="40" spans="1:8">
      <c r="A40" s="66" t="s">
        <v>83</v>
      </c>
      <c r="B40" s="66">
        <f>'M2'!B40-'M1'!B40</f>
        <v>-1.433489</v>
      </c>
      <c r="C40" s="66">
        <f>'M2'!C40-'M1'!C40</f>
        <v>0.30998999999999999</v>
      </c>
      <c r="D40" s="66">
        <f>'M2'!D40-'M1'!D40</f>
        <v>-4.6293299999999995</v>
      </c>
      <c r="E40" s="66">
        <f>'M2'!E40-'M1'!E40</f>
        <v>0</v>
      </c>
      <c r="F40" s="66">
        <f>'M2'!F40-'M1'!F40</f>
        <v>-0.85274000000000005</v>
      </c>
      <c r="G40" s="66">
        <f>'M2'!G40-'M1'!G40</f>
        <v>0</v>
      </c>
      <c r="H40" s="66">
        <f>'M2'!H40-'M1'!H40</f>
        <v>-0.59799000000000002</v>
      </c>
    </row>
    <row r="41" spans="1:8">
      <c r="A41" s="66" t="s">
        <v>84</v>
      </c>
      <c r="B41" s="66">
        <f>'M2'!B41-'M1'!B41</f>
        <v>-5.3382400000000002E-3</v>
      </c>
      <c r="C41" s="66">
        <f>'M2'!C41-'M1'!C41</f>
        <v>-3.7471000000000032E-2</v>
      </c>
      <c r="D41" s="66">
        <f>'M2'!D41-'M1'!D41</f>
        <v>-73.078100000000006</v>
      </c>
      <c r="E41" s="66">
        <f>'M2'!E41-'M1'!E41</f>
        <v>0</v>
      </c>
      <c r="F41" s="66">
        <f>'M2'!F41-'M1'!F41</f>
        <v>9.9999999999999978E-2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2.7156199999999998E-2</v>
      </c>
      <c r="C42" s="66">
        <f>'M2'!C42-'M1'!C42</f>
        <v>-2.5955000000000006E-2</v>
      </c>
      <c r="D42" s="66">
        <f>'M2'!D42-'M1'!D42</f>
        <v>-6.5428999999999995</v>
      </c>
      <c r="E42" s="66">
        <f>'M2'!E42-'M1'!E42</f>
        <v>0</v>
      </c>
      <c r="F42" s="66">
        <f>'M2'!F42-'M1'!F42</f>
        <v>-2.3890999999999996E-2</v>
      </c>
      <c r="G42" s="66">
        <f>'M2'!G42-'M1'!G42</f>
        <v>0</v>
      </c>
      <c r="H42" s="66">
        <f>'M2'!H42-'M1'!H42</f>
        <v>-0.37077300000000002</v>
      </c>
    </row>
    <row r="43" spans="1:8">
      <c r="A43" s="66" t="s">
        <v>86</v>
      </c>
      <c r="B43" s="66">
        <f>'M2'!B43-'M1'!B43</f>
        <v>-1.2570689999999999E-2</v>
      </c>
      <c r="C43" s="66">
        <f>'M2'!C43-'M1'!C43</f>
        <v>-3.7289000000000003E-2</v>
      </c>
      <c r="D43" s="66">
        <f>'M2'!D43-'M1'!D43</f>
        <v>-56.549900000000001</v>
      </c>
      <c r="E43" s="66">
        <f>'M2'!E43-'M1'!E43</f>
        <v>0</v>
      </c>
      <c r="F43" s="66">
        <f>'M2'!F43-'M1'!F43</f>
        <v>1.1975000000000013E-2</v>
      </c>
      <c r="G43" s="66">
        <f>'M2'!G43-'M1'!G43</f>
        <v>0</v>
      </c>
      <c r="H43" s="66">
        <f>'M2'!H43-'M1'!H43</f>
        <v>-0.13811399999999999</v>
      </c>
    </row>
    <row r="44" spans="1:8">
      <c r="A44" s="66" t="s">
        <v>87</v>
      </c>
      <c r="B44" s="66">
        <f>'M2'!B44-'M1'!B44</f>
        <v>6.2781999999999982</v>
      </c>
      <c r="C44" s="66">
        <f>'M2'!C44-'M1'!C44</f>
        <v>-3.27311</v>
      </c>
      <c r="D44" s="66">
        <f>'M2'!D44-'M1'!D44</f>
        <v>7.4622000000000022E-2</v>
      </c>
      <c r="E44" s="66">
        <f>'M2'!E44-'M1'!E44</f>
        <v>0</v>
      </c>
      <c r="F44" s="66">
        <f>'M2'!F44-'M1'!F44</f>
        <v>5.0544999999999973</v>
      </c>
      <c r="G44" s="66">
        <f>'M2'!G44-'M1'!G44</f>
        <v>0</v>
      </c>
      <c r="H44" s="66">
        <f>'M2'!H44-'M1'!H44</f>
        <v>-4.2470000000000674E-2</v>
      </c>
    </row>
    <row r="45" spans="1:8">
      <c r="A45" s="66" t="s">
        <v>88</v>
      </c>
      <c r="B45" s="66">
        <f>'M2'!B45-'M1'!B45</f>
        <v>-0.31640000000000157</v>
      </c>
      <c r="C45" s="66">
        <f>'M2'!C45-'M1'!C45</f>
        <v>0.9930399999999997</v>
      </c>
      <c r="D45" s="66">
        <f>'M2'!D45-'M1'!D45</f>
        <v>1.8727999999999995E-2</v>
      </c>
      <c r="E45" s="66">
        <f>'M2'!E45-'M1'!E45</f>
        <v>0</v>
      </c>
      <c r="F45" s="66">
        <f>'M2'!F45-'M1'!F45</f>
        <v>-2.0756999999999977</v>
      </c>
      <c r="G45" s="66">
        <f>'M2'!G45-'M1'!G45</f>
        <v>0</v>
      </c>
      <c r="H45" s="66">
        <f>'M2'!H45-'M1'!H45</f>
        <v>5.4588999999999999</v>
      </c>
    </row>
    <row r="46" spans="1:8">
      <c r="A46" s="66" t="s">
        <v>89</v>
      </c>
      <c r="B46" s="66">
        <f>'M2'!B46-'M1'!B46</f>
        <v>5.991299999999999</v>
      </c>
      <c r="C46" s="66">
        <f>'M2'!C46-'M1'!C46</f>
        <v>-3.2423799999999998</v>
      </c>
      <c r="D46" s="66">
        <f>'M2'!D46-'M1'!D46</f>
        <v>-0.15918099999999999</v>
      </c>
      <c r="E46" s="66">
        <f>'M2'!E46-'M1'!E46</f>
        <v>0</v>
      </c>
      <c r="F46" s="66">
        <f>'M2'!F46-'M1'!F46</f>
        <v>17.916870000000003</v>
      </c>
      <c r="G46" s="66">
        <f>'M2'!G46-'M1'!G46</f>
        <v>0</v>
      </c>
      <c r="H46" s="66">
        <f>'M2'!H46-'M1'!H46</f>
        <v>9.5521000000000029</v>
      </c>
    </row>
    <row r="47" spans="1:8">
      <c r="A47" s="66" t="s">
        <v>90</v>
      </c>
      <c r="B47" s="66">
        <f>'M2'!B47-'M1'!B47</f>
        <v>-7.2010000000000129E-3</v>
      </c>
      <c r="C47" s="66">
        <f>'M2'!C47-'M1'!C47</f>
        <v>6.3337000000000004E-2</v>
      </c>
      <c r="D47" s="66">
        <f>'M2'!D47-'M1'!D47</f>
        <v>0.13534799999999997</v>
      </c>
      <c r="E47" s="66">
        <f>'M2'!E47-'M1'!E47</f>
        <v>0</v>
      </c>
      <c r="F47" s="66">
        <f>'M2'!F47-'M1'!F47</f>
        <v>-4.0686E-2</v>
      </c>
      <c r="G47" s="66">
        <f>'M2'!G47-'M1'!G47</f>
        <v>0</v>
      </c>
      <c r="H47" s="66">
        <f>'M2'!H47-'M1'!H47</f>
        <v>0.14131000000000005</v>
      </c>
    </row>
    <row r="48" spans="1:8">
      <c r="A48" s="66" t="s">
        <v>91</v>
      </c>
      <c r="B48" s="66">
        <f>'M2'!B48-'M1'!B48</f>
        <v>0.14472800000000002</v>
      </c>
      <c r="C48" s="66">
        <f>'M2'!C48-'M1'!C48</f>
        <v>-1.3942900000000001E-2</v>
      </c>
      <c r="D48" s="66">
        <f>'M2'!D48-'M1'!D48</f>
        <v>-6.5582599999999991E-2</v>
      </c>
      <c r="E48" s="66">
        <f>'M2'!E48-'M1'!E48</f>
        <v>0</v>
      </c>
      <c r="F48" s="66">
        <f>'M2'!F48-'M1'!F48</f>
        <v>0.129384</v>
      </c>
      <c r="G48" s="66">
        <f>'M2'!G48-'M1'!G48</f>
        <v>0</v>
      </c>
      <c r="H48" s="66">
        <f>'M2'!H48-'M1'!H48</f>
        <v>7.6537999999999995E-2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31.758500000000002</v>
      </c>
      <c r="C5" s="66">
        <v>8.2048799999999993</v>
      </c>
      <c r="D5" s="66">
        <v>25.8352</v>
      </c>
      <c r="E5" s="66">
        <v>20</v>
      </c>
      <c r="F5" s="66">
        <v>9.0540900000000004</v>
      </c>
      <c r="G5" s="66">
        <v>50</v>
      </c>
      <c r="H5" s="66">
        <v>38.508800000000001</v>
      </c>
    </row>
    <row r="6" spans="1:8">
      <c r="A6" s="66" t="s">
        <v>358</v>
      </c>
      <c r="B6" s="66">
        <v>45.031599999999997</v>
      </c>
      <c r="C6" s="66">
        <v>3.33162</v>
      </c>
      <c r="D6" s="66">
        <v>7.3983999999999996</v>
      </c>
      <c r="E6" s="66">
        <v>20</v>
      </c>
      <c r="F6" s="66">
        <v>40.1661</v>
      </c>
      <c r="G6" s="66">
        <v>40</v>
      </c>
      <c r="H6" s="66">
        <v>52.6462</v>
      </c>
    </row>
    <row r="7" spans="1:8">
      <c r="A7" s="66" t="s">
        <v>359</v>
      </c>
      <c r="B7" s="66">
        <v>21.3095</v>
      </c>
      <c r="C7" s="66">
        <v>12.555199999999999</v>
      </c>
      <c r="D7" s="66">
        <v>58.918300000000002</v>
      </c>
      <c r="E7" s="66">
        <v>15</v>
      </c>
      <c r="F7" s="66">
        <v>11.5253</v>
      </c>
      <c r="G7" s="66">
        <v>40</v>
      </c>
      <c r="H7" s="66">
        <v>53.0792</v>
      </c>
    </row>
    <row r="8" spans="1:8">
      <c r="A8" s="66" t="s">
        <v>360</v>
      </c>
      <c r="B8" s="66">
        <v>33.669499999999999</v>
      </c>
      <c r="C8" s="66">
        <v>3.61449</v>
      </c>
      <c r="D8" s="66">
        <v>10.735200000000001</v>
      </c>
      <c r="E8" s="66">
        <v>20</v>
      </c>
      <c r="F8" s="66">
        <v>25.0745</v>
      </c>
      <c r="G8" s="66">
        <v>50</v>
      </c>
      <c r="H8" s="66">
        <v>37.896999999999998</v>
      </c>
    </row>
    <row r="9" spans="1:8">
      <c r="A9" s="66" t="s">
        <v>361</v>
      </c>
      <c r="B9" s="66">
        <v>60.438800000000001</v>
      </c>
      <c r="C9" s="66">
        <v>7.9670899999999998</v>
      </c>
      <c r="D9" s="66">
        <v>13.1821</v>
      </c>
      <c r="E9" s="66">
        <v>50</v>
      </c>
      <c r="F9" s="66">
        <v>43.449599999999997</v>
      </c>
      <c r="G9" s="66">
        <v>100</v>
      </c>
      <c r="H9" s="66">
        <v>81.223500000000001</v>
      </c>
    </row>
    <row r="10" spans="1:8">
      <c r="A10" s="66" t="s">
        <v>362</v>
      </c>
      <c r="B10" s="66">
        <v>56.170099999999998</v>
      </c>
      <c r="C10" s="66">
        <v>8.2639999999999993</v>
      </c>
      <c r="D10" s="66">
        <v>14.7125</v>
      </c>
      <c r="E10" s="66">
        <v>40</v>
      </c>
      <c r="F10" s="66">
        <v>35.488300000000002</v>
      </c>
      <c r="G10" s="66">
        <v>100</v>
      </c>
      <c r="H10" s="66">
        <v>63.982500000000002</v>
      </c>
    </row>
    <row r="11" spans="1:8">
      <c r="A11" s="66" t="s">
        <v>363</v>
      </c>
      <c r="B11" s="66">
        <v>8.9048200000000008</v>
      </c>
      <c r="C11" s="66">
        <v>3.8538700000000001</v>
      </c>
      <c r="D11" s="66">
        <v>43.278500000000001</v>
      </c>
      <c r="E11" s="66">
        <v>10</v>
      </c>
      <c r="F11" s="66">
        <v>3.1889799999999999</v>
      </c>
      <c r="G11" s="66">
        <v>50</v>
      </c>
      <c r="H11" s="66">
        <v>14.857799999999999</v>
      </c>
    </row>
    <row r="12" spans="1:8">
      <c r="A12" s="66" t="s">
        <v>364</v>
      </c>
      <c r="B12" s="66">
        <v>56.258200000000002</v>
      </c>
      <c r="C12" s="66">
        <v>3.93912</v>
      </c>
      <c r="D12" s="66">
        <v>7.0018700000000003</v>
      </c>
      <c r="E12" s="66">
        <v>50</v>
      </c>
      <c r="F12" s="66">
        <v>47.051600000000001</v>
      </c>
      <c r="G12" s="66">
        <v>100</v>
      </c>
      <c r="H12" s="66">
        <v>65.3048</v>
      </c>
    </row>
    <row r="13" spans="1:8">
      <c r="A13" s="66" t="s">
        <v>365</v>
      </c>
      <c r="B13" s="66">
        <v>18.016400000000001</v>
      </c>
      <c r="C13" s="66">
        <v>3.01119</v>
      </c>
      <c r="D13" s="66">
        <v>16.7136</v>
      </c>
      <c r="E13" s="66">
        <v>10</v>
      </c>
      <c r="F13" s="66">
        <v>13.279</v>
      </c>
      <c r="G13" s="66">
        <v>25</v>
      </c>
      <c r="H13" s="66">
        <v>26.315000000000001</v>
      </c>
    </row>
    <row r="14" spans="1:8">
      <c r="A14" s="66" t="s">
        <v>366</v>
      </c>
      <c r="B14" s="66">
        <v>30.111899999999999</v>
      </c>
      <c r="C14" s="66">
        <v>9.7412500000000009</v>
      </c>
      <c r="D14" s="66">
        <v>32.350099999999998</v>
      </c>
      <c r="E14" s="66">
        <v>10</v>
      </c>
      <c r="F14" s="66">
        <v>2.1833499999999999</v>
      </c>
      <c r="G14" s="66">
        <v>50</v>
      </c>
      <c r="H14" s="66">
        <v>36.731099999999998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0.50893299999999997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0.65523600000000004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3.4093600000000002E-5</v>
      </c>
      <c r="C20" s="66">
        <v>4.0559100000000001E-2</v>
      </c>
      <c r="D20" s="66">
        <v>1189.6400000000001</v>
      </c>
      <c r="E20" s="66">
        <v>0</v>
      </c>
      <c r="F20" s="66">
        <v>0</v>
      </c>
      <c r="G20" s="66">
        <v>0</v>
      </c>
      <c r="H20" s="66">
        <v>1.00624</v>
      </c>
    </row>
    <row r="21" spans="1:8">
      <c r="A21" s="66" t="s">
        <v>373</v>
      </c>
      <c r="B21" s="66">
        <v>1.0813700000000001E-2</v>
      </c>
      <c r="C21" s="66">
        <v>0.114423</v>
      </c>
      <c r="D21" s="66">
        <v>10.581300000000001</v>
      </c>
      <c r="E21" s="66">
        <v>0</v>
      </c>
      <c r="F21" s="196">
        <v>6.4338199999999998E-6</v>
      </c>
      <c r="G21" s="66">
        <v>0</v>
      </c>
      <c r="H21" s="66">
        <v>1.1489799999999999</v>
      </c>
    </row>
    <row r="22" spans="1:8">
      <c r="A22" s="66" t="s">
        <v>374</v>
      </c>
      <c r="B22" s="66">
        <v>25.7622</v>
      </c>
      <c r="C22" s="66">
        <v>12.4719</v>
      </c>
      <c r="D22" s="66">
        <v>0.48411799999999999</v>
      </c>
      <c r="E22" s="66">
        <v>0</v>
      </c>
      <c r="F22" s="66">
        <v>12.384399999999999</v>
      </c>
      <c r="G22" s="66">
        <v>0</v>
      </c>
      <c r="H22" s="66">
        <v>68.563900000000004</v>
      </c>
    </row>
    <row r="23" spans="1:8">
      <c r="A23" s="66" t="s">
        <v>375</v>
      </c>
      <c r="B23" s="66">
        <v>9.3805999999999994</v>
      </c>
      <c r="C23" s="66">
        <v>2.2810299999999999</v>
      </c>
      <c r="D23" s="66">
        <v>0.24316499999999999</v>
      </c>
      <c r="E23" s="66">
        <v>0</v>
      </c>
      <c r="F23" s="66">
        <v>5.9423199999999996</v>
      </c>
      <c r="G23" s="66">
        <v>0</v>
      </c>
      <c r="H23" s="66">
        <v>13.285600000000001</v>
      </c>
    </row>
    <row r="24" spans="1:8">
      <c r="A24" s="66" t="s">
        <v>376</v>
      </c>
      <c r="B24" s="196">
        <v>7.8302700000000005E-5</v>
      </c>
      <c r="C24" s="66">
        <v>1.4547300000000001E-2</v>
      </c>
      <c r="D24" s="66">
        <v>185.78299999999999</v>
      </c>
      <c r="E24" s="66">
        <v>0</v>
      </c>
      <c r="F24" s="196">
        <v>2.55699E-6</v>
      </c>
      <c r="G24" s="66">
        <v>0</v>
      </c>
      <c r="H24" s="66">
        <v>0.16669900000000001</v>
      </c>
    </row>
    <row r="25" spans="1:8">
      <c r="A25" s="66" t="s">
        <v>377</v>
      </c>
      <c r="B25" s="66">
        <v>2.13209E-2</v>
      </c>
      <c r="C25" s="66">
        <v>4.6163299999999997E-2</v>
      </c>
      <c r="D25" s="66">
        <v>2.1651699999999998</v>
      </c>
      <c r="E25" s="66">
        <v>0</v>
      </c>
      <c r="F25" s="66">
        <v>4.2552099999999997E-3</v>
      </c>
      <c r="G25" s="66">
        <v>0</v>
      </c>
      <c r="H25" s="66">
        <v>0.211754</v>
      </c>
    </row>
    <row r="26" spans="1:8">
      <c r="A26" s="66" t="s">
        <v>378</v>
      </c>
      <c r="B26" s="196">
        <v>1.64128E-5</v>
      </c>
      <c r="C26" s="66">
        <v>5.0288299999999998E-3</v>
      </c>
      <c r="D26" s="66">
        <v>306.39600000000002</v>
      </c>
      <c r="E26" s="66">
        <v>0</v>
      </c>
      <c r="F26" s="66">
        <v>0</v>
      </c>
      <c r="G26" s="66">
        <v>0</v>
      </c>
      <c r="H26" s="66">
        <v>0.124862</v>
      </c>
    </row>
    <row r="27" spans="1:8">
      <c r="A27" s="66" t="s">
        <v>379</v>
      </c>
      <c r="B27" s="66">
        <v>0</v>
      </c>
      <c r="C27" s="66">
        <v>7.1059299999999999E-3</v>
      </c>
      <c r="D27" s="66">
        <v>0</v>
      </c>
      <c r="E27" s="66">
        <v>0</v>
      </c>
      <c r="F27" s="66">
        <v>-0.124764</v>
      </c>
      <c r="G27" s="66">
        <v>0</v>
      </c>
      <c r="H27" s="66">
        <v>0.12431399999999999</v>
      </c>
    </row>
    <row r="28" spans="1:8">
      <c r="A28" s="66" t="s">
        <v>380</v>
      </c>
      <c r="B28" s="66">
        <v>2.6595099999999999E-3</v>
      </c>
      <c r="C28" s="66">
        <v>1.3837E-2</v>
      </c>
      <c r="D28" s="66">
        <v>5.2028600000000003</v>
      </c>
      <c r="E28" s="66">
        <v>0</v>
      </c>
      <c r="F28" s="196">
        <v>3.25521E-6</v>
      </c>
      <c r="G28" s="66">
        <v>0</v>
      </c>
      <c r="H28" s="66">
        <v>0.13846700000000001</v>
      </c>
    </row>
    <row r="29" spans="1:8">
      <c r="A29" s="66" t="s">
        <v>381</v>
      </c>
      <c r="B29" s="66">
        <v>66.8767</v>
      </c>
      <c r="C29" s="66">
        <v>13.128500000000001</v>
      </c>
      <c r="D29" s="66">
        <v>0.19631000000000001</v>
      </c>
      <c r="E29" s="66">
        <v>0</v>
      </c>
      <c r="F29" s="66">
        <v>36.027799999999999</v>
      </c>
      <c r="G29" s="66">
        <v>0</v>
      </c>
      <c r="H29" s="66">
        <v>90.5625</v>
      </c>
    </row>
    <row r="30" spans="1:8">
      <c r="A30" s="66" t="s">
        <v>382</v>
      </c>
      <c r="B30" s="66">
        <v>9.8290400000000009</v>
      </c>
      <c r="C30" s="66">
        <v>5.0373200000000002</v>
      </c>
      <c r="D30" s="66">
        <v>0.51249299999999998</v>
      </c>
      <c r="E30" s="66">
        <v>0</v>
      </c>
      <c r="F30" s="66">
        <v>5.3799099999999997</v>
      </c>
      <c r="G30" s="66">
        <v>0</v>
      </c>
      <c r="H30" s="66">
        <v>19.7194</v>
      </c>
    </row>
    <row r="31" spans="1:8">
      <c r="A31" s="66" t="s">
        <v>383</v>
      </c>
      <c r="B31" s="66">
        <v>82.805999999999997</v>
      </c>
      <c r="C31" s="66">
        <v>24.663399999999999</v>
      </c>
      <c r="D31" s="66">
        <v>0.297846</v>
      </c>
      <c r="E31" s="66">
        <v>0</v>
      </c>
      <c r="F31" s="66">
        <v>27.282</v>
      </c>
      <c r="G31" s="66">
        <v>0</v>
      </c>
      <c r="H31" s="66">
        <v>103.985</v>
      </c>
    </row>
    <row r="32" spans="1:8">
      <c r="A32" s="66" t="s">
        <v>384</v>
      </c>
      <c r="B32" s="66">
        <v>0.21309500000000001</v>
      </c>
      <c r="C32" s="66">
        <v>0.125552</v>
      </c>
      <c r="D32" s="66">
        <v>0.58918300000000001</v>
      </c>
      <c r="E32" s="66">
        <v>0.15</v>
      </c>
      <c r="F32" s="66">
        <v>0.11525299999999999</v>
      </c>
      <c r="G32" s="66">
        <v>0.4</v>
      </c>
      <c r="H32" s="66">
        <v>0.53079200000000004</v>
      </c>
    </row>
    <row r="33" spans="1:8">
      <c r="A33" s="66" t="s">
        <v>385</v>
      </c>
      <c r="B33" s="66">
        <v>0.32498199999999999</v>
      </c>
      <c r="C33" s="66">
        <v>2.3595000000000001E-2</v>
      </c>
      <c r="D33" s="66">
        <v>7.2604100000000005E-2</v>
      </c>
      <c r="E33" s="66">
        <v>0</v>
      </c>
      <c r="F33" s="66">
        <v>0.29775499999999999</v>
      </c>
      <c r="G33" s="66">
        <v>0</v>
      </c>
      <c r="H33" s="66">
        <v>0.49238999999999999</v>
      </c>
    </row>
    <row r="34" spans="1:8">
      <c r="A34" s="66" t="s">
        <v>386</v>
      </c>
      <c r="B34" s="66">
        <v>0.18016399999999999</v>
      </c>
      <c r="C34" s="66">
        <v>3.01119E-2</v>
      </c>
      <c r="D34" s="66">
        <v>0.16713600000000001</v>
      </c>
      <c r="E34" s="66">
        <v>0.1</v>
      </c>
      <c r="F34" s="66">
        <v>0.13278999999999999</v>
      </c>
      <c r="G34" s="66">
        <v>0.25</v>
      </c>
      <c r="H34" s="66">
        <v>0.26315</v>
      </c>
    </row>
    <row r="35" spans="1:8">
      <c r="A35" s="66" t="s">
        <v>387</v>
      </c>
      <c r="B35" s="66">
        <v>8.3407300000000004E-2</v>
      </c>
      <c r="C35" s="66">
        <v>2.0958500000000001E-2</v>
      </c>
      <c r="D35" s="66">
        <v>0.25127899999999997</v>
      </c>
      <c r="E35" s="66">
        <v>0</v>
      </c>
      <c r="F35" s="66">
        <v>4.3810399999999999E-2</v>
      </c>
      <c r="G35" s="66">
        <v>0</v>
      </c>
      <c r="H35" s="66">
        <v>0.13639100000000001</v>
      </c>
    </row>
    <row r="36" spans="1:8">
      <c r="A36" s="66" t="s">
        <v>388</v>
      </c>
      <c r="B36" s="66">
        <v>0.155748</v>
      </c>
      <c r="C36" s="66">
        <v>9.25343E-2</v>
      </c>
      <c r="D36" s="66">
        <v>0.59412900000000002</v>
      </c>
      <c r="E36" s="66">
        <v>0</v>
      </c>
      <c r="F36" s="66">
        <v>3.4923799999999998E-2</v>
      </c>
      <c r="G36" s="66">
        <v>0</v>
      </c>
      <c r="H36" s="66">
        <v>0.44286500000000001</v>
      </c>
    </row>
    <row r="37" spans="1:8">
      <c r="A37" s="66" t="s">
        <v>389</v>
      </c>
      <c r="B37" s="66">
        <v>0.30111900000000003</v>
      </c>
      <c r="C37" s="66">
        <v>9.7412499999999999E-2</v>
      </c>
      <c r="D37" s="66">
        <v>0.32350099999999998</v>
      </c>
      <c r="E37" s="66">
        <v>0.1</v>
      </c>
      <c r="F37" s="66">
        <v>2.1833499999999999E-2</v>
      </c>
      <c r="G37" s="66">
        <v>0.5</v>
      </c>
      <c r="H37" s="66">
        <v>0.367311</v>
      </c>
    </row>
    <row r="38" spans="1:8">
      <c r="A38" s="66" t="s">
        <v>390</v>
      </c>
      <c r="B38" s="66">
        <v>0</v>
      </c>
      <c r="C38" s="66">
        <v>42.850700000000003</v>
      </c>
      <c r="D38" s="66">
        <v>0</v>
      </c>
      <c r="E38" s="66">
        <v>0</v>
      </c>
      <c r="F38" s="66">
        <v>-239.166</v>
      </c>
      <c r="G38" s="66">
        <v>0</v>
      </c>
      <c r="H38" s="66">
        <v>123.982</v>
      </c>
    </row>
    <row r="39" spans="1:8">
      <c r="A39" s="66" t="s">
        <v>391</v>
      </c>
      <c r="B39" s="66">
        <v>-2.6770800000000001</v>
      </c>
      <c r="C39" s="66">
        <v>6.7817499999999997</v>
      </c>
      <c r="D39" s="66">
        <v>-2.5332599999999998</v>
      </c>
      <c r="E39" s="66">
        <v>0</v>
      </c>
      <c r="F39" s="66">
        <v>-29.428100000000001</v>
      </c>
      <c r="G39" s="66">
        <v>0</v>
      </c>
      <c r="H39" s="66">
        <v>16.607299999999999</v>
      </c>
    </row>
    <row r="40" spans="1:8">
      <c r="A40" s="66" t="s">
        <v>392</v>
      </c>
      <c r="B40" s="66">
        <v>0.315529</v>
      </c>
      <c r="C40" s="66">
        <v>1.07094</v>
      </c>
      <c r="D40" s="66">
        <v>3.39411</v>
      </c>
      <c r="E40" s="66">
        <v>0</v>
      </c>
      <c r="F40" s="66">
        <v>-1.7994600000000001</v>
      </c>
      <c r="G40" s="66">
        <v>0</v>
      </c>
      <c r="H40" s="66">
        <v>2.51823</v>
      </c>
    </row>
    <row r="41" spans="1:8">
      <c r="A41" s="66" t="s">
        <v>393</v>
      </c>
      <c r="B41" s="66">
        <v>5.3382400000000002E-3</v>
      </c>
      <c r="C41" s="66">
        <v>0.39010800000000001</v>
      </c>
      <c r="D41" s="66">
        <v>73.078100000000006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-4.3700999999999997E-2</v>
      </c>
      <c r="C42" s="66">
        <v>0.21597</v>
      </c>
      <c r="D42" s="66">
        <v>-4.9420000000000002</v>
      </c>
      <c r="E42" s="66">
        <v>0</v>
      </c>
      <c r="F42" s="66">
        <v>-0.559222</v>
      </c>
      <c r="G42" s="66">
        <v>0</v>
      </c>
      <c r="H42" s="66">
        <v>0.687164</v>
      </c>
    </row>
    <row r="43" spans="1:8">
      <c r="A43" s="66" t="s">
        <v>395</v>
      </c>
      <c r="B43" s="66">
        <v>3.3399200000000001E-3</v>
      </c>
      <c r="C43" s="66">
        <v>0.14859800000000001</v>
      </c>
      <c r="D43" s="66">
        <v>44.491399999999999</v>
      </c>
      <c r="E43" s="66">
        <v>0</v>
      </c>
      <c r="F43" s="66">
        <v>-0.18067900000000001</v>
      </c>
      <c r="G43" s="66">
        <v>0</v>
      </c>
      <c r="H43" s="66">
        <v>0.34125499999999998</v>
      </c>
    </row>
    <row r="44" spans="1:8">
      <c r="A44" s="66" t="s">
        <v>396</v>
      </c>
      <c r="B44" s="66">
        <v>-23.901399999999999</v>
      </c>
      <c r="C44" s="66">
        <v>7.4542299999999999</v>
      </c>
      <c r="D44" s="66">
        <v>-0.31187300000000001</v>
      </c>
      <c r="E44" s="66">
        <v>0</v>
      </c>
      <c r="F44" s="66">
        <v>-29.916699999999999</v>
      </c>
      <c r="G44" s="66">
        <v>0</v>
      </c>
      <c r="H44" s="66">
        <v>-4.4396899999999997</v>
      </c>
    </row>
    <row r="45" spans="1:8">
      <c r="A45" s="66" t="s">
        <v>397</v>
      </c>
      <c r="B45" s="66">
        <v>55.7438</v>
      </c>
      <c r="C45" s="66">
        <v>7.9301199999999996</v>
      </c>
      <c r="D45" s="66">
        <v>0.14226</v>
      </c>
      <c r="E45" s="66">
        <v>0</v>
      </c>
      <c r="F45" s="66">
        <v>34.325800000000001</v>
      </c>
      <c r="G45" s="66">
        <v>0</v>
      </c>
      <c r="H45" s="66">
        <v>70.723500000000001</v>
      </c>
    </row>
    <row r="46" spans="1:8">
      <c r="A46" s="66" t="s">
        <v>398</v>
      </c>
      <c r="B46" s="66">
        <v>25.276900000000001</v>
      </c>
      <c r="C46" s="66">
        <v>7.3194699999999999</v>
      </c>
      <c r="D46" s="66">
        <v>0.289572</v>
      </c>
      <c r="E46" s="66">
        <v>0</v>
      </c>
      <c r="F46" s="66">
        <v>9.3451299999999993</v>
      </c>
      <c r="G46" s="66">
        <v>0</v>
      </c>
      <c r="H46" s="66">
        <v>32.7117</v>
      </c>
    </row>
    <row r="47" spans="1:8">
      <c r="A47" s="66" t="s">
        <v>399</v>
      </c>
      <c r="B47" s="66">
        <v>0.48978500000000003</v>
      </c>
      <c r="C47" s="66">
        <v>0.13469999999999999</v>
      </c>
      <c r="D47" s="66">
        <v>0.27501900000000001</v>
      </c>
      <c r="E47" s="66">
        <v>0</v>
      </c>
      <c r="F47" s="66">
        <v>0.234461</v>
      </c>
      <c r="G47" s="66">
        <v>0</v>
      </c>
      <c r="H47" s="66">
        <v>1.00976</v>
      </c>
    </row>
    <row r="48" spans="1:8">
      <c r="A48" s="66" t="s">
        <v>400</v>
      </c>
      <c r="B48" s="66">
        <v>0.38938800000000001</v>
      </c>
      <c r="C48" s="66">
        <v>5.6730099999999999E-2</v>
      </c>
      <c r="D48" s="66">
        <v>0.14569099999999999</v>
      </c>
      <c r="E48" s="66">
        <v>0</v>
      </c>
      <c r="F48" s="66">
        <v>0.307529</v>
      </c>
      <c r="G48" s="66">
        <v>0</v>
      </c>
      <c r="H48" s="66">
        <v>0.53381699999999999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35.458100000000002</v>
      </c>
      <c r="C5" s="66">
        <v>6.9980000000000002</v>
      </c>
      <c r="D5" s="66">
        <v>19.736000000000001</v>
      </c>
      <c r="E5" s="66">
        <v>20</v>
      </c>
      <c r="F5" s="66">
        <v>27.284199999999998</v>
      </c>
      <c r="G5" s="66">
        <v>50</v>
      </c>
      <c r="H5" s="66">
        <v>53.753799999999998</v>
      </c>
    </row>
    <row r="6" spans="1:8">
      <c r="A6" s="66" t="s">
        <v>358</v>
      </c>
      <c r="B6" s="66">
        <v>43.27</v>
      </c>
      <c r="C6" s="66">
        <v>2.6510400000000001</v>
      </c>
      <c r="D6" s="66">
        <v>6.1267300000000002</v>
      </c>
      <c r="E6" s="66">
        <v>20</v>
      </c>
      <c r="F6" s="66">
        <v>38.244999999999997</v>
      </c>
      <c r="G6" s="66">
        <v>40</v>
      </c>
      <c r="H6" s="66">
        <v>49.961500000000001</v>
      </c>
    </row>
    <row r="7" spans="1:8">
      <c r="A7" s="66" t="s">
        <v>359</v>
      </c>
      <c r="B7" s="66">
        <v>21.069900000000001</v>
      </c>
      <c r="C7" s="66">
        <v>4.2927600000000004</v>
      </c>
      <c r="D7" s="66">
        <v>20.373899999999999</v>
      </c>
      <c r="E7" s="66">
        <v>15</v>
      </c>
      <c r="F7" s="66">
        <v>10.2768</v>
      </c>
      <c r="G7" s="66">
        <v>40</v>
      </c>
      <c r="H7" s="66">
        <v>44.558900000000001</v>
      </c>
    </row>
    <row r="8" spans="1:8">
      <c r="A8" s="66" t="s">
        <v>360</v>
      </c>
      <c r="B8" s="66">
        <v>33.503100000000003</v>
      </c>
      <c r="C8" s="66">
        <v>2.9550200000000002</v>
      </c>
      <c r="D8" s="66">
        <v>8.8201599999999996</v>
      </c>
      <c r="E8" s="66">
        <v>20</v>
      </c>
      <c r="F8" s="66">
        <v>29.985099999999999</v>
      </c>
      <c r="G8" s="66">
        <v>50</v>
      </c>
      <c r="H8" s="66">
        <v>42.229799999999997</v>
      </c>
    </row>
    <row r="9" spans="1:8">
      <c r="A9" s="66" t="s">
        <v>361</v>
      </c>
      <c r="B9" s="66">
        <v>66.337100000000007</v>
      </c>
      <c r="C9" s="66">
        <v>7.6924799999999998</v>
      </c>
      <c r="D9" s="66">
        <v>11.596</v>
      </c>
      <c r="E9" s="66">
        <v>50</v>
      </c>
      <c r="F9" s="66">
        <v>47.025799999999997</v>
      </c>
      <c r="G9" s="66">
        <v>100</v>
      </c>
      <c r="H9" s="66">
        <v>75.081299999999999</v>
      </c>
    </row>
    <row r="10" spans="1:8">
      <c r="A10" s="66" t="s">
        <v>362</v>
      </c>
      <c r="B10" s="66">
        <v>45.4681</v>
      </c>
      <c r="C10" s="66">
        <v>5.4041499999999996</v>
      </c>
      <c r="D10" s="66">
        <v>11.8856</v>
      </c>
      <c r="E10" s="66">
        <v>40</v>
      </c>
      <c r="F10" s="66">
        <v>34.114600000000003</v>
      </c>
      <c r="G10" s="66">
        <v>100</v>
      </c>
      <c r="H10" s="66">
        <v>53.362000000000002</v>
      </c>
    </row>
    <row r="11" spans="1:8">
      <c r="A11" s="66" t="s">
        <v>363</v>
      </c>
      <c r="B11" s="66">
        <v>14.4353</v>
      </c>
      <c r="C11" s="66">
        <v>1.93265</v>
      </c>
      <c r="D11" s="66">
        <v>13.388400000000001</v>
      </c>
      <c r="E11" s="66">
        <v>10</v>
      </c>
      <c r="F11" s="66">
        <v>11.854799999999999</v>
      </c>
      <c r="G11" s="66">
        <v>50</v>
      </c>
      <c r="H11" s="66">
        <v>19.290299999999998</v>
      </c>
    </row>
    <row r="12" spans="1:8">
      <c r="A12" s="66" t="s">
        <v>364</v>
      </c>
      <c r="B12" s="66">
        <v>54.411499999999997</v>
      </c>
      <c r="C12" s="66">
        <v>2.5206400000000002</v>
      </c>
      <c r="D12" s="66">
        <v>4.6325399999999997</v>
      </c>
      <c r="E12" s="66">
        <v>50</v>
      </c>
      <c r="F12" s="66">
        <v>47.132599999999996</v>
      </c>
      <c r="G12" s="66">
        <v>100</v>
      </c>
      <c r="H12" s="66">
        <v>60.571199999999997</v>
      </c>
    </row>
    <row r="13" spans="1:8">
      <c r="A13" s="66" t="s">
        <v>365</v>
      </c>
      <c r="B13" s="66">
        <v>19.0059</v>
      </c>
      <c r="C13" s="66">
        <v>2.1431399999999998</v>
      </c>
      <c r="D13" s="66">
        <v>11.276199999999999</v>
      </c>
      <c r="E13" s="66">
        <v>10</v>
      </c>
      <c r="F13" s="66">
        <v>15.4511</v>
      </c>
      <c r="G13" s="66">
        <v>25</v>
      </c>
      <c r="H13" s="66">
        <v>25.413799999999998</v>
      </c>
    </row>
    <row r="14" spans="1:8">
      <c r="A14" s="66" t="s">
        <v>366</v>
      </c>
      <c r="B14" s="66">
        <v>21.4314</v>
      </c>
      <c r="C14" s="66">
        <v>9.3447300000000002</v>
      </c>
      <c r="D14" s="66">
        <v>43.602899999999998</v>
      </c>
      <c r="E14" s="66">
        <v>10</v>
      </c>
      <c r="F14" s="66">
        <v>3.8248199999999999</v>
      </c>
      <c r="G14" s="66">
        <v>50</v>
      </c>
      <c r="H14" s="66">
        <v>31.5261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0.56664199999999998</v>
      </c>
      <c r="C18" s="66">
        <v>3.7399700000000001E-2</v>
      </c>
      <c r="D18" s="66">
        <v>6.6002400000000003E-2</v>
      </c>
      <c r="E18" s="66">
        <v>0</v>
      </c>
      <c r="F18" s="66">
        <v>0.52924199999999999</v>
      </c>
      <c r="G18" s="66">
        <v>0</v>
      </c>
      <c r="H18" s="66">
        <v>0.60404100000000005</v>
      </c>
    </row>
    <row r="19" spans="1:8">
      <c r="A19" s="66" t="s">
        <v>371</v>
      </c>
      <c r="B19" s="66">
        <v>0.78686299999999998</v>
      </c>
      <c r="C19" s="66">
        <v>4.6470600000000001E-2</v>
      </c>
      <c r="D19" s="66">
        <v>5.9058100000000002E-2</v>
      </c>
      <c r="E19" s="66">
        <v>0</v>
      </c>
      <c r="F19" s="66">
        <v>0.74039200000000005</v>
      </c>
      <c r="G19" s="66">
        <v>0</v>
      </c>
      <c r="H19" s="66">
        <v>0.83333299999999999</v>
      </c>
    </row>
    <row r="20" spans="1:8">
      <c r="A20" s="66" t="s">
        <v>372</v>
      </c>
      <c r="B20" s="196">
        <v>2.6189700000000001E-5</v>
      </c>
      <c r="C20" s="66">
        <v>4.0841799999999998E-3</v>
      </c>
      <c r="D20" s="66">
        <v>155.946</v>
      </c>
      <c r="E20" s="66">
        <v>0</v>
      </c>
      <c r="F20" s="66">
        <v>0</v>
      </c>
      <c r="G20" s="66">
        <v>0</v>
      </c>
      <c r="H20" s="66">
        <v>4.1589099999999997E-2</v>
      </c>
    </row>
    <row r="21" spans="1:8">
      <c r="A21" s="66" t="s">
        <v>373</v>
      </c>
      <c r="B21" s="66">
        <v>1.01327E-2</v>
      </c>
      <c r="C21" s="66">
        <v>2.6764E-2</v>
      </c>
      <c r="D21" s="66">
        <v>2.6413500000000001</v>
      </c>
      <c r="E21" s="66">
        <v>0</v>
      </c>
      <c r="F21" s="66">
        <v>0</v>
      </c>
      <c r="G21" s="66">
        <v>0</v>
      </c>
      <c r="H21" s="66">
        <v>0.13774700000000001</v>
      </c>
    </row>
    <row r="22" spans="1:8">
      <c r="A22" s="66" t="s">
        <v>374</v>
      </c>
      <c r="B22" s="66">
        <v>29.354299999999999</v>
      </c>
      <c r="C22" s="66">
        <v>12.3834</v>
      </c>
      <c r="D22" s="66">
        <v>0.42185800000000001</v>
      </c>
      <c r="E22" s="66">
        <v>0</v>
      </c>
      <c r="F22" s="66">
        <v>12.9428</v>
      </c>
      <c r="G22" s="66">
        <v>0</v>
      </c>
      <c r="H22" s="66">
        <v>64.632800000000003</v>
      </c>
    </row>
    <row r="23" spans="1:8">
      <c r="A23" s="66" t="s">
        <v>375</v>
      </c>
      <c r="B23" s="66">
        <v>13.354200000000001</v>
      </c>
      <c r="C23" s="66">
        <v>1.8052600000000001</v>
      </c>
      <c r="D23" s="66">
        <v>0.135183</v>
      </c>
      <c r="E23" s="66">
        <v>0</v>
      </c>
      <c r="F23" s="66">
        <v>11.082100000000001</v>
      </c>
      <c r="G23" s="66">
        <v>0</v>
      </c>
      <c r="H23" s="66">
        <v>17.139199999999999</v>
      </c>
    </row>
    <row r="24" spans="1:8">
      <c r="A24" s="66" t="s">
        <v>376</v>
      </c>
      <c r="B24" s="196">
        <v>6.0840600000000002E-5</v>
      </c>
      <c r="C24" s="66">
        <v>2.53586E-3</v>
      </c>
      <c r="D24" s="66">
        <v>41.680399999999999</v>
      </c>
      <c r="E24" s="66">
        <v>0</v>
      </c>
      <c r="F24" s="196">
        <v>-2.13084E-8</v>
      </c>
      <c r="G24" s="66">
        <v>0</v>
      </c>
      <c r="H24" s="66">
        <v>1.37866E-2</v>
      </c>
    </row>
    <row r="25" spans="1:8">
      <c r="A25" s="66" t="s">
        <v>377</v>
      </c>
      <c r="B25" s="66">
        <v>1.67298E-2</v>
      </c>
      <c r="C25" s="66">
        <v>9.3233599999999993E-3</v>
      </c>
      <c r="D25" s="66">
        <v>0.55728999999999995</v>
      </c>
      <c r="E25" s="66">
        <v>0</v>
      </c>
      <c r="F25" s="66">
        <v>3.9782799999999998E-3</v>
      </c>
      <c r="G25" s="66">
        <v>0</v>
      </c>
      <c r="H25" s="66">
        <v>4.7174800000000003E-2</v>
      </c>
    </row>
    <row r="26" spans="1:8">
      <c r="A26" s="66" t="s">
        <v>378</v>
      </c>
      <c r="B26" s="196">
        <v>9.8476899999999999E-6</v>
      </c>
      <c r="C26" s="66">
        <v>3.4220000000000002E-4</v>
      </c>
      <c r="D26" s="66">
        <v>34.749299999999998</v>
      </c>
      <c r="E26" s="66">
        <v>0</v>
      </c>
      <c r="F26" s="66">
        <v>0</v>
      </c>
      <c r="G26" s="66">
        <v>0</v>
      </c>
      <c r="H26" s="66">
        <v>2.3010800000000001E-3</v>
      </c>
    </row>
    <row r="27" spans="1:8">
      <c r="A27" s="66" t="s">
        <v>379</v>
      </c>
      <c r="B27" s="66">
        <v>0</v>
      </c>
      <c r="C27" s="66">
        <v>2.2270499999999999E-4</v>
      </c>
      <c r="D27" s="66">
        <v>0</v>
      </c>
      <c r="E27" s="66">
        <v>0</v>
      </c>
      <c r="F27" s="66">
        <v>-1.75289E-3</v>
      </c>
      <c r="G27" s="66">
        <v>0</v>
      </c>
      <c r="H27" s="66">
        <v>1.5296699999999999E-3</v>
      </c>
    </row>
    <row r="28" spans="1:8">
      <c r="A28" s="66" t="s">
        <v>380</v>
      </c>
      <c r="B28" s="66">
        <v>2.3177100000000002E-3</v>
      </c>
      <c r="C28" s="66">
        <v>2.7862199999999998E-3</v>
      </c>
      <c r="D28" s="66">
        <v>1.2021500000000001</v>
      </c>
      <c r="E28" s="66">
        <v>0</v>
      </c>
      <c r="F28" s="66">
        <v>0</v>
      </c>
      <c r="G28" s="66">
        <v>0</v>
      </c>
      <c r="H28" s="66">
        <v>1.5292999999999999E-2</v>
      </c>
    </row>
    <row r="29" spans="1:8">
      <c r="A29" s="66" t="s">
        <v>381</v>
      </c>
      <c r="B29" s="66">
        <v>68.329899999999995</v>
      </c>
      <c r="C29" s="66">
        <v>10.8658</v>
      </c>
      <c r="D29" s="66">
        <v>0.15901999999999999</v>
      </c>
      <c r="E29" s="66">
        <v>0</v>
      </c>
      <c r="F29" s="66">
        <v>39.963700000000003</v>
      </c>
      <c r="G29" s="66">
        <v>0</v>
      </c>
      <c r="H29" s="66">
        <v>89.914900000000003</v>
      </c>
    </row>
    <row r="30" spans="1:8">
      <c r="A30" s="66" t="s">
        <v>382</v>
      </c>
      <c r="B30" s="66">
        <v>24.637499999999999</v>
      </c>
      <c r="C30" s="66">
        <v>3.4750000000000001</v>
      </c>
      <c r="D30" s="66">
        <v>0.141045</v>
      </c>
      <c r="E30" s="66">
        <v>0</v>
      </c>
      <c r="F30" s="66">
        <v>18.360900000000001</v>
      </c>
      <c r="G30" s="66">
        <v>0</v>
      </c>
      <c r="H30" s="66">
        <v>29.667899999999999</v>
      </c>
    </row>
    <row r="31" spans="1:8">
      <c r="A31" s="66" t="s">
        <v>383</v>
      </c>
      <c r="B31" s="66">
        <v>96.340900000000005</v>
      </c>
      <c r="C31" s="66">
        <v>12.9871</v>
      </c>
      <c r="D31" s="66">
        <v>0.13480400000000001</v>
      </c>
      <c r="E31" s="66">
        <v>0</v>
      </c>
      <c r="F31" s="66">
        <v>79.065100000000001</v>
      </c>
      <c r="G31" s="66">
        <v>0</v>
      </c>
      <c r="H31" s="66">
        <v>134.79900000000001</v>
      </c>
    </row>
    <row r="32" spans="1:8">
      <c r="A32" s="66" t="s">
        <v>384</v>
      </c>
      <c r="B32" s="66">
        <v>0.210699</v>
      </c>
      <c r="C32" s="66">
        <v>4.2927600000000003E-2</v>
      </c>
      <c r="D32" s="66">
        <v>0.203739</v>
      </c>
      <c r="E32" s="66">
        <v>0.15</v>
      </c>
      <c r="F32" s="66">
        <v>0.102768</v>
      </c>
      <c r="G32" s="66">
        <v>0.4</v>
      </c>
      <c r="H32" s="66">
        <v>0.44558900000000001</v>
      </c>
    </row>
    <row r="33" spans="1:8">
      <c r="A33" s="66" t="s">
        <v>385</v>
      </c>
      <c r="B33" s="66">
        <v>0.41675600000000002</v>
      </c>
      <c r="C33" s="66">
        <v>1.72573E-2</v>
      </c>
      <c r="D33" s="66">
        <v>4.14087E-2</v>
      </c>
      <c r="E33" s="66">
        <v>0</v>
      </c>
      <c r="F33" s="66">
        <v>0.35931000000000002</v>
      </c>
      <c r="G33" s="66">
        <v>0</v>
      </c>
      <c r="H33" s="66">
        <v>0.448378</v>
      </c>
    </row>
    <row r="34" spans="1:8">
      <c r="A34" s="66" t="s">
        <v>386</v>
      </c>
      <c r="B34" s="66">
        <v>0.19005900000000001</v>
      </c>
      <c r="C34" s="66">
        <v>2.14314E-2</v>
      </c>
      <c r="D34" s="66">
        <v>0.112762</v>
      </c>
      <c r="E34" s="66">
        <v>0.1</v>
      </c>
      <c r="F34" s="66">
        <v>0.15451100000000001</v>
      </c>
      <c r="G34" s="66">
        <v>0.25</v>
      </c>
      <c r="H34" s="66">
        <v>0.25413799999999998</v>
      </c>
    </row>
    <row r="35" spans="1:8">
      <c r="A35" s="66" t="s">
        <v>387</v>
      </c>
      <c r="B35" s="66">
        <v>8.2364800000000002E-2</v>
      </c>
      <c r="C35" s="66">
        <v>1.9726400000000002E-2</v>
      </c>
      <c r="D35" s="66">
        <v>0.23949999999999999</v>
      </c>
      <c r="E35" s="66">
        <v>0</v>
      </c>
      <c r="F35" s="66">
        <v>5.4236699999999999E-2</v>
      </c>
      <c r="G35" s="66">
        <v>0</v>
      </c>
      <c r="H35" s="66">
        <v>0.13416600000000001</v>
      </c>
    </row>
    <row r="36" spans="1:8">
      <c r="A36" s="66" t="s">
        <v>388</v>
      </c>
      <c r="B36" s="66">
        <v>0.16888400000000001</v>
      </c>
      <c r="C36" s="66">
        <v>9.3734899999999996E-2</v>
      </c>
      <c r="D36" s="66">
        <v>0.55502499999999999</v>
      </c>
      <c r="E36" s="66">
        <v>0</v>
      </c>
      <c r="F36" s="66">
        <v>4.1533899999999999E-2</v>
      </c>
      <c r="G36" s="66">
        <v>0</v>
      </c>
      <c r="H36" s="66">
        <v>0.43601600000000001</v>
      </c>
    </row>
    <row r="37" spans="1:8">
      <c r="A37" s="66" t="s">
        <v>389</v>
      </c>
      <c r="B37" s="66">
        <v>0.214314</v>
      </c>
      <c r="C37" s="66">
        <v>9.3447299999999997E-2</v>
      </c>
      <c r="D37" s="66">
        <v>0.436029</v>
      </c>
      <c r="E37" s="66">
        <v>0.1</v>
      </c>
      <c r="F37" s="66">
        <v>3.8248200000000003E-2</v>
      </c>
      <c r="G37" s="66">
        <v>0.5</v>
      </c>
      <c r="H37" s="66">
        <v>0.31526100000000001</v>
      </c>
    </row>
    <row r="38" spans="1:8">
      <c r="A38" s="66" t="s">
        <v>390</v>
      </c>
      <c r="B38" s="66">
        <v>0</v>
      </c>
      <c r="C38" s="66">
        <v>35.663899999999998</v>
      </c>
      <c r="D38" s="66">
        <v>0</v>
      </c>
      <c r="E38" s="66">
        <v>0</v>
      </c>
      <c r="F38" s="66">
        <v>-127.209</v>
      </c>
      <c r="G38" s="66">
        <v>0</v>
      </c>
      <c r="H38" s="66">
        <v>108.117</v>
      </c>
    </row>
    <row r="39" spans="1:8">
      <c r="A39" s="66" t="s">
        <v>391</v>
      </c>
      <c r="B39" s="66">
        <v>-2.8929900000000002</v>
      </c>
      <c r="C39" s="66">
        <v>6.1631900000000002</v>
      </c>
      <c r="D39" s="66">
        <v>-2.1303899999999998</v>
      </c>
      <c r="E39" s="66">
        <v>0</v>
      </c>
      <c r="F39" s="66">
        <v>-19.169</v>
      </c>
      <c r="G39" s="66">
        <v>0</v>
      </c>
      <c r="H39" s="66">
        <v>7.65808</v>
      </c>
    </row>
    <row r="40" spans="1:8">
      <c r="A40" s="66" t="s">
        <v>392</v>
      </c>
      <c r="B40" s="66">
        <v>-1.1179600000000001</v>
      </c>
      <c r="C40" s="66">
        <v>1.38093</v>
      </c>
      <c r="D40" s="66">
        <v>-1.23522</v>
      </c>
      <c r="E40" s="66">
        <v>0</v>
      </c>
      <c r="F40" s="66">
        <v>-2.6522000000000001</v>
      </c>
      <c r="G40" s="66">
        <v>0</v>
      </c>
      <c r="H40" s="66">
        <v>1.9202399999999999</v>
      </c>
    </row>
    <row r="41" spans="1:8">
      <c r="A41" s="66" t="s">
        <v>393</v>
      </c>
      <c r="B41" s="66">
        <v>0</v>
      </c>
      <c r="C41" s="66">
        <v>0.35263699999999998</v>
      </c>
      <c r="D41" s="66">
        <v>0</v>
      </c>
      <c r="E41" s="66">
        <v>0</v>
      </c>
      <c r="F41" s="66">
        <v>-0.9</v>
      </c>
      <c r="G41" s="66">
        <v>0</v>
      </c>
      <c r="H41" s="66">
        <v>1</v>
      </c>
    </row>
    <row r="42" spans="1:8">
      <c r="A42" s="66" t="s">
        <v>394</v>
      </c>
      <c r="B42" s="66">
        <v>-1.6544799999999998E-2</v>
      </c>
      <c r="C42" s="66">
        <v>0.19001499999999999</v>
      </c>
      <c r="D42" s="66">
        <v>-11.4849</v>
      </c>
      <c r="E42" s="66">
        <v>0</v>
      </c>
      <c r="F42" s="66">
        <v>-0.58311299999999999</v>
      </c>
      <c r="G42" s="66">
        <v>0</v>
      </c>
      <c r="H42" s="66">
        <v>0.31639099999999998</v>
      </c>
    </row>
    <row r="43" spans="1:8">
      <c r="A43" s="66" t="s">
        <v>395</v>
      </c>
      <c r="B43" s="66">
        <v>-9.2307699999999993E-3</v>
      </c>
      <c r="C43" s="66">
        <v>0.11130900000000001</v>
      </c>
      <c r="D43" s="66">
        <v>-12.0585</v>
      </c>
      <c r="E43" s="66">
        <v>0</v>
      </c>
      <c r="F43" s="66">
        <v>-0.16870399999999999</v>
      </c>
      <c r="G43" s="66">
        <v>0</v>
      </c>
      <c r="H43" s="66">
        <v>0.20314099999999999</v>
      </c>
    </row>
    <row r="44" spans="1:8">
      <c r="A44" s="66" t="s">
        <v>396</v>
      </c>
      <c r="B44" s="66">
        <v>-17.623200000000001</v>
      </c>
      <c r="C44" s="66">
        <v>4.1811199999999999</v>
      </c>
      <c r="D44" s="66">
        <v>-0.23725099999999999</v>
      </c>
      <c r="E44" s="66">
        <v>0</v>
      </c>
      <c r="F44" s="66">
        <v>-24.862200000000001</v>
      </c>
      <c r="G44" s="66">
        <v>0</v>
      </c>
      <c r="H44" s="66">
        <v>-4.4821600000000004</v>
      </c>
    </row>
    <row r="45" spans="1:8">
      <c r="A45" s="66" t="s">
        <v>397</v>
      </c>
      <c r="B45" s="66">
        <v>55.427399999999999</v>
      </c>
      <c r="C45" s="66">
        <v>8.9231599999999993</v>
      </c>
      <c r="D45" s="66">
        <v>0.16098799999999999</v>
      </c>
      <c r="E45" s="66">
        <v>0</v>
      </c>
      <c r="F45" s="66">
        <v>32.250100000000003</v>
      </c>
      <c r="G45" s="66">
        <v>0</v>
      </c>
      <c r="H45" s="66">
        <v>76.182400000000001</v>
      </c>
    </row>
    <row r="46" spans="1:8">
      <c r="A46" s="66" t="s">
        <v>398</v>
      </c>
      <c r="B46" s="66">
        <v>31.2682</v>
      </c>
      <c r="C46" s="66">
        <v>4.0770900000000001</v>
      </c>
      <c r="D46" s="66">
        <v>0.13039100000000001</v>
      </c>
      <c r="E46" s="66">
        <v>0</v>
      </c>
      <c r="F46" s="66">
        <v>27.262</v>
      </c>
      <c r="G46" s="66">
        <v>0</v>
      </c>
      <c r="H46" s="66">
        <v>42.263800000000003</v>
      </c>
    </row>
    <row r="47" spans="1:8">
      <c r="A47" s="66" t="s">
        <v>399</v>
      </c>
      <c r="B47" s="66">
        <v>0.48258400000000001</v>
      </c>
      <c r="C47" s="66">
        <v>0.19803699999999999</v>
      </c>
      <c r="D47" s="66">
        <v>0.41036699999999998</v>
      </c>
      <c r="E47" s="66">
        <v>0</v>
      </c>
      <c r="F47" s="66">
        <v>0.193775</v>
      </c>
      <c r="G47" s="66">
        <v>0</v>
      </c>
      <c r="H47" s="66">
        <v>1.15107</v>
      </c>
    </row>
    <row r="48" spans="1:8">
      <c r="A48" s="66" t="s">
        <v>400</v>
      </c>
      <c r="B48" s="66">
        <v>0.53411600000000004</v>
      </c>
      <c r="C48" s="66">
        <v>4.2787199999999997E-2</v>
      </c>
      <c r="D48" s="66">
        <v>8.0108399999999996E-2</v>
      </c>
      <c r="E48" s="66">
        <v>0</v>
      </c>
      <c r="F48" s="66">
        <v>0.436913</v>
      </c>
      <c r="G48" s="66">
        <v>0</v>
      </c>
      <c r="H48" s="66">
        <v>0.61035499999999998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62.898543280409903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1.2137494897677592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0.59479552463187901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60233</v>
      </c>
      <c r="B8" s="66">
        <v>60233</v>
      </c>
      <c r="D8">
        <f t="shared" si="0"/>
        <v>0.53831854215263064</v>
      </c>
      <c r="E8">
        <f t="shared" si="0"/>
        <v>0.53831854215263064</v>
      </c>
      <c r="G8">
        <f t="shared" ca="1" si="1"/>
        <v>6</v>
      </c>
      <c r="H8">
        <f t="shared" ca="1" si="2"/>
        <v>3.2299112529157838</v>
      </c>
      <c r="I8">
        <f t="shared" ca="1" si="3"/>
        <v>1742.7762568120093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49948</v>
      </c>
      <c r="B10" s="66">
        <v>49948</v>
      </c>
      <c r="D10">
        <f t="shared" si="0"/>
        <v>0.44639872733285074</v>
      </c>
      <c r="E10">
        <f t="shared" si="0"/>
        <v>0.44639872733285074</v>
      </c>
      <c r="G10">
        <f t="shared" ca="1" si="1"/>
        <v>8</v>
      </c>
      <c r="H10">
        <f t="shared" ca="1" si="2"/>
        <v>3.5711898186628059</v>
      </c>
      <c r="I10">
        <f t="shared" ca="1" si="3"/>
        <v>1345.3788286164911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46816</v>
      </c>
      <c r="B13" s="66">
        <v>46816</v>
      </c>
      <c r="D13">
        <f t="shared" si="0"/>
        <v>0.41840719986415353</v>
      </c>
      <c r="E13">
        <f t="shared" si="0"/>
        <v>0.41840719986415353</v>
      </c>
      <c r="G13">
        <f t="shared" ca="1" si="1"/>
        <v>11</v>
      </c>
      <c r="H13">
        <f t="shared" ca="1" si="2"/>
        <v>4.602479198505689</v>
      </c>
      <c r="I13">
        <f t="shared" ca="1" si="3"/>
        <v>1126.9625522100223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39852</v>
      </c>
      <c r="B15" s="66">
        <v>39852</v>
      </c>
      <c r="D15">
        <f t="shared" si="0"/>
        <v>0.35616805641204385</v>
      </c>
      <c r="E15">
        <f t="shared" si="0"/>
        <v>0.35616805641204385</v>
      </c>
      <c r="G15">
        <f t="shared" ca="1" si="1"/>
        <v>13</v>
      </c>
      <c r="H15">
        <f t="shared" ca="1" si="2"/>
        <v>4.63018473335657</v>
      </c>
      <c r="I15">
        <f t="shared" ca="1" si="3"/>
        <v>886.81024297123611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42986</v>
      </c>
      <c r="B18" s="66">
        <v>42986</v>
      </c>
      <c r="D18">
        <f t="shared" si="0"/>
        <v>0.38417745841935452</v>
      </c>
      <c r="E18">
        <f t="shared" si="0"/>
        <v>0.38417745841935452</v>
      </c>
      <c r="G18">
        <f t="shared" ca="1" si="1"/>
        <v>16</v>
      </c>
      <c r="H18">
        <f t="shared" ca="1" si="2"/>
        <v>6.1468393347096724</v>
      </c>
      <c r="I18">
        <f t="shared" ca="1" si="3"/>
        <v>844.9880860068024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52262</v>
      </c>
      <c r="B21" s="66">
        <v>52262</v>
      </c>
      <c r="D21">
        <f t="shared" si="0"/>
        <v>0.46707956850863785</v>
      </c>
      <c r="E21">
        <f t="shared" si="0"/>
        <v>0.46707956850863785</v>
      </c>
      <c r="G21">
        <f t="shared" ca="1" si="1"/>
        <v>19</v>
      </c>
      <c r="H21">
        <f t="shared" ca="1" si="2"/>
        <v>8.87451180166412</v>
      </c>
      <c r="I21">
        <f t="shared" ca="1" si="3"/>
        <v>900.10067674921424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60415</v>
      </c>
      <c r="B23" s="66">
        <v>60415</v>
      </c>
      <c r="D23">
        <f t="shared" si="0"/>
        <v>0.53994512516645665</v>
      </c>
      <c r="E23">
        <f t="shared" si="0"/>
        <v>0.53994512516645665</v>
      </c>
      <c r="G23">
        <f t="shared" ca="1" si="1"/>
        <v>21</v>
      </c>
      <c r="H23">
        <f t="shared" ca="1" si="2"/>
        <v>11.338847628495589</v>
      </c>
      <c r="I23">
        <f t="shared" ca="1" si="3"/>
        <v>947.86714956311391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65084</v>
      </c>
      <c r="B26" s="66">
        <v>65084</v>
      </c>
      <c r="D26">
        <f t="shared" si="0"/>
        <v>0.58167323555960715</v>
      </c>
      <c r="E26">
        <f t="shared" si="0"/>
        <v>0.58167323555960715</v>
      </c>
      <c r="G26">
        <f t="shared" ca="1" si="1"/>
        <v>24</v>
      </c>
      <c r="H26">
        <f t="shared" ca="1" si="2"/>
        <v>13.960157653430571</v>
      </c>
      <c r="I26">
        <f t="shared" ca="1" si="3"/>
        <v>880.12783536825441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67462</v>
      </c>
      <c r="B28" s="66">
        <v>67462</v>
      </c>
      <c r="D28">
        <f t="shared" si="0"/>
        <v>0.60292606197102538</v>
      </c>
      <c r="E28">
        <f t="shared" si="0"/>
        <v>0.60292606197102538</v>
      </c>
      <c r="G28">
        <f t="shared" ca="1" si="1"/>
        <v>26</v>
      </c>
      <c r="H28">
        <f t="shared" ca="1" si="2"/>
        <v>15.67607761124666</v>
      </c>
      <c r="I28">
        <f t="shared" ca="1" si="3"/>
        <v>820.88533840740433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80720</v>
      </c>
      <c r="B31" s="66">
        <v>80720</v>
      </c>
      <c r="D31">
        <f t="shared" si="0"/>
        <v>0.7214163784397315</v>
      </c>
      <c r="E31">
        <f t="shared" si="0"/>
        <v>0.7214163784397315</v>
      </c>
      <c r="G31">
        <f t="shared" ca="1" si="1"/>
        <v>29</v>
      </c>
      <c r="H31">
        <f t="shared" ca="1" si="2"/>
        <v>20.921074974752212</v>
      </c>
      <c r="I31">
        <f t="shared" ca="1" si="3"/>
        <v>828.98766668463247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84913</v>
      </c>
      <c r="B33" s="66">
        <v>84913</v>
      </c>
      <c r="D33">
        <f t="shared" si="0"/>
        <v>0.75889034864287563</v>
      </c>
      <c r="E33">
        <f t="shared" si="0"/>
        <v>0.75889034864287563</v>
      </c>
      <c r="G33">
        <f t="shared" ca="1" si="1"/>
        <v>31</v>
      </c>
      <c r="H33">
        <f t="shared" ca="1" si="2"/>
        <v>23.525600807929145</v>
      </c>
      <c r="I33">
        <f t="shared" ca="1" si="3"/>
        <v>772.18387900294715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97543</v>
      </c>
      <c r="B36" s="66">
        <v>97543</v>
      </c>
      <c r="D36">
        <f t="shared" si="0"/>
        <v>0.87176805998695162</v>
      </c>
      <c r="E36">
        <f t="shared" si="0"/>
        <v>0.87176805998695162</v>
      </c>
      <c r="G36">
        <f t="shared" ca="1" si="1"/>
        <v>34</v>
      </c>
      <c r="H36">
        <f t="shared" ca="1" si="2"/>
        <v>29.640114039556355</v>
      </c>
      <c r="I36">
        <f t="shared" ca="1" si="3"/>
        <v>728.03600176250552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99645</v>
      </c>
      <c r="B39" s="66">
        <v>99645</v>
      </c>
      <c r="D39">
        <f t="shared" si="0"/>
        <v>0.89055420006971076</v>
      </c>
      <c r="E39">
        <f t="shared" si="0"/>
        <v>0.89055420006971076</v>
      </c>
      <c r="G39">
        <f t="shared" ca="1" si="1"/>
        <v>37</v>
      </c>
      <c r="H39">
        <f t="shared" ca="1" si="2"/>
        <v>32.950505402579296</v>
      </c>
      <c r="I39">
        <f t="shared" ca="1" si="3"/>
        <v>597.32546533313428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97837</v>
      </c>
      <c r="B41" s="66">
        <v>97837</v>
      </c>
      <c r="D41">
        <f t="shared" si="0"/>
        <v>0.87439561716313197</v>
      </c>
      <c r="E41">
        <f t="shared" si="0"/>
        <v>0.87439561716313197</v>
      </c>
      <c r="G41">
        <f t="shared" ca="1" si="1"/>
        <v>39</v>
      </c>
      <c r="H41">
        <f t="shared" ca="1" si="2"/>
        <v>34.101429069362148</v>
      </c>
      <c r="I41">
        <f t="shared" ca="1" si="3"/>
        <v>499.40263712229228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111891</v>
      </c>
      <c r="B44" s="66">
        <v>111891</v>
      </c>
      <c r="D44">
        <f t="shared" si="0"/>
        <v>1</v>
      </c>
      <c r="E44">
        <f t="shared" si="0"/>
        <v>1</v>
      </c>
      <c r="G44">
        <f t="shared" ca="1" si="1"/>
        <v>42</v>
      </c>
      <c r="H44">
        <f t="shared" ca="1" si="2"/>
        <v>42</v>
      </c>
      <c r="I44">
        <f t="shared" ca="1" si="3"/>
        <v>436.74911124316594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108132</v>
      </c>
      <c r="B46" s="66">
        <v>108132</v>
      </c>
      <c r="D46">
        <f t="shared" si="0"/>
        <v>0.96640480467597933</v>
      </c>
      <c r="E46">
        <f t="shared" si="0"/>
        <v>0.96640480467597933</v>
      </c>
      <c r="G46">
        <f t="shared" ca="1" si="1"/>
        <v>44</v>
      </c>
      <c r="H46">
        <f t="shared" ca="1" si="2"/>
        <v>42.521811405743094</v>
      </c>
      <c r="I46">
        <f t="shared" ca="1" si="3"/>
        <v>345.15624821439513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111093</v>
      </c>
      <c r="B49" s="66">
        <v>111093</v>
      </c>
      <c r="D49">
        <f t="shared" si="0"/>
        <v>0.99286805909322462</v>
      </c>
      <c r="E49">
        <f t="shared" si="0"/>
        <v>0.99286805909322462</v>
      </c>
      <c r="G49">
        <f t="shared" ca="1" si="1"/>
        <v>47</v>
      </c>
      <c r="H49">
        <f t="shared" ca="1" si="2"/>
        <v>46.664798777381556</v>
      </c>
      <c r="I49">
        <f t="shared" ca="1" si="3"/>
        <v>250.9609828210603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105540</v>
      </c>
      <c r="B51" s="66">
        <v>105540</v>
      </c>
      <c r="D51">
        <f t="shared" si="0"/>
        <v>0.9432394026329195</v>
      </c>
      <c r="E51">
        <f t="shared" si="0"/>
        <v>0.9432394026329195</v>
      </c>
      <c r="G51">
        <f t="shared" ca="1" si="1"/>
        <v>49</v>
      </c>
      <c r="H51">
        <f t="shared" ca="1" si="2"/>
        <v>46.218730729013053</v>
      </c>
      <c r="I51">
        <f t="shared" ca="1" si="3"/>
        <v>182.20508880250668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106014</v>
      </c>
      <c r="B54" s="66">
        <v>106014</v>
      </c>
      <c r="D54">
        <f t="shared" si="0"/>
        <v>0.9474756682843124</v>
      </c>
      <c r="E54">
        <f t="shared" si="0"/>
        <v>0.9474756682843124</v>
      </c>
      <c r="G54">
        <f t="shared" ca="1" si="1"/>
        <v>52</v>
      </c>
      <c r="H54">
        <f t="shared" ca="1" si="2"/>
        <v>49.268734750784247</v>
      </c>
      <c r="I54">
        <f t="shared" ca="1" si="3"/>
        <v>112.53949766062938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98198</v>
      </c>
      <c r="B57" s="66">
        <v>98198</v>
      </c>
      <c r="D57">
        <f t="shared" si="0"/>
        <v>0.87762197138286369</v>
      </c>
      <c r="E57">
        <f t="shared" si="0"/>
        <v>0.87762197138286369</v>
      </c>
      <c r="G57">
        <f t="shared" ca="1" si="1"/>
        <v>55</v>
      </c>
      <c r="H57">
        <f t="shared" ca="1" si="2"/>
        <v>48.269208426057503</v>
      </c>
      <c r="I57">
        <f t="shared" ca="1" si="3"/>
        <v>54.752189600275479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104031</v>
      </c>
      <c r="B59" s="66">
        <v>104031</v>
      </c>
      <c r="D59">
        <f t="shared" si="0"/>
        <v>0.92975306324905493</v>
      </c>
      <c r="E59">
        <f t="shared" si="0"/>
        <v>0.92975306324905493</v>
      </c>
      <c r="G59">
        <f t="shared" ca="1" si="1"/>
        <v>57</v>
      </c>
      <c r="H59">
        <f t="shared" ca="1" si="2"/>
        <v>52.99592460519613</v>
      </c>
      <c r="I59">
        <f t="shared" ca="1" si="3"/>
        <v>32.348724308551311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104440</v>
      </c>
      <c r="B62" s="66">
        <v>104440</v>
      </c>
      <c r="D62">
        <f t="shared" si="0"/>
        <v>0.93340840639550993</v>
      </c>
      <c r="E62">
        <f t="shared" si="0"/>
        <v>0.93340840639550993</v>
      </c>
      <c r="G62">
        <f t="shared" ca="1" si="1"/>
        <v>60</v>
      </c>
      <c r="H62">
        <f t="shared" ca="1" si="2"/>
        <v>56.004504383730598</v>
      </c>
      <c r="I62">
        <f t="shared" ca="1" si="3"/>
        <v>7.8420803355040007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90549</v>
      </c>
      <c r="B64" s="66">
        <v>90549</v>
      </c>
      <c r="D64">
        <f t="shared" si="0"/>
        <v>0.80926079845563992</v>
      </c>
      <c r="E64">
        <f t="shared" si="0"/>
        <v>0.80926079845563992</v>
      </c>
      <c r="G64">
        <f t="shared" ca="1" si="1"/>
        <v>62</v>
      </c>
      <c r="H64">
        <f t="shared" ca="1" si="2"/>
        <v>50.174169504249676</v>
      </c>
      <c r="I64">
        <f t="shared" ca="1" si="3"/>
        <v>0.6533810051208564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108723</v>
      </c>
      <c r="B67" s="66">
        <v>108723</v>
      </c>
      <c r="D67">
        <f t="shared" ref="D67:E130" si="4">IFERROR( A67/MAX(A$2:A$257), 0 )</f>
        <v>0.97168673083626034</v>
      </c>
      <c r="E67">
        <f t="shared" si="4"/>
        <v>0.97168673083626034</v>
      </c>
      <c r="G67">
        <f t="shared" ref="G67:G130" ca="1" si="5">CELL("row",D67)-2</f>
        <v>65</v>
      </c>
      <c r="H67">
        <f t="shared" ref="H67:H130" ca="1" si="6">D67*G67</f>
        <v>63.159637504356922</v>
      </c>
      <c r="I67">
        <f t="shared" ref="I67:I130" ca="1" si="7">D67*((G67-$L$1)^2)</f>
        <v>4.2910855403424435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111167</v>
      </c>
      <c r="B69" s="66">
        <v>111167</v>
      </c>
      <c r="D69">
        <f t="shared" si="4"/>
        <v>0.9935294170219231</v>
      </c>
      <c r="E69">
        <f t="shared" si="4"/>
        <v>0.9935294170219231</v>
      </c>
      <c r="G69">
        <f t="shared" ca="1" si="5"/>
        <v>67</v>
      </c>
      <c r="H69">
        <f t="shared" ca="1" si="6"/>
        <v>66.566470940468847</v>
      </c>
      <c r="I69">
        <f t="shared" ca="1" si="7"/>
        <v>16.713099417313636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99338</v>
      </c>
      <c r="B72" s="66">
        <v>99338</v>
      </c>
      <c r="D72">
        <f t="shared" si="4"/>
        <v>0.88781045839254269</v>
      </c>
      <c r="E72">
        <f t="shared" si="4"/>
        <v>0.88781045839254269</v>
      </c>
      <c r="G72">
        <f t="shared" ca="1" si="5"/>
        <v>70</v>
      </c>
      <c r="H72">
        <f t="shared" ca="1" si="6"/>
        <v>62.146732087477986</v>
      </c>
      <c r="I72">
        <f t="shared" ca="1" si="7"/>
        <v>44.77289182212612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104879</v>
      </c>
      <c r="B75" s="66">
        <v>104879</v>
      </c>
      <c r="D75">
        <f t="shared" si="4"/>
        <v>0.93733186762116705</v>
      </c>
      <c r="E75">
        <f t="shared" si="4"/>
        <v>0.93733186762116705</v>
      </c>
      <c r="G75">
        <f t="shared" ca="1" si="5"/>
        <v>73</v>
      </c>
      <c r="H75">
        <f t="shared" ca="1" si="6"/>
        <v>68.42522633634519</v>
      </c>
      <c r="I75">
        <f t="shared" ca="1" si="7"/>
        <v>95.644807484901946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103817</v>
      </c>
      <c r="B77" s="66">
        <v>103817</v>
      </c>
      <c r="D77">
        <f t="shared" si="4"/>
        <v>0.92784048761741333</v>
      </c>
      <c r="E77">
        <f t="shared" si="4"/>
        <v>0.92784048761741333</v>
      </c>
      <c r="G77">
        <f t="shared" ca="1" si="5"/>
        <v>75</v>
      </c>
      <c r="H77">
        <f t="shared" ca="1" si="6"/>
        <v>69.588036571306006</v>
      </c>
      <c r="I77">
        <f t="shared" ca="1" si="7"/>
        <v>135.87783656361074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95474</v>
      </c>
      <c r="B80" s="66">
        <v>95474</v>
      </c>
      <c r="D80">
        <f t="shared" si="4"/>
        <v>0.8532768497913148</v>
      </c>
      <c r="E80">
        <f t="shared" si="4"/>
        <v>0.8532768497913148</v>
      </c>
      <c r="G80">
        <f t="shared" ca="1" si="5"/>
        <v>78</v>
      </c>
      <c r="H80">
        <f t="shared" ca="1" si="6"/>
        <v>66.555594283722556</v>
      </c>
      <c r="I80">
        <f t="shared" ca="1" si="7"/>
        <v>194.59319448170501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95950</v>
      </c>
      <c r="B82" s="66">
        <v>95950</v>
      </c>
      <c r="D82">
        <f t="shared" si="4"/>
        <v>0.85753098998132116</v>
      </c>
      <c r="E82">
        <f t="shared" si="4"/>
        <v>0.85753098998132116</v>
      </c>
      <c r="G82">
        <f t="shared" ca="1" si="5"/>
        <v>80</v>
      </c>
      <c r="H82">
        <f t="shared" ca="1" si="6"/>
        <v>68.602479198505691</v>
      </c>
      <c r="I82">
        <f t="shared" ca="1" si="7"/>
        <v>250.79336063112024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88402</v>
      </c>
      <c r="B85" s="66">
        <v>88402</v>
      </c>
      <c r="D85">
        <f t="shared" si="4"/>
        <v>0.79007248125407759</v>
      </c>
      <c r="E85">
        <f t="shared" si="4"/>
        <v>0.79007248125407759</v>
      </c>
      <c r="G85">
        <f t="shared" ca="1" si="5"/>
        <v>83</v>
      </c>
      <c r="H85">
        <f t="shared" ca="1" si="6"/>
        <v>65.576015944088439</v>
      </c>
      <c r="I85">
        <f t="shared" ca="1" si="7"/>
        <v>319.24345157327269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82401</v>
      </c>
      <c r="B88" s="66">
        <v>82401</v>
      </c>
      <c r="D88">
        <f t="shared" si="4"/>
        <v>0.73643992814435477</v>
      </c>
      <c r="E88">
        <f t="shared" si="4"/>
        <v>0.73643992814435477</v>
      </c>
      <c r="G88">
        <f t="shared" ca="1" si="5"/>
        <v>86</v>
      </c>
      <c r="H88">
        <f t="shared" ca="1" si="6"/>
        <v>63.333833820414512</v>
      </c>
      <c r="I88">
        <f t="shared" ca="1" si="7"/>
        <v>393.02127435478411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78190</v>
      </c>
      <c r="B90" s="66">
        <v>78190</v>
      </c>
      <c r="D90">
        <f t="shared" si="4"/>
        <v>0.69880508709368938</v>
      </c>
      <c r="E90">
        <f t="shared" si="4"/>
        <v>0.69880508709368938</v>
      </c>
      <c r="G90">
        <f t="shared" ca="1" si="5"/>
        <v>88</v>
      </c>
      <c r="H90">
        <f t="shared" ca="1" si="6"/>
        <v>61.494847664244666</v>
      </c>
      <c r="I90">
        <f t="shared" ca="1" si="7"/>
        <v>440.30529614839543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73056</v>
      </c>
      <c r="B93" s="66">
        <v>73056</v>
      </c>
      <c r="D93">
        <f t="shared" si="4"/>
        <v>0.65292114647290667</v>
      </c>
      <c r="E93">
        <f t="shared" si="4"/>
        <v>0.65292114647290667</v>
      </c>
      <c r="G93">
        <f t="shared" ca="1" si="5"/>
        <v>91</v>
      </c>
      <c r="H93">
        <f t="shared" ca="1" si="6"/>
        <v>59.415824329034507</v>
      </c>
      <c r="I93">
        <f t="shared" ca="1" si="7"/>
        <v>515.60652096598824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66732</v>
      </c>
      <c r="B95" s="66">
        <v>66732</v>
      </c>
      <c r="D95">
        <f t="shared" si="4"/>
        <v>0.5964018553771081</v>
      </c>
      <c r="E95">
        <f t="shared" si="4"/>
        <v>0.5964018553771081</v>
      </c>
      <c r="G95">
        <f t="shared" ca="1" si="5"/>
        <v>93</v>
      </c>
      <c r="H95">
        <f t="shared" ca="1" si="6"/>
        <v>55.465372550071052</v>
      </c>
      <c r="I95">
        <f t="shared" ca="1" si="7"/>
        <v>540.39834742982862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65151</v>
      </c>
      <c r="B98" s="66">
        <v>65151</v>
      </c>
      <c r="D98">
        <f t="shared" si="4"/>
        <v>0.58227203260315841</v>
      </c>
      <c r="E98">
        <f t="shared" si="4"/>
        <v>0.58227203260315841</v>
      </c>
      <c r="G98">
        <f t="shared" ca="1" si="5"/>
        <v>96</v>
      </c>
      <c r="H98">
        <f t="shared" ca="1" si="6"/>
        <v>55.898115129903204</v>
      </c>
      <c r="I98">
        <f t="shared" ca="1" si="7"/>
        <v>637.99921418442102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62438</v>
      </c>
      <c r="B100" s="66">
        <v>62438</v>
      </c>
      <c r="D100">
        <f t="shared" si="4"/>
        <v>0.55802522097398366</v>
      </c>
      <c r="E100">
        <f t="shared" si="4"/>
        <v>0.55802522097398366</v>
      </c>
      <c r="G100">
        <f t="shared" ca="1" si="5"/>
        <v>98</v>
      </c>
      <c r="H100">
        <f t="shared" ca="1" si="6"/>
        <v>54.686471655450397</v>
      </c>
      <c r="I100">
        <f t="shared" ca="1" si="7"/>
        <v>687.54971829254043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57037</v>
      </c>
      <c r="B103" s="66">
        <v>57037</v>
      </c>
      <c r="D103">
        <f t="shared" si="4"/>
        <v>0.50975502944830231</v>
      </c>
      <c r="E103">
        <f t="shared" si="4"/>
        <v>0.50975502944830231</v>
      </c>
      <c r="G103">
        <f t="shared" ca="1" si="5"/>
        <v>101</v>
      </c>
      <c r="H103">
        <f t="shared" ca="1" si="6"/>
        <v>51.485257974278532</v>
      </c>
      <c r="I103">
        <f t="shared" ca="1" si="7"/>
        <v>740.02208322364777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56086</v>
      </c>
      <c r="B106" s="66">
        <v>56086</v>
      </c>
      <c r="D106">
        <f t="shared" si="4"/>
        <v>0.50125568633759643</v>
      </c>
      <c r="E106">
        <f t="shared" si="4"/>
        <v>0.50125568633759643</v>
      </c>
      <c r="G106">
        <f t="shared" ca="1" si="5"/>
        <v>104</v>
      </c>
      <c r="H106">
        <f t="shared" ca="1" si="6"/>
        <v>52.130591379110029</v>
      </c>
      <c r="I106">
        <f t="shared" ca="1" si="7"/>
        <v>846.78614051599823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54762</v>
      </c>
      <c r="B108" s="66">
        <v>54762</v>
      </c>
      <c r="D108">
        <f t="shared" si="4"/>
        <v>0.4894227417754779</v>
      </c>
      <c r="E108">
        <f t="shared" si="4"/>
        <v>0.4894227417754779</v>
      </c>
      <c r="G108">
        <f t="shared" ca="1" si="5"/>
        <v>106</v>
      </c>
      <c r="H108">
        <f t="shared" ca="1" si="6"/>
        <v>51.878810628200654</v>
      </c>
      <c r="I108">
        <f t="shared" ca="1" si="7"/>
        <v>909.21803682429277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56432</v>
      </c>
      <c r="B111" s="66">
        <v>56432</v>
      </c>
      <c r="D111">
        <f t="shared" si="4"/>
        <v>0.50434798151772708</v>
      </c>
      <c r="E111">
        <f t="shared" si="4"/>
        <v>0.50434798151772708</v>
      </c>
      <c r="G111">
        <f t="shared" ca="1" si="5"/>
        <v>109</v>
      </c>
      <c r="H111">
        <f t="shared" ca="1" si="6"/>
        <v>54.97392998543225</v>
      </c>
      <c r="I111">
        <f t="shared" ca="1" si="7"/>
        <v>1071.9131136200592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48503</v>
      </c>
      <c r="B113" s="66">
        <v>48503</v>
      </c>
      <c r="D113">
        <f t="shared" si="4"/>
        <v>0.43348437318461719</v>
      </c>
      <c r="E113">
        <f t="shared" si="4"/>
        <v>0.43348437318461719</v>
      </c>
      <c r="G113">
        <f t="shared" ca="1" si="5"/>
        <v>111</v>
      </c>
      <c r="H113">
        <f t="shared" ca="1" si="6"/>
        <v>48.11676542349251</v>
      </c>
      <c r="I113">
        <f t="shared" ca="1" si="7"/>
        <v>1002.9745285136938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37952</v>
      </c>
      <c r="B116" s="66">
        <v>37952</v>
      </c>
      <c r="D116">
        <f t="shared" si="4"/>
        <v>0.33918724472924544</v>
      </c>
      <c r="E116">
        <f t="shared" si="4"/>
        <v>0.33918724472924544</v>
      </c>
      <c r="G116">
        <f t="shared" ca="1" si="5"/>
        <v>114</v>
      </c>
      <c r="H116">
        <f t="shared" ca="1" si="6"/>
        <v>38.667345899133977</v>
      </c>
      <c r="I116">
        <f t="shared" ca="1" si="7"/>
        <v>885.73962312117908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31647</v>
      </c>
      <c r="B118" s="66">
        <v>31647</v>
      </c>
      <c r="D118">
        <f t="shared" si="4"/>
        <v>0.28283776175027481</v>
      </c>
      <c r="E118">
        <f t="shared" si="4"/>
        <v>0.28283776175027481</v>
      </c>
      <c r="G118">
        <f t="shared" ca="1" si="5"/>
        <v>116</v>
      </c>
      <c r="H118">
        <f t="shared" ca="1" si="6"/>
        <v>32.809180363031878</v>
      </c>
      <c r="I118">
        <f t="shared" ca="1" si="7"/>
        <v>797.53593803463104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24756</v>
      </c>
      <c r="B121" s="66">
        <v>24756</v>
      </c>
      <c r="D121">
        <f t="shared" si="4"/>
        <v>0.22125103895755691</v>
      </c>
      <c r="E121">
        <f t="shared" si="4"/>
        <v>0.22125103895755691</v>
      </c>
      <c r="G121">
        <f t="shared" ca="1" si="5"/>
        <v>119</v>
      </c>
      <c r="H121">
        <f t="shared" ca="1" si="6"/>
        <v>26.328873635949272</v>
      </c>
      <c r="I121">
        <f t="shared" ca="1" si="7"/>
        <v>696.35964492821017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27052</v>
      </c>
      <c r="B124" s="66">
        <v>27052</v>
      </c>
      <c r="D124">
        <f t="shared" si="4"/>
        <v>0.24177100928582282</v>
      </c>
      <c r="E124">
        <f t="shared" si="4"/>
        <v>0.24177100928582282</v>
      </c>
      <c r="G124">
        <f t="shared" ca="1" si="5"/>
        <v>122</v>
      </c>
      <c r="H124">
        <f t="shared" ca="1" si="6"/>
        <v>29.496063132870383</v>
      </c>
      <c r="I124">
        <f t="shared" ca="1" si="7"/>
        <v>844.5018286179079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23428</v>
      </c>
      <c r="B126" s="66">
        <v>23428</v>
      </c>
      <c r="D126">
        <f t="shared" si="4"/>
        <v>0.20938234531821148</v>
      </c>
      <c r="E126">
        <f t="shared" si="4"/>
        <v>0.20938234531821148</v>
      </c>
      <c r="G126">
        <f t="shared" ca="1" si="5"/>
        <v>124</v>
      </c>
      <c r="H126">
        <f t="shared" ca="1" si="6"/>
        <v>25.963410819458225</v>
      </c>
      <c r="I126">
        <f t="shared" ca="1" si="7"/>
        <v>781.70553819842712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19406</v>
      </c>
      <c r="B129" s="66">
        <v>19406</v>
      </c>
      <c r="D129">
        <f t="shared" si="4"/>
        <v>0.17343664816651921</v>
      </c>
      <c r="E129">
        <f t="shared" si="4"/>
        <v>0.17343664816651921</v>
      </c>
      <c r="G129">
        <f t="shared" ca="1" si="5"/>
        <v>127</v>
      </c>
      <c r="H129">
        <f t="shared" ca="1" si="6"/>
        <v>22.026454317147941</v>
      </c>
      <c r="I129">
        <f t="shared" ca="1" si="7"/>
        <v>712.65062426689349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14281</v>
      </c>
      <c r="B131" s="66">
        <v>14281</v>
      </c>
      <c r="D131">
        <f t="shared" ref="D131:E194" si="8">IFERROR( A131/MAX(A$2:A$257), 0 )</f>
        <v>0.1276331429694971</v>
      </c>
      <c r="E131">
        <f t="shared" si="8"/>
        <v>0.1276331429694971</v>
      </c>
      <c r="G131">
        <f t="shared" ref="G131:G194" ca="1" si="9">CELL("row",D131)-2</f>
        <v>129</v>
      </c>
      <c r="H131">
        <f t="shared" ref="H131:H194" ca="1" si="10">D131*G131</f>
        <v>16.464675443065126</v>
      </c>
      <c r="I131">
        <f t="shared" ref="I131:I194" ca="1" si="11">D131*((G131-$L$1)^2)</f>
        <v>557.68058424209948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12500</v>
      </c>
      <c r="B134" s="66">
        <v>12500</v>
      </c>
      <c r="D134">
        <f t="shared" si="8"/>
        <v>0.11171586633420025</v>
      </c>
      <c r="E134">
        <f t="shared" si="8"/>
        <v>0.11171586633420025</v>
      </c>
      <c r="G134">
        <f t="shared" ca="1" si="9"/>
        <v>132</v>
      </c>
      <c r="H134">
        <f t="shared" ca="1" si="10"/>
        <v>14.746494356114432</v>
      </c>
      <c r="I134">
        <f t="shared" ca="1" si="11"/>
        <v>533.44452645536524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8811</v>
      </c>
      <c r="B136" s="66">
        <v>8811</v>
      </c>
      <c r="D136">
        <f t="shared" si="8"/>
        <v>7.8746279861651072E-2</v>
      </c>
      <c r="E136">
        <f t="shared" si="8"/>
        <v>7.8746279861651072E-2</v>
      </c>
      <c r="G136">
        <f t="shared" ca="1" si="9"/>
        <v>134</v>
      </c>
      <c r="H136">
        <f t="shared" ca="1" si="10"/>
        <v>10.552001501461243</v>
      </c>
      <c r="I136">
        <f t="shared" ca="1" si="11"/>
        <v>398.09529352605892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7435</v>
      </c>
      <c r="B139" s="66">
        <v>7435</v>
      </c>
      <c r="D139">
        <f t="shared" si="8"/>
        <v>6.6448597295582307E-2</v>
      </c>
      <c r="E139">
        <f t="shared" si="8"/>
        <v>6.6448597295582307E-2</v>
      </c>
      <c r="G139">
        <f t="shared" ca="1" si="9"/>
        <v>137</v>
      </c>
      <c r="H139">
        <f t="shared" ca="1" si="10"/>
        <v>9.1034578294947757</v>
      </c>
      <c r="I139">
        <f t="shared" ca="1" si="11"/>
        <v>364.87096796902233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4850</v>
      </c>
      <c r="B142" s="66">
        <v>4850</v>
      </c>
      <c r="D142">
        <f t="shared" si="8"/>
        <v>4.3345756137669694E-2</v>
      </c>
      <c r="E142">
        <f t="shared" si="8"/>
        <v>4.3345756137669694E-2</v>
      </c>
      <c r="G142">
        <f t="shared" ca="1" si="9"/>
        <v>140</v>
      </c>
      <c r="H142">
        <f t="shared" ca="1" si="10"/>
        <v>6.0684058592737573</v>
      </c>
      <c r="I142">
        <f t="shared" ca="1" si="11"/>
        <v>257.67468292509398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4109</v>
      </c>
      <c r="B144" s="66">
        <v>4109</v>
      </c>
      <c r="D144">
        <f t="shared" si="8"/>
        <v>3.6723239581378304E-2</v>
      </c>
      <c r="E144">
        <f t="shared" si="8"/>
        <v>3.6723239581378304E-2</v>
      </c>
      <c r="G144">
        <f t="shared" ca="1" si="9"/>
        <v>142</v>
      </c>
      <c r="H144">
        <f t="shared" ca="1" si="10"/>
        <v>5.2147000205557195</v>
      </c>
      <c r="I144">
        <f t="shared" ca="1" si="11"/>
        <v>229.77879570526051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3003</v>
      </c>
      <c r="B147" s="66">
        <v>3003</v>
      </c>
      <c r="D147">
        <f t="shared" si="8"/>
        <v>2.6838619728128267E-2</v>
      </c>
      <c r="E147">
        <f t="shared" si="8"/>
        <v>2.6838619728128267E-2</v>
      </c>
      <c r="G147">
        <f t="shared" ca="1" si="9"/>
        <v>145</v>
      </c>
      <c r="H147">
        <f t="shared" ca="1" si="10"/>
        <v>3.8915998605785989</v>
      </c>
      <c r="I147">
        <f t="shared" ca="1" si="11"/>
        <v>180.90972047816723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1682</v>
      </c>
      <c r="B149" s="66">
        <v>1682</v>
      </c>
      <c r="D149">
        <f t="shared" si="8"/>
        <v>1.5032486973929985E-2</v>
      </c>
      <c r="E149">
        <f t="shared" si="8"/>
        <v>1.5032486973929985E-2</v>
      </c>
      <c r="G149">
        <f t="shared" ca="1" si="9"/>
        <v>147</v>
      </c>
      <c r="H149">
        <f t="shared" ca="1" si="10"/>
        <v>2.2097755851677077</v>
      </c>
      <c r="I149">
        <f t="shared" ca="1" si="11"/>
        <v>106.32560748947294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474</v>
      </c>
      <c r="B152" s="66">
        <v>474</v>
      </c>
      <c r="D152">
        <f t="shared" si="8"/>
        <v>4.2362656513928731E-3</v>
      </c>
      <c r="E152">
        <f t="shared" si="8"/>
        <v>4.2362656513928731E-3</v>
      </c>
      <c r="G152">
        <f t="shared" ca="1" si="9"/>
        <v>150</v>
      </c>
      <c r="H152">
        <f t="shared" ca="1" si="10"/>
        <v>0.63543984770893092</v>
      </c>
      <c r="I152">
        <f t="shared" ca="1" si="11"/>
        <v>32.139123106485528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70</v>
      </c>
      <c r="B154" s="66">
        <v>70</v>
      </c>
      <c r="D154">
        <f t="shared" si="8"/>
        <v>6.2560885147152137E-4</v>
      </c>
      <c r="E154">
        <f t="shared" si="8"/>
        <v>6.2560885147152137E-4</v>
      </c>
      <c r="G154">
        <f t="shared" ca="1" si="9"/>
        <v>152</v>
      </c>
      <c r="H154">
        <f t="shared" ca="1" si="10"/>
        <v>9.5092545423671251E-2</v>
      </c>
      <c r="I154">
        <f t="shared" ca="1" si="11"/>
        <v>4.9667522076727266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106</v>
      </c>
      <c r="B157" s="66">
        <v>106</v>
      </c>
      <c r="D157">
        <f t="shared" si="8"/>
        <v>9.4735054651401808E-4</v>
      </c>
      <c r="E157">
        <f t="shared" si="8"/>
        <v>9.4735054651401808E-4</v>
      </c>
      <c r="G157">
        <f t="shared" ca="1" si="9"/>
        <v>155</v>
      </c>
      <c r="H157">
        <f t="shared" ca="1" si="10"/>
        <v>0.14683933470967281</v>
      </c>
      <c r="I157">
        <f t="shared" ca="1" si="11"/>
        <v>8.0360699517054623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622</v>
      </c>
      <c r="B160" s="66">
        <v>622</v>
      </c>
      <c r="D160">
        <f t="shared" si="8"/>
        <v>5.5589815087898047E-3</v>
      </c>
      <c r="E160">
        <f t="shared" si="8"/>
        <v>5.5589815087898047E-3</v>
      </c>
      <c r="G160">
        <f t="shared" ca="1" si="9"/>
        <v>158</v>
      </c>
      <c r="H160">
        <f t="shared" ca="1" si="10"/>
        <v>0.8783190783887892</v>
      </c>
      <c r="I160">
        <f t="shared" ca="1" si="11"/>
        <v>50.277024583362184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554</v>
      </c>
      <c r="B162" s="66">
        <v>554</v>
      </c>
      <c r="D162">
        <f t="shared" si="8"/>
        <v>4.951247195931755E-3</v>
      </c>
      <c r="E162">
        <f t="shared" si="8"/>
        <v>4.951247195931755E-3</v>
      </c>
      <c r="G162">
        <f t="shared" ca="1" si="9"/>
        <v>160</v>
      </c>
      <c r="H162">
        <f t="shared" ca="1" si="10"/>
        <v>0.79219955134908082</v>
      </c>
      <c r="I162">
        <f t="shared" ca="1" si="11"/>
        <v>46.683789267901801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312</v>
      </c>
      <c r="B165" s="66">
        <v>312</v>
      </c>
      <c r="D165">
        <f t="shared" si="8"/>
        <v>2.7884280237016382E-3</v>
      </c>
      <c r="E165">
        <f t="shared" si="8"/>
        <v>2.7884280237016382E-3</v>
      </c>
      <c r="G165">
        <f t="shared" ca="1" si="9"/>
        <v>163</v>
      </c>
      <c r="H165">
        <f t="shared" ca="1" si="10"/>
        <v>0.45451376786336706</v>
      </c>
      <c r="I165">
        <f t="shared" ca="1" si="11"/>
        <v>27.940889891624867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45</v>
      </c>
      <c r="B167" s="66">
        <v>45</v>
      </c>
      <c r="D167">
        <f t="shared" si="8"/>
        <v>4.0217711880312091E-4</v>
      </c>
      <c r="E167">
        <f t="shared" si="8"/>
        <v>4.0217711880312091E-4</v>
      </c>
      <c r="G167">
        <f t="shared" ca="1" si="9"/>
        <v>165</v>
      </c>
      <c r="H167">
        <f t="shared" ca="1" si="10"/>
        <v>6.6359224602514949E-2</v>
      </c>
      <c r="I167">
        <f t="shared" ca="1" si="11"/>
        <v>4.1925788123424121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52.821261237060568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1.0192887709585439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0.56219720099134018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46914</v>
      </c>
      <c r="B8" s="66">
        <v>46914</v>
      </c>
      <c r="D8">
        <f t="shared" si="0"/>
        <v>96.670100968473108</v>
      </c>
      <c r="E8">
        <f t="shared" si="1"/>
        <v>96.670100968473108</v>
      </c>
      <c r="G8">
        <f t="shared" ca="1" si="2"/>
        <v>6</v>
      </c>
      <c r="H8">
        <f t="shared" ca="1" si="3"/>
        <v>580.02060581083867</v>
      </c>
      <c r="I8">
        <f t="shared" ca="1" si="4"/>
        <v>211923.14415132292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29714</v>
      </c>
      <c r="B10" s="66">
        <v>29714</v>
      </c>
      <c r="D10">
        <f t="shared" si="0"/>
        <v>61.22810632598393</v>
      </c>
      <c r="E10">
        <f t="shared" si="1"/>
        <v>61.22810632598393</v>
      </c>
      <c r="G10">
        <f t="shared" ca="1" si="2"/>
        <v>8</v>
      </c>
      <c r="H10">
        <f t="shared" ca="1" si="3"/>
        <v>489.82485060787144</v>
      </c>
      <c r="I10">
        <f t="shared" ca="1" si="4"/>
        <v>123003.92615945793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27561</v>
      </c>
      <c r="B13" s="66">
        <v>27561</v>
      </c>
      <c r="D13">
        <f t="shared" si="0"/>
        <v>56.791675252421186</v>
      </c>
      <c r="E13">
        <f t="shared" si="1"/>
        <v>56.791675252421186</v>
      </c>
      <c r="G13">
        <f t="shared" ca="1" si="2"/>
        <v>11</v>
      </c>
      <c r="H13">
        <f t="shared" ca="1" si="3"/>
        <v>624.70842777663302</v>
      </c>
      <c r="I13">
        <f t="shared" ca="1" si="4"/>
        <v>99329.656102383582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21281</v>
      </c>
      <c r="B15" s="66">
        <v>21281</v>
      </c>
      <c r="D15">
        <f t="shared" si="0"/>
        <v>43.851226045744902</v>
      </c>
      <c r="E15">
        <f t="shared" si="1"/>
        <v>43.851226045744902</v>
      </c>
      <c r="G15">
        <f t="shared" ca="1" si="2"/>
        <v>13</v>
      </c>
      <c r="H15">
        <f t="shared" ca="1" si="3"/>
        <v>570.06593859468376</v>
      </c>
      <c r="I15">
        <f t="shared" ca="1" si="4"/>
        <v>69536.329500482272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23793</v>
      </c>
      <c r="B18" s="66">
        <v>23793</v>
      </c>
      <c r="D18">
        <f t="shared" si="0"/>
        <v>49.02740572841541</v>
      </c>
      <c r="E18">
        <f t="shared" si="1"/>
        <v>49.02740572841541</v>
      </c>
      <c r="G18">
        <f t="shared" ca="1" si="2"/>
        <v>16</v>
      </c>
      <c r="H18">
        <f t="shared" ca="1" si="3"/>
        <v>784.43849165464655</v>
      </c>
      <c r="I18">
        <f t="shared" ca="1" si="4"/>
        <v>66471.615506567963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27422</v>
      </c>
      <c r="B21" s="66">
        <v>27422</v>
      </c>
      <c r="D21">
        <f t="shared" si="0"/>
        <v>56.505254481763856</v>
      </c>
      <c r="E21">
        <f t="shared" si="1"/>
        <v>56.505254481763856</v>
      </c>
      <c r="G21">
        <f t="shared" ca="1" si="2"/>
        <v>19</v>
      </c>
      <c r="H21">
        <f t="shared" ca="1" si="3"/>
        <v>1073.5998351535134</v>
      </c>
      <c r="I21">
        <f t="shared" ca="1" si="4"/>
        <v>64635.101193676543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32718</v>
      </c>
      <c r="B23" s="66">
        <v>32718</v>
      </c>
      <c r="D23">
        <f t="shared" si="0"/>
        <v>67.418091901916341</v>
      </c>
      <c r="E23">
        <f t="shared" si="1"/>
        <v>67.418091901916341</v>
      </c>
      <c r="G23">
        <f t="shared" ca="1" si="2"/>
        <v>21</v>
      </c>
      <c r="H23">
        <f t="shared" ca="1" si="3"/>
        <v>1415.7799299402432</v>
      </c>
      <c r="I23">
        <f t="shared" ca="1" si="4"/>
        <v>68267.065463950334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34465</v>
      </c>
      <c r="B26" s="66">
        <v>34465</v>
      </c>
      <c r="D26">
        <f t="shared" si="0"/>
        <v>71.017927055429638</v>
      </c>
      <c r="E26">
        <f t="shared" si="1"/>
        <v>71.017927055429638</v>
      </c>
      <c r="G26">
        <f t="shared" ca="1" si="2"/>
        <v>24</v>
      </c>
      <c r="H26">
        <f t="shared" ca="1" si="3"/>
        <v>1704.4302493303112</v>
      </c>
      <c r="I26">
        <f t="shared" ca="1" si="4"/>
        <v>58992.113429215722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33591</v>
      </c>
      <c r="B28" s="66">
        <v>33591</v>
      </c>
      <c r="D28">
        <f t="shared" si="0"/>
        <v>69.216979188131049</v>
      </c>
      <c r="E28">
        <f t="shared" si="1"/>
        <v>69.216979188131049</v>
      </c>
      <c r="G28">
        <f t="shared" ca="1" si="2"/>
        <v>26</v>
      </c>
      <c r="H28">
        <f t="shared" ca="1" si="3"/>
        <v>1799.6414588914072</v>
      </c>
      <c r="I28">
        <f t="shared" ca="1" si="4"/>
        <v>49793.314250068506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38173</v>
      </c>
      <c r="B31" s="66">
        <v>38173</v>
      </c>
      <c r="D31">
        <f t="shared" si="0"/>
        <v>78.658561714403461</v>
      </c>
      <c r="E31">
        <f t="shared" si="1"/>
        <v>78.658561714403461</v>
      </c>
      <c r="G31">
        <f t="shared" ca="1" si="2"/>
        <v>29</v>
      </c>
      <c r="H31">
        <f t="shared" ca="1" si="3"/>
        <v>2281.0982897177005</v>
      </c>
      <c r="I31">
        <f t="shared" ca="1" si="4"/>
        <v>44634.996462725547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41995</v>
      </c>
      <c r="B33" s="66">
        <v>41995</v>
      </c>
      <c r="D33">
        <f t="shared" si="0"/>
        <v>86.534102616937972</v>
      </c>
      <c r="E33">
        <f t="shared" si="1"/>
        <v>86.534102616937972</v>
      </c>
      <c r="G33">
        <f t="shared" ca="1" si="2"/>
        <v>31</v>
      </c>
      <c r="H33">
        <f t="shared" ca="1" si="3"/>
        <v>2682.557181125077</v>
      </c>
      <c r="I33">
        <f t="shared" ca="1" si="4"/>
        <v>41204.72228679969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48530</v>
      </c>
      <c r="B36" s="66">
        <v>48530</v>
      </c>
      <c r="D36">
        <f t="shared" si="0"/>
        <v>100</v>
      </c>
      <c r="E36">
        <f t="shared" si="1"/>
        <v>100</v>
      </c>
      <c r="G36">
        <f t="shared" ca="1" si="2"/>
        <v>34</v>
      </c>
      <c r="H36">
        <f t="shared" ca="1" si="3"/>
        <v>3400</v>
      </c>
      <c r="I36">
        <f t="shared" ca="1" si="4"/>
        <v>35423.987455367867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43059</v>
      </c>
      <c r="B39" s="66">
        <v>43059</v>
      </c>
      <c r="D39">
        <f t="shared" si="0"/>
        <v>88.726560890171029</v>
      </c>
      <c r="E39">
        <f t="shared" si="1"/>
        <v>88.726560890171029</v>
      </c>
      <c r="G39">
        <f t="shared" ca="1" si="2"/>
        <v>37</v>
      </c>
      <c r="H39">
        <f t="shared" ca="1" si="3"/>
        <v>3282.882752936328</v>
      </c>
      <c r="I39">
        <f t="shared" ca="1" si="4"/>
        <v>22209.350160245838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38510</v>
      </c>
      <c r="B41" s="66">
        <v>38510</v>
      </c>
      <c r="D41">
        <f t="shared" si="0"/>
        <v>79.352977539666185</v>
      </c>
      <c r="E41">
        <f t="shared" si="1"/>
        <v>79.352977539666185</v>
      </c>
      <c r="G41">
        <f t="shared" ca="1" si="2"/>
        <v>39</v>
      </c>
      <c r="H41">
        <f t="shared" ca="1" si="3"/>
        <v>3094.7661240469811</v>
      </c>
      <c r="I41">
        <f t="shared" ca="1" si="4"/>
        <v>15158.582045477317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40035</v>
      </c>
      <c r="B44" s="66">
        <v>40035</v>
      </c>
      <c r="D44">
        <f t="shared" si="0"/>
        <v>82.495363692561298</v>
      </c>
      <c r="E44">
        <f t="shared" si="1"/>
        <v>82.495363692561298</v>
      </c>
      <c r="G44">
        <f t="shared" ca="1" si="2"/>
        <v>42</v>
      </c>
      <c r="H44">
        <f t="shared" ca="1" si="3"/>
        <v>3464.8052750875745</v>
      </c>
      <c r="I44">
        <f t="shared" ca="1" si="4"/>
        <v>9660.1819075726544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35904</v>
      </c>
      <c r="B46" s="66">
        <v>35904</v>
      </c>
      <c r="D46">
        <f t="shared" si="0"/>
        <v>73.983103235112296</v>
      </c>
      <c r="E46">
        <f t="shared" si="1"/>
        <v>73.983103235112296</v>
      </c>
      <c r="G46">
        <f t="shared" ca="1" si="2"/>
        <v>44</v>
      </c>
      <c r="H46">
        <f t="shared" ca="1" si="3"/>
        <v>3255.256542344941</v>
      </c>
      <c r="I46">
        <f t="shared" ca="1" si="4"/>
        <v>5756.9692702798839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40903</v>
      </c>
      <c r="B49" s="66">
        <v>40903</v>
      </c>
      <c r="D49">
        <f t="shared" si="0"/>
        <v>84.283948073356683</v>
      </c>
      <c r="E49">
        <f t="shared" si="1"/>
        <v>84.283948073356683</v>
      </c>
      <c r="G49">
        <f t="shared" ca="1" si="2"/>
        <v>47</v>
      </c>
      <c r="H49">
        <f t="shared" ca="1" si="3"/>
        <v>3961.3455594477641</v>
      </c>
      <c r="I49">
        <f t="shared" ca="1" si="4"/>
        <v>2856.1370925250803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39183</v>
      </c>
      <c r="B51" s="66">
        <v>39183</v>
      </c>
      <c r="D51">
        <f t="shared" si="0"/>
        <v>80.739748609107764</v>
      </c>
      <c r="E51">
        <f t="shared" si="1"/>
        <v>80.739748609107764</v>
      </c>
      <c r="G51">
        <f t="shared" ca="1" si="2"/>
        <v>49</v>
      </c>
      <c r="H51">
        <f t="shared" ca="1" si="3"/>
        <v>3956.2476818462806</v>
      </c>
      <c r="I51">
        <f t="shared" ca="1" si="4"/>
        <v>1178.9648322366897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42378</v>
      </c>
      <c r="B54" s="66">
        <v>42378</v>
      </c>
      <c r="D54">
        <f t="shared" si="0"/>
        <v>87.323305172058525</v>
      </c>
      <c r="E54">
        <f t="shared" si="1"/>
        <v>87.323305172058525</v>
      </c>
      <c r="G54">
        <f t="shared" ca="1" si="2"/>
        <v>52</v>
      </c>
      <c r="H54">
        <f t="shared" ca="1" si="3"/>
        <v>4540.811868947043</v>
      </c>
      <c r="I54">
        <f t="shared" ca="1" si="4"/>
        <v>58.896951342050386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36210</v>
      </c>
      <c r="B57" s="66">
        <v>36210</v>
      </c>
      <c r="D57">
        <f t="shared" si="0"/>
        <v>74.613641046775186</v>
      </c>
      <c r="E57">
        <f t="shared" si="1"/>
        <v>74.613641046775186</v>
      </c>
      <c r="G57">
        <f t="shared" ca="1" si="2"/>
        <v>55</v>
      </c>
      <c r="H57">
        <f t="shared" ca="1" si="3"/>
        <v>4103.7502575726348</v>
      </c>
      <c r="I57">
        <f t="shared" ca="1" si="4"/>
        <v>354.18368646662424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37969</v>
      </c>
      <c r="B59" s="66">
        <v>37969</v>
      </c>
      <c r="D59">
        <f t="shared" si="0"/>
        <v>78.238203173294863</v>
      </c>
      <c r="E59">
        <f t="shared" si="1"/>
        <v>78.238203173294863</v>
      </c>
      <c r="G59">
        <f t="shared" ca="1" si="2"/>
        <v>57</v>
      </c>
      <c r="H59">
        <f t="shared" ca="1" si="3"/>
        <v>4459.5775808778071</v>
      </c>
      <c r="I59">
        <f t="shared" ca="1" si="4"/>
        <v>1366.18436651721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41799</v>
      </c>
      <c r="B62" s="66">
        <v>41799</v>
      </c>
      <c r="D62">
        <f t="shared" si="0"/>
        <v>86.130228724500313</v>
      </c>
      <c r="E62">
        <f t="shared" si="1"/>
        <v>86.130228724500313</v>
      </c>
      <c r="G62">
        <f t="shared" ca="1" si="2"/>
        <v>60</v>
      </c>
      <c r="H62">
        <f t="shared" ca="1" si="3"/>
        <v>5167.8137234700189</v>
      </c>
      <c r="I62">
        <f t="shared" ca="1" si="4"/>
        <v>4438.6602043657376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31442</v>
      </c>
      <c r="B64" s="66">
        <v>31442</v>
      </c>
      <c r="D64">
        <f t="shared" si="0"/>
        <v>64.788790438903774</v>
      </c>
      <c r="E64">
        <f t="shared" si="1"/>
        <v>64.788790438903774</v>
      </c>
      <c r="G64">
        <f t="shared" ca="1" si="2"/>
        <v>62</v>
      </c>
      <c r="H64">
        <f t="shared" ca="1" si="3"/>
        <v>4016.905007212034</v>
      </c>
      <c r="I64">
        <f t="shared" ca="1" si="4"/>
        <v>5458.4066969707328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39134</v>
      </c>
      <c r="B67" s="66">
        <v>39134</v>
      </c>
      <c r="D67">
        <f t="shared" ref="D67:D130" si="5">IFERROR( 100*A67/MAX(A$2:A$257), 0 )</f>
        <v>80.638780135998346</v>
      </c>
      <c r="E67">
        <f t="shared" ref="E67:E130" si="6">IFERROR( 100*B67/MAX(B$2:B$257), 0 )</f>
        <v>80.638780135998346</v>
      </c>
      <c r="G67">
        <f t="shared" ref="G67:G130" ca="1" si="7">CELL("row",D67)-2</f>
        <v>65</v>
      </c>
      <c r="H67">
        <f t="shared" ref="H67:H130" ca="1" si="8">D67*G67</f>
        <v>5241.5207088398929</v>
      </c>
      <c r="I67">
        <f t="shared" ref="I67:I130" ca="1" si="9">D67*((G67-$L$1)^2)</f>
        <v>11960.479170026187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38893</v>
      </c>
      <c r="B69" s="66">
        <v>38893</v>
      </c>
      <c r="D69">
        <f t="shared" si="5"/>
        <v>80.142180094786724</v>
      </c>
      <c r="E69">
        <f t="shared" si="6"/>
        <v>80.142180094786724</v>
      </c>
      <c r="G69">
        <f t="shared" ca="1" si="7"/>
        <v>67</v>
      </c>
      <c r="H69">
        <f t="shared" ca="1" si="8"/>
        <v>5369.5260663507106</v>
      </c>
      <c r="I69">
        <f t="shared" ca="1" si="9"/>
        <v>16111.514040136914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31542</v>
      </c>
      <c r="B72" s="66">
        <v>31542</v>
      </c>
      <c r="D72">
        <f t="shared" si="5"/>
        <v>64.994848547290331</v>
      </c>
      <c r="E72">
        <f t="shared" si="6"/>
        <v>64.994848547290331</v>
      </c>
      <c r="G72">
        <f t="shared" ca="1" si="7"/>
        <v>70</v>
      </c>
      <c r="H72">
        <f t="shared" ca="1" si="8"/>
        <v>4549.6393983103235</v>
      </c>
      <c r="I72">
        <f t="shared" ca="1" si="9"/>
        <v>19180.569016150614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34314</v>
      </c>
      <c r="B75" s="66">
        <v>34314</v>
      </c>
      <c r="D75">
        <f t="shared" si="5"/>
        <v>70.706779311765914</v>
      </c>
      <c r="E75">
        <f t="shared" si="6"/>
        <v>70.706779311765914</v>
      </c>
      <c r="G75">
        <f t="shared" ca="1" si="7"/>
        <v>73</v>
      </c>
      <c r="H75">
        <f t="shared" ca="1" si="8"/>
        <v>5161.5948897589114</v>
      </c>
      <c r="I75">
        <f t="shared" ca="1" si="9"/>
        <v>28790.492323371556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26139</v>
      </c>
      <c r="B77" s="66">
        <v>26139</v>
      </c>
      <c r="D77">
        <f t="shared" si="5"/>
        <v>53.861528951164232</v>
      </c>
      <c r="E77">
        <f t="shared" si="6"/>
        <v>53.861528951164232</v>
      </c>
      <c r="G77">
        <f t="shared" ca="1" si="7"/>
        <v>75</v>
      </c>
      <c r="H77">
        <f t="shared" ca="1" si="8"/>
        <v>4039.6146713373173</v>
      </c>
      <c r="I77">
        <f t="shared" ca="1" si="9"/>
        <v>26494.295050413068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25412</v>
      </c>
      <c r="B80" s="66">
        <v>25412</v>
      </c>
      <c r="D80">
        <f t="shared" si="5"/>
        <v>52.363486503193897</v>
      </c>
      <c r="E80">
        <f t="shared" si="6"/>
        <v>52.363486503193897</v>
      </c>
      <c r="G80">
        <f t="shared" ca="1" si="7"/>
        <v>78</v>
      </c>
      <c r="H80">
        <f t="shared" ca="1" si="8"/>
        <v>4084.3519472491239</v>
      </c>
      <c r="I80">
        <f t="shared" ca="1" si="9"/>
        <v>33196.821189396178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26249</v>
      </c>
      <c r="B82" s="66">
        <v>26249</v>
      </c>
      <c r="D82">
        <f t="shared" si="5"/>
        <v>54.088192870389449</v>
      </c>
      <c r="E82">
        <f t="shared" si="6"/>
        <v>54.088192870389449</v>
      </c>
      <c r="G82">
        <f t="shared" ca="1" si="7"/>
        <v>80</v>
      </c>
      <c r="H82">
        <f t="shared" ca="1" si="8"/>
        <v>4327.0554296311557</v>
      </c>
      <c r="I82">
        <f t="shared" ca="1" si="9"/>
        <v>39954.074048407274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25611</v>
      </c>
      <c r="B85" s="66">
        <v>25611</v>
      </c>
      <c r="D85">
        <f t="shared" si="5"/>
        <v>52.773542138883165</v>
      </c>
      <c r="E85">
        <f t="shared" si="6"/>
        <v>52.773542138883165</v>
      </c>
      <c r="G85">
        <f t="shared" ca="1" si="7"/>
        <v>83</v>
      </c>
      <c r="H85">
        <f t="shared" ca="1" si="8"/>
        <v>4380.2039975273028</v>
      </c>
      <c r="I85">
        <f t="shared" ca="1" si="9"/>
        <v>48063.8345683972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21359</v>
      </c>
      <c r="B88" s="66">
        <v>21359</v>
      </c>
      <c r="D88">
        <f t="shared" si="5"/>
        <v>44.011951370286418</v>
      </c>
      <c r="E88">
        <f t="shared" si="6"/>
        <v>44.011951370286418</v>
      </c>
      <c r="G88">
        <f t="shared" ca="1" si="7"/>
        <v>86</v>
      </c>
      <c r="H88">
        <f t="shared" ca="1" si="8"/>
        <v>3785.027817844632</v>
      </c>
      <c r="I88">
        <f t="shared" ca="1" si="9"/>
        <v>48449.619471058824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20806</v>
      </c>
      <c r="B90" s="66">
        <v>20806</v>
      </c>
      <c r="D90">
        <f t="shared" si="5"/>
        <v>42.872450030908716</v>
      </c>
      <c r="E90">
        <f t="shared" si="6"/>
        <v>42.872450030908716</v>
      </c>
      <c r="G90">
        <f t="shared" ca="1" si="7"/>
        <v>88</v>
      </c>
      <c r="H90">
        <f t="shared" ca="1" si="8"/>
        <v>3772.7756027199671</v>
      </c>
      <c r="I90">
        <f t="shared" ca="1" si="9"/>
        <v>53056.528765195471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19546</v>
      </c>
      <c r="B93" s="66">
        <v>19546</v>
      </c>
      <c r="D93">
        <f t="shared" si="5"/>
        <v>40.276117865238</v>
      </c>
      <c r="E93">
        <f t="shared" si="6"/>
        <v>40.276117865238</v>
      </c>
      <c r="G93">
        <f t="shared" ca="1" si="7"/>
        <v>91</v>
      </c>
      <c r="H93">
        <f t="shared" ca="1" si="8"/>
        <v>3665.126725736658</v>
      </c>
      <c r="I93">
        <f t="shared" ca="1" si="9"/>
        <v>58707.117585232678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17338</v>
      </c>
      <c r="B95" s="66">
        <v>17338</v>
      </c>
      <c r="D95">
        <f t="shared" si="5"/>
        <v>35.72635483206264</v>
      </c>
      <c r="E95">
        <f t="shared" si="6"/>
        <v>35.72635483206264</v>
      </c>
      <c r="G95">
        <f t="shared" ca="1" si="7"/>
        <v>93</v>
      </c>
      <c r="H95">
        <f t="shared" ca="1" si="8"/>
        <v>3322.5509993818255</v>
      </c>
      <c r="I95">
        <f t="shared" ca="1" si="9"/>
        <v>57674.163858003827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14275</v>
      </c>
      <c r="B98" s="66">
        <v>14275</v>
      </c>
      <c r="D98">
        <f t="shared" si="5"/>
        <v>29.414794972182154</v>
      </c>
      <c r="E98">
        <f t="shared" si="6"/>
        <v>29.414794972182154</v>
      </c>
      <c r="G98">
        <f t="shared" ca="1" si="7"/>
        <v>96</v>
      </c>
      <c r="H98">
        <f t="shared" ca="1" si="8"/>
        <v>2823.8203173294869</v>
      </c>
      <c r="I98">
        <f t="shared" ca="1" si="9"/>
        <v>54841.04614369019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13458</v>
      </c>
      <c r="B100" s="66">
        <v>13458</v>
      </c>
      <c r="D100">
        <f t="shared" si="5"/>
        <v>27.731300226663919</v>
      </c>
      <c r="E100">
        <f t="shared" si="6"/>
        <v>27.731300226663919</v>
      </c>
      <c r="G100">
        <f t="shared" ca="1" si="7"/>
        <v>98</v>
      </c>
      <c r="H100">
        <f t="shared" ca="1" si="8"/>
        <v>2717.6674222130641</v>
      </c>
      <c r="I100">
        <f t="shared" ca="1" si="9"/>
        <v>56602.868152716219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11213</v>
      </c>
      <c r="B103" s="66">
        <v>11213</v>
      </c>
      <c r="D103">
        <f t="shared" si="5"/>
        <v>23.105295693385536</v>
      </c>
      <c r="E103">
        <f t="shared" si="6"/>
        <v>23.105295693385536</v>
      </c>
      <c r="G103">
        <f t="shared" ca="1" si="7"/>
        <v>101</v>
      </c>
      <c r="H103">
        <f t="shared" ca="1" si="8"/>
        <v>2333.6348650319392</v>
      </c>
      <c r="I103">
        <f t="shared" ca="1" si="9"/>
        <v>53631.8013841231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13360</v>
      </c>
      <c r="B106" s="66">
        <v>13360</v>
      </c>
      <c r="D106">
        <f t="shared" si="5"/>
        <v>27.529363280445086</v>
      </c>
      <c r="E106">
        <f t="shared" si="6"/>
        <v>27.529363280445086</v>
      </c>
      <c r="G106">
        <f t="shared" ca="1" si="7"/>
        <v>104</v>
      </c>
      <c r="H106">
        <f t="shared" ca="1" si="8"/>
        <v>2863.0537811662889</v>
      </c>
      <c r="I106">
        <f t="shared" ca="1" si="9"/>
        <v>72106.650950420488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11795</v>
      </c>
      <c r="B108" s="66">
        <v>11795</v>
      </c>
      <c r="D108">
        <f t="shared" si="5"/>
        <v>24.304553884195343</v>
      </c>
      <c r="E108">
        <f t="shared" si="6"/>
        <v>24.304553884195343</v>
      </c>
      <c r="G108">
        <f t="shared" ca="1" si="7"/>
        <v>106</v>
      </c>
      <c r="H108">
        <f t="shared" ca="1" si="8"/>
        <v>2576.2827117247061</v>
      </c>
      <c r="I108">
        <f t="shared" ca="1" si="9"/>
        <v>68732.749916418717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11481</v>
      </c>
      <c r="B111" s="66">
        <v>11481</v>
      </c>
      <c r="D111">
        <f t="shared" si="5"/>
        <v>23.657531423861528</v>
      </c>
      <c r="E111">
        <f t="shared" si="6"/>
        <v>23.657531423861528</v>
      </c>
      <c r="G111">
        <f t="shared" ca="1" si="7"/>
        <v>109</v>
      </c>
      <c r="H111">
        <f t="shared" ca="1" si="8"/>
        <v>2578.6709252009064</v>
      </c>
      <c r="I111">
        <f t="shared" ca="1" si="9"/>
        <v>74664.368350189427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9533</v>
      </c>
      <c r="B113" s="66">
        <v>9533</v>
      </c>
      <c r="D113">
        <f t="shared" si="5"/>
        <v>19.643519472491242</v>
      </c>
      <c r="E113">
        <f t="shared" si="6"/>
        <v>19.643519472491242</v>
      </c>
      <c r="G113">
        <f t="shared" ca="1" si="7"/>
        <v>111</v>
      </c>
      <c r="H113">
        <f t="shared" ca="1" si="8"/>
        <v>2180.4306614465277</v>
      </c>
      <c r="I113">
        <f t="shared" ca="1" si="9"/>
        <v>66488.709838643859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8361</v>
      </c>
      <c r="B116" s="66">
        <v>8361</v>
      </c>
      <c r="D116">
        <f t="shared" si="5"/>
        <v>17.228518442200702</v>
      </c>
      <c r="E116">
        <f t="shared" si="6"/>
        <v>17.228518442200702</v>
      </c>
      <c r="G116">
        <f t="shared" ca="1" si="7"/>
        <v>114</v>
      </c>
      <c r="H116">
        <f t="shared" ca="1" si="8"/>
        <v>1964.05110241088</v>
      </c>
      <c r="I116">
        <f t="shared" ca="1" si="9"/>
        <v>64483.554829287379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6816</v>
      </c>
      <c r="B118" s="66">
        <v>6816</v>
      </c>
      <c r="D118">
        <f t="shared" si="5"/>
        <v>14.04492066762827</v>
      </c>
      <c r="E118">
        <f t="shared" si="6"/>
        <v>14.04492066762827</v>
      </c>
      <c r="G118">
        <f t="shared" ca="1" si="7"/>
        <v>116</v>
      </c>
      <c r="H118">
        <f t="shared" ca="1" si="8"/>
        <v>1629.2107974448793</v>
      </c>
      <c r="I118">
        <f t="shared" ca="1" si="9"/>
        <v>56061.045670516956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4538</v>
      </c>
      <c r="B121" s="66">
        <v>4538</v>
      </c>
      <c r="D121">
        <f t="shared" si="5"/>
        <v>9.3509169585823209</v>
      </c>
      <c r="E121">
        <f t="shared" si="6"/>
        <v>9.3509169585823209</v>
      </c>
      <c r="G121">
        <f t="shared" ca="1" si="7"/>
        <v>119</v>
      </c>
      <c r="H121">
        <f t="shared" ca="1" si="8"/>
        <v>1112.7591180712961</v>
      </c>
      <c r="I121">
        <f t="shared" ca="1" si="9"/>
        <v>40953.514025925921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4640</v>
      </c>
      <c r="B124" s="66">
        <v>4640</v>
      </c>
      <c r="D124">
        <f t="shared" si="5"/>
        <v>9.5610962291366164</v>
      </c>
      <c r="E124">
        <f t="shared" si="6"/>
        <v>9.5610962291366164</v>
      </c>
      <c r="G124">
        <f t="shared" ca="1" si="7"/>
        <v>122</v>
      </c>
      <c r="H124">
        <f t="shared" ca="1" si="8"/>
        <v>1166.4537399546673</v>
      </c>
      <c r="I124">
        <f t="shared" ca="1" si="9"/>
        <v>45756.518115178085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3971</v>
      </c>
      <c r="B126" s="66">
        <v>3971</v>
      </c>
      <c r="D126">
        <f t="shared" si="5"/>
        <v>8.1825674840304963</v>
      </c>
      <c r="E126">
        <f t="shared" si="6"/>
        <v>8.1825674840304963</v>
      </c>
      <c r="G126">
        <f t="shared" ca="1" si="7"/>
        <v>124</v>
      </c>
      <c r="H126">
        <f t="shared" ca="1" si="8"/>
        <v>1014.6383680197815</v>
      </c>
      <c r="I126">
        <f t="shared" ca="1" si="9"/>
        <v>41456.265062490223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1697</v>
      </c>
      <c r="B129" s="66">
        <v>1697</v>
      </c>
      <c r="D129">
        <f t="shared" si="5"/>
        <v>3.4968060993200081</v>
      </c>
      <c r="E129">
        <f t="shared" si="6"/>
        <v>3.4968060993200081</v>
      </c>
      <c r="G129">
        <f t="shared" ca="1" si="7"/>
        <v>127</v>
      </c>
      <c r="H129">
        <f t="shared" ca="1" si="8"/>
        <v>444.09437461364104</v>
      </c>
      <c r="I129">
        <f t="shared" ca="1" si="9"/>
        <v>19241.124104119761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783</v>
      </c>
      <c r="B131" s="66">
        <v>783</v>
      </c>
      <c r="D131">
        <f t="shared" ref="D131:D194" si="10">IFERROR( 100*A131/MAX(A$2:A$257), 0 )</f>
        <v>1.613434988666804</v>
      </c>
      <c r="E131">
        <f t="shared" ref="E131:E194" si="11">IFERROR( 100*B131/MAX(B$2:B$257), 0 )</f>
        <v>1.613434988666804</v>
      </c>
      <c r="G131">
        <f t="shared" ref="G131:G194" ca="1" si="12">CELL("row",D131)-2</f>
        <v>129</v>
      </c>
      <c r="H131">
        <f t="shared" ref="H131:H194" ca="1" si="13">D131*G131</f>
        <v>208.13311353801771</v>
      </c>
      <c r="I131">
        <f t="shared" ref="I131:I194" ca="1" si="14">D131*((G131-$L$1)^2)</f>
        <v>9363.0863126685144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694</v>
      </c>
      <c r="B134" s="66">
        <v>694</v>
      </c>
      <c r="D134">
        <f t="shared" si="10"/>
        <v>1.4300432722027612</v>
      </c>
      <c r="E134">
        <f t="shared" si="11"/>
        <v>1.4300432722027612</v>
      </c>
      <c r="G134">
        <f t="shared" ca="1" si="12"/>
        <v>132</v>
      </c>
      <c r="H134">
        <f t="shared" ca="1" si="13"/>
        <v>188.76571193076447</v>
      </c>
      <c r="I134">
        <f t="shared" ca="1" si="14"/>
        <v>8965.3312063266567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742</v>
      </c>
      <c r="B136" s="66">
        <v>742</v>
      </c>
      <c r="D136">
        <f t="shared" si="10"/>
        <v>1.5289511642283125</v>
      </c>
      <c r="E136">
        <f t="shared" si="11"/>
        <v>1.5289511642283125</v>
      </c>
      <c r="G136">
        <f t="shared" ca="1" si="12"/>
        <v>134</v>
      </c>
      <c r="H136">
        <f t="shared" ca="1" si="13"/>
        <v>204.87945600659387</v>
      </c>
      <c r="I136">
        <f t="shared" ca="1" si="14"/>
        <v>10075.769254768271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714</v>
      </c>
      <c r="B139" s="66">
        <v>714</v>
      </c>
      <c r="D139">
        <f t="shared" si="10"/>
        <v>1.4712548938800742</v>
      </c>
      <c r="E139">
        <f t="shared" si="11"/>
        <v>1.4712548938800742</v>
      </c>
      <c r="G139">
        <f t="shared" ca="1" si="12"/>
        <v>137</v>
      </c>
      <c r="H139">
        <f t="shared" ca="1" si="13"/>
        <v>201.56192046157017</v>
      </c>
      <c r="I139">
        <f t="shared" ca="1" si="14"/>
        <v>10425.400541190007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1049</v>
      </c>
      <c r="B142" s="66">
        <v>1049</v>
      </c>
      <c r="D142">
        <f t="shared" si="10"/>
        <v>2.1615495569750669</v>
      </c>
      <c r="E142">
        <f t="shared" si="11"/>
        <v>2.1615495569750669</v>
      </c>
      <c r="G142">
        <f t="shared" ca="1" si="12"/>
        <v>140</v>
      </c>
      <c r="H142">
        <f t="shared" ca="1" si="13"/>
        <v>302.61693797650935</v>
      </c>
      <c r="I142">
        <f t="shared" ca="1" si="14"/>
        <v>16428.06302167604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1258</v>
      </c>
      <c r="B144" s="66">
        <v>1258</v>
      </c>
      <c r="D144">
        <f t="shared" si="10"/>
        <v>2.5922110035029879</v>
      </c>
      <c r="E144">
        <f t="shared" si="11"/>
        <v>2.5922110035029879</v>
      </c>
      <c r="G144">
        <f t="shared" ca="1" si="12"/>
        <v>142</v>
      </c>
      <c r="H144">
        <f t="shared" ca="1" si="13"/>
        <v>368.09396249742429</v>
      </c>
      <c r="I144">
        <f t="shared" ca="1" si="14"/>
        <v>20615.458662197678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314</v>
      </c>
      <c r="B147" s="66">
        <v>314</v>
      </c>
      <c r="D147">
        <f t="shared" si="10"/>
        <v>0.64702246033381416</v>
      </c>
      <c r="E147">
        <f t="shared" si="11"/>
        <v>0.64702246033381416</v>
      </c>
      <c r="G147">
        <f t="shared" ca="1" si="12"/>
        <v>145</v>
      </c>
      <c r="H147">
        <f t="shared" ca="1" si="13"/>
        <v>93.818256748403059</v>
      </c>
      <c r="I147">
        <f t="shared" ca="1" si="14"/>
        <v>5497.6980059691678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68.370682002504395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1.3193450287975037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0.58374763661857143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14231</v>
      </c>
      <c r="B8" s="66">
        <v>14231</v>
      </c>
      <c r="D8">
        <f t="shared" si="0"/>
        <v>17.759890178460001</v>
      </c>
      <c r="E8">
        <f t="shared" si="1"/>
        <v>17.759890178460001</v>
      </c>
      <c r="G8">
        <f t="shared" ca="1" si="2"/>
        <v>6</v>
      </c>
      <c r="H8">
        <f t="shared" ca="1" si="3"/>
        <v>106.55934107076001</v>
      </c>
      <c r="I8">
        <f t="shared" ca="1" si="4"/>
        <v>69087.78383161618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21181</v>
      </c>
      <c r="B10" s="66">
        <v>21181</v>
      </c>
      <c r="D10">
        <f t="shared" si="0"/>
        <v>26.43329589417197</v>
      </c>
      <c r="E10">
        <f t="shared" si="1"/>
        <v>26.43329589417197</v>
      </c>
      <c r="G10">
        <f t="shared" ca="1" si="2"/>
        <v>8</v>
      </c>
      <c r="H10">
        <f t="shared" ca="1" si="3"/>
        <v>211.46636715337576</v>
      </c>
      <c r="I10">
        <f t="shared" ca="1" si="4"/>
        <v>96339.298936507752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20652</v>
      </c>
      <c r="B13" s="66">
        <v>20652</v>
      </c>
      <c r="D13">
        <f t="shared" si="0"/>
        <v>25.773118682141519</v>
      </c>
      <c r="E13">
        <f t="shared" si="1"/>
        <v>25.773118682141519</v>
      </c>
      <c r="G13">
        <f t="shared" ca="1" si="2"/>
        <v>11</v>
      </c>
      <c r="H13">
        <f t="shared" ca="1" si="3"/>
        <v>283.50430550355668</v>
      </c>
      <c r="I13">
        <f t="shared" ca="1" si="4"/>
        <v>84829.517919240752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19293</v>
      </c>
      <c r="B15" s="66">
        <v>19293</v>
      </c>
      <c r="D15">
        <f t="shared" si="0"/>
        <v>24.077124672407336</v>
      </c>
      <c r="E15">
        <f t="shared" si="1"/>
        <v>24.077124672407336</v>
      </c>
      <c r="G15">
        <f t="shared" ca="1" si="2"/>
        <v>13</v>
      </c>
      <c r="H15">
        <f t="shared" ca="1" si="3"/>
        <v>313.00262074129535</v>
      </c>
      <c r="I15">
        <f t="shared" ca="1" si="4"/>
        <v>73818.355701579436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20125</v>
      </c>
      <c r="B18" s="66">
        <v>20125</v>
      </c>
      <c r="D18">
        <f t="shared" si="0"/>
        <v>25.115437414201921</v>
      </c>
      <c r="E18">
        <f t="shared" si="1"/>
        <v>25.115437414201921</v>
      </c>
      <c r="G18">
        <f t="shared" ca="1" si="2"/>
        <v>16</v>
      </c>
      <c r="H18">
        <f t="shared" ca="1" si="3"/>
        <v>401.84699862723073</v>
      </c>
      <c r="I18">
        <f t="shared" ca="1" si="4"/>
        <v>68883.817184356274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25843</v>
      </c>
      <c r="B21" s="66">
        <v>25843</v>
      </c>
      <c r="D21">
        <f t="shared" si="0"/>
        <v>32.251341569948835</v>
      </c>
      <c r="E21">
        <f t="shared" si="1"/>
        <v>32.251341569948835</v>
      </c>
      <c r="G21">
        <f t="shared" ca="1" si="2"/>
        <v>19</v>
      </c>
      <c r="H21">
        <f t="shared" ca="1" si="3"/>
        <v>612.77548982902783</v>
      </c>
      <c r="I21">
        <f t="shared" ca="1" si="4"/>
        <v>78611.491813682893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28280</v>
      </c>
      <c r="B23" s="66">
        <v>28280</v>
      </c>
      <c r="D23">
        <f t="shared" si="0"/>
        <v>35.29264944465244</v>
      </c>
      <c r="E23">
        <f t="shared" si="1"/>
        <v>35.29264944465244</v>
      </c>
      <c r="G23">
        <f t="shared" ca="1" si="2"/>
        <v>21</v>
      </c>
      <c r="H23">
        <f t="shared" ca="1" si="3"/>
        <v>741.14563833770126</v>
      </c>
      <c r="I23">
        <f t="shared" ca="1" si="4"/>
        <v>79196.052912085492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31650</v>
      </c>
      <c r="B26" s="66">
        <v>31650</v>
      </c>
      <c r="D26">
        <f t="shared" si="0"/>
        <v>39.498315237738673</v>
      </c>
      <c r="E26">
        <f t="shared" si="1"/>
        <v>39.498315237738673</v>
      </c>
      <c r="G26">
        <f t="shared" ca="1" si="2"/>
        <v>24</v>
      </c>
      <c r="H26">
        <f t="shared" ca="1" si="3"/>
        <v>947.95956570572821</v>
      </c>
      <c r="I26">
        <f t="shared" ca="1" si="4"/>
        <v>77762.601255805785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35267</v>
      </c>
      <c r="B28" s="66">
        <v>35267</v>
      </c>
      <c r="D28">
        <f t="shared" si="0"/>
        <v>44.012230126045175</v>
      </c>
      <c r="E28">
        <f t="shared" si="1"/>
        <v>44.012230126045175</v>
      </c>
      <c r="G28">
        <f t="shared" ca="1" si="2"/>
        <v>26</v>
      </c>
      <c r="H28">
        <f t="shared" ca="1" si="3"/>
        <v>1144.3179832771746</v>
      </c>
      <c r="I28">
        <f t="shared" ca="1" si="4"/>
        <v>79014.042943508874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43651</v>
      </c>
      <c r="B31" s="66">
        <v>43651</v>
      </c>
      <c r="D31">
        <f t="shared" si="0"/>
        <v>54.475227754898292</v>
      </c>
      <c r="E31">
        <f t="shared" si="1"/>
        <v>54.475227754898292</v>
      </c>
      <c r="G31">
        <f t="shared" ca="1" si="2"/>
        <v>29</v>
      </c>
      <c r="H31">
        <f t="shared" ca="1" si="3"/>
        <v>1579.7816048920504</v>
      </c>
      <c r="I31">
        <f t="shared" ca="1" si="4"/>
        <v>84439.359539740122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44058</v>
      </c>
      <c r="B33" s="66">
        <v>44058</v>
      </c>
      <c r="D33">
        <f t="shared" si="0"/>
        <v>54.983152377386745</v>
      </c>
      <c r="E33">
        <f t="shared" si="1"/>
        <v>54.983152377386745</v>
      </c>
      <c r="G33">
        <f t="shared" ca="1" si="2"/>
        <v>31</v>
      </c>
      <c r="H33">
        <f t="shared" ca="1" si="3"/>
        <v>1704.4777236989892</v>
      </c>
      <c r="I33">
        <f t="shared" ca="1" si="4"/>
        <v>76787.704184793125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50186</v>
      </c>
      <c r="B36" s="66">
        <v>50186</v>
      </c>
      <c r="D36">
        <f t="shared" si="0"/>
        <v>62.630725071758391</v>
      </c>
      <c r="E36">
        <f t="shared" si="1"/>
        <v>62.630725071758391</v>
      </c>
      <c r="G36">
        <f t="shared" ca="1" si="2"/>
        <v>34</v>
      </c>
      <c r="H36">
        <f t="shared" ca="1" si="3"/>
        <v>2129.4446524397854</v>
      </c>
      <c r="I36">
        <f t="shared" ca="1" si="4"/>
        <v>73988.417582914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57654</v>
      </c>
      <c r="B39" s="66">
        <v>57654</v>
      </c>
      <c r="D39">
        <f t="shared" si="0"/>
        <v>71.950580307001118</v>
      </c>
      <c r="E39">
        <f t="shared" si="1"/>
        <v>71.950580307001118</v>
      </c>
      <c r="G39">
        <f t="shared" ca="1" si="2"/>
        <v>37</v>
      </c>
      <c r="H39">
        <f t="shared" ca="1" si="3"/>
        <v>2662.1714713590413</v>
      </c>
      <c r="I39">
        <f t="shared" ca="1" si="4"/>
        <v>70807.98273684275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61682</v>
      </c>
      <c r="B41" s="66">
        <v>61682</v>
      </c>
      <c r="D41">
        <f t="shared" si="0"/>
        <v>76.977411705977786</v>
      </c>
      <c r="E41">
        <f t="shared" si="1"/>
        <v>76.977411705977786</v>
      </c>
      <c r="G41">
        <f t="shared" ca="1" si="2"/>
        <v>39</v>
      </c>
      <c r="H41">
        <f t="shared" ca="1" si="3"/>
        <v>3002.1190565331335</v>
      </c>
      <c r="I41">
        <f t="shared" ca="1" si="4"/>
        <v>66403.560522186046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73970</v>
      </c>
      <c r="B44" s="66">
        <v>73970</v>
      </c>
      <c r="D44">
        <f t="shared" si="0"/>
        <v>92.312492200174717</v>
      </c>
      <c r="E44">
        <f t="shared" si="1"/>
        <v>92.312492200174717</v>
      </c>
      <c r="G44">
        <f t="shared" ca="1" si="2"/>
        <v>42</v>
      </c>
      <c r="H44">
        <f t="shared" ca="1" si="3"/>
        <v>3877.124672407338</v>
      </c>
      <c r="I44">
        <f t="shared" ca="1" si="4"/>
        <v>64195.295071053493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75488</v>
      </c>
      <c r="B46" s="66">
        <v>75488</v>
      </c>
      <c r="D46">
        <f t="shared" si="0"/>
        <v>94.206913765131659</v>
      </c>
      <c r="E46">
        <f t="shared" si="1"/>
        <v>94.206913765131659</v>
      </c>
      <c r="G46">
        <f t="shared" ca="1" si="2"/>
        <v>44</v>
      </c>
      <c r="H46">
        <f t="shared" ca="1" si="3"/>
        <v>4145.1042056657934</v>
      </c>
      <c r="I46">
        <f t="shared" ca="1" si="4"/>
        <v>55952.325600870783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73527</v>
      </c>
      <c r="B49" s="66">
        <v>73527</v>
      </c>
      <c r="D49">
        <f t="shared" si="0"/>
        <v>91.759640584050914</v>
      </c>
      <c r="E49">
        <f t="shared" si="1"/>
        <v>91.759640584050914</v>
      </c>
      <c r="G49">
        <f t="shared" ca="1" si="2"/>
        <v>47</v>
      </c>
      <c r="H49">
        <f t="shared" ca="1" si="3"/>
        <v>4312.703107450393</v>
      </c>
      <c r="I49">
        <f t="shared" ca="1" si="4"/>
        <v>41907.182931940537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68807</v>
      </c>
      <c r="B51" s="66">
        <v>68807</v>
      </c>
      <c r="D51">
        <f t="shared" si="0"/>
        <v>85.869212529639341</v>
      </c>
      <c r="E51">
        <f t="shared" si="1"/>
        <v>85.869212529639341</v>
      </c>
      <c r="G51">
        <f t="shared" ca="1" si="2"/>
        <v>49</v>
      </c>
      <c r="H51">
        <f t="shared" ca="1" si="3"/>
        <v>4207.5914139523275</v>
      </c>
      <c r="I51">
        <f t="shared" ca="1" si="4"/>
        <v>32220.131117819114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66386</v>
      </c>
      <c r="B54" s="66">
        <v>66386</v>
      </c>
      <c r="D54">
        <f t="shared" si="0"/>
        <v>82.847872207662547</v>
      </c>
      <c r="E54">
        <f t="shared" si="1"/>
        <v>82.847872207662547</v>
      </c>
      <c r="G54">
        <f t="shared" ca="1" si="2"/>
        <v>52</v>
      </c>
      <c r="H54">
        <f t="shared" ca="1" si="3"/>
        <v>4308.0893547984524</v>
      </c>
      <c r="I54">
        <f t="shared" ca="1" si="4"/>
        <v>22203.165894760608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64527</v>
      </c>
      <c r="B57" s="66">
        <v>64527</v>
      </c>
      <c r="D57">
        <f t="shared" si="0"/>
        <v>80.527892175215271</v>
      </c>
      <c r="E57">
        <f t="shared" si="1"/>
        <v>80.527892175215271</v>
      </c>
      <c r="G57">
        <f t="shared" ca="1" si="2"/>
        <v>55</v>
      </c>
      <c r="H57">
        <f t="shared" ca="1" si="3"/>
        <v>4429.0340696368403</v>
      </c>
      <c r="I57">
        <f t="shared" ca="1" si="4"/>
        <v>14396.384973024897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68581</v>
      </c>
      <c r="B59" s="66">
        <v>68581</v>
      </c>
      <c r="D59">
        <f t="shared" si="0"/>
        <v>85.587170847373017</v>
      </c>
      <c r="E59">
        <f t="shared" si="1"/>
        <v>85.587170847373017</v>
      </c>
      <c r="G59">
        <f t="shared" ca="1" si="2"/>
        <v>57</v>
      </c>
      <c r="H59">
        <f t="shared" ca="1" si="3"/>
        <v>4878.468738300262</v>
      </c>
      <c r="I59">
        <f t="shared" ca="1" si="4"/>
        <v>11065.771515646657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64525</v>
      </c>
      <c r="B62" s="66">
        <v>64525</v>
      </c>
      <c r="D62">
        <f t="shared" si="0"/>
        <v>80.525396231124418</v>
      </c>
      <c r="E62">
        <f t="shared" si="1"/>
        <v>80.525396231124418</v>
      </c>
      <c r="G62">
        <f t="shared" ca="1" si="2"/>
        <v>60</v>
      </c>
      <c r="H62">
        <f t="shared" ca="1" si="3"/>
        <v>4831.523773867465</v>
      </c>
      <c r="I62">
        <f t="shared" ca="1" si="4"/>
        <v>5642.2790047353865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61152</v>
      </c>
      <c r="B64" s="66">
        <v>61152</v>
      </c>
      <c r="D64">
        <f t="shared" si="0"/>
        <v>76.315986521901905</v>
      </c>
      <c r="E64">
        <f t="shared" si="1"/>
        <v>76.315986521901905</v>
      </c>
      <c r="G64">
        <f t="shared" ca="1" si="2"/>
        <v>62</v>
      </c>
      <c r="H64">
        <f t="shared" ca="1" si="3"/>
        <v>4731.5911643579184</v>
      </c>
      <c r="I64">
        <f t="shared" ca="1" si="4"/>
        <v>3097.3292766179297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72425</v>
      </c>
      <c r="B67" s="66">
        <v>72425</v>
      </c>
      <c r="D67">
        <f t="shared" ref="D67:D130" si="5">IFERROR(100*A67/MAX(A$2:A$257), 0 )</f>
        <v>90.384375389991263</v>
      </c>
      <c r="E67">
        <f t="shared" ref="E67:E130" si="6">IFERROR(100*B67/MAX(B$2:B$257), 0 )</f>
        <v>90.384375389991263</v>
      </c>
      <c r="G67">
        <f t="shared" ref="G67:G130" ca="1" si="7">CELL("row",D67)-2</f>
        <v>65</v>
      </c>
      <c r="H67">
        <f t="shared" ref="H67:H130" ca="1" si="8">D67*G67</f>
        <v>5874.9844003494318</v>
      </c>
      <c r="I67">
        <f t="shared" ref="I67:I130" ca="1" si="9">D67*((G67-$L$1)^2)</f>
        <v>1026.9018244831648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74526</v>
      </c>
      <c r="B69" s="66">
        <v>74526</v>
      </c>
      <c r="D69">
        <f t="shared" si="5"/>
        <v>93.006364657431675</v>
      </c>
      <c r="E69">
        <f t="shared" si="6"/>
        <v>93.006364657431675</v>
      </c>
      <c r="G69">
        <f t="shared" ca="1" si="7"/>
        <v>67</v>
      </c>
      <c r="H69">
        <f t="shared" ca="1" si="8"/>
        <v>6231.4264320479224</v>
      </c>
      <c r="I69">
        <f t="shared" ca="1" si="9"/>
        <v>174.7374888570653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71657</v>
      </c>
      <c r="B72" s="66">
        <v>71657</v>
      </c>
      <c r="D72">
        <f t="shared" si="5"/>
        <v>89.425932859103952</v>
      </c>
      <c r="E72">
        <f t="shared" si="6"/>
        <v>89.425932859103952</v>
      </c>
      <c r="G72">
        <f t="shared" ca="1" si="7"/>
        <v>70</v>
      </c>
      <c r="H72">
        <f t="shared" ca="1" si="8"/>
        <v>6259.8153001372766</v>
      </c>
      <c r="I72">
        <f t="shared" ca="1" si="9"/>
        <v>237.39697941265936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73789</v>
      </c>
      <c r="B75" s="66">
        <v>73789</v>
      </c>
      <c r="D75">
        <f t="shared" si="5"/>
        <v>92.086609259952581</v>
      </c>
      <c r="E75">
        <f t="shared" si="6"/>
        <v>92.086609259952581</v>
      </c>
      <c r="G75">
        <f t="shared" ca="1" si="7"/>
        <v>73</v>
      </c>
      <c r="H75">
        <f t="shared" ca="1" si="8"/>
        <v>6722.322475976538</v>
      </c>
      <c r="I75">
        <f t="shared" ca="1" si="9"/>
        <v>1973.4699183359396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80130</v>
      </c>
      <c r="B77" s="66">
        <v>80130</v>
      </c>
      <c r="D77">
        <f t="shared" si="5"/>
        <v>100</v>
      </c>
      <c r="E77">
        <f t="shared" si="6"/>
        <v>100</v>
      </c>
      <c r="G77">
        <f t="shared" ca="1" si="7"/>
        <v>75</v>
      </c>
      <c r="H77">
        <f t="shared" ca="1" si="8"/>
        <v>7500</v>
      </c>
      <c r="I77">
        <f t="shared" ca="1" si="9"/>
        <v>4394.7857111919138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71905</v>
      </c>
      <c r="B80" s="66">
        <v>71905</v>
      </c>
      <c r="D80">
        <f t="shared" si="5"/>
        <v>89.735429926369648</v>
      </c>
      <c r="E80">
        <f t="shared" si="6"/>
        <v>89.735429926369648</v>
      </c>
      <c r="G80">
        <f t="shared" ca="1" si="7"/>
        <v>78</v>
      </c>
      <c r="H80">
        <f t="shared" ca="1" si="8"/>
        <v>6999.3635342568323</v>
      </c>
      <c r="I80">
        <f t="shared" ca="1" si="9"/>
        <v>8320.6069253613805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73650</v>
      </c>
      <c r="B82" s="66">
        <v>73650</v>
      </c>
      <c r="D82">
        <f t="shared" si="5"/>
        <v>91.913141145638335</v>
      </c>
      <c r="E82">
        <f t="shared" si="6"/>
        <v>91.913141145638335</v>
      </c>
      <c r="G82">
        <f t="shared" ca="1" si="7"/>
        <v>80</v>
      </c>
      <c r="H82">
        <f t="shared" ca="1" si="8"/>
        <v>7353.051291651067</v>
      </c>
      <c r="I82">
        <f t="shared" ca="1" si="9"/>
        <v>12430.428530448466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66236</v>
      </c>
      <c r="B85" s="66">
        <v>66236</v>
      </c>
      <c r="D85">
        <f t="shared" si="5"/>
        <v>82.660676400848615</v>
      </c>
      <c r="E85">
        <f t="shared" si="6"/>
        <v>82.660676400848615</v>
      </c>
      <c r="G85">
        <f t="shared" ca="1" si="7"/>
        <v>83</v>
      </c>
      <c r="H85">
        <f t="shared" ca="1" si="8"/>
        <v>6860.8361412704353</v>
      </c>
      <c r="I85">
        <f t="shared" ca="1" si="9"/>
        <v>17690.785440882286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63783</v>
      </c>
      <c r="B88" s="66">
        <v>63783</v>
      </c>
      <c r="D88">
        <f t="shared" si="5"/>
        <v>79.599400973418199</v>
      </c>
      <c r="E88">
        <f t="shared" si="6"/>
        <v>79.599400973418199</v>
      </c>
      <c r="G88">
        <f t="shared" ca="1" si="7"/>
        <v>86</v>
      </c>
      <c r="H88">
        <f t="shared" ca="1" si="8"/>
        <v>6845.5484837139647</v>
      </c>
      <c r="I88">
        <f t="shared" ca="1" si="9"/>
        <v>24738.92493014265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60763</v>
      </c>
      <c r="B90" s="66">
        <v>60763</v>
      </c>
      <c r="D90">
        <f t="shared" si="5"/>
        <v>75.830525396231124</v>
      </c>
      <c r="E90">
        <f t="shared" si="6"/>
        <v>75.830525396231124</v>
      </c>
      <c r="G90">
        <f t="shared" ca="1" si="7"/>
        <v>88</v>
      </c>
      <c r="H90">
        <f t="shared" ca="1" si="8"/>
        <v>6673.0862348683386</v>
      </c>
      <c r="I90">
        <f t="shared" ca="1" si="9"/>
        <v>29218.269222786726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55075</v>
      </c>
      <c r="B93" s="66">
        <v>55075</v>
      </c>
      <c r="D93">
        <f t="shared" si="5"/>
        <v>68.732060401846994</v>
      </c>
      <c r="E93">
        <f t="shared" si="6"/>
        <v>68.732060401846994</v>
      </c>
      <c r="G93">
        <f t="shared" ca="1" si="7"/>
        <v>91</v>
      </c>
      <c r="H93">
        <f t="shared" ca="1" si="8"/>
        <v>6254.6174965680766</v>
      </c>
      <c r="I93">
        <f t="shared" ca="1" si="9"/>
        <v>35196.728153282413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51555</v>
      </c>
      <c r="B95" s="66">
        <v>51555</v>
      </c>
      <c r="D95">
        <f t="shared" si="5"/>
        <v>64.339198801946836</v>
      </c>
      <c r="E95">
        <f t="shared" si="6"/>
        <v>64.339198801946836</v>
      </c>
      <c r="G95">
        <f t="shared" ca="1" si="7"/>
        <v>93</v>
      </c>
      <c r="H95">
        <f t="shared" ca="1" si="8"/>
        <v>5983.5454885810559</v>
      </c>
      <c r="I95">
        <f t="shared" ca="1" si="9"/>
        <v>39028.370635713072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53143</v>
      </c>
      <c r="B98" s="66">
        <v>53143</v>
      </c>
      <c r="D98">
        <f t="shared" si="5"/>
        <v>66.320978410083612</v>
      </c>
      <c r="E98">
        <f t="shared" si="6"/>
        <v>66.320978410083612</v>
      </c>
      <c r="G98">
        <f t="shared" ca="1" si="7"/>
        <v>96</v>
      </c>
      <c r="H98">
        <f t="shared" ca="1" si="8"/>
        <v>6366.8139273680263</v>
      </c>
      <c r="I98">
        <f t="shared" ca="1" si="9"/>
        <v>50628.056304526261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51027</v>
      </c>
      <c r="B100" s="66">
        <v>51027</v>
      </c>
      <c r="D100">
        <f t="shared" si="5"/>
        <v>63.680269561961815</v>
      </c>
      <c r="E100">
        <f t="shared" si="6"/>
        <v>63.680269561961815</v>
      </c>
      <c r="G100">
        <f t="shared" ca="1" si="7"/>
        <v>98</v>
      </c>
      <c r="H100">
        <f t="shared" ca="1" si="8"/>
        <v>6240.6664170722579</v>
      </c>
      <c r="I100">
        <f t="shared" ca="1" si="9"/>
        <v>55904.684812089698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47157</v>
      </c>
      <c r="B103" s="66">
        <v>47157</v>
      </c>
      <c r="D103">
        <f t="shared" si="5"/>
        <v>58.850617746162484</v>
      </c>
      <c r="E103">
        <f t="shared" si="6"/>
        <v>58.850617746162484</v>
      </c>
      <c r="G103">
        <f t="shared" ca="1" si="7"/>
        <v>101</v>
      </c>
      <c r="H103">
        <f t="shared" ca="1" si="8"/>
        <v>5943.9123923624111</v>
      </c>
      <c r="I103">
        <f t="shared" ca="1" si="9"/>
        <v>62656.628024257559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45193</v>
      </c>
      <c r="B106" s="66">
        <v>45193</v>
      </c>
      <c r="D106">
        <f t="shared" si="5"/>
        <v>56.399600648945466</v>
      </c>
      <c r="E106">
        <f t="shared" si="6"/>
        <v>56.399600648945466</v>
      </c>
      <c r="G106">
        <f t="shared" ca="1" si="7"/>
        <v>104</v>
      </c>
      <c r="H106">
        <f t="shared" ca="1" si="8"/>
        <v>5865.5584674903284</v>
      </c>
      <c r="I106">
        <f t="shared" ca="1" si="9"/>
        <v>71596.377219002199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44487</v>
      </c>
      <c r="B108" s="66">
        <v>44487</v>
      </c>
      <c r="D108">
        <f t="shared" si="5"/>
        <v>55.518532384874575</v>
      </c>
      <c r="E108">
        <f t="shared" si="6"/>
        <v>55.518532384874575</v>
      </c>
      <c r="G108">
        <f t="shared" ca="1" si="7"/>
        <v>106</v>
      </c>
      <c r="H108">
        <f t="shared" ca="1" si="8"/>
        <v>5884.9644327967053</v>
      </c>
      <c r="I108">
        <f t="shared" ca="1" si="9"/>
        <v>78612.330518061062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46769</v>
      </c>
      <c r="B111" s="66">
        <v>46769</v>
      </c>
      <c r="D111">
        <f t="shared" si="5"/>
        <v>58.36640459253713</v>
      </c>
      <c r="E111">
        <f t="shared" si="6"/>
        <v>58.36640459253713</v>
      </c>
      <c r="G111">
        <f t="shared" ca="1" si="7"/>
        <v>109</v>
      </c>
      <c r="H111">
        <f t="shared" ca="1" si="8"/>
        <v>6361.9381005865471</v>
      </c>
      <c r="I111">
        <f t="shared" ca="1" si="9"/>
        <v>96347.845154322524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40228</v>
      </c>
      <c r="B113" s="66">
        <v>40228</v>
      </c>
      <c r="D113">
        <f t="shared" si="5"/>
        <v>50.203419443404471</v>
      </c>
      <c r="E113">
        <f t="shared" si="6"/>
        <v>50.203419443404471</v>
      </c>
      <c r="G113">
        <f t="shared" ca="1" si="7"/>
        <v>111</v>
      </c>
      <c r="H113">
        <f t="shared" ca="1" si="8"/>
        <v>5572.5795582178962</v>
      </c>
      <c r="I113">
        <f t="shared" ca="1" si="9"/>
        <v>91232.603410623386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30953</v>
      </c>
      <c r="B116" s="66">
        <v>30953</v>
      </c>
      <c r="D116">
        <f t="shared" si="5"/>
        <v>38.628478722076629</v>
      </c>
      <c r="E116">
        <f t="shared" si="6"/>
        <v>38.628478722076629</v>
      </c>
      <c r="G116">
        <f t="shared" ca="1" si="7"/>
        <v>114</v>
      </c>
      <c r="H116">
        <f t="shared" ca="1" si="8"/>
        <v>4403.6465743167355</v>
      </c>
      <c r="I116">
        <f t="shared" ca="1" si="9"/>
        <v>80425.831597842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25595</v>
      </c>
      <c r="B118" s="66">
        <v>25595</v>
      </c>
      <c r="D118">
        <f t="shared" si="5"/>
        <v>31.941844502683139</v>
      </c>
      <c r="E118">
        <f t="shared" si="6"/>
        <v>31.941844502683139</v>
      </c>
      <c r="G118">
        <f t="shared" ca="1" si="7"/>
        <v>116</v>
      </c>
      <c r="H118">
        <f t="shared" ca="1" si="8"/>
        <v>3705.2539623112443</v>
      </c>
      <c r="I118">
        <f t="shared" ca="1" si="9"/>
        <v>72461.733087162575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20379</v>
      </c>
      <c r="B121" s="66">
        <v>20379</v>
      </c>
      <c r="D121">
        <f t="shared" si="5"/>
        <v>25.432422313740172</v>
      </c>
      <c r="E121">
        <f t="shared" si="6"/>
        <v>25.432422313740172</v>
      </c>
      <c r="G121">
        <f t="shared" ca="1" si="7"/>
        <v>119</v>
      </c>
      <c r="H121">
        <f t="shared" ca="1" si="8"/>
        <v>3026.4582553350806</v>
      </c>
      <c r="I121">
        <f t="shared" ca="1" si="9"/>
        <v>65191.636178121233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22761</v>
      </c>
      <c r="B124" s="66">
        <v>22761</v>
      </c>
      <c r="D124">
        <f t="shared" si="5"/>
        <v>28.40509172594534</v>
      </c>
      <c r="E124">
        <f t="shared" si="6"/>
        <v>28.40509172594534</v>
      </c>
      <c r="G124">
        <f t="shared" ca="1" si="7"/>
        <v>122</v>
      </c>
      <c r="H124">
        <f t="shared" ca="1" si="8"/>
        <v>3465.4211905653315</v>
      </c>
      <c r="I124">
        <f t="shared" ca="1" si="9"/>
        <v>81695.990800172411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19832</v>
      </c>
      <c r="B126" s="66">
        <v>19832</v>
      </c>
      <c r="D126">
        <f t="shared" si="5"/>
        <v>24.74978160489205</v>
      </c>
      <c r="E126">
        <f t="shared" si="6"/>
        <v>24.74978160489205</v>
      </c>
      <c r="G126">
        <f t="shared" ca="1" si="7"/>
        <v>124</v>
      </c>
      <c r="H126">
        <f t="shared" ca="1" si="8"/>
        <v>3068.9729190066141</v>
      </c>
      <c r="I126">
        <f t="shared" ca="1" si="9"/>
        <v>76591.194416353668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17877</v>
      </c>
      <c r="B129" s="66">
        <v>17877</v>
      </c>
      <c r="D129">
        <f t="shared" si="5"/>
        <v>22.309996256083863</v>
      </c>
      <c r="E129">
        <f t="shared" si="6"/>
        <v>22.309996256083863</v>
      </c>
      <c r="G129">
        <f t="shared" ca="1" si="7"/>
        <v>127</v>
      </c>
      <c r="H129">
        <f t="shared" ca="1" si="8"/>
        <v>2833.3695245226509</v>
      </c>
      <c r="I129">
        <f t="shared" ca="1" si="9"/>
        <v>76688.312613350296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13544</v>
      </c>
      <c r="B131" s="66">
        <v>13544</v>
      </c>
      <c r="D131">
        <f t="shared" ref="D131:D194" si="10">IFERROR(100*A131/MAX(A$2:A$257), 0 )</f>
        <v>16.902533383252216</v>
      </c>
      <c r="E131">
        <f t="shared" ref="E131:E194" si="11">IFERROR(100*B131/MAX(B$2:B$257), 0 )</f>
        <v>16.902533383252216</v>
      </c>
      <c r="G131">
        <f t="shared" ref="G131:G194" ca="1" si="12">CELL("row",D131)-2</f>
        <v>129</v>
      </c>
      <c r="H131">
        <f t="shared" ref="H131:H194" ca="1" si="13">D131*G131</f>
        <v>2180.426806439536</v>
      </c>
      <c r="I131">
        <f t="shared" ref="I131:I194" ca="1" si="14">D131*((G131-$L$1)^2)</f>
        <v>62132.262493693408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11930</v>
      </c>
      <c r="B134" s="66">
        <v>11930</v>
      </c>
      <c r="D134">
        <f t="shared" si="10"/>
        <v>14.888306501934357</v>
      </c>
      <c r="E134">
        <f t="shared" si="11"/>
        <v>14.888306501934357</v>
      </c>
      <c r="G134">
        <f t="shared" ca="1" si="12"/>
        <v>132</v>
      </c>
      <c r="H134">
        <f t="shared" ca="1" si="13"/>
        <v>1965.2564582553352</v>
      </c>
      <c r="I134">
        <f t="shared" ca="1" si="14"/>
        <v>60278.13927155768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8132</v>
      </c>
      <c r="B136" s="66">
        <v>8132</v>
      </c>
      <c r="D136">
        <f t="shared" si="10"/>
        <v>10.148508673405715</v>
      </c>
      <c r="E136">
        <f t="shared" si="11"/>
        <v>10.148508673405715</v>
      </c>
      <c r="G136">
        <f t="shared" ca="1" si="12"/>
        <v>134</v>
      </c>
      <c r="H136">
        <f t="shared" ca="1" si="13"/>
        <v>1359.9001622363658</v>
      </c>
      <c r="I136">
        <f t="shared" ca="1" si="14"/>
        <v>43711.731462372351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6920</v>
      </c>
      <c r="B139" s="66">
        <v>6920</v>
      </c>
      <c r="D139">
        <f t="shared" si="10"/>
        <v>8.6359665543491833</v>
      </c>
      <c r="E139">
        <f t="shared" si="11"/>
        <v>8.6359665543491833</v>
      </c>
      <c r="G139">
        <f t="shared" ca="1" si="12"/>
        <v>137</v>
      </c>
      <c r="H139">
        <f t="shared" ca="1" si="13"/>
        <v>1183.127417945838</v>
      </c>
      <c r="I139">
        <f t="shared" ca="1" si="14"/>
        <v>40675.25815363224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3801</v>
      </c>
      <c r="B142" s="66">
        <v>3801</v>
      </c>
      <c r="D142">
        <f t="shared" si="10"/>
        <v>4.7435417446649195</v>
      </c>
      <c r="E142">
        <f t="shared" si="11"/>
        <v>4.7435417446649195</v>
      </c>
      <c r="G142">
        <f t="shared" ca="1" si="12"/>
        <v>140</v>
      </c>
      <c r="H142">
        <f t="shared" ca="1" si="13"/>
        <v>664.09584425308879</v>
      </c>
      <c r="I142">
        <f t="shared" ca="1" si="14"/>
        <v>24337.970431779497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2851</v>
      </c>
      <c r="B144" s="66">
        <v>2851</v>
      </c>
      <c r="D144">
        <f t="shared" si="10"/>
        <v>3.5579683015100461</v>
      </c>
      <c r="E144">
        <f t="shared" si="11"/>
        <v>3.5579683015100461</v>
      </c>
      <c r="G144">
        <f t="shared" ca="1" si="12"/>
        <v>142</v>
      </c>
      <c r="H144">
        <f t="shared" ca="1" si="13"/>
        <v>505.23149881442652</v>
      </c>
      <c r="I144">
        <f t="shared" ca="1" si="14"/>
        <v>19288.729829628501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2689</v>
      </c>
      <c r="B147" s="66">
        <v>2689</v>
      </c>
      <c r="D147">
        <f t="shared" si="10"/>
        <v>3.3557968301510046</v>
      </c>
      <c r="E147">
        <f t="shared" si="11"/>
        <v>3.3557968301510046</v>
      </c>
      <c r="G147">
        <f t="shared" ca="1" si="12"/>
        <v>145</v>
      </c>
      <c r="H147">
        <f t="shared" ca="1" si="13"/>
        <v>486.59054037189566</v>
      </c>
      <c r="I147">
        <f t="shared" ca="1" si="14"/>
        <v>19705.414752416258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1682</v>
      </c>
      <c r="B149" s="66">
        <v>1682</v>
      </c>
      <c r="D149">
        <f t="shared" si="10"/>
        <v>2.0990889804068389</v>
      </c>
      <c r="E149">
        <f t="shared" si="11"/>
        <v>2.0990889804068389</v>
      </c>
      <c r="G149">
        <f t="shared" ca="1" si="12"/>
        <v>147</v>
      </c>
      <c r="H149">
        <f t="shared" ca="1" si="13"/>
        <v>308.56608011980529</v>
      </c>
      <c r="I149">
        <f t="shared" ca="1" si="14"/>
        <v>12977.763820291604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474</v>
      </c>
      <c r="B152" s="66">
        <v>474</v>
      </c>
      <c r="D152">
        <f t="shared" si="10"/>
        <v>0.59153874953201047</v>
      </c>
      <c r="E152">
        <f t="shared" si="11"/>
        <v>0.59153874953201047</v>
      </c>
      <c r="G152">
        <f t="shared" ca="1" si="12"/>
        <v>150</v>
      </c>
      <c r="H152">
        <f t="shared" ca="1" si="13"/>
        <v>88.730812429801574</v>
      </c>
      <c r="I152">
        <f t="shared" ca="1" si="14"/>
        <v>3941.6270983314453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70</v>
      </c>
      <c r="B154" s="66">
        <v>70</v>
      </c>
      <c r="D154">
        <f t="shared" si="10"/>
        <v>8.735804317983277E-2</v>
      </c>
      <c r="E154">
        <f t="shared" si="11"/>
        <v>8.735804317983277E-2</v>
      </c>
      <c r="G154">
        <f t="shared" ca="1" si="12"/>
        <v>152</v>
      </c>
      <c r="H154">
        <f t="shared" ca="1" si="13"/>
        <v>13.278422563334582</v>
      </c>
      <c r="I154">
        <f t="shared" ca="1" si="14"/>
        <v>610.97017098569449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106</v>
      </c>
      <c r="B157" s="66">
        <v>106</v>
      </c>
      <c r="D157">
        <f t="shared" si="10"/>
        <v>0.13228503681517534</v>
      </c>
      <c r="E157">
        <f t="shared" si="11"/>
        <v>0.13228503681517534</v>
      </c>
      <c r="G157">
        <f t="shared" ca="1" si="12"/>
        <v>155</v>
      </c>
      <c r="H157">
        <f t="shared" ca="1" si="13"/>
        <v>20.504180706352177</v>
      </c>
      <c r="I157">
        <f t="shared" ca="1" si="14"/>
        <v>992.75141157043413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622</v>
      </c>
      <c r="B160" s="66">
        <v>622</v>
      </c>
      <c r="D160">
        <f t="shared" si="10"/>
        <v>0.7762386122550855</v>
      </c>
      <c r="E160">
        <f t="shared" si="11"/>
        <v>0.7762386122550855</v>
      </c>
      <c r="G160">
        <f t="shared" ca="1" si="12"/>
        <v>158</v>
      </c>
      <c r="H160">
        <f t="shared" ca="1" si="13"/>
        <v>122.64570073630351</v>
      </c>
      <c r="I160">
        <f t="shared" ca="1" si="14"/>
        <v>6235.8466354686507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554</v>
      </c>
      <c r="B162" s="66">
        <v>554</v>
      </c>
      <c r="D162">
        <f t="shared" si="10"/>
        <v>0.69137651316610504</v>
      </c>
      <c r="E162">
        <f t="shared" si="11"/>
        <v>0.69137651316610504</v>
      </c>
      <c r="G162">
        <f t="shared" ca="1" si="12"/>
        <v>160</v>
      </c>
      <c r="H162">
        <f t="shared" ca="1" si="13"/>
        <v>110.62024210657681</v>
      </c>
      <c r="I162">
        <f t="shared" ca="1" si="14"/>
        <v>5804.750133338498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312</v>
      </c>
      <c r="B165" s="66">
        <v>312</v>
      </c>
      <c r="D165">
        <f t="shared" si="10"/>
        <v>0.3893672781729689</v>
      </c>
      <c r="E165">
        <f t="shared" si="11"/>
        <v>0.3893672781729689</v>
      </c>
      <c r="G165">
        <f t="shared" ca="1" si="12"/>
        <v>163</v>
      </c>
      <c r="H165">
        <f t="shared" ca="1" si="13"/>
        <v>63.466866342193931</v>
      </c>
      <c r="I165">
        <f t="shared" ca="1" si="14"/>
        <v>3486.6702125263914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45</v>
      </c>
      <c r="B167" s="66">
        <v>45</v>
      </c>
      <c r="D167">
        <f t="shared" si="10"/>
        <v>5.6158742044178207E-2</v>
      </c>
      <c r="E167">
        <f t="shared" si="11"/>
        <v>5.6158742044178207E-2</v>
      </c>
      <c r="G167">
        <f t="shared" ca="1" si="12"/>
        <v>165</v>
      </c>
      <c r="H167">
        <f t="shared" ca="1" si="13"/>
        <v>9.2661924372894049</v>
      </c>
      <c r="I167">
        <f t="shared" ca="1" si="14"/>
        <v>524.36681561181922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0.10940900000000001</v>
      </c>
      <c r="B2" s="68">
        <v>0.65404799999999996</v>
      </c>
      <c r="C2" s="68">
        <v>0</v>
      </c>
      <c r="D2" s="68">
        <v>1</v>
      </c>
      <c r="E2" s="68" t="s">
        <v>409</v>
      </c>
    </row>
    <row r="3" spans="1:5">
      <c r="A3" s="68">
        <v>0.111981</v>
      </c>
      <c r="B3" s="68">
        <v>0.64732199999999995</v>
      </c>
      <c r="C3" s="68">
        <v>0.406721</v>
      </c>
      <c r="D3" s="89">
        <v>1</v>
      </c>
      <c r="E3" s="68" t="s">
        <v>410</v>
      </c>
    </row>
    <row r="4" spans="1:5">
      <c r="A4" s="68">
        <v>0.114477</v>
      </c>
      <c r="B4" s="68">
        <v>0.64089499999999999</v>
      </c>
      <c r="C4" s="68">
        <v>0.81574199999999997</v>
      </c>
      <c r="D4" s="89">
        <v>1</v>
      </c>
      <c r="E4" s="68" t="s">
        <v>411</v>
      </c>
    </row>
    <row r="5" spans="1:5">
      <c r="A5" s="89">
        <v>0.116926</v>
      </c>
      <c r="B5" s="89">
        <v>0.63477600000000001</v>
      </c>
      <c r="C5" s="89">
        <v>1.2196199999999999</v>
      </c>
      <c r="D5" s="89">
        <v>1</v>
      </c>
      <c r="E5" s="68" t="s">
        <v>412</v>
      </c>
    </row>
    <row r="6" spans="1:5">
      <c r="A6" s="68">
        <v>0.119643</v>
      </c>
      <c r="B6" s="68">
        <v>0.62779600000000002</v>
      </c>
      <c r="C6" s="68">
        <v>1.6267100000000001</v>
      </c>
      <c r="D6" s="68">
        <v>1</v>
      </c>
      <c r="E6" s="68" t="s">
        <v>413</v>
      </c>
    </row>
    <row r="7" spans="1:5">
      <c r="A7" s="68">
        <v>0.122394</v>
      </c>
      <c r="B7" s="68">
        <v>0.61997199999999997</v>
      </c>
      <c r="C7" s="68">
        <v>2.0299999999999998</v>
      </c>
      <c r="D7" s="68">
        <v>1</v>
      </c>
      <c r="E7" s="68" t="s">
        <v>414</v>
      </c>
    </row>
    <row r="8" spans="1:5">
      <c r="A8" s="68">
        <v>0.12531400000000001</v>
      </c>
      <c r="B8" s="68">
        <v>0.61122900000000002</v>
      </c>
      <c r="C8" s="68">
        <v>2.4371100000000001</v>
      </c>
      <c r="D8" s="68">
        <v>1</v>
      </c>
      <c r="E8" s="68" t="s">
        <v>415</v>
      </c>
    </row>
    <row r="9" spans="1:5">
      <c r="A9" s="68">
        <v>0.128223</v>
      </c>
      <c r="B9" s="68">
        <v>0.60258599999999996</v>
      </c>
      <c r="C9" s="68">
        <v>2.8441000000000001</v>
      </c>
      <c r="D9" s="68">
        <v>1</v>
      </c>
      <c r="E9" s="68" t="s">
        <v>416</v>
      </c>
    </row>
    <row r="10" spans="1:5">
      <c r="A10" s="68">
        <v>0.131103</v>
      </c>
      <c r="B10" s="68">
        <v>0.59407299999999996</v>
      </c>
      <c r="C10" s="68">
        <v>3.2498200000000002</v>
      </c>
      <c r="D10" s="68">
        <v>1</v>
      </c>
      <c r="E10" s="68" t="s">
        <v>417</v>
      </c>
    </row>
    <row r="11" spans="1:5">
      <c r="A11" s="68">
        <v>0.13414300000000001</v>
      </c>
      <c r="B11" s="68">
        <v>0.58482100000000004</v>
      </c>
      <c r="C11" s="68">
        <v>3.65896</v>
      </c>
      <c r="D11" s="68">
        <v>1</v>
      </c>
      <c r="E11" s="68" t="s">
        <v>418</v>
      </c>
    </row>
    <row r="12" spans="1:5">
      <c r="A12" s="68">
        <v>0.13733799999999999</v>
      </c>
      <c r="B12" s="68">
        <v>0.57488399999999995</v>
      </c>
      <c r="C12" s="68">
        <v>4.0615699999999997</v>
      </c>
      <c r="D12" s="68">
        <v>1</v>
      </c>
      <c r="E12" s="68" t="s">
        <v>419</v>
      </c>
    </row>
    <row r="13" spans="1:5">
      <c r="A13" s="68">
        <v>0.14083000000000001</v>
      </c>
      <c r="B13" s="68">
        <v>0.565002</v>
      </c>
      <c r="C13" s="68">
        <v>4.4673600000000002</v>
      </c>
      <c r="D13" s="68">
        <v>1</v>
      </c>
      <c r="E13" s="68" t="s">
        <v>420</v>
      </c>
    </row>
    <row r="14" spans="1:5">
      <c r="A14" s="68">
        <v>0.14441300000000001</v>
      </c>
      <c r="B14" s="68">
        <v>0.55476899999999996</v>
      </c>
      <c r="C14" s="68">
        <v>4.8769999999999998</v>
      </c>
      <c r="D14" s="68">
        <v>1</v>
      </c>
      <c r="E14" s="68" t="s">
        <v>421</v>
      </c>
    </row>
    <row r="15" spans="1:5">
      <c r="A15" s="68">
        <v>0.148176</v>
      </c>
      <c r="B15" s="68">
        <v>0.54362600000000005</v>
      </c>
      <c r="C15" s="68">
        <v>5.2825800000000003</v>
      </c>
      <c r="D15" s="68">
        <v>1</v>
      </c>
      <c r="E15" s="68" t="s">
        <v>422</v>
      </c>
    </row>
    <row r="16" spans="1:5">
      <c r="A16" s="68">
        <v>0.15216499999999999</v>
      </c>
      <c r="B16" s="68">
        <v>0.53224700000000003</v>
      </c>
      <c r="C16" s="68">
        <v>5.6884899999999998</v>
      </c>
      <c r="D16" s="68">
        <v>1</v>
      </c>
      <c r="E16" s="68" t="s">
        <v>423</v>
      </c>
    </row>
    <row r="17" spans="1:5">
      <c r="A17" s="68">
        <v>0.15603900000000001</v>
      </c>
      <c r="B17" s="68">
        <v>0.52250399999999997</v>
      </c>
      <c r="C17" s="68">
        <v>6.0930600000000004</v>
      </c>
      <c r="D17" s="68">
        <v>1</v>
      </c>
      <c r="E17" s="68" t="s">
        <v>424</v>
      </c>
    </row>
    <row r="18" spans="1:5">
      <c r="A18" s="68">
        <v>0.15973200000000001</v>
      </c>
      <c r="B18" s="68">
        <v>0.51424999999999998</v>
      </c>
      <c r="C18" s="68">
        <v>6.4987700000000004</v>
      </c>
      <c r="D18" s="68">
        <v>1</v>
      </c>
      <c r="E18" s="68" t="s">
        <v>425</v>
      </c>
    </row>
    <row r="19" spans="1:5">
      <c r="A19" s="68">
        <v>0.16320899999999999</v>
      </c>
      <c r="B19" s="68">
        <v>0.50666500000000003</v>
      </c>
      <c r="C19" s="68">
        <v>6.9079699999999997</v>
      </c>
      <c r="D19" s="68">
        <v>1</v>
      </c>
      <c r="E19" s="68" t="s">
        <v>426</v>
      </c>
    </row>
    <row r="20" spans="1:5">
      <c r="A20" s="68">
        <v>0.16659399999999999</v>
      </c>
      <c r="B20" s="68">
        <v>0.49979200000000001</v>
      </c>
      <c r="C20" s="68">
        <v>7.3152400000000002</v>
      </c>
      <c r="D20" s="68">
        <v>1</v>
      </c>
      <c r="E20" s="68" t="s">
        <v>427</v>
      </c>
    </row>
    <row r="21" spans="1:5">
      <c r="A21" s="68">
        <v>0.16994699999999999</v>
      </c>
      <c r="B21" s="68">
        <v>0.493788</v>
      </c>
      <c r="C21" s="68">
        <v>7.7208899999999998</v>
      </c>
      <c r="D21" s="68">
        <v>1</v>
      </c>
      <c r="E21" s="68" t="s">
        <v>428</v>
      </c>
    </row>
    <row r="22" spans="1:5">
      <c r="A22" s="68">
        <v>0.17325499999999999</v>
      </c>
      <c r="B22" s="68">
        <v>0.48855199999999999</v>
      </c>
      <c r="C22" s="68">
        <v>8.1260999999999992</v>
      </c>
      <c r="D22" s="68">
        <v>1</v>
      </c>
      <c r="E22" s="68" t="s">
        <v>429</v>
      </c>
    </row>
    <row r="23" spans="1:5">
      <c r="A23" s="68">
        <v>0.17649999999999999</v>
      </c>
      <c r="B23" s="68">
        <v>0.48354900000000001</v>
      </c>
      <c r="C23" s="68">
        <v>8.5311500000000002</v>
      </c>
      <c r="D23" s="68">
        <v>1</v>
      </c>
      <c r="E23" s="68" t="s">
        <v>430</v>
      </c>
    </row>
    <row r="24" spans="1:5">
      <c r="A24" s="68">
        <v>0.17960999999999999</v>
      </c>
      <c r="B24" s="68">
        <v>0.47839300000000001</v>
      </c>
      <c r="C24" s="68">
        <v>8.9380799999999994</v>
      </c>
      <c r="D24" s="68">
        <v>1</v>
      </c>
      <c r="E24" s="68" t="s">
        <v>431</v>
      </c>
    </row>
    <row r="25" spans="1:5">
      <c r="A25" s="68">
        <v>0.18273600000000001</v>
      </c>
      <c r="B25" s="68">
        <v>0.47344700000000001</v>
      </c>
      <c r="C25" s="68">
        <v>9.3460999999999999</v>
      </c>
      <c r="D25" s="68">
        <v>1</v>
      </c>
      <c r="E25" s="68" t="s">
        <v>432</v>
      </c>
    </row>
    <row r="26" spans="1:5">
      <c r="A26" s="68">
        <v>0.18573200000000001</v>
      </c>
      <c r="B26" s="68">
        <v>0.46942499999999998</v>
      </c>
      <c r="C26" s="68">
        <v>9.7530300000000008</v>
      </c>
      <c r="D26" s="68">
        <v>1</v>
      </c>
      <c r="E26" s="68" t="s">
        <v>433</v>
      </c>
    </row>
    <row r="27" spans="1:5">
      <c r="A27" s="68">
        <v>0.189059</v>
      </c>
      <c r="B27" s="68">
        <v>0.46571499999999999</v>
      </c>
      <c r="C27" s="68">
        <v>10.1572</v>
      </c>
      <c r="D27" s="68">
        <v>1</v>
      </c>
      <c r="E27" s="68" t="s">
        <v>434</v>
      </c>
    </row>
    <row r="28" spans="1:5">
      <c r="A28" s="68">
        <v>0.193691</v>
      </c>
      <c r="B28" s="68">
        <v>0.464555</v>
      </c>
      <c r="C28" s="68">
        <v>10.561999999999999</v>
      </c>
      <c r="D28" s="68">
        <v>1</v>
      </c>
      <c r="E28" s="68" t="s">
        <v>435</v>
      </c>
    </row>
    <row r="29" spans="1:5">
      <c r="A29" s="68">
        <v>0.198078</v>
      </c>
      <c r="B29" s="68">
        <v>0.46345599999999998</v>
      </c>
      <c r="C29" s="68">
        <v>10.969799999999999</v>
      </c>
      <c r="D29" s="68">
        <v>1</v>
      </c>
      <c r="E29" s="68" t="s">
        <v>436</v>
      </c>
    </row>
    <row r="30" spans="1:5">
      <c r="A30" s="68">
        <v>0.20230999999999999</v>
      </c>
      <c r="B30" s="68">
        <v>0.46207799999999999</v>
      </c>
      <c r="C30" s="68">
        <v>11.3773</v>
      </c>
      <c r="D30" s="68">
        <v>1</v>
      </c>
      <c r="E30" s="68" t="s">
        <v>437</v>
      </c>
    </row>
    <row r="31" spans="1:5">
      <c r="A31" s="68">
        <v>0.206035</v>
      </c>
      <c r="B31" s="68">
        <v>0.46111000000000002</v>
      </c>
      <c r="C31" s="68">
        <v>11.783099999999999</v>
      </c>
      <c r="D31" s="68">
        <v>1</v>
      </c>
      <c r="E31" s="68" t="s">
        <v>438</v>
      </c>
    </row>
    <row r="32" spans="1:5">
      <c r="A32" s="68">
        <v>0.209374</v>
      </c>
      <c r="B32" s="68">
        <v>0.46090999999999999</v>
      </c>
      <c r="C32" s="68">
        <v>12.1896</v>
      </c>
      <c r="D32" s="68">
        <v>1</v>
      </c>
      <c r="E32" s="68" t="s">
        <v>439</v>
      </c>
    </row>
    <row r="33" spans="1:5">
      <c r="A33" s="68">
        <v>0.212369</v>
      </c>
      <c r="B33" s="68">
        <v>0.46087299999999998</v>
      </c>
      <c r="C33" s="68">
        <v>12.5929</v>
      </c>
      <c r="D33" s="68">
        <v>1</v>
      </c>
      <c r="E33" s="68" t="s">
        <v>440</v>
      </c>
    </row>
    <row r="34" spans="1:5">
      <c r="A34" s="68">
        <v>0.21498500000000001</v>
      </c>
      <c r="B34" s="68">
        <v>0.46125699999999997</v>
      </c>
      <c r="C34" s="68">
        <v>12.9998</v>
      </c>
      <c r="D34" s="68">
        <v>1</v>
      </c>
      <c r="E34" s="68" t="s">
        <v>441</v>
      </c>
    </row>
    <row r="35" spans="1:5">
      <c r="A35" s="68">
        <v>0.21742500000000001</v>
      </c>
      <c r="B35" s="68">
        <v>0.46148099999999997</v>
      </c>
      <c r="C35" s="68">
        <v>13.4077</v>
      </c>
      <c r="D35" s="68">
        <v>1</v>
      </c>
      <c r="E35" s="68" t="s">
        <v>442</v>
      </c>
    </row>
    <row r="36" spans="1:5">
      <c r="A36" s="68">
        <v>0.21981800000000001</v>
      </c>
      <c r="B36" s="68">
        <v>0.46061600000000003</v>
      </c>
      <c r="C36" s="68">
        <v>13.815</v>
      </c>
      <c r="D36" s="68">
        <v>1</v>
      </c>
      <c r="E36" s="68" t="s">
        <v>443</v>
      </c>
    </row>
    <row r="37" spans="1:5">
      <c r="A37" s="68">
        <v>0.22248399999999999</v>
      </c>
      <c r="B37" s="68">
        <v>0.45869100000000002</v>
      </c>
      <c r="C37" s="68">
        <v>14.221299999999999</v>
      </c>
      <c r="D37" s="68">
        <v>1</v>
      </c>
      <c r="E37" s="68" t="s">
        <v>444</v>
      </c>
    </row>
    <row r="38" spans="1:5">
      <c r="A38" s="68">
        <v>0.224935</v>
      </c>
      <c r="B38" s="68">
        <v>0.456596</v>
      </c>
      <c r="C38" s="68">
        <v>14.6241</v>
      </c>
      <c r="D38" s="68">
        <v>1</v>
      </c>
      <c r="E38" s="68" t="s">
        <v>445</v>
      </c>
    </row>
    <row r="39" spans="1:5">
      <c r="A39" s="68">
        <v>0.227217</v>
      </c>
      <c r="B39" s="68">
        <v>0.45428099999999999</v>
      </c>
      <c r="C39" s="68">
        <v>15.028600000000001</v>
      </c>
      <c r="D39" s="68">
        <v>1</v>
      </c>
      <c r="E39" s="68" t="s">
        <v>446</v>
      </c>
    </row>
    <row r="40" spans="1:5">
      <c r="A40" s="68">
        <v>0.22923499999999999</v>
      </c>
      <c r="B40" s="68">
        <v>0.45177499999999998</v>
      </c>
      <c r="C40" s="68">
        <v>15.4377</v>
      </c>
      <c r="D40" s="68">
        <v>1</v>
      </c>
      <c r="E40" s="68" t="s">
        <v>447</v>
      </c>
    </row>
    <row r="41" spans="1:5">
      <c r="A41" s="68">
        <v>0.23075599999999999</v>
      </c>
      <c r="B41" s="68">
        <v>0.450766</v>
      </c>
      <c r="C41" s="68">
        <v>15.842599999999999</v>
      </c>
      <c r="D41" s="68">
        <v>1</v>
      </c>
      <c r="E41" s="68" t="s">
        <v>448</v>
      </c>
    </row>
    <row r="42" spans="1:5">
      <c r="A42" s="68">
        <v>0.23221900000000001</v>
      </c>
      <c r="B42" s="68">
        <v>0.44988899999999998</v>
      </c>
      <c r="C42" s="68">
        <v>16.2501</v>
      </c>
      <c r="D42" s="68">
        <v>1</v>
      </c>
      <c r="E42" s="68" t="s">
        <v>449</v>
      </c>
    </row>
    <row r="43" spans="1:5">
      <c r="A43" s="68">
        <v>0.23356399999999999</v>
      </c>
      <c r="B43" s="68">
        <v>0.44934800000000003</v>
      </c>
      <c r="C43" s="68">
        <v>16.6568</v>
      </c>
      <c r="D43" s="68">
        <v>1</v>
      </c>
      <c r="E43" s="68" t="s">
        <v>450</v>
      </c>
    </row>
    <row r="44" spans="1:5">
      <c r="A44" s="68">
        <v>0.234595</v>
      </c>
      <c r="B44" s="68">
        <v>0.44980999999999999</v>
      </c>
      <c r="C44" s="68">
        <v>17.061900000000001</v>
      </c>
      <c r="D44" s="68">
        <v>1</v>
      </c>
      <c r="E44" s="68" t="s">
        <v>451</v>
      </c>
    </row>
    <row r="45" spans="1:5">
      <c r="A45" s="68">
        <v>0.23591100000000001</v>
      </c>
      <c r="B45" s="68">
        <v>0.44973800000000003</v>
      </c>
      <c r="C45" s="68">
        <v>17.469000000000001</v>
      </c>
      <c r="D45" s="68">
        <v>1</v>
      </c>
      <c r="E45" s="68" t="s">
        <v>452</v>
      </c>
    </row>
    <row r="46" spans="1:5">
      <c r="A46" s="68">
        <v>0.237375</v>
      </c>
      <c r="B46" s="68">
        <v>0.44869399999999998</v>
      </c>
      <c r="C46" s="68">
        <v>17.875399999999999</v>
      </c>
      <c r="D46" s="68">
        <v>1</v>
      </c>
      <c r="E46" s="68" t="s">
        <v>453</v>
      </c>
    </row>
    <row r="47" spans="1:5">
      <c r="A47" s="68">
        <v>0.23885899999999999</v>
      </c>
      <c r="B47" s="68">
        <v>0.44783800000000001</v>
      </c>
      <c r="C47" s="68">
        <v>18.280799999999999</v>
      </c>
      <c r="D47" s="68">
        <v>1</v>
      </c>
      <c r="E47" s="68" t="s">
        <v>454</v>
      </c>
    </row>
    <row r="48" spans="1:5">
      <c r="A48" s="68">
        <v>0.24023900000000001</v>
      </c>
      <c r="B48" s="68">
        <v>0.44737100000000002</v>
      </c>
      <c r="C48" s="68">
        <v>18.688099999999999</v>
      </c>
      <c r="D48" s="68">
        <v>1</v>
      </c>
      <c r="E48" s="68" t="s">
        <v>455</v>
      </c>
    </row>
    <row r="49" spans="1:5">
      <c r="A49" s="68">
        <v>0.241756</v>
      </c>
      <c r="B49" s="68">
        <v>0.44708500000000001</v>
      </c>
      <c r="C49" s="68">
        <v>19.0959</v>
      </c>
      <c r="D49" s="68">
        <v>1</v>
      </c>
      <c r="E49" s="68" t="s">
        <v>456</v>
      </c>
    </row>
    <row r="50" spans="1:5">
      <c r="A50" s="68">
        <v>0.24316599999999999</v>
      </c>
      <c r="B50" s="68">
        <v>0.446994</v>
      </c>
      <c r="C50" s="68">
        <v>19.502099999999999</v>
      </c>
      <c r="D50" s="68">
        <v>1</v>
      </c>
      <c r="E50" s="68" t="s">
        <v>457</v>
      </c>
    </row>
    <row r="51" spans="1:5">
      <c r="A51" s="68">
        <v>0.24449599999999999</v>
      </c>
      <c r="B51" s="68">
        <v>0.447156</v>
      </c>
      <c r="C51" s="68">
        <v>19.9054</v>
      </c>
      <c r="D51" s="68">
        <v>1</v>
      </c>
      <c r="E51" s="68" t="s">
        <v>458</v>
      </c>
    </row>
    <row r="52" spans="1:5">
      <c r="A52" s="68">
        <v>0.24584500000000001</v>
      </c>
      <c r="B52" s="68">
        <v>0.447241</v>
      </c>
      <c r="C52" s="68">
        <v>20.315100000000001</v>
      </c>
      <c r="D52" s="68">
        <v>1</v>
      </c>
      <c r="E52" s="68" t="s">
        <v>459</v>
      </c>
    </row>
    <row r="53" spans="1:5">
      <c r="A53" s="68">
        <v>0.24720700000000001</v>
      </c>
      <c r="B53" s="68">
        <v>0.44542300000000001</v>
      </c>
      <c r="C53" s="68">
        <v>20.7211</v>
      </c>
      <c r="D53" s="68">
        <v>1</v>
      </c>
      <c r="E53" s="68" t="s">
        <v>460</v>
      </c>
    </row>
    <row r="54" spans="1:5">
      <c r="A54" s="68">
        <v>0.24845700000000001</v>
      </c>
      <c r="B54" s="68">
        <v>0.44414900000000002</v>
      </c>
      <c r="C54" s="68">
        <v>21.1279</v>
      </c>
      <c r="D54" s="68">
        <v>1</v>
      </c>
      <c r="E54" s="68" t="s">
        <v>461</v>
      </c>
    </row>
    <row r="55" spans="1:5">
      <c r="A55" s="68">
        <v>0.24956600000000001</v>
      </c>
      <c r="B55" s="68">
        <v>0.443631</v>
      </c>
      <c r="C55" s="68">
        <v>21.534700000000001</v>
      </c>
      <c r="D55" s="68">
        <v>1</v>
      </c>
      <c r="E55" s="68" t="s">
        <v>462</v>
      </c>
    </row>
    <row r="56" spans="1:5">
      <c r="A56" s="68">
        <v>0.250496</v>
      </c>
      <c r="B56" s="68">
        <v>0.44332100000000002</v>
      </c>
      <c r="C56" s="68">
        <v>21.937899999999999</v>
      </c>
      <c r="D56" s="68">
        <v>1</v>
      </c>
      <c r="E56" s="68" t="s">
        <v>463</v>
      </c>
    </row>
    <row r="57" spans="1:5">
      <c r="A57" s="68">
        <v>0.25125799999999998</v>
      </c>
      <c r="B57" s="68">
        <v>0.44337599999999999</v>
      </c>
      <c r="C57" s="68">
        <v>22.341899999999999</v>
      </c>
      <c r="D57" s="68">
        <v>1</v>
      </c>
      <c r="E57" s="68" t="s">
        <v>464</v>
      </c>
    </row>
    <row r="58" spans="1:5">
      <c r="A58" s="68">
        <v>0.25189800000000001</v>
      </c>
      <c r="B58" s="68">
        <v>0.44375599999999998</v>
      </c>
      <c r="C58" s="68">
        <v>22.751300000000001</v>
      </c>
      <c r="D58" s="68">
        <v>1</v>
      </c>
      <c r="E58" s="68" t="s">
        <v>465</v>
      </c>
    </row>
    <row r="59" spans="1:5">
      <c r="A59" s="68">
        <v>0.25250699999999998</v>
      </c>
      <c r="B59" s="68">
        <v>0.44415199999999999</v>
      </c>
      <c r="C59" s="68">
        <v>23.1571</v>
      </c>
      <c r="D59" s="68">
        <v>1</v>
      </c>
      <c r="E59" s="68" t="s">
        <v>466</v>
      </c>
    </row>
    <row r="60" spans="1:5">
      <c r="A60" s="68">
        <v>0.25303900000000001</v>
      </c>
      <c r="B60" s="68">
        <v>0.44447199999999998</v>
      </c>
      <c r="C60" s="68">
        <v>23.561699999999998</v>
      </c>
      <c r="D60" s="68">
        <v>1</v>
      </c>
      <c r="E60" s="68" t="s">
        <v>467</v>
      </c>
    </row>
    <row r="61" spans="1:5">
      <c r="A61" s="68">
        <v>0.25342300000000001</v>
      </c>
      <c r="B61" s="68">
        <v>0.445073</v>
      </c>
      <c r="C61" s="68">
        <v>23.969000000000001</v>
      </c>
      <c r="D61" s="68">
        <v>1</v>
      </c>
      <c r="E61" s="68" t="s">
        <v>468</v>
      </c>
    </row>
    <row r="62" spans="1:5">
      <c r="A62" s="68">
        <v>0.25350099999999998</v>
      </c>
      <c r="B62" s="68">
        <v>0.445932</v>
      </c>
      <c r="C62" s="68">
        <v>24.374500000000001</v>
      </c>
      <c r="D62" s="68">
        <v>1</v>
      </c>
      <c r="E62" s="68" t="s">
        <v>469</v>
      </c>
    </row>
    <row r="63" spans="1:5">
      <c r="A63" s="68">
        <v>0.25344</v>
      </c>
      <c r="B63" s="68">
        <v>0.44711499999999998</v>
      </c>
      <c r="C63" s="68">
        <v>24.782499999999999</v>
      </c>
      <c r="D63" s="68">
        <v>1</v>
      </c>
      <c r="E63" s="68" t="s">
        <v>470</v>
      </c>
    </row>
    <row r="64" spans="1:5">
      <c r="A64" s="68">
        <v>0.25333299999999997</v>
      </c>
      <c r="B64" s="68">
        <v>0.448716</v>
      </c>
      <c r="C64" s="68">
        <v>25.188199999999998</v>
      </c>
      <c r="D64" s="68">
        <v>1</v>
      </c>
      <c r="E64" s="68" t="s">
        <v>471</v>
      </c>
    </row>
    <row r="65" spans="1:5">
      <c r="A65" s="68">
        <v>0.25324400000000002</v>
      </c>
      <c r="B65" s="68">
        <v>0.45100499999999999</v>
      </c>
      <c r="C65" s="68">
        <v>25.5961</v>
      </c>
      <c r="D65" s="68">
        <v>1</v>
      </c>
      <c r="E65" s="68" t="s">
        <v>472</v>
      </c>
    </row>
    <row r="66" spans="1:5">
      <c r="A66" s="68">
        <v>0.25339600000000001</v>
      </c>
      <c r="B66" s="68">
        <v>0.45230799999999999</v>
      </c>
      <c r="C66" s="68">
        <v>26.000900000000001</v>
      </c>
      <c r="D66" s="68">
        <v>1</v>
      </c>
      <c r="E66" s="68" t="s">
        <v>473</v>
      </c>
    </row>
    <row r="67" spans="1:5">
      <c r="A67" s="68">
        <v>0.25345200000000001</v>
      </c>
      <c r="B67" s="68">
        <v>0.45370899999999997</v>
      </c>
      <c r="C67" s="68">
        <v>26.404599999999999</v>
      </c>
      <c r="D67" s="68">
        <v>1</v>
      </c>
      <c r="E67" s="68" t="s">
        <v>474</v>
      </c>
    </row>
    <row r="68" spans="1:5">
      <c r="A68" s="68">
        <v>0.25346800000000003</v>
      </c>
      <c r="B68" s="68">
        <v>0.45521800000000001</v>
      </c>
      <c r="C68" s="68">
        <v>26.811900000000001</v>
      </c>
      <c r="D68" s="68">
        <v>1</v>
      </c>
      <c r="E68" s="68" t="s">
        <v>475</v>
      </c>
    </row>
    <row r="69" spans="1:5">
      <c r="A69" s="68">
        <v>0.253552</v>
      </c>
      <c r="B69" s="68">
        <v>0.45660200000000001</v>
      </c>
      <c r="C69" s="68">
        <v>27.221800000000002</v>
      </c>
      <c r="D69" s="68">
        <v>1</v>
      </c>
      <c r="E69" s="68" t="s">
        <v>476</v>
      </c>
    </row>
    <row r="70" spans="1:5">
      <c r="A70" s="68">
        <v>0.25315599999999999</v>
      </c>
      <c r="B70" s="68">
        <v>0.458561</v>
      </c>
      <c r="C70" s="68">
        <v>27.626100000000001</v>
      </c>
      <c r="D70" s="68">
        <v>1</v>
      </c>
      <c r="E70" s="68" t="s">
        <v>477</v>
      </c>
    </row>
    <row r="71" spans="1:5">
      <c r="A71" s="68">
        <v>0.25239</v>
      </c>
      <c r="B71" s="68">
        <v>0.46105099999999999</v>
      </c>
      <c r="C71" s="68">
        <v>28.030899999999999</v>
      </c>
      <c r="D71" s="68">
        <v>1</v>
      </c>
      <c r="E71" s="68" t="s">
        <v>478</v>
      </c>
    </row>
    <row r="72" spans="1:5">
      <c r="A72" s="68">
        <v>0.25152000000000002</v>
      </c>
      <c r="B72" s="68">
        <v>0.46255600000000002</v>
      </c>
      <c r="C72" s="68">
        <v>28.4361</v>
      </c>
      <c r="D72" s="68">
        <v>1</v>
      </c>
      <c r="E72" s="68" t="s">
        <v>479</v>
      </c>
    </row>
    <row r="73" spans="1:5">
      <c r="A73" s="68">
        <v>0.25041200000000002</v>
      </c>
      <c r="B73" s="68">
        <v>0.46379599999999999</v>
      </c>
      <c r="C73" s="68">
        <v>28.845700000000001</v>
      </c>
      <c r="D73" s="68">
        <v>1</v>
      </c>
      <c r="E73" s="68" t="s">
        <v>480</v>
      </c>
    </row>
    <row r="74" spans="1:5">
      <c r="A74" s="68">
        <v>0.24887699999999999</v>
      </c>
      <c r="B74" s="68">
        <v>0.46519899999999997</v>
      </c>
      <c r="C74" s="68">
        <v>29.256</v>
      </c>
      <c r="D74" s="68">
        <v>1</v>
      </c>
      <c r="E74" s="68" t="s">
        <v>481</v>
      </c>
    </row>
    <row r="75" spans="1:5">
      <c r="A75" s="68">
        <v>0.247611</v>
      </c>
      <c r="B75" s="68">
        <v>0.46669699999999997</v>
      </c>
      <c r="C75" s="68">
        <v>29.657900000000001</v>
      </c>
      <c r="D75" s="68">
        <v>1</v>
      </c>
      <c r="E75" s="68" t="s">
        <v>482</v>
      </c>
    </row>
    <row r="76" spans="1:5">
      <c r="A76" s="68">
        <v>0.24656600000000001</v>
      </c>
      <c r="B76" s="68">
        <v>0.46777200000000002</v>
      </c>
      <c r="C76" s="68">
        <v>30.063600000000001</v>
      </c>
      <c r="D76" s="68">
        <v>2</v>
      </c>
      <c r="E76" s="68" t="s">
        <v>483</v>
      </c>
    </row>
    <row r="77" spans="1:5">
      <c r="A77" s="68">
        <v>0.24540600000000001</v>
      </c>
      <c r="B77" s="68">
        <v>0.46866000000000002</v>
      </c>
      <c r="C77" s="68">
        <v>30.488700000000001</v>
      </c>
      <c r="D77" s="68">
        <v>2</v>
      </c>
      <c r="E77" s="68" t="s">
        <v>484</v>
      </c>
    </row>
    <row r="78" spans="1:5">
      <c r="A78" s="68">
        <v>0.24399799999999999</v>
      </c>
      <c r="B78" s="68">
        <v>0.47003600000000001</v>
      </c>
      <c r="C78" s="68">
        <v>30.894600000000001</v>
      </c>
      <c r="D78" s="68">
        <v>2</v>
      </c>
      <c r="E78" s="68" t="s">
        <v>485</v>
      </c>
    </row>
    <row r="79" spans="1:5">
      <c r="A79" s="68">
        <v>0.24244399999999999</v>
      </c>
      <c r="B79" s="68">
        <v>0.47161999999999998</v>
      </c>
      <c r="C79" s="68">
        <v>31.2986</v>
      </c>
      <c r="D79" s="68">
        <v>2</v>
      </c>
      <c r="E79" s="68" t="s">
        <v>486</v>
      </c>
    </row>
    <row r="80" spans="1:5">
      <c r="A80" s="68">
        <v>0.24088100000000001</v>
      </c>
      <c r="B80" s="68">
        <v>0.47290300000000002</v>
      </c>
      <c r="C80" s="68">
        <v>31.705400000000001</v>
      </c>
      <c r="D80" s="68">
        <v>2</v>
      </c>
      <c r="E80" s="68" t="s">
        <v>487</v>
      </c>
    </row>
    <row r="81" spans="1:5">
      <c r="A81" s="68">
        <v>0.23964199999999999</v>
      </c>
      <c r="B81" s="68">
        <v>0.47441</v>
      </c>
      <c r="C81" s="68">
        <v>32.113100000000003</v>
      </c>
      <c r="D81" s="68">
        <v>2</v>
      </c>
      <c r="E81" s="68" t="s">
        <v>488</v>
      </c>
    </row>
    <row r="82" spans="1:5">
      <c r="A82" s="68">
        <v>0.23868</v>
      </c>
      <c r="B82" s="68">
        <v>0.47582200000000002</v>
      </c>
      <c r="C82" s="68">
        <v>32.519799999999996</v>
      </c>
      <c r="D82" s="68">
        <v>2</v>
      </c>
      <c r="E82" s="68" t="s">
        <v>489</v>
      </c>
    </row>
    <row r="83" spans="1:5">
      <c r="A83" s="68">
        <v>0.23815800000000001</v>
      </c>
      <c r="B83" s="68">
        <v>0.47672399999999998</v>
      </c>
      <c r="C83" s="68">
        <v>32.925699999999999</v>
      </c>
      <c r="D83" s="68">
        <v>2</v>
      </c>
      <c r="E83" s="68" t="s">
        <v>490</v>
      </c>
    </row>
    <row r="84" spans="1:5">
      <c r="A84" s="68">
        <v>0.23804</v>
      </c>
      <c r="B84" s="68">
        <v>0.47734599999999999</v>
      </c>
      <c r="C84" s="68">
        <v>33.328099999999999</v>
      </c>
      <c r="D84" s="68">
        <v>2</v>
      </c>
      <c r="E84" s="68" t="s">
        <v>491</v>
      </c>
    </row>
    <row r="85" spans="1:5">
      <c r="A85" s="68">
        <v>0.23810700000000001</v>
      </c>
      <c r="B85" s="68">
        <v>0.47796100000000002</v>
      </c>
      <c r="C85" s="68">
        <v>33.743600000000001</v>
      </c>
      <c r="D85" s="68">
        <v>2</v>
      </c>
      <c r="E85" s="68" t="s">
        <v>492</v>
      </c>
    </row>
    <row r="86" spans="1:5">
      <c r="A86" s="68">
        <v>0.237875</v>
      </c>
      <c r="B86" s="68">
        <v>0.47937800000000003</v>
      </c>
      <c r="C86" s="68">
        <v>34.1404</v>
      </c>
      <c r="D86" s="68">
        <v>2</v>
      </c>
      <c r="E86" s="68" t="s">
        <v>493</v>
      </c>
    </row>
    <row r="87" spans="1:5">
      <c r="A87" s="68">
        <v>0.23763500000000001</v>
      </c>
      <c r="B87" s="68">
        <v>0.48077700000000001</v>
      </c>
      <c r="C87" s="68">
        <v>34.5486</v>
      </c>
      <c r="D87" s="68">
        <v>2</v>
      </c>
      <c r="E87" s="68" t="s">
        <v>494</v>
      </c>
    </row>
    <row r="88" spans="1:5">
      <c r="A88" s="68">
        <v>0.23738600000000001</v>
      </c>
      <c r="B88" s="68">
        <v>0.48208699999999999</v>
      </c>
      <c r="C88" s="68">
        <v>34.957599999999999</v>
      </c>
      <c r="D88" s="68">
        <v>2</v>
      </c>
      <c r="E88" s="68" t="s">
        <v>495</v>
      </c>
    </row>
    <row r="89" spans="1:5">
      <c r="A89" s="68">
        <v>0.237039</v>
      </c>
      <c r="B89" s="68">
        <v>0.48359200000000002</v>
      </c>
      <c r="C89" s="68">
        <v>35.357900000000001</v>
      </c>
      <c r="D89" s="68">
        <v>2</v>
      </c>
      <c r="E89" s="68" t="s">
        <v>496</v>
      </c>
    </row>
    <row r="90" spans="1:5">
      <c r="A90" s="68">
        <v>0.23664399999999999</v>
      </c>
      <c r="B90" s="68">
        <v>0.48489100000000002</v>
      </c>
      <c r="C90" s="68">
        <v>35.765599999999999</v>
      </c>
      <c r="D90" s="68">
        <v>2</v>
      </c>
      <c r="E90" s="68" t="s">
        <v>497</v>
      </c>
    </row>
    <row r="91" spans="1:5">
      <c r="A91" s="68">
        <v>0.236235</v>
      </c>
      <c r="B91" s="68">
        <v>0.48639199999999999</v>
      </c>
      <c r="C91" s="68">
        <v>36.177799999999998</v>
      </c>
      <c r="D91" s="68">
        <v>2</v>
      </c>
      <c r="E91" s="68" t="s">
        <v>498</v>
      </c>
    </row>
    <row r="92" spans="1:5">
      <c r="A92" s="68">
        <v>0.23588899999999999</v>
      </c>
      <c r="B92" s="68">
        <v>0.48789900000000003</v>
      </c>
      <c r="C92" s="68">
        <v>36.580100000000002</v>
      </c>
      <c r="D92" s="68">
        <v>2</v>
      </c>
      <c r="E92" s="68" t="s">
        <v>499</v>
      </c>
    </row>
    <row r="93" spans="1:5">
      <c r="A93" s="68">
        <v>0.235905</v>
      </c>
      <c r="B93" s="68">
        <v>0.48848799999999998</v>
      </c>
      <c r="C93" s="68">
        <v>36.987099999999998</v>
      </c>
      <c r="D93" s="68">
        <v>2</v>
      </c>
      <c r="E93" s="68" t="s">
        <v>500</v>
      </c>
    </row>
    <row r="94" spans="1:5">
      <c r="A94" s="68">
        <v>0.23624300000000001</v>
      </c>
      <c r="B94" s="68">
        <v>0.48834</v>
      </c>
      <c r="C94" s="68">
        <v>37.391399999999997</v>
      </c>
      <c r="D94" s="68">
        <v>2</v>
      </c>
      <c r="E94" s="68" t="s">
        <v>501</v>
      </c>
    </row>
    <row r="95" spans="1:5">
      <c r="A95" s="68">
        <v>0.236813</v>
      </c>
      <c r="B95" s="68">
        <v>0.48668800000000001</v>
      </c>
      <c r="C95" s="68">
        <v>37.796500000000002</v>
      </c>
      <c r="D95" s="68">
        <v>2</v>
      </c>
      <c r="E95" s="68" t="s">
        <v>502</v>
      </c>
    </row>
    <row r="96" spans="1:5">
      <c r="A96" s="68">
        <v>0.23752899999999999</v>
      </c>
      <c r="B96" s="68">
        <v>0.48483300000000001</v>
      </c>
      <c r="C96" s="68">
        <v>38.201900000000002</v>
      </c>
      <c r="D96" s="68">
        <v>2</v>
      </c>
      <c r="E96" s="68" t="s">
        <v>503</v>
      </c>
    </row>
    <row r="97" spans="1:5">
      <c r="A97" s="68">
        <v>0.23822099999999999</v>
      </c>
      <c r="B97" s="68">
        <v>0.48397099999999998</v>
      </c>
      <c r="C97" s="68">
        <v>38.612000000000002</v>
      </c>
      <c r="D97" s="68">
        <v>2</v>
      </c>
      <c r="E97" s="68" t="s">
        <v>504</v>
      </c>
    </row>
    <row r="98" spans="1:5">
      <c r="A98" s="68">
        <v>0.239256</v>
      </c>
      <c r="B98" s="68">
        <v>0.48291000000000001</v>
      </c>
      <c r="C98" s="68">
        <v>39.018900000000002</v>
      </c>
      <c r="D98" s="68">
        <v>2</v>
      </c>
      <c r="E98" s="68" t="s">
        <v>505</v>
      </c>
    </row>
    <row r="99" spans="1:5">
      <c r="A99" s="68">
        <v>0.24072099999999999</v>
      </c>
      <c r="B99" s="68">
        <v>0.48084399999999999</v>
      </c>
      <c r="C99" s="68">
        <v>39.426099999999998</v>
      </c>
      <c r="D99" s="68">
        <v>2</v>
      </c>
      <c r="E99" s="68" t="s">
        <v>506</v>
      </c>
    </row>
    <row r="100" spans="1:5">
      <c r="A100" s="68">
        <v>0.24215700000000001</v>
      </c>
      <c r="B100" s="68">
        <v>0.47797200000000001</v>
      </c>
      <c r="C100" s="68">
        <v>39.8279</v>
      </c>
      <c r="D100" s="68">
        <v>2</v>
      </c>
      <c r="E100" s="68" t="s">
        <v>507</v>
      </c>
    </row>
    <row r="101" spans="1:5">
      <c r="A101" s="68">
        <v>0.243593</v>
      </c>
      <c r="B101" s="68">
        <v>0.475242</v>
      </c>
      <c r="C101" s="68">
        <v>40.234200000000001</v>
      </c>
      <c r="D101" s="68">
        <v>2</v>
      </c>
      <c r="E101" s="68" t="s">
        <v>508</v>
      </c>
    </row>
    <row r="102" spans="1:5">
      <c r="A102" s="68">
        <v>0.24488199999999999</v>
      </c>
      <c r="B102" s="68">
        <v>0.47355799999999998</v>
      </c>
      <c r="C102" s="68">
        <v>40.640099999999997</v>
      </c>
      <c r="D102" s="68">
        <v>2</v>
      </c>
      <c r="E102" s="68" t="s">
        <v>509</v>
      </c>
    </row>
    <row r="103" spans="1:5">
      <c r="A103" s="68">
        <v>0.24674099999999999</v>
      </c>
      <c r="B103" s="68">
        <v>0.47061799999999998</v>
      </c>
      <c r="C103" s="68">
        <v>41.047499999999999</v>
      </c>
      <c r="D103" s="68">
        <v>2</v>
      </c>
      <c r="E103" s="68" t="s">
        <v>510</v>
      </c>
    </row>
    <row r="104" spans="1:5">
      <c r="A104" s="68">
        <v>0.24884400000000001</v>
      </c>
      <c r="B104" s="68">
        <v>0.466922</v>
      </c>
      <c r="C104" s="68">
        <v>41.453099999999999</v>
      </c>
      <c r="D104" s="68">
        <v>2</v>
      </c>
      <c r="E104" s="68" t="s">
        <v>511</v>
      </c>
    </row>
    <row r="105" spans="1:5">
      <c r="A105" s="68">
        <v>0.25075399999999998</v>
      </c>
      <c r="B105" s="68">
        <v>0.46398099999999998</v>
      </c>
      <c r="C105" s="68">
        <v>41.8596</v>
      </c>
      <c r="D105" s="68">
        <v>2</v>
      </c>
      <c r="E105" s="68" t="s">
        <v>512</v>
      </c>
    </row>
    <row r="106" spans="1:5">
      <c r="A106" s="68">
        <v>0.25271100000000002</v>
      </c>
      <c r="B106" s="68">
        <v>0.460484</v>
      </c>
      <c r="C106" s="68">
        <v>42.266599999999997</v>
      </c>
      <c r="D106" s="68">
        <v>2</v>
      </c>
      <c r="E106" s="68" t="s">
        <v>513</v>
      </c>
    </row>
    <row r="107" spans="1:5">
      <c r="A107" s="68">
        <v>0.25465300000000002</v>
      </c>
      <c r="B107" s="68">
        <v>0.45623900000000001</v>
      </c>
      <c r="C107" s="68">
        <v>42.670499999999997</v>
      </c>
      <c r="D107" s="68">
        <v>2</v>
      </c>
      <c r="E107" s="68" t="s">
        <v>514</v>
      </c>
    </row>
    <row r="108" spans="1:5">
      <c r="A108" s="68">
        <v>0.256581</v>
      </c>
      <c r="B108" s="68">
        <v>0.45164399999999999</v>
      </c>
      <c r="C108" s="68">
        <v>43.078600000000002</v>
      </c>
      <c r="D108" s="68">
        <v>2</v>
      </c>
      <c r="E108" s="68" t="s">
        <v>515</v>
      </c>
    </row>
    <row r="109" spans="1:5">
      <c r="A109" s="68">
        <v>0.25858100000000001</v>
      </c>
      <c r="B109" s="68">
        <v>0.44597900000000001</v>
      </c>
      <c r="C109" s="68">
        <v>43.482799999999997</v>
      </c>
      <c r="D109" s="68">
        <v>2</v>
      </c>
      <c r="E109" s="68" t="s">
        <v>516</v>
      </c>
    </row>
    <row r="110" spans="1:5">
      <c r="A110" s="68">
        <v>0.26046999999999998</v>
      </c>
      <c r="B110" s="68">
        <v>0.44033499999999998</v>
      </c>
      <c r="C110" s="68">
        <v>43.891500000000001</v>
      </c>
      <c r="D110" s="68">
        <v>2</v>
      </c>
      <c r="E110" s="68" t="s">
        <v>517</v>
      </c>
    </row>
    <row r="111" spans="1:5">
      <c r="A111" s="68">
        <v>0.26310800000000001</v>
      </c>
      <c r="B111" s="68">
        <v>0.43319400000000002</v>
      </c>
      <c r="C111" s="68">
        <v>44.2988</v>
      </c>
      <c r="D111" s="68">
        <v>2</v>
      </c>
      <c r="E111" s="68" t="s">
        <v>518</v>
      </c>
    </row>
    <row r="112" spans="1:5">
      <c r="A112" s="68">
        <v>0.265963</v>
      </c>
      <c r="B112" s="68">
        <v>0.42590899999999998</v>
      </c>
      <c r="C112" s="68">
        <v>44.706000000000003</v>
      </c>
      <c r="D112" s="68">
        <v>2</v>
      </c>
      <c r="E112" s="68" t="s">
        <v>519</v>
      </c>
    </row>
    <row r="113" spans="1:5">
      <c r="A113" s="68">
        <v>0.269094</v>
      </c>
      <c r="B113" s="68">
        <v>0.41797200000000001</v>
      </c>
      <c r="C113" s="68">
        <v>45.110199999999999</v>
      </c>
      <c r="D113" s="68">
        <v>2</v>
      </c>
      <c r="E113" s="68" t="s">
        <v>520</v>
      </c>
    </row>
    <row r="114" spans="1:5">
      <c r="A114" s="68">
        <v>0.27223900000000001</v>
      </c>
      <c r="B114" s="68">
        <v>0.41049099999999999</v>
      </c>
      <c r="C114" s="68">
        <v>45.518700000000003</v>
      </c>
      <c r="D114" s="68">
        <v>2</v>
      </c>
      <c r="E114" s="68" t="s">
        <v>521</v>
      </c>
    </row>
    <row r="115" spans="1:5">
      <c r="A115" s="68">
        <v>0.27483000000000002</v>
      </c>
      <c r="B115" s="68">
        <v>0.40549099999999999</v>
      </c>
      <c r="C115" s="68">
        <v>45.924399999999999</v>
      </c>
      <c r="D115" s="68">
        <v>2</v>
      </c>
      <c r="E115" s="68" t="s">
        <v>522</v>
      </c>
    </row>
    <row r="116" spans="1:5">
      <c r="A116" s="68">
        <v>0.27722000000000002</v>
      </c>
      <c r="B116" s="68">
        <v>0.40109600000000001</v>
      </c>
      <c r="C116" s="68">
        <v>46.329500000000003</v>
      </c>
      <c r="D116" s="68">
        <v>2</v>
      </c>
      <c r="E116" s="68" t="s">
        <v>523</v>
      </c>
    </row>
    <row r="117" spans="1:5">
      <c r="A117" s="68">
        <v>0.27983000000000002</v>
      </c>
      <c r="B117" s="68">
        <v>0.39590900000000001</v>
      </c>
      <c r="C117" s="68">
        <v>46.734400000000001</v>
      </c>
      <c r="D117" s="68">
        <v>2</v>
      </c>
      <c r="E117" s="68" t="s">
        <v>524</v>
      </c>
    </row>
    <row r="118" spans="1:5">
      <c r="A118" s="68">
        <v>0.28243200000000002</v>
      </c>
      <c r="B118" s="68">
        <v>0.39061200000000001</v>
      </c>
      <c r="C118" s="68">
        <v>47.1432</v>
      </c>
      <c r="D118" s="68">
        <v>2</v>
      </c>
      <c r="E118" s="68" t="s">
        <v>525</v>
      </c>
    </row>
    <row r="119" spans="1:5">
      <c r="A119" s="68">
        <v>0.28521999999999997</v>
      </c>
      <c r="B119" s="68">
        <v>0.38433200000000001</v>
      </c>
      <c r="C119" s="68">
        <v>47.548200000000001</v>
      </c>
      <c r="D119" s="68">
        <v>2</v>
      </c>
      <c r="E119" s="68" t="s">
        <v>526</v>
      </c>
    </row>
    <row r="120" spans="1:5">
      <c r="A120" s="68">
        <v>0.28829399999999999</v>
      </c>
      <c r="B120" s="68">
        <v>0.37760700000000003</v>
      </c>
      <c r="C120" s="68">
        <v>47.956000000000003</v>
      </c>
      <c r="D120" s="68">
        <v>2</v>
      </c>
      <c r="E120" s="68" t="s">
        <v>527</v>
      </c>
    </row>
    <row r="121" spans="1:5">
      <c r="A121" s="68">
        <v>0.29136099999999998</v>
      </c>
      <c r="B121" s="68">
        <v>0.37066500000000002</v>
      </c>
      <c r="C121" s="68">
        <v>48.358199999999997</v>
      </c>
      <c r="D121" s="68">
        <v>2</v>
      </c>
      <c r="E121" s="68" t="s">
        <v>528</v>
      </c>
    </row>
    <row r="122" spans="1:5">
      <c r="A122" s="68">
        <v>0.29427399999999998</v>
      </c>
      <c r="B122" s="68">
        <v>0.36446200000000001</v>
      </c>
      <c r="C122" s="68">
        <v>48.766100000000002</v>
      </c>
      <c r="D122" s="68">
        <v>2</v>
      </c>
      <c r="E122" s="68" t="s">
        <v>529</v>
      </c>
    </row>
    <row r="123" spans="1:5">
      <c r="A123" s="68">
        <v>0.29723300000000002</v>
      </c>
      <c r="B123" s="68">
        <v>0.35799399999999998</v>
      </c>
      <c r="C123" s="68">
        <v>49.1736</v>
      </c>
      <c r="D123" s="68">
        <v>2</v>
      </c>
      <c r="E123" s="68" t="s">
        <v>530</v>
      </c>
    </row>
    <row r="124" spans="1:5">
      <c r="A124" s="68">
        <v>0.30019299999999999</v>
      </c>
      <c r="B124" s="68">
        <v>0.35202299999999997</v>
      </c>
      <c r="C124" s="68">
        <v>49.582500000000003</v>
      </c>
      <c r="D124" s="68">
        <v>2</v>
      </c>
      <c r="E124" s="68" t="s">
        <v>531</v>
      </c>
    </row>
    <row r="125" spans="1:5">
      <c r="A125" s="68">
        <v>0.30287199999999997</v>
      </c>
      <c r="B125" s="68">
        <v>0.347387</v>
      </c>
      <c r="C125" s="68">
        <v>49.988700000000001</v>
      </c>
      <c r="D125" s="68">
        <v>2</v>
      </c>
      <c r="E125" s="68" t="s">
        <v>532</v>
      </c>
    </row>
    <row r="126" spans="1:5">
      <c r="A126" s="68">
        <v>0.30418600000000001</v>
      </c>
      <c r="B126" s="68">
        <v>0.34568100000000002</v>
      </c>
      <c r="C126" s="68">
        <v>50.393999999999998</v>
      </c>
      <c r="D126" s="68">
        <v>2</v>
      </c>
      <c r="E126" s="68" t="s">
        <v>533</v>
      </c>
    </row>
    <row r="127" spans="1:5">
      <c r="A127" s="68">
        <v>0.30573299999999998</v>
      </c>
      <c r="B127" s="68">
        <v>0.34371099999999999</v>
      </c>
      <c r="C127" s="68">
        <v>50.8003</v>
      </c>
      <c r="D127" s="68">
        <v>2</v>
      </c>
      <c r="E127" s="68" t="s">
        <v>534</v>
      </c>
    </row>
    <row r="128" spans="1:5">
      <c r="A128" s="68">
        <v>0.30718600000000001</v>
      </c>
      <c r="B128" s="68">
        <v>0.34156900000000001</v>
      </c>
      <c r="C128" s="68">
        <v>51.2059</v>
      </c>
      <c r="D128" s="68">
        <v>2</v>
      </c>
      <c r="E128" s="68" t="s">
        <v>535</v>
      </c>
    </row>
    <row r="129" spans="1:5">
      <c r="A129" s="68">
        <v>0.30866500000000002</v>
      </c>
      <c r="B129" s="68">
        <v>0.339422</v>
      </c>
      <c r="C129" s="68">
        <v>51.611199999999997</v>
      </c>
      <c r="D129" s="68">
        <v>2</v>
      </c>
      <c r="E129" s="68" t="s">
        <v>536</v>
      </c>
    </row>
    <row r="130" spans="1:5">
      <c r="A130" s="68">
        <v>0.31044300000000002</v>
      </c>
      <c r="B130" s="68">
        <v>0.33725899999999998</v>
      </c>
      <c r="C130" s="68">
        <v>52.018500000000003</v>
      </c>
      <c r="D130" s="68">
        <v>2</v>
      </c>
      <c r="E130" s="68" t="s">
        <v>537</v>
      </c>
    </row>
    <row r="131" spans="1:5">
      <c r="A131" s="68">
        <v>0.312139</v>
      </c>
      <c r="B131" s="68">
        <v>0.33490999999999999</v>
      </c>
      <c r="C131" s="68">
        <v>52.421100000000003</v>
      </c>
      <c r="D131" s="68">
        <v>2</v>
      </c>
      <c r="E131" s="68" t="s">
        <v>538</v>
      </c>
    </row>
    <row r="132" spans="1:5">
      <c r="A132" s="68">
        <v>0.31395200000000001</v>
      </c>
      <c r="B132" s="68">
        <v>0.33277200000000001</v>
      </c>
      <c r="C132" s="68">
        <v>52.8264</v>
      </c>
      <c r="D132" s="68">
        <v>2</v>
      </c>
      <c r="E132" s="68" t="s">
        <v>539</v>
      </c>
    </row>
    <row r="133" spans="1:5">
      <c r="A133" s="68">
        <v>0.31564999999999999</v>
      </c>
      <c r="B133" s="68">
        <v>0.33027600000000001</v>
      </c>
      <c r="C133" s="68">
        <v>53.232599999999998</v>
      </c>
      <c r="D133" s="68">
        <v>2</v>
      </c>
      <c r="E133" s="68" t="s">
        <v>540</v>
      </c>
    </row>
    <row r="134" spans="1:5">
      <c r="A134" s="68">
        <v>0.31717600000000001</v>
      </c>
      <c r="B134" s="68">
        <v>0.32783499999999999</v>
      </c>
      <c r="C134" s="68">
        <v>53.642899999999997</v>
      </c>
      <c r="D134" s="68">
        <v>2</v>
      </c>
      <c r="E134" s="68" t="s">
        <v>541</v>
      </c>
    </row>
    <row r="135" spans="1:5">
      <c r="A135" s="68">
        <v>0.318853</v>
      </c>
      <c r="B135" s="68">
        <v>0.32546799999999998</v>
      </c>
      <c r="C135" s="68">
        <v>54.048499999999997</v>
      </c>
      <c r="D135" s="68">
        <v>2</v>
      </c>
      <c r="E135" s="68" t="s">
        <v>542</v>
      </c>
    </row>
    <row r="136" spans="1:5">
      <c r="A136" s="68">
        <v>0.319996</v>
      </c>
      <c r="B136" s="68">
        <v>0.32290999999999997</v>
      </c>
      <c r="C136" s="68">
        <v>54.452800000000003</v>
      </c>
      <c r="D136" s="68">
        <v>2</v>
      </c>
      <c r="E136" s="68" t="s">
        <v>543</v>
      </c>
    </row>
    <row r="137" spans="1:5">
      <c r="A137" s="68">
        <v>0.320965</v>
      </c>
      <c r="B137" s="68">
        <v>0.32022200000000001</v>
      </c>
      <c r="C137" s="68">
        <v>54.8611</v>
      </c>
      <c r="D137" s="68">
        <v>2</v>
      </c>
      <c r="E137" s="68" t="s">
        <v>544</v>
      </c>
    </row>
    <row r="138" spans="1:5">
      <c r="A138" s="68">
        <v>0.32168799999999997</v>
      </c>
      <c r="B138" s="68">
        <v>0.31818200000000002</v>
      </c>
      <c r="C138" s="68">
        <v>55.267499999999998</v>
      </c>
      <c r="D138" s="68">
        <v>2</v>
      </c>
      <c r="E138" s="68" t="s">
        <v>545</v>
      </c>
    </row>
    <row r="139" spans="1:5">
      <c r="A139" s="68">
        <v>0.32244099999999998</v>
      </c>
      <c r="B139" s="68">
        <v>0.316056</v>
      </c>
      <c r="C139" s="68">
        <v>55.674399999999999</v>
      </c>
      <c r="D139" s="68">
        <v>2</v>
      </c>
      <c r="E139" s="68" t="s">
        <v>546</v>
      </c>
    </row>
    <row r="140" spans="1:5">
      <c r="A140" s="68">
        <v>0.32417600000000002</v>
      </c>
      <c r="B140" s="68">
        <v>0.31214999999999998</v>
      </c>
      <c r="C140" s="68">
        <v>56.081400000000002</v>
      </c>
      <c r="D140" s="68">
        <v>2</v>
      </c>
      <c r="E140" s="68" t="s">
        <v>547</v>
      </c>
    </row>
    <row r="141" spans="1:5">
      <c r="A141" s="68">
        <v>0.32645099999999999</v>
      </c>
      <c r="B141" s="68">
        <v>0.30760599999999999</v>
      </c>
      <c r="C141" s="68">
        <v>56.490099999999998</v>
      </c>
      <c r="D141" s="68">
        <v>2</v>
      </c>
      <c r="E141" s="68" t="s">
        <v>548</v>
      </c>
    </row>
    <row r="142" spans="1:5">
      <c r="A142" s="68">
        <v>0.32859500000000003</v>
      </c>
      <c r="B142" s="68">
        <v>0.30317699999999997</v>
      </c>
      <c r="C142" s="68">
        <v>56.891300000000001</v>
      </c>
      <c r="D142" s="68">
        <v>2</v>
      </c>
      <c r="E142" s="68" t="s">
        <v>549</v>
      </c>
    </row>
    <row r="143" spans="1:5">
      <c r="A143" s="68">
        <v>0.33064100000000002</v>
      </c>
      <c r="B143" s="68">
        <v>0.29773300000000003</v>
      </c>
      <c r="C143" s="68">
        <v>57.296999999999997</v>
      </c>
      <c r="D143" s="68">
        <v>2</v>
      </c>
      <c r="E143" s="68" t="s">
        <v>550</v>
      </c>
    </row>
    <row r="144" spans="1:5">
      <c r="A144" s="68">
        <v>0.33206400000000003</v>
      </c>
      <c r="B144" s="68">
        <v>0.29263699999999998</v>
      </c>
      <c r="C144" s="68">
        <v>57.702800000000003</v>
      </c>
      <c r="D144" s="68">
        <v>2</v>
      </c>
      <c r="E144" s="68" t="s">
        <v>551</v>
      </c>
    </row>
    <row r="145" spans="1:5">
      <c r="A145" s="68">
        <v>0.33269900000000002</v>
      </c>
      <c r="B145" s="68">
        <v>0.28917799999999999</v>
      </c>
      <c r="C145" s="68">
        <v>58.115900000000003</v>
      </c>
      <c r="D145" s="68">
        <v>2</v>
      </c>
      <c r="E145" s="68" t="s">
        <v>552</v>
      </c>
    </row>
    <row r="146" spans="1:5">
      <c r="A146" s="68">
        <v>0.33312199999999997</v>
      </c>
      <c r="B146" s="68">
        <v>0.28839999999999999</v>
      </c>
      <c r="C146" s="68">
        <v>58.5167</v>
      </c>
      <c r="D146" s="68">
        <v>2</v>
      </c>
      <c r="E146" s="68" t="s">
        <v>553</v>
      </c>
    </row>
    <row r="147" spans="1:5">
      <c r="A147" s="68">
        <v>0.33413799999999999</v>
      </c>
      <c r="B147" s="68">
        <v>0.28728999999999999</v>
      </c>
      <c r="C147" s="68">
        <v>58.921799999999998</v>
      </c>
      <c r="D147" s="68">
        <v>2</v>
      </c>
      <c r="E147" s="68" t="s">
        <v>554</v>
      </c>
    </row>
    <row r="148" spans="1:5">
      <c r="A148" s="68">
        <v>0.335316</v>
      </c>
      <c r="B148" s="68">
        <v>0.28979300000000002</v>
      </c>
      <c r="C148" s="68">
        <v>59.329500000000003</v>
      </c>
      <c r="D148" s="68">
        <v>2</v>
      </c>
      <c r="E148" s="68" t="s">
        <v>555</v>
      </c>
    </row>
    <row r="149" spans="1:5">
      <c r="A149" s="68">
        <v>0.33425300000000002</v>
      </c>
      <c r="B149" s="68">
        <v>0.29720200000000002</v>
      </c>
      <c r="C149" s="68">
        <v>59.737200000000001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562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43628.389699074076</v>
      </c>
      <c r="B2" s="66" t="s">
        <v>558</v>
      </c>
      <c r="C2" s="66"/>
      <c r="D2" s="66"/>
      <c r="E2" s="66">
        <v>4.9207200000000002</v>
      </c>
      <c r="F2" s="66">
        <v>1.31582</v>
      </c>
      <c r="G2" s="66">
        <v>0.58672199999999997</v>
      </c>
      <c r="H2" s="66">
        <v>0</v>
      </c>
      <c r="I2" s="66">
        <v>80130</v>
      </c>
      <c r="J2" s="66">
        <v>75</v>
      </c>
      <c r="K2" s="66">
        <v>75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2019-06-12T01:21:44Z</cp:lastPrinted>
  <dcterms:created xsi:type="dcterms:W3CDTF">2010-10-29T12:53:05Z</dcterms:created>
  <dcterms:modified xsi:type="dcterms:W3CDTF">2019-06-12T01:22:01Z</dcterms:modified>
</cp:coreProperties>
</file>