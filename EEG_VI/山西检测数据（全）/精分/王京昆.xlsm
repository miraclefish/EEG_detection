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<sst xmlns="http://schemas.openxmlformats.org/spreadsheetml/2006/main" count="701" uniqueCount="575">
  <si>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</si>
  <si>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</si>
  <si>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</si>
  <si>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</si>
  <si>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</si>
  <si>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</si>
  <si>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</si>
  <si>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</si>
  <si>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</si>
  <si>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</si>
  <si>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</si>
  <si>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</si>
  <si>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</si>
  <si>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</si>
  <si>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</si>
  <si>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</si>
  <si>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</si>
  <si>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</si>
  <si>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</si>
  <si>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</si>
  <si>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</si>
  <si>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</si>
  <si>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</si>
  <si>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</si>
  <si>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</si>
  <si>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</si>
  <si>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</si>
  <si>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</si>
  <si>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</si>
  <si>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</si>
  <si>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</si>
  <si>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</si>
  <si>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</si>
  <si>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</si>
  <si>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</si>
  <si>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</si>
  <si>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</si>
  <si>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</si>
  <si>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</si>
  <si>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</si>
  <si>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</si>
  <si>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</si>
  <si>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</si>
  <si>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</si>
  <si>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</si>
  <si>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</si>
  <si>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</si>
  <si>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</si>
  <si>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</si>
  <si>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</si>
  <si>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</si>
  <si>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</si>
  <si>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</si>
  <si>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</si>
  <si>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</si>
  <si>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</si>
  <si>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</si>
  <si>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</si>
  <si>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</si>
  <si>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</si>
  <si>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</si>
  <si>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</si>
  <si>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</si>
  <si>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</si>
  <si>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</si>
  <si>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</si>
  <si>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</si>
  <si>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</si>
  <si>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</si>
  <si>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</si>
  <si>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</si>
  <si>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</si>
  <si>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</si>
  <si>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</si>
  <si>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</si>
  <si>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</si>
  <si>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</si>
  <si>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</si>
  <si>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</si>
  <si>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</si>
  <si>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</si>
  <si>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</si>
  <si>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</si>
  <si>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</si>
  <si>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</si>
  <si>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</si>
  <si>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</si>
  <si>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</si>
  <si>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</si>
  <si>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</si>
  <si>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</si>
  <si>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</si>
  <si>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</si>
  <si>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</si>
  <si>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</si>
  <si>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</si>
  <si>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</si>
  <si>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</si>
  <si>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</si>
  <si>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</si>
  <si>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</si>
  <si>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</si>
  <si>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</si>
  <si>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</si>
  <si>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</si>
  <si>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</si>
  <si>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</si>
  <si>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</si>
  <si>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</si>
  <si>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</si>
  <si>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</si>
  <si>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</si>
  <si>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</si>
  <si>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</si>
  <si>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</si>
  <si>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</si>
  <si>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</si>
  <si>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</si>
  <si>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</si>
  <si>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</si>
  <si>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</si>
  <si>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</si>
  <si>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</si>
  <si>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</si>
  <si>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</si>
  <si>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</si>
  <si>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</si>
  <si>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</si>
  <si>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</si>
  <si>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</si>
  <si>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</si>
  <si>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</si>
  <si>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</si>
  <si>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</si>
  <si>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</si>
  <si>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</si>
  <si>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</si>
  <si>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</si>
  <si>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</si>
  <si>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</si>
  <si>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</si>
  <si>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</si>
  <si>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</si>
  <si>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</si>
  <si>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</si>
  <si>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</si>
  <si>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</si>
  <si>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</si>
  <si>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</si>
  <si>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</si>
  <si>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</si>
  <si>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</si>
  <si>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</si>
  <si>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</si>
  <si>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</si>
  <si>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</si>
  <si>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</si>
  <si>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</si>
  <si>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</si>
  <si>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</si>
  <si>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</si>
  <si>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</si>
  <si>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</si>
  <si>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</si>
  <si>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</si>
  <si>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</si>
  <si>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</si>
  <si>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</si>
  <si>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</si>
  <si>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</si>
  <si>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</si>
  <si>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</si>
  <si>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</si>
  <si>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</si>
  <si>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</si>
  <si>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</si>
  <si>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</si>
  <si>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</si>
  <si>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</si>
  <si>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</si>
  <si>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</si>
  <si>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</si>
  <si>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</si>
  <si>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</si>
  <si>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</si>
  <si>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</si>
  <si>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</si>
  <si>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</si>
  <si>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</si>
  <si>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</si>
  <si>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</si>
  <si>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</si>
  <si>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</si>
  <si>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</si>
  <si>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</si>
  <si>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</si>
  <si>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</si>
  <si>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</si>
  <si>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</si>
  <si>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</si>
  <si>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</si>
  <si>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</si>
  <si>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</si>
  <si>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</si>
  <si>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</si>
  <si>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</si>
  <si>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</si>
  <si>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</si>
  <si>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</si>
  <si>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</si>
  <si>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</si>
  <si>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</si>
  <si>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</si>
  <si>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</si>
  <si>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</si>
  <si>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</si>
  <si>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</si>
  <si>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</si>
  <si>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</si>
  <si>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</si>
  <si>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</si>
  <si>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</si>
  <si>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</si>
  <si>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</si>
  <si>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</si>
  <si>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</si>
  <si>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</si>
  <si>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</si>
  <si>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</si>
  <si>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</si>
  <si>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</si>
  <si>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</si>
  <si>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</si>
  <si>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</si>
  <si>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</si>
  <si>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</si>
  <si>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</si>
  <si>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</si>
  <si>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</si>
  <si>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</si>
  <si>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</si>
  <si>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</si>
  <si>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</si>
  <si>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</si>
  <si>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</si>
  <si>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</si>
  <si>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</si>
  <si>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</si>
  <si>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</si>
  <si>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</si>
  <si>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</si>
  <si>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</si>
  <si>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</si>
  <si>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</si>
  <si>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</si>
  <si>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</si>
  <si>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</si>
  <si>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</si>
  <si>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</si>
  <si>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</si>
  <si>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</si>
  <si>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</si>
  <si>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</si>
  <si>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</si>
  <si>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</si>
  <si>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</si>
  <si>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</si>
  <si>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</si>
  <si>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</si>
  <si>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</si>
  <si>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</si>
  <si>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</si>
  <si>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</si>
  <si>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</si>
  <si>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</si>
  <si>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</si>
  <si>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</si>
  <si>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</si>
  <si>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</si>
  <si>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</si>
  <si>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</si>
  <si>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</si>
  <si>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</si>
  <si>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</si>
  <si>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</si>
  <si>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</si>
  <si>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</si>
  <si>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</si>
  <si>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</si>
  <si>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</si>
  <si>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</si>
  <si>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</si>
  <si>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</si>
  <si>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</si>
  <si>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</si>
  <si>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</si>
  <si>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</si>
  <si>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</si>
  <si>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</si>
  <si>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</si>
  <si>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</si>
  <si>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</si>
  <si>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</si>
  <si>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</si>
  <si>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</si>
  <si>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</si>
  <si>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</si>
  <si>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</si>
  <si>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</si>
  <si>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</si>
  <si>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</si>
  <si>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</si>
  <si>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</si>
  <si>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</si>
  <si>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</si>
  <si>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</si>
  <si>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</si>
  <si>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</si>
  <si>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</si>
  <si>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</si>
  <si>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</si>
  <si>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</si>
  <si>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</si>
  <si>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</si>
  <si>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</si>
  <si>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</si>
  <si>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</si>
  <si>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</si>
  <si>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</si>
  <si>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</si>
  <si>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</si>
  <si>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</si>
  <si>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</si>
  <si>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</si>
  <si>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</si>
  <si>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</si>
  <si>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</si>
  <si>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</si>
  <si>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</si>
  <si>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</si>
  <si>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</si>
  <si>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</si>
  <si>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</si>
  <si>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</si>
  <si>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</si>
  <si>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</si>
  <si>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</si>
  <si>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</si>
  <si>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</si>
  <si>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</si>
  <si>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</si>
  <si>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</si>
  <si>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</si>
  <si>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</si>
  <si>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</si>
  <si>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</si>
  <si>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</si>
  <si>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</si>
  <si>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</si>
  <si>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</si>
  <si>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</si>
  <si>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</si>
  <si>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</si>
  <si>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</si>
  <si>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</si>
  <si>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</si>
  <si>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</si>
  <si>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</si>
  <si>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</si>
  <si>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</si>
  <si>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</si>
  <si>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</si>
  <si>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</si>
  <si>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</si>
  <si>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</si>
  <si>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</si>
  <si>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</si>
  <si>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</si>
  <si>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</si>
  <si>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</si>
  <si>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</si>
  <si>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</si>
  <si>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</si>
  <si>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</si>
  <si>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</si>
  <si>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</si>
  <si>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</si>
  <si>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</si>
  <si>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</si>
  <si>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</si>
  <si>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</si>
  <si>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</si>
  <si>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</si>
  <si>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</si>
  <si>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</si>
  <si>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</si>
  <si>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</si>
  <si>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</si>
  <si>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</si>
  <si>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</si>
  <si>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</si>
  <si>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CMin</t>
    <phoneticPr fontId="29" type="noConversion"/>
  </si>
  <si>
    <t>A1 (fast)</t>
    <phoneticPr fontId="29" type="noConversion"/>
  </si>
  <si>
    <t>A4 (fast)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</si>
  <si>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</si>
  <si>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</si>
  <si>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</si>
  <si>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</si>
  <si>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</si>
  <si>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</si>
  <si>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</si>
  <si>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</si>
  <si>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[0.406680]</t>
  </si>
  <si>
    <t>1 [0.810253]</t>
  </si>
  <si>
    <t>1 [1.221543]</t>
  </si>
  <si>
    <t>1 [1.624410]</t>
  </si>
  <si>
    <t>1 [2.032660]</t>
  </si>
  <si>
    <t>1 [2.440185]</t>
  </si>
  <si>
    <t>1 [2.844115]</t>
  </si>
  <si>
    <t>1 [3.253267]</t>
  </si>
  <si>
    <t>1 [3.655082]</t>
  </si>
  <si>
    <t>1 [4.061878]</t>
  </si>
  <si>
    <t>1 [4.470820]</t>
  </si>
  <si>
    <t>1 [4.877690]</t>
  </si>
  <si>
    <t>1 [5.278631]</t>
  </si>
  <si>
    <t>1 [5.689538]</t>
  </si>
  <si>
    <t>1 [6.091393]</t>
  </si>
  <si>
    <t>1 [6.499525]</t>
  </si>
  <si>
    <t>1 [6.907227]</t>
  </si>
  <si>
    <t>1 [7.317164]</t>
  </si>
  <si>
    <t>1 [7.725096]</t>
  </si>
  <si>
    <t>1 [8.124992]</t>
  </si>
  <si>
    <t>1 [8.528659]</t>
  </si>
  <si>
    <t>1 [8.939814]</t>
  </si>
  <si>
    <t>1 [9.346695]</t>
  </si>
  <si>
    <t>1 [9.749652]</t>
  </si>
  <si>
    <t>1 [10.155560]</t>
  </si>
  <si>
    <t>1 [10.562683]</t>
  </si>
  <si>
    <t>1 [10.968392]</t>
  </si>
  <si>
    <t>1 [11.375397]</t>
  </si>
  <si>
    <t>1 [11.783199]</t>
  </si>
  <si>
    <t>1 [12.189104]</t>
  </si>
  <si>
    <t>1 [12.593053]</t>
  </si>
  <si>
    <t>1 [12.996213]</t>
  </si>
  <si>
    <t>1 [13.406059]</t>
  </si>
  <si>
    <t>1 [13.812871]</t>
  </si>
  <si>
    <t>1 [14.219942]</t>
  </si>
  <si>
    <t>1 [14.624663]</t>
  </si>
  <si>
    <t>1 [15.031522]</t>
  </si>
  <si>
    <t>1 [15.437600]</t>
  </si>
  <si>
    <t>1 [15.844486]</t>
  </si>
  <si>
    <t>1 [16.252307]</t>
  </si>
  <si>
    <t>1 [16.656457]</t>
  </si>
  <si>
    <t>1 [17.066200]</t>
  </si>
  <si>
    <t>1 [17.469018]</t>
  </si>
  <si>
    <t>1 [17.875280]</t>
  </si>
  <si>
    <t>1 [18.283864]</t>
  </si>
  <si>
    <t>1 [18.689749]</t>
  </si>
  <si>
    <t>1 [19.093688]</t>
  </si>
  <si>
    <t>1 [19.500584]</t>
  </si>
  <si>
    <t>1 [19.905620]</t>
  </si>
  <si>
    <t>1 [20.312412]</t>
  </si>
  <si>
    <t>1 [20.723321]</t>
  </si>
  <si>
    <t>1 [21.124287]</t>
  </si>
  <si>
    <t>1 [21.534255]</t>
  </si>
  <si>
    <t>1 [21.937455]</t>
  </si>
  <si>
    <t>1 [22.344002]</t>
  </si>
  <si>
    <t>1 [22.752139]</t>
  </si>
  <si>
    <t>1 [23.156914]</t>
  </si>
  <si>
    <t>1 [23.560707]</t>
  </si>
  <si>
    <t>1 [23.967745]</t>
  </si>
  <si>
    <t>1 [24.373680]</t>
  </si>
  <si>
    <t>1 [24.782480]</t>
  </si>
  <si>
    <t>1 [25.189384]</t>
  </si>
  <si>
    <t>1 [25.593397]</t>
  </si>
  <si>
    <t>1 [25.999208]</t>
  </si>
  <si>
    <t>1 [26.407221]</t>
  </si>
  <si>
    <t>1 [26.813067]</t>
  </si>
  <si>
    <t>1 [27.220981]</t>
  </si>
  <si>
    <t>1 [27.621943]</t>
  </si>
  <si>
    <t>1 [28.030777]</t>
  </si>
  <si>
    <t>1 [28.440693]</t>
  </si>
  <si>
    <t>1 [28.844598]</t>
  </si>
  <si>
    <t>1 [29.251510]</t>
  </si>
  <si>
    <t>1 [29.655491]</t>
  </si>
  <si>
    <t>2 [30.061384]</t>
  </si>
  <si>
    <t>2 [30.500342]</t>
  </si>
  <si>
    <t>2 [30.907174]</t>
  </si>
  <si>
    <t>2 [31.312277]</t>
  </si>
  <si>
    <t>2 [31.722982]</t>
  </si>
  <si>
    <t>2 [32.124806]</t>
  </si>
  <si>
    <t>2 [32.531868]</t>
  </si>
  <si>
    <t>2 [32.938994]</t>
  </si>
  <si>
    <t>2 [33.344571]</t>
  </si>
  <si>
    <t>2 [33.751515]</t>
  </si>
  <si>
    <t>2 [34.154452]</t>
  </si>
  <si>
    <t>2 [34.562485]</t>
  </si>
  <si>
    <t>2 [34.970527]</t>
  </si>
  <si>
    <t>2 [35.374152]</t>
  </si>
  <si>
    <t>2 [35.782076]</t>
  </si>
  <si>
    <t>2 [36.186019]</t>
  </si>
  <si>
    <t>2 [36.592943]</t>
  </si>
  <si>
    <t>2 [37.000794]</t>
  </si>
  <si>
    <t>2 [37.405721]</t>
  </si>
  <si>
    <t>2 [37.809861]</t>
  </si>
  <si>
    <t>2 [38.221525]</t>
  </si>
  <si>
    <t>2 [38.628513]</t>
  </si>
  <si>
    <t>2 [39.033325]</t>
  </si>
  <si>
    <t>2 [39.437434]</t>
  </si>
  <si>
    <t>2 [39.842350]</t>
  </si>
  <si>
    <t>2 [40.252150]</t>
  </si>
  <si>
    <t>2 [40.659050]</t>
  </si>
  <si>
    <t>2 [41.063967]</t>
  </si>
  <si>
    <t>2 [41.470322]</t>
  </si>
  <si>
    <t>2 [41.872904]</t>
  </si>
  <si>
    <t>2 [42.282704]</t>
  </si>
  <si>
    <t>2 [42.690591]</t>
  </si>
  <si>
    <t>2 [43.094529]</t>
  </si>
  <si>
    <t>2 [43.500412]</t>
  </si>
  <si>
    <t>2 [43.905440]</t>
  </si>
  <si>
    <t>2 [44.312283]</t>
  </si>
  <si>
    <t>2 [44.720657]</t>
  </si>
  <si>
    <t>2 [45.125108]</t>
  </si>
  <si>
    <t>2 [45.532005]</t>
  </si>
  <si>
    <t>2 [45.933922]</t>
  </si>
  <si>
    <t>2 [46.344848]</t>
  </si>
  <si>
    <t>2 [46.748587]</t>
  </si>
  <si>
    <t>2 [47.156632]</t>
  </si>
  <si>
    <t>2 [47.562646]</t>
  </si>
  <si>
    <t>2 [47.969764]</t>
  </si>
  <si>
    <t>2 [48.376485]</t>
  </si>
  <si>
    <t>2 [48.783289]</t>
  </si>
  <si>
    <t>2 [49.190329]</t>
  </si>
  <si>
    <t>2 [49.592126]</t>
  </si>
  <si>
    <t>2 [50.000422]</t>
  </si>
  <si>
    <t>2 [50.406973]</t>
  </si>
  <si>
    <t>2 [50.811880]</t>
  </si>
  <si>
    <t>2 [51.220971]</t>
  </si>
  <si>
    <t>2 [51.625668]</t>
  </si>
  <si>
    <t>2 [52.028643]</t>
  </si>
  <si>
    <t>2 [52.437033]</t>
  </si>
  <si>
    <t>2 [52.847325]</t>
  </si>
  <si>
    <t>2 [53.251399]</t>
  </si>
  <si>
    <t>2 [53.656415]</t>
  </si>
  <si>
    <t>2 [54.061215]</t>
  </si>
  <si>
    <t>2 [54.467557]</t>
  </si>
  <si>
    <t>2 [54.876127]</t>
  </si>
  <si>
    <t>2 [55.283926]</t>
  </si>
  <si>
    <t>2 [55.687058]</t>
  </si>
  <si>
    <t>2 [56.093731]</t>
  </si>
  <si>
    <t>2 [56.499218]</t>
  </si>
  <si>
    <t>2 [56.905595]</t>
  </si>
  <si>
    <t>2 [57.315520]</t>
  </si>
  <si>
    <t>2 [57.717419]</t>
  </si>
  <si>
    <t>2 [58.124385]</t>
  </si>
  <si>
    <t>2 [58.532303]</t>
  </si>
  <si>
    <t>2 [58.938140]</t>
  </si>
  <si>
    <t>2 [59.346233]</t>
  </si>
  <si>
    <t>2 [59.751986]</t>
  </si>
  <si>
    <t>dt</t>
    <phoneticPr fontId="29" type="noConversion"/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</si>
  <si>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</si>
  <si>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</si>
  <si>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</si>
  <si>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</si>
  <si>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</si>
  <si>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M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</si>
  <si>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</si>
  <si>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</si>
  <si>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</si>
  <si>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</si>
  <si>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</si>
  <si>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</si>
  <si>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</si>
  <si>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</si>
  <si>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王京昆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</si>
</sst>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33.493899999999996</c:v>
                </c:pt>
                <c:pt idx="1">
                  <c:v>47.1601</c:v>
                </c:pt>
                <c:pt idx="2">
                  <c:v>34.258499999999998</c:v>
                </c:pt>
                <c:pt idx="3">
                  <c:v>39.034599999999998</c:v>
                </c:pt>
                <c:pt idx="4">
                  <c:v>60.866900000000001</c:v>
                </c:pt>
                <c:pt idx="5">
                  <c:v>53.252299999999998</c:v>
                </c:pt>
                <c:pt idx="6">
                  <c:v>11.5002</c:v>
                </c:pt>
                <c:pt idx="7">
                  <c:v>57.967599999999997</c:v>
                </c:pt>
                <c:pt idx="8">
                  <c:v>14.1394</c:v>
                </c:pt>
                <c:pt idx="9">
                  <c:v>31.148299999999999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0.42883187595696903</c:v>
                </c:pt>
                <c:pt idx="1">
                  <c:v>0.35959748615716303</c:v>
                </c:pt>
                <c:pt idx="2">
                  <c:v>0.211570637885868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28672</c:v>
                </c:pt>
                <c:pt idx="7">
                  <c:v>0</c:v>
                </c:pt>
                <c:pt idx="8">
                  <c:v>35077</c:v>
                </c:pt>
                <c:pt idx="9">
                  <c:v>0</c:v>
                </c:pt>
                <c:pt idx="10">
                  <c:v>0</c:v>
                </c:pt>
                <c:pt idx="11">
                  <c:v>39241</c:v>
                </c:pt>
                <c:pt idx="12">
                  <c:v>0</c:v>
                </c:pt>
                <c:pt idx="13">
                  <c:v>51930</c:v>
                </c:pt>
                <c:pt idx="14">
                  <c:v>0</c:v>
                </c:pt>
                <c:pt idx="15">
                  <c:v>0</c:v>
                </c:pt>
                <c:pt idx="16">
                  <c:v>62759</c:v>
                </c:pt>
                <c:pt idx="17">
                  <c:v>0</c:v>
                </c:pt>
                <c:pt idx="18">
                  <c:v>0</c:v>
                </c:pt>
                <c:pt idx="19">
                  <c:v>61525</c:v>
                </c:pt>
                <c:pt idx="20">
                  <c:v>0</c:v>
                </c:pt>
                <c:pt idx="21">
                  <c:v>71445</c:v>
                </c:pt>
                <c:pt idx="22">
                  <c:v>0</c:v>
                </c:pt>
                <c:pt idx="23">
                  <c:v>0</c:v>
                </c:pt>
                <c:pt idx="24">
                  <c:v>71074</c:v>
                </c:pt>
                <c:pt idx="25">
                  <c:v>0</c:v>
                </c:pt>
                <c:pt idx="26">
                  <c:v>78240</c:v>
                </c:pt>
                <c:pt idx="27">
                  <c:v>0</c:v>
                </c:pt>
                <c:pt idx="28">
                  <c:v>0</c:v>
                </c:pt>
                <c:pt idx="29">
                  <c:v>82709</c:v>
                </c:pt>
                <c:pt idx="30">
                  <c:v>0</c:v>
                </c:pt>
                <c:pt idx="31">
                  <c:v>86372</c:v>
                </c:pt>
                <c:pt idx="32">
                  <c:v>0</c:v>
                </c:pt>
                <c:pt idx="33">
                  <c:v>0</c:v>
                </c:pt>
                <c:pt idx="34">
                  <c:v>95418</c:v>
                </c:pt>
                <c:pt idx="35">
                  <c:v>0</c:v>
                </c:pt>
                <c:pt idx="36">
                  <c:v>0</c:v>
                </c:pt>
                <c:pt idx="37">
                  <c:v>97843</c:v>
                </c:pt>
                <c:pt idx="38">
                  <c:v>0</c:v>
                </c:pt>
                <c:pt idx="39">
                  <c:v>96848</c:v>
                </c:pt>
                <c:pt idx="40">
                  <c:v>0</c:v>
                </c:pt>
                <c:pt idx="41">
                  <c:v>0</c:v>
                </c:pt>
                <c:pt idx="42">
                  <c:v>87516</c:v>
                </c:pt>
                <c:pt idx="43">
                  <c:v>0</c:v>
                </c:pt>
                <c:pt idx="44">
                  <c:v>93215</c:v>
                </c:pt>
                <c:pt idx="45">
                  <c:v>0</c:v>
                </c:pt>
                <c:pt idx="46">
                  <c:v>0</c:v>
                </c:pt>
                <c:pt idx="47">
                  <c:v>86685</c:v>
                </c:pt>
                <c:pt idx="48">
                  <c:v>0</c:v>
                </c:pt>
                <c:pt idx="49">
                  <c:v>86392</c:v>
                </c:pt>
                <c:pt idx="50">
                  <c:v>0</c:v>
                </c:pt>
                <c:pt idx="51">
                  <c:v>0</c:v>
                </c:pt>
                <c:pt idx="52">
                  <c:v>80499</c:v>
                </c:pt>
                <c:pt idx="53">
                  <c:v>0</c:v>
                </c:pt>
                <c:pt idx="54">
                  <c:v>0</c:v>
                </c:pt>
                <c:pt idx="55">
                  <c:v>76798</c:v>
                </c:pt>
                <c:pt idx="56">
                  <c:v>0</c:v>
                </c:pt>
                <c:pt idx="57">
                  <c:v>80661</c:v>
                </c:pt>
                <c:pt idx="58">
                  <c:v>0</c:v>
                </c:pt>
                <c:pt idx="59">
                  <c:v>0</c:v>
                </c:pt>
                <c:pt idx="60">
                  <c:v>78324</c:v>
                </c:pt>
                <c:pt idx="61">
                  <c:v>0</c:v>
                </c:pt>
                <c:pt idx="62">
                  <c:v>83818</c:v>
                </c:pt>
                <c:pt idx="63">
                  <c:v>0</c:v>
                </c:pt>
                <c:pt idx="64">
                  <c:v>0</c:v>
                </c:pt>
                <c:pt idx="65">
                  <c:v>88078</c:v>
                </c:pt>
                <c:pt idx="66">
                  <c:v>0</c:v>
                </c:pt>
                <c:pt idx="67">
                  <c:v>92743</c:v>
                </c:pt>
                <c:pt idx="68">
                  <c:v>0</c:v>
                </c:pt>
                <c:pt idx="69">
                  <c:v>0</c:v>
                </c:pt>
                <c:pt idx="70">
                  <c:v>91637</c:v>
                </c:pt>
                <c:pt idx="71">
                  <c:v>0</c:v>
                </c:pt>
                <c:pt idx="72">
                  <c:v>0</c:v>
                </c:pt>
                <c:pt idx="73">
                  <c:v>84421</c:v>
                </c:pt>
                <c:pt idx="74">
                  <c:v>0</c:v>
                </c:pt>
                <c:pt idx="75">
                  <c:v>84721</c:v>
                </c:pt>
                <c:pt idx="76">
                  <c:v>0</c:v>
                </c:pt>
                <c:pt idx="77">
                  <c:v>0</c:v>
                </c:pt>
                <c:pt idx="78">
                  <c:v>84737</c:v>
                </c:pt>
                <c:pt idx="79">
                  <c:v>0</c:v>
                </c:pt>
                <c:pt idx="80">
                  <c:v>76018</c:v>
                </c:pt>
                <c:pt idx="81">
                  <c:v>0</c:v>
                </c:pt>
                <c:pt idx="82">
                  <c:v>0</c:v>
                </c:pt>
                <c:pt idx="83">
                  <c:v>68867</c:v>
                </c:pt>
                <c:pt idx="84">
                  <c:v>0</c:v>
                </c:pt>
                <c:pt idx="85">
                  <c:v>0</c:v>
                </c:pt>
                <c:pt idx="86">
                  <c:v>65874</c:v>
                </c:pt>
                <c:pt idx="87">
                  <c:v>0</c:v>
                </c:pt>
                <c:pt idx="88">
                  <c:v>57450</c:v>
                </c:pt>
                <c:pt idx="89">
                  <c:v>0</c:v>
                </c:pt>
                <c:pt idx="90">
                  <c:v>0</c:v>
                </c:pt>
                <c:pt idx="91">
                  <c:v>51201</c:v>
                </c:pt>
                <c:pt idx="92">
                  <c:v>0</c:v>
                </c:pt>
                <c:pt idx="93">
                  <c:v>49716</c:v>
                </c:pt>
                <c:pt idx="94">
                  <c:v>0</c:v>
                </c:pt>
                <c:pt idx="95">
                  <c:v>0</c:v>
                </c:pt>
                <c:pt idx="96">
                  <c:v>44989</c:v>
                </c:pt>
                <c:pt idx="97">
                  <c:v>0</c:v>
                </c:pt>
                <c:pt idx="98">
                  <c:v>42736</c:v>
                </c:pt>
                <c:pt idx="99">
                  <c:v>0</c:v>
                </c:pt>
                <c:pt idx="100">
                  <c:v>0</c:v>
                </c:pt>
                <c:pt idx="101">
                  <c:v>34851</c:v>
                </c:pt>
                <c:pt idx="102">
                  <c:v>0</c:v>
                </c:pt>
                <c:pt idx="103">
                  <c:v>0</c:v>
                </c:pt>
                <c:pt idx="104">
                  <c:v>32162</c:v>
                </c:pt>
                <c:pt idx="105">
                  <c:v>0</c:v>
                </c:pt>
                <c:pt idx="106">
                  <c:v>28426</c:v>
                </c:pt>
                <c:pt idx="107">
                  <c:v>0</c:v>
                </c:pt>
                <c:pt idx="108">
                  <c:v>0</c:v>
                </c:pt>
                <c:pt idx="109">
                  <c:v>28210</c:v>
                </c:pt>
                <c:pt idx="110">
                  <c:v>0</c:v>
                </c:pt>
                <c:pt idx="111">
                  <c:v>24559</c:v>
                </c:pt>
                <c:pt idx="112">
                  <c:v>0</c:v>
                </c:pt>
                <c:pt idx="113">
                  <c:v>0</c:v>
                </c:pt>
                <c:pt idx="114">
                  <c:v>17331</c:v>
                </c:pt>
                <c:pt idx="115">
                  <c:v>0</c:v>
                </c:pt>
                <c:pt idx="116">
                  <c:v>14621</c:v>
                </c:pt>
                <c:pt idx="117">
                  <c:v>0</c:v>
                </c:pt>
                <c:pt idx="118">
                  <c:v>0</c:v>
                </c:pt>
                <c:pt idx="119">
                  <c:v>9357</c:v>
                </c:pt>
                <c:pt idx="120">
                  <c:v>0</c:v>
                </c:pt>
                <c:pt idx="121">
                  <c:v>0</c:v>
                </c:pt>
                <c:pt idx="122">
                  <c:v>7881</c:v>
                </c:pt>
                <c:pt idx="123">
                  <c:v>0</c:v>
                </c:pt>
                <c:pt idx="124">
                  <c:v>6694</c:v>
                </c:pt>
                <c:pt idx="125">
                  <c:v>0</c:v>
                </c:pt>
                <c:pt idx="126">
                  <c:v>0</c:v>
                </c:pt>
                <c:pt idx="127">
                  <c:v>5033</c:v>
                </c:pt>
                <c:pt idx="128">
                  <c:v>0</c:v>
                </c:pt>
                <c:pt idx="129">
                  <c:v>3851</c:v>
                </c:pt>
                <c:pt idx="130">
                  <c:v>0</c:v>
                </c:pt>
                <c:pt idx="131">
                  <c:v>0</c:v>
                </c:pt>
                <c:pt idx="132">
                  <c:v>2336</c:v>
                </c:pt>
                <c:pt idx="133">
                  <c:v>0</c:v>
                </c:pt>
                <c:pt idx="134">
                  <c:v>1607</c:v>
                </c:pt>
                <c:pt idx="135">
                  <c:v>0</c:v>
                </c:pt>
                <c:pt idx="136">
                  <c:v>0</c:v>
                </c:pt>
                <c:pt idx="137">
                  <c:v>507</c:v>
                </c:pt>
                <c:pt idx="138">
                  <c:v>0</c:v>
                </c:pt>
                <c:pt idx="139">
                  <c:v>0</c:v>
                </c:pt>
                <c:pt idx="140">
                  <c:v>371</c:v>
                </c:pt>
                <c:pt idx="141">
                  <c:v>0</c:v>
                </c:pt>
                <c:pt idx="142">
                  <c:v>487</c:v>
                </c:pt>
                <c:pt idx="143">
                  <c:v>0</c:v>
                </c:pt>
                <c:pt idx="144">
                  <c:v>0</c:v>
                </c:pt>
                <c:pt idx="145">
                  <c:v>273</c:v>
                </c:pt>
                <c:pt idx="146">
                  <c:v>0</c:v>
                </c:pt>
                <c:pt idx="147">
                  <c:v>437</c:v>
                </c:pt>
                <c:pt idx="148">
                  <c:v>0</c:v>
                </c:pt>
                <c:pt idx="149">
                  <c:v>0</c:v>
                </c:pt>
                <c:pt idx="150">
                  <c:v>129</c:v>
                </c:pt>
                <c:pt idx="151">
                  <c:v>0</c:v>
                </c:pt>
                <c:pt idx="152">
                  <c:v>81</c:v>
                </c:pt>
                <c:pt idx="153">
                  <c:v>0</c:v>
                </c:pt>
                <c:pt idx="154">
                  <c:v>0</c:v>
                </c:pt>
                <c:pt idx="155">
                  <c:v>76</c:v>
                </c:pt>
                <c:pt idx="156">
                  <c:v>0</c:v>
                </c:pt>
                <c:pt idx="157">
                  <c:v>0</c:v>
                </c:pt>
                <c:pt idx="158">
                  <c:v>36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1.6645399999999999</c:v>
                </c:pt>
                <c:pt idx="1">
                  <c:v>1.7134099999999999</c:v>
                </c:pt>
                <c:pt idx="2">
                  <c:v>1.7618100000000001</c:v>
                </c:pt>
                <c:pt idx="3">
                  <c:v>1.8108599999999999</c:v>
                </c:pt>
                <c:pt idx="4">
                  <c:v>1.8590200000000001</c:v>
                </c:pt>
                <c:pt idx="5">
                  <c:v>1.9039700000000002</c:v>
                </c:pt>
                <c:pt idx="6">
                  <c:v>1.9490099999999999</c:v>
                </c:pt>
                <c:pt idx="7">
                  <c:v>1.9963</c:v>
                </c:pt>
                <c:pt idx="8">
                  <c:v>2.0440499999999999</c:v>
                </c:pt>
                <c:pt idx="9">
                  <c:v>2.0892599999999999</c:v>
                </c:pt>
                <c:pt idx="10">
                  <c:v>2.1337700000000002</c:v>
                </c:pt>
                <c:pt idx="11">
                  <c:v>2.17787</c:v>
                </c:pt>
                <c:pt idx="12">
                  <c:v>2.2209699999999999</c:v>
                </c:pt>
                <c:pt idx="13">
                  <c:v>2.2643499999999999</c:v>
                </c:pt>
                <c:pt idx="14">
                  <c:v>2.3065099999999998</c:v>
                </c:pt>
                <c:pt idx="15">
                  <c:v>2.3498800000000002</c:v>
                </c:pt>
                <c:pt idx="16">
                  <c:v>2.39384</c:v>
                </c:pt>
                <c:pt idx="17">
                  <c:v>2.43669</c:v>
                </c:pt>
                <c:pt idx="18">
                  <c:v>2.48495</c:v>
                </c:pt>
                <c:pt idx="19">
                  <c:v>2.5313600000000003</c:v>
                </c:pt>
                <c:pt idx="20">
                  <c:v>2.5708599999999997</c:v>
                </c:pt>
                <c:pt idx="21">
                  <c:v>2.6040600000000005</c:v>
                </c:pt>
                <c:pt idx="22">
                  <c:v>2.6316299999999999</c:v>
                </c:pt>
                <c:pt idx="23">
                  <c:v>2.65368</c:v>
                </c:pt>
                <c:pt idx="24">
                  <c:v>2.67136</c:v>
                </c:pt>
                <c:pt idx="25">
                  <c:v>2.6825199999999998</c:v>
                </c:pt>
                <c:pt idx="26">
                  <c:v>2.6898899999999997</c:v>
                </c:pt>
                <c:pt idx="27">
                  <c:v>2.6947999999999999</c:v>
                </c:pt>
                <c:pt idx="28">
                  <c:v>2.6961300000000001</c:v>
                </c:pt>
                <c:pt idx="29">
                  <c:v>2.6902300000000001</c:v>
                </c:pt>
                <c:pt idx="30">
                  <c:v>2.6812799999999997</c:v>
                </c:pt>
                <c:pt idx="31">
                  <c:v>2.6703399999999999</c:v>
                </c:pt>
                <c:pt idx="32">
                  <c:v>2.6562400000000004</c:v>
                </c:pt>
                <c:pt idx="33">
                  <c:v>2.6407599999999998</c:v>
                </c:pt>
                <c:pt idx="34">
                  <c:v>2.6239299999999997</c:v>
                </c:pt>
                <c:pt idx="35">
                  <c:v>2.6068200000000004</c:v>
                </c:pt>
                <c:pt idx="36">
                  <c:v>2.5887100000000003</c:v>
                </c:pt>
                <c:pt idx="37">
                  <c:v>2.5667099999999996</c:v>
                </c:pt>
                <c:pt idx="38">
                  <c:v>2.5432700000000001</c:v>
                </c:pt>
                <c:pt idx="39">
                  <c:v>2.5179099999999996</c:v>
                </c:pt>
                <c:pt idx="40">
                  <c:v>2.4919500000000001</c:v>
                </c:pt>
                <c:pt idx="41">
                  <c:v>2.4641799999999998</c:v>
                </c:pt>
                <c:pt idx="42">
                  <c:v>2.4369299999999998</c:v>
                </c:pt>
                <c:pt idx="43">
                  <c:v>2.4047399999999999</c:v>
                </c:pt>
                <c:pt idx="44">
                  <c:v>2.37107</c:v>
                </c:pt>
                <c:pt idx="45">
                  <c:v>2.3428100000000001</c:v>
                </c:pt>
                <c:pt idx="46">
                  <c:v>2.31691</c:v>
                </c:pt>
                <c:pt idx="47">
                  <c:v>2.2898199999999997</c:v>
                </c:pt>
                <c:pt idx="48">
                  <c:v>2.26396</c:v>
                </c:pt>
                <c:pt idx="49">
                  <c:v>2.2407499999999998</c:v>
                </c:pt>
                <c:pt idx="50">
                  <c:v>2.2215400000000001</c:v>
                </c:pt>
                <c:pt idx="51">
                  <c:v>2.2054199999999997</c:v>
                </c:pt>
                <c:pt idx="52">
                  <c:v>2.1899099999999998</c:v>
                </c:pt>
                <c:pt idx="53">
                  <c:v>2.1746400000000001</c:v>
                </c:pt>
                <c:pt idx="54">
                  <c:v>2.1647699999999999</c:v>
                </c:pt>
                <c:pt idx="55">
                  <c:v>2.1596799999999998</c:v>
                </c:pt>
                <c:pt idx="56">
                  <c:v>2.1539600000000001</c:v>
                </c:pt>
                <c:pt idx="57">
                  <c:v>2.1465399999999999</c:v>
                </c:pt>
                <c:pt idx="58">
                  <c:v>2.1410800000000001</c:v>
                </c:pt>
                <c:pt idx="59">
                  <c:v>2.1371500000000001</c:v>
                </c:pt>
                <c:pt idx="60">
                  <c:v>2.1317400000000002</c:v>
                </c:pt>
                <c:pt idx="61">
                  <c:v>2.12703</c:v>
                </c:pt>
                <c:pt idx="62">
                  <c:v>2.1281099999999999</c:v>
                </c:pt>
                <c:pt idx="63">
                  <c:v>2.1293500000000001</c:v>
                </c:pt>
                <c:pt idx="64">
                  <c:v>2.1324199999999998</c:v>
                </c:pt>
                <c:pt idx="65">
                  <c:v>2.1348099999999999</c:v>
                </c:pt>
                <c:pt idx="66">
                  <c:v>2.1369899999999999</c:v>
                </c:pt>
                <c:pt idx="67">
                  <c:v>2.1394500000000001</c:v>
                </c:pt>
                <c:pt idx="68">
                  <c:v>2.1398900000000003</c:v>
                </c:pt>
                <c:pt idx="69">
                  <c:v>2.1365600000000002</c:v>
                </c:pt>
                <c:pt idx="70">
                  <c:v>2.1310599999999997</c:v>
                </c:pt>
                <c:pt idx="71">
                  <c:v>2.1278800000000002</c:v>
                </c:pt>
                <c:pt idx="72">
                  <c:v>2.12669</c:v>
                </c:pt>
                <c:pt idx="73">
                  <c:v>2.1267900000000002</c:v>
                </c:pt>
                <c:pt idx="74">
                  <c:v>2.12988</c:v>
                </c:pt>
                <c:pt idx="75">
                  <c:v>2.13293</c:v>
                </c:pt>
                <c:pt idx="76">
                  <c:v>2.1351800000000001</c:v>
                </c:pt>
                <c:pt idx="77">
                  <c:v>2.13734</c:v>
                </c:pt>
                <c:pt idx="78">
                  <c:v>2.14154</c:v>
                </c:pt>
                <c:pt idx="79">
                  <c:v>2.14527</c:v>
                </c:pt>
                <c:pt idx="80">
                  <c:v>2.1476000000000002</c:v>
                </c:pt>
                <c:pt idx="81">
                  <c:v>2.1532200000000001</c:v>
                </c:pt>
                <c:pt idx="82">
                  <c:v>2.1615000000000002</c:v>
                </c:pt>
                <c:pt idx="83">
                  <c:v>2.16852</c:v>
                </c:pt>
                <c:pt idx="84">
                  <c:v>2.1764800000000002</c:v>
                </c:pt>
                <c:pt idx="85">
                  <c:v>2.1862300000000001</c:v>
                </c:pt>
                <c:pt idx="86">
                  <c:v>2.1963300000000001</c:v>
                </c:pt>
                <c:pt idx="87">
                  <c:v>2.2049400000000001</c:v>
                </c:pt>
                <c:pt idx="88">
                  <c:v>2.2181100000000002</c:v>
                </c:pt>
                <c:pt idx="89">
                  <c:v>2.2338900000000002</c:v>
                </c:pt>
                <c:pt idx="90">
                  <c:v>2.2508699999999999</c:v>
                </c:pt>
                <c:pt idx="91">
                  <c:v>2.27291</c:v>
                </c:pt>
                <c:pt idx="92">
                  <c:v>2.2957800000000002</c:v>
                </c:pt>
                <c:pt idx="93">
                  <c:v>2.3198300000000001</c:v>
                </c:pt>
                <c:pt idx="94">
                  <c:v>2.3447399999999998</c:v>
                </c:pt>
                <c:pt idx="95">
                  <c:v>2.3668300000000002</c:v>
                </c:pt>
                <c:pt idx="96">
                  <c:v>2.3867099999999999</c:v>
                </c:pt>
                <c:pt idx="97">
                  <c:v>2.4031700000000003</c:v>
                </c:pt>
                <c:pt idx="98">
                  <c:v>2.4159700000000002</c:v>
                </c:pt>
                <c:pt idx="99">
                  <c:v>2.4234499999999999</c:v>
                </c:pt>
                <c:pt idx="100">
                  <c:v>2.4290799999999999</c:v>
                </c:pt>
                <c:pt idx="101">
                  <c:v>2.4331900000000002</c:v>
                </c:pt>
                <c:pt idx="102">
                  <c:v>2.4372099999999999</c:v>
                </c:pt>
                <c:pt idx="103">
                  <c:v>2.4409700000000001</c:v>
                </c:pt>
                <c:pt idx="104">
                  <c:v>2.4438599999999999</c:v>
                </c:pt>
                <c:pt idx="105">
                  <c:v>2.4426700000000001</c:v>
                </c:pt>
                <c:pt idx="106">
                  <c:v>2.4374100000000003</c:v>
                </c:pt>
                <c:pt idx="107">
                  <c:v>2.4301900000000001</c:v>
                </c:pt>
                <c:pt idx="108">
                  <c:v>2.4226299999999998</c:v>
                </c:pt>
                <c:pt idx="109">
                  <c:v>2.4135300000000002</c:v>
                </c:pt>
                <c:pt idx="110">
                  <c:v>2.40307</c:v>
                </c:pt>
                <c:pt idx="111">
                  <c:v>2.3890000000000002</c:v>
                </c:pt>
                <c:pt idx="112">
                  <c:v>2.3740600000000001</c:v>
                </c:pt>
                <c:pt idx="113">
                  <c:v>2.3551099999999998</c:v>
                </c:pt>
                <c:pt idx="114">
                  <c:v>2.3319200000000002</c:v>
                </c:pt>
                <c:pt idx="115">
                  <c:v>2.30497</c:v>
                </c:pt>
                <c:pt idx="116">
                  <c:v>2.27027</c:v>
                </c:pt>
                <c:pt idx="117">
                  <c:v>2.23095</c:v>
                </c:pt>
                <c:pt idx="118">
                  <c:v>2.1901899999999999</c:v>
                </c:pt>
                <c:pt idx="119">
                  <c:v>2.1495100000000003</c:v>
                </c:pt>
                <c:pt idx="120">
                  <c:v>2.1074699999999997</c:v>
                </c:pt>
                <c:pt idx="121">
                  <c:v>2.0636299999999999</c:v>
                </c:pt>
                <c:pt idx="122">
                  <c:v>2.0239699999999998</c:v>
                </c:pt>
                <c:pt idx="123">
                  <c:v>1.98617</c:v>
                </c:pt>
                <c:pt idx="124">
                  <c:v>1.9652500000000002</c:v>
                </c:pt>
                <c:pt idx="125">
                  <c:v>1.9450000000000001</c:v>
                </c:pt>
                <c:pt idx="126">
                  <c:v>1.9251199999999999</c:v>
                </c:pt>
                <c:pt idx="127">
                  <c:v>1.90408</c:v>
                </c:pt>
                <c:pt idx="128">
                  <c:v>1.8809</c:v>
                </c:pt>
                <c:pt idx="129">
                  <c:v>1.8573</c:v>
                </c:pt>
                <c:pt idx="130">
                  <c:v>1.8373999999999999</c:v>
                </c:pt>
                <c:pt idx="131">
                  <c:v>1.8201000000000001</c:v>
                </c:pt>
                <c:pt idx="132">
                  <c:v>1.8034300000000001</c:v>
                </c:pt>
                <c:pt idx="133">
                  <c:v>1.7863599999999999</c:v>
                </c:pt>
                <c:pt idx="134">
                  <c:v>1.76708</c:v>
                </c:pt>
                <c:pt idx="135">
                  <c:v>1.7468400000000002</c:v>
                </c:pt>
                <c:pt idx="136">
                  <c:v>1.7317899999999999</c:v>
                </c:pt>
                <c:pt idx="137">
                  <c:v>1.7150599999999998</c:v>
                </c:pt>
                <c:pt idx="138">
                  <c:v>1.6933200000000002</c:v>
                </c:pt>
                <c:pt idx="139">
                  <c:v>1.6727400000000001</c:v>
                </c:pt>
                <c:pt idx="140">
                  <c:v>1.6505000000000001</c:v>
                </c:pt>
                <c:pt idx="141">
                  <c:v>1.6351599999999999</c:v>
                </c:pt>
                <c:pt idx="142">
                  <c:v>1.621</c:v>
                </c:pt>
                <c:pt idx="143">
                  <c:v>1.6028899999999999</c:v>
                </c:pt>
                <c:pt idx="144">
                  <c:v>1.5787499999999999</c:v>
                </c:pt>
                <c:pt idx="145">
                  <c:v>1.5693999999999999</c:v>
                </c:pt>
                <c:pt idx="146">
                  <c:v>1.5626100000000001</c:v>
                </c:pt>
                <c:pt idx="147">
                  <c:v>1.54304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57.584199999999996</c:v>
                </c:pt>
                <c:pt idx="1">
                  <c:v>56.755100000000006</c:v>
                </c:pt>
                <c:pt idx="2">
                  <c:v>55.909799999999997</c:v>
                </c:pt>
                <c:pt idx="3">
                  <c:v>54.982500000000002</c:v>
                </c:pt>
                <c:pt idx="4">
                  <c:v>54.063000000000002</c:v>
                </c:pt>
                <c:pt idx="5">
                  <c:v>53.061499999999995</c:v>
                </c:pt>
                <c:pt idx="6">
                  <c:v>52.022199999999998</c:v>
                </c:pt>
                <c:pt idx="7">
                  <c:v>50.764200000000002</c:v>
                </c:pt>
                <c:pt idx="8">
                  <c:v>49.5289</c:v>
                </c:pt>
                <c:pt idx="9">
                  <c:v>48.428800000000003</c:v>
                </c:pt>
                <c:pt idx="10">
                  <c:v>47.397399999999998</c:v>
                </c:pt>
                <c:pt idx="11">
                  <c:v>46.371200000000002</c:v>
                </c:pt>
                <c:pt idx="12">
                  <c:v>45.305700000000002</c:v>
                </c:pt>
                <c:pt idx="13">
                  <c:v>44.260599999999997</c:v>
                </c:pt>
                <c:pt idx="14">
                  <c:v>43.258099999999999</c:v>
                </c:pt>
                <c:pt idx="15">
                  <c:v>42.177100000000003</c:v>
                </c:pt>
                <c:pt idx="16">
                  <c:v>41.075299999999999</c:v>
                </c:pt>
                <c:pt idx="17">
                  <c:v>39.956099999999999</c:v>
                </c:pt>
                <c:pt idx="18">
                  <c:v>38.996199999999995</c:v>
                </c:pt>
                <c:pt idx="19">
                  <c:v>38.209800000000001</c:v>
                </c:pt>
                <c:pt idx="20">
                  <c:v>37.661299999999997</c:v>
                </c:pt>
                <c:pt idx="21">
                  <c:v>37.308700000000002</c:v>
                </c:pt>
                <c:pt idx="22">
                  <c:v>37.075399999999995</c:v>
                </c:pt>
                <c:pt idx="23">
                  <c:v>36.9343</c:v>
                </c:pt>
                <c:pt idx="24">
                  <c:v>36.8626</c:v>
                </c:pt>
                <c:pt idx="25">
                  <c:v>36.9024</c:v>
                </c:pt>
                <c:pt idx="26">
                  <c:v>36.994399999999999</c:v>
                </c:pt>
                <c:pt idx="27">
                  <c:v>37.123699999999999</c:v>
                </c:pt>
                <c:pt idx="28">
                  <c:v>37.2776</c:v>
                </c:pt>
                <c:pt idx="29">
                  <c:v>37.454300000000003</c:v>
                </c:pt>
                <c:pt idx="30">
                  <c:v>37.604199999999999</c:v>
                </c:pt>
                <c:pt idx="31">
                  <c:v>37.799199999999999</c:v>
                </c:pt>
                <c:pt idx="32">
                  <c:v>38.055599999999998</c:v>
                </c:pt>
                <c:pt idx="33">
                  <c:v>38.340699999999998</c:v>
                </c:pt>
                <c:pt idx="34">
                  <c:v>38.615600000000001</c:v>
                </c:pt>
                <c:pt idx="35">
                  <c:v>38.923499999999997</c:v>
                </c:pt>
                <c:pt idx="36">
                  <c:v>39.289299999999997</c:v>
                </c:pt>
                <c:pt idx="37">
                  <c:v>39.694299999999998</c:v>
                </c:pt>
                <c:pt idx="38">
                  <c:v>40.1417</c:v>
                </c:pt>
                <c:pt idx="39">
                  <c:v>40.611399999999996</c:v>
                </c:pt>
                <c:pt idx="40">
                  <c:v>41.216200000000001</c:v>
                </c:pt>
                <c:pt idx="41">
                  <c:v>41.906599999999997</c:v>
                </c:pt>
                <c:pt idx="42">
                  <c:v>42.691499999999998</c:v>
                </c:pt>
                <c:pt idx="43">
                  <c:v>43.5242</c:v>
                </c:pt>
                <c:pt idx="44">
                  <c:v>44.407899999999998</c:v>
                </c:pt>
                <c:pt idx="45">
                  <c:v>45.201599999999999</c:v>
                </c:pt>
                <c:pt idx="46">
                  <c:v>45.902100000000004</c:v>
                </c:pt>
                <c:pt idx="47">
                  <c:v>46.562899999999999</c:v>
                </c:pt>
                <c:pt idx="48">
                  <c:v>47.1783</c:v>
                </c:pt>
                <c:pt idx="49">
                  <c:v>47.771500000000003</c:v>
                </c:pt>
                <c:pt idx="50">
                  <c:v>48.213899999999995</c:v>
                </c:pt>
                <c:pt idx="51">
                  <c:v>48.572700000000005</c:v>
                </c:pt>
                <c:pt idx="52">
                  <c:v>48.884999999999998</c:v>
                </c:pt>
                <c:pt idx="53">
                  <c:v>49.179299999999998</c:v>
                </c:pt>
                <c:pt idx="54">
                  <c:v>49.347900000000003</c:v>
                </c:pt>
                <c:pt idx="55">
                  <c:v>49.474000000000004</c:v>
                </c:pt>
                <c:pt idx="56">
                  <c:v>49.5871</c:v>
                </c:pt>
                <c:pt idx="57">
                  <c:v>49.682200000000002</c:v>
                </c:pt>
                <c:pt idx="58">
                  <c:v>49.7517</c:v>
                </c:pt>
                <c:pt idx="59">
                  <c:v>49.808999999999997</c:v>
                </c:pt>
                <c:pt idx="60">
                  <c:v>49.8795</c:v>
                </c:pt>
                <c:pt idx="61">
                  <c:v>49.935099999999998</c:v>
                </c:pt>
                <c:pt idx="62">
                  <c:v>49.885300000000001</c:v>
                </c:pt>
                <c:pt idx="63">
                  <c:v>49.843600000000002</c:v>
                </c:pt>
                <c:pt idx="64">
                  <c:v>49.761099999999999</c:v>
                </c:pt>
                <c:pt idx="65">
                  <c:v>49.668800000000005</c:v>
                </c:pt>
                <c:pt idx="66">
                  <c:v>49.6021</c:v>
                </c:pt>
                <c:pt idx="67">
                  <c:v>49.514800000000001</c:v>
                </c:pt>
                <c:pt idx="68">
                  <c:v>49.477900000000005</c:v>
                </c:pt>
                <c:pt idx="69">
                  <c:v>49.522300000000001</c:v>
                </c:pt>
                <c:pt idx="70">
                  <c:v>49.629100000000001</c:v>
                </c:pt>
                <c:pt idx="71">
                  <c:v>49.717199999999998</c:v>
                </c:pt>
                <c:pt idx="72">
                  <c:v>49.823900000000002</c:v>
                </c:pt>
                <c:pt idx="73">
                  <c:v>49.913499999999999</c:v>
                </c:pt>
                <c:pt idx="74">
                  <c:v>49.911799999999999</c:v>
                </c:pt>
                <c:pt idx="75">
                  <c:v>49.893000000000001</c:v>
                </c:pt>
                <c:pt idx="76">
                  <c:v>49.926600000000001</c:v>
                </c:pt>
                <c:pt idx="77">
                  <c:v>49.967199999999998</c:v>
                </c:pt>
                <c:pt idx="78">
                  <c:v>49.953800000000001</c:v>
                </c:pt>
                <c:pt idx="79">
                  <c:v>49.936199999999999</c:v>
                </c:pt>
                <c:pt idx="80">
                  <c:v>49.915700000000001</c:v>
                </c:pt>
                <c:pt idx="81">
                  <c:v>49.813200000000002</c:v>
                </c:pt>
                <c:pt idx="82">
                  <c:v>49.702800000000003</c:v>
                </c:pt>
                <c:pt idx="83">
                  <c:v>49.626399999999997</c:v>
                </c:pt>
                <c:pt idx="84">
                  <c:v>49.508099999999999</c:v>
                </c:pt>
                <c:pt idx="85">
                  <c:v>49.418700000000001</c:v>
                </c:pt>
                <c:pt idx="86">
                  <c:v>49.3003</c:v>
                </c:pt>
                <c:pt idx="87">
                  <c:v>49.177799999999998</c:v>
                </c:pt>
                <c:pt idx="88">
                  <c:v>48.914900000000003</c:v>
                </c:pt>
                <c:pt idx="89">
                  <c:v>48.588700000000003</c:v>
                </c:pt>
                <c:pt idx="90">
                  <c:v>48.198999999999998</c:v>
                </c:pt>
                <c:pt idx="91">
                  <c:v>47.649700000000003</c:v>
                </c:pt>
                <c:pt idx="92">
                  <c:v>47.044799999999995</c:v>
                </c:pt>
                <c:pt idx="93">
                  <c:v>46.441300000000005</c:v>
                </c:pt>
                <c:pt idx="94">
                  <c:v>45.878</c:v>
                </c:pt>
                <c:pt idx="95">
                  <c:v>45.443300000000001</c:v>
                </c:pt>
                <c:pt idx="96">
                  <c:v>45.021999999999998</c:v>
                </c:pt>
                <c:pt idx="97">
                  <c:v>44.693199999999997</c:v>
                </c:pt>
                <c:pt idx="98">
                  <c:v>44.415500000000002</c:v>
                </c:pt>
                <c:pt idx="99">
                  <c:v>44.185000000000002</c:v>
                </c:pt>
                <c:pt idx="100">
                  <c:v>44.017499999999998</c:v>
                </c:pt>
                <c:pt idx="101">
                  <c:v>43.856299999999997</c:v>
                </c:pt>
                <c:pt idx="102">
                  <c:v>43.708599999999997</c:v>
                </c:pt>
                <c:pt idx="103">
                  <c:v>43.568899999999999</c:v>
                </c:pt>
                <c:pt idx="104">
                  <c:v>43.4527</c:v>
                </c:pt>
                <c:pt idx="105">
                  <c:v>43.382199999999997</c:v>
                </c:pt>
                <c:pt idx="106">
                  <c:v>43.341000000000001</c:v>
                </c:pt>
                <c:pt idx="107">
                  <c:v>43.3048</c:v>
                </c:pt>
                <c:pt idx="108">
                  <c:v>43.2515</c:v>
                </c:pt>
                <c:pt idx="109">
                  <c:v>43.229700000000001</c:v>
                </c:pt>
                <c:pt idx="110">
                  <c:v>43.156399999999998</c:v>
                </c:pt>
                <c:pt idx="111">
                  <c:v>43.053100000000001</c:v>
                </c:pt>
                <c:pt idx="112">
                  <c:v>42.964700000000001</c:v>
                </c:pt>
                <c:pt idx="113">
                  <c:v>42.967300000000002</c:v>
                </c:pt>
                <c:pt idx="114">
                  <c:v>43.0595</c:v>
                </c:pt>
                <c:pt idx="115">
                  <c:v>43.282399999999996</c:v>
                </c:pt>
                <c:pt idx="116">
                  <c:v>43.663200000000003</c:v>
                </c:pt>
                <c:pt idx="117">
                  <c:v>44.214700000000001</c:v>
                </c:pt>
                <c:pt idx="118">
                  <c:v>44.872</c:v>
                </c:pt>
                <c:pt idx="119">
                  <c:v>45.580399999999997</c:v>
                </c:pt>
                <c:pt idx="120">
                  <c:v>46.241599999999998</c:v>
                </c:pt>
                <c:pt idx="121">
                  <c:v>47.043700000000001</c:v>
                </c:pt>
                <c:pt idx="122">
                  <c:v>47.761399999999995</c:v>
                </c:pt>
                <c:pt idx="123">
                  <c:v>48.4482</c:v>
                </c:pt>
                <c:pt idx="124">
                  <c:v>48.988199999999999</c:v>
                </c:pt>
                <c:pt idx="125">
                  <c:v>49.464700000000001</c:v>
                </c:pt>
                <c:pt idx="126">
                  <c:v>49.884399999999999</c:v>
                </c:pt>
                <c:pt idx="127">
                  <c:v>50.322199999999995</c:v>
                </c:pt>
                <c:pt idx="128">
                  <c:v>50.846100000000007</c:v>
                </c:pt>
                <c:pt idx="129">
                  <c:v>51.365200000000002</c:v>
                </c:pt>
                <c:pt idx="130">
                  <c:v>51.703600000000009</c:v>
                </c:pt>
                <c:pt idx="131">
                  <c:v>51.951000000000001</c:v>
                </c:pt>
                <c:pt idx="132">
                  <c:v>52.137299999999996</c:v>
                </c:pt>
                <c:pt idx="133">
                  <c:v>52.3401</c:v>
                </c:pt>
                <c:pt idx="134">
                  <c:v>52.581000000000003</c:v>
                </c:pt>
                <c:pt idx="135">
                  <c:v>52.841800000000006</c:v>
                </c:pt>
                <c:pt idx="136">
                  <c:v>53.0486</c:v>
                </c:pt>
                <c:pt idx="137">
                  <c:v>53.311900000000001</c:v>
                </c:pt>
                <c:pt idx="138">
                  <c:v>53.705800000000004</c:v>
                </c:pt>
                <c:pt idx="139">
                  <c:v>54.015899999999995</c:v>
                </c:pt>
                <c:pt idx="140">
                  <c:v>54.271499999999996</c:v>
                </c:pt>
                <c:pt idx="141">
                  <c:v>54.496699999999997</c:v>
                </c:pt>
                <c:pt idx="142">
                  <c:v>54.760100000000001</c:v>
                </c:pt>
                <c:pt idx="143">
                  <c:v>55.14</c:v>
                </c:pt>
                <c:pt idx="144">
                  <c:v>55.837000000000003</c:v>
                </c:pt>
                <c:pt idx="145">
                  <c:v>56.315000000000005</c:v>
                </c:pt>
                <c:pt idx="146">
                  <c:v>56.635999999999996</c:v>
                </c:pt>
                <c:pt idx="147">
                  <c:v>57.177199999999992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1.6645399999999999</c:v>
                </c:pt>
                <c:pt idx="1">
                  <c:v>1.7134099999999999</c:v>
                </c:pt>
                <c:pt idx="2">
                  <c:v>1.7618100000000001</c:v>
                </c:pt>
                <c:pt idx="3">
                  <c:v>1.8108599999999999</c:v>
                </c:pt>
                <c:pt idx="4">
                  <c:v>1.8590200000000001</c:v>
                </c:pt>
                <c:pt idx="5">
                  <c:v>1.9039700000000002</c:v>
                </c:pt>
                <c:pt idx="6">
                  <c:v>1.9490099999999999</c:v>
                </c:pt>
                <c:pt idx="7">
                  <c:v>1.9963</c:v>
                </c:pt>
                <c:pt idx="8">
                  <c:v>2.0440499999999999</c:v>
                </c:pt>
                <c:pt idx="9">
                  <c:v>2.0892599999999999</c:v>
                </c:pt>
                <c:pt idx="10">
                  <c:v>2.1337700000000002</c:v>
                </c:pt>
                <c:pt idx="11">
                  <c:v>2.17787</c:v>
                </c:pt>
                <c:pt idx="12">
                  <c:v>2.2209699999999999</c:v>
                </c:pt>
                <c:pt idx="13">
                  <c:v>2.2643499999999999</c:v>
                </c:pt>
                <c:pt idx="14">
                  <c:v>2.3065099999999998</c:v>
                </c:pt>
                <c:pt idx="15">
                  <c:v>2.3498800000000002</c:v>
                </c:pt>
                <c:pt idx="16">
                  <c:v>2.39384</c:v>
                </c:pt>
                <c:pt idx="17">
                  <c:v>2.43669</c:v>
                </c:pt>
                <c:pt idx="18">
                  <c:v>2.48495</c:v>
                </c:pt>
                <c:pt idx="19">
                  <c:v>2.5313600000000003</c:v>
                </c:pt>
                <c:pt idx="20">
                  <c:v>2.5708599999999997</c:v>
                </c:pt>
                <c:pt idx="21">
                  <c:v>2.6040600000000005</c:v>
                </c:pt>
                <c:pt idx="22">
                  <c:v>2.6316299999999999</c:v>
                </c:pt>
                <c:pt idx="23">
                  <c:v>2.65368</c:v>
                </c:pt>
                <c:pt idx="24">
                  <c:v>2.67136</c:v>
                </c:pt>
                <c:pt idx="25">
                  <c:v>2.6825199999999998</c:v>
                </c:pt>
                <c:pt idx="26">
                  <c:v>2.6898899999999997</c:v>
                </c:pt>
                <c:pt idx="27">
                  <c:v>2.6947999999999999</c:v>
                </c:pt>
                <c:pt idx="28">
                  <c:v>2.6961300000000001</c:v>
                </c:pt>
                <c:pt idx="29">
                  <c:v>2.6902300000000001</c:v>
                </c:pt>
                <c:pt idx="30">
                  <c:v>2.6812799999999997</c:v>
                </c:pt>
                <c:pt idx="31">
                  <c:v>2.6703399999999999</c:v>
                </c:pt>
                <c:pt idx="32">
                  <c:v>2.6562400000000004</c:v>
                </c:pt>
                <c:pt idx="33">
                  <c:v>2.6407599999999998</c:v>
                </c:pt>
                <c:pt idx="34">
                  <c:v>2.6239299999999997</c:v>
                </c:pt>
                <c:pt idx="35">
                  <c:v>2.6068200000000004</c:v>
                </c:pt>
                <c:pt idx="36">
                  <c:v>2.5887100000000003</c:v>
                </c:pt>
                <c:pt idx="37">
                  <c:v>2.5667099999999996</c:v>
                </c:pt>
                <c:pt idx="38">
                  <c:v>2.5432700000000001</c:v>
                </c:pt>
                <c:pt idx="39">
                  <c:v>2.5179099999999996</c:v>
                </c:pt>
                <c:pt idx="40">
                  <c:v>2.4919500000000001</c:v>
                </c:pt>
                <c:pt idx="41">
                  <c:v>2.4641799999999998</c:v>
                </c:pt>
                <c:pt idx="42">
                  <c:v>2.4369299999999998</c:v>
                </c:pt>
                <c:pt idx="43">
                  <c:v>2.4047399999999999</c:v>
                </c:pt>
                <c:pt idx="44">
                  <c:v>2.37107</c:v>
                </c:pt>
                <c:pt idx="45">
                  <c:v>2.3428100000000001</c:v>
                </c:pt>
                <c:pt idx="46">
                  <c:v>2.31691</c:v>
                </c:pt>
                <c:pt idx="47">
                  <c:v>2.2898199999999997</c:v>
                </c:pt>
                <c:pt idx="48">
                  <c:v>2.26396</c:v>
                </c:pt>
                <c:pt idx="49">
                  <c:v>2.2407499999999998</c:v>
                </c:pt>
                <c:pt idx="50">
                  <c:v>2.2215400000000001</c:v>
                </c:pt>
                <c:pt idx="51">
                  <c:v>2.2054199999999997</c:v>
                </c:pt>
                <c:pt idx="52">
                  <c:v>2.1899099999999998</c:v>
                </c:pt>
                <c:pt idx="53">
                  <c:v>2.1746400000000001</c:v>
                </c:pt>
                <c:pt idx="54">
                  <c:v>2.1647699999999999</c:v>
                </c:pt>
                <c:pt idx="55">
                  <c:v>2.1596799999999998</c:v>
                </c:pt>
                <c:pt idx="56">
                  <c:v>2.1539600000000001</c:v>
                </c:pt>
                <c:pt idx="57">
                  <c:v>2.1465399999999999</c:v>
                </c:pt>
                <c:pt idx="58">
                  <c:v>2.1410800000000001</c:v>
                </c:pt>
                <c:pt idx="59">
                  <c:v>2.1371500000000001</c:v>
                </c:pt>
                <c:pt idx="60">
                  <c:v>2.1317400000000002</c:v>
                </c:pt>
                <c:pt idx="61">
                  <c:v>2.12703</c:v>
                </c:pt>
                <c:pt idx="62">
                  <c:v>2.1281099999999999</c:v>
                </c:pt>
                <c:pt idx="63">
                  <c:v>2.1293500000000001</c:v>
                </c:pt>
                <c:pt idx="64">
                  <c:v>2.1324199999999998</c:v>
                </c:pt>
                <c:pt idx="65">
                  <c:v>2.1348099999999999</c:v>
                </c:pt>
                <c:pt idx="66">
                  <c:v>2.1369899999999999</c:v>
                </c:pt>
                <c:pt idx="67">
                  <c:v>2.1394500000000001</c:v>
                </c:pt>
                <c:pt idx="68">
                  <c:v>2.1398900000000003</c:v>
                </c:pt>
                <c:pt idx="69">
                  <c:v>2.1365600000000002</c:v>
                </c:pt>
                <c:pt idx="70">
                  <c:v>2.1310599999999997</c:v>
                </c:pt>
                <c:pt idx="71">
                  <c:v>2.1278800000000002</c:v>
                </c:pt>
                <c:pt idx="72">
                  <c:v>2.12669</c:v>
                </c:pt>
                <c:pt idx="73">
                  <c:v>2.1267900000000002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57.584199999999996</c:v>
                </c:pt>
                <c:pt idx="1">
                  <c:v>56.755100000000006</c:v>
                </c:pt>
                <c:pt idx="2">
                  <c:v>55.909799999999997</c:v>
                </c:pt>
                <c:pt idx="3">
                  <c:v>54.982500000000002</c:v>
                </c:pt>
                <c:pt idx="4">
                  <c:v>54.063000000000002</c:v>
                </c:pt>
                <c:pt idx="5">
                  <c:v>53.061499999999995</c:v>
                </c:pt>
                <c:pt idx="6">
                  <c:v>52.022199999999998</c:v>
                </c:pt>
                <c:pt idx="7">
                  <c:v>50.764200000000002</c:v>
                </c:pt>
                <c:pt idx="8">
                  <c:v>49.5289</c:v>
                </c:pt>
                <c:pt idx="9">
                  <c:v>48.428800000000003</c:v>
                </c:pt>
                <c:pt idx="10">
                  <c:v>47.397399999999998</c:v>
                </c:pt>
                <c:pt idx="11">
                  <c:v>46.371200000000002</c:v>
                </c:pt>
                <c:pt idx="12">
                  <c:v>45.305700000000002</c:v>
                </c:pt>
                <c:pt idx="13">
                  <c:v>44.260599999999997</c:v>
                </c:pt>
                <c:pt idx="14">
                  <c:v>43.258099999999999</c:v>
                </c:pt>
                <c:pt idx="15">
                  <c:v>42.177100000000003</c:v>
                </c:pt>
                <c:pt idx="16">
                  <c:v>41.075299999999999</c:v>
                </c:pt>
                <c:pt idx="17">
                  <c:v>39.956099999999999</c:v>
                </c:pt>
                <c:pt idx="18">
                  <c:v>38.996199999999995</c:v>
                </c:pt>
                <c:pt idx="19">
                  <c:v>38.209800000000001</c:v>
                </c:pt>
                <c:pt idx="20">
                  <c:v>37.661299999999997</c:v>
                </c:pt>
                <c:pt idx="21">
                  <c:v>37.308700000000002</c:v>
                </c:pt>
                <c:pt idx="22">
                  <c:v>37.075399999999995</c:v>
                </c:pt>
                <c:pt idx="23">
                  <c:v>36.9343</c:v>
                </c:pt>
                <c:pt idx="24">
                  <c:v>36.8626</c:v>
                </c:pt>
                <c:pt idx="25">
                  <c:v>36.9024</c:v>
                </c:pt>
                <c:pt idx="26">
                  <c:v>36.994399999999999</c:v>
                </c:pt>
                <c:pt idx="27">
                  <c:v>37.123699999999999</c:v>
                </c:pt>
                <c:pt idx="28">
                  <c:v>37.2776</c:v>
                </c:pt>
                <c:pt idx="29">
                  <c:v>37.454300000000003</c:v>
                </c:pt>
                <c:pt idx="30">
                  <c:v>37.604199999999999</c:v>
                </c:pt>
                <c:pt idx="31">
                  <c:v>37.799199999999999</c:v>
                </c:pt>
                <c:pt idx="32">
                  <c:v>38.055599999999998</c:v>
                </c:pt>
                <c:pt idx="33">
                  <c:v>38.340699999999998</c:v>
                </c:pt>
                <c:pt idx="34">
                  <c:v>38.615600000000001</c:v>
                </c:pt>
                <c:pt idx="35">
                  <c:v>38.923499999999997</c:v>
                </c:pt>
                <c:pt idx="36">
                  <c:v>39.289299999999997</c:v>
                </c:pt>
                <c:pt idx="37">
                  <c:v>39.694299999999998</c:v>
                </c:pt>
                <c:pt idx="38">
                  <c:v>40.1417</c:v>
                </c:pt>
                <c:pt idx="39">
                  <c:v>40.611399999999996</c:v>
                </c:pt>
                <c:pt idx="40">
                  <c:v>41.216200000000001</c:v>
                </c:pt>
                <c:pt idx="41">
                  <c:v>41.906599999999997</c:v>
                </c:pt>
                <c:pt idx="42">
                  <c:v>42.691499999999998</c:v>
                </c:pt>
                <c:pt idx="43">
                  <c:v>43.5242</c:v>
                </c:pt>
                <c:pt idx="44">
                  <c:v>44.407899999999998</c:v>
                </c:pt>
                <c:pt idx="45">
                  <c:v>45.201599999999999</c:v>
                </c:pt>
                <c:pt idx="46">
                  <c:v>45.902100000000004</c:v>
                </c:pt>
                <c:pt idx="47">
                  <c:v>46.562899999999999</c:v>
                </c:pt>
                <c:pt idx="48">
                  <c:v>47.1783</c:v>
                </c:pt>
                <c:pt idx="49">
                  <c:v>47.771500000000003</c:v>
                </c:pt>
                <c:pt idx="50">
                  <c:v>48.213899999999995</c:v>
                </c:pt>
                <c:pt idx="51">
                  <c:v>48.572700000000005</c:v>
                </c:pt>
                <c:pt idx="52">
                  <c:v>48.884999999999998</c:v>
                </c:pt>
                <c:pt idx="53">
                  <c:v>49.179299999999998</c:v>
                </c:pt>
                <c:pt idx="54">
                  <c:v>49.347900000000003</c:v>
                </c:pt>
                <c:pt idx="55">
                  <c:v>49.474000000000004</c:v>
                </c:pt>
                <c:pt idx="56">
                  <c:v>49.5871</c:v>
                </c:pt>
                <c:pt idx="57">
                  <c:v>49.682200000000002</c:v>
                </c:pt>
                <c:pt idx="58">
                  <c:v>49.7517</c:v>
                </c:pt>
                <c:pt idx="59">
                  <c:v>49.808999999999997</c:v>
                </c:pt>
                <c:pt idx="60">
                  <c:v>49.8795</c:v>
                </c:pt>
                <c:pt idx="61">
                  <c:v>49.935099999999998</c:v>
                </c:pt>
                <c:pt idx="62">
                  <c:v>49.885300000000001</c:v>
                </c:pt>
                <c:pt idx="63">
                  <c:v>49.843600000000002</c:v>
                </c:pt>
                <c:pt idx="64">
                  <c:v>49.761099999999999</c:v>
                </c:pt>
                <c:pt idx="65">
                  <c:v>49.668800000000005</c:v>
                </c:pt>
                <c:pt idx="66">
                  <c:v>49.6021</c:v>
                </c:pt>
                <c:pt idx="67">
                  <c:v>49.514800000000001</c:v>
                </c:pt>
                <c:pt idx="68">
                  <c:v>49.477900000000005</c:v>
                </c:pt>
                <c:pt idx="69">
                  <c:v>49.522300000000001</c:v>
                </c:pt>
                <c:pt idx="70">
                  <c:v>49.629100000000001</c:v>
                </c:pt>
                <c:pt idx="71">
                  <c:v>49.717199999999998</c:v>
                </c:pt>
                <c:pt idx="72">
                  <c:v>49.823900000000002</c:v>
                </c:pt>
                <c:pt idx="73">
                  <c:v>49.913499999999999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2.1267900000000002</c:v>
                </c:pt>
                <c:pt idx="1">
                  <c:v>2.12988</c:v>
                </c:pt>
                <c:pt idx="2">
                  <c:v>2.13293</c:v>
                </c:pt>
                <c:pt idx="3">
                  <c:v>2.1351800000000001</c:v>
                </c:pt>
                <c:pt idx="4">
                  <c:v>2.13734</c:v>
                </c:pt>
                <c:pt idx="5">
                  <c:v>2.14154</c:v>
                </c:pt>
                <c:pt idx="6">
                  <c:v>2.14527</c:v>
                </c:pt>
                <c:pt idx="7">
                  <c:v>2.1476000000000002</c:v>
                </c:pt>
                <c:pt idx="8">
                  <c:v>2.1532200000000001</c:v>
                </c:pt>
                <c:pt idx="9">
                  <c:v>2.1615000000000002</c:v>
                </c:pt>
                <c:pt idx="10">
                  <c:v>2.16852</c:v>
                </c:pt>
                <c:pt idx="11">
                  <c:v>2.1764800000000002</c:v>
                </c:pt>
                <c:pt idx="12">
                  <c:v>2.1862300000000001</c:v>
                </c:pt>
                <c:pt idx="13">
                  <c:v>2.1963300000000001</c:v>
                </c:pt>
                <c:pt idx="14">
                  <c:v>2.2049400000000001</c:v>
                </c:pt>
                <c:pt idx="15">
                  <c:v>2.2181100000000002</c:v>
                </c:pt>
                <c:pt idx="16">
                  <c:v>2.2338900000000002</c:v>
                </c:pt>
                <c:pt idx="17">
                  <c:v>2.2508699999999999</c:v>
                </c:pt>
                <c:pt idx="18">
                  <c:v>2.27291</c:v>
                </c:pt>
                <c:pt idx="19">
                  <c:v>2.2957800000000002</c:v>
                </c:pt>
                <c:pt idx="20">
                  <c:v>2.3198300000000001</c:v>
                </c:pt>
                <c:pt idx="21">
                  <c:v>2.3447399999999998</c:v>
                </c:pt>
                <c:pt idx="22">
                  <c:v>2.3668300000000002</c:v>
                </c:pt>
                <c:pt idx="23">
                  <c:v>2.3867099999999999</c:v>
                </c:pt>
                <c:pt idx="24">
                  <c:v>2.4031700000000003</c:v>
                </c:pt>
                <c:pt idx="25">
                  <c:v>2.4159700000000002</c:v>
                </c:pt>
                <c:pt idx="26">
                  <c:v>2.4234499999999999</c:v>
                </c:pt>
                <c:pt idx="27">
                  <c:v>2.4290799999999999</c:v>
                </c:pt>
                <c:pt idx="28">
                  <c:v>2.4331900000000002</c:v>
                </c:pt>
                <c:pt idx="29">
                  <c:v>2.4372099999999999</c:v>
                </c:pt>
                <c:pt idx="30">
                  <c:v>2.4409700000000001</c:v>
                </c:pt>
                <c:pt idx="31">
                  <c:v>2.4438599999999999</c:v>
                </c:pt>
                <c:pt idx="32">
                  <c:v>2.4426700000000001</c:v>
                </c:pt>
                <c:pt idx="33">
                  <c:v>2.4374100000000003</c:v>
                </c:pt>
                <c:pt idx="34">
                  <c:v>2.4301900000000001</c:v>
                </c:pt>
                <c:pt idx="35">
                  <c:v>2.4226299999999998</c:v>
                </c:pt>
                <c:pt idx="36">
                  <c:v>2.4135300000000002</c:v>
                </c:pt>
                <c:pt idx="37">
                  <c:v>2.40307</c:v>
                </c:pt>
                <c:pt idx="38">
                  <c:v>2.3890000000000002</c:v>
                </c:pt>
                <c:pt idx="39">
                  <c:v>2.3740600000000001</c:v>
                </c:pt>
                <c:pt idx="40">
                  <c:v>2.3551099999999998</c:v>
                </c:pt>
                <c:pt idx="41">
                  <c:v>2.3319200000000002</c:v>
                </c:pt>
                <c:pt idx="42">
                  <c:v>2.30497</c:v>
                </c:pt>
                <c:pt idx="43">
                  <c:v>2.27027</c:v>
                </c:pt>
                <c:pt idx="44">
                  <c:v>2.23095</c:v>
                </c:pt>
                <c:pt idx="45">
                  <c:v>2.1901899999999999</c:v>
                </c:pt>
                <c:pt idx="46">
                  <c:v>2.1495100000000003</c:v>
                </c:pt>
                <c:pt idx="47">
                  <c:v>2.1074699999999997</c:v>
                </c:pt>
                <c:pt idx="48">
                  <c:v>2.0636299999999999</c:v>
                </c:pt>
                <c:pt idx="49">
                  <c:v>2.0239699999999998</c:v>
                </c:pt>
                <c:pt idx="50">
                  <c:v>1.98617</c:v>
                </c:pt>
                <c:pt idx="51">
                  <c:v>1.9652500000000002</c:v>
                </c:pt>
                <c:pt idx="52">
                  <c:v>1.9450000000000001</c:v>
                </c:pt>
                <c:pt idx="53">
                  <c:v>1.9251199999999999</c:v>
                </c:pt>
                <c:pt idx="54">
                  <c:v>1.90408</c:v>
                </c:pt>
                <c:pt idx="55">
                  <c:v>1.8809</c:v>
                </c:pt>
                <c:pt idx="56">
                  <c:v>1.8573</c:v>
                </c:pt>
                <c:pt idx="57">
                  <c:v>1.8373999999999999</c:v>
                </c:pt>
                <c:pt idx="58">
                  <c:v>1.8201000000000001</c:v>
                </c:pt>
                <c:pt idx="59">
                  <c:v>1.8034300000000001</c:v>
                </c:pt>
                <c:pt idx="60">
                  <c:v>1.7863599999999999</c:v>
                </c:pt>
                <c:pt idx="61">
                  <c:v>1.76708</c:v>
                </c:pt>
                <c:pt idx="62">
                  <c:v>1.7468400000000002</c:v>
                </c:pt>
                <c:pt idx="63">
                  <c:v>1.7317899999999999</c:v>
                </c:pt>
                <c:pt idx="64">
                  <c:v>1.7150599999999998</c:v>
                </c:pt>
                <c:pt idx="65">
                  <c:v>1.6933200000000002</c:v>
                </c:pt>
                <c:pt idx="66">
                  <c:v>1.6727400000000001</c:v>
                </c:pt>
                <c:pt idx="67">
                  <c:v>1.6505000000000001</c:v>
                </c:pt>
                <c:pt idx="68">
                  <c:v>1.6351599999999999</c:v>
                </c:pt>
                <c:pt idx="69">
                  <c:v>1.621</c:v>
                </c:pt>
                <c:pt idx="70">
                  <c:v>1.6028899999999999</c:v>
                </c:pt>
                <c:pt idx="71">
                  <c:v>1.5787499999999999</c:v>
                </c:pt>
                <c:pt idx="72">
                  <c:v>1.5693999999999999</c:v>
                </c:pt>
                <c:pt idx="73">
                  <c:v>1.5626100000000001</c:v>
                </c:pt>
                <c:pt idx="74">
                  <c:v>1.54304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49.913499999999999</c:v>
                </c:pt>
                <c:pt idx="1">
                  <c:v>49.911799999999999</c:v>
                </c:pt>
                <c:pt idx="2">
                  <c:v>49.893000000000001</c:v>
                </c:pt>
                <c:pt idx="3">
                  <c:v>49.926600000000001</c:v>
                </c:pt>
                <c:pt idx="4">
                  <c:v>49.967199999999998</c:v>
                </c:pt>
                <c:pt idx="5">
                  <c:v>49.953800000000001</c:v>
                </c:pt>
                <c:pt idx="6">
                  <c:v>49.936199999999999</c:v>
                </c:pt>
                <c:pt idx="7">
                  <c:v>49.915700000000001</c:v>
                </c:pt>
                <c:pt idx="8">
                  <c:v>49.813200000000002</c:v>
                </c:pt>
                <c:pt idx="9">
                  <c:v>49.702800000000003</c:v>
                </c:pt>
                <c:pt idx="10">
                  <c:v>49.626399999999997</c:v>
                </c:pt>
                <c:pt idx="11">
                  <c:v>49.508099999999999</c:v>
                </c:pt>
                <c:pt idx="12">
                  <c:v>49.418700000000001</c:v>
                </c:pt>
                <c:pt idx="13">
                  <c:v>49.3003</c:v>
                </c:pt>
                <c:pt idx="14">
                  <c:v>49.177799999999998</c:v>
                </c:pt>
                <c:pt idx="15">
                  <c:v>48.914900000000003</c:v>
                </c:pt>
                <c:pt idx="16">
                  <c:v>48.588700000000003</c:v>
                </c:pt>
                <c:pt idx="17">
                  <c:v>48.198999999999998</c:v>
                </c:pt>
                <c:pt idx="18">
                  <c:v>47.649700000000003</c:v>
                </c:pt>
                <c:pt idx="19">
                  <c:v>47.044799999999995</c:v>
                </c:pt>
                <c:pt idx="20">
                  <c:v>46.441300000000005</c:v>
                </c:pt>
                <c:pt idx="21">
                  <c:v>45.878</c:v>
                </c:pt>
                <c:pt idx="22">
                  <c:v>45.443300000000001</c:v>
                </c:pt>
                <c:pt idx="23">
                  <c:v>45.021999999999998</c:v>
                </c:pt>
                <c:pt idx="24">
                  <c:v>44.693199999999997</c:v>
                </c:pt>
                <c:pt idx="25">
                  <c:v>44.415500000000002</c:v>
                </c:pt>
                <c:pt idx="26">
                  <c:v>44.185000000000002</c:v>
                </c:pt>
                <c:pt idx="27">
                  <c:v>44.017499999999998</c:v>
                </c:pt>
                <c:pt idx="28">
                  <c:v>43.856299999999997</c:v>
                </c:pt>
                <c:pt idx="29">
                  <c:v>43.708599999999997</c:v>
                </c:pt>
                <c:pt idx="30">
                  <c:v>43.568899999999999</c:v>
                </c:pt>
                <c:pt idx="31">
                  <c:v>43.4527</c:v>
                </c:pt>
                <c:pt idx="32">
                  <c:v>43.382199999999997</c:v>
                </c:pt>
                <c:pt idx="33">
                  <c:v>43.341000000000001</c:v>
                </c:pt>
                <c:pt idx="34">
                  <c:v>43.3048</c:v>
                </c:pt>
                <c:pt idx="35">
                  <c:v>43.2515</c:v>
                </c:pt>
                <c:pt idx="36">
                  <c:v>43.229700000000001</c:v>
                </c:pt>
                <c:pt idx="37">
                  <c:v>43.156399999999998</c:v>
                </c:pt>
                <c:pt idx="38">
                  <c:v>43.053100000000001</c:v>
                </c:pt>
                <c:pt idx="39">
                  <c:v>42.964700000000001</c:v>
                </c:pt>
                <c:pt idx="40">
                  <c:v>42.967300000000002</c:v>
                </c:pt>
                <c:pt idx="41">
                  <c:v>43.0595</c:v>
                </c:pt>
                <c:pt idx="42">
                  <c:v>43.282399999999996</c:v>
                </c:pt>
                <c:pt idx="43">
                  <c:v>43.663200000000003</c:v>
                </c:pt>
                <c:pt idx="44">
                  <c:v>44.214700000000001</c:v>
                </c:pt>
                <c:pt idx="45">
                  <c:v>44.872</c:v>
                </c:pt>
                <c:pt idx="46">
                  <c:v>45.580399999999997</c:v>
                </c:pt>
                <c:pt idx="47">
                  <c:v>46.241599999999998</c:v>
                </c:pt>
                <c:pt idx="48">
                  <c:v>47.043700000000001</c:v>
                </c:pt>
                <c:pt idx="49">
                  <c:v>47.761399999999995</c:v>
                </c:pt>
                <c:pt idx="50">
                  <c:v>48.4482</c:v>
                </c:pt>
                <c:pt idx="51">
                  <c:v>48.988199999999999</c:v>
                </c:pt>
                <c:pt idx="52">
                  <c:v>49.464700000000001</c:v>
                </c:pt>
                <c:pt idx="53">
                  <c:v>49.884399999999999</c:v>
                </c:pt>
                <c:pt idx="54">
                  <c:v>50.322199999999995</c:v>
                </c:pt>
                <c:pt idx="55">
                  <c:v>50.846100000000007</c:v>
                </c:pt>
                <c:pt idx="56">
                  <c:v>51.365200000000002</c:v>
                </c:pt>
                <c:pt idx="57">
                  <c:v>51.703600000000009</c:v>
                </c:pt>
                <c:pt idx="58">
                  <c:v>51.951000000000001</c:v>
                </c:pt>
                <c:pt idx="59">
                  <c:v>52.137299999999996</c:v>
                </c:pt>
                <c:pt idx="60">
                  <c:v>52.3401</c:v>
                </c:pt>
                <c:pt idx="61">
                  <c:v>52.581000000000003</c:v>
                </c:pt>
                <c:pt idx="62">
                  <c:v>52.841800000000006</c:v>
                </c:pt>
                <c:pt idx="63">
                  <c:v>53.0486</c:v>
                </c:pt>
                <c:pt idx="64">
                  <c:v>53.311900000000001</c:v>
                </c:pt>
                <c:pt idx="65">
                  <c:v>53.705800000000004</c:v>
                </c:pt>
                <c:pt idx="66">
                  <c:v>54.015899999999995</c:v>
                </c:pt>
                <c:pt idx="67">
                  <c:v>54.271499999999996</c:v>
                </c:pt>
                <c:pt idx="68">
                  <c:v>54.496699999999997</c:v>
                </c:pt>
                <c:pt idx="69">
                  <c:v>54.760100000000001</c:v>
                </c:pt>
                <c:pt idx="70">
                  <c:v>55.14</c:v>
                </c:pt>
                <c:pt idx="71">
                  <c:v>55.837000000000003</c:v>
                </c:pt>
                <c:pt idx="72">
                  <c:v>56.315000000000005</c:v>
                </c:pt>
                <c:pt idx="73">
                  <c:v>56.635999999999996</c:v>
                </c:pt>
                <c:pt idx="74">
                  <c:v>57.177199999999992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2.2964882432432425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45.348887837837836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2.1010185135135133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48.474190540540562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2.1010185135135133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48.474190540540562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0.19717160955849511</c:v>
                </c:pt>
                <c:pt idx="1">
                  <c:v>0.25765219577233583</c:v>
                </c:pt>
                <c:pt idx="2">
                  <c:v>0.54517619466916911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0.40667999999999999</c:v>
                </c:pt>
                <c:pt idx="2">
                  <c:v>0.810253</c:v>
                </c:pt>
                <c:pt idx="3">
                  <c:v>1.2215400000000001</c:v>
                </c:pt>
                <c:pt idx="4">
                  <c:v>1.6244099999999999</c:v>
                </c:pt>
                <c:pt idx="5">
                  <c:v>2.0326599999999999</c:v>
                </c:pt>
                <c:pt idx="6">
                  <c:v>2.4401899999999999</c:v>
                </c:pt>
                <c:pt idx="7">
                  <c:v>2.8441100000000001</c:v>
                </c:pt>
                <c:pt idx="8">
                  <c:v>3.2532700000000001</c:v>
                </c:pt>
                <c:pt idx="9">
                  <c:v>3.6550799999999999</c:v>
                </c:pt>
                <c:pt idx="10">
                  <c:v>4.0618800000000004</c:v>
                </c:pt>
                <c:pt idx="11">
                  <c:v>4.4708199999999998</c:v>
                </c:pt>
                <c:pt idx="12">
                  <c:v>4.8776900000000003</c:v>
                </c:pt>
                <c:pt idx="13">
                  <c:v>5.2786299999999997</c:v>
                </c:pt>
                <c:pt idx="14">
                  <c:v>5.68954</c:v>
                </c:pt>
                <c:pt idx="15">
                  <c:v>6.0913899999999996</c:v>
                </c:pt>
                <c:pt idx="16">
                  <c:v>6.49953</c:v>
                </c:pt>
                <c:pt idx="17">
                  <c:v>6.9072300000000002</c:v>
                </c:pt>
                <c:pt idx="18">
                  <c:v>7.3171600000000003</c:v>
                </c:pt>
                <c:pt idx="19">
                  <c:v>7.7251000000000003</c:v>
                </c:pt>
                <c:pt idx="20">
                  <c:v>8.1249900000000004</c:v>
                </c:pt>
                <c:pt idx="21">
                  <c:v>8.5286600000000004</c:v>
                </c:pt>
                <c:pt idx="22">
                  <c:v>8.9398099999999996</c:v>
                </c:pt>
                <c:pt idx="23">
                  <c:v>9.3467000000000002</c:v>
                </c:pt>
                <c:pt idx="24">
                  <c:v>9.7496500000000008</c:v>
                </c:pt>
                <c:pt idx="25">
                  <c:v>10.1556</c:v>
                </c:pt>
                <c:pt idx="26">
                  <c:v>10.5627</c:v>
                </c:pt>
                <c:pt idx="27">
                  <c:v>10.968400000000001</c:v>
                </c:pt>
                <c:pt idx="28">
                  <c:v>11.375400000000001</c:v>
                </c:pt>
                <c:pt idx="29">
                  <c:v>11.783200000000001</c:v>
                </c:pt>
                <c:pt idx="30">
                  <c:v>12.1891</c:v>
                </c:pt>
                <c:pt idx="31">
                  <c:v>12.5931</c:v>
                </c:pt>
                <c:pt idx="32">
                  <c:v>12.9962</c:v>
                </c:pt>
                <c:pt idx="33">
                  <c:v>13.4061</c:v>
                </c:pt>
                <c:pt idx="34">
                  <c:v>13.812900000000001</c:v>
                </c:pt>
                <c:pt idx="35">
                  <c:v>14.219900000000001</c:v>
                </c:pt>
                <c:pt idx="36">
                  <c:v>14.624700000000001</c:v>
                </c:pt>
                <c:pt idx="37">
                  <c:v>15.031499999999999</c:v>
                </c:pt>
                <c:pt idx="38">
                  <c:v>15.4376</c:v>
                </c:pt>
                <c:pt idx="39">
                  <c:v>15.8445</c:v>
                </c:pt>
                <c:pt idx="40">
                  <c:v>16.252300000000002</c:v>
                </c:pt>
                <c:pt idx="41">
                  <c:v>16.656500000000001</c:v>
                </c:pt>
                <c:pt idx="42">
                  <c:v>17.066199999999998</c:v>
                </c:pt>
                <c:pt idx="43">
                  <c:v>17.469000000000001</c:v>
                </c:pt>
                <c:pt idx="44">
                  <c:v>17.875299999999999</c:v>
                </c:pt>
                <c:pt idx="45">
                  <c:v>18.283899999999999</c:v>
                </c:pt>
                <c:pt idx="46">
                  <c:v>18.689699999999998</c:v>
                </c:pt>
                <c:pt idx="47">
                  <c:v>19.093699999999998</c:v>
                </c:pt>
                <c:pt idx="48">
                  <c:v>19.500599999999999</c:v>
                </c:pt>
                <c:pt idx="49">
                  <c:v>19.9056</c:v>
                </c:pt>
                <c:pt idx="50">
                  <c:v>20.3124</c:v>
                </c:pt>
                <c:pt idx="51">
                  <c:v>20.723299999999998</c:v>
                </c:pt>
                <c:pt idx="52">
                  <c:v>21.124300000000002</c:v>
                </c:pt>
                <c:pt idx="53">
                  <c:v>21.534300000000002</c:v>
                </c:pt>
                <c:pt idx="54">
                  <c:v>21.9375</c:v>
                </c:pt>
                <c:pt idx="55">
                  <c:v>22.344000000000001</c:v>
                </c:pt>
                <c:pt idx="56">
                  <c:v>22.752099999999999</c:v>
                </c:pt>
                <c:pt idx="57">
                  <c:v>23.1569</c:v>
                </c:pt>
                <c:pt idx="58">
                  <c:v>23.560700000000001</c:v>
                </c:pt>
                <c:pt idx="59">
                  <c:v>23.967700000000001</c:v>
                </c:pt>
                <c:pt idx="60">
                  <c:v>24.373699999999999</c:v>
                </c:pt>
                <c:pt idx="61">
                  <c:v>24.782499999999999</c:v>
                </c:pt>
                <c:pt idx="62">
                  <c:v>25.189399999999999</c:v>
                </c:pt>
                <c:pt idx="63">
                  <c:v>25.593399999999999</c:v>
                </c:pt>
                <c:pt idx="64">
                  <c:v>25.999199999999998</c:v>
                </c:pt>
                <c:pt idx="65">
                  <c:v>26.4072</c:v>
                </c:pt>
                <c:pt idx="66">
                  <c:v>26.813099999999999</c:v>
                </c:pt>
                <c:pt idx="67">
                  <c:v>27.221</c:v>
                </c:pt>
                <c:pt idx="68">
                  <c:v>27.6219</c:v>
                </c:pt>
                <c:pt idx="69">
                  <c:v>28.030799999999999</c:v>
                </c:pt>
                <c:pt idx="70">
                  <c:v>28.4407</c:v>
                </c:pt>
                <c:pt idx="71">
                  <c:v>28.8446</c:v>
                </c:pt>
                <c:pt idx="72">
                  <c:v>29.2515</c:v>
                </c:pt>
                <c:pt idx="73">
                  <c:v>29.6555</c:v>
                </c:pt>
                <c:pt idx="74">
                  <c:v>30.061399999999999</c:v>
                </c:pt>
                <c:pt idx="75">
                  <c:v>30.500299999999999</c:v>
                </c:pt>
                <c:pt idx="76">
                  <c:v>30.9072</c:v>
                </c:pt>
                <c:pt idx="77">
                  <c:v>31.3123</c:v>
                </c:pt>
                <c:pt idx="78">
                  <c:v>31.722999999999999</c:v>
                </c:pt>
                <c:pt idx="79">
                  <c:v>32.1248</c:v>
                </c:pt>
                <c:pt idx="80">
                  <c:v>32.5319</c:v>
                </c:pt>
                <c:pt idx="81">
                  <c:v>32.939</c:v>
                </c:pt>
                <c:pt idx="82">
                  <c:v>33.3446</c:v>
                </c:pt>
                <c:pt idx="83">
                  <c:v>33.7515</c:v>
                </c:pt>
                <c:pt idx="84">
                  <c:v>34.154499999999999</c:v>
                </c:pt>
                <c:pt idx="85">
                  <c:v>34.5625</c:v>
                </c:pt>
                <c:pt idx="86">
                  <c:v>34.970500000000001</c:v>
                </c:pt>
                <c:pt idx="87">
                  <c:v>35.374200000000002</c:v>
                </c:pt>
                <c:pt idx="88">
                  <c:v>35.7821</c:v>
                </c:pt>
                <c:pt idx="89">
                  <c:v>36.186</c:v>
                </c:pt>
                <c:pt idx="90">
                  <c:v>36.5929</c:v>
                </c:pt>
                <c:pt idx="91">
                  <c:v>37.000799999999998</c:v>
                </c:pt>
                <c:pt idx="92">
                  <c:v>37.405700000000003</c:v>
                </c:pt>
                <c:pt idx="93">
                  <c:v>37.809899999999999</c:v>
                </c:pt>
                <c:pt idx="94">
                  <c:v>38.221499999999999</c:v>
                </c:pt>
                <c:pt idx="95">
                  <c:v>38.628500000000003</c:v>
                </c:pt>
                <c:pt idx="96">
                  <c:v>39.033299999999997</c:v>
                </c:pt>
                <c:pt idx="97">
                  <c:v>39.437399999999997</c:v>
                </c:pt>
                <c:pt idx="98">
                  <c:v>39.842399999999998</c:v>
                </c:pt>
                <c:pt idx="99">
                  <c:v>40.252200000000002</c:v>
                </c:pt>
                <c:pt idx="100">
                  <c:v>40.658999999999999</c:v>
                </c:pt>
                <c:pt idx="101">
                  <c:v>41.064</c:v>
                </c:pt>
                <c:pt idx="102">
                  <c:v>41.470300000000002</c:v>
                </c:pt>
                <c:pt idx="103">
                  <c:v>41.872900000000001</c:v>
                </c:pt>
                <c:pt idx="104">
                  <c:v>42.282699999999998</c:v>
                </c:pt>
                <c:pt idx="105">
                  <c:v>42.690600000000003</c:v>
                </c:pt>
                <c:pt idx="106">
                  <c:v>43.094499999999996</c:v>
                </c:pt>
                <c:pt idx="107">
                  <c:v>43.500399999999999</c:v>
                </c:pt>
                <c:pt idx="108">
                  <c:v>43.9054</c:v>
                </c:pt>
                <c:pt idx="109">
                  <c:v>44.3123</c:v>
                </c:pt>
                <c:pt idx="110">
                  <c:v>44.720700000000001</c:v>
                </c:pt>
                <c:pt idx="111">
                  <c:v>45.125100000000003</c:v>
                </c:pt>
                <c:pt idx="112">
                  <c:v>45.531999999999996</c:v>
                </c:pt>
                <c:pt idx="113">
                  <c:v>45.933900000000001</c:v>
                </c:pt>
                <c:pt idx="114">
                  <c:v>46.344799999999999</c:v>
                </c:pt>
                <c:pt idx="115">
                  <c:v>46.748600000000003</c:v>
                </c:pt>
                <c:pt idx="116">
                  <c:v>47.156599999999997</c:v>
                </c:pt>
                <c:pt idx="117">
                  <c:v>47.562600000000003</c:v>
                </c:pt>
                <c:pt idx="118">
                  <c:v>47.969799999999999</c:v>
                </c:pt>
                <c:pt idx="119">
                  <c:v>48.3765</c:v>
                </c:pt>
                <c:pt idx="120">
                  <c:v>48.783299999999997</c:v>
                </c:pt>
                <c:pt idx="121">
                  <c:v>49.190300000000001</c:v>
                </c:pt>
                <c:pt idx="122">
                  <c:v>49.592100000000002</c:v>
                </c:pt>
                <c:pt idx="123">
                  <c:v>50.000399999999999</c:v>
                </c:pt>
                <c:pt idx="124">
                  <c:v>50.406999999999996</c:v>
                </c:pt>
                <c:pt idx="125">
                  <c:v>50.811900000000001</c:v>
                </c:pt>
                <c:pt idx="126">
                  <c:v>51.220999999999997</c:v>
                </c:pt>
                <c:pt idx="127">
                  <c:v>51.625700000000002</c:v>
                </c:pt>
                <c:pt idx="128">
                  <c:v>52.028599999999997</c:v>
                </c:pt>
                <c:pt idx="129">
                  <c:v>52.436999999999998</c:v>
                </c:pt>
                <c:pt idx="130">
                  <c:v>52.847299999999997</c:v>
                </c:pt>
                <c:pt idx="131">
                  <c:v>53.251399999999997</c:v>
                </c:pt>
                <c:pt idx="132">
                  <c:v>53.656399999999998</c:v>
                </c:pt>
                <c:pt idx="133">
                  <c:v>54.061199999999999</c:v>
                </c:pt>
                <c:pt idx="134">
                  <c:v>54.467599999999997</c:v>
                </c:pt>
                <c:pt idx="135">
                  <c:v>54.876100000000001</c:v>
                </c:pt>
                <c:pt idx="136">
                  <c:v>55.283900000000003</c:v>
                </c:pt>
                <c:pt idx="137">
                  <c:v>55.687100000000001</c:v>
                </c:pt>
                <c:pt idx="138">
                  <c:v>56.093699999999998</c:v>
                </c:pt>
                <c:pt idx="139">
                  <c:v>56.499200000000002</c:v>
                </c:pt>
                <c:pt idx="140">
                  <c:v>56.9056</c:v>
                </c:pt>
                <c:pt idx="141">
                  <c:v>57.3155</c:v>
                </c:pt>
                <c:pt idx="142">
                  <c:v>57.717399999999998</c:v>
                </c:pt>
                <c:pt idx="143">
                  <c:v>58.124400000000001</c:v>
                </c:pt>
                <c:pt idx="144">
                  <c:v>58.532299999999999</c:v>
                </c:pt>
                <c:pt idx="145">
                  <c:v>58.938099999999999</c:v>
                </c:pt>
                <c:pt idx="146">
                  <c:v>59.346200000000003</c:v>
                </c:pt>
                <c:pt idx="147">
                  <c:v>59.752000000000002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1.6645399999999999</c:v>
                </c:pt>
                <c:pt idx="1">
                  <c:v>1.7134099999999999</c:v>
                </c:pt>
                <c:pt idx="2">
                  <c:v>1.7618100000000001</c:v>
                </c:pt>
                <c:pt idx="3">
                  <c:v>1.8108599999999999</c:v>
                </c:pt>
                <c:pt idx="4">
                  <c:v>1.8590200000000001</c:v>
                </c:pt>
                <c:pt idx="5">
                  <c:v>1.9039700000000002</c:v>
                </c:pt>
                <c:pt idx="6">
                  <c:v>1.9490099999999999</c:v>
                </c:pt>
                <c:pt idx="7">
                  <c:v>1.9963</c:v>
                </c:pt>
                <c:pt idx="8">
                  <c:v>2.0440499999999999</c:v>
                </c:pt>
                <c:pt idx="9">
                  <c:v>2.0892599999999999</c:v>
                </c:pt>
                <c:pt idx="10">
                  <c:v>2.1337700000000002</c:v>
                </c:pt>
                <c:pt idx="11">
                  <c:v>2.17787</c:v>
                </c:pt>
                <c:pt idx="12">
                  <c:v>2.2209699999999999</c:v>
                </c:pt>
                <c:pt idx="13">
                  <c:v>2.2643499999999999</c:v>
                </c:pt>
                <c:pt idx="14">
                  <c:v>2.3065099999999998</c:v>
                </c:pt>
                <c:pt idx="15">
                  <c:v>2.3498800000000002</c:v>
                </c:pt>
                <c:pt idx="16">
                  <c:v>2.39384</c:v>
                </c:pt>
                <c:pt idx="17">
                  <c:v>2.43669</c:v>
                </c:pt>
                <c:pt idx="18">
                  <c:v>2.48495</c:v>
                </c:pt>
                <c:pt idx="19">
                  <c:v>2.5313600000000003</c:v>
                </c:pt>
                <c:pt idx="20">
                  <c:v>2.5708599999999997</c:v>
                </c:pt>
                <c:pt idx="21">
                  <c:v>2.6040600000000005</c:v>
                </c:pt>
                <c:pt idx="22">
                  <c:v>2.6316299999999999</c:v>
                </c:pt>
                <c:pt idx="23">
                  <c:v>2.65368</c:v>
                </c:pt>
                <c:pt idx="24">
                  <c:v>2.67136</c:v>
                </c:pt>
                <c:pt idx="25">
                  <c:v>2.6825199999999998</c:v>
                </c:pt>
                <c:pt idx="26">
                  <c:v>2.6898899999999997</c:v>
                </c:pt>
                <c:pt idx="27">
                  <c:v>2.6947999999999999</c:v>
                </c:pt>
                <c:pt idx="28">
                  <c:v>2.6961300000000001</c:v>
                </c:pt>
                <c:pt idx="29">
                  <c:v>2.6902300000000001</c:v>
                </c:pt>
                <c:pt idx="30">
                  <c:v>2.6812799999999997</c:v>
                </c:pt>
                <c:pt idx="31">
                  <c:v>2.6703399999999999</c:v>
                </c:pt>
                <c:pt idx="32">
                  <c:v>2.6562400000000004</c:v>
                </c:pt>
                <c:pt idx="33">
                  <c:v>2.6407599999999998</c:v>
                </c:pt>
                <c:pt idx="34">
                  <c:v>2.6239299999999997</c:v>
                </c:pt>
                <c:pt idx="35">
                  <c:v>2.6068200000000004</c:v>
                </c:pt>
                <c:pt idx="36">
                  <c:v>2.5887100000000003</c:v>
                </c:pt>
                <c:pt idx="37">
                  <c:v>2.5667099999999996</c:v>
                </c:pt>
                <c:pt idx="38">
                  <c:v>2.5432700000000001</c:v>
                </c:pt>
                <c:pt idx="39">
                  <c:v>2.5179099999999996</c:v>
                </c:pt>
                <c:pt idx="40">
                  <c:v>2.4919500000000001</c:v>
                </c:pt>
                <c:pt idx="41">
                  <c:v>2.4641799999999998</c:v>
                </c:pt>
                <c:pt idx="42">
                  <c:v>2.4369299999999998</c:v>
                </c:pt>
                <c:pt idx="43">
                  <c:v>2.4047399999999999</c:v>
                </c:pt>
                <c:pt idx="44">
                  <c:v>2.37107</c:v>
                </c:pt>
                <c:pt idx="45">
                  <c:v>2.3428100000000001</c:v>
                </c:pt>
                <c:pt idx="46">
                  <c:v>2.31691</c:v>
                </c:pt>
                <c:pt idx="47">
                  <c:v>2.2898199999999997</c:v>
                </c:pt>
                <c:pt idx="48">
                  <c:v>2.26396</c:v>
                </c:pt>
                <c:pt idx="49">
                  <c:v>2.2407499999999998</c:v>
                </c:pt>
                <c:pt idx="50">
                  <c:v>2.2215400000000001</c:v>
                </c:pt>
                <c:pt idx="51">
                  <c:v>2.2054199999999997</c:v>
                </c:pt>
                <c:pt idx="52">
                  <c:v>2.1899099999999998</c:v>
                </c:pt>
                <c:pt idx="53">
                  <c:v>2.1746400000000001</c:v>
                </c:pt>
                <c:pt idx="54">
                  <c:v>2.1647699999999999</c:v>
                </c:pt>
                <c:pt idx="55">
                  <c:v>2.1596799999999998</c:v>
                </c:pt>
                <c:pt idx="56">
                  <c:v>2.1539600000000001</c:v>
                </c:pt>
                <c:pt idx="57">
                  <c:v>2.1465399999999999</c:v>
                </c:pt>
                <c:pt idx="58">
                  <c:v>2.1410800000000001</c:v>
                </c:pt>
                <c:pt idx="59">
                  <c:v>2.1371500000000001</c:v>
                </c:pt>
                <c:pt idx="60">
                  <c:v>2.1317400000000002</c:v>
                </c:pt>
                <c:pt idx="61">
                  <c:v>2.12703</c:v>
                </c:pt>
                <c:pt idx="62">
                  <c:v>2.1281099999999999</c:v>
                </c:pt>
                <c:pt idx="63">
                  <c:v>2.1293500000000001</c:v>
                </c:pt>
                <c:pt idx="64">
                  <c:v>2.1324199999999998</c:v>
                </c:pt>
                <c:pt idx="65">
                  <c:v>2.1348099999999999</c:v>
                </c:pt>
                <c:pt idx="66">
                  <c:v>2.1369899999999999</c:v>
                </c:pt>
                <c:pt idx="67">
                  <c:v>2.1394500000000001</c:v>
                </c:pt>
                <c:pt idx="68">
                  <c:v>2.1398900000000003</c:v>
                </c:pt>
                <c:pt idx="69">
                  <c:v>2.1365600000000002</c:v>
                </c:pt>
                <c:pt idx="70">
                  <c:v>2.1310599999999997</c:v>
                </c:pt>
                <c:pt idx="71">
                  <c:v>2.1278800000000002</c:v>
                </c:pt>
                <c:pt idx="72">
                  <c:v>2.12669</c:v>
                </c:pt>
                <c:pt idx="73">
                  <c:v>2.1267900000000002</c:v>
                </c:pt>
                <c:pt idx="74">
                  <c:v>2.12988</c:v>
                </c:pt>
                <c:pt idx="75">
                  <c:v>2.13293</c:v>
                </c:pt>
                <c:pt idx="76">
                  <c:v>2.1351800000000001</c:v>
                </c:pt>
                <c:pt idx="77">
                  <c:v>2.13734</c:v>
                </c:pt>
                <c:pt idx="78">
                  <c:v>2.14154</c:v>
                </c:pt>
                <c:pt idx="79">
                  <c:v>2.14527</c:v>
                </c:pt>
                <c:pt idx="80">
                  <c:v>2.1476000000000002</c:v>
                </c:pt>
                <c:pt idx="81">
                  <c:v>2.1532200000000001</c:v>
                </c:pt>
                <c:pt idx="82">
                  <c:v>2.1615000000000002</c:v>
                </c:pt>
                <c:pt idx="83">
                  <c:v>2.16852</c:v>
                </c:pt>
                <c:pt idx="84">
                  <c:v>2.1764800000000002</c:v>
                </c:pt>
                <c:pt idx="85">
                  <c:v>2.1862300000000001</c:v>
                </c:pt>
                <c:pt idx="86">
                  <c:v>2.1963300000000001</c:v>
                </c:pt>
                <c:pt idx="87">
                  <c:v>2.2049400000000001</c:v>
                </c:pt>
                <c:pt idx="88">
                  <c:v>2.2181100000000002</c:v>
                </c:pt>
                <c:pt idx="89">
                  <c:v>2.2338900000000002</c:v>
                </c:pt>
                <c:pt idx="90">
                  <c:v>2.2508699999999999</c:v>
                </c:pt>
                <c:pt idx="91">
                  <c:v>2.27291</c:v>
                </c:pt>
                <c:pt idx="92">
                  <c:v>2.2957800000000002</c:v>
                </c:pt>
                <c:pt idx="93">
                  <c:v>2.3198300000000001</c:v>
                </c:pt>
                <c:pt idx="94">
                  <c:v>2.3447399999999998</c:v>
                </c:pt>
                <c:pt idx="95">
                  <c:v>2.3668300000000002</c:v>
                </c:pt>
                <c:pt idx="96">
                  <c:v>2.3867099999999999</c:v>
                </c:pt>
                <c:pt idx="97">
                  <c:v>2.4031700000000003</c:v>
                </c:pt>
                <c:pt idx="98">
                  <c:v>2.4159700000000002</c:v>
                </c:pt>
                <c:pt idx="99">
                  <c:v>2.4234499999999999</c:v>
                </c:pt>
                <c:pt idx="100">
                  <c:v>2.4290799999999999</c:v>
                </c:pt>
                <c:pt idx="101">
                  <c:v>2.4331900000000002</c:v>
                </c:pt>
                <c:pt idx="102">
                  <c:v>2.4372099999999999</c:v>
                </c:pt>
                <c:pt idx="103">
                  <c:v>2.4409700000000001</c:v>
                </c:pt>
                <c:pt idx="104">
                  <c:v>2.4438599999999999</c:v>
                </c:pt>
                <c:pt idx="105">
                  <c:v>2.4426700000000001</c:v>
                </c:pt>
                <c:pt idx="106">
                  <c:v>2.4374100000000003</c:v>
                </c:pt>
                <c:pt idx="107">
                  <c:v>2.4301900000000001</c:v>
                </c:pt>
                <c:pt idx="108">
                  <c:v>2.4226299999999998</c:v>
                </c:pt>
                <c:pt idx="109">
                  <c:v>2.4135300000000002</c:v>
                </c:pt>
                <c:pt idx="110">
                  <c:v>2.40307</c:v>
                </c:pt>
                <c:pt idx="111">
                  <c:v>2.3890000000000002</c:v>
                </c:pt>
                <c:pt idx="112">
                  <c:v>2.3740600000000001</c:v>
                </c:pt>
                <c:pt idx="113">
                  <c:v>2.3551099999999998</c:v>
                </c:pt>
                <c:pt idx="114">
                  <c:v>2.3319200000000002</c:v>
                </c:pt>
                <c:pt idx="115">
                  <c:v>2.30497</c:v>
                </c:pt>
                <c:pt idx="116">
                  <c:v>2.27027</c:v>
                </c:pt>
                <c:pt idx="117">
                  <c:v>2.23095</c:v>
                </c:pt>
                <c:pt idx="118">
                  <c:v>2.1901899999999999</c:v>
                </c:pt>
                <c:pt idx="119">
                  <c:v>2.1495100000000003</c:v>
                </c:pt>
                <c:pt idx="120">
                  <c:v>2.1074699999999997</c:v>
                </c:pt>
                <c:pt idx="121">
                  <c:v>2.0636299999999999</c:v>
                </c:pt>
                <c:pt idx="122">
                  <c:v>2.0239699999999998</c:v>
                </c:pt>
                <c:pt idx="123">
                  <c:v>1.98617</c:v>
                </c:pt>
                <c:pt idx="124">
                  <c:v>1.9652500000000002</c:v>
                </c:pt>
                <c:pt idx="125">
                  <c:v>1.9450000000000001</c:v>
                </c:pt>
                <c:pt idx="126">
                  <c:v>1.9251199999999999</c:v>
                </c:pt>
                <c:pt idx="127">
                  <c:v>1.90408</c:v>
                </c:pt>
                <c:pt idx="128">
                  <c:v>1.8809</c:v>
                </c:pt>
                <c:pt idx="129">
                  <c:v>1.8573</c:v>
                </c:pt>
                <c:pt idx="130">
                  <c:v>1.8373999999999999</c:v>
                </c:pt>
                <c:pt idx="131">
                  <c:v>1.8201000000000001</c:v>
                </c:pt>
                <c:pt idx="132">
                  <c:v>1.8034300000000001</c:v>
                </c:pt>
                <c:pt idx="133">
                  <c:v>1.7863599999999999</c:v>
                </c:pt>
                <c:pt idx="134">
                  <c:v>1.76708</c:v>
                </c:pt>
                <c:pt idx="135">
                  <c:v>1.7468400000000002</c:v>
                </c:pt>
                <c:pt idx="136">
                  <c:v>1.7317899999999999</c:v>
                </c:pt>
                <c:pt idx="137">
                  <c:v>1.7150599999999998</c:v>
                </c:pt>
                <c:pt idx="138">
                  <c:v>1.6933200000000002</c:v>
                </c:pt>
                <c:pt idx="139">
                  <c:v>1.6727400000000001</c:v>
                </c:pt>
                <c:pt idx="140">
                  <c:v>1.6505000000000001</c:v>
                </c:pt>
                <c:pt idx="141">
                  <c:v>1.6351599999999999</c:v>
                </c:pt>
                <c:pt idx="142">
                  <c:v>1.621</c:v>
                </c:pt>
                <c:pt idx="143">
                  <c:v>1.6028899999999999</c:v>
                </c:pt>
                <c:pt idx="144">
                  <c:v>1.5787499999999999</c:v>
                </c:pt>
                <c:pt idx="145">
                  <c:v>1.5693999999999999</c:v>
                </c:pt>
                <c:pt idx="146">
                  <c:v>1.5626100000000001</c:v>
                </c:pt>
                <c:pt idx="147">
                  <c:v>1.54304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0.40667999999999999</c:v>
                </c:pt>
                <c:pt idx="2">
                  <c:v>0.810253</c:v>
                </c:pt>
                <c:pt idx="3">
                  <c:v>1.2215400000000001</c:v>
                </c:pt>
                <c:pt idx="4">
                  <c:v>1.6244099999999999</c:v>
                </c:pt>
                <c:pt idx="5">
                  <c:v>2.0326599999999999</c:v>
                </c:pt>
                <c:pt idx="6">
                  <c:v>2.4401899999999999</c:v>
                </c:pt>
                <c:pt idx="7">
                  <c:v>2.8441100000000001</c:v>
                </c:pt>
                <c:pt idx="8">
                  <c:v>3.2532700000000001</c:v>
                </c:pt>
                <c:pt idx="9">
                  <c:v>3.6550799999999999</c:v>
                </c:pt>
                <c:pt idx="10">
                  <c:v>4.0618800000000004</c:v>
                </c:pt>
                <c:pt idx="11">
                  <c:v>4.4708199999999998</c:v>
                </c:pt>
                <c:pt idx="12">
                  <c:v>4.8776900000000003</c:v>
                </c:pt>
                <c:pt idx="13">
                  <c:v>5.2786299999999997</c:v>
                </c:pt>
                <c:pt idx="14">
                  <c:v>5.68954</c:v>
                </c:pt>
                <c:pt idx="15">
                  <c:v>6.0913899999999996</c:v>
                </c:pt>
                <c:pt idx="16">
                  <c:v>6.49953</c:v>
                </c:pt>
                <c:pt idx="17">
                  <c:v>6.9072300000000002</c:v>
                </c:pt>
                <c:pt idx="18">
                  <c:v>7.3171600000000003</c:v>
                </c:pt>
                <c:pt idx="19">
                  <c:v>7.7251000000000003</c:v>
                </c:pt>
                <c:pt idx="20">
                  <c:v>8.1249900000000004</c:v>
                </c:pt>
                <c:pt idx="21">
                  <c:v>8.5286600000000004</c:v>
                </c:pt>
                <c:pt idx="22">
                  <c:v>8.9398099999999996</c:v>
                </c:pt>
                <c:pt idx="23">
                  <c:v>9.3467000000000002</c:v>
                </c:pt>
                <c:pt idx="24">
                  <c:v>9.7496500000000008</c:v>
                </c:pt>
                <c:pt idx="25">
                  <c:v>10.1556</c:v>
                </c:pt>
                <c:pt idx="26">
                  <c:v>10.5627</c:v>
                </c:pt>
                <c:pt idx="27">
                  <c:v>10.968400000000001</c:v>
                </c:pt>
                <c:pt idx="28">
                  <c:v>11.375400000000001</c:v>
                </c:pt>
                <c:pt idx="29">
                  <c:v>11.783200000000001</c:v>
                </c:pt>
                <c:pt idx="30">
                  <c:v>12.1891</c:v>
                </c:pt>
                <c:pt idx="31">
                  <c:v>12.5931</c:v>
                </c:pt>
                <c:pt idx="32">
                  <c:v>12.9962</c:v>
                </c:pt>
                <c:pt idx="33">
                  <c:v>13.4061</c:v>
                </c:pt>
                <c:pt idx="34">
                  <c:v>13.812900000000001</c:v>
                </c:pt>
                <c:pt idx="35">
                  <c:v>14.219900000000001</c:v>
                </c:pt>
                <c:pt idx="36">
                  <c:v>14.624700000000001</c:v>
                </c:pt>
                <c:pt idx="37">
                  <c:v>15.031499999999999</c:v>
                </c:pt>
                <c:pt idx="38">
                  <c:v>15.4376</c:v>
                </c:pt>
                <c:pt idx="39">
                  <c:v>15.8445</c:v>
                </c:pt>
                <c:pt idx="40">
                  <c:v>16.252300000000002</c:v>
                </c:pt>
                <c:pt idx="41">
                  <c:v>16.656500000000001</c:v>
                </c:pt>
                <c:pt idx="42">
                  <c:v>17.066199999999998</c:v>
                </c:pt>
                <c:pt idx="43">
                  <c:v>17.469000000000001</c:v>
                </c:pt>
                <c:pt idx="44">
                  <c:v>17.875299999999999</c:v>
                </c:pt>
                <c:pt idx="45">
                  <c:v>18.283899999999999</c:v>
                </c:pt>
                <c:pt idx="46">
                  <c:v>18.689699999999998</c:v>
                </c:pt>
                <c:pt idx="47">
                  <c:v>19.093699999999998</c:v>
                </c:pt>
                <c:pt idx="48">
                  <c:v>19.500599999999999</c:v>
                </c:pt>
                <c:pt idx="49">
                  <c:v>19.9056</c:v>
                </c:pt>
                <c:pt idx="50">
                  <c:v>20.3124</c:v>
                </c:pt>
                <c:pt idx="51">
                  <c:v>20.723299999999998</c:v>
                </c:pt>
                <c:pt idx="52">
                  <c:v>21.124300000000002</c:v>
                </c:pt>
                <c:pt idx="53">
                  <c:v>21.534300000000002</c:v>
                </c:pt>
                <c:pt idx="54">
                  <c:v>21.9375</c:v>
                </c:pt>
                <c:pt idx="55">
                  <c:v>22.344000000000001</c:v>
                </c:pt>
                <c:pt idx="56">
                  <c:v>22.752099999999999</c:v>
                </c:pt>
                <c:pt idx="57">
                  <c:v>23.1569</c:v>
                </c:pt>
                <c:pt idx="58">
                  <c:v>23.560700000000001</c:v>
                </c:pt>
                <c:pt idx="59">
                  <c:v>23.967700000000001</c:v>
                </c:pt>
                <c:pt idx="60">
                  <c:v>24.373699999999999</c:v>
                </c:pt>
                <c:pt idx="61">
                  <c:v>24.782499999999999</c:v>
                </c:pt>
                <c:pt idx="62">
                  <c:v>25.189399999999999</c:v>
                </c:pt>
                <c:pt idx="63">
                  <c:v>25.593399999999999</c:v>
                </c:pt>
                <c:pt idx="64">
                  <c:v>25.999199999999998</c:v>
                </c:pt>
                <c:pt idx="65">
                  <c:v>26.4072</c:v>
                </c:pt>
                <c:pt idx="66">
                  <c:v>26.813099999999999</c:v>
                </c:pt>
                <c:pt idx="67">
                  <c:v>27.221</c:v>
                </c:pt>
                <c:pt idx="68">
                  <c:v>27.6219</c:v>
                </c:pt>
                <c:pt idx="69">
                  <c:v>28.030799999999999</c:v>
                </c:pt>
                <c:pt idx="70">
                  <c:v>28.4407</c:v>
                </c:pt>
                <c:pt idx="71">
                  <c:v>28.8446</c:v>
                </c:pt>
                <c:pt idx="72">
                  <c:v>29.2515</c:v>
                </c:pt>
                <c:pt idx="73">
                  <c:v>29.6555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1.6645399999999999</c:v>
                </c:pt>
                <c:pt idx="1">
                  <c:v>1.7134099999999999</c:v>
                </c:pt>
                <c:pt idx="2">
                  <c:v>1.7618100000000001</c:v>
                </c:pt>
                <c:pt idx="3">
                  <c:v>1.8108599999999999</c:v>
                </c:pt>
                <c:pt idx="4">
                  <c:v>1.8590200000000001</c:v>
                </c:pt>
                <c:pt idx="5">
                  <c:v>1.9039700000000002</c:v>
                </c:pt>
                <c:pt idx="6">
                  <c:v>1.9490099999999999</c:v>
                </c:pt>
                <c:pt idx="7">
                  <c:v>1.9963</c:v>
                </c:pt>
                <c:pt idx="8">
                  <c:v>2.0440499999999999</c:v>
                </c:pt>
                <c:pt idx="9">
                  <c:v>2.0892599999999999</c:v>
                </c:pt>
                <c:pt idx="10">
                  <c:v>2.1337700000000002</c:v>
                </c:pt>
                <c:pt idx="11">
                  <c:v>2.17787</c:v>
                </c:pt>
                <c:pt idx="12">
                  <c:v>2.2209699999999999</c:v>
                </c:pt>
                <c:pt idx="13">
                  <c:v>2.2643499999999999</c:v>
                </c:pt>
                <c:pt idx="14">
                  <c:v>2.3065099999999998</c:v>
                </c:pt>
                <c:pt idx="15">
                  <c:v>2.3498800000000002</c:v>
                </c:pt>
                <c:pt idx="16">
                  <c:v>2.39384</c:v>
                </c:pt>
                <c:pt idx="17">
                  <c:v>2.43669</c:v>
                </c:pt>
                <c:pt idx="18">
                  <c:v>2.48495</c:v>
                </c:pt>
                <c:pt idx="19">
                  <c:v>2.5313600000000003</c:v>
                </c:pt>
                <c:pt idx="20">
                  <c:v>2.5708599999999997</c:v>
                </c:pt>
                <c:pt idx="21">
                  <c:v>2.6040600000000005</c:v>
                </c:pt>
                <c:pt idx="22">
                  <c:v>2.6316299999999999</c:v>
                </c:pt>
                <c:pt idx="23">
                  <c:v>2.65368</c:v>
                </c:pt>
                <c:pt idx="24">
                  <c:v>2.67136</c:v>
                </c:pt>
                <c:pt idx="25">
                  <c:v>2.6825199999999998</c:v>
                </c:pt>
                <c:pt idx="26">
                  <c:v>2.6898899999999997</c:v>
                </c:pt>
                <c:pt idx="27">
                  <c:v>2.6947999999999999</c:v>
                </c:pt>
                <c:pt idx="28">
                  <c:v>2.6961300000000001</c:v>
                </c:pt>
                <c:pt idx="29">
                  <c:v>2.6902300000000001</c:v>
                </c:pt>
                <c:pt idx="30">
                  <c:v>2.6812799999999997</c:v>
                </c:pt>
                <c:pt idx="31">
                  <c:v>2.6703399999999999</c:v>
                </c:pt>
                <c:pt idx="32">
                  <c:v>2.6562400000000004</c:v>
                </c:pt>
                <c:pt idx="33">
                  <c:v>2.6407599999999998</c:v>
                </c:pt>
                <c:pt idx="34">
                  <c:v>2.6239299999999997</c:v>
                </c:pt>
                <c:pt idx="35">
                  <c:v>2.6068200000000004</c:v>
                </c:pt>
                <c:pt idx="36">
                  <c:v>2.5887100000000003</c:v>
                </c:pt>
                <c:pt idx="37">
                  <c:v>2.5667099999999996</c:v>
                </c:pt>
                <c:pt idx="38">
                  <c:v>2.5432700000000001</c:v>
                </c:pt>
                <c:pt idx="39">
                  <c:v>2.5179099999999996</c:v>
                </c:pt>
                <c:pt idx="40">
                  <c:v>2.4919500000000001</c:v>
                </c:pt>
                <c:pt idx="41">
                  <c:v>2.4641799999999998</c:v>
                </c:pt>
                <c:pt idx="42">
                  <c:v>2.4369299999999998</c:v>
                </c:pt>
                <c:pt idx="43">
                  <c:v>2.4047399999999999</c:v>
                </c:pt>
                <c:pt idx="44">
                  <c:v>2.37107</c:v>
                </c:pt>
                <c:pt idx="45">
                  <c:v>2.3428100000000001</c:v>
                </c:pt>
                <c:pt idx="46">
                  <c:v>2.31691</c:v>
                </c:pt>
                <c:pt idx="47">
                  <c:v>2.2898199999999997</c:v>
                </c:pt>
                <c:pt idx="48">
                  <c:v>2.26396</c:v>
                </c:pt>
                <c:pt idx="49">
                  <c:v>2.2407499999999998</c:v>
                </c:pt>
                <c:pt idx="50">
                  <c:v>2.2215400000000001</c:v>
                </c:pt>
                <c:pt idx="51">
                  <c:v>2.2054199999999997</c:v>
                </c:pt>
                <c:pt idx="52">
                  <c:v>2.1899099999999998</c:v>
                </c:pt>
                <c:pt idx="53">
                  <c:v>2.1746400000000001</c:v>
                </c:pt>
                <c:pt idx="54">
                  <c:v>2.1647699999999999</c:v>
                </c:pt>
                <c:pt idx="55">
                  <c:v>2.1596799999999998</c:v>
                </c:pt>
                <c:pt idx="56">
                  <c:v>2.1539600000000001</c:v>
                </c:pt>
                <c:pt idx="57">
                  <c:v>2.1465399999999999</c:v>
                </c:pt>
                <c:pt idx="58">
                  <c:v>2.1410800000000001</c:v>
                </c:pt>
                <c:pt idx="59">
                  <c:v>2.1371500000000001</c:v>
                </c:pt>
                <c:pt idx="60">
                  <c:v>2.1317400000000002</c:v>
                </c:pt>
                <c:pt idx="61">
                  <c:v>2.12703</c:v>
                </c:pt>
                <c:pt idx="62">
                  <c:v>2.1281099999999999</c:v>
                </c:pt>
                <c:pt idx="63">
                  <c:v>2.1293500000000001</c:v>
                </c:pt>
                <c:pt idx="64">
                  <c:v>2.1324199999999998</c:v>
                </c:pt>
                <c:pt idx="65">
                  <c:v>2.1348099999999999</c:v>
                </c:pt>
                <c:pt idx="66">
                  <c:v>2.1369899999999999</c:v>
                </c:pt>
                <c:pt idx="67">
                  <c:v>2.1394500000000001</c:v>
                </c:pt>
                <c:pt idx="68">
                  <c:v>2.1398900000000003</c:v>
                </c:pt>
                <c:pt idx="69">
                  <c:v>2.1365600000000002</c:v>
                </c:pt>
                <c:pt idx="70">
                  <c:v>2.1310599999999997</c:v>
                </c:pt>
                <c:pt idx="71">
                  <c:v>2.1278800000000002</c:v>
                </c:pt>
                <c:pt idx="72">
                  <c:v>2.12669</c:v>
                </c:pt>
                <c:pt idx="73">
                  <c:v>2.1267900000000002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29.6555</c:v>
                </c:pt>
                <c:pt idx="1">
                  <c:v>30.061399999999999</c:v>
                </c:pt>
                <c:pt idx="2">
                  <c:v>30.500299999999999</c:v>
                </c:pt>
                <c:pt idx="3">
                  <c:v>30.9072</c:v>
                </c:pt>
                <c:pt idx="4">
                  <c:v>31.3123</c:v>
                </c:pt>
                <c:pt idx="5">
                  <c:v>31.722999999999999</c:v>
                </c:pt>
                <c:pt idx="6">
                  <c:v>32.1248</c:v>
                </c:pt>
                <c:pt idx="7">
                  <c:v>32.5319</c:v>
                </c:pt>
                <c:pt idx="8">
                  <c:v>32.939</c:v>
                </c:pt>
                <c:pt idx="9">
                  <c:v>33.3446</c:v>
                </c:pt>
                <c:pt idx="10">
                  <c:v>33.7515</c:v>
                </c:pt>
                <c:pt idx="11">
                  <c:v>34.154499999999999</c:v>
                </c:pt>
                <c:pt idx="12">
                  <c:v>34.5625</c:v>
                </c:pt>
                <c:pt idx="13">
                  <c:v>34.970500000000001</c:v>
                </c:pt>
                <c:pt idx="14">
                  <c:v>35.374200000000002</c:v>
                </c:pt>
                <c:pt idx="15">
                  <c:v>35.7821</c:v>
                </c:pt>
                <c:pt idx="16">
                  <c:v>36.186</c:v>
                </c:pt>
                <c:pt idx="17">
                  <c:v>36.5929</c:v>
                </c:pt>
                <c:pt idx="18">
                  <c:v>37.000799999999998</c:v>
                </c:pt>
                <c:pt idx="19">
                  <c:v>37.405700000000003</c:v>
                </c:pt>
                <c:pt idx="20">
                  <c:v>37.809899999999999</c:v>
                </c:pt>
                <c:pt idx="21">
                  <c:v>38.221499999999999</c:v>
                </c:pt>
                <c:pt idx="22">
                  <c:v>38.628500000000003</c:v>
                </c:pt>
                <c:pt idx="23">
                  <c:v>39.033299999999997</c:v>
                </c:pt>
                <c:pt idx="24">
                  <c:v>39.437399999999997</c:v>
                </c:pt>
                <c:pt idx="25">
                  <c:v>39.842399999999998</c:v>
                </c:pt>
                <c:pt idx="26">
                  <c:v>40.252200000000002</c:v>
                </c:pt>
                <c:pt idx="27">
                  <c:v>40.658999999999999</c:v>
                </c:pt>
                <c:pt idx="28">
                  <c:v>41.064</c:v>
                </c:pt>
                <c:pt idx="29">
                  <c:v>41.470300000000002</c:v>
                </c:pt>
                <c:pt idx="30">
                  <c:v>41.872900000000001</c:v>
                </c:pt>
                <c:pt idx="31">
                  <c:v>42.282699999999998</c:v>
                </c:pt>
                <c:pt idx="32">
                  <c:v>42.690600000000003</c:v>
                </c:pt>
                <c:pt idx="33">
                  <c:v>43.094499999999996</c:v>
                </c:pt>
                <c:pt idx="34">
                  <c:v>43.500399999999999</c:v>
                </c:pt>
                <c:pt idx="35">
                  <c:v>43.9054</c:v>
                </c:pt>
                <c:pt idx="36">
                  <c:v>44.3123</c:v>
                </c:pt>
                <c:pt idx="37">
                  <c:v>44.720700000000001</c:v>
                </c:pt>
                <c:pt idx="38">
                  <c:v>45.125100000000003</c:v>
                </c:pt>
                <c:pt idx="39">
                  <c:v>45.531999999999996</c:v>
                </c:pt>
                <c:pt idx="40">
                  <c:v>45.933900000000001</c:v>
                </c:pt>
                <c:pt idx="41">
                  <c:v>46.344799999999999</c:v>
                </c:pt>
                <c:pt idx="42">
                  <c:v>46.748600000000003</c:v>
                </c:pt>
                <c:pt idx="43">
                  <c:v>47.156599999999997</c:v>
                </c:pt>
                <c:pt idx="44">
                  <c:v>47.562600000000003</c:v>
                </c:pt>
                <c:pt idx="45">
                  <c:v>47.969799999999999</c:v>
                </c:pt>
                <c:pt idx="46">
                  <c:v>48.3765</c:v>
                </c:pt>
                <c:pt idx="47">
                  <c:v>48.783299999999997</c:v>
                </c:pt>
                <c:pt idx="48">
                  <c:v>49.190300000000001</c:v>
                </c:pt>
                <c:pt idx="49">
                  <c:v>49.592100000000002</c:v>
                </c:pt>
                <c:pt idx="50">
                  <c:v>50.000399999999999</c:v>
                </c:pt>
                <c:pt idx="51">
                  <c:v>50.406999999999996</c:v>
                </c:pt>
                <c:pt idx="52">
                  <c:v>50.811900000000001</c:v>
                </c:pt>
                <c:pt idx="53">
                  <c:v>51.220999999999997</c:v>
                </c:pt>
                <c:pt idx="54">
                  <c:v>51.625700000000002</c:v>
                </c:pt>
                <c:pt idx="55">
                  <c:v>52.028599999999997</c:v>
                </c:pt>
                <c:pt idx="56">
                  <c:v>52.436999999999998</c:v>
                </c:pt>
                <c:pt idx="57">
                  <c:v>52.847299999999997</c:v>
                </c:pt>
                <c:pt idx="58">
                  <c:v>53.251399999999997</c:v>
                </c:pt>
                <c:pt idx="59">
                  <c:v>53.656399999999998</c:v>
                </c:pt>
                <c:pt idx="60">
                  <c:v>54.061199999999999</c:v>
                </c:pt>
                <c:pt idx="61">
                  <c:v>54.467599999999997</c:v>
                </c:pt>
                <c:pt idx="62">
                  <c:v>54.876100000000001</c:v>
                </c:pt>
                <c:pt idx="63">
                  <c:v>55.283900000000003</c:v>
                </c:pt>
                <c:pt idx="64">
                  <c:v>55.687100000000001</c:v>
                </c:pt>
                <c:pt idx="65">
                  <c:v>56.093699999999998</c:v>
                </c:pt>
                <c:pt idx="66">
                  <c:v>56.499200000000002</c:v>
                </c:pt>
                <c:pt idx="67">
                  <c:v>56.9056</c:v>
                </c:pt>
                <c:pt idx="68">
                  <c:v>57.3155</c:v>
                </c:pt>
                <c:pt idx="69">
                  <c:v>57.717399999999998</c:v>
                </c:pt>
                <c:pt idx="70">
                  <c:v>58.124400000000001</c:v>
                </c:pt>
                <c:pt idx="71">
                  <c:v>58.532299999999999</c:v>
                </c:pt>
                <c:pt idx="72">
                  <c:v>58.938099999999999</c:v>
                </c:pt>
                <c:pt idx="73">
                  <c:v>59.346200000000003</c:v>
                </c:pt>
                <c:pt idx="74">
                  <c:v>59.752000000000002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2.1267900000000002</c:v>
                </c:pt>
                <c:pt idx="1">
                  <c:v>2.12988</c:v>
                </c:pt>
                <c:pt idx="2">
                  <c:v>2.13293</c:v>
                </c:pt>
                <c:pt idx="3">
                  <c:v>2.1351800000000001</c:v>
                </c:pt>
                <c:pt idx="4">
                  <c:v>2.13734</c:v>
                </c:pt>
                <c:pt idx="5">
                  <c:v>2.14154</c:v>
                </c:pt>
                <c:pt idx="6">
                  <c:v>2.14527</c:v>
                </c:pt>
                <c:pt idx="7">
                  <c:v>2.1476000000000002</c:v>
                </c:pt>
                <c:pt idx="8">
                  <c:v>2.1532200000000001</c:v>
                </c:pt>
                <c:pt idx="9">
                  <c:v>2.1615000000000002</c:v>
                </c:pt>
                <c:pt idx="10">
                  <c:v>2.16852</c:v>
                </c:pt>
                <c:pt idx="11">
                  <c:v>2.1764800000000002</c:v>
                </c:pt>
                <c:pt idx="12">
                  <c:v>2.1862300000000001</c:v>
                </c:pt>
                <c:pt idx="13">
                  <c:v>2.1963300000000001</c:v>
                </c:pt>
                <c:pt idx="14">
                  <c:v>2.2049400000000001</c:v>
                </c:pt>
                <c:pt idx="15">
                  <c:v>2.2181100000000002</c:v>
                </c:pt>
                <c:pt idx="16">
                  <c:v>2.2338900000000002</c:v>
                </c:pt>
                <c:pt idx="17">
                  <c:v>2.2508699999999999</c:v>
                </c:pt>
                <c:pt idx="18">
                  <c:v>2.27291</c:v>
                </c:pt>
                <c:pt idx="19">
                  <c:v>2.2957800000000002</c:v>
                </c:pt>
                <c:pt idx="20">
                  <c:v>2.3198300000000001</c:v>
                </c:pt>
                <c:pt idx="21">
                  <c:v>2.3447399999999998</c:v>
                </c:pt>
                <c:pt idx="22">
                  <c:v>2.3668300000000002</c:v>
                </c:pt>
                <c:pt idx="23">
                  <c:v>2.3867099999999999</c:v>
                </c:pt>
                <c:pt idx="24">
                  <c:v>2.4031700000000003</c:v>
                </c:pt>
                <c:pt idx="25">
                  <c:v>2.4159700000000002</c:v>
                </c:pt>
                <c:pt idx="26">
                  <c:v>2.4234499999999999</c:v>
                </c:pt>
                <c:pt idx="27">
                  <c:v>2.4290799999999999</c:v>
                </c:pt>
                <c:pt idx="28">
                  <c:v>2.4331900000000002</c:v>
                </c:pt>
                <c:pt idx="29">
                  <c:v>2.4372099999999999</c:v>
                </c:pt>
                <c:pt idx="30">
                  <c:v>2.4409700000000001</c:v>
                </c:pt>
                <c:pt idx="31">
                  <c:v>2.4438599999999999</c:v>
                </c:pt>
                <c:pt idx="32">
                  <c:v>2.4426700000000001</c:v>
                </c:pt>
                <c:pt idx="33">
                  <c:v>2.4374100000000003</c:v>
                </c:pt>
                <c:pt idx="34">
                  <c:v>2.4301900000000001</c:v>
                </c:pt>
                <c:pt idx="35">
                  <c:v>2.4226299999999998</c:v>
                </c:pt>
                <c:pt idx="36">
                  <c:v>2.4135300000000002</c:v>
                </c:pt>
                <c:pt idx="37">
                  <c:v>2.40307</c:v>
                </c:pt>
                <c:pt idx="38">
                  <c:v>2.3890000000000002</c:v>
                </c:pt>
                <c:pt idx="39">
                  <c:v>2.3740600000000001</c:v>
                </c:pt>
                <c:pt idx="40">
                  <c:v>2.3551099999999998</c:v>
                </c:pt>
                <c:pt idx="41">
                  <c:v>2.3319200000000002</c:v>
                </c:pt>
                <c:pt idx="42">
                  <c:v>2.30497</c:v>
                </c:pt>
                <c:pt idx="43">
                  <c:v>2.27027</c:v>
                </c:pt>
                <c:pt idx="44">
                  <c:v>2.23095</c:v>
                </c:pt>
                <c:pt idx="45">
                  <c:v>2.1901899999999999</c:v>
                </c:pt>
                <c:pt idx="46">
                  <c:v>2.1495100000000003</c:v>
                </c:pt>
                <c:pt idx="47">
                  <c:v>2.1074699999999997</c:v>
                </c:pt>
                <c:pt idx="48">
                  <c:v>2.0636299999999999</c:v>
                </c:pt>
                <c:pt idx="49">
                  <c:v>2.0239699999999998</c:v>
                </c:pt>
                <c:pt idx="50">
                  <c:v>1.98617</c:v>
                </c:pt>
                <c:pt idx="51">
                  <c:v>1.9652500000000002</c:v>
                </c:pt>
                <c:pt idx="52">
                  <c:v>1.9450000000000001</c:v>
                </c:pt>
                <c:pt idx="53">
                  <c:v>1.9251199999999999</c:v>
                </c:pt>
                <c:pt idx="54">
                  <c:v>1.90408</c:v>
                </c:pt>
                <c:pt idx="55">
                  <c:v>1.8809</c:v>
                </c:pt>
                <c:pt idx="56">
                  <c:v>1.8573</c:v>
                </c:pt>
                <c:pt idx="57">
                  <c:v>1.8373999999999999</c:v>
                </c:pt>
                <c:pt idx="58">
                  <c:v>1.8201000000000001</c:v>
                </c:pt>
                <c:pt idx="59">
                  <c:v>1.8034300000000001</c:v>
                </c:pt>
                <c:pt idx="60">
                  <c:v>1.7863599999999999</c:v>
                </c:pt>
                <c:pt idx="61">
                  <c:v>1.76708</c:v>
                </c:pt>
                <c:pt idx="62">
                  <c:v>1.7468400000000002</c:v>
                </c:pt>
                <c:pt idx="63">
                  <c:v>1.7317899999999999</c:v>
                </c:pt>
                <c:pt idx="64">
                  <c:v>1.7150599999999998</c:v>
                </c:pt>
                <c:pt idx="65">
                  <c:v>1.6933200000000002</c:v>
                </c:pt>
                <c:pt idx="66">
                  <c:v>1.6727400000000001</c:v>
                </c:pt>
                <c:pt idx="67">
                  <c:v>1.6505000000000001</c:v>
                </c:pt>
                <c:pt idx="68">
                  <c:v>1.6351599999999999</c:v>
                </c:pt>
                <c:pt idx="69">
                  <c:v>1.621</c:v>
                </c:pt>
                <c:pt idx="70">
                  <c:v>1.6028899999999999</c:v>
                </c:pt>
                <c:pt idx="71">
                  <c:v>1.5787499999999999</c:v>
                </c:pt>
                <c:pt idx="72">
                  <c:v>1.5693999999999999</c:v>
                </c:pt>
                <c:pt idx="73">
                  <c:v>1.5626100000000001</c:v>
                </c:pt>
                <c:pt idx="74">
                  <c:v>1.54304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14.938000000000001</c:v>
                </c:pt>
                <c:pt idx="1">
                  <c:v>44.814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2.2964882432432425</c:v>
                </c:pt>
                <c:pt idx="1">
                  <c:v>2.1010185135135133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0.40667999999999999</c:v>
                </c:pt>
                <c:pt idx="2">
                  <c:v>0.810253</c:v>
                </c:pt>
                <c:pt idx="3">
                  <c:v>1.2215400000000001</c:v>
                </c:pt>
                <c:pt idx="4">
                  <c:v>1.6244099999999999</c:v>
                </c:pt>
                <c:pt idx="5">
                  <c:v>2.0326599999999999</c:v>
                </c:pt>
                <c:pt idx="6">
                  <c:v>2.4401899999999999</c:v>
                </c:pt>
                <c:pt idx="7">
                  <c:v>2.8441100000000001</c:v>
                </c:pt>
                <c:pt idx="8">
                  <c:v>3.2532700000000001</c:v>
                </c:pt>
                <c:pt idx="9">
                  <c:v>3.6550799999999999</c:v>
                </c:pt>
                <c:pt idx="10">
                  <c:v>4.0618800000000004</c:v>
                </c:pt>
                <c:pt idx="11">
                  <c:v>4.4708199999999998</c:v>
                </c:pt>
                <c:pt idx="12">
                  <c:v>4.8776900000000003</c:v>
                </c:pt>
                <c:pt idx="13">
                  <c:v>5.2786299999999997</c:v>
                </c:pt>
                <c:pt idx="14">
                  <c:v>5.68954</c:v>
                </c:pt>
                <c:pt idx="15">
                  <c:v>6.0913899999999996</c:v>
                </c:pt>
                <c:pt idx="16">
                  <c:v>6.49953</c:v>
                </c:pt>
                <c:pt idx="17">
                  <c:v>6.9072300000000002</c:v>
                </c:pt>
                <c:pt idx="18">
                  <c:v>7.3171600000000003</c:v>
                </c:pt>
                <c:pt idx="19">
                  <c:v>7.7251000000000003</c:v>
                </c:pt>
                <c:pt idx="20">
                  <c:v>8.1249900000000004</c:v>
                </c:pt>
                <c:pt idx="21">
                  <c:v>8.5286600000000004</c:v>
                </c:pt>
                <c:pt idx="22">
                  <c:v>8.9398099999999996</c:v>
                </c:pt>
                <c:pt idx="23">
                  <c:v>9.3467000000000002</c:v>
                </c:pt>
                <c:pt idx="24">
                  <c:v>9.7496500000000008</c:v>
                </c:pt>
                <c:pt idx="25">
                  <c:v>10.1556</c:v>
                </c:pt>
                <c:pt idx="26">
                  <c:v>10.5627</c:v>
                </c:pt>
                <c:pt idx="27">
                  <c:v>10.968400000000001</c:v>
                </c:pt>
                <c:pt idx="28">
                  <c:v>11.375400000000001</c:v>
                </c:pt>
                <c:pt idx="29">
                  <c:v>11.783200000000001</c:v>
                </c:pt>
                <c:pt idx="30">
                  <c:v>12.1891</c:v>
                </c:pt>
                <c:pt idx="31">
                  <c:v>12.5931</c:v>
                </c:pt>
                <c:pt idx="32">
                  <c:v>12.9962</c:v>
                </c:pt>
                <c:pt idx="33">
                  <c:v>13.4061</c:v>
                </c:pt>
                <c:pt idx="34">
                  <c:v>13.812900000000001</c:v>
                </c:pt>
                <c:pt idx="35">
                  <c:v>14.219900000000001</c:v>
                </c:pt>
                <c:pt idx="36">
                  <c:v>14.624700000000001</c:v>
                </c:pt>
                <c:pt idx="37">
                  <c:v>15.031499999999999</c:v>
                </c:pt>
                <c:pt idx="38">
                  <c:v>15.4376</c:v>
                </c:pt>
                <c:pt idx="39">
                  <c:v>15.8445</c:v>
                </c:pt>
                <c:pt idx="40">
                  <c:v>16.252300000000002</c:v>
                </c:pt>
                <c:pt idx="41">
                  <c:v>16.656500000000001</c:v>
                </c:pt>
                <c:pt idx="42">
                  <c:v>17.066199999999998</c:v>
                </c:pt>
                <c:pt idx="43">
                  <c:v>17.469000000000001</c:v>
                </c:pt>
                <c:pt idx="44">
                  <c:v>17.875299999999999</c:v>
                </c:pt>
                <c:pt idx="45">
                  <c:v>18.283899999999999</c:v>
                </c:pt>
                <c:pt idx="46">
                  <c:v>18.689699999999998</c:v>
                </c:pt>
                <c:pt idx="47">
                  <c:v>19.093699999999998</c:v>
                </c:pt>
                <c:pt idx="48">
                  <c:v>19.500599999999999</c:v>
                </c:pt>
                <c:pt idx="49">
                  <c:v>19.9056</c:v>
                </c:pt>
                <c:pt idx="50">
                  <c:v>20.3124</c:v>
                </c:pt>
                <c:pt idx="51">
                  <c:v>20.723299999999998</c:v>
                </c:pt>
                <c:pt idx="52">
                  <c:v>21.124300000000002</c:v>
                </c:pt>
                <c:pt idx="53">
                  <c:v>21.534300000000002</c:v>
                </c:pt>
                <c:pt idx="54">
                  <c:v>21.9375</c:v>
                </c:pt>
                <c:pt idx="55">
                  <c:v>22.344000000000001</c:v>
                </c:pt>
                <c:pt idx="56">
                  <c:v>22.752099999999999</c:v>
                </c:pt>
                <c:pt idx="57">
                  <c:v>23.1569</c:v>
                </c:pt>
                <c:pt idx="58">
                  <c:v>23.560700000000001</c:v>
                </c:pt>
                <c:pt idx="59">
                  <c:v>23.967700000000001</c:v>
                </c:pt>
                <c:pt idx="60">
                  <c:v>24.373699999999999</c:v>
                </c:pt>
                <c:pt idx="61">
                  <c:v>24.782499999999999</c:v>
                </c:pt>
                <c:pt idx="62">
                  <c:v>25.189399999999999</c:v>
                </c:pt>
                <c:pt idx="63">
                  <c:v>25.593399999999999</c:v>
                </c:pt>
                <c:pt idx="64">
                  <c:v>25.999199999999998</c:v>
                </c:pt>
                <c:pt idx="65">
                  <c:v>26.4072</c:v>
                </c:pt>
                <c:pt idx="66">
                  <c:v>26.813099999999999</c:v>
                </c:pt>
                <c:pt idx="67">
                  <c:v>27.221</c:v>
                </c:pt>
                <c:pt idx="68">
                  <c:v>27.6219</c:v>
                </c:pt>
                <c:pt idx="69">
                  <c:v>28.030799999999999</c:v>
                </c:pt>
                <c:pt idx="70">
                  <c:v>28.4407</c:v>
                </c:pt>
                <c:pt idx="71">
                  <c:v>28.8446</c:v>
                </c:pt>
                <c:pt idx="72">
                  <c:v>29.2515</c:v>
                </c:pt>
                <c:pt idx="73">
                  <c:v>29.6555</c:v>
                </c:pt>
                <c:pt idx="74">
                  <c:v>30.061399999999999</c:v>
                </c:pt>
                <c:pt idx="75">
                  <c:v>30.500299999999999</c:v>
                </c:pt>
                <c:pt idx="76">
                  <c:v>30.9072</c:v>
                </c:pt>
                <c:pt idx="77">
                  <c:v>31.3123</c:v>
                </c:pt>
                <c:pt idx="78">
                  <c:v>31.722999999999999</c:v>
                </c:pt>
                <c:pt idx="79">
                  <c:v>32.1248</c:v>
                </c:pt>
                <c:pt idx="80">
                  <c:v>32.5319</c:v>
                </c:pt>
                <c:pt idx="81">
                  <c:v>32.939</c:v>
                </c:pt>
                <c:pt idx="82">
                  <c:v>33.3446</c:v>
                </c:pt>
                <c:pt idx="83">
                  <c:v>33.7515</c:v>
                </c:pt>
                <c:pt idx="84">
                  <c:v>34.154499999999999</c:v>
                </c:pt>
                <c:pt idx="85">
                  <c:v>34.5625</c:v>
                </c:pt>
                <c:pt idx="86">
                  <c:v>34.970500000000001</c:v>
                </c:pt>
                <c:pt idx="87">
                  <c:v>35.374200000000002</c:v>
                </c:pt>
                <c:pt idx="88">
                  <c:v>35.7821</c:v>
                </c:pt>
                <c:pt idx="89">
                  <c:v>36.186</c:v>
                </c:pt>
                <c:pt idx="90">
                  <c:v>36.5929</c:v>
                </c:pt>
                <c:pt idx="91">
                  <c:v>37.000799999999998</c:v>
                </c:pt>
                <c:pt idx="92">
                  <c:v>37.405700000000003</c:v>
                </c:pt>
                <c:pt idx="93">
                  <c:v>37.809899999999999</c:v>
                </c:pt>
                <c:pt idx="94">
                  <c:v>38.221499999999999</c:v>
                </c:pt>
                <c:pt idx="95">
                  <c:v>38.628500000000003</c:v>
                </c:pt>
                <c:pt idx="96">
                  <c:v>39.033299999999997</c:v>
                </c:pt>
                <c:pt idx="97">
                  <c:v>39.437399999999997</c:v>
                </c:pt>
                <c:pt idx="98">
                  <c:v>39.842399999999998</c:v>
                </c:pt>
                <c:pt idx="99">
                  <c:v>40.252200000000002</c:v>
                </c:pt>
                <c:pt idx="100">
                  <c:v>40.658999999999999</c:v>
                </c:pt>
                <c:pt idx="101">
                  <c:v>41.064</c:v>
                </c:pt>
                <c:pt idx="102">
                  <c:v>41.470300000000002</c:v>
                </c:pt>
                <c:pt idx="103">
                  <c:v>41.872900000000001</c:v>
                </c:pt>
                <c:pt idx="104">
                  <c:v>42.282699999999998</c:v>
                </c:pt>
                <c:pt idx="105">
                  <c:v>42.690600000000003</c:v>
                </c:pt>
                <c:pt idx="106">
                  <c:v>43.094499999999996</c:v>
                </c:pt>
                <c:pt idx="107">
                  <c:v>43.500399999999999</c:v>
                </c:pt>
                <c:pt idx="108">
                  <c:v>43.9054</c:v>
                </c:pt>
                <c:pt idx="109">
                  <c:v>44.3123</c:v>
                </c:pt>
                <c:pt idx="110">
                  <c:v>44.720700000000001</c:v>
                </c:pt>
                <c:pt idx="111">
                  <c:v>45.125100000000003</c:v>
                </c:pt>
                <c:pt idx="112">
                  <c:v>45.531999999999996</c:v>
                </c:pt>
                <c:pt idx="113">
                  <c:v>45.933900000000001</c:v>
                </c:pt>
                <c:pt idx="114">
                  <c:v>46.344799999999999</c:v>
                </c:pt>
                <c:pt idx="115">
                  <c:v>46.748600000000003</c:v>
                </c:pt>
                <c:pt idx="116">
                  <c:v>47.156599999999997</c:v>
                </c:pt>
                <c:pt idx="117">
                  <c:v>47.562600000000003</c:v>
                </c:pt>
                <c:pt idx="118">
                  <c:v>47.969799999999999</c:v>
                </c:pt>
                <c:pt idx="119">
                  <c:v>48.3765</c:v>
                </c:pt>
                <c:pt idx="120">
                  <c:v>48.783299999999997</c:v>
                </c:pt>
                <c:pt idx="121">
                  <c:v>49.190300000000001</c:v>
                </c:pt>
                <c:pt idx="122">
                  <c:v>49.592100000000002</c:v>
                </c:pt>
                <c:pt idx="123">
                  <c:v>50.000399999999999</c:v>
                </c:pt>
                <c:pt idx="124">
                  <c:v>50.406999999999996</c:v>
                </c:pt>
                <c:pt idx="125">
                  <c:v>50.811900000000001</c:v>
                </c:pt>
                <c:pt idx="126">
                  <c:v>51.220999999999997</c:v>
                </c:pt>
                <c:pt idx="127">
                  <c:v>51.625700000000002</c:v>
                </c:pt>
                <c:pt idx="128">
                  <c:v>52.028599999999997</c:v>
                </c:pt>
                <c:pt idx="129">
                  <c:v>52.436999999999998</c:v>
                </c:pt>
                <c:pt idx="130">
                  <c:v>52.847299999999997</c:v>
                </c:pt>
                <c:pt idx="131">
                  <c:v>53.251399999999997</c:v>
                </c:pt>
                <c:pt idx="132">
                  <c:v>53.656399999999998</c:v>
                </c:pt>
                <c:pt idx="133">
                  <c:v>54.061199999999999</c:v>
                </c:pt>
                <c:pt idx="134">
                  <c:v>54.467599999999997</c:v>
                </c:pt>
                <c:pt idx="135">
                  <c:v>54.876100000000001</c:v>
                </c:pt>
                <c:pt idx="136">
                  <c:v>55.283900000000003</c:v>
                </c:pt>
                <c:pt idx="137">
                  <c:v>55.687100000000001</c:v>
                </c:pt>
                <c:pt idx="138">
                  <c:v>56.093699999999998</c:v>
                </c:pt>
                <c:pt idx="139">
                  <c:v>56.499200000000002</c:v>
                </c:pt>
                <c:pt idx="140">
                  <c:v>56.9056</c:v>
                </c:pt>
                <c:pt idx="141">
                  <c:v>57.3155</c:v>
                </c:pt>
                <c:pt idx="142">
                  <c:v>57.717399999999998</c:v>
                </c:pt>
                <c:pt idx="143">
                  <c:v>58.124400000000001</c:v>
                </c:pt>
                <c:pt idx="144">
                  <c:v>58.532299999999999</c:v>
                </c:pt>
                <c:pt idx="145">
                  <c:v>58.938099999999999</c:v>
                </c:pt>
                <c:pt idx="146">
                  <c:v>59.346200000000003</c:v>
                </c:pt>
                <c:pt idx="147">
                  <c:v>59.752000000000002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57.584199999999996</c:v>
                </c:pt>
                <c:pt idx="1">
                  <c:v>56.755100000000006</c:v>
                </c:pt>
                <c:pt idx="2">
                  <c:v>55.909799999999997</c:v>
                </c:pt>
                <c:pt idx="3">
                  <c:v>54.982500000000002</c:v>
                </c:pt>
                <c:pt idx="4">
                  <c:v>54.063000000000002</c:v>
                </c:pt>
                <c:pt idx="5">
                  <c:v>53.061499999999995</c:v>
                </c:pt>
                <c:pt idx="6">
                  <c:v>52.022199999999998</c:v>
                </c:pt>
                <c:pt idx="7">
                  <c:v>50.764200000000002</c:v>
                </c:pt>
                <c:pt idx="8">
                  <c:v>49.5289</c:v>
                </c:pt>
                <c:pt idx="9">
                  <c:v>48.428800000000003</c:v>
                </c:pt>
                <c:pt idx="10">
                  <c:v>47.397399999999998</c:v>
                </c:pt>
                <c:pt idx="11">
                  <c:v>46.371200000000002</c:v>
                </c:pt>
                <c:pt idx="12">
                  <c:v>45.305700000000002</c:v>
                </c:pt>
                <c:pt idx="13">
                  <c:v>44.260599999999997</c:v>
                </c:pt>
                <c:pt idx="14">
                  <c:v>43.258099999999999</c:v>
                </c:pt>
                <c:pt idx="15">
                  <c:v>42.177100000000003</c:v>
                </c:pt>
                <c:pt idx="16">
                  <c:v>41.075299999999999</c:v>
                </c:pt>
                <c:pt idx="17">
                  <c:v>39.956099999999999</c:v>
                </c:pt>
                <c:pt idx="18">
                  <c:v>38.996199999999995</c:v>
                </c:pt>
                <c:pt idx="19">
                  <c:v>38.209800000000001</c:v>
                </c:pt>
                <c:pt idx="20">
                  <c:v>37.661299999999997</c:v>
                </c:pt>
                <c:pt idx="21">
                  <c:v>37.308700000000002</c:v>
                </c:pt>
                <c:pt idx="22">
                  <c:v>37.075399999999995</c:v>
                </c:pt>
                <c:pt idx="23">
                  <c:v>36.9343</c:v>
                </c:pt>
                <c:pt idx="24">
                  <c:v>36.8626</c:v>
                </c:pt>
                <c:pt idx="25">
                  <c:v>36.9024</c:v>
                </c:pt>
                <c:pt idx="26">
                  <c:v>36.994399999999999</c:v>
                </c:pt>
                <c:pt idx="27">
                  <c:v>37.123699999999999</c:v>
                </c:pt>
                <c:pt idx="28">
                  <c:v>37.2776</c:v>
                </c:pt>
                <c:pt idx="29">
                  <c:v>37.454300000000003</c:v>
                </c:pt>
                <c:pt idx="30">
                  <c:v>37.604199999999999</c:v>
                </c:pt>
                <c:pt idx="31">
                  <c:v>37.799199999999999</c:v>
                </c:pt>
                <c:pt idx="32">
                  <c:v>38.055599999999998</c:v>
                </c:pt>
                <c:pt idx="33">
                  <c:v>38.340699999999998</c:v>
                </c:pt>
                <c:pt idx="34">
                  <c:v>38.615600000000001</c:v>
                </c:pt>
                <c:pt idx="35">
                  <c:v>38.923499999999997</c:v>
                </c:pt>
                <c:pt idx="36">
                  <c:v>39.289299999999997</c:v>
                </c:pt>
                <c:pt idx="37">
                  <c:v>39.694299999999998</c:v>
                </c:pt>
                <c:pt idx="38">
                  <c:v>40.1417</c:v>
                </c:pt>
                <c:pt idx="39">
                  <c:v>40.611399999999996</c:v>
                </c:pt>
                <c:pt idx="40">
                  <c:v>41.216200000000001</c:v>
                </c:pt>
                <c:pt idx="41">
                  <c:v>41.906599999999997</c:v>
                </c:pt>
                <c:pt idx="42">
                  <c:v>42.691499999999998</c:v>
                </c:pt>
                <c:pt idx="43">
                  <c:v>43.5242</c:v>
                </c:pt>
                <c:pt idx="44">
                  <c:v>44.407899999999998</c:v>
                </c:pt>
                <c:pt idx="45">
                  <c:v>45.201599999999999</c:v>
                </c:pt>
                <c:pt idx="46">
                  <c:v>45.902100000000004</c:v>
                </c:pt>
                <c:pt idx="47">
                  <c:v>46.562899999999999</c:v>
                </c:pt>
                <c:pt idx="48">
                  <c:v>47.1783</c:v>
                </c:pt>
                <c:pt idx="49">
                  <c:v>47.771500000000003</c:v>
                </c:pt>
                <c:pt idx="50">
                  <c:v>48.213899999999995</c:v>
                </c:pt>
                <c:pt idx="51">
                  <c:v>48.572700000000005</c:v>
                </c:pt>
                <c:pt idx="52">
                  <c:v>48.884999999999998</c:v>
                </c:pt>
                <c:pt idx="53">
                  <c:v>49.179299999999998</c:v>
                </c:pt>
                <c:pt idx="54">
                  <c:v>49.347900000000003</c:v>
                </c:pt>
                <c:pt idx="55">
                  <c:v>49.474000000000004</c:v>
                </c:pt>
                <c:pt idx="56">
                  <c:v>49.5871</c:v>
                </c:pt>
                <c:pt idx="57">
                  <c:v>49.682200000000002</c:v>
                </c:pt>
                <c:pt idx="58">
                  <c:v>49.7517</c:v>
                </c:pt>
                <c:pt idx="59">
                  <c:v>49.808999999999997</c:v>
                </c:pt>
                <c:pt idx="60">
                  <c:v>49.8795</c:v>
                </c:pt>
                <c:pt idx="61">
                  <c:v>49.935099999999998</c:v>
                </c:pt>
                <c:pt idx="62">
                  <c:v>49.885300000000001</c:v>
                </c:pt>
                <c:pt idx="63">
                  <c:v>49.843600000000002</c:v>
                </c:pt>
                <c:pt idx="64">
                  <c:v>49.761099999999999</c:v>
                </c:pt>
                <c:pt idx="65">
                  <c:v>49.668800000000005</c:v>
                </c:pt>
                <c:pt idx="66">
                  <c:v>49.6021</c:v>
                </c:pt>
                <c:pt idx="67">
                  <c:v>49.514800000000001</c:v>
                </c:pt>
                <c:pt idx="68">
                  <c:v>49.477900000000005</c:v>
                </c:pt>
                <c:pt idx="69">
                  <c:v>49.522300000000001</c:v>
                </c:pt>
                <c:pt idx="70">
                  <c:v>49.629100000000001</c:v>
                </c:pt>
                <c:pt idx="71">
                  <c:v>49.717199999999998</c:v>
                </c:pt>
                <c:pt idx="72">
                  <c:v>49.823900000000002</c:v>
                </c:pt>
                <c:pt idx="73">
                  <c:v>49.913499999999999</c:v>
                </c:pt>
                <c:pt idx="74">
                  <c:v>49.911799999999999</c:v>
                </c:pt>
                <c:pt idx="75">
                  <c:v>49.893000000000001</c:v>
                </c:pt>
                <c:pt idx="76">
                  <c:v>49.926600000000001</c:v>
                </c:pt>
                <c:pt idx="77">
                  <c:v>49.967199999999998</c:v>
                </c:pt>
                <c:pt idx="78">
                  <c:v>49.953800000000001</c:v>
                </c:pt>
                <c:pt idx="79">
                  <c:v>49.936199999999999</c:v>
                </c:pt>
                <c:pt idx="80">
                  <c:v>49.915700000000001</c:v>
                </c:pt>
                <c:pt idx="81">
                  <c:v>49.813200000000002</c:v>
                </c:pt>
                <c:pt idx="82">
                  <c:v>49.702800000000003</c:v>
                </c:pt>
                <c:pt idx="83">
                  <c:v>49.626399999999997</c:v>
                </c:pt>
                <c:pt idx="84">
                  <c:v>49.508099999999999</c:v>
                </c:pt>
                <c:pt idx="85">
                  <c:v>49.418700000000001</c:v>
                </c:pt>
                <c:pt idx="86">
                  <c:v>49.3003</c:v>
                </c:pt>
                <c:pt idx="87">
                  <c:v>49.177799999999998</c:v>
                </c:pt>
                <c:pt idx="88">
                  <c:v>48.914900000000003</c:v>
                </c:pt>
                <c:pt idx="89">
                  <c:v>48.588700000000003</c:v>
                </c:pt>
                <c:pt idx="90">
                  <c:v>48.198999999999998</c:v>
                </c:pt>
                <c:pt idx="91">
                  <c:v>47.649700000000003</c:v>
                </c:pt>
                <c:pt idx="92">
                  <c:v>47.044799999999995</c:v>
                </c:pt>
                <c:pt idx="93">
                  <c:v>46.441300000000005</c:v>
                </c:pt>
                <c:pt idx="94">
                  <c:v>45.878</c:v>
                </c:pt>
                <c:pt idx="95">
                  <c:v>45.443300000000001</c:v>
                </c:pt>
                <c:pt idx="96">
                  <c:v>45.021999999999998</c:v>
                </c:pt>
                <c:pt idx="97">
                  <c:v>44.693199999999997</c:v>
                </c:pt>
                <c:pt idx="98">
                  <c:v>44.415500000000002</c:v>
                </c:pt>
                <c:pt idx="99">
                  <c:v>44.185000000000002</c:v>
                </c:pt>
                <c:pt idx="100">
                  <c:v>44.017499999999998</c:v>
                </c:pt>
                <c:pt idx="101">
                  <c:v>43.856299999999997</c:v>
                </c:pt>
                <c:pt idx="102">
                  <c:v>43.708599999999997</c:v>
                </c:pt>
                <c:pt idx="103">
                  <c:v>43.568899999999999</c:v>
                </c:pt>
                <c:pt idx="104">
                  <c:v>43.4527</c:v>
                </c:pt>
                <c:pt idx="105">
                  <c:v>43.382199999999997</c:v>
                </c:pt>
                <c:pt idx="106">
                  <c:v>43.341000000000001</c:v>
                </c:pt>
                <c:pt idx="107">
                  <c:v>43.3048</c:v>
                </c:pt>
                <c:pt idx="108">
                  <c:v>43.2515</c:v>
                </c:pt>
                <c:pt idx="109">
                  <c:v>43.229700000000001</c:v>
                </c:pt>
                <c:pt idx="110">
                  <c:v>43.156399999999998</c:v>
                </c:pt>
                <c:pt idx="111">
                  <c:v>43.053100000000001</c:v>
                </c:pt>
                <c:pt idx="112">
                  <c:v>42.964700000000001</c:v>
                </c:pt>
                <c:pt idx="113">
                  <c:v>42.967300000000002</c:v>
                </c:pt>
                <c:pt idx="114">
                  <c:v>43.0595</c:v>
                </c:pt>
                <c:pt idx="115">
                  <c:v>43.282399999999996</c:v>
                </c:pt>
                <c:pt idx="116">
                  <c:v>43.663200000000003</c:v>
                </c:pt>
                <c:pt idx="117">
                  <c:v>44.214700000000001</c:v>
                </c:pt>
                <c:pt idx="118">
                  <c:v>44.872</c:v>
                </c:pt>
                <c:pt idx="119">
                  <c:v>45.580399999999997</c:v>
                </c:pt>
                <c:pt idx="120">
                  <c:v>46.241599999999998</c:v>
                </c:pt>
                <c:pt idx="121">
                  <c:v>47.043700000000001</c:v>
                </c:pt>
                <c:pt idx="122">
                  <c:v>47.761399999999995</c:v>
                </c:pt>
                <c:pt idx="123">
                  <c:v>48.4482</c:v>
                </c:pt>
                <c:pt idx="124">
                  <c:v>48.988199999999999</c:v>
                </c:pt>
                <c:pt idx="125">
                  <c:v>49.464700000000001</c:v>
                </c:pt>
                <c:pt idx="126">
                  <c:v>49.884399999999999</c:v>
                </c:pt>
                <c:pt idx="127">
                  <c:v>50.322199999999995</c:v>
                </c:pt>
                <c:pt idx="128">
                  <c:v>50.846100000000007</c:v>
                </c:pt>
                <c:pt idx="129">
                  <c:v>51.365200000000002</c:v>
                </c:pt>
                <c:pt idx="130">
                  <c:v>51.703600000000009</c:v>
                </c:pt>
                <c:pt idx="131">
                  <c:v>51.951000000000001</c:v>
                </c:pt>
                <c:pt idx="132">
                  <c:v>52.137299999999996</c:v>
                </c:pt>
                <c:pt idx="133">
                  <c:v>52.3401</c:v>
                </c:pt>
                <c:pt idx="134">
                  <c:v>52.581000000000003</c:v>
                </c:pt>
                <c:pt idx="135">
                  <c:v>52.841800000000006</c:v>
                </c:pt>
                <c:pt idx="136">
                  <c:v>53.0486</c:v>
                </c:pt>
                <c:pt idx="137">
                  <c:v>53.311900000000001</c:v>
                </c:pt>
                <c:pt idx="138">
                  <c:v>53.705800000000004</c:v>
                </c:pt>
                <c:pt idx="139">
                  <c:v>54.015899999999995</c:v>
                </c:pt>
                <c:pt idx="140">
                  <c:v>54.271499999999996</c:v>
                </c:pt>
                <c:pt idx="141">
                  <c:v>54.496699999999997</c:v>
                </c:pt>
                <c:pt idx="142">
                  <c:v>54.760100000000001</c:v>
                </c:pt>
                <c:pt idx="143">
                  <c:v>55.14</c:v>
                </c:pt>
                <c:pt idx="144">
                  <c:v>55.837000000000003</c:v>
                </c:pt>
                <c:pt idx="145">
                  <c:v>56.315000000000005</c:v>
                </c:pt>
                <c:pt idx="146">
                  <c:v>56.635999999999996</c:v>
                </c:pt>
                <c:pt idx="147">
                  <c:v>57.177199999999992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0.40667999999999999</c:v>
                </c:pt>
                <c:pt idx="2">
                  <c:v>0.810253</c:v>
                </c:pt>
                <c:pt idx="3">
                  <c:v>1.2215400000000001</c:v>
                </c:pt>
                <c:pt idx="4">
                  <c:v>1.6244099999999999</c:v>
                </c:pt>
                <c:pt idx="5">
                  <c:v>2.0326599999999999</c:v>
                </c:pt>
                <c:pt idx="6">
                  <c:v>2.4401899999999999</c:v>
                </c:pt>
                <c:pt idx="7">
                  <c:v>2.8441100000000001</c:v>
                </c:pt>
                <c:pt idx="8">
                  <c:v>3.2532700000000001</c:v>
                </c:pt>
                <c:pt idx="9">
                  <c:v>3.6550799999999999</c:v>
                </c:pt>
                <c:pt idx="10">
                  <c:v>4.0618800000000004</c:v>
                </c:pt>
                <c:pt idx="11">
                  <c:v>4.4708199999999998</c:v>
                </c:pt>
                <c:pt idx="12">
                  <c:v>4.8776900000000003</c:v>
                </c:pt>
                <c:pt idx="13">
                  <c:v>5.2786299999999997</c:v>
                </c:pt>
                <c:pt idx="14">
                  <c:v>5.68954</c:v>
                </c:pt>
                <c:pt idx="15">
                  <c:v>6.0913899999999996</c:v>
                </c:pt>
                <c:pt idx="16">
                  <c:v>6.49953</c:v>
                </c:pt>
                <c:pt idx="17">
                  <c:v>6.9072300000000002</c:v>
                </c:pt>
                <c:pt idx="18">
                  <c:v>7.3171600000000003</c:v>
                </c:pt>
                <c:pt idx="19">
                  <c:v>7.7251000000000003</c:v>
                </c:pt>
                <c:pt idx="20">
                  <c:v>8.1249900000000004</c:v>
                </c:pt>
                <c:pt idx="21">
                  <c:v>8.5286600000000004</c:v>
                </c:pt>
                <c:pt idx="22">
                  <c:v>8.9398099999999996</c:v>
                </c:pt>
                <c:pt idx="23">
                  <c:v>9.3467000000000002</c:v>
                </c:pt>
                <c:pt idx="24">
                  <c:v>9.7496500000000008</c:v>
                </c:pt>
                <c:pt idx="25">
                  <c:v>10.1556</c:v>
                </c:pt>
                <c:pt idx="26">
                  <c:v>10.5627</c:v>
                </c:pt>
                <c:pt idx="27">
                  <c:v>10.968400000000001</c:v>
                </c:pt>
                <c:pt idx="28">
                  <c:v>11.375400000000001</c:v>
                </c:pt>
                <c:pt idx="29">
                  <c:v>11.783200000000001</c:v>
                </c:pt>
                <c:pt idx="30">
                  <c:v>12.1891</c:v>
                </c:pt>
                <c:pt idx="31">
                  <c:v>12.5931</c:v>
                </c:pt>
                <c:pt idx="32">
                  <c:v>12.9962</c:v>
                </c:pt>
                <c:pt idx="33">
                  <c:v>13.4061</c:v>
                </c:pt>
                <c:pt idx="34">
                  <c:v>13.812900000000001</c:v>
                </c:pt>
                <c:pt idx="35">
                  <c:v>14.219900000000001</c:v>
                </c:pt>
                <c:pt idx="36">
                  <c:v>14.624700000000001</c:v>
                </c:pt>
                <c:pt idx="37">
                  <c:v>15.031499999999999</c:v>
                </c:pt>
                <c:pt idx="38">
                  <c:v>15.4376</c:v>
                </c:pt>
                <c:pt idx="39">
                  <c:v>15.8445</c:v>
                </c:pt>
                <c:pt idx="40">
                  <c:v>16.252300000000002</c:v>
                </c:pt>
                <c:pt idx="41">
                  <c:v>16.656500000000001</c:v>
                </c:pt>
                <c:pt idx="42">
                  <c:v>17.066199999999998</c:v>
                </c:pt>
                <c:pt idx="43">
                  <c:v>17.469000000000001</c:v>
                </c:pt>
                <c:pt idx="44">
                  <c:v>17.875299999999999</c:v>
                </c:pt>
                <c:pt idx="45">
                  <c:v>18.283899999999999</c:v>
                </c:pt>
                <c:pt idx="46">
                  <c:v>18.689699999999998</c:v>
                </c:pt>
                <c:pt idx="47">
                  <c:v>19.093699999999998</c:v>
                </c:pt>
                <c:pt idx="48">
                  <c:v>19.500599999999999</c:v>
                </c:pt>
                <c:pt idx="49">
                  <c:v>19.9056</c:v>
                </c:pt>
                <c:pt idx="50">
                  <c:v>20.3124</c:v>
                </c:pt>
                <c:pt idx="51">
                  <c:v>20.723299999999998</c:v>
                </c:pt>
                <c:pt idx="52">
                  <c:v>21.124300000000002</c:v>
                </c:pt>
                <c:pt idx="53">
                  <c:v>21.534300000000002</c:v>
                </c:pt>
                <c:pt idx="54">
                  <c:v>21.9375</c:v>
                </c:pt>
                <c:pt idx="55">
                  <c:v>22.344000000000001</c:v>
                </c:pt>
                <c:pt idx="56">
                  <c:v>22.752099999999999</c:v>
                </c:pt>
                <c:pt idx="57">
                  <c:v>23.1569</c:v>
                </c:pt>
                <c:pt idx="58">
                  <c:v>23.560700000000001</c:v>
                </c:pt>
                <c:pt idx="59">
                  <c:v>23.967700000000001</c:v>
                </c:pt>
                <c:pt idx="60">
                  <c:v>24.373699999999999</c:v>
                </c:pt>
                <c:pt idx="61">
                  <c:v>24.782499999999999</c:v>
                </c:pt>
                <c:pt idx="62">
                  <c:v>25.189399999999999</c:v>
                </c:pt>
                <c:pt idx="63">
                  <c:v>25.593399999999999</c:v>
                </c:pt>
                <c:pt idx="64">
                  <c:v>25.999199999999998</c:v>
                </c:pt>
                <c:pt idx="65">
                  <c:v>26.4072</c:v>
                </c:pt>
                <c:pt idx="66">
                  <c:v>26.813099999999999</c:v>
                </c:pt>
                <c:pt idx="67">
                  <c:v>27.221</c:v>
                </c:pt>
                <c:pt idx="68">
                  <c:v>27.6219</c:v>
                </c:pt>
                <c:pt idx="69">
                  <c:v>28.030799999999999</c:v>
                </c:pt>
                <c:pt idx="70">
                  <c:v>28.4407</c:v>
                </c:pt>
                <c:pt idx="71">
                  <c:v>28.8446</c:v>
                </c:pt>
                <c:pt idx="72">
                  <c:v>29.2515</c:v>
                </c:pt>
                <c:pt idx="73">
                  <c:v>29.6555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57.584199999999996</c:v>
                </c:pt>
                <c:pt idx="1">
                  <c:v>56.755100000000006</c:v>
                </c:pt>
                <c:pt idx="2">
                  <c:v>55.909799999999997</c:v>
                </c:pt>
                <c:pt idx="3">
                  <c:v>54.982500000000002</c:v>
                </c:pt>
                <c:pt idx="4">
                  <c:v>54.063000000000002</c:v>
                </c:pt>
                <c:pt idx="5">
                  <c:v>53.061499999999995</c:v>
                </c:pt>
                <c:pt idx="6">
                  <c:v>52.022199999999998</c:v>
                </c:pt>
                <c:pt idx="7">
                  <c:v>50.764200000000002</c:v>
                </c:pt>
                <c:pt idx="8">
                  <c:v>49.5289</c:v>
                </c:pt>
                <c:pt idx="9">
                  <c:v>48.428800000000003</c:v>
                </c:pt>
                <c:pt idx="10">
                  <c:v>47.397399999999998</c:v>
                </c:pt>
                <c:pt idx="11">
                  <c:v>46.371200000000002</c:v>
                </c:pt>
                <c:pt idx="12">
                  <c:v>45.305700000000002</c:v>
                </c:pt>
                <c:pt idx="13">
                  <c:v>44.260599999999997</c:v>
                </c:pt>
                <c:pt idx="14">
                  <c:v>43.258099999999999</c:v>
                </c:pt>
                <c:pt idx="15">
                  <c:v>42.177100000000003</c:v>
                </c:pt>
                <c:pt idx="16">
                  <c:v>41.075299999999999</c:v>
                </c:pt>
                <c:pt idx="17">
                  <c:v>39.956099999999999</c:v>
                </c:pt>
                <c:pt idx="18">
                  <c:v>38.996199999999995</c:v>
                </c:pt>
                <c:pt idx="19">
                  <c:v>38.209800000000001</c:v>
                </c:pt>
                <c:pt idx="20">
                  <c:v>37.661299999999997</c:v>
                </c:pt>
                <c:pt idx="21">
                  <c:v>37.308700000000002</c:v>
                </c:pt>
                <c:pt idx="22">
                  <c:v>37.075399999999995</c:v>
                </c:pt>
                <c:pt idx="23">
                  <c:v>36.9343</c:v>
                </c:pt>
                <c:pt idx="24">
                  <c:v>36.8626</c:v>
                </c:pt>
                <c:pt idx="25">
                  <c:v>36.9024</c:v>
                </c:pt>
                <c:pt idx="26">
                  <c:v>36.994399999999999</c:v>
                </c:pt>
                <c:pt idx="27">
                  <c:v>37.123699999999999</c:v>
                </c:pt>
                <c:pt idx="28">
                  <c:v>37.2776</c:v>
                </c:pt>
                <c:pt idx="29">
                  <c:v>37.454300000000003</c:v>
                </c:pt>
                <c:pt idx="30">
                  <c:v>37.604199999999999</c:v>
                </c:pt>
                <c:pt idx="31">
                  <c:v>37.799199999999999</c:v>
                </c:pt>
                <c:pt idx="32">
                  <c:v>38.055599999999998</c:v>
                </c:pt>
                <c:pt idx="33">
                  <c:v>38.340699999999998</c:v>
                </c:pt>
                <c:pt idx="34">
                  <c:v>38.615600000000001</c:v>
                </c:pt>
                <c:pt idx="35">
                  <c:v>38.923499999999997</c:v>
                </c:pt>
                <c:pt idx="36">
                  <c:v>39.289299999999997</c:v>
                </c:pt>
                <c:pt idx="37">
                  <c:v>39.694299999999998</c:v>
                </c:pt>
                <c:pt idx="38">
                  <c:v>40.1417</c:v>
                </c:pt>
                <c:pt idx="39">
                  <c:v>40.611399999999996</c:v>
                </c:pt>
                <c:pt idx="40">
                  <c:v>41.216200000000001</c:v>
                </c:pt>
                <c:pt idx="41">
                  <c:v>41.906599999999997</c:v>
                </c:pt>
                <c:pt idx="42">
                  <c:v>42.691499999999998</c:v>
                </c:pt>
                <c:pt idx="43">
                  <c:v>43.5242</c:v>
                </c:pt>
                <c:pt idx="44">
                  <c:v>44.407899999999998</c:v>
                </c:pt>
                <c:pt idx="45">
                  <c:v>45.201599999999999</c:v>
                </c:pt>
                <c:pt idx="46">
                  <c:v>45.902100000000004</c:v>
                </c:pt>
                <c:pt idx="47">
                  <c:v>46.562899999999999</c:v>
                </c:pt>
                <c:pt idx="48">
                  <c:v>47.1783</c:v>
                </c:pt>
                <c:pt idx="49">
                  <c:v>47.771500000000003</c:v>
                </c:pt>
                <c:pt idx="50">
                  <c:v>48.213899999999995</c:v>
                </c:pt>
                <c:pt idx="51">
                  <c:v>48.572700000000005</c:v>
                </c:pt>
                <c:pt idx="52">
                  <c:v>48.884999999999998</c:v>
                </c:pt>
                <c:pt idx="53">
                  <c:v>49.179299999999998</c:v>
                </c:pt>
                <c:pt idx="54">
                  <c:v>49.347900000000003</c:v>
                </c:pt>
                <c:pt idx="55">
                  <c:v>49.474000000000004</c:v>
                </c:pt>
                <c:pt idx="56">
                  <c:v>49.5871</c:v>
                </c:pt>
                <c:pt idx="57">
                  <c:v>49.682200000000002</c:v>
                </c:pt>
                <c:pt idx="58">
                  <c:v>49.7517</c:v>
                </c:pt>
                <c:pt idx="59">
                  <c:v>49.808999999999997</c:v>
                </c:pt>
                <c:pt idx="60">
                  <c:v>49.8795</c:v>
                </c:pt>
                <c:pt idx="61">
                  <c:v>49.935099999999998</c:v>
                </c:pt>
                <c:pt idx="62">
                  <c:v>49.885300000000001</c:v>
                </c:pt>
                <c:pt idx="63">
                  <c:v>49.843600000000002</c:v>
                </c:pt>
                <c:pt idx="64">
                  <c:v>49.761099999999999</c:v>
                </c:pt>
                <c:pt idx="65">
                  <c:v>49.668800000000005</c:v>
                </c:pt>
                <c:pt idx="66">
                  <c:v>49.6021</c:v>
                </c:pt>
                <c:pt idx="67">
                  <c:v>49.514800000000001</c:v>
                </c:pt>
                <c:pt idx="68">
                  <c:v>49.477900000000005</c:v>
                </c:pt>
                <c:pt idx="69">
                  <c:v>49.522300000000001</c:v>
                </c:pt>
                <c:pt idx="70">
                  <c:v>49.629100000000001</c:v>
                </c:pt>
                <c:pt idx="71">
                  <c:v>49.717199999999998</c:v>
                </c:pt>
                <c:pt idx="72">
                  <c:v>49.823900000000002</c:v>
                </c:pt>
                <c:pt idx="73">
                  <c:v>49.913499999999999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29.6555</c:v>
                </c:pt>
                <c:pt idx="1">
                  <c:v>30.061399999999999</c:v>
                </c:pt>
                <c:pt idx="2">
                  <c:v>30.500299999999999</c:v>
                </c:pt>
                <c:pt idx="3">
                  <c:v>30.9072</c:v>
                </c:pt>
                <c:pt idx="4">
                  <c:v>31.3123</c:v>
                </c:pt>
                <c:pt idx="5">
                  <c:v>31.722999999999999</c:v>
                </c:pt>
                <c:pt idx="6">
                  <c:v>32.1248</c:v>
                </c:pt>
                <c:pt idx="7">
                  <c:v>32.5319</c:v>
                </c:pt>
                <c:pt idx="8">
                  <c:v>32.939</c:v>
                </c:pt>
                <c:pt idx="9">
                  <c:v>33.3446</c:v>
                </c:pt>
                <c:pt idx="10">
                  <c:v>33.7515</c:v>
                </c:pt>
                <c:pt idx="11">
                  <c:v>34.154499999999999</c:v>
                </c:pt>
                <c:pt idx="12">
                  <c:v>34.5625</c:v>
                </c:pt>
                <c:pt idx="13">
                  <c:v>34.970500000000001</c:v>
                </c:pt>
                <c:pt idx="14">
                  <c:v>35.374200000000002</c:v>
                </c:pt>
                <c:pt idx="15">
                  <c:v>35.7821</c:v>
                </c:pt>
                <c:pt idx="16">
                  <c:v>36.186</c:v>
                </c:pt>
                <c:pt idx="17">
                  <c:v>36.5929</c:v>
                </c:pt>
                <c:pt idx="18">
                  <c:v>37.000799999999998</c:v>
                </c:pt>
                <c:pt idx="19">
                  <c:v>37.405700000000003</c:v>
                </c:pt>
                <c:pt idx="20">
                  <c:v>37.809899999999999</c:v>
                </c:pt>
                <c:pt idx="21">
                  <c:v>38.221499999999999</c:v>
                </c:pt>
                <c:pt idx="22">
                  <c:v>38.628500000000003</c:v>
                </c:pt>
                <c:pt idx="23">
                  <c:v>39.033299999999997</c:v>
                </c:pt>
                <c:pt idx="24">
                  <c:v>39.437399999999997</c:v>
                </c:pt>
                <c:pt idx="25">
                  <c:v>39.842399999999998</c:v>
                </c:pt>
                <c:pt idx="26">
                  <c:v>40.252200000000002</c:v>
                </c:pt>
                <c:pt idx="27">
                  <c:v>40.658999999999999</c:v>
                </c:pt>
                <c:pt idx="28">
                  <c:v>41.064</c:v>
                </c:pt>
                <c:pt idx="29">
                  <c:v>41.470300000000002</c:v>
                </c:pt>
                <c:pt idx="30">
                  <c:v>41.872900000000001</c:v>
                </c:pt>
                <c:pt idx="31">
                  <c:v>42.282699999999998</c:v>
                </c:pt>
                <c:pt idx="32">
                  <c:v>42.690600000000003</c:v>
                </c:pt>
                <c:pt idx="33">
                  <c:v>43.094499999999996</c:v>
                </c:pt>
                <c:pt idx="34">
                  <c:v>43.500399999999999</c:v>
                </c:pt>
                <c:pt idx="35">
                  <c:v>43.9054</c:v>
                </c:pt>
                <c:pt idx="36">
                  <c:v>44.3123</c:v>
                </c:pt>
                <c:pt idx="37">
                  <c:v>44.720700000000001</c:v>
                </c:pt>
                <c:pt idx="38">
                  <c:v>45.125100000000003</c:v>
                </c:pt>
                <c:pt idx="39">
                  <c:v>45.531999999999996</c:v>
                </c:pt>
                <c:pt idx="40">
                  <c:v>45.933900000000001</c:v>
                </c:pt>
                <c:pt idx="41">
                  <c:v>46.344799999999999</c:v>
                </c:pt>
                <c:pt idx="42">
                  <c:v>46.748600000000003</c:v>
                </c:pt>
                <c:pt idx="43">
                  <c:v>47.156599999999997</c:v>
                </c:pt>
                <c:pt idx="44">
                  <c:v>47.562600000000003</c:v>
                </c:pt>
                <c:pt idx="45">
                  <c:v>47.969799999999999</c:v>
                </c:pt>
                <c:pt idx="46">
                  <c:v>48.3765</c:v>
                </c:pt>
                <c:pt idx="47">
                  <c:v>48.783299999999997</c:v>
                </c:pt>
                <c:pt idx="48">
                  <c:v>49.190300000000001</c:v>
                </c:pt>
                <c:pt idx="49">
                  <c:v>49.592100000000002</c:v>
                </c:pt>
                <c:pt idx="50">
                  <c:v>50.000399999999999</c:v>
                </c:pt>
                <c:pt idx="51">
                  <c:v>50.406999999999996</c:v>
                </c:pt>
                <c:pt idx="52">
                  <c:v>50.811900000000001</c:v>
                </c:pt>
                <c:pt idx="53">
                  <c:v>51.220999999999997</c:v>
                </c:pt>
                <c:pt idx="54">
                  <c:v>51.625700000000002</c:v>
                </c:pt>
                <c:pt idx="55">
                  <c:v>52.028599999999997</c:v>
                </c:pt>
                <c:pt idx="56">
                  <c:v>52.436999999999998</c:v>
                </c:pt>
                <c:pt idx="57">
                  <c:v>52.847299999999997</c:v>
                </c:pt>
                <c:pt idx="58">
                  <c:v>53.251399999999997</c:v>
                </c:pt>
                <c:pt idx="59">
                  <c:v>53.656399999999998</c:v>
                </c:pt>
                <c:pt idx="60">
                  <c:v>54.061199999999999</c:v>
                </c:pt>
                <c:pt idx="61">
                  <c:v>54.467599999999997</c:v>
                </c:pt>
                <c:pt idx="62">
                  <c:v>54.876100000000001</c:v>
                </c:pt>
                <c:pt idx="63">
                  <c:v>55.283900000000003</c:v>
                </c:pt>
                <c:pt idx="64">
                  <c:v>55.687100000000001</c:v>
                </c:pt>
                <c:pt idx="65">
                  <c:v>56.093699999999998</c:v>
                </c:pt>
                <c:pt idx="66">
                  <c:v>56.499200000000002</c:v>
                </c:pt>
                <c:pt idx="67">
                  <c:v>56.9056</c:v>
                </c:pt>
                <c:pt idx="68">
                  <c:v>57.3155</c:v>
                </c:pt>
                <c:pt idx="69">
                  <c:v>57.717399999999998</c:v>
                </c:pt>
                <c:pt idx="70">
                  <c:v>58.124400000000001</c:v>
                </c:pt>
                <c:pt idx="71">
                  <c:v>58.532299999999999</c:v>
                </c:pt>
                <c:pt idx="72">
                  <c:v>58.938099999999999</c:v>
                </c:pt>
                <c:pt idx="73">
                  <c:v>59.346200000000003</c:v>
                </c:pt>
                <c:pt idx="74">
                  <c:v>59.752000000000002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49.913499999999999</c:v>
                </c:pt>
                <c:pt idx="1">
                  <c:v>49.911799999999999</c:v>
                </c:pt>
                <c:pt idx="2">
                  <c:v>49.893000000000001</c:v>
                </c:pt>
                <c:pt idx="3">
                  <c:v>49.926600000000001</c:v>
                </c:pt>
                <c:pt idx="4">
                  <c:v>49.967199999999998</c:v>
                </c:pt>
                <c:pt idx="5">
                  <c:v>49.953800000000001</c:v>
                </c:pt>
                <c:pt idx="6">
                  <c:v>49.936199999999999</c:v>
                </c:pt>
                <c:pt idx="7">
                  <c:v>49.915700000000001</c:v>
                </c:pt>
                <c:pt idx="8">
                  <c:v>49.813200000000002</c:v>
                </c:pt>
                <c:pt idx="9">
                  <c:v>49.702800000000003</c:v>
                </c:pt>
                <c:pt idx="10">
                  <c:v>49.626399999999997</c:v>
                </c:pt>
                <c:pt idx="11">
                  <c:v>49.508099999999999</c:v>
                </c:pt>
                <c:pt idx="12">
                  <c:v>49.418700000000001</c:v>
                </c:pt>
                <c:pt idx="13">
                  <c:v>49.3003</c:v>
                </c:pt>
                <c:pt idx="14">
                  <c:v>49.177799999999998</c:v>
                </c:pt>
                <c:pt idx="15">
                  <c:v>48.914900000000003</c:v>
                </c:pt>
                <c:pt idx="16">
                  <c:v>48.588700000000003</c:v>
                </c:pt>
                <c:pt idx="17">
                  <c:v>48.198999999999998</c:v>
                </c:pt>
                <c:pt idx="18">
                  <c:v>47.649700000000003</c:v>
                </c:pt>
                <c:pt idx="19">
                  <c:v>47.044799999999995</c:v>
                </c:pt>
                <c:pt idx="20">
                  <c:v>46.441300000000005</c:v>
                </c:pt>
                <c:pt idx="21">
                  <c:v>45.878</c:v>
                </c:pt>
                <c:pt idx="22">
                  <c:v>45.443300000000001</c:v>
                </c:pt>
                <c:pt idx="23">
                  <c:v>45.021999999999998</c:v>
                </c:pt>
                <c:pt idx="24">
                  <c:v>44.693199999999997</c:v>
                </c:pt>
                <c:pt idx="25">
                  <c:v>44.415500000000002</c:v>
                </c:pt>
                <c:pt idx="26">
                  <c:v>44.185000000000002</c:v>
                </c:pt>
                <c:pt idx="27">
                  <c:v>44.017499999999998</c:v>
                </c:pt>
                <c:pt idx="28">
                  <c:v>43.856299999999997</c:v>
                </c:pt>
                <c:pt idx="29">
                  <c:v>43.708599999999997</c:v>
                </c:pt>
                <c:pt idx="30">
                  <c:v>43.568899999999999</c:v>
                </c:pt>
                <c:pt idx="31">
                  <c:v>43.4527</c:v>
                </c:pt>
                <c:pt idx="32">
                  <c:v>43.382199999999997</c:v>
                </c:pt>
                <c:pt idx="33">
                  <c:v>43.341000000000001</c:v>
                </c:pt>
                <c:pt idx="34">
                  <c:v>43.3048</c:v>
                </c:pt>
                <c:pt idx="35">
                  <c:v>43.2515</c:v>
                </c:pt>
                <c:pt idx="36">
                  <c:v>43.229700000000001</c:v>
                </c:pt>
                <c:pt idx="37">
                  <c:v>43.156399999999998</c:v>
                </c:pt>
                <c:pt idx="38">
                  <c:v>43.053100000000001</c:v>
                </c:pt>
                <c:pt idx="39">
                  <c:v>42.964700000000001</c:v>
                </c:pt>
                <c:pt idx="40">
                  <c:v>42.967300000000002</c:v>
                </c:pt>
                <c:pt idx="41">
                  <c:v>43.0595</c:v>
                </c:pt>
                <c:pt idx="42">
                  <c:v>43.282399999999996</c:v>
                </c:pt>
                <c:pt idx="43">
                  <c:v>43.663200000000003</c:v>
                </c:pt>
                <c:pt idx="44">
                  <c:v>44.214700000000001</c:v>
                </c:pt>
                <c:pt idx="45">
                  <c:v>44.872</c:v>
                </c:pt>
                <c:pt idx="46">
                  <c:v>45.580399999999997</c:v>
                </c:pt>
                <c:pt idx="47">
                  <c:v>46.241599999999998</c:v>
                </c:pt>
                <c:pt idx="48">
                  <c:v>47.043700000000001</c:v>
                </c:pt>
                <c:pt idx="49">
                  <c:v>47.761399999999995</c:v>
                </c:pt>
                <c:pt idx="50">
                  <c:v>48.4482</c:v>
                </c:pt>
                <c:pt idx="51">
                  <c:v>48.988199999999999</c:v>
                </c:pt>
                <c:pt idx="52">
                  <c:v>49.464700000000001</c:v>
                </c:pt>
                <c:pt idx="53">
                  <c:v>49.884399999999999</c:v>
                </c:pt>
                <c:pt idx="54">
                  <c:v>50.322199999999995</c:v>
                </c:pt>
                <c:pt idx="55">
                  <c:v>50.846100000000007</c:v>
                </c:pt>
                <c:pt idx="56">
                  <c:v>51.365200000000002</c:v>
                </c:pt>
                <c:pt idx="57">
                  <c:v>51.703600000000009</c:v>
                </c:pt>
                <c:pt idx="58">
                  <c:v>51.951000000000001</c:v>
                </c:pt>
                <c:pt idx="59">
                  <c:v>52.137299999999996</c:v>
                </c:pt>
                <c:pt idx="60">
                  <c:v>52.3401</c:v>
                </c:pt>
                <c:pt idx="61">
                  <c:v>52.581000000000003</c:v>
                </c:pt>
                <c:pt idx="62">
                  <c:v>52.841800000000006</c:v>
                </c:pt>
                <c:pt idx="63">
                  <c:v>53.0486</c:v>
                </c:pt>
                <c:pt idx="64">
                  <c:v>53.311900000000001</c:v>
                </c:pt>
                <c:pt idx="65">
                  <c:v>53.705800000000004</c:v>
                </c:pt>
                <c:pt idx="66">
                  <c:v>54.015899999999995</c:v>
                </c:pt>
                <c:pt idx="67">
                  <c:v>54.271499999999996</c:v>
                </c:pt>
                <c:pt idx="68">
                  <c:v>54.496699999999997</c:v>
                </c:pt>
                <c:pt idx="69">
                  <c:v>54.760100000000001</c:v>
                </c:pt>
                <c:pt idx="70">
                  <c:v>55.14</c:v>
                </c:pt>
                <c:pt idx="71">
                  <c:v>55.837000000000003</c:v>
                </c:pt>
                <c:pt idx="72">
                  <c:v>56.315000000000005</c:v>
                </c:pt>
                <c:pt idx="73">
                  <c:v>56.635999999999996</c:v>
                </c:pt>
                <c:pt idx="74">
                  <c:v>57.177199999999992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14.938000000000001</c:v>
                </c:pt>
                <c:pt idx="1">
                  <c:v>44.814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45.348887837837836</c:v>
                </c:pt>
                <c:pt idx="1">
                  <c:v>48.474190540540562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34.2241</c:v>
                </c:pt>
                <c:pt idx="1">
                  <c:v>49.019799999999996</c:v>
                </c:pt>
                <c:pt idx="2">
                  <c:v>34.222900000000003</c:v>
                </c:pt>
                <c:pt idx="3">
                  <c:v>41.025500000000001</c:v>
                </c:pt>
                <c:pt idx="4">
                  <c:v>60.1342</c:v>
                </c:pt>
                <c:pt idx="5">
                  <c:v>63.5886</c:v>
                </c:pt>
                <c:pt idx="6">
                  <c:v>11.794499999999999</c:v>
                </c:pt>
                <c:pt idx="7">
                  <c:v>60.537799999999997</c:v>
                </c:pt>
                <c:pt idx="8">
                  <c:v>14.1394</c:v>
                </c:pt>
                <c:pt idx="9">
                  <c:v>39.121200000000002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33.395499999999998</c:v>
                </c:pt>
                <c:pt idx="1">
                  <c:v>45.968200000000003</c:v>
                </c:pt>
                <c:pt idx="2">
                  <c:v>36.801099999999998</c:v>
                </c:pt>
                <c:pt idx="3">
                  <c:v>37.881900000000002</c:v>
                </c:pt>
                <c:pt idx="4">
                  <c:v>61.139499999999998</c:v>
                </c:pt>
                <c:pt idx="5">
                  <c:v>51.209499999999998</c:v>
                </c:pt>
                <c:pt idx="6">
                  <c:v>11.372299999999999</c:v>
                </c:pt>
                <c:pt idx="7">
                  <c:v>56.215600000000002</c:v>
                </c:pt>
                <c:pt idx="8">
                  <c:v>14.154999999999999</c:v>
                </c:pt>
                <c:pt idx="9">
                  <c:v>19.6418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0.42521893705188335</c:v>
                </c:pt>
                <c:pt idx="1">
                  <c:v>0.34374993222266703</c:v>
                </c:pt>
                <c:pt idx="2">
                  <c:v>0.23103113072544951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15957</c:v>
                </c:pt>
                <c:pt idx="7">
                  <c:v>0</c:v>
                </c:pt>
                <c:pt idx="8">
                  <c:v>16515</c:v>
                </c:pt>
                <c:pt idx="9">
                  <c:v>0</c:v>
                </c:pt>
                <c:pt idx="10">
                  <c:v>0</c:v>
                </c:pt>
                <c:pt idx="11">
                  <c:v>18635</c:v>
                </c:pt>
                <c:pt idx="12">
                  <c:v>0</c:v>
                </c:pt>
                <c:pt idx="13">
                  <c:v>24349</c:v>
                </c:pt>
                <c:pt idx="14">
                  <c:v>0</c:v>
                </c:pt>
                <c:pt idx="15">
                  <c:v>0</c:v>
                </c:pt>
                <c:pt idx="16">
                  <c:v>29059</c:v>
                </c:pt>
                <c:pt idx="17">
                  <c:v>0</c:v>
                </c:pt>
                <c:pt idx="18">
                  <c:v>0</c:v>
                </c:pt>
                <c:pt idx="19">
                  <c:v>25998</c:v>
                </c:pt>
                <c:pt idx="20">
                  <c:v>0</c:v>
                </c:pt>
                <c:pt idx="21">
                  <c:v>33574</c:v>
                </c:pt>
                <c:pt idx="22">
                  <c:v>0</c:v>
                </c:pt>
                <c:pt idx="23">
                  <c:v>0</c:v>
                </c:pt>
                <c:pt idx="24">
                  <c:v>31087</c:v>
                </c:pt>
                <c:pt idx="25">
                  <c:v>0</c:v>
                </c:pt>
                <c:pt idx="26">
                  <c:v>35115</c:v>
                </c:pt>
                <c:pt idx="27">
                  <c:v>0</c:v>
                </c:pt>
                <c:pt idx="28">
                  <c:v>0</c:v>
                </c:pt>
                <c:pt idx="29">
                  <c:v>38541</c:v>
                </c:pt>
                <c:pt idx="30">
                  <c:v>0</c:v>
                </c:pt>
                <c:pt idx="31">
                  <c:v>40861</c:v>
                </c:pt>
                <c:pt idx="32">
                  <c:v>0</c:v>
                </c:pt>
                <c:pt idx="33">
                  <c:v>0</c:v>
                </c:pt>
                <c:pt idx="34">
                  <c:v>48952</c:v>
                </c:pt>
                <c:pt idx="35">
                  <c:v>0</c:v>
                </c:pt>
                <c:pt idx="36">
                  <c:v>0</c:v>
                </c:pt>
                <c:pt idx="37">
                  <c:v>49453</c:v>
                </c:pt>
                <c:pt idx="38">
                  <c:v>0</c:v>
                </c:pt>
                <c:pt idx="39">
                  <c:v>47818</c:v>
                </c:pt>
                <c:pt idx="40">
                  <c:v>0</c:v>
                </c:pt>
                <c:pt idx="41">
                  <c:v>0</c:v>
                </c:pt>
                <c:pt idx="42">
                  <c:v>45937</c:v>
                </c:pt>
                <c:pt idx="43">
                  <c:v>0</c:v>
                </c:pt>
                <c:pt idx="44">
                  <c:v>51136</c:v>
                </c:pt>
                <c:pt idx="45">
                  <c:v>0</c:v>
                </c:pt>
                <c:pt idx="46">
                  <c:v>0</c:v>
                </c:pt>
                <c:pt idx="47">
                  <c:v>43565</c:v>
                </c:pt>
                <c:pt idx="48">
                  <c:v>0</c:v>
                </c:pt>
                <c:pt idx="49">
                  <c:v>43280</c:v>
                </c:pt>
                <c:pt idx="50">
                  <c:v>0</c:v>
                </c:pt>
                <c:pt idx="51">
                  <c:v>0</c:v>
                </c:pt>
                <c:pt idx="52">
                  <c:v>40234</c:v>
                </c:pt>
                <c:pt idx="53">
                  <c:v>0</c:v>
                </c:pt>
                <c:pt idx="54">
                  <c:v>0</c:v>
                </c:pt>
                <c:pt idx="55">
                  <c:v>38424</c:v>
                </c:pt>
                <c:pt idx="56">
                  <c:v>0</c:v>
                </c:pt>
                <c:pt idx="57">
                  <c:v>38813</c:v>
                </c:pt>
                <c:pt idx="58">
                  <c:v>0</c:v>
                </c:pt>
                <c:pt idx="59">
                  <c:v>0</c:v>
                </c:pt>
                <c:pt idx="60">
                  <c:v>38056</c:v>
                </c:pt>
                <c:pt idx="61">
                  <c:v>0</c:v>
                </c:pt>
                <c:pt idx="62">
                  <c:v>38948</c:v>
                </c:pt>
                <c:pt idx="63">
                  <c:v>0</c:v>
                </c:pt>
                <c:pt idx="64">
                  <c:v>0</c:v>
                </c:pt>
                <c:pt idx="65">
                  <c:v>39940</c:v>
                </c:pt>
                <c:pt idx="66">
                  <c:v>0</c:v>
                </c:pt>
                <c:pt idx="67">
                  <c:v>41077</c:v>
                </c:pt>
                <c:pt idx="68">
                  <c:v>0</c:v>
                </c:pt>
                <c:pt idx="69">
                  <c:v>0</c:v>
                </c:pt>
                <c:pt idx="70">
                  <c:v>41454</c:v>
                </c:pt>
                <c:pt idx="71">
                  <c:v>0</c:v>
                </c:pt>
                <c:pt idx="72">
                  <c:v>0</c:v>
                </c:pt>
                <c:pt idx="73">
                  <c:v>38547</c:v>
                </c:pt>
                <c:pt idx="74">
                  <c:v>0</c:v>
                </c:pt>
                <c:pt idx="75">
                  <c:v>39905</c:v>
                </c:pt>
                <c:pt idx="76">
                  <c:v>0</c:v>
                </c:pt>
                <c:pt idx="77">
                  <c:v>0</c:v>
                </c:pt>
                <c:pt idx="78">
                  <c:v>36654</c:v>
                </c:pt>
                <c:pt idx="79">
                  <c:v>0</c:v>
                </c:pt>
                <c:pt idx="80">
                  <c:v>30527</c:v>
                </c:pt>
                <c:pt idx="81">
                  <c:v>0</c:v>
                </c:pt>
                <c:pt idx="82">
                  <c:v>0</c:v>
                </c:pt>
                <c:pt idx="83">
                  <c:v>27756</c:v>
                </c:pt>
                <c:pt idx="84">
                  <c:v>0</c:v>
                </c:pt>
                <c:pt idx="85">
                  <c:v>0</c:v>
                </c:pt>
                <c:pt idx="86">
                  <c:v>27344</c:v>
                </c:pt>
                <c:pt idx="87">
                  <c:v>0</c:v>
                </c:pt>
                <c:pt idx="88">
                  <c:v>24995</c:v>
                </c:pt>
                <c:pt idx="89">
                  <c:v>0</c:v>
                </c:pt>
                <c:pt idx="90">
                  <c:v>0</c:v>
                </c:pt>
                <c:pt idx="91">
                  <c:v>22910</c:v>
                </c:pt>
                <c:pt idx="92">
                  <c:v>0</c:v>
                </c:pt>
                <c:pt idx="93">
                  <c:v>23926</c:v>
                </c:pt>
                <c:pt idx="94">
                  <c:v>0</c:v>
                </c:pt>
                <c:pt idx="95">
                  <c:v>0</c:v>
                </c:pt>
                <c:pt idx="96">
                  <c:v>24555</c:v>
                </c:pt>
                <c:pt idx="97">
                  <c:v>0</c:v>
                </c:pt>
                <c:pt idx="98">
                  <c:v>21420</c:v>
                </c:pt>
                <c:pt idx="99">
                  <c:v>0</c:v>
                </c:pt>
                <c:pt idx="100">
                  <c:v>0</c:v>
                </c:pt>
                <c:pt idx="101">
                  <c:v>18361</c:v>
                </c:pt>
                <c:pt idx="102">
                  <c:v>0</c:v>
                </c:pt>
                <c:pt idx="103">
                  <c:v>0</c:v>
                </c:pt>
                <c:pt idx="104">
                  <c:v>18518</c:v>
                </c:pt>
                <c:pt idx="105">
                  <c:v>0</c:v>
                </c:pt>
                <c:pt idx="106">
                  <c:v>15000</c:v>
                </c:pt>
                <c:pt idx="107">
                  <c:v>0</c:v>
                </c:pt>
                <c:pt idx="108">
                  <c:v>0</c:v>
                </c:pt>
                <c:pt idx="109">
                  <c:v>15313</c:v>
                </c:pt>
                <c:pt idx="110">
                  <c:v>0</c:v>
                </c:pt>
                <c:pt idx="111">
                  <c:v>14310</c:v>
                </c:pt>
                <c:pt idx="112">
                  <c:v>0</c:v>
                </c:pt>
                <c:pt idx="113">
                  <c:v>0</c:v>
                </c:pt>
                <c:pt idx="114">
                  <c:v>9690</c:v>
                </c:pt>
                <c:pt idx="115">
                  <c:v>0</c:v>
                </c:pt>
                <c:pt idx="116">
                  <c:v>8774</c:v>
                </c:pt>
                <c:pt idx="117">
                  <c:v>0</c:v>
                </c:pt>
                <c:pt idx="118">
                  <c:v>0</c:v>
                </c:pt>
                <c:pt idx="119">
                  <c:v>7369</c:v>
                </c:pt>
                <c:pt idx="120">
                  <c:v>0</c:v>
                </c:pt>
                <c:pt idx="121">
                  <c:v>0</c:v>
                </c:pt>
                <c:pt idx="122">
                  <c:v>6749</c:v>
                </c:pt>
                <c:pt idx="123">
                  <c:v>0</c:v>
                </c:pt>
                <c:pt idx="124">
                  <c:v>6292</c:v>
                </c:pt>
                <c:pt idx="125">
                  <c:v>0</c:v>
                </c:pt>
                <c:pt idx="126">
                  <c:v>0</c:v>
                </c:pt>
                <c:pt idx="127">
                  <c:v>4411</c:v>
                </c:pt>
                <c:pt idx="128">
                  <c:v>0</c:v>
                </c:pt>
                <c:pt idx="129">
                  <c:v>3544</c:v>
                </c:pt>
                <c:pt idx="130">
                  <c:v>0</c:v>
                </c:pt>
                <c:pt idx="131">
                  <c:v>0</c:v>
                </c:pt>
                <c:pt idx="132">
                  <c:v>2336</c:v>
                </c:pt>
                <c:pt idx="133">
                  <c:v>0</c:v>
                </c:pt>
                <c:pt idx="134">
                  <c:v>1607</c:v>
                </c:pt>
                <c:pt idx="135">
                  <c:v>0</c:v>
                </c:pt>
                <c:pt idx="136">
                  <c:v>0</c:v>
                </c:pt>
                <c:pt idx="137">
                  <c:v>507</c:v>
                </c:pt>
                <c:pt idx="138">
                  <c:v>0</c:v>
                </c:pt>
                <c:pt idx="139">
                  <c:v>0</c:v>
                </c:pt>
                <c:pt idx="140">
                  <c:v>371</c:v>
                </c:pt>
                <c:pt idx="141">
                  <c:v>0</c:v>
                </c:pt>
                <c:pt idx="142">
                  <c:v>487</c:v>
                </c:pt>
                <c:pt idx="143">
                  <c:v>0</c:v>
                </c:pt>
                <c:pt idx="144">
                  <c:v>0</c:v>
                </c:pt>
                <c:pt idx="145">
                  <c:v>273</c:v>
                </c:pt>
                <c:pt idx="146">
                  <c:v>0</c:v>
                </c:pt>
                <c:pt idx="147">
                  <c:v>437</c:v>
                </c:pt>
                <c:pt idx="148">
                  <c:v>0</c:v>
                </c:pt>
                <c:pt idx="149">
                  <c:v>0</c:v>
                </c:pt>
                <c:pt idx="150">
                  <c:v>129</c:v>
                </c:pt>
                <c:pt idx="151">
                  <c:v>0</c:v>
                </c:pt>
                <c:pt idx="152">
                  <c:v>81</c:v>
                </c:pt>
                <c:pt idx="153">
                  <c:v>0</c:v>
                </c:pt>
                <c:pt idx="154">
                  <c:v>0</c:v>
                </c:pt>
                <c:pt idx="155">
                  <c:v>76</c:v>
                </c:pt>
                <c:pt idx="156">
                  <c:v>0</c:v>
                </c:pt>
                <c:pt idx="157">
                  <c:v>0</c:v>
                </c:pt>
                <c:pt idx="158">
                  <c:v>36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12916</c:v>
                </c:pt>
                <c:pt idx="7">
                  <c:v>0</c:v>
                </c:pt>
                <c:pt idx="8">
                  <c:v>18831</c:v>
                </c:pt>
                <c:pt idx="9">
                  <c:v>0</c:v>
                </c:pt>
                <c:pt idx="10">
                  <c:v>0</c:v>
                </c:pt>
                <c:pt idx="11">
                  <c:v>20869</c:v>
                </c:pt>
                <c:pt idx="12">
                  <c:v>0</c:v>
                </c:pt>
                <c:pt idx="13">
                  <c:v>28236</c:v>
                </c:pt>
                <c:pt idx="14">
                  <c:v>0</c:v>
                </c:pt>
                <c:pt idx="15">
                  <c:v>0</c:v>
                </c:pt>
                <c:pt idx="16">
                  <c:v>34455</c:v>
                </c:pt>
                <c:pt idx="17">
                  <c:v>0</c:v>
                </c:pt>
                <c:pt idx="18">
                  <c:v>0</c:v>
                </c:pt>
                <c:pt idx="19">
                  <c:v>36171</c:v>
                </c:pt>
                <c:pt idx="20">
                  <c:v>0</c:v>
                </c:pt>
                <c:pt idx="21">
                  <c:v>38810</c:v>
                </c:pt>
                <c:pt idx="22">
                  <c:v>0</c:v>
                </c:pt>
                <c:pt idx="23">
                  <c:v>0</c:v>
                </c:pt>
                <c:pt idx="24">
                  <c:v>40948</c:v>
                </c:pt>
                <c:pt idx="25">
                  <c:v>0</c:v>
                </c:pt>
                <c:pt idx="26">
                  <c:v>44497</c:v>
                </c:pt>
                <c:pt idx="27">
                  <c:v>0</c:v>
                </c:pt>
                <c:pt idx="28">
                  <c:v>0</c:v>
                </c:pt>
                <c:pt idx="29">
                  <c:v>45195</c:v>
                </c:pt>
                <c:pt idx="30">
                  <c:v>0</c:v>
                </c:pt>
                <c:pt idx="31">
                  <c:v>46725</c:v>
                </c:pt>
                <c:pt idx="32">
                  <c:v>0</c:v>
                </c:pt>
                <c:pt idx="33">
                  <c:v>0</c:v>
                </c:pt>
                <c:pt idx="34">
                  <c:v>47517</c:v>
                </c:pt>
                <c:pt idx="35">
                  <c:v>0</c:v>
                </c:pt>
                <c:pt idx="36">
                  <c:v>0</c:v>
                </c:pt>
                <c:pt idx="37">
                  <c:v>49528</c:v>
                </c:pt>
                <c:pt idx="38">
                  <c:v>0</c:v>
                </c:pt>
                <c:pt idx="39">
                  <c:v>50094</c:v>
                </c:pt>
                <c:pt idx="40">
                  <c:v>0</c:v>
                </c:pt>
                <c:pt idx="41">
                  <c:v>0</c:v>
                </c:pt>
                <c:pt idx="42">
                  <c:v>42443</c:v>
                </c:pt>
                <c:pt idx="43">
                  <c:v>0</c:v>
                </c:pt>
                <c:pt idx="44">
                  <c:v>42777</c:v>
                </c:pt>
                <c:pt idx="45">
                  <c:v>0</c:v>
                </c:pt>
                <c:pt idx="46">
                  <c:v>0</c:v>
                </c:pt>
                <c:pt idx="47">
                  <c:v>44104</c:v>
                </c:pt>
                <c:pt idx="48">
                  <c:v>0</c:v>
                </c:pt>
                <c:pt idx="49">
                  <c:v>44162</c:v>
                </c:pt>
                <c:pt idx="50">
                  <c:v>0</c:v>
                </c:pt>
                <c:pt idx="51">
                  <c:v>0</c:v>
                </c:pt>
                <c:pt idx="52">
                  <c:v>41660</c:v>
                </c:pt>
                <c:pt idx="53">
                  <c:v>0</c:v>
                </c:pt>
                <c:pt idx="54">
                  <c:v>0</c:v>
                </c:pt>
                <c:pt idx="55">
                  <c:v>39224</c:v>
                </c:pt>
                <c:pt idx="56">
                  <c:v>0</c:v>
                </c:pt>
                <c:pt idx="57">
                  <c:v>42584</c:v>
                </c:pt>
                <c:pt idx="58">
                  <c:v>0</c:v>
                </c:pt>
                <c:pt idx="59">
                  <c:v>0</c:v>
                </c:pt>
                <c:pt idx="60">
                  <c:v>41170</c:v>
                </c:pt>
                <c:pt idx="61">
                  <c:v>0</c:v>
                </c:pt>
                <c:pt idx="62">
                  <c:v>45841</c:v>
                </c:pt>
                <c:pt idx="63">
                  <c:v>0</c:v>
                </c:pt>
                <c:pt idx="64">
                  <c:v>0</c:v>
                </c:pt>
                <c:pt idx="65">
                  <c:v>49337</c:v>
                </c:pt>
                <c:pt idx="66">
                  <c:v>0</c:v>
                </c:pt>
                <c:pt idx="67">
                  <c:v>53172</c:v>
                </c:pt>
                <c:pt idx="68">
                  <c:v>0</c:v>
                </c:pt>
                <c:pt idx="69">
                  <c:v>0</c:v>
                </c:pt>
                <c:pt idx="70">
                  <c:v>50960</c:v>
                </c:pt>
                <c:pt idx="71">
                  <c:v>0</c:v>
                </c:pt>
                <c:pt idx="72">
                  <c:v>0</c:v>
                </c:pt>
                <c:pt idx="73">
                  <c:v>47037</c:v>
                </c:pt>
                <c:pt idx="74">
                  <c:v>0</c:v>
                </c:pt>
                <c:pt idx="75">
                  <c:v>46004</c:v>
                </c:pt>
                <c:pt idx="76">
                  <c:v>0</c:v>
                </c:pt>
                <c:pt idx="77">
                  <c:v>0</c:v>
                </c:pt>
                <c:pt idx="78">
                  <c:v>49339</c:v>
                </c:pt>
                <c:pt idx="79">
                  <c:v>0</c:v>
                </c:pt>
                <c:pt idx="80">
                  <c:v>46644</c:v>
                </c:pt>
                <c:pt idx="81">
                  <c:v>0</c:v>
                </c:pt>
                <c:pt idx="82">
                  <c:v>0</c:v>
                </c:pt>
                <c:pt idx="83">
                  <c:v>41765</c:v>
                </c:pt>
                <c:pt idx="84">
                  <c:v>0</c:v>
                </c:pt>
                <c:pt idx="85">
                  <c:v>0</c:v>
                </c:pt>
                <c:pt idx="86">
                  <c:v>39260</c:v>
                </c:pt>
                <c:pt idx="87">
                  <c:v>0</c:v>
                </c:pt>
                <c:pt idx="88">
                  <c:v>32794</c:v>
                </c:pt>
                <c:pt idx="89">
                  <c:v>0</c:v>
                </c:pt>
                <c:pt idx="90">
                  <c:v>0</c:v>
                </c:pt>
                <c:pt idx="91">
                  <c:v>28463</c:v>
                </c:pt>
                <c:pt idx="92">
                  <c:v>0</c:v>
                </c:pt>
                <c:pt idx="93">
                  <c:v>26368</c:v>
                </c:pt>
                <c:pt idx="94">
                  <c:v>0</c:v>
                </c:pt>
                <c:pt idx="95">
                  <c:v>0</c:v>
                </c:pt>
                <c:pt idx="96">
                  <c:v>20875</c:v>
                </c:pt>
                <c:pt idx="97">
                  <c:v>0</c:v>
                </c:pt>
                <c:pt idx="98">
                  <c:v>21453</c:v>
                </c:pt>
                <c:pt idx="99">
                  <c:v>0</c:v>
                </c:pt>
                <c:pt idx="100">
                  <c:v>0</c:v>
                </c:pt>
                <c:pt idx="101">
                  <c:v>17091</c:v>
                </c:pt>
                <c:pt idx="102">
                  <c:v>0</c:v>
                </c:pt>
                <c:pt idx="103">
                  <c:v>0</c:v>
                </c:pt>
                <c:pt idx="104">
                  <c:v>14274</c:v>
                </c:pt>
                <c:pt idx="105">
                  <c:v>0</c:v>
                </c:pt>
                <c:pt idx="106">
                  <c:v>13764</c:v>
                </c:pt>
                <c:pt idx="107">
                  <c:v>0</c:v>
                </c:pt>
                <c:pt idx="108">
                  <c:v>0</c:v>
                </c:pt>
                <c:pt idx="109">
                  <c:v>13002</c:v>
                </c:pt>
                <c:pt idx="110">
                  <c:v>0</c:v>
                </c:pt>
                <c:pt idx="111">
                  <c:v>10374</c:v>
                </c:pt>
                <c:pt idx="112">
                  <c:v>0</c:v>
                </c:pt>
                <c:pt idx="113">
                  <c:v>0</c:v>
                </c:pt>
                <c:pt idx="114">
                  <c:v>7752</c:v>
                </c:pt>
                <c:pt idx="115">
                  <c:v>0</c:v>
                </c:pt>
                <c:pt idx="116">
                  <c:v>5880</c:v>
                </c:pt>
                <c:pt idx="117">
                  <c:v>0</c:v>
                </c:pt>
                <c:pt idx="118">
                  <c:v>0</c:v>
                </c:pt>
                <c:pt idx="119">
                  <c:v>1988</c:v>
                </c:pt>
                <c:pt idx="120">
                  <c:v>0</c:v>
                </c:pt>
                <c:pt idx="121">
                  <c:v>0</c:v>
                </c:pt>
                <c:pt idx="122">
                  <c:v>1132</c:v>
                </c:pt>
                <c:pt idx="123">
                  <c:v>0</c:v>
                </c:pt>
                <c:pt idx="124">
                  <c:v>402</c:v>
                </c:pt>
                <c:pt idx="125">
                  <c:v>0</c:v>
                </c:pt>
                <c:pt idx="126">
                  <c:v>0</c:v>
                </c:pt>
                <c:pt idx="127">
                  <c:v>622</c:v>
                </c:pt>
                <c:pt idx="128">
                  <c:v>0</c:v>
                </c:pt>
                <c:pt idx="129">
                  <c:v>307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0.18788496360258736</c:v>
                </c:pt>
                <c:pt idx="1">
                  <c:v>0.25917018415691329</c:v>
                </c:pt>
                <c:pt idx="2">
                  <c:v>0.55294485224049938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0.44807548834943817</c:v>
                </c:pt>
                <c:pt idx="1">
                  <c:v>0.38360419864474377</c:v>
                </c:pt>
                <c:pt idx="2">
                  <c:v>0.16832031300581807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9.2287274999999998</c:v>
                </c:pt>
                <c:pt idx="1">
                  <c:v>14.66536</c:v>
                </c:pt>
                <c:pt idx="2">
                  <c:v>41.641449999999999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0.40667999999999999</c:v>
                </c:pt>
                <c:pt idx="2">
                  <c:v>0.810253</c:v>
                </c:pt>
                <c:pt idx="3">
                  <c:v>1.2215400000000001</c:v>
                </c:pt>
                <c:pt idx="4">
                  <c:v>1.6244099999999999</c:v>
                </c:pt>
                <c:pt idx="5">
                  <c:v>2.0326599999999999</c:v>
                </c:pt>
                <c:pt idx="6">
                  <c:v>2.4401899999999999</c:v>
                </c:pt>
                <c:pt idx="7">
                  <c:v>2.8441100000000001</c:v>
                </c:pt>
                <c:pt idx="8">
                  <c:v>3.2532700000000001</c:v>
                </c:pt>
                <c:pt idx="9">
                  <c:v>3.6550799999999999</c:v>
                </c:pt>
                <c:pt idx="10">
                  <c:v>4.0618800000000004</c:v>
                </c:pt>
                <c:pt idx="11">
                  <c:v>4.4708199999999998</c:v>
                </c:pt>
                <c:pt idx="12">
                  <c:v>4.8776900000000003</c:v>
                </c:pt>
                <c:pt idx="13">
                  <c:v>5.2786299999999997</c:v>
                </c:pt>
                <c:pt idx="14">
                  <c:v>5.68954</c:v>
                </c:pt>
                <c:pt idx="15">
                  <c:v>6.0913899999999996</c:v>
                </c:pt>
                <c:pt idx="16">
                  <c:v>6.49953</c:v>
                </c:pt>
                <c:pt idx="17">
                  <c:v>6.9072300000000002</c:v>
                </c:pt>
                <c:pt idx="18">
                  <c:v>7.3171600000000003</c:v>
                </c:pt>
                <c:pt idx="19">
                  <c:v>7.7251000000000003</c:v>
                </c:pt>
                <c:pt idx="20">
                  <c:v>8.1249900000000004</c:v>
                </c:pt>
                <c:pt idx="21">
                  <c:v>8.5286600000000004</c:v>
                </c:pt>
                <c:pt idx="22">
                  <c:v>8.9398099999999996</c:v>
                </c:pt>
                <c:pt idx="23">
                  <c:v>9.3467000000000002</c:v>
                </c:pt>
                <c:pt idx="24">
                  <c:v>9.7496500000000008</c:v>
                </c:pt>
                <c:pt idx="25">
                  <c:v>10.1556</c:v>
                </c:pt>
                <c:pt idx="26">
                  <c:v>10.5627</c:v>
                </c:pt>
                <c:pt idx="27">
                  <c:v>10.968400000000001</c:v>
                </c:pt>
                <c:pt idx="28">
                  <c:v>11.375400000000001</c:v>
                </c:pt>
                <c:pt idx="29">
                  <c:v>11.783200000000001</c:v>
                </c:pt>
                <c:pt idx="30">
                  <c:v>12.1891</c:v>
                </c:pt>
                <c:pt idx="31">
                  <c:v>12.5931</c:v>
                </c:pt>
                <c:pt idx="32">
                  <c:v>12.9962</c:v>
                </c:pt>
                <c:pt idx="33">
                  <c:v>13.4061</c:v>
                </c:pt>
                <c:pt idx="34">
                  <c:v>13.812900000000001</c:v>
                </c:pt>
                <c:pt idx="35">
                  <c:v>14.219900000000001</c:v>
                </c:pt>
                <c:pt idx="36">
                  <c:v>14.624700000000001</c:v>
                </c:pt>
                <c:pt idx="37">
                  <c:v>15.031499999999999</c:v>
                </c:pt>
                <c:pt idx="38">
                  <c:v>15.4376</c:v>
                </c:pt>
                <c:pt idx="39">
                  <c:v>15.8445</c:v>
                </c:pt>
                <c:pt idx="40">
                  <c:v>16.252300000000002</c:v>
                </c:pt>
                <c:pt idx="41">
                  <c:v>16.656500000000001</c:v>
                </c:pt>
                <c:pt idx="42">
                  <c:v>17.066199999999998</c:v>
                </c:pt>
                <c:pt idx="43">
                  <c:v>17.469000000000001</c:v>
                </c:pt>
                <c:pt idx="44">
                  <c:v>17.875299999999999</c:v>
                </c:pt>
                <c:pt idx="45">
                  <c:v>18.283899999999999</c:v>
                </c:pt>
                <c:pt idx="46">
                  <c:v>18.689699999999998</c:v>
                </c:pt>
                <c:pt idx="47">
                  <c:v>19.093699999999998</c:v>
                </c:pt>
                <c:pt idx="48">
                  <c:v>19.500599999999999</c:v>
                </c:pt>
                <c:pt idx="49">
                  <c:v>19.9056</c:v>
                </c:pt>
                <c:pt idx="50">
                  <c:v>20.3124</c:v>
                </c:pt>
                <c:pt idx="51">
                  <c:v>20.723299999999998</c:v>
                </c:pt>
                <c:pt idx="52">
                  <c:v>21.124300000000002</c:v>
                </c:pt>
                <c:pt idx="53">
                  <c:v>21.534300000000002</c:v>
                </c:pt>
                <c:pt idx="54">
                  <c:v>21.9375</c:v>
                </c:pt>
                <c:pt idx="55">
                  <c:v>22.344000000000001</c:v>
                </c:pt>
                <c:pt idx="56">
                  <c:v>22.752099999999999</c:v>
                </c:pt>
                <c:pt idx="57">
                  <c:v>23.1569</c:v>
                </c:pt>
                <c:pt idx="58">
                  <c:v>23.560700000000001</c:v>
                </c:pt>
                <c:pt idx="59">
                  <c:v>23.967700000000001</c:v>
                </c:pt>
                <c:pt idx="60">
                  <c:v>24.373699999999999</c:v>
                </c:pt>
                <c:pt idx="61">
                  <c:v>24.782499999999999</c:v>
                </c:pt>
                <c:pt idx="62">
                  <c:v>25.189399999999999</c:v>
                </c:pt>
                <c:pt idx="63">
                  <c:v>25.593399999999999</c:v>
                </c:pt>
                <c:pt idx="64">
                  <c:v>25.999199999999998</c:v>
                </c:pt>
                <c:pt idx="65">
                  <c:v>26.4072</c:v>
                </c:pt>
                <c:pt idx="66">
                  <c:v>26.813099999999999</c:v>
                </c:pt>
                <c:pt idx="67">
                  <c:v>27.221</c:v>
                </c:pt>
                <c:pt idx="68">
                  <c:v>27.6219</c:v>
                </c:pt>
                <c:pt idx="69">
                  <c:v>28.030799999999999</c:v>
                </c:pt>
                <c:pt idx="70">
                  <c:v>28.4407</c:v>
                </c:pt>
                <c:pt idx="71">
                  <c:v>28.8446</c:v>
                </c:pt>
                <c:pt idx="72">
                  <c:v>29.2515</c:v>
                </c:pt>
                <c:pt idx="73">
                  <c:v>29.6555</c:v>
                </c:pt>
                <c:pt idx="74">
                  <c:v>30.061399999999999</c:v>
                </c:pt>
                <c:pt idx="75">
                  <c:v>30.500299999999999</c:v>
                </c:pt>
                <c:pt idx="76">
                  <c:v>30.9072</c:v>
                </c:pt>
                <c:pt idx="77">
                  <c:v>31.3123</c:v>
                </c:pt>
                <c:pt idx="78">
                  <c:v>31.722999999999999</c:v>
                </c:pt>
                <c:pt idx="79">
                  <c:v>32.1248</c:v>
                </c:pt>
                <c:pt idx="80">
                  <c:v>32.5319</c:v>
                </c:pt>
                <c:pt idx="81">
                  <c:v>32.939</c:v>
                </c:pt>
                <c:pt idx="82">
                  <c:v>33.3446</c:v>
                </c:pt>
                <c:pt idx="83">
                  <c:v>33.7515</c:v>
                </c:pt>
                <c:pt idx="84">
                  <c:v>34.154499999999999</c:v>
                </c:pt>
                <c:pt idx="85">
                  <c:v>34.5625</c:v>
                </c:pt>
                <c:pt idx="86">
                  <c:v>34.970500000000001</c:v>
                </c:pt>
                <c:pt idx="87">
                  <c:v>35.374200000000002</c:v>
                </c:pt>
                <c:pt idx="88">
                  <c:v>35.7821</c:v>
                </c:pt>
                <c:pt idx="89">
                  <c:v>36.186</c:v>
                </c:pt>
                <c:pt idx="90">
                  <c:v>36.5929</c:v>
                </c:pt>
                <c:pt idx="91">
                  <c:v>37.000799999999998</c:v>
                </c:pt>
                <c:pt idx="92">
                  <c:v>37.405700000000003</c:v>
                </c:pt>
                <c:pt idx="93">
                  <c:v>37.809899999999999</c:v>
                </c:pt>
                <c:pt idx="94">
                  <c:v>38.221499999999999</c:v>
                </c:pt>
                <c:pt idx="95">
                  <c:v>38.628500000000003</c:v>
                </c:pt>
                <c:pt idx="96">
                  <c:v>39.033299999999997</c:v>
                </c:pt>
                <c:pt idx="97">
                  <c:v>39.437399999999997</c:v>
                </c:pt>
                <c:pt idx="98">
                  <c:v>39.842399999999998</c:v>
                </c:pt>
                <c:pt idx="99">
                  <c:v>40.252200000000002</c:v>
                </c:pt>
                <c:pt idx="100">
                  <c:v>40.658999999999999</c:v>
                </c:pt>
                <c:pt idx="101">
                  <c:v>41.064</c:v>
                </c:pt>
                <c:pt idx="102">
                  <c:v>41.470300000000002</c:v>
                </c:pt>
                <c:pt idx="103">
                  <c:v>41.872900000000001</c:v>
                </c:pt>
                <c:pt idx="104">
                  <c:v>42.282699999999998</c:v>
                </c:pt>
                <c:pt idx="105">
                  <c:v>42.690600000000003</c:v>
                </c:pt>
                <c:pt idx="106">
                  <c:v>43.094499999999996</c:v>
                </c:pt>
                <c:pt idx="107">
                  <c:v>43.500399999999999</c:v>
                </c:pt>
                <c:pt idx="108">
                  <c:v>43.9054</c:v>
                </c:pt>
                <c:pt idx="109">
                  <c:v>44.3123</c:v>
                </c:pt>
                <c:pt idx="110">
                  <c:v>44.720700000000001</c:v>
                </c:pt>
                <c:pt idx="111">
                  <c:v>45.125100000000003</c:v>
                </c:pt>
                <c:pt idx="112">
                  <c:v>45.531999999999996</c:v>
                </c:pt>
                <c:pt idx="113">
                  <c:v>45.933900000000001</c:v>
                </c:pt>
                <c:pt idx="114">
                  <c:v>46.344799999999999</c:v>
                </c:pt>
                <c:pt idx="115">
                  <c:v>46.748600000000003</c:v>
                </c:pt>
                <c:pt idx="116">
                  <c:v>47.156599999999997</c:v>
                </c:pt>
                <c:pt idx="117">
                  <c:v>47.562600000000003</c:v>
                </c:pt>
                <c:pt idx="118">
                  <c:v>47.969799999999999</c:v>
                </c:pt>
                <c:pt idx="119">
                  <c:v>48.3765</c:v>
                </c:pt>
                <c:pt idx="120">
                  <c:v>48.783299999999997</c:v>
                </c:pt>
                <c:pt idx="121">
                  <c:v>49.190300000000001</c:v>
                </c:pt>
                <c:pt idx="122">
                  <c:v>49.592100000000002</c:v>
                </c:pt>
                <c:pt idx="123">
                  <c:v>50.000399999999999</c:v>
                </c:pt>
                <c:pt idx="124">
                  <c:v>50.406999999999996</c:v>
                </c:pt>
                <c:pt idx="125">
                  <c:v>50.811900000000001</c:v>
                </c:pt>
                <c:pt idx="126">
                  <c:v>51.220999999999997</c:v>
                </c:pt>
                <c:pt idx="127">
                  <c:v>51.625700000000002</c:v>
                </c:pt>
                <c:pt idx="128">
                  <c:v>52.028599999999997</c:v>
                </c:pt>
                <c:pt idx="129">
                  <c:v>52.436999999999998</c:v>
                </c:pt>
                <c:pt idx="130">
                  <c:v>52.847299999999997</c:v>
                </c:pt>
                <c:pt idx="131">
                  <c:v>53.251399999999997</c:v>
                </c:pt>
                <c:pt idx="132">
                  <c:v>53.656399999999998</c:v>
                </c:pt>
                <c:pt idx="133">
                  <c:v>54.061199999999999</c:v>
                </c:pt>
                <c:pt idx="134">
                  <c:v>54.467599999999997</c:v>
                </c:pt>
                <c:pt idx="135">
                  <c:v>54.876100000000001</c:v>
                </c:pt>
                <c:pt idx="136">
                  <c:v>55.283900000000003</c:v>
                </c:pt>
                <c:pt idx="137">
                  <c:v>55.687100000000001</c:v>
                </c:pt>
                <c:pt idx="138">
                  <c:v>56.093699999999998</c:v>
                </c:pt>
                <c:pt idx="139">
                  <c:v>56.499200000000002</c:v>
                </c:pt>
                <c:pt idx="140">
                  <c:v>56.9056</c:v>
                </c:pt>
                <c:pt idx="141">
                  <c:v>57.3155</c:v>
                </c:pt>
                <c:pt idx="142">
                  <c:v>57.717399999999998</c:v>
                </c:pt>
                <c:pt idx="143">
                  <c:v>58.124400000000001</c:v>
                </c:pt>
                <c:pt idx="144">
                  <c:v>58.532299999999999</c:v>
                </c:pt>
                <c:pt idx="145">
                  <c:v>58.938099999999999</c:v>
                </c:pt>
                <c:pt idx="146">
                  <c:v>59.346200000000003</c:v>
                </c:pt>
                <c:pt idx="147">
                  <c:v>59.752000000000002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1.6645399999999999</c:v>
                </c:pt>
                <c:pt idx="1">
                  <c:v>1.7134099999999999</c:v>
                </c:pt>
                <c:pt idx="2">
                  <c:v>1.7618100000000001</c:v>
                </c:pt>
                <c:pt idx="3">
                  <c:v>1.8108599999999999</c:v>
                </c:pt>
                <c:pt idx="4">
                  <c:v>1.8590200000000001</c:v>
                </c:pt>
                <c:pt idx="5">
                  <c:v>1.9039700000000002</c:v>
                </c:pt>
                <c:pt idx="6">
                  <c:v>1.9490099999999999</c:v>
                </c:pt>
                <c:pt idx="7">
                  <c:v>1.9963</c:v>
                </c:pt>
                <c:pt idx="8">
                  <c:v>2.0440499999999999</c:v>
                </c:pt>
                <c:pt idx="9">
                  <c:v>2.0892599999999999</c:v>
                </c:pt>
                <c:pt idx="10">
                  <c:v>2.1337700000000002</c:v>
                </c:pt>
                <c:pt idx="11">
                  <c:v>2.17787</c:v>
                </c:pt>
                <c:pt idx="12">
                  <c:v>2.2209699999999999</c:v>
                </c:pt>
                <c:pt idx="13">
                  <c:v>2.2643499999999999</c:v>
                </c:pt>
                <c:pt idx="14">
                  <c:v>2.3065099999999998</c:v>
                </c:pt>
                <c:pt idx="15">
                  <c:v>2.3498800000000002</c:v>
                </c:pt>
                <c:pt idx="16">
                  <c:v>2.39384</c:v>
                </c:pt>
                <c:pt idx="17">
                  <c:v>2.43669</c:v>
                </c:pt>
                <c:pt idx="18">
                  <c:v>2.48495</c:v>
                </c:pt>
                <c:pt idx="19">
                  <c:v>2.5313600000000003</c:v>
                </c:pt>
                <c:pt idx="20">
                  <c:v>2.5708599999999997</c:v>
                </c:pt>
                <c:pt idx="21">
                  <c:v>2.6040600000000005</c:v>
                </c:pt>
                <c:pt idx="22">
                  <c:v>2.6316299999999999</c:v>
                </c:pt>
                <c:pt idx="23">
                  <c:v>2.65368</c:v>
                </c:pt>
                <c:pt idx="24">
                  <c:v>2.67136</c:v>
                </c:pt>
                <c:pt idx="25">
                  <c:v>2.6825199999999998</c:v>
                </c:pt>
                <c:pt idx="26">
                  <c:v>2.6898899999999997</c:v>
                </c:pt>
                <c:pt idx="27">
                  <c:v>2.6947999999999999</c:v>
                </c:pt>
                <c:pt idx="28">
                  <c:v>2.6961300000000001</c:v>
                </c:pt>
                <c:pt idx="29">
                  <c:v>2.6902300000000001</c:v>
                </c:pt>
                <c:pt idx="30">
                  <c:v>2.6812799999999997</c:v>
                </c:pt>
                <c:pt idx="31">
                  <c:v>2.6703399999999999</c:v>
                </c:pt>
                <c:pt idx="32">
                  <c:v>2.6562400000000004</c:v>
                </c:pt>
                <c:pt idx="33">
                  <c:v>2.6407599999999998</c:v>
                </c:pt>
                <c:pt idx="34">
                  <c:v>2.6239299999999997</c:v>
                </c:pt>
                <c:pt idx="35">
                  <c:v>2.6068200000000004</c:v>
                </c:pt>
                <c:pt idx="36">
                  <c:v>2.5887100000000003</c:v>
                </c:pt>
                <c:pt idx="37">
                  <c:v>2.5667099999999996</c:v>
                </c:pt>
                <c:pt idx="38">
                  <c:v>2.5432700000000001</c:v>
                </c:pt>
                <c:pt idx="39">
                  <c:v>2.5179099999999996</c:v>
                </c:pt>
                <c:pt idx="40">
                  <c:v>2.4919500000000001</c:v>
                </c:pt>
                <c:pt idx="41">
                  <c:v>2.4641799999999998</c:v>
                </c:pt>
                <c:pt idx="42">
                  <c:v>2.4369299999999998</c:v>
                </c:pt>
                <c:pt idx="43">
                  <c:v>2.4047399999999999</c:v>
                </c:pt>
                <c:pt idx="44">
                  <c:v>2.37107</c:v>
                </c:pt>
                <c:pt idx="45">
                  <c:v>2.3428100000000001</c:v>
                </c:pt>
                <c:pt idx="46">
                  <c:v>2.31691</c:v>
                </c:pt>
                <c:pt idx="47">
                  <c:v>2.2898199999999997</c:v>
                </c:pt>
                <c:pt idx="48">
                  <c:v>2.26396</c:v>
                </c:pt>
                <c:pt idx="49">
                  <c:v>2.2407499999999998</c:v>
                </c:pt>
                <c:pt idx="50">
                  <c:v>2.2215400000000001</c:v>
                </c:pt>
                <c:pt idx="51">
                  <c:v>2.2054199999999997</c:v>
                </c:pt>
                <c:pt idx="52">
                  <c:v>2.1899099999999998</c:v>
                </c:pt>
                <c:pt idx="53">
                  <c:v>2.1746400000000001</c:v>
                </c:pt>
                <c:pt idx="54">
                  <c:v>2.1647699999999999</c:v>
                </c:pt>
                <c:pt idx="55">
                  <c:v>2.1596799999999998</c:v>
                </c:pt>
                <c:pt idx="56">
                  <c:v>2.1539600000000001</c:v>
                </c:pt>
                <c:pt idx="57">
                  <c:v>2.1465399999999999</c:v>
                </c:pt>
                <c:pt idx="58">
                  <c:v>2.1410800000000001</c:v>
                </c:pt>
                <c:pt idx="59">
                  <c:v>2.1371500000000001</c:v>
                </c:pt>
                <c:pt idx="60">
                  <c:v>2.1317400000000002</c:v>
                </c:pt>
                <c:pt idx="61">
                  <c:v>2.12703</c:v>
                </c:pt>
                <c:pt idx="62">
                  <c:v>2.1281099999999999</c:v>
                </c:pt>
                <c:pt idx="63">
                  <c:v>2.1293500000000001</c:v>
                </c:pt>
                <c:pt idx="64">
                  <c:v>2.1324199999999998</c:v>
                </c:pt>
                <c:pt idx="65">
                  <c:v>2.1348099999999999</c:v>
                </c:pt>
                <c:pt idx="66">
                  <c:v>2.1369899999999999</c:v>
                </c:pt>
                <c:pt idx="67">
                  <c:v>2.1394500000000001</c:v>
                </c:pt>
                <c:pt idx="68">
                  <c:v>2.1398900000000003</c:v>
                </c:pt>
                <c:pt idx="69">
                  <c:v>2.1365600000000002</c:v>
                </c:pt>
                <c:pt idx="70">
                  <c:v>2.1310599999999997</c:v>
                </c:pt>
                <c:pt idx="71">
                  <c:v>2.1278800000000002</c:v>
                </c:pt>
                <c:pt idx="72">
                  <c:v>2.12669</c:v>
                </c:pt>
                <c:pt idx="73">
                  <c:v>2.1267900000000002</c:v>
                </c:pt>
                <c:pt idx="74">
                  <c:v>2.12988</c:v>
                </c:pt>
                <c:pt idx="75">
                  <c:v>2.13293</c:v>
                </c:pt>
                <c:pt idx="76">
                  <c:v>2.1351800000000001</c:v>
                </c:pt>
                <c:pt idx="77">
                  <c:v>2.13734</c:v>
                </c:pt>
                <c:pt idx="78">
                  <c:v>2.14154</c:v>
                </c:pt>
                <c:pt idx="79">
                  <c:v>2.14527</c:v>
                </c:pt>
                <c:pt idx="80">
                  <c:v>2.1476000000000002</c:v>
                </c:pt>
                <c:pt idx="81">
                  <c:v>2.1532200000000001</c:v>
                </c:pt>
                <c:pt idx="82">
                  <c:v>2.1615000000000002</c:v>
                </c:pt>
                <c:pt idx="83">
                  <c:v>2.16852</c:v>
                </c:pt>
                <c:pt idx="84">
                  <c:v>2.1764800000000002</c:v>
                </c:pt>
                <c:pt idx="85">
                  <c:v>2.1862300000000001</c:v>
                </c:pt>
                <c:pt idx="86">
                  <c:v>2.1963300000000001</c:v>
                </c:pt>
                <c:pt idx="87">
                  <c:v>2.2049400000000001</c:v>
                </c:pt>
                <c:pt idx="88">
                  <c:v>2.2181100000000002</c:v>
                </c:pt>
                <c:pt idx="89">
                  <c:v>2.2338900000000002</c:v>
                </c:pt>
                <c:pt idx="90">
                  <c:v>2.2508699999999999</c:v>
                </c:pt>
                <c:pt idx="91">
                  <c:v>2.27291</c:v>
                </c:pt>
                <c:pt idx="92">
                  <c:v>2.2957800000000002</c:v>
                </c:pt>
                <c:pt idx="93">
                  <c:v>2.3198300000000001</c:v>
                </c:pt>
                <c:pt idx="94">
                  <c:v>2.3447399999999998</c:v>
                </c:pt>
                <c:pt idx="95">
                  <c:v>2.3668300000000002</c:v>
                </c:pt>
                <c:pt idx="96">
                  <c:v>2.3867099999999999</c:v>
                </c:pt>
                <c:pt idx="97">
                  <c:v>2.4031700000000003</c:v>
                </c:pt>
                <c:pt idx="98">
                  <c:v>2.4159700000000002</c:v>
                </c:pt>
                <c:pt idx="99">
                  <c:v>2.4234499999999999</c:v>
                </c:pt>
                <c:pt idx="100">
                  <c:v>2.4290799999999999</c:v>
                </c:pt>
                <c:pt idx="101">
                  <c:v>2.4331900000000002</c:v>
                </c:pt>
                <c:pt idx="102">
                  <c:v>2.4372099999999999</c:v>
                </c:pt>
                <c:pt idx="103">
                  <c:v>2.4409700000000001</c:v>
                </c:pt>
                <c:pt idx="104">
                  <c:v>2.4438599999999999</c:v>
                </c:pt>
                <c:pt idx="105">
                  <c:v>2.4426700000000001</c:v>
                </c:pt>
                <c:pt idx="106">
                  <c:v>2.4374100000000003</c:v>
                </c:pt>
                <c:pt idx="107">
                  <c:v>2.4301900000000001</c:v>
                </c:pt>
                <c:pt idx="108">
                  <c:v>2.4226299999999998</c:v>
                </c:pt>
                <c:pt idx="109">
                  <c:v>2.4135300000000002</c:v>
                </c:pt>
                <c:pt idx="110">
                  <c:v>2.40307</c:v>
                </c:pt>
                <c:pt idx="111">
                  <c:v>2.3890000000000002</c:v>
                </c:pt>
                <c:pt idx="112">
                  <c:v>2.3740600000000001</c:v>
                </c:pt>
                <c:pt idx="113">
                  <c:v>2.3551099999999998</c:v>
                </c:pt>
                <c:pt idx="114">
                  <c:v>2.3319200000000002</c:v>
                </c:pt>
                <c:pt idx="115">
                  <c:v>2.30497</c:v>
                </c:pt>
                <c:pt idx="116">
                  <c:v>2.27027</c:v>
                </c:pt>
                <c:pt idx="117">
                  <c:v>2.23095</c:v>
                </c:pt>
                <c:pt idx="118">
                  <c:v>2.1901899999999999</c:v>
                </c:pt>
                <c:pt idx="119">
                  <c:v>2.1495100000000003</c:v>
                </c:pt>
                <c:pt idx="120">
                  <c:v>2.1074699999999997</c:v>
                </c:pt>
                <c:pt idx="121">
                  <c:v>2.0636299999999999</c:v>
                </c:pt>
                <c:pt idx="122">
                  <c:v>2.0239699999999998</c:v>
                </c:pt>
                <c:pt idx="123">
                  <c:v>1.98617</c:v>
                </c:pt>
                <c:pt idx="124">
                  <c:v>1.9652500000000002</c:v>
                </c:pt>
                <c:pt idx="125">
                  <c:v>1.9450000000000001</c:v>
                </c:pt>
                <c:pt idx="126">
                  <c:v>1.9251199999999999</c:v>
                </c:pt>
                <c:pt idx="127">
                  <c:v>1.90408</c:v>
                </c:pt>
                <c:pt idx="128">
                  <c:v>1.8809</c:v>
                </c:pt>
                <c:pt idx="129">
                  <c:v>1.8573</c:v>
                </c:pt>
                <c:pt idx="130">
                  <c:v>1.8373999999999999</c:v>
                </c:pt>
                <c:pt idx="131">
                  <c:v>1.8201000000000001</c:v>
                </c:pt>
                <c:pt idx="132">
                  <c:v>1.8034300000000001</c:v>
                </c:pt>
                <c:pt idx="133">
                  <c:v>1.7863599999999999</c:v>
                </c:pt>
                <c:pt idx="134">
                  <c:v>1.76708</c:v>
                </c:pt>
                <c:pt idx="135">
                  <c:v>1.7468400000000002</c:v>
                </c:pt>
                <c:pt idx="136">
                  <c:v>1.7317899999999999</c:v>
                </c:pt>
                <c:pt idx="137">
                  <c:v>1.7150599999999998</c:v>
                </c:pt>
                <c:pt idx="138">
                  <c:v>1.6933200000000002</c:v>
                </c:pt>
                <c:pt idx="139">
                  <c:v>1.6727400000000001</c:v>
                </c:pt>
                <c:pt idx="140">
                  <c:v>1.6505000000000001</c:v>
                </c:pt>
                <c:pt idx="141">
                  <c:v>1.6351599999999999</c:v>
                </c:pt>
                <c:pt idx="142">
                  <c:v>1.621</c:v>
                </c:pt>
                <c:pt idx="143">
                  <c:v>1.6028899999999999</c:v>
                </c:pt>
                <c:pt idx="144">
                  <c:v>1.5787499999999999</c:v>
                </c:pt>
                <c:pt idx="145">
                  <c:v>1.5693999999999999</c:v>
                </c:pt>
                <c:pt idx="146">
                  <c:v>1.5626100000000001</c:v>
                </c:pt>
                <c:pt idx="147">
                  <c:v>1.54304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0.40667999999999999</c:v>
                </c:pt>
                <c:pt idx="2">
                  <c:v>0.810253</c:v>
                </c:pt>
                <c:pt idx="3">
                  <c:v>1.2215400000000001</c:v>
                </c:pt>
                <c:pt idx="4">
                  <c:v>1.6244099999999999</c:v>
                </c:pt>
                <c:pt idx="5">
                  <c:v>2.0326599999999999</c:v>
                </c:pt>
                <c:pt idx="6">
                  <c:v>2.4401899999999999</c:v>
                </c:pt>
                <c:pt idx="7">
                  <c:v>2.8441100000000001</c:v>
                </c:pt>
                <c:pt idx="8">
                  <c:v>3.2532700000000001</c:v>
                </c:pt>
                <c:pt idx="9">
                  <c:v>3.6550799999999999</c:v>
                </c:pt>
                <c:pt idx="10">
                  <c:v>4.0618800000000004</c:v>
                </c:pt>
                <c:pt idx="11">
                  <c:v>4.4708199999999998</c:v>
                </c:pt>
                <c:pt idx="12">
                  <c:v>4.8776900000000003</c:v>
                </c:pt>
                <c:pt idx="13">
                  <c:v>5.2786299999999997</c:v>
                </c:pt>
                <c:pt idx="14">
                  <c:v>5.68954</c:v>
                </c:pt>
                <c:pt idx="15">
                  <c:v>6.0913899999999996</c:v>
                </c:pt>
                <c:pt idx="16">
                  <c:v>6.49953</c:v>
                </c:pt>
                <c:pt idx="17">
                  <c:v>6.9072300000000002</c:v>
                </c:pt>
                <c:pt idx="18">
                  <c:v>7.3171600000000003</c:v>
                </c:pt>
                <c:pt idx="19">
                  <c:v>7.7251000000000003</c:v>
                </c:pt>
                <c:pt idx="20">
                  <c:v>8.1249900000000004</c:v>
                </c:pt>
                <c:pt idx="21">
                  <c:v>8.5286600000000004</c:v>
                </c:pt>
                <c:pt idx="22">
                  <c:v>8.9398099999999996</c:v>
                </c:pt>
                <c:pt idx="23">
                  <c:v>9.3467000000000002</c:v>
                </c:pt>
                <c:pt idx="24">
                  <c:v>9.7496500000000008</c:v>
                </c:pt>
                <c:pt idx="25">
                  <c:v>10.1556</c:v>
                </c:pt>
                <c:pt idx="26">
                  <c:v>10.5627</c:v>
                </c:pt>
                <c:pt idx="27">
                  <c:v>10.968400000000001</c:v>
                </c:pt>
                <c:pt idx="28">
                  <c:v>11.375400000000001</c:v>
                </c:pt>
                <c:pt idx="29">
                  <c:v>11.783200000000001</c:v>
                </c:pt>
                <c:pt idx="30">
                  <c:v>12.1891</c:v>
                </c:pt>
                <c:pt idx="31">
                  <c:v>12.5931</c:v>
                </c:pt>
                <c:pt idx="32">
                  <c:v>12.9962</c:v>
                </c:pt>
                <c:pt idx="33">
                  <c:v>13.4061</c:v>
                </c:pt>
                <c:pt idx="34">
                  <c:v>13.812900000000001</c:v>
                </c:pt>
                <c:pt idx="35">
                  <c:v>14.219900000000001</c:v>
                </c:pt>
                <c:pt idx="36">
                  <c:v>14.624700000000001</c:v>
                </c:pt>
                <c:pt idx="37">
                  <c:v>15.031499999999999</c:v>
                </c:pt>
                <c:pt idx="38">
                  <c:v>15.4376</c:v>
                </c:pt>
                <c:pt idx="39">
                  <c:v>15.8445</c:v>
                </c:pt>
                <c:pt idx="40">
                  <c:v>16.252300000000002</c:v>
                </c:pt>
                <c:pt idx="41">
                  <c:v>16.656500000000001</c:v>
                </c:pt>
                <c:pt idx="42">
                  <c:v>17.066199999999998</c:v>
                </c:pt>
                <c:pt idx="43">
                  <c:v>17.469000000000001</c:v>
                </c:pt>
                <c:pt idx="44">
                  <c:v>17.875299999999999</c:v>
                </c:pt>
                <c:pt idx="45">
                  <c:v>18.283899999999999</c:v>
                </c:pt>
                <c:pt idx="46">
                  <c:v>18.689699999999998</c:v>
                </c:pt>
                <c:pt idx="47">
                  <c:v>19.093699999999998</c:v>
                </c:pt>
                <c:pt idx="48">
                  <c:v>19.500599999999999</c:v>
                </c:pt>
                <c:pt idx="49">
                  <c:v>19.9056</c:v>
                </c:pt>
                <c:pt idx="50">
                  <c:v>20.3124</c:v>
                </c:pt>
                <c:pt idx="51">
                  <c:v>20.723299999999998</c:v>
                </c:pt>
                <c:pt idx="52">
                  <c:v>21.124300000000002</c:v>
                </c:pt>
                <c:pt idx="53">
                  <c:v>21.534300000000002</c:v>
                </c:pt>
                <c:pt idx="54">
                  <c:v>21.9375</c:v>
                </c:pt>
                <c:pt idx="55">
                  <c:v>22.344000000000001</c:v>
                </c:pt>
                <c:pt idx="56">
                  <c:v>22.752099999999999</c:v>
                </c:pt>
                <c:pt idx="57">
                  <c:v>23.1569</c:v>
                </c:pt>
                <c:pt idx="58">
                  <c:v>23.560700000000001</c:v>
                </c:pt>
                <c:pt idx="59">
                  <c:v>23.967700000000001</c:v>
                </c:pt>
                <c:pt idx="60">
                  <c:v>24.373699999999999</c:v>
                </c:pt>
                <c:pt idx="61">
                  <c:v>24.782499999999999</c:v>
                </c:pt>
                <c:pt idx="62">
                  <c:v>25.189399999999999</c:v>
                </c:pt>
                <c:pt idx="63">
                  <c:v>25.593399999999999</c:v>
                </c:pt>
                <c:pt idx="64">
                  <c:v>25.999199999999998</c:v>
                </c:pt>
                <c:pt idx="65">
                  <c:v>26.4072</c:v>
                </c:pt>
                <c:pt idx="66">
                  <c:v>26.813099999999999</c:v>
                </c:pt>
                <c:pt idx="67">
                  <c:v>27.221</c:v>
                </c:pt>
                <c:pt idx="68">
                  <c:v>27.6219</c:v>
                </c:pt>
                <c:pt idx="69">
                  <c:v>28.030799999999999</c:v>
                </c:pt>
                <c:pt idx="70">
                  <c:v>28.4407</c:v>
                </c:pt>
                <c:pt idx="71">
                  <c:v>28.8446</c:v>
                </c:pt>
                <c:pt idx="72">
                  <c:v>29.2515</c:v>
                </c:pt>
                <c:pt idx="73">
                  <c:v>29.6555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1.6645399999999999</c:v>
                </c:pt>
                <c:pt idx="1">
                  <c:v>1.7134099999999999</c:v>
                </c:pt>
                <c:pt idx="2">
                  <c:v>1.7618100000000001</c:v>
                </c:pt>
                <c:pt idx="3">
                  <c:v>1.8108599999999999</c:v>
                </c:pt>
                <c:pt idx="4">
                  <c:v>1.8590200000000001</c:v>
                </c:pt>
                <c:pt idx="5">
                  <c:v>1.9039700000000002</c:v>
                </c:pt>
                <c:pt idx="6">
                  <c:v>1.9490099999999999</c:v>
                </c:pt>
                <c:pt idx="7">
                  <c:v>1.9963</c:v>
                </c:pt>
                <c:pt idx="8">
                  <c:v>2.0440499999999999</c:v>
                </c:pt>
                <c:pt idx="9">
                  <c:v>2.0892599999999999</c:v>
                </c:pt>
                <c:pt idx="10">
                  <c:v>2.1337700000000002</c:v>
                </c:pt>
                <c:pt idx="11">
                  <c:v>2.17787</c:v>
                </c:pt>
                <c:pt idx="12">
                  <c:v>2.2209699999999999</c:v>
                </c:pt>
                <c:pt idx="13">
                  <c:v>2.2643499999999999</c:v>
                </c:pt>
                <c:pt idx="14">
                  <c:v>2.3065099999999998</c:v>
                </c:pt>
                <c:pt idx="15">
                  <c:v>2.3498800000000002</c:v>
                </c:pt>
                <c:pt idx="16">
                  <c:v>2.39384</c:v>
                </c:pt>
                <c:pt idx="17">
                  <c:v>2.43669</c:v>
                </c:pt>
                <c:pt idx="18">
                  <c:v>2.48495</c:v>
                </c:pt>
                <c:pt idx="19">
                  <c:v>2.5313600000000003</c:v>
                </c:pt>
                <c:pt idx="20">
                  <c:v>2.5708599999999997</c:v>
                </c:pt>
                <c:pt idx="21">
                  <c:v>2.6040600000000005</c:v>
                </c:pt>
                <c:pt idx="22">
                  <c:v>2.6316299999999999</c:v>
                </c:pt>
                <c:pt idx="23">
                  <c:v>2.65368</c:v>
                </c:pt>
                <c:pt idx="24">
                  <c:v>2.67136</c:v>
                </c:pt>
                <c:pt idx="25">
                  <c:v>2.6825199999999998</c:v>
                </c:pt>
                <c:pt idx="26">
                  <c:v>2.6898899999999997</c:v>
                </c:pt>
                <c:pt idx="27">
                  <c:v>2.6947999999999999</c:v>
                </c:pt>
                <c:pt idx="28">
                  <c:v>2.6961300000000001</c:v>
                </c:pt>
                <c:pt idx="29">
                  <c:v>2.6902300000000001</c:v>
                </c:pt>
                <c:pt idx="30">
                  <c:v>2.6812799999999997</c:v>
                </c:pt>
                <c:pt idx="31">
                  <c:v>2.6703399999999999</c:v>
                </c:pt>
                <c:pt idx="32">
                  <c:v>2.6562400000000004</c:v>
                </c:pt>
                <c:pt idx="33">
                  <c:v>2.6407599999999998</c:v>
                </c:pt>
                <c:pt idx="34">
                  <c:v>2.6239299999999997</c:v>
                </c:pt>
                <c:pt idx="35">
                  <c:v>2.6068200000000004</c:v>
                </c:pt>
                <c:pt idx="36">
                  <c:v>2.5887100000000003</c:v>
                </c:pt>
                <c:pt idx="37">
                  <c:v>2.5667099999999996</c:v>
                </c:pt>
                <c:pt idx="38">
                  <c:v>2.5432700000000001</c:v>
                </c:pt>
                <c:pt idx="39">
                  <c:v>2.5179099999999996</c:v>
                </c:pt>
                <c:pt idx="40">
                  <c:v>2.4919500000000001</c:v>
                </c:pt>
                <c:pt idx="41">
                  <c:v>2.4641799999999998</c:v>
                </c:pt>
                <c:pt idx="42">
                  <c:v>2.4369299999999998</c:v>
                </c:pt>
                <c:pt idx="43">
                  <c:v>2.4047399999999999</c:v>
                </c:pt>
                <c:pt idx="44">
                  <c:v>2.37107</c:v>
                </c:pt>
                <c:pt idx="45">
                  <c:v>2.3428100000000001</c:v>
                </c:pt>
                <c:pt idx="46">
                  <c:v>2.31691</c:v>
                </c:pt>
                <c:pt idx="47">
                  <c:v>2.2898199999999997</c:v>
                </c:pt>
                <c:pt idx="48">
                  <c:v>2.26396</c:v>
                </c:pt>
                <c:pt idx="49">
                  <c:v>2.2407499999999998</c:v>
                </c:pt>
                <c:pt idx="50">
                  <c:v>2.2215400000000001</c:v>
                </c:pt>
                <c:pt idx="51">
                  <c:v>2.2054199999999997</c:v>
                </c:pt>
                <c:pt idx="52">
                  <c:v>2.1899099999999998</c:v>
                </c:pt>
                <c:pt idx="53">
                  <c:v>2.1746400000000001</c:v>
                </c:pt>
                <c:pt idx="54">
                  <c:v>2.1647699999999999</c:v>
                </c:pt>
                <c:pt idx="55">
                  <c:v>2.1596799999999998</c:v>
                </c:pt>
                <c:pt idx="56">
                  <c:v>2.1539600000000001</c:v>
                </c:pt>
                <c:pt idx="57">
                  <c:v>2.1465399999999999</c:v>
                </c:pt>
                <c:pt idx="58">
                  <c:v>2.1410800000000001</c:v>
                </c:pt>
                <c:pt idx="59">
                  <c:v>2.1371500000000001</c:v>
                </c:pt>
                <c:pt idx="60">
                  <c:v>2.1317400000000002</c:v>
                </c:pt>
                <c:pt idx="61">
                  <c:v>2.12703</c:v>
                </c:pt>
                <c:pt idx="62">
                  <c:v>2.1281099999999999</c:v>
                </c:pt>
                <c:pt idx="63">
                  <c:v>2.1293500000000001</c:v>
                </c:pt>
                <c:pt idx="64">
                  <c:v>2.1324199999999998</c:v>
                </c:pt>
                <c:pt idx="65">
                  <c:v>2.1348099999999999</c:v>
                </c:pt>
                <c:pt idx="66">
                  <c:v>2.1369899999999999</c:v>
                </c:pt>
                <c:pt idx="67">
                  <c:v>2.1394500000000001</c:v>
                </c:pt>
                <c:pt idx="68">
                  <c:v>2.1398900000000003</c:v>
                </c:pt>
                <c:pt idx="69">
                  <c:v>2.1365600000000002</c:v>
                </c:pt>
                <c:pt idx="70">
                  <c:v>2.1310599999999997</c:v>
                </c:pt>
                <c:pt idx="71">
                  <c:v>2.1278800000000002</c:v>
                </c:pt>
                <c:pt idx="72">
                  <c:v>2.12669</c:v>
                </c:pt>
                <c:pt idx="73">
                  <c:v>2.1267900000000002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29.6555</c:v>
                </c:pt>
                <c:pt idx="1">
                  <c:v>30.061399999999999</c:v>
                </c:pt>
                <c:pt idx="2">
                  <c:v>30.500299999999999</c:v>
                </c:pt>
                <c:pt idx="3">
                  <c:v>30.9072</c:v>
                </c:pt>
                <c:pt idx="4">
                  <c:v>31.3123</c:v>
                </c:pt>
                <c:pt idx="5">
                  <c:v>31.722999999999999</c:v>
                </c:pt>
                <c:pt idx="6">
                  <c:v>32.1248</c:v>
                </c:pt>
                <c:pt idx="7">
                  <c:v>32.5319</c:v>
                </c:pt>
                <c:pt idx="8">
                  <c:v>32.939</c:v>
                </c:pt>
                <c:pt idx="9">
                  <c:v>33.3446</c:v>
                </c:pt>
                <c:pt idx="10">
                  <c:v>33.7515</c:v>
                </c:pt>
                <c:pt idx="11">
                  <c:v>34.154499999999999</c:v>
                </c:pt>
                <c:pt idx="12">
                  <c:v>34.5625</c:v>
                </c:pt>
                <c:pt idx="13">
                  <c:v>34.970500000000001</c:v>
                </c:pt>
                <c:pt idx="14">
                  <c:v>35.374200000000002</c:v>
                </c:pt>
                <c:pt idx="15">
                  <c:v>35.7821</c:v>
                </c:pt>
                <c:pt idx="16">
                  <c:v>36.186</c:v>
                </c:pt>
                <c:pt idx="17">
                  <c:v>36.5929</c:v>
                </c:pt>
                <c:pt idx="18">
                  <c:v>37.000799999999998</c:v>
                </c:pt>
                <c:pt idx="19">
                  <c:v>37.405700000000003</c:v>
                </c:pt>
                <c:pt idx="20">
                  <c:v>37.809899999999999</c:v>
                </c:pt>
                <c:pt idx="21">
                  <c:v>38.221499999999999</c:v>
                </c:pt>
                <c:pt idx="22">
                  <c:v>38.628500000000003</c:v>
                </c:pt>
                <c:pt idx="23">
                  <c:v>39.033299999999997</c:v>
                </c:pt>
                <c:pt idx="24">
                  <c:v>39.437399999999997</c:v>
                </c:pt>
                <c:pt idx="25">
                  <c:v>39.842399999999998</c:v>
                </c:pt>
                <c:pt idx="26">
                  <c:v>40.252200000000002</c:v>
                </c:pt>
                <c:pt idx="27">
                  <c:v>40.658999999999999</c:v>
                </c:pt>
                <c:pt idx="28">
                  <c:v>41.064</c:v>
                </c:pt>
                <c:pt idx="29">
                  <c:v>41.470300000000002</c:v>
                </c:pt>
                <c:pt idx="30">
                  <c:v>41.872900000000001</c:v>
                </c:pt>
                <c:pt idx="31">
                  <c:v>42.282699999999998</c:v>
                </c:pt>
                <c:pt idx="32">
                  <c:v>42.690600000000003</c:v>
                </c:pt>
                <c:pt idx="33">
                  <c:v>43.094499999999996</c:v>
                </c:pt>
                <c:pt idx="34">
                  <c:v>43.500399999999999</c:v>
                </c:pt>
                <c:pt idx="35">
                  <c:v>43.9054</c:v>
                </c:pt>
                <c:pt idx="36">
                  <c:v>44.3123</c:v>
                </c:pt>
                <c:pt idx="37">
                  <c:v>44.720700000000001</c:v>
                </c:pt>
                <c:pt idx="38">
                  <c:v>45.125100000000003</c:v>
                </c:pt>
                <c:pt idx="39">
                  <c:v>45.531999999999996</c:v>
                </c:pt>
                <c:pt idx="40">
                  <c:v>45.933900000000001</c:v>
                </c:pt>
                <c:pt idx="41">
                  <c:v>46.344799999999999</c:v>
                </c:pt>
                <c:pt idx="42">
                  <c:v>46.748600000000003</c:v>
                </c:pt>
                <c:pt idx="43">
                  <c:v>47.156599999999997</c:v>
                </c:pt>
                <c:pt idx="44">
                  <c:v>47.562600000000003</c:v>
                </c:pt>
                <c:pt idx="45">
                  <c:v>47.969799999999999</c:v>
                </c:pt>
                <c:pt idx="46">
                  <c:v>48.3765</c:v>
                </c:pt>
                <c:pt idx="47">
                  <c:v>48.783299999999997</c:v>
                </c:pt>
                <c:pt idx="48">
                  <c:v>49.190300000000001</c:v>
                </c:pt>
                <c:pt idx="49">
                  <c:v>49.592100000000002</c:v>
                </c:pt>
                <c:pt idx="50">
                  <c:v>50.000399999999999</c:v>
                </c:pt>
                <c:pt idx="51">
                  <c:v>50.406999999999996</c:v>
                </c:pt>
                <c:pt idx="52">
                  <c:v>50.811900000000001</c:v>
                </c:pt>
                <c:pt idx="53">
                  <c:v>51.220999999999997</c:v>
                </c:pt>
                <c:pt idx="54">
                  <c:v>51.625700000000002</c:v>
                </c:pt>
                <c:pt idx="55">
                  <c:v>52.028599999999997</c:v>
                </c:pt>
                <c:pt idx="56">
                  <c:v>52.436999999999998</c:v>
                </c:pt>
                <c:pt idx="57">
                  <c:v>52.847299999999997</c:v>
                </c:pt>
                <c:pt idx="58">
                  <c:v>53.251399999999997</c:v>
                </c:pt>
                <c:pt idx="59">
                  <c:v>53.656399999999998</c:v>
                </c:pt>
                <c:pt idx="60">
                  <c:v>54.061199999999999</c:v>
                </c:pt>
                <c:pt idx="61">
                  <c:v>54.467599999999997</c:v>
                </c:pt>
                <c:pt idx="62">
                  <c:v>54.876100000000001</c:v>
                </c:pt>
                <c:pt idx="63">
                  <c:v>55.283900000000003</c:v>
                </c:pt>
                <c:pt idx="64">
                  <c:v>55.687100000000001</c:v>
                </c:pt>
                <c:pt idx="65">
                  <c:v>56.093699999999998</c:v>
                </c:pt>
                <c:pt idx="66">
                  <c:v>56.499200000000002</c:v>
                </c:pt>
                <c:pt idx="67">
                  <c:v>56.9056</c:v>
                </c:pt>
                <c:pt idx="68">
                  <c:v>57.3155</c:v>
                </c:pt>
                <c:pt idx="69">
                  <c:v>57.717399999999998</c:v>
                </c:pt>
                <c:pt idx="70">
                  <c:v>58.124400000000001</c:v>
                </c:pt>
                <c:pt idx="71">
                  <c:v>58.532299999999999</c:v>
                </c:pt>
                <c:pt idx="72">
                  <c:v>58.938099999999999</c:v>
                </c:pt>
                <c:pt idx="73">
                  <c:v>59.346200000000003</c:v>
                </c:pt>
                <c:pt idx="74">
                  <c:v>59.752000000000002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2.1267900000000002</c:v>
                </c:pt>
                <c:pt idx="1">
                  <c:v>2.12988</c:v>
                </c:pt>
                <c:pt idx="2">
                  <c:v>2.13293</c:v>
                </c:pt>
                <c:pt idx="3">
                  <c:v>2.1351800000000001</c:v>
                </c:pt>
                <c:pt idx="4">
                  <c:v>2.13734</c:v>
                </c:pt>
                <c:pt idx="5">
                  <c:v>2.14154</c:v>
                </c:pt>
                <c:pt idx="6">
                  <c:v>2.14527</c:v>
                </c:pt>
                <c:pt idx="7">
                  <c:v>2.1476000000000002</c:v>
                </c:pt>
                <c:pt idx="8">
                  <c:v>2.1532200000000001</c:v>
                </c:pt>
                <c:pt idx="9">
                  <c:v>2.1615000000000002</c:v>
                </c:pt>
                <c:pt idx="10">
                  <c:v>2.16852</c:v>
                </c:pt>
                <c:pt idx="11">
                  <c:v>2.1764800000000002</c:v>
                </c:pt>
                <c:pt idx="12">
                  <c:v>2.1862300000000001</c:v>
                </c:pt>
                <c:pt idx="13">
                  <c:v>2.1963300000000001</c:v>
                </c:pt>
                <c:pt idx="14">
                  <c:v>2.2049400000000001</c:v>
                </c:pt>
                <c:pt idx="15">
                  <c:v>2.2181100000000002</c:v>
                </c:pt>
                <c:pt idx="16">
                  <c:v>2.2338900000000002</c:v>
                </c:pt>
                <c:pt idx="17">
                  <c:v>2.2508699999999999</c:v>
                </c:pt>
                <c:pt idx="18">
                  <c:v>2.27291</c:v>
                </c:pt>
                <c:pt idx="19">
                  <c:v>2.2957800000000002</c:v>
                </c:pt>
                <c:pt idx="20">
                  <c:v>2.3198300000000001</c:v>
                </c:pt>
                <c:pt idx="21">
                  <c:v>2.3447399999999998</c:v>
                </c:pt>
                <c:pt idx="22">
                  <c:v>2.3668300000000002</c:v>
                </c:pt>
                <c:pt idx="23">
                  <c:v>2.3867099999999999</c:v>
                </c:pt>
                <c:pt idx="24">
                  <c:v>2.4031700000000003</c:v>
                </c:pt>
                <c:pt idx="25">
                  <c:v>2.4159700000000002</c:v>
                </c:pt>
                <c:pt idx="26">
                  <c:v>2.4234499999999999</c:v>
                </c:pt>
                <c:pt idx="27">
                  <c:v>2.4290799999999999</c:v>
                </c:pt>
                <c:pt idx="28">
                  <c:v>2.4331900000000002</c:v>
                </c:pt>
                <c:pt idx="29">
                  <c:v>2.4372099999999999</c:v>
                </c:pt>
                <c:pt idx="30">
                  <c:v>2.4409700000000001</c:v>
                </c:pt>
                <c:pt idx="31">
                  <c:v>2.4438599999999999</c:v>
                </c:pt>
                <c:pt idx="32">
                  <c:v>2.4426700000000001</c:v>
                </c:pt>
                <c:pt idx="33">
                  <c:v>2.4374100000000003</c:v>
                </c:pt>
                <c:pt idx="34">
                  <c:v>2.4301900000000001</c:v>
                </c:pt>
                <c:pt idx="35">
                  <c:v>2.4226299999999998</c:v>
                </c:pt>
                <c:pt idx="36">
                  <c:v>2.4135300000000002</c:v>
                </c:pt>
                <c:pt idx="37">
                  <c:v>2.40307</c:v>
                </c:pt>
                <c:pt idx="38">
                  <c:v>2.3890000000000002</c:v>
                </c:pt>
                <c:pt idx="39">
                  <c:v>2.3740600000000001</c:v>
                </c:pt>
                <c:pt idx="40">
                  <c:v>2.3551099999999998</c:v>
                </c:pt>
                <c:pt idx="41">
                  <c:v>2.3319200000000002</c:v>
                </c:pt>
                <c:pt idx="42">
                  <c:v>2.30497</c:v>
                </c:pt>
                <c:pt idx="43">
                  <c:v>2.27027</c:v>
                </c:pt>
                <c:pt idx="44">
                  <c:v>2.23095</c:v>
                </c:pt>
                <c:pt idx="45">
                  <c:v>2.1901899999999999</c:v>
                </c:pt>
                <c:pt idx="46">
                  <c:v>2.1495100000000003</c:v>
                </c:pt>
                <c:pt idx="47">
                  <c:v>2.1074699999999997</c:v>
                </c:pt>
                <c:pt idx="48">
                  <c:v>2.0636299999999999</c:v>
                </c:pt>
                <c:pt idx="49">
                  <c:v>2.0239699999999998</c:v>
                </c:pt>
                <c:pt idx="50">
                  <c:v>1.98617</c:v>
                </c:pt>
                <c:pt idx="51">
                  <c:v>1.9652500000000002</c:v>
                </c:pt>
                <c:pt idx="52">
                  <c:v>1.9450000000000001</c:v>
                </c:pt>
                <c:pt idx="53">
                  <c:v>1.9251199999999999</c:v>
                </c:pt>
                <c:pt idx="54">
                  <c:v>1.90408</c:v>
                </c:pt>
                <c:pt idx="55">
                  <c:v>1.8809</c:v>
                </c:pt>
                <c:pt idx="56">
                  <c:v>1.8573</c:v>
                </c:pt>
                <c:pt idx="57">
                  <c:v>1.8373999999999999</c:v>
                </c:pt>
                <c:pt idx="58">
                  <c:v>1.8201000000000001</c:v>
                </c:pt>
                <c:pt idx="59">
                  <c:v>1.8034300000000001</c:v>
                </c:pt>
                <c:pt idx="60">
                  <c:v>1.7863599999999999</c:v>
                </c:pt>
                <c:pt idx="61">
                  <c:v>1.76708</c:v>
                </c:pt>
                <c:pt idx="62">
                  <c:v>1.7468400000000002</c:v>
                </c:pt>
                <c:pt idx="63">
                  <c:v>1.7317899999999999</c:v>
                </c:pt>
                <c:pt idx="64">
                  <c:v>1.7150599999999998</c:v>
                </c:pt>
                <c:pt idx="65">
                  <c:v>1.6933200000000002</c:v>
                </c:pt>
                <c:pt idx="66">
                  <c:v>1.6727400000000001</c:v>
                </c:pt>
                <c:pt idx="67">
                  <c:v>1.6505000000000001</c:v>
                </c:pt>
                <c:pt idx="68">
                  <c:v>1.6351599999999999</c:v>
                </c:pt>
                <c:pt idx="69">
                  <c:v>1.621</c:v>
                </c:pt>
                <c:pt idx="70">
                  <c:v>1.6028899999999999</c:v>
                </c:pt>
                <c:pt idx="71">
                  <c:v>1.5787499999999999</c:v>
                </c:pt>
                <c:pt idx="72">
                  <c:v>1.5693999999999999</c:v>
                </c:pt>
                <c:pt idx="73">
                  <c:v>1.5626100000000001</c:v>
                </c:pt>
                <c:pt idx="74">
                  <c:v>1.54304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14.938000000000001</c:v>
                </c:pt>
                <c:pt idx="1">
                  <c:v>44.814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2.2964882432432425</c:v>
                </c:pt>
                <c:pt idx="1">
                  <c:v>2.1010185135135133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0.40667999999999999</c:v>
                </c:pt>
                <c:pt idx="2">
                  <c:v>0.810253</c:v>
                </c:pt>
                <c:pt idx="3">
                  <c:v>1.2215400000000001</c:v>
                </c:pt>
                <c:pt idx="4">
                  <c:v>1.6244099999999999</c:v>
                </c:pt>
                <c:pt idx="5">
                  <c:v>2.0326599999999999</c:v>
                </c:pt>
                <c:pt idx="6">
                  <c:v>2.4401899999999999</c:v>
                </c:pt>
                <c:pt idx="7">
                  <c:v>2.8441100000000001</c:v>
                </c:pt>
                <c:pt idx="8">
                  <c:v>3.2532700000000001</c:v>
                </c:pt>
                <c:pt idx="9">
                  <c:v>3.6550799999999999</c:v>
                </c:pt>
                <c:pt idx="10">
                  <c:v>4.0618800000000004</c:v>
                </c:pt>
                <c:pt idx="11">
                  <c:v>4.4708199999999998</c:v>
                </c:pt>
                <c:pt idx="12">
                  <c:v>4.8776900000000003</c:v>
                </c:pt>
                <c:pt idx="13">
                  <c:v>5.2786299999999997</c:v>
                </c:pt>
                <c:pt idx="14">
                  <c:v>5.68954</c:v>
                </c:pt>
                <c:pt idx="15">
                  <c:v>6.0913899999999996</c:v>
                </c:pt>
                <c:pt idx="16">
                  <c:v>6.49953</c:v>
                </c:pt>
                <c:pt idx="17">
                  <c:v>6.9072300000000002</c:v>
                </c:pt>
                <c:pt idx="18">
                  <c:v>7.3171600000000003</c:v>
                </c:pt>
                <c:pt idx="19">
                  <c:v>7.7251000000000003</c:v>
                </c:pt>
                <c:pt idx="20">
                  <c:v>8.1249900000000004</c:v>
                </c:pt>
                <c:pt idx="21">
                  <c:v>8.5286600000000004</c:v>
                </c:pt>
                <c:pt idx="22">
                  <c:v>8.9398099999999996</c:v>
                </c:pt>
                <c:pt idx="23">
                  <c:v>9.3467000000000002</c:v>
                </c:pt>
                <c:pt idx="24">
                  <c:v>9.7496500000000008</c:v>
                </c:pt>
                <c:pt idx="25">
                  <c:v>10.1556</c:v>
                </c:pt>
                <c:pt idx="26">
                  <c:v>10.5627</c:v>
                </c:pt>
                <c:pt idx="27">
                  <c:v>10.968400000000001</c:v>
                </c:pt>
                <c:pt idx="28">
                  <c:v>11.375400000000001</c:v>
                </c:pt>
                <c:pt idx="29">
                  <c:v>11.783200000000001</c:v>
                </c:pt>
                <c:pt idx="30">
                  <c:v>12.1891</c:v>
                </c:pt>
                <c:pt idx="31">
                  <c:v>12.5931</c:v>
                </c:pt>
                <c:pt idx="32">
                  <c:v>12.9962</c:v>
                </c:pt>
                <c:pt idx="33">
                  <c:v>13.4061</c:v>
                </c:pt>
                <c:pt idx="34">
                  <c:v>13.812900000000001</c:v>
                </c:pt>
                <c:pt idx="35">
                  <c:v>14.219900000000001</c:v>
                </c:pt>
                <c:pt idx="36">
                  <c:v>14.624700000000001</c:v>
                </c:pt>
                <c:pt idx="37">
                  <c:v>15.031499999999999</c:v>
                </c:pt>
                <c:pt idx="38">
                  <c:v>15.4376</c:v>
                </c:pt>
                <c:pt idx="39">
                  <c:v>15.8445</c:v>
                </c:pt>
                <c:pt idx="40">
                  <c:v>16.252300000000002</c:v>
                </c:pt>
                <c:pt idx="41">
                  <c:v>16.656500000000001</c:v>
                </c:pt>
                <c:pt idx="42">
                  <c:v>17.066199999999998</c:v>
                </c:pt>
                <c:pt idx="43">
                  <c:v>17.469000000000001</c:v>
                </c:pt>
                <c:pt idx="44">
                  <c:v>17.875299999999999</c:v>
                </c:pt>
                <c:pt idx="45">
                  <c:v>18.283899999999999</c:v>
                </c:pt>
                <c:pt idx="46">
                  <c:v>18.689699999999998</c:v>
                </c:pt>
                <c:pt idx="47">
                  <c:v>19.093699999999998</c:v>
                </c:pt>
                <c:pt idx="48">
                  <c:v>19.500599999999999</c:v>
                </c:pt>
                <c:pt idx="49">
                  <c:v>19.9056</c:v>
                </c:pt>
                <c:pt idx="50">
                  <c:v>20.3124</c:v>
                </c:pt>
                <c:pt idx="51">
                  <c:v>20.723299999999998</c:v>
                </c:pt>
                <c:pt idx="52">
                  <c:v>21.124300000000002</c:v>
                </c:pt>
                <c:pt idx="53">
                  <c:v>21.534300000000002</c:v>
                </c:pt>
                <c:pt idx="54">
                  <c:v>21.9375</c:v>
                </c:pt>
                <c:pt idx="55">
                  <c:v>22.344000000000001</c:v>
                </c:pt>
                <c:pt idx="56">
                  <c:v>22.752099999999999</c:v>
                </c:pt>
                <c:pt idx="57">
                  <c:v>23.1569</c:v>
                </c:pt>
                <c:pt idx="58">
                  <c:v>23.560700000000001</c:v>
                </c:pt>
                <c:pt idx="59">
                  <c:v>23.967700000000001</c:v>
                </c:pt>
                <c:pt idx="60">
                  <c:v>24.373699999999999</c:v>
                </c:pt>
                <c:pt idx="61">
                  <c:v>24.782499999999999</c:v>
                </c:pt>
                <c:pt idx="62">
                  <c:v>25.189399999999999</c:v>
                </c:pt>
                <c:pt idx="63">
                  <c:v>25.593399999999999</c:v>
                </c:pt>
                <c:pt idx="64">
                  <c:v>25.999199999999998</c:v>
                </c:pt>
                <c:pt idx="65">
                  <c:v>26.4072</c:v>
                </c:pt>
                <c:pt idx="66">
                  <c:v>26.813099999999999</c:v>
                </c:pt>
                <c:pt idx="67">
                  <c:v>27.221</c:v>
                </c:pt>
                <c:pt idx="68">
                  <c:v>27.6219</c:v>
                </c:pt>
                <c:pt idx="69">
                  <c:v>28.030799999999999</c:v>
                </c:pt>
                <c:pt idx="70">
                  <c:v>28.4407</c:v>
                </c:pt>
                <c:pt idx="71">
                  <c:v>28.8446</c:v>
                </c:pt>
                <c:pt idx="72">
                  <c:v>29.2515</c:v>
                </c:pt>
                <c:pt idx="73">
                  <c:v>29.6555</c:v>
                </c:pt>
                <c:pt idx="74">
                  <c:v>30.061399999999999</c:v>
                </c:pt>
                <c:pt idx="75">
                  <c:v>30.500299999999999</c:v>
                </c:pt>
                <c:pt idx="76">
                  <c:v>30.9072</c:v>
                </c:pt>
                <c:pt idx="77">
                  <c:v>31.3123</c:v>
                </c:pt>
                <c:pt idx="78">
                  <c:v>31.722999999999999</c:v>
                </c:pt>
                <c:pt idx="79">
                  <c:v>32.1248</c:v>
                </c:pt>
                <c:pt idx="80">
                  <c:v>32.5319</c:v>
                </c:pt>
                <c:pt idx="81">
                  <c:v>32.939</c:v>
                </c:pt>
                <c:pt idx="82">
                  <c:v>33.3446</c:v>
                </c:pt>
                <c:pt idx="83">
                  <c:v>33.7515</c:v>
                </c:pt>
                <c:pt idx="84">
                  <c:v>34.154499999999999</c:v>
                </c:pt>
                <c:pt idx="85">
                  <c:v>34.5625</c:v>
                </c:pt>
                <c:pt idx="86">
                  <c:v>34.970500000000001</c:v>
                </c:pt>
                <c:pt idx="87">
                  <c:v>35.374200000000002</c:v>
                </c:pt>
                <c:pt idx="88">
                  <c:v>35.7821</c:v>
                </c:pt>
                <c:pt idx="89">
                  <c:v>36.186</c:v>
                </c:pt>
                <c:pt idx="90">
                  <c:v>36.5929</c:v>
                </c:pt>
                <c:pt idx="91">
                  <c:v>37.000799999999998</c:v>
                </c:pt>
                <c:pt idx="92">
                  <c:v>37.405700000000003</c:v>
                </c:pt>
                <c:pt idx="93">
                  <c:v>37.809899999999999</c:v>
                </c:pt>
                <c:pt idx="94">
                  <c:v>38.221499999999999</c:v>
                </c:pt>
                <c:pt idx="95">
                  <c:v>38.628500000000003</c:v>
                </c:pt>
                <c:pt idx="96">
                  <c:v>39.033299999999997</c:v>
                </c:pt>
                <c:pt idx="97">
                  <c:v>39.437399999999997</c:v>
                </c:pt>
                <c:pt idx="98">
                  <c:v>39.842399999999998</c:v>
                </c:pt>
                <c:pt idx="99">
                  <c:v>40.252200000000002</c:v>
                </c:pt>
                <c:pt idx="100">
                  <c:v>40.658999999999999</c:v>
                </c:pt>
                <c:pt idx="101">
                  <c:v>41.064</c:v>
                </c:pt>
                <c:pt idx="102">
                  <c:v>41.470300000000002</c:v>
                </c:pt>
                <c:pt idx="103">
                  <c:v>41.872900000000001</c:v>
                </c:pt>
                <c:pt idx="104">
                  <c:v>42.282699999999998</c:v>
                </c:pt>
                <c:pt idx="105">
                  <c:v>42.690600000000003</c:v>
                </c:pt>
                <c:pt idx="106">
                  <c:v>43.094499999999996</c:v>
                </c:pt>
                <c:pt idx="107">
                  <c:v>43.500399999999999</c:v>
                </c:pt>
                <c:pt idx="108">
                  <c:v>43.9054</c:v>
                </c:pt>
                <c:pt idx="109">
                  <c:v>44.3123</c:v>
                </c:pt>
                <c:pt idx="110">
                  <c:v>44.720700000000001</c:v>
                </c:pt>
                <c:pt idx="111">
                  <c:v>45.125100000000003</c:v>
                </c:pt>
                <c:pt idx="112">
                  <c:v>45.531999999999996</c:v>
                </c:pt>
                <c:pt idx="113">
                  <c:v>45.933900000000001</c:v>
                </c:pt>
                <c:pt idx="114">
                  <c:v>46.344799999999999</c:v>
                </c:pt>
                <c:pt idx="115">
                  <c:v>46.748600000000003</c:v>
                </c:pt>
                <c:pt idx="116">
                  <c:v>47.156599999999997</c:v>
                </c:pt>
                <c:pt idx="117">
                  <c:v>47.562600000000003</c:v>
                </c:pt>
                <c:pt idx="118">
                  <c:v>47.969799999999999</c:v>
                </c:pt>
                <c:pt idx="119">
                  <c:v>48.3765</c:v>
                </c:pt>
                <c:pt idx="120">
                  <c:v>48.783299999999997</c:v>
                </c:pt>
                <c:pt idx="121">
                  <c:v>49.190300000000001</c:v>
                </c:pt>
                <c:pt idx="122">
                  <c:v>49.592100000000002</c:v>
                </c:pt>
                <c:pt idx="123">
                  <c:v>50.000399999999999</c:v>
                </c:pt>
                <c:pt idx="124">
                  <c:v>50.406999999999996</c:v>
                </c:pt>
                <c:pt idx="125">
                  <c:v>50.811900000000001</c:v>
                </c:pt>
                <c:pt idx="126">
                  <c:v>51.220999999999997</c:v>
                </c:pt>
                <c:pt idx="127">
                  <c:v>51.625700000000002</c:v>
                </c:pt>
                <c:pt idx="128">
                  <c:v>52.028599999999997</c:v>
                </c:pt>
                <c:pt idx="129">
                  <c:v>52.436999999999998</c:v>
                </c:pt>
                <c:pt idx="130">
                  <c:v>52.847299999999997</c:v>
                </c:pt>
                <c:pt idx="131">
                  <c:v>53.251399999999997</c:v>
                </c:pt>
                <c:pt idx="132">
                  <c:v>53.656399999999998</c:v>
                </c:pt>
                <c:pt idx="133">
                  <c:v>54.061199999999999</c:v>
                </c:pt>
                <c:pt idx="134">
                  <c:v>54.467599999999997</c:v>
                </c:pt>
                <c:pt idx="135">
                  <c:v>54.876100000000001</c:v>
                </c:pt>
                <c:pt idx="136">
                  <c:v>55.283900000000003</c:v>
                </c:pt>
                <c:pt idx="137">
                  <c:v>55.687100000000001</c:v>
                </c:pt>
                <c:pt idx="138">
                  <c:v>56.093699999999998</c:v>
                </c:pt>
                <c:pt idx="139">
                  <c:v>56.499200000000002</c:v>
                </c:pt>
                <c:pt idx="140">
                  <c:v>56.9056</c:v>
                </c:pt>
                <c:pt idx="141">
                  <c:v>57.3155</c:v>
                </c:pt>
                <c:pt idx="142">
                  <c:v>57.717399999999998</c:v>
                </c:pt>
                <c:pt idx="143">
                  <c:v>58.124400000000001</c:v>
                </c:pt>
                <c:pt idx="144">
                  <c:v>58.532299999999999</c:v>
                </c:pt>
                <c:pt idx="145">
                  <c:v>58.938099999999999</c:v>
                </c:pt>
                <c:pt idx="146">
                  <c:v>59.346200000000003</c:v>
                </c:pt>
                <c:pt idx="147">
                  <c:v>59.752000000000002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57.584199999999996</c:v>
                </c:pt>
                <c:pt idx="1">
                  <c:v>56.755100000000006</c:v>
                </c:pt>
                <c:pt idx="2">
                  <c:v>55.909799999999997</c:v>
                </c:pt>
                <c:pt idx="3">
                  <c:v>54.982500000000002</c:v>
                </c:pt>
                <c:pt idx="4">
                  <c:v>54.063000000000002</c:v>
                </c:pt>
                <c:pt idx="5">
                  <c:v>53.061499999999995</c:v>
                </c:pt>
                <c:pt idx="6">
                  <c:v>52.022199999999998</c:v>
                </c:pt>
                <c:pt idx="7">
                  <c:v>50.764200000000002</c:v>
                </c:pt>
                <c:pt idx="8">
                  <c:v>49.5289</c:v>
                </c:pt>
                <c:pt idx="9">
                  <c:v>48.428800000000003</c:v>
                </c:pt>
                <c:pt idx="10">
                  <c:v>47.397399999999998</c:v>
                </c:pt>
                <c:pt idx="11">
                  <c:v>46.371200000000002</c:v>
                </c:pt>
                <c:pt idx="12">
                  <c:v>45.305700000000002</c:v>
                </c:pt>
                <c:pt idx="13">
                  <c:v>44.260599999999997</c:v>
                </c:pt>
                <c:pt idx="14">
                  <c:v>43.258099999999999</c:v>
                </c:pt>
                <c:pt idx="15">
                  <c:v>42.177100000000003</c:v>
                </c:pt>
                <c:pt idx="16">
                  <c:v>41.075299999999999</c:v>
                </c:pt>
                <c:pt idx="17">
                  <c:v>39.956099999999999</c:v>
                </c:pt>
                <c:pt idx="18">
                  <c:v>38.996199999999995</c:v>
                </c:pt>
                <c:pt idx="19">
                  <c:v>38.209800000000001</c:v>
                </c:pt>
                <c:pt idx="20">
                  <c:v>37.661299999999997</c:v>
                </c:pt>
                <c:pt idx="21">
                  <c:v>37.308700000000002</c:v>
                </c:pt>
                <c:pt idx="22">
                  <c:v>37.075399999999995</c:v>
                </c:pt>
                <c:pt idx="23">
                  <c:v>36.9343</c:v>
                </c:pt>
                <c:pt idx="24">
                  <c:v>36.8626</c:v>
                </c:pt>
                <c:pt idx="25">
                  <c:v>36.9024</c:v>
                </c:pt>
                <c:pt idx="26">
                  <c:v>36.994399999999999</c:v>
                </c:pt>
                <c:pt idx="27">
                  <c:v>37.123699999999999</c:v>
                </c:pt>
                <c:pt idx="28">
                  <c:v>37.2776</c:v>
                </c:pt>
                <c:pt idx="29">
                  <c:v>37.454300000000003</c:v>
                </c:pt>
                <c:pt idx="30">
                  <c:v>37.604199999999999</c:v>
                </c:pt>
                <c:pt idx="31">
                  <c:v>37.799199999999999</c:v>
                </c:pt>
                <c:pt idx="32">
                  <c:v>38.055599999999998</c:v>
                </c:pt>
                <c:pt idx="33">
                  <c:v>38.340699999999998</c:v>
                </c:pt>
                <c:pt idx="34">
                  <c:v>38.615600000000001</c:v>
                </c:pt>
                <c:pt idx="35">
                  <c:v>38.923499999999997</c:v>
                </c:pt>
                <c:pt idx="36">
                  <c:v>39.289299999999997</c:v>
                </c:pt>
                <c:pt idx="37">
                  <c:v>39.694299999999998</c:v>
                </c:pt>
                <c:pt idx="38">
                  <c:v>40.1417</c:v>
                </c:pt>
                <c:pt idx="39">
                  <c:v>40.611399999999996</c:v>
                </c:pt>
                <c:pt idx="40">
                  <c:v>41.216200000000001</c:v>
                </c:pt>
                <c:pt idx="41">
                  <c:v>41.906599999999997</c:v>
                </c:pt>
                <c:pt idx="42">
                  <c:v>42.691499999999998</c:v>
                </c:pt>
                <c:pt idx="43">
                  <c:v>43.5242</c:v>
                </c:pt>
                <c:pt idx="44">
                  <c:v>44.407899999999998</c:v>
                </c:pt>
                <c:pt idx="45">
                  <c:v>45.201599999999999</c:v>
                </c:pt>
                <c:pt idx="46">
                  <c:v>45.902100000000004</c:v>
                </c:pt>
                <c:pt idx="47">
                  <c:v>46.562899999999999</c:v>
                </c:pt>
                <c:pt idx="48">
                  <c:v>47.1783</c:v>
                </c:pt>
                <c:pt idx="49">
                  <c:v>47.771500000000003</c:v>
                </c:pt>
                <c:pt idx="50">
                  <c:v>48.213899999999995</c:v>
                </c:pt>
                <c:pt idx="51">
                  <c:v>48.572700000000005</c:v>
                </c:pt>
                <c:pt idx="52">
                  <c:v>48.884999999999998</c:v>
                </c:pt>
                <c:pt idx="53">
                  <c:v>49.179299999999998</c:v>
                </c:pt>
                <c:pt idx="54">
                  <c:v>49.347900000000003</c:v>
                </c:pt>
                <c:pt idx="55">
                  <c:v>49.474000000000004</c:v>
                </c:pt>
                <c:pt idx="56">
                  <c:v>49.5871</c:v>
                </c:pt>
                <c:pt idx="57">
                  <c:v>49.682200000000002</c:v>
                </c:pt>
                <c:pt idx="58">
                  <c:v>49.7517</c:v>
                </c:pt>
                <c:pt idx="59">
                  <c:v>49.808999999999997</c:v>
                </c:pt>
                <c:pt idx="60">
                  <c:v>49.8795</c:v>
                </c:pt>
                <c:pt idx="61">
                  <c:v>49.935099999999998</c:v>
                </c:pt>
                <c:pt idx="62">
                  <c:v>49.885300000000001</c:v>
                </c:pt>
                <c:pt idx="63">
                  <c:v>49.843600000000002</c:v>
                </c:pt>
                <c:pt idx="64">
                  <c:v>49.761099999999999</c:v>
                </c:pt>
                <c:pt idx="65">
                  <c:v>49.668800000000005</c:v>
                </c:pt>
                <c:pt idx="66">
                  <c:v>49.6021</c:v>
                </c:pt>
                <c:pt idx="67">
                  <c:v>49.514800000000001</c:v>
                </c:pt>
                <c:pt idx="68">
                  <c:v>49.477900000000005</c:v>
                </c:pt>
                <c:pt idx="69">
                  <c:v>49.522300000000001</c:v>
                </c:pt>
                <c:pt idx="70">
                  <c:v>49.629100000000001</c:v>
                </c:pt>
                <c:pt idx="71">
                  <c:v>49.717199999999998</c:v>
                </c:pt>
                <c:pt idx="72">
                  <c:v>49.823900000000002</c:v>
                </c:pt>
                <c:pt idx="73">
                  <c:v>49.913499999999999</c:v>
                </c:pt>
                <c:pt idx="74">
                  <c:v>49.911799999999999</c:v>
                </c:pt>
                <c:pt idx="75">
                  <c:v>49.893000000000001</c:v>
                </c:pt>
                <c:pt idx="76">
                  <c:v>49.926600000000001</c:v>
                </c:pt>
                <c:pt idx="77">
                  <c:v>49.967199999999998</c:v>
                </c:pt>
                <c:pt idx="78">
                  <c:v>49.953800000000001</c:v>
                </c:pt>
                <c:pt idx="79">
                  <c:v>49.936199999999999</c:v>
                </c:pt>
                <c:pt idx="80">
                  <c:v>49.915700000000001</c:v>
                </c:pt>
                <c:pt idx="81">
                  <c:v>49.813200000000002</c:v>
                </c:pt>
                <c:pt idx="82">
                  <c:v>49.702800000000003</c:v>
                </c:pt>
                <c:pt idx="83">
                  <c:v>49.626399999999997</c:v>
                </c:pt>
                <c:pt idx="84">
                  <c:v>49.508099999999999</c:v>
                </c:pt>
                <c:pt idx="85">
                  <c:v>49.418700000000001</c:v>
                </c:pt>
                <c:pt idx="86">
                  <c:v>49.3003</c:v>
                </c:pt>
                <c:pt idx="87">
                  <c:v>49.177799999999998</c:v>
                </c:pt>
                <c:pt idx="88">
                  <c:v>48.914900000000003</c:v>
                </c:pt>
                <c:pt idx="89">
                  <c:v>48.588700000000003</c:v>
                </c:pt>
                <c:pt idx="90">
                  <c:v>48.198999999999998</c:v>
                </c:pt>
                <c:pt idx="91">
                  <c:v>47.649700000000003</c:v>
                </c:pt>
                <c:pt idx="92">
                  <c:v>47.044799999999995</c:v>
                </c:pt>
                <c:pt idx="93">
                  <c:v>46.441300000000005</c:v>
                </c:pt>
                <c:pt idx="94">
                  <c:v>45.878</c:v>
                </c:pt>
                <c:pt idx="95">
                  <c:v>45.443300000000001</c:v>
                </c:pt>
                <c:pt idx="96">
                  <c:v>45.021999999999998</c:v>
                </c:pt>
                <c:pt idx="97">
                  <c:v>44.693199999999997</c:v>
                </c:pt>
                <c:pt idx="98">
                  <c:v>44.415500000000002</c:v>
                </c:pt>
                <c:pt idx="99">
                  <c:v>44.185000000000002</c:v>
                </c:pt>
                <c:pt idx="100">
                  <c:v>44.017499999999998</c:v>
                </c:pt>
                <c:pt idx="101">
                  <c:v>43.856299999999997</c:v>
                </c:pt>
                <c:pt idx="102">
                  <c:v>43.708599999999997</c:v>
                </c:pt>
                <c:pt idx="103">
                  <c:v>43.568899999999999</c:v>
                </c:pt>
                <c:pt idx="104">
                  <c:v>43.4527</c:v>
                </c:pt>
                <c:pt idx="105">
                  <c:v>43.382199999999997</c:v>
                </c:pt>
                <c:pt idx="106">
                  <c:v>43.341000000000001</c:v>
                </c:pt>
                <c:pt idx="107">
                  <c:v>43.3048</c:v>
                </c:pt>
                <c:pt idx="108">
                  <c:v>43.2515</c:v>
                </c:pt>
                <c:pt idx="109">
                  <c:v>43.229700000000001</c:v>
                </c:pt>
                <c:pt idx="110">
                  <c:v>43.156399999999998</c:v>
                </c:pt>
                <c:pt idx="111">
                  <c:v>43.053100000000001</c:v>
                </c:pt>
                <c:pt idx="112">
                  <c:v>42.964700000000001</c:v>
                </c:pt>
                <c:pt idx="113">
                  <c:v>42.967300000000002</c:v>
                </c:pt>
                <c:pt idx="114">
                  <c:v>43.0595</c:v>
                </c:pt>
                <c:pt idx="115">
                  <c:v>43.282399999999996</c:v>
                </c:pt>
                <c:pt idx="116">
                  <c:v>43.663200000000003</c:v>
                </c:pt>
                <c:pt idx="117">
                  <c:v>44.214700000000001</c:v>
                </c:pt>
                <c:pt idx="118">
                  <c:v>44.872</c:v>
                </c:pt>
                <c:pt idx="119">
                  <c:v>45.580399999999997</c:v>
                </c:pt>
                <c:pt idx="120">
                  <c:v>46.241599999999998</c:v>
                </c:pt>
                <c:pt idx="121">
                  <c:v>47.043700000000001</c:v>
                </c:pt>
                <c:pt idx="122">
                  <c:v>47.761399999999995</c:v>
                </c:pt>
                <c:pt idx="123">
                  <c:v>48.4482</c:v>
                </c:pt>
                <c:pt idx="124">
                  <c:v>48.988199999999999</c:v>
                </c:pt>
                <c:pt idx="125">
                  <c:v>49.464700000000001</c:v>
                </c:pt>
                <c:pt idx="126">
                  <c:v>49.884399999999999</c:v>
                </c:pt>
                <c:pt idx="127">
                  <c:v>50.322199999999995</c:v>
                </c:pt>
                <c:pt idx="128">
                  <c:v>50.846100000000007</c:v>
                </c:pt>
                <c:pt idx="129">
                  <c:v>51.365200000000002</c:v>
                </c:pt>
                <c:pt idx="130">
                  <c:v>51.703600000000009</c:v>
                </c:pt>
                <c:pt idx="131">
                  <c:v>51.951000000000001</c:v>
                </c:pt>
                <c:pt idx="132">
                  <c:v>52.137299999999996</c:v>
                </c:pt>
                <c:pt idx="133">
                  <c:v>52.3401</c:v>
                </c:pt>
                <c:pt idx="134">
                  <c:v>52.581000000000003</c:v>
                </c:pt>
                <c:pt idx="135">
                  <c:v>52.841800000000006</c:v>
                </c:pt>
                <c:pt idx="136">
                  <c:v>53.0486</c:v>
                </c:pt>
                <c:pt idx="137">
                  <c:v>53.311900000000001</c:v>
                </c:pt>
                <c:pt idx="138">
                  <c:v>53.705800000000004</c:v>
                </c:pt>
                <c:pt idx="139">
                  <c:v>54.015899999999995</c:v>
                </c:pt>
                <c:pt idx="140">
                  <c:v>54.271499999999996</c:v>
                </c:pt>
                <c:pt idx="141">
                  <c:v>54.496699999999997</c:v>
                </c:pt>
                <c:pt idx="142">
                  <c:v>54.760100000000001</c:v>
                </c:pt>
                <c:pt idx="143">
                  <c:v>55.14</c:v>
                </c:pt>
                <c:pt idx="144">
                  <c:v>55.837000000000003</c:v>
                </c:pt>
                <c:pt idx="145">
                  <c:v>56.315000000000005</c:v>
                </c:pt>
                <c:pt idx="146">
                  <c:v>56.635999999999996</c:v>
                </c:pt>
                <c:pt idx="147">
                  <c:v>57.177199999999992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0.40667999999999999</c:v>
                </c:pt>
                <c:pt idx="2">
                  <c:v>0.810253</c:v>
                </c:pt>
                <c:pt idx="3">
                  <c:v>1.2215400000000001</c:v>
                </c:pt>
                <c:pt idx="4">
                  <c:v>1.6244099999999999</c:v>
                </c:pt>
                <c:pt idx="5">
                  <c:v>2.0326599999999999</c:v>
                </c:pt>
                <c:pt idx="6">
                  <c:v>2.4401899999999999</c:v>
                </c:pt>
                <c:pt idx="7">
                  <c:v>2.8441100000000001</c:v>
                </c:pt>
                <c:pt idx="8">
                  <c:v>3.2532700000000001</c:v>
                </c:pt>
                <c:pt idx="9">
                  <c:v>3.6550799999999999</c:v>
                </c:pt>
                <c:pt idx="10">
                  <c:v>4.0618800000000004</c:v>
                </c:pt>
                <c:pt idx="11">
                  <c:v>4.4708199999999998</c:v>
                </c:pt>
                <c:pt idx="12">
                  <c:v>4.8776900000000003</c:v>
                </c:pt>
                <c:pt idx="13">
                  <c:v>5.2786299999999997</c:v>
                </c:pt>
                <c:pt idx="14">
                  <c:v>5.68954</c:v>
                </c:pt>
                <c:pt idx="15">
                  <c:v>6.0913899999999996</c:v>
                </c:pt>
                <c:pt idx="16">
                  <c:v>6.49953</c:v>
                </c:pt>
                <c:pt idx="17">
                  <c:v>6.9072300000000002</c:v>
                </c:pt>
                <c:pt idx="18">
                  <c:v>7.3171600000000003</c:v>
                </c:pt>
                <c:pt idx="19">
                  <c:v>7.7251000000000003</c:v>
                </c:pt>
                <c:pt idx="20">
                  <c:v>8.1249900000000004</c:v>
                </c:pt>
                <c:pt idx="21">
                  <c:v>8.5286600000000004</c:v>
                </c:pt>
                <c:pt idx="22">
                  <c:v>8.9398099999999996</c:v>
                </c:pt>
                <c:pt idx="23">
                  <c:v>9.3467000000000002</c:v>
                </c:pt>
                <c:pt idx="24">
                  <c:v>9.7496500000000008</c:v>
                </c:pt>
                <c:pt idx="25">
                  <c:v>10.1556</c:v>
                </c:pt>
                <c:pt idx="26">
                  <c:v>10.5627</c:v>
                </c:pt>
                <c:pt idx="27">
                  <c:v>10.968400000000001</c:v>
                </c:pt>
                <c:pt idx="28">
                  <c:v>11.375400000000001</c:v>
                </c:pt>
                <c:pt idx="29">
                  <c:v>11.783200000000001</c:v>
                </c:pt>
                <c:pt idx="30">
                  <c:v>12.1891</c:v>
                </c:pt>
                <c:pt idx="31">
                  <c:v>12.5931</c:v>
                </c:pt>
                <c:pt idx="32">
                  <c:v>12.9962</c:v>
                </c:pt>
                <c:pt idx="33">
                  <c:v>13.4061</c:v>
                </c:pt>
                <c:pt idx="34">
                  <c:v>13.812900000000001</c:v>
                </c:pt>
                <c:pt idx="35">
                  <c:v>14.219900000000001</c:v>
                </c:pt>
                <c:pt idx="36">
                  <c:v>14.624700000000001</c:v>
                </c:pt>
                <c:pt idx="37">
                  <c:v>15.031499999999999</c:v>
                </c:pt>
                <c:pt idx="38">
                  <c:v>15.4376</c:v>
                </c:pt>
                <c:pt idx="39">
                  <c:v>15.8445</c:v>
                </c:pt>
                <c:pt idx="40">
                  <c:v>16.252300000000002</c:v>
                </c:pt>
                <c:pt idx="41">
                  <c:v>16.656500000000001</c:v>
                </c:pt>
                <c:pt idx="42">
                  <c:v>17.066199999999998</c:v>
                </c:pt>
                <c:pt idx="43">
                  <c:v>17.469000000000001</c:v>
                </c:pt>
                <c:pt idx="44">
                  <c:v>17.875299999999999</c:v>
                </c:pt>
                <c:pt idx="45">
                  <c:v>18.283899999999999</c:v>
                </c:pt>
                <c:pt idx="46">
                  <c:v>18.689699999999998</c:v>
                </c:pt>
                <c:pt idx="47">
                  <c:v>19.093699999999998</c:v>
                </c:pt>
                <c:pt idx="48">
                  <c:v>19.500599999999999</c:v>
                </c:pt>
                <c:pt idx="49">
                  <c:v>19.9056</c:v>
                </c:pt>
                <c:pt idx="50">
                  <c:v>20.3124</c:v>
                </c:pt>
                <c:pt idx="51">
                  <c:v>20.723299999999998</c:v>
                </c:pt>
                <c:pt idx="52">
                  <c:v>21.124300000000002</c:v>
                </c:pt>
                <c:pt idx="53">
                  <c:v>21.534300000000002</c:v>
                </c:pt>
                <c:pt idx="54">
                  <c:v>21.9375</c:v>
                </c:pt>
                <c:pt idx="55">
                  <c:v>22.344000000000001</c:v>
                </c:pt>
                <c:pt idx="56">
                  <c:v>22.752099999999999</c:v>
                </c:pt>
                <c:pt idx="57">
                  <c:v>23.1569</c:v>
                </c:pt>
                <c:pt idx="58">
                  <c:v>23.560700000000001</c:v>
                </c:pt>
                <c:pt idx="59">
                  <c:v>23.967700000000001</c:v>
                </c:pt>
                <c:pt idx="60">
                  <c:v>24.373699999999999</c:v>
                </c:pt>
                <c:pt idx="61">
                  <c:v>24.782499999999999</c:v>
                </c:pt>
                <c:pt idx="62">
                  <c:v>25.189399999999999</c:v>
                </c:pt>
                <c:pt idx="63">
                  <c:v>25.593399999999999</c:v>
                </c:pt>
                <c:pt idx="64">
                  <c:v>25.999199999999998</c:v>
                </c:pt>
                <c:pt idx="65">
                  <c:v>26.4072</c:v>
                </c:pt>
                <c:pt idx="66">
                  <c:v>26.813099999999999</c:v>
                </c:pt>
                <c:pt idx="67">
                  <c:v>27.221</c:v>
                </c:pt>
                <c:pt idx="68">
                  <c:v>27.6219</c:v>
                </c:pt>
                <c:pt idx="69">
                  <c:v>28.030799999999999</c:v>
                </c:pt>
                <c:pt idx="70">
                  <c:v>28.4407</c:v>
                </c:pt>
                <c:pt idx="71">
                  <c:v>28.8446</c:v>
                </c:pt>
                <c:pt idx="72">
                  <c:v>29.2515</c:v>
                </c:pt>
                <c:pt idx="73">
                  <c:v>29.6555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57.584199999999996</c:v>
                </c:pt>
                <c:pt idx="1">
                  <c:v>56.755100000000006</c:v>
                </c:pt>
                <c:pt idx="2">
                  <c:v>55.909799999999997</c:v>
                </c:pt>
                <c:pt idx="3">
                  <c:v>54.982500000000002</c:v>
                </c:pt>
                <c:pt idx="4">
                  <c:v>54.063000000000002</c:v>
                </c:pt>
                <c:pt idx="5">
                  <c:v>53.061499999999995</c:v>
                </c:pt>
                <c:pt idx="6">
                  <c:v>52.022199999999998</c:v>
                </c:pt>
                <c:pt idx="7">
                  <c:v>50.764200000000002</c:v>
                </c:pt>
                <c:pt idx="8">
                  <c:v>49.5289</c:v>
                </c:pt>
                <c:pt idx="9">
                  <c:v>48.428800000000003</c:v>
                </c:pt>
                <c:pt idx="10">
                  <c:v>47.397399999999998</c:v>
                </c:pt>
                <c:pt idx="11">
                  <c:v>46.371200000000002</c:v>
                </c:pt>
                <c:pt idx="12">
                  <c:v>45.305700000000002</c:v>
                </c:pt>
                <c:pt idx="13">
                  <c:v>44.260599999999997</c:v>
                </c:pt>
                <c:pt idx="14">
                  <c:v>43.258099999999999</c:v>
                </c:pt>
                <c:pt idx="15">
                  <c:v>42.177100000000003</c:v>
                </c:pt>
                <c:pt idx="16">
                  <c:v>41.075299999999999</c:v>
                </c:pt>
                <c:pt idx="17">
                  <c:v>39.956099999999999</c:v>
                </c:pt>
                <c:pt idx="18">
                  <c:v>38.996199999999995</c:v>
                </c:pt>
                <c:pt idx="19">
                  <c:v>38.209800000000001</c:v>
                </c:pt>
                <c:pt idx="20">
                  <c:v>37.661299999999997</c:v>
                </c:pt>
                <c:pt idx="21">
                  <c:v>37.308700000000002</c:v>
                </c:pt>
                <c:pt idx="22">
                  <c:v>37.075399999999995</c:v>
                </c:pt>
                <c:pt idx="23">
                  <c:v>36.9343</c:v>
                </c:pt>
                <c:pt idx="24">
                  <c:v>36.8626</c:v>
                </c:pt>
                <c:pt idx="25">
                  <c:v>36.9024</c:v>
                </c:pt>
                <c:pt idx="26">
                  <c:v>36.994399999999999</c:v>
                </c:pt>
                <c:pt idx="27">
                  <c:v>37.123699999999999</c:v>
                </c:pt>
                <c:pt idx="28">
                  <c:v>37.2776</c:v>
                </c:pt>
                <c:pt idx="29">
                  <c:v>37.454300000000003</c:v>
                </c:pt>
                <c:pt idx="30">
                  <c:v>37.604199999999999</c:v>
                </c:pt>
                <c:pt idx="31">
                  <c:v>37.799199999999999</c:v>
                </c:pt>
                <c:pt idx="32">
                  <c:v>38.055599999999998</c:v>
                </c:pt>
                <c:pt idx="33">
                  <c:v>38.340699999999998</c:v>
                </c:pt>
                <c:pt idx="34">
                  <c:v>38.615600000000001</c:v>
                </c:pt>
                <c:pt idx="35">
                  <c:v>38.923499999999997</c:v>
                </c:pt>
                <c:pt idx="36">
                  <c:v>39.289299999999997</c:v>
                </c:pt>
                <c:pt idx="37">
                  <c:v>39.694299999999998</c:v>
                </c:pt>
                <c:pt idx="38">
                  <c:v>40.1417</c:v>
                </c:pt>
                <c:pt idx="39">
                  <c:v>40.611399999999996</c:v>
                </c:pt>
                <c:pt idx="40">
                  <c:v>41.216200000000001</c:v>
                </c:pt>
                <c:pt idx="41">
                  <c:v>41.906599999999997</c:v>
                </c:pt>
                <c:pt idx="42">
                  <c:v>42.691499999999998</c:v>
                </c:pt>
                <c:pt idx="43">
                  <c:v>43.5242</c:v>
                </c:pt>
                <c:pt idx="44">
                  <c:v>44.407899999999998</c:v>
                </c:pt>
                <c:pt idx="45">
                  <c:v>45.201599999999999</c:v>
                </c:pt>
                <c:pt idx="46">
                  <c:v>45.902100000000004</c:v>
                </c:pt>
                <c:pt idx="47">
                  <c:v>46.562899999999999</c:v>
                </c:pt>
                <c:pt idx="48">
                  <c:v>47.1783</c:v>
                </c:pt>
                <c:pt idx="49">
                  <c:v>47.771500000000003</c:v>
                </c:pt>
                <c:pt idx="50">
                  <c:v>48.213899999999995</c:v>
                </c:pt>
                <c:pt idx="51">
                  <c:v>48.572700000000005</c:v>
                </c:pt>
                <c:pt idx="52">
                  <c:v>48.884999999999998</c:v>
                </c:pt>
                <c:pt idx="53">
                  <c:v>49.179299999999998</c:v>
                </c:pt>
                <c:pt idx="54">
                  <c:v>49.347900000000003</c:v>
                </c:pt>
                <c:pt idx="55">
                  <c:v>49.474000000000004</c:v>
                </c:pt>
                <c:pt idx="56">
                  <c:v>49.5871</c:v>
                </c:pt>
                <c:pt idx="57">
                  <c:v>49.682200000000002</c:v>
                </c:pt>
                <c:pt idx="58">
                  <c:v>49.7517</c:v>
                </c:pt>
                <c:pt idx="59">
                  <c:v>49.808999999999997</c:v>
                </c:pt>
                <c:pt idx="60">
                  <c:v>49.8795</c:v>
                </c:pt>
                <c:pt idx="61">
                  <c:v>49.935099999999998</c:v>
                </c:pt>
                <c:pt idx="62">
                  <c:v>49.885300000000001</c:v>
                </c:pt>
                <c:pt idx="63">
                  <c:v>49.843600000000002</c:v>
                </c:pt>
                <c:pt idx="64">
                  <c:v>49.761099999999999</c:v>
                </c:pt>
                <c:pt idx="65">
                  <c:v>49.668800000000005</c:v>
                </c:pt>
                <c:pt idx="66">
                  <c:v>49.6021</c:v>
                </c:pt>
                <c:pt idx="67">
                  <c:v>49.514800000000001</c:v>
                </c:pt>
                <c:pt idx="68">
                  <c:v>49.477900000000005</c:v>
                </c:pt>
                <c:pt idx="69">
                  <c:v>49.522300000000001</c:v>
                </c:pt>
                <c:pt idx="70">
                  <c:v>49.629100000000001</c:v>
                </c:pt>
                <c:pt idx="71">
                  <c:v>49.717199999999998</c:v>
                </c:pt>
                <c:pt idx="72">
                  <c:v>49.823900000000002</c:v>
                </c:pt>
                <c:pt idx="73">
                  <c:v>49.913499999999999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29.6555</c:v>
                </c:pt>
                <c:pt idx="1">
                  <c:v>30.061399999999999</c:v>
                </c:pt>
                <c:pt idx="2">
                  <c:v>30.500299999999999</c:v>
                </c:pt>
                <c:pt idx="3">
                  <c:v>30.9072</c:v>
                </c:pt>
                <c:pt idx="4">
                  <c:v>31.3123</c:v>
                </c:pt>
                <c:pt idx="5">
                  <c:v>31.722999999999999</c:v>
                </c:pt>
                <c:pt idx="6">
                  <c:v>32.1248</c:v>
                </c:pt>
                <c:pt idx="7">
                  <c:v>32.5319</c:v>
                </c:pt>
                <c:pt idx="8">
                  <c:v>32.939</c:v>
                </c:pt>
                <c:pt idx="9">
                  <c:v>33.3446</c:v>
                </c:pt>
                <c:pt idx="10">
                  <c:v>33.7515</c:v>
                </c:pt>
                <c:pt idx="11">
                  <c:v>34.154499999999999</c:v>
                </c:pt>
                <c:pt idx="12">
                  <c:v>34.5625</c:v>
                </c:pt>
                <c:pt idx="13">
                  <c:v>34.970500000000001</c:v>
                </c:pt>
                <c:pt idx="14">
                  <c:v>35.374200000000002</c:v>
                </c:pt>
                <c:pt idx="15">
                  <c:v>35.7821</c:v>
                </c:pt>
                <c:pt idx="16">
                  <c:v>36.186</c:v>
                </c:pt>
                <c:pt idx="17">
                  <c:v>36.5929</c:v>
                </c:pt>
                <c:pt idx="18">
                  <c:v>37.000799999999998</c:v>
                </c:pt>
                <c:pt idx="19">
                  <c:v>37.405700000000003</c:v>
                </c:pt>
                <c:pt idx="20">
                  <c:v>37.809899999999999</c:v>
                </c:pt>
                <c:pt idx="21">
                  <c:v>38.221499999999999</c:v>
                </c:pt>
                <c:pt idx="22">
                  <c:v>38.628500000000003</c:v>
                </c:pt>
                <c:pt idx="23">
                  <c:v>39.033299999999997</c:v>
                </c:pt>
                <c:pt idx="24">
                  <c:v>39.437399999999997</c:v>
                </c:pt>
                <c:pt idx="25">
                  <c:v>39.842399999999998</c:v>
                </c:pt>
                <c:pt idx="26">
                  <c:v>40.252200000000002</c:v>
                </c:pt>
                <c:pt idx="27">
                  <c:v>40.658999999999999</c:v>
                </c:pt>
                <c:pt idx="28">
                  <c:v>41.064</c:v>
                </c:pt>
                <c:pt idx="29">
                  <c:v>41.470300000000002</c:v>
                </c:pt>
                <c:pt idx="30">
                  <c:v>41.872900000000001</c:v>
                </c:pt>
                <c:pt idx="31">
                  <c:v>42.282699999999998</c:v>
                </c:pt>
                <c:pt idx="32">
                  <c:v>42.690600000000003</c:v>
                </c:pt>
                <c:pt idx="33">
                  <c:v>43.094499999999996</c:v>
                </c:pt>
                <c:pt idx="34">
                  <c:v>43.500399999999999</c:v>
                </c:pt>
                <c:pt idx="35">
                  <c:v>43.9054</c:v>
                </c:pt>
                <c:pt idx="36">
                  <c:v>44.3123</c:v>
                </c:pt>
                <c:pt idx="37">
                  <c:v>44.720700000000001</c:v>
                </c:pt>
                <c:pt idx="38">
                  <c:v>45.125100000000003</c:v>
                </c:pt>
                <c:pt idx="39">
                  <c:v>45.531999999999996</c:v>
                </c:pt>
                <c:pt idx="40">
                  <c:v>45.933900000000001</c:v>
                </c:pt>
                <c:pt idx="41">
                  <c:v>46.344799999999999</c:v>
                </c:pt>
                <c:pt idx="42">
                  <c:v>46.748600000000003</c:v>
                </c:pt>
                <c:pt idx="43">
                  <c:v>47.156599999999997</c:v>
                </c:pt>
                <c:pt idx="44">
                  <c:v>47.562600000000003</c:v>
                </c:pt>
                <c:pt idx="45">
                  <c:v>47.969799999999999</c:v>
                </c:pt>
                <c:pt idx="46">
                  <c:v>48.3765</c:v>
                </c:pt>
                <c:pt idx="47">
                  <c:v>48.783299999999997</c:v>
                </c:pt>
                <c:pt idx="48">
                  <c:v>49.190300000000001</c:v>
                </c:pt>
                <c:pt idx="49">
                  <c:v>49.592100000000002</c:v>
                </c:pt>
                <c:pt idx="50">
                  <c:v>50.000399999999999</c:v>
                </c:pt>
                <c:pt idx="51">
                  <c:v>50.406999999999996</c:v>
                </c:pt>
                <c:pt idx="52">
                  <c:v>50.811900000000001</c:v>
                </c:pt>
                <c:pt idx="53">
                  <c:v>51.220999999999997</c:v>
                </c:pt>
                <c:pt idx="54">
                  <c:v>51.625700000000002</c:v>
                </c:pt>
                <c:pt idx="55">
                  <c:v>52.028599999999997</c:v>
                </c:pt>
                <c:pt idx="56">
                  <c:v>52.436999999999998</c:v>
                </c:pt>
                <c:pt idx="57">
                  <c:v>52.847299999999997</c:v>
                </c:pt>
                <c:pt idx="58">
                  <c:v>53.251399999999997</c:v>
                </c:pt>
                <c:pt idx="59">
                  <c:v>53.656399999999998</c:v>
                </c:pt>
                <c:pt idx="60">
                  <c:v>54.061199999999999</c:v>
                </c:pt>
                <c:pt idx="61">
                  <c:v>54.467599999999997</c:v>
                </c:pt>
                <c:pt idx="62">
                  <c:v>54.876100000000001</c:v>
                </c:pt>
                <c:pt idx="63">
                  <c:v>55.283900000000003</c:v>
                </c:pt>
                <c:pt idx="64">
                  <c:v>55.687100000000001</c:v>
                </c:pt>
                <c:pt idx="65">
                  <c:v>56.093699999999998</c:v>
                </c:pt>
                <c:pt idx="66">
                  <c:v>56.499200000000002</c:v>
                </c:pt>
                <c:pt idx="67">
                  <c:v>56.9056</c:v>
                </c:pt>
                <c:pt idx="68">
                  <c:v>57.3155</c:v>
                </c:pt>
                <c:pt idx="69">
                  <c:v>57.717399999999998</c:v>
                </c:pt>
                <c:pt idx="70">
                  <c:v>58.124400000000001</c:v>
                </c:pt>
                <c:pt idx="71">
                  <c:v>58.532299999999999</c:v>
                </c:pt>
                <c:pt idx="72">
                  <c:v>58.938099999999999</c:v>
                </c:pt>
                <c:pt idx="73">
                  <c:v>59.346200000000003</c:v>
                </c:pt>
                <c:pt idx="74">
                  <c:v>59.752000000000002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49.913499999999999</c:v>
                </c:pt>
                <c:pt idx="1">
                  <c:v>49.911799999999999</c:v>
                </c:pt>
                <c:pt idx="2">
                  <c:v>49.893000000000001</c:v>
                </c:pt>
                <c:pt idx="3">
                  <c:v>49.926600000000001</c:v>
                </c:pt>
                <c:pt idx="4">
                  <c:v>49.967199999999998</c:v>
                </c:pt>
                <c:pt idx="5">
                  <c:v>49.953800000000001</c:v>
                </c:pt>
                <c:pt idx="6">
                  <c:v>49.936199999999999</c:v>
                </c:pt>
                <c:pt idx="7">
                  <c:v>49.915700000000001</c:v>
                </c:pt>
                <c:pt idx="8">
                  <c:v>49.813200000000002</c:v>
                </c:pt>
                <c:pt idx="9">
                  <c:v>49.702800000000003</c:v>
                </c:pt>
                <c:pt idx="10">
                  <c:v>49.626399999999997</c:v>
                </c:pt>
                <c:pt idx="11">
                  <c:v>49.508099999999999</c:v>
                </c:pt>
                <c:pt idx="12">
                  <c:v>49.418700000000001</c:v>
                </c:pt>
                <c:pt idx="13">
                  <c:v>49.3003</c:v>
                </c:pt>
                <c:pt idx="14">
                  <c:v>49.177799999999998</c:v>
                </c:pt>
                <c:pt idx="15">
                  <c:v>48.914900000000003</c:v>
                </c:pt>
                <c:pt idx="16">
                  <c:v>48.588700000000003</c:v>
                </c:pt>
                <c:pt idx="17">
                  <c:v>48.198999999999998</c:v>
                </c:pt>
                <c:pt idx="18">
                  <c:v>47.649700000000003</c:v>
                </c:pt>
                <c:pt idx="19">
                  <c:v>47.044799999999995</c:v>
                </c:pt>
                <c:pt idx="20">
                  <c:v>46.441300000000005</c:v>
                </c:pt>
                <c:pt idx="21">
                  <c:v>45.878</c:v>
                </c:pt>
                <c:pt idx="22">
                  <c:v>45.443300000000001</c:v>
                </c:pt>
                <c:pt idx="23">
                  <c:v>45.021999999999998</c:v>
                </c:pt>
                <c:pt idx="24">
                  <c:v>44.693199999999997</c:v>
                </c:pt>
                <c:pt idx="25">
                  <c:v>44.415500000000002</c:v>
                </c:pt>
                <c:pt idx="26">
                  <c:v>44.185000000000002</c:v>
                </c:pt>
                <c:pt idx="27">
                  <c:v>44.017499999999998</c:v>
                </c:pt>
                <c:pt idx="28">
                  <c:v>43.856299999999997</c:v>
                </c:pt>
                <c:pt idx="29">
                  <c:v>43.708599999999997</c:v>
                </c:pt>
                <c:pt idx="30">
                  <c:v>43.568899999999999</c:v>
                </c:pt>
                <c:pt idx="31">
                  <c:v>43.4527</c:v>
                </c:pt>
                <c:pt idx="32">
                  <c:v>43.382199999999997</c:v>
                </c:pt>
                <c:pt idx="33">
                  <c:v>43.341000000000001</c:v>
                </c:pt>
                <c:pt idx="34">
                  <c:v>43.3048</c:v>
                </c:pt>
                <c:pt idx="35">
                  <c:v>43.2515</c:v>
                </c:pt>
                <c:pt idx="36">
                  <c:v>43.229700000000001</c:v>
                </c:pt>
                <c:pt idx="37">
                  <c:v>43.156399999999998</c:v>
                </c:pt>
                <c:pt idx="38">
                  <c:v>43.053100000000001</c:v>
                </c:pt>
                <c:pt idx="39">
                  <c:v>42.964700000000001</c:v>
                </c:pt>
                <c:pt idx="40">
                  <c:v>42.967300000000002</c:v>
                </c:pt>
                <c:pt idx="41">
                  <c:v>43.0595</c:v>
                </c:pt>
                <c:pt idx="42">
                  <c:v>43.282399999999996</c:v>
                </c:pt>
                <c:pt idx="43">
                  <c:v>43.663200000000003</c:v>
                </c:pt>
                <c:pt idx="44">
                  <c:v>44.214700000000001</c:v>
                </c:pt>
                <c:pt idx="45">
                  <c:v>44.872</c:v>
                </c:pt>
                <c:pt idx="46">
                  <c:v>45.580399999999997</c:v>
                </c:pt>
                <c:pt idx="47">
                  <c:v>46.241599999999998</c:v>
                </c:pt>
                <c:pt idx="48">
                  <c:v>47.043700000000001</c:v>
                </c:pt>
                <c:pt idx="49">
                  <c:v>47.761399999999995</c:v>
                </c:pt>
                <c:pt idx="50">
                  <c:v>48.4482</c:v>
                </c:pt>
                <c:pt idx="51">
                  <c:v>48.988199999999999</c:v>
                </c:pt>
                <c:pt idx="52">
                  <c:v>49.464700000000001</c:v>
                </c:pt>
                <c:pt idx="53">
                  <c:v>49.884399999999999</c:v>
                </c:pt>
                <c:pt idx="54">
                  <c:v>50.322199999999995</c:v>
                </c:pt>
                <c:pt idx="55">
                  <c:v>50.846100000000007</c:v>
                </c:pt>
                <c:pt idx="56">
                  <c:v>51.365200000000002</c:v>
                </c:pt>
                <c:pt idx="57">
                  <c:v>51.703600000000009</c:v>
                </c:pt>
                <c:pt idx="58">
                  <c:v>51.951000000000001</c:v>
                </c:pt>
                <c:pt idx="59">
                  <c:v>52.137299999999996</c:v>
                </c:pt>
                <c:pt idx="60">
                  <c:v>52.3401</c:v>
                </c:pt>
                <c:pt idx="61">
                  <c:v>52.581000000000003</c:v>
                </c:pt>
                <c:pt idx="62">
                  <c:v>52.841800000000006</c:v>
                </c:pt>
                <c:pt idx="63">
                  <c:v>53.0486</c:v>
                </c:pt>
                <c:pt idx="64">
                  <c:v>53.311900000000001</c:v>
                </c:pt>
                <c:pt idx="65">
                  <c:v>53.705800000000004</c:v>
                </c:pt>
                <c:pt idx="66">
                  <c:v>54.015899999999995</c:v>
                </c:pt>
                <c:pt idx="67">
                  <c:v>54.271499999999996</c:v>
                </c:pt>
                <c:pt idx="68">
                  <c:v>54.496699999999997</c:v>
                </c:pt>
                <c:pt idx="69">
                  <c:v>54.760100000000001</c:v>
                </c:pt>
                <c:pt idx="70">
                  <c:v>55.14</c:v>
                </c:pt>
                <c:pt idx="71">
                  <c:v>55.837000000000003</c:v>
                </c:pt>
                <c:pt idx="72">
                  <c:v>56.315000000000005</c:v>
                </c:pt>
                <c:pt idx="73">
                  <c:v>56.635999999999996</c:v>
                </c:pt>
                <c:pt idx="74">
                  <c:v>57.177199999999992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14.938000000000001</c:v>
                </c:pt>
                <c:pt idx="1">
                  <c:v>44.814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45.348887837837836</c:v>
                </c:pt>
                <c:pt idx="1">
                  <c:v>48.474190540540562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1.6645399999999999</c:v>
                </c:pt>
                <c:pt idx="1">
                  <c:v>1.7134099999999999</c:v>
                </c:pt>
                <c:pt idx="2">
                  <c:v>1.7618100000000001</c:v>
                </c:pt>
                <c:pt idx="3">
                  <c:v>1.8108599999999999</c:v>
                </c:pt>
                <c:pt idx="4">
                  <c:v>1.8590200000000001</c:v>
                </c:pt>
                <c:pt idx="5">
                  <c:v>1.9039700000000002</c:v>
                </c:pt>
                <c:pt idx="6">
                  <c:v>1.9490099999999999</c:v>
                </c:pt>
                <c:pt idx="7">
                  <c:v>1.9963</c:v>
                </c:pt>
                <c:pt idx="8">
                  <c:v>2.0440499999999999</c:v>
                </c:pt>
                <c:pt idx="9">
                  <c:v>2.0892599999999999</c:v>
                </c:pt>
                <c:pt idx="10">
                  <c:v>2.1337700000000002</c:v>
                </c:pt>
                <c:pt idx="11">
                  <c:v>2.17787</c:v>
                </c:pt>
                <c:pt idx="12">
                  <c:v>2.2209699999999999</c:v>
                </c:pt>
                <c:pt idx="13">
                  <c:v>2.2643499999999999</c:v>
                </c:pt>
                <c:pt idx="14">
                  <c:v>2.3065099999999998</c:v>
                </c:pt>
                <c:pt idx="15">
                  <c:v>2.3498800000000002</c:v>
                </c:pt>
                <c:pt idx="16">
                  <c:v>2.39384</c:v>
                </c:pt>
                <c:pt idx="17">
                  <c:v>2.43669</c:v>
                </c:pt>
                <c:pt idx="18">
                  <c:v>2.48495</c:v>
                </c:pt>
                <c:pt idx="19">
                  <c:v>2.5313600000000003</c:v>
                </c:pt>
                <c:pt idx="20">
                  <c:v>2.5708599999999997</c:v>
                </c:pt>
                <c:pt idx="21">
                  <c:v>2.6040600000000005</c:v>
                </c:pt>
                <c:pt idx="22">
                  <c:v>2.6316299999999999</c:v>
                </c:pt>
                <c:pt idx="23">
                  <c:v>2.65368</c:v>
                </c:pt>
                <c:pt idx="24">
                  <c:v>2.67136</c:v>
                </c:pt>
                <c:pt idx="25">
                  <c:v>2.6825199999999998</c:v>
                </c:pt>
                <c:pt idx="26">
                  <c:v>2.6898899999999997</c:v>
                </c:pt>
                <c:pt idx="27">
                  <c:v>2.6947999999999999</c:v>
                </c:pt>
                <c:pt idx="28">
                  <c:v>2.6961300000000001</c:v>
                </c:pt>
                <c:pt idx="29">
                  <c:v>2.6902300000000001</c:v>
                </c:pt>
                <c:pt idx="30">
                  <c:v>2.6812799999999997</c:v>
                </c:pt>
                <c:pt idx="31">
                  <c:v>2.6703399999999999</c:v>
                </c:pt>
                <c:pt idx="32">
                  <c:v>2.6562400000000004</c:v>
                </c:pt>
                <c:pt idx="33">
                  <c:v>2.6407599999999998</c:v>
                </c:pt>
                <c:pt idx="34">
                  <c:v>2.6239299999999997</c:v>
                </c:pt>
                <c:pt idx="35">
                  <c:v>2.6068200000000004</c:v>
                </c:pt>
                <c:pt idx="36">
                  <c:v>2.5887100000000003</c:v>
                </c:pt>
                <c:pt idx="37">
                  <c:v>2.5667099999999996</c:v>
                </c:pt>
                <c:pt idx="38">
                  <c:v>2.5432700000000001</c:v>
                </c:pt>
                <c:pt idx="39">
                  <c:v>2.5179099999999996</c:v>
                </c:pt>
                <c:pt idx="40">
                  <c:v>2.4919500000000001</c:v>
                </c:pt>
                <c:pt idx="41">
                  <c:v>2.4641799999999998</c:v>
                </c:pt>
                <c:pt idx="42">
                  <c:v>2.4369299999999998</c:v>
                </c:pt>
                <c:pt idx="43">
                  <c:v>2.4047399999999999</c:v>
                </c:pt>
                <c:pt idx="44">
                  <c:v>2.37107</c:v>
                </c:pt>
                <c:pt idx="45">
                  <c:v>2.3428100000000001</c:v>
                </c:pt>
                <c:pt idx="46">
                  <c:v>2.31691</c:v>
                </c:pt>
                <c:pt idx="47">
                  <c:v>2.2898199999999997</c:v>
                </c:pt>
                <c:pt idx="48">
                  <c:v>2.26396</c:v>
                </c:pt>
                <c:pt idx="49">
                  <c:v>2.2407499999999998</c:v>
                </c:pt>
                <c:pt idx="50">
                  <c:v>2.2215400000000001</c:v>
                </c:pt>
                <c:pt idx="51">
                  <c:v>2.2054199999999997</c:v>
                </c:pt>
                <c:pt idx="52">
                  <c:v>2.1899099999999998</c:v>
                </c:pt>
                <c:pt idx="53">
                  <c:v>2.1746400000000001</c:v>
                </c:pt>
                <c:pt idx="54">
                  <c:v>2.1647699999999999</c:v>
                </c:pt>
                <c:pt idx="55">
                  <c:v>2.1596799999999998</c:v>
                </c:pt>
                <c:pt idx="56">
                  <c:v>2.1539600000000001</c:v>
                </c:pt>
                <c:pt idx="57">
                  <c:v>2.1465399999999999</c:v>
                </c:pt>
                <c:pt idx="58">
                  <c:v>2.1410800000000001</c:v>
                </c:pt>
                <c:pt idx="59">
                  <c:v>2.1371500000000001</c:v>
                </c:pt>
                <c:pt idx="60">
                  <c:v>2.1317400000000002</c:v>
                </c:pt>
                <c:pt idx="61">
                  <c:v>2.12703</c:v>
                </c:pt>
                <c:pt idx="62">
                  <c:v>2.1281099999999999</c:v>
                </c:pt>
                <c:pt idx="63">
                  <c:v>2.1293500000000001</c:v>
                </c:pt>
                <c:pt idx="64">
                  <c:v>2.1324199999999998</c:v>
                </c:pt>
                <c:pt idx="65">
                  <c:v>2.1348099999999999</c:v>
                </c:pt>
                <c:pt idx="66">
                  <c:v>2.1369899999999999</c:v>
                </c:pt>
                <c:pt idx="67">
                  <c:v>2.1394500000000001</c:v>
                </c:pt>
                <c:pt idx="68">
                  <c:v>2.1398900000000003</c:v>
                </c:pt>
                <c:pt idx="69">
                  <c:v>2.1365600000000002</c:v>
                </c:pt>
                <c:pt idx="70">
                  <c:v>2.1310599999999997</c:v>
                </c:pt>
                <c:pt idx="71">
                  <c:v>2.1278800000000002</c:v>
                </c:pt>
                <c:pt idx="72">
                  <c:v>2.12669</c:v>
                </c:pt>
                <c:pt idx="73">
                  <c:v>2.1267900000000002</c:v>
                </c:pt>
                <c:pt idx="74">
                  <c:v>2.12988</c:v>
                </c:pt>
                <c:pt idx="75">
                  <c:v>2.13293</c:v>
                </c:pt>
                <c:pt idx="76">
                  <c:v>2.1351800000000001</c:v>
                </c:pt>
                <c:pt idx="77">
                  <c:v>2.13734</c:v>
                </c:pt>
                <c:pt idx="78">
                  <c:v>2.14154</c:v>
                </c:pt>
                <c:pt idx="79">
                  <c:v>2.14527</c:v>
                </c:pt>
                <c:pt idx="80">
                  <c:v>2.1476000000000002</c:v>
                </c:pt>
                <c:pt idx="81">
                  <c:v>2.1532200000000001</c:v>
                </c:pt>
                <c:pt idx="82">
                  <c:v>2.1615000000000002</c:v>
                </c:pt>
                <c:pt idx="83">
                  <c:v>2.16852</c:v>
                </c:pt>
                <c:pt idx="84">
                  <c:v>2.1764800000000002</c:v>
                </c:pt>
                <c:pt idx="85">
                  <c:v>2.1862300000000001</c:v>
                </c:pt>
                <c:pt idx="86">
                  <c:v>2.1963300000000001</c:v>
                </c:pt>
                <c:pt idx="87">
                  <c:v>2.2049400000000001</c:v>
                </c:pt>
                <c:pt idx="88">
                  <c:v>2.2181100000000002</c:v>
                </c:pt>
                <c:pt idx="89">
                  <c:v>2.2338900000000002</c:v>
                </c:pt>
                <c:pt idx="90">
                  <c:v>2.2508699999999999</c:v>
                </c:pt>
                <c:pt idx="91">
                  <c:v>2.27291</c:v>
                </c:pt>
                <c:pt idx="92">
                  <c:v>2.2957800000000002</c:v>
                </c:pt>
                <c:pt idx="93">
                  <c:v>2.3198300000000001</c:v>
                </c:pt>
                <c:pt idx="94">
                  <c:v>2.3447399999999998</c:v>
                </c:pt>
                <c:pt idx="95">
                  <c:v>2.3668300000000002</c:v>
                </c:pt>
                <c:pt idx="96">
                  <c:v>2.3867099999999999</c:v>
                </c:pt>
                <c:pt idx="97">
                  <c:v>2.4031700000000003</c:v>
                </c:pt>
                <c:pt idx="98">
                  <c:v>2.4159700000000002</c:v>
                </c:pt>
                <c:pt idx="99">
                  <c:v>2.4234499999999999</c:v>
                </c:pt>
                <c:pt idx="100">
                  <c:v>2.4290799999999999</c:v>
                </c:pt>
                <c:pt idx="101">
                  <c:v>2.4331900000000002</c:v>
                </c:pt>
                <c:pt idx="102">
                  <c:v>2.4372099999999999</c:v>
                </c:pt>
                <c:pt idx="103">
                  <c:v>2.4409700000000001</c:v>
                </c:pt>
                <c:pt idx="104">
                  <c:v>2.4438599999999999</c:v>
                </c:pt>
                <c:pt idx="105">
                  <c:v>2.4426700000000001</c:v>
                </c:pt>
                <c:pt idx="106">
                  <c:v>2.4374100000000003</c:v>
                </c:pt>
                <c:pt idx="107">
                  <c:v>2.4301900000000001</c:v>
                </c:pt>
                <c:pt idx="108">
                  <c:v>2.4226299999999998</c:v>
                </c:pt>
                <c:pt idx="109">
                  <c:v>2.4135300000000002</c:v>
                </c:pt>
                <c:pt idx="110">
                  <c:v>2.40307</c:v>
                </c:pt>
                <c:pt idx="111">
                  <c:v>2.3890000000000002</c:v>
                </c:pt>
                <c:pt idx="112">
                  <c:v>2.3740600000000001</c:v>
                </c:pt>
                <c:pt idx="113">
                  <c:v>2.3551099999999998</c:v>
                </c:pt>
                <c:pt idx="114">
                  <c:v>2.3319200000000002</c:v>
                </c:pt>
                <c:pt idx="115">
                  <c:v>2.30497</c:v>
                </c:pt>
                <c:pt idx="116">
                  <c:v>2.27027</c:v>
                </c:pt>
                <c:pt idx="117">
                  <c:v>2.23095</c:v>
                </c:pt>
                <c:pt idx="118">
                  <c:v>2.1901899999999999</c:v>
                </c:pt>
                <c:pt idx="119">
                  <c:v>2.1495100000000003</c:v>
                </c:pt>
                <c:pt idx="120">
                  <c:v>2.1074699999999997</c:v>
                </c:pt>
                <c:pt idx="121">
                  <c:v>2.0636299999999999</c:v>
                </c:pt>
                <c:pt idx="122">
                  <c:v>2.0239699999999998</c:v>
                </c:pt>
                <c:pt idx="123">
                  <c:v>1.98617</c:v>
                </c:pt>
                <c:pt idx="124">
                  <c:v>1.9652500000000002</c:v>
                </c:pt>
                <c:pt idx="125">
                  <c:v>1.9450000000000001</c:v>
                </c:pt>
                <c:pt idx="126">
                  <c:v>1.9251199999999999</c:v>
                </c:pt>
                <c:pt idx="127">
                  <c:v>1.90408</c:v>
                </c:pt>
                <c:pt idx="128">
                  <c:v>1.8809</c:v>
                </c:pt>
                <c:pt idx="129">
                  <c:v>1.8573</c:v>
                </c:pt>
                <c:pt idx="130">
                  <c:v>1.8373999999999999</c:v>
                </c:pt>
                <c:pt idx="131">
                  <c:v>1.8201000000000001</c:v>
                </c:pt>
                <c:pt idx="132">
                  <c:v>1.8034300000000001</c:v>
                </c:pt>
                <c:pt idx="133">
                  <c:v>1.7863599999999999</c:v>
                </c:pt>
                <c:pt idx="134">
                  <c:v>1.76708</c:v>
                </c:pt>
                <c:pt idx="135">
                  <c:v>1.7468400000000002</c:v>
                </c:pt>
                <c:pt idx="136">
                  <c:v>1.7317899999999999</c:v>
                </c:pt>
                <c:pt idx="137">
                  <c:v>1.7150599999999998</c:v>
                </c:pt>
                <c:pt idx="138">
                  <c:v>1.6933200000000002</c:v>
                </c:pt>
                <c:pt idx="139">
                  <c:v>1.6727400000000001</c:v>
                </c:pt>
                <c:pt idx="140">
                  <c:v>1.6505000000000001</c:v>
                </c:pt>
                <c:pt idx="141">
                  <c:v>1.6351599999999999</c:v>
                </c:pt>
                <c:pt idx="142">
                  <c:v>1.621</c:v>
                </c:pt>
                <c:pt idx="143">
                  <c:v>1.6028899999999999</c:v>
                </c:pt>
                <c:pt idx="144">
                  <c:v>1.5787499999999999</c:v>
                </c:pt>
                <c:pt idx="145">
                  <c:v>1.5693999999999999</c:v>
                </c:pt>
                <c:pt idx="146">
                  <c:v>1.5626100000000001</c:v>
                </c:pt>
                <c:pt idx="147">
                  <c:v>1.54304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57.584199999999996</c:v>
                </c:pt>
                <c:pt idx="1">
                  <c:v>56.755100000000006</c:v>
                </c:pt>
                <c:pt idx="2">
                  <c:v>55.909799999999997</c:v>
                </c:pt>
                <c:pt idx="3">
                  <c:v>54.982500000000002</c:v>
                </c:pt>
                <c:pt idx="4">
                  <c:v>54.063000000000002</c:v>
                </c:pt>
                <c:pt idx="5">
                  <c:v>53.061499999999995</c:v>
                </c:pt>
                <c:pt idx="6">
                  <c:v>52.022199999999998</c:v>
                </c:pt>
                <c:pt idx="7">
                  <c:v>50.764200000000002</c:v>
                </c:pt>
                <c:pt idx="8">
                  <c:v>49.5289</c:v>
                </c:pt>
                <c:pt idx="9">
                  <c:v>48.428800000000003</c:v>
                </c:pt>
                <c:pt idx="10">
                  <c:v>47.397399999999998</c:v>
                </c:pt>
                <c:pt idx="11">
                  <c:v>46.371200000000002</c:v>
                </c:pt>
                <c:pt idx="12">
                  <c:v>45.305700000000002</c:v>
                </c:pt>
                <c:pt idx="13">
                  <c:v>44.260599999999997</c:v>
                </c:pt>
                <c:pt idx="14">
                  <c:v>43.258099999999999</c:v>
                </c:pt>
                <c:pt idx="15">
                  <c:v>42.177100000000003</c:v>
                </c:pt>
                <c:pt idx="16">
                  <c:v>41.075299999999999</c:v>
                </c:pt>
                <c:pt idx="17">
                  <c:v>39.956099999999999</c:v>
                </c:pt>
                <c:pt idx="18">
                  <c:v>38.996199999999995</c:v>
                </c:pt>
                <c:pt idx="19">
                  <c:v>38.209800000000001</c:v>
                </c:pt>
                <c:pt idx="20">
                  <c:v>37.661299999999997</c:v>
                </c:pt>
                <c:pt idx="21">
                  <c:v>37.308700000000002</c:v>
                </c:pt>
                <c:pt idx="22">
                  <c:v>37.075399999999995</c:v>
                </c:pt>
                <c:pt idx="23">
                  <c:v>36.9343</c:v>
                </c:pt>
                <c:pt idx="24">
                  <c:v>36.8626</c:v>
                </c:pt>
                <c:pt idx="25">
                  <c:v>36.9024</c:v>
                </c:pt>
                <c:pt idx="26">
                  <c:v>36.994399999999999</c:v>
                </c:pt>
                <c:pt idx="27">
                  <c:v>37.123699999999999</c:v>
                </c:pt>
                <c:pt idx="28">
                  <c:v>37.2776</c:v>
                </c:pt>
                <c:pt idx="29">
                  <c:v>37.454300000000003</c:v>
                </c:pt>
                <c:pt idx="30">
                  <c:v>37.604199999999999</c:v>
                </c:pt>
                <c:pt idx="31">
                  <c:v>37.799199999999999</c:v>
                </c:pt>
                <c:pt idx="32">
                  <c:v>38.055599999999998</c:v>
                </c:pt>
                <c:pt idx="33">
                  <c:v>38.340699999999998</c:v>
                </c:pt>
                <c:pt idx="34">
                  <c:v>38.615600000000001</c:v>
                </c:pt>
                <c:pt idx="35">
                  <c:v>38.923499999999997</c:v>
                </c:pt>
                <c:pt idx="36">
                  <c:v>39.289299999999997</c:v>
                </c:pt>
                <c:pt idx="37">
                  <c:v>39.694299999999998</c:v>
                </c:pt>
                <c:pt idx="38">
                  <c:v>40.1417</c:v>
                </c:pt>
                <c:pt idx="39">
                  <c:v>40.611399999999996</c:v>
                </c:pt>
                <c:pt idx="40">
                  <c:v>41.216200000000001</c:v>
                </c:pt>
                <c:pt idx="41">
                  <c:v>41.906599999999997</c:v>
                </c:pt>
                <c:pt idx="42">
                  <c:v>42.691499999999998</c:v>
                </c:pt>
                <c:pt idx="43">
                  <c:v>43.5242</c:v>
                </c:pt>
                <c:pt idx="44">
                  <c:v>44.407899999999998</c:v>
                </c:pt>
                <c:pt idx="45">
                  <c:v>45.201599999999999</c:v>
                </c:pt>
                <c:pt idx="46">
                  <c:v>45.902100000000004</c:v>
                </c:pt>
                <c:pt idx="47">
                  <c:v>46.562899999999999</c:v>
                </c:pt>
                <c:pt idx="48">
                  <c:v>47.1783</c:v>
                </c:pt>
                <c:pt idx="49">
                  <c:v>47.771500000000003</c:v>
                </c:pt>
                <c:pt idx="50">
                  <c:v>48.213899999999995</c:v>
                </c:pt>
                <c:pt idx="51">
                  <c:v>48.572700000000005</c:v>
                </c:pt>
                <c:pt idx="52">
                  <c:v>48.884999999999998</c:v>
                </c:pt>
                <c:pt idx="53">
                  <c:v>49.179299999999998</c:v>
                </c:pt>
                <c:pt idx="54">
                  <c:v>49.347900000000003</c:v>
                </c:pt>
                <c:pt idx="55">
                  <c:v>49.474000000000004</c:v>
                </c:pt>
                <c:pt idx="56">
                  <c:v>49.5871</c:v>
                </c:pt>
                <c:pt idx="57">
                  <c:v>49.682200000000002</c:v>
                </c:pt>
                <c:pt idx="58">
                  <c:v>49.7517</c:v>
                </c:pt>
                <c:pt idx="59">
                  <c:v>49.808999999999997</c:v>
                </c:pt>
                <c:pt idx="60">
                  <c:v>49.8795</c:v>
                </c:pt>
                <c:pt idx="61">
                  <c:v>49.935099999999998</c:v>
                </c:pt>
                <c:pt idx="62">
                  <c:v>49.885300000000001</c:v>
                </c:pt>
                <c:pt idx="63">
                  <c:v>49.843600000000002</c:v>
                </c:pt>
                <c:pt idx="64">
                  <c:v>49.761099999999999</c:v>
                </c:pt>
                <c:pt idx="65">
                  <c:v>49.668800000000005</c:v>
                </c:pt>
                <c:pt idx="66">
                  <c:v>49.6021</c:v>
                </c:pt>
                <c:pt idx="67">
                  <c:v>49.514800000000001</c:v>
                </c:pt>
                <c:pt idx="68">
                  <c:v>49.477900000000005</c:v>
                </c:pt>
                <c:pt idx="69">
                  <c:v>49.522300000000001</c:v>
                </c:pt>
                <c:pt idx="70">
                  <c:v>49.629100000000001</c:v>
                </c:pt>
                <c:pt idx="71">
                  <c:v>49.717199999999998</c:v>
                </c:pt>
                <c:pt idx="72">
                  <c:v>49.823900000000002</c:v>
                </c:pt>
                <c:pt idx="73">
                  <c:v>49.913499999999999</c:v>
                </c:pt>
                <c:pt idx="74">
                  <c:v>49.911799999999999</c:v>
                </c:pt>
                <c:pt idx="75">
                  <c:v>49.893000000000001</c:v>
                </c:pt>
                <c:pt idx="76">
                  <c:v>49.926600000000001</c:v>
                </c:pt>
                <c:pt idx="77">
                  <c:v>49.967199999999998</c:v>
                </c:pt>
                <c:pt idx="78">
                  <c:v>49.953800000000001</c:v>
                </c:pt>
                <c:pt idx="79">
                  <c:v>49.936199999999999</c:v>
                </c:pt>
                <c:pt idx="80">
                  <c:v>49.915700000000001</c:v>
                </c:pt>
                <c:pt idx="81">
                  <c:v>49.813200000000002</c:v>
                </c:pt>
                <c:pt idx="82">
                  <c:v>49.702800000000003</c:v>
                </c:pt>
                <c:pt idx="83">
                  <c:v>49.626399999999997</c:v>
                </c:pt>
                <c:pt idx="84">
                  <c:v>49.508099999999999</c:v>
                </c:pt>
                <c:pt idx="85">
                  <c:v>49.418700000000001</c:v>
                </c:pt>
                <c:pt idx="86">
                  <c:v>49.3003</c:v>
                </c:pt>
                <c:pt idx="87">
                  <c:v>49.177799999999998</c:v>
                </c:pt>
                <c:pt idx="88">
                  <c:v>48.914900000000003</c:v>
                </c:pt>
                <c:pt idx="89">
                  <c:v>48.588700000000003</c:v>
                </c:pt>
                <c:pt idx="90">
                  <c:v>48.198999999999998</c:v>
                </c:pt>
                <c:pt idx="91">
                  <c:v>47.649700000000003</c:v>
                </c:pt>
                <c:pt idx="92">
                  <c:v>47.044799999999995</c:v>
                </c:pt>
                <c:pt idx="93">
                  <c:v>46.441300000000005</c:v>
                </c:pt>
                <c:pt idx="94">
                  <c:v>45.878</c:v>
                </c:pt>
                <c:pt idx="95">
                  <c:v>45.443300000000001</c:v>
                </c:pt>
                <c:pt idx="96">
                  <c:v>45.021999999999998</c:v>
                </c:pt>
                <c:pt idx="97">
                  <c:v>44.693199999999997</c:v>
                </c:pt>
                <c:pt idx="98">
                  <c:v>44.415500000000002</c:v>
                </c:pt>
                <c:pt idx="99">
                  <c:v>44.185000000000002</c:v>
                </c:pt>
                <c:pt idx="100">
                  <c:v>44.017499999999998</c:v>
                </c:pt>
                <c:pt idx="101">
                  <c:v>43.856299999999997</c:v>
                </c:pt>
                <c:pt idx="102">
                  <c:v>43.708599999999997</c:v>
                </c:pt>
                <c:pt idx="103">
                  <c:v>43.568899999999999</c:v>
                </c:pt>
                <c:pt idx="104">
                  <c:v>43.4527</c:v>
                </c:pt>
                <c:pt idx="105">
                  <c:v>43.382199999999997</c:v>
                </c:pt>
                <c:pt idx="106">
                  <c:v>43.341000000000001</c:v>
                </c:pt>
                <c:pt idx="107">
                  <c:v>43.3048</c:v>
                </c:pt>
                <c:pt idx="108">
                  <c:v>43.2515</c:v>
                </c:pt>
                <c:pt idx="109">
                  <c:v>43.229700000000001</c:v>
                </c:pt>
                <c:pt idx="110">
                  <c:v>43.156399999999998</c:v>
                </c:pt>
                <c:pt idx="111">
                  <c:v>43.053100000000001</c:v>
                </c:pt>
                <c:pt idx="112">
                  <c:v>42.964700000000001</c:v>
                </c:pt>
                <c:pt idx="113">
                  <c:v>42.967300000000002</c:v>
                </c:pt>
                <c:pt idx="114">
                  <c:v>43.0595</c:v>
                </c:pt>
                <c:pt idx="115">
                  <c:v>43.282399999999996</c:v>
                </c:pt>
                <c:pt idx="116">
                  <c:v>43.663200000000003</c:v>
                </c:pt>
                <c:pt idx="117">
                  <c:v>44.214700000000001</c:v>
                </c:pt>
                <c:pt idx="118">
                  <c:v>44.872</c:v>
                </c:pt>
                <c:pt idx="119">
                  <c:v>45.580399999999997</c:v>
                </c:pt>
                <c:pt idx="120">
                  <c:v>46.241599999999998</c:v>
                </c:pt>
                <c:pt idx="121">
                  <c:v>47.043700000000001</c:v>
                </c:pt>
                <c:pt idx="122">
                  <c:v>47.761399999999995</c:v>
                </c:pt>
                <c:pt idx="123">
                  <c:v>48.4482</c:v>
                </c:pt>
                <c:pt idx="124">
                  <c:v>48.988199999999999</c:v>
                </c:pt>
                <c:pt idx="125">
                  <c:v>49.464700000000001</c:v>
                </c:pt>
                <c:pt idx="126">
                  <c:v>49.884399999999999</c:v>
                </c:pt>
                <c:pt idx="127">
                  <c:v>50.322199999999995</c:v>
                </c:pt>
                <c:pt idx="128">
                  <c:v>50.846100000000007</c:v>
                </c:pt>
                <c:pt idx="129">
                  <c:v>51.365200000000002</c:v>
                </c:pt>
                <c:pt idx="130">
                  <c:v>51.703600000000009</c:v>
                </c:pt>
                <c:pt idx="131">
                  <c:v>51.951000000000001</c:v>
                </c:pt>
                <c:pt idx="132">
                  <c:v>52.137299999999996</c:v>
                </c:pt>
                <c:pt idx="133">
                  <c:v>52.3401</c:v>
                </c:pt>
                <c:pt idx="134">
                  <c:v>52.581000000000003</c:v>
                </c:pt>
                <c:pt idx="135">
                  <c:v>52.841800000000006</c:v>
                </c:pt>
                <c:pt idx="136">
                  <c:v>53.0486</c:v>
                </c:pt>
                <c:pt idx="137">
                  <c:v>53.311900000000001</c:v>
                </c:pt>
                <c:pt idx="138">
                  <c:v>53.705800000000004</c:v>
                </c:pt>
                <c:pt idx="139">
                  <c:v>54.015899999999995</c:v>
                </c:pt>
                <c:pt idx="140">
                  <c:v>54.271499999999996</c:v>
                </c:pt>
                <c:pt idx="141">
                  <c:v>54.496699999999997</c:v>
                </c:pt>
                <c:pt idx="142">
                  <c:v>54.760100000000001</c:v>
                </c:pt>
                <c:pt idx="143">
                  <c:v>55.14</c:v>
                </c:pt>
                <c:pt idx="144">
                  <c:v>55.837000000000003</c:v>
                </c:pt>
                <c:pt idx="145">
                  <c:v>56.315000000000005</c:v>
                </c:pt>
                <c:pt idx="146">
                  <c:v>56.635999999999996</c:v>
                </c:pt>
                <c:pt idx="147">
                  <c:v>57.177199999999992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1.6645399999999999</c:v>
                </c:pt>
                <c:pt idx="1">
                  <c:v>1.7134099999999999</c:v>
                </c:pt>
                <c:pt idx="2">
                  <c:v>1.7618100000000001</c:v>
                </c:pt>
                <c:pt idx="3">
                  <c:v>1.8108599999999999</c:v>
                </c:pt>
                <c:pt idx="4">
                  <c:v>1.8590200000000001</c:v>
                </c:pt>
                <c:pt idx="5">
                  <c:v>1.9039700000000002</c:v>
                </c:pt>
                <c:pt idx="6">
                  <c:v>1.9490099999999999</c:v>
                </c:pt>
                <c:pt idx="7">
                  <c:v>1.9963</c:v>
                </c:pt>
                <c:pt idx="8">
                  <c:v>2.0440499999999999</c:v>
                </c:pt>
                <c:pt idx="9">
                  <c:v>2.0892599999999999</c:v>
                </c:pt>
                <c:pt idx="10">
                  <c:v>2.1337700000000002</c:v>
                </c:pt>
                <c:pt idx="11">
                  <c:v>2.17787</c:v>
                </c:pt>
                <c:pt idx="12">
                  <c:v>2.2209699999999999</c:v>
                </c:pt>
                <c:pt idx="13">
                  <c:v>2.2643499999999999</c:v>
                </c:pt>
                <c:pt idx="14">
                  <c:v>2.3065099999999998</c:v>
                </c:pt>
                <c:pt idx="15">
                  <c:v>2.3498800000000002</c:v>
                </c:pt>
                <c:pt idx="16">
                  <c:v>2.39384</c:v>
                </c:pt>
                <c:pt idx="17">
                  <c:v>2.43669</c:v>
                </c:pt>
                <c:pt idx="18">
                  <c:v>2.48495</c:v>
                </c:pt>
                <c:pt idx="19">
                  <c:v>2.5313600000000003</c:v>
                </c:pt>
                <c:pt idx="20">
                  <c:v>2.5708599999999997</c:v>
                </c:pt>
                <c:pt idx="21">
                  <c:v>2.6040600000000005</c:v>
                </c:pt>
                <c:pt idx="22">
                  <c:v>2.6316299999999999</c:v>
                </c:pt>
                <c:pt idx="23">
                  <c:v>2.65368</c:v>
                </c:pt>
                <c:pt idx="24">
                  <c:v>2.67136</c:v>
                </c:pt>
                <c:pt idx="25">
                  <c:v>2.6825199999999998</c:v>
                </c:pt>
                <c:pt idx="26">
                  <c:v>2.6898899999999997</c:v>
                </c:pt>
                <c:pt idx="27">
                  <c:v>2.6947999999999999</c:v>
                </c:pt>
                <c:pt idx="28">
                  <c:v>2.6961300000000001</c:v>
                </c:pt>
                <c:pt idx="29">
                  <c:v>2.6902300000000001</c:v>
                </c:pt>
                <c:pt idx="30">
                  <c:v>2.6812799999999997</c:v>
                </c:pt>
                <c:pt idx="31">
                  <c:v>2.6703399999999999</c:v>
                </c:pt>
                <c:pt idx="32">
                  <c:v>2.6562400000000004</c:v>
                </c:pt>
                <c:pt idx="33">
                  <c:v>2.6407599999999998</c:v>
                </c:pt>
                <c:pt idx="34">
                  <c:v>2.6239299999999997</c:v>
                </c:pt>
                <c:pt idx="35">
                  <c:v>2.6068200000000004</c:v>
                </c:pt>
                <c:pt idx="36">
                  <c:v>2.5887100000000003</c:v>
                </c:pt>
                <c:pt idx="37">
                  <c:v>2.5667099999999996</c:v>
                </c:pt>
                <c:pt idx="38">
                  <c:v>2.5432700000000001</c:v>
                </c:pt>
                <c:pt idx="39">
                  <c:v>2.5179099999999996</c:v>
                </c:pt>
                <c:pt idx="40">
                  <c:v>2.4919500000000001</c:v>
                </c:pt>
                <c:pt idx="41">
                  <c:v>2.4641799999999998</c:v>
                </c:pt>
                <c:pt idx="42">
                  <c:v>2.4369299999999998</c:v>
                </c:pt>
                <c:pt idx="43">
                  <c:v>2.4047399999999999</c:v>
                </c:pt>
                <c:pt idx="44">
                  <c:v>2.37107</c:v>
                </c:pt>
                <c:pt idx="45">
                  <c:v>2.3428100000000001</c:v>
                </c:pt>
                <c:pt idx="46">
                  <c:v>2.31691</c:v>
                </c:pt>
                <c:pt idx="47">
                  <c:v>2.2898199999999997</c:v>
                </c:pt>
                <c:pt idx="48">
                  <c:v>2.26396</c:v>
                </c:pt>
                <c:pt idx="49">
                  <c:v>2.2407499999999998</c:v>
                </c:pt>
                <c:pt idx="50">
                  <c:v>2.2215400000000001</c:v>
                </c:pt>
                <c:pt idx="51">
                  <c:v>2.2054199999999997</c:v>
                </c:pt>
                <c:pt idx="52">
                  <c:v>2.1899099999999998</c:v>
                </c:pt>
                <c:pt idx="53">
                  <c:v>2.1746400000000001</c:v>
                </c:pt>
                <c:pt idx="54">
                  <c:v>2.1647699999999999</c:v>
                </c:pt>
                <c:pt idx="55">
                  <c:v>2.1596799999999998</c:v>
                </c:pt>
                <c:pt idx="56">
                  <c:v>2.1539600000000001</c:v>
                </c:pt>
                <c:pt idx="57">
                  <c:v>2.1465399999999999</c:v>
                </c:pt>
                <c:pt idx="58">
                  <c:v>2.1410800000000001</c:v>
                </c:pt>
                <c:pt idx="59">
                  <c:v>2.1371500000000001</c:v>
                </c:pt>
                <c:pt idx="60">
                  <c:v>2.1317400000000002</c:v>
                </c:pt>
                <c:pt idx="61">
                  <c:v>2.12703</c:v>
                </c:pt>
                <c:pt idx="62">
                  <c:v>2.1281099999999999</c:v>
                </c:pt>
                <c:pt idx="63">
                  <c:v>2.1293500000000001</c:v>
                </c:pt>
                <c:pt idx="64">
                  <c:v>2.1324199999999998</c:v>
                </c:pt>
                <c:pt idx="65">
                  <c:v>2.1348099999999999</c:v>
                </c:pt>
                <c:pt idx="66">
                  <c:v>2.1369899999999999</c:v>
                </c:pt>
                <c:pt idx="67">
                  <c:v>2.1394500000000001</c:v>
                </c:pt>
                <c:pt idx="68">
                  <c:v>2.1398900000000003</c:v>
                </c:pt>
                <c:pt idx="69">
                  <c:v>2.1365600000000002</c:v>
                </c:pt>
                <c:pt idx="70">
                  <c:v>2.1310599999999997</c:v>
                </c:pt>
                <c:pt idx="71">
                  <c:v>2.1278800000000002</c:v>
                </c:pt>
                <c:pt idx="72">
                  <c:v>2.12669</c:v>
                </c:pt>
                <c:pt idx="73">
                  <c:v>2.1267900000000002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57.584199999999996</c:v>
                </c:pt>
                <c:pt idx="1">
                  <c:v>56.755100000000006</c:v>
                </c:pt>
                <c:pt idx="2">
                  <c:v>55.909799999999997</c:v>
                </c:pt>
                <c:pt idx="3">
                  <c:v>54.982500000000002</c:v>
                </c:pt>
                <c:pt idx="4">
                  <c:v>54.063000000000002</c:v>
                </c:pt>
                <c:pt idx="5">
                  <c:v>53.061499999999995</c:v>
                </c:pt>
                <c:pt idx="6">
                  <c:v>52.022199999999998</c:v>
                </c:pt>
                <c:pt idx="7">
                  <c:v>50.764200000000002</c:v>
                </c:pt>
                <c:pt idx="8">
                  <c:v>49.5289</c:v>
                </c:pt>
                <c:pt idx="9">
                  <c:v>48.428800000000003</c:v>
                </c:pt>
                <c:pt idx="10">
                  <c:v>47.397399999999998</c:v>
                </c:pt>
                <c:pt idx="11">
                  <c:v>46.371200000000002</c:v>
                </c:pt>
                <c:pt idx="12">
                  <c:v>45.305700000000002</c:v>
                </c:pt>
                <c:pt idx="13">
                  <c:v>44.260599999999997</c:v>
                </c:pt>
                <c:pt idx="14">
                  <c:v>43.258099999999999</c:v>
                </c:pt>
                <c:pt idx="15">
                  <c:v>42.177100000000003</c:v>
                </c:pt>
                <c:pt idx="16">
                  <c:v>41.075299999999999</c:v>
                </c:pt>
                <c:pt idx="17">
                  <c:v>39.956099999999999</c:v>
                </c:pt>
                <c:pt idx="18">
                  <c:v>38.996199999999995</c:v>
                </c:pt>
                <c:pt idx="19">
                  <c:v>38.209800000000001</c:v>
                </c:pt>
                <c:pt idx="20">
                  <c:v>37.661299999999997</c:v>
                </c:pt>
                <c:pt idx="21">
                  <c:v>37.308700000000002</c:v>
                </c:pt>
                <c:pt idx="22">
                  <c:v>37.075399999999995</c:v>
                </c:pt>
                <c:pt idx="23">
                  <c:v>36.9343</c:v>
                </c:pt>
                <c:pt idx="24">
                  <c:v>36.8626</c:v>
                </c:pt>
                <c:pt idx="25">
                  <c:v>36.9024</c:v>
                </c:pt>
                <c:pt idx="26">
                  <c:v>36.994399999999999</c:v>
                </c:pt>
                <c:pt idx="27">
                  <c:v>37.123699999999999</c:v>
                </c:pt>
                <c:pt idx="28">
                  <c:v>37.2776</c:v>
                </c:pt>
                <c:pt idx="29">
                  <c:v>37.454300000000003</c:v>
                </c:pt>
                <c:pt idx="30">
                  <c:v>37.604199999999999</c:v>
                </c:pt>
                <c:pt idx="31">
                  <c:v>37.799199999999999</c:v>
                </c:pt>
                <c:pt idx="32">
                  <c:v>38.055599999999998</c:v>
                </c:pt>
                <c:pt idx="33">
                  <c:v>38.340699999999998</c:v>
                </c:pt>
                <c:pt idx="34">
                  <c:v>38.615600000000001</c:v>
                </c:pt>
                <c:pt idx="35">
                  <c:v>38.923499999999997</c:v>
                </c:pt>
                <c:pt idx="36">
                  <c:v>39.289299999999997</c:v>
                </c:pt>
                <c:pt idx="37">
                  <c:v>39.694299999999998</c:v>
                </c:pt>
                <c:pt idx="38">
                  <c:v>40.1417</c:v>
                </c:pt>
                <c:pt idx="39">
                  <c:v>40.611399999999996</c:v>
                </c:pt>
                <c:pt idx="40">
                  <c:v>41.216200000000001</c:v>
                </c:pt>
                <c:pt idx="41">
                  <c:v>41.906599999999997</c:v>
                </c:pt>
                <c:pt idx="42">
                  <c:v>42.691499999999998</c:v>
                </c:pt>
                <c:pt idx="43">
                  <c:v>43.5242</c:v>
                </c:pt>
                <c:pt idx="44">
                  <c:v>44.407899999999998</c:v>
                </c:pt>
                <c:pt idx="45">
                  <c:v>45.201599999999999</c:v>
                </c:pt>
                <c:pt idx="46">
                  <c:v>45.902100000000004</c:v>
                </c:pt>
                <c:pt idx="47">
                  <c:v>46.562899999999999</c:v>
                </c:pt>
                <c:pt idx="48">
                  <c:v>47.1783</c:v>
                </c:pt>
                <c:pt idx="49">
                  <c:v>47.771500000000003</c:v>
                </c:pt>
                <c:pt idx="50">
                  <c:v>48.213899999999995</c:v>
                </c:pt>
                <c:pt idx="51">
                  <c:v>48.572700000000005</c:v>
                </c:pt>
                <c:pt idx="52">
                  <c:v>48.884999999999998</c:v>
                </c:pt>
                <c:pt idx="53">
                  <c:v>49.179299999999998</c:v>
                </c:pt>
                <c:pt idx="54">
                  <c:v>49.347900000000003</c:v>
                </c:pt>
                <c:pt idx="55">
                  <c:v>49.474000000000004</c:v>
                </c:pt>
                <c:pt idx="56">
                  <c:v>49.5871</c:v>
                </c:pt>
                <c:pt idx="57">
                  <c:v>49.682200000000002</c:v>
                </c:pt>
                <c:pt idx="58">
                  <c:v>49.7517</c:v>
                </c:pt>
                <c:pt idx="59">
                  <c:v>49.808999999999997</c:v>
                </c:pt>
                <c:pt idx="60">
                  <c:v>49.8795</c:v>
                </c:pt>
                <c:pt idx="61">
                  <c:v>49.935099999999998</c:v>
                </c:pt>
                <c:pt idx="62">
                  <c:v>49.885300000000001</c:v>
                </c:pt>
                <c:pt idx="63">
                  <c:v>49.843600000000002</c:v>
                </c:pt>
                <c:pt idx="64">
                  <c:v>49.761099999999999</c:v>
                </c:pt>
                <c:pt idx="65">
                  <c:v>49.668800000000005</c:v>
                </c:pt>
                <c:pt idx="66">
                  <c:v>49.6021</c:v>
                </c:pt>
                <c:pt idx="67">
                  <c:v>49.514800000000001</c:v>
                </c:pt>
                <c:pt idx="68">
                  <c:v>49.477900000000005</c:v>
                </c:pt>
                <c:pt idx="69">
                  <c:v>49.522300000000001</c:v>
                </c:pt>
                <c:pt idx="70">
                  <c:v>49.629100000000001</c:v>
                </c:pt>
                <c:pt idx="71">
                  <c:v>49.717199999999998</c:v>
                </c:pt>
                <c:pt idx="72">
                  <c:v>49.823900000000002</c:v>
                </c:pt>
                <c:pt idx="73">
                  <c:v>49.913499999999999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2.1267900000000002</c:v>
                </c:pt>
                <c:pt idx="1">
                  <c:v>2.12988</c:v>
                </c:pt>
                <c:pt idx="2">
                  <c:v>2.13293</c:v>
                </c:pt>
                <c:pt idx="3">
                  <c:v>2.1351800000000001</c:v>
                </c:pt>
                <c:pt idx="4">
                  <c:v>2.13734</c:v>
                </c:pt>
                <c:pt idx="5">
                  <c:v>2.14154</c:v>
                </c:pt>
                <c:pt idx="6">
                  <c:v>2.14527</c:v>
                </c:pt>
                <c:pt idx="7">
                  <c:v>2.1476000000000002</c:v>
                </c:pt>
                <c:pt idx="8">
                  <c:v>2.1532200000000001</c:v>
                </c:pt>
                <c:pt idx="9">
                  <c:v>2.1615000000000002</c:v>
                </c:pt>
                <c:pt idx="10">
                  <c:v>2.16852</c:v>
                </c:pt>
                <c:pt idx="11">
                  <c:v>2.1764800000000002</c:v>
                </c:pt>
                <c:pt idx="12">
                  <c:v>2.1862300000000001</c:v>
                </c:pt>
                <c:pt idx="13">
                  <c:v>2.1963300000000001</c:v>
                </c:pt>
                <c:pt idx="14">
                  <c:v>2.2049400000000001</c:v>
                </c:pt>
                <c:pt idx="15">
                  <c:v>2.2181100000000002</c:v>
                </c:pt>
                <c:pt idx="16">
                  <c:v>2.2338900000000002</c:v>
                </c:pt>
                <c:pt idx="17">
                  <c:v>2.2508699999999999</c:v>
                </c:pt>
                <c:pt idx="18">
                  <c:v>2.27291</c:v>
                </c:pt>
                <c:pt idx="19">
                  <c:v>2.2957800000000002</c:v>
                </c:pt>
                <c:pt idx="20">
                  <c:v>2.3198300000000001</c:v>
                </c:pt>
                <c:pt idx="21">
                  <c:v>2.3447399999999998</c:v>
                </c:pt>
                <c:pt idx="22">
                  <c:v>2.3668300000000002</c:v>
                </c:pt>
                <c:pt idx="23">
                  <c:v>2.3867099999999999</c:v>
                </c:pt>
                <c:pt idx="24">
                  <c:v>2.4031700000000003</c:v>
                </c:pt>
                <c:pt idx="25">
                  <c:v>2.4159700000000002</c:v>
                </c:pt>
                <c:pt idx="26">
                  <c:v>2.4234499999999999</c:v>
                </c:pt>
                <c:pt idx="27">
                  <c:v>2.4290799999999999</c:v>
                </c:pt>
                <c:pt idx="28">
                  <c:v>2.4331900000000002</c:v>
                </c:pt>
                <c:pt idx="29">
                  <c:v>2.4372099999999999</c:v>
                </c:pt>
                <c:pt idx="30">
                  <c:v>2.4409700000000001</c:v>
                </c:pt>
                <c:pt idx="31">
                  <c:v>2.4438599999999999</c:v>
                </c:pt>
                <c:pt idx="32">
                  <c:v>2.4426700000000001</c:v>
                </c:pt>
                <c:pt idx="33">
                  <c:v>2.4374100000000003</c:v>
                </c:pt>
                <c:pt idx="34">
                  <c:v>2.4301900000000001</c:v>
                </c:pt>
                <c:pt idx="35">
                  <c:v>2.4226299999999998</c:v>
                </c:pt>
                <c:pt idx="36">
                  <c:v>2.4135300000000002</c:v>
                </c:pt>
                <c:pt idx="37">
                  <c:v>2.40307</c:v>
                </c:pt>
                <c:pt idx="38">
                  <c:v>2.3890000000000002</c:v>
                </c:pt>
                <c:pt idx="39">
                  <c:v>2.3740600000000001</c:v>
                </c:pt>
                <c:pt idx="40">
                  <c:v>2.3551099999999998</c:v>
                </c:pt>
                <c:pt idx="41">
                  <c:v>2.3319200000000002</c:v>
                </c:pt>
                <c:pt idx="42">
                  <c:v>2.30497</c:v>
                </c:pt>
                <c:pt idx="43">
                  <c:v>2.27027</c:v>
                </c:pt>
                <c:pt idx="44">
                  <c:v>2.23095</c:v>
                </c:pt>
                <c:pt idx="45">
                  <c:v>2.1901899999999999</c:v>
                </c:pt>
                <c:pt idx="46">
                  <c:v>2.1495100000000003</c:v>
                </c:pt>
                <c:pt idx="47">
                  <c:v>2.1074699999999997</c:v>
                </c:pt>
                <c:pt idx="48">
                  <c:v>2.0636299999999999</c:v>
                </c:pt>
                <c:pt idx="49">
                  <c:v>2.0239699999999998</c:v>
                </c:pt>
                <c:pt idx="50">
                  <c:v>1.98617</c:v>
                </c:pt>
                <c:pt idx="51">
                  <c:v>1.9652500000000002</c:v>
                </c:pt>
                <c:pt idx="52">
                  <c:v>1.9450000000000001</c:v>
                </c:pt>
                <c:pt idx="53">
                  <c:v>1.9251199999999999</c:v>
                </c:pt>
                <c:pt idx="54">
                  <c:v>1.90408</c:v>
                </c:pt>
                <c:pt idx="55">
                  <c:v>1.8809</c:v>
                </c:pt>
                <c:pt idx="56">
                  <c:v>1.8573</c:v>
                </c:pt>
                <c:pt idx="57">
                  <c:v>1.8373999999999999</c:v>
                </c:pt>
                <c:pt idx="58">
                  <c:v>1.8201000000000001</c:v>
                </c:pt>
                <c:pt idx="59">
                  <c:v>1.8034300000000001</c:v>
                </c:pt>
                <c:pt idx="60">
                  <c:v>1.7863599999999999</c:v>
                </c:pt>
                <c:pt idx="61">
                  <c:v>1.76708</c:v>
                </c:pt>
                <c:pt idx="62">
                  <c:v>1.7468400000000002</c:v>
                </c:pt>
                <c:pt idx="63">
                  <c:v>1.7317899999999999</c:v>
                </c:pt>
                <c:pt idx="64">
                  <c:v>1.7150599999999998</c:v>
                </c:pt>
                <c:pt idx="65">
                  <c:v>1.6933200000000002</c:v>
                </c:pt>
                <c:pt idx="66">
                  <c:v>1.6727400000000001</c:v>
                </c:pt>
                <c:pt idx="67">
                  <c:v>1.6505000000000001</c:v>
                </c:pt>
                <c:pt idx="68">
                  <c:v>1.6351599999999999</c:v>
                </c:pt>
                <c:pt idx="69">
                  <c:v>1.621</c:v>
                </c:pt>
                <c:pt idx="70">
                  <c:v>1.6028899999999999</c:v>
                </c:pt>
                <c:pt idx="71">
                  <c:v>1.5787499999999999</c:v>
                </c:pt>
                <c:pt idx="72">
                  <c:v>1.5693999999999999</c:v>
                </c:pt>
                <c:pt idx="73">
                  <c:v>1.5626100000000001</c:v>
                </c:pt>
                <c:pt idx="74">
                  <c:v>1.54304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49.913499999999999</c:v>
                </c:pt>
                <c:pt idx="1">
                  <c:v>49.911799999999999</c:v>
                </c:pt>
                <c:pt idx="2">
                  <c:v>49.893000000000001</c:v>
                </c:pt>
                <c:pt idx="3">
                  <c:v>49.926600000000001</c:v>
                </c:pt>
                <c:pt idx="4">
                  <c:v>49.967199999999998</c:v>
                </c:pt>
                <c:pt idx="5">
                  <c:v>49.953800000000001</c:v>
                </c:pt>
                <c:pt idx="6">
                  <c:v>49.936199999999999</c:v>
                </c:pt>
                <c:pt idx="7">
                  <c:v>49.915700000000001</c:v>
                </c:pt>
                <c:pt idx="8">
                  <c:v>49.813200000000002</c:v>
                </c:pt>
                <c:pt idx="9">
                  <c:v>49.702800000000003</c:v>
                </c:pt>
                <c:pt idx="10">
                  <c:v>49.626399999999997</c:v>
                </c:pt>
                <c:pt idx="11">
                  <c:v>49.508099999999999</c:v>
                </c:pt>
                <c:pt idx="12">
                  <c:v>49.418700000000001</c:v>
                </c:pt>
                <c:pt idx="13">
                  <c:v>49.3003</c:v>
                </c:pt>
                <c:pt idx="14">
                  <c:v>49.177799999999998</c:v>
                </c:pt>
                <c:pt idx="15">
                  <c:v>48.914900000000003</c:v>
                </c:pt>
                <c:pt idx="16">
                  <c:v>48.588700000000003</c:v>
                </c:pt>
                <c:pt idx="17">
                  <c:v>48.198999999999998</c:v>
                </c:pt>
                <c:pt idx="18">
                  <c:v>47.649700000000003</c:v>
                </c:pt>
                <c:pt idx="19">
                  <c:v>47.044799999999995</c:v>
                </c:pt>
                <c:pt idx="20">
                  <c:v>46.441300000000005</c:v>
                </c:pt>
                <c:pt idx="21">
                  <c:v>45.878</c:v>
                </c:pt>
                <c:pt idx="22">
                  <c:v>45.443300000000001</c:v>
                </c:pt>
                <c:pt idx="23">
                  <c:v>45.021999999999998</c:v>
                </c:pt>
                <c:pt idx="24">
                  <c:v>44.693199999999997</c:v>
                </c:pt>
                <c:pt idx="25">
                  <c:v>44.415500000000002</c:v>
                </c:pt>
                <c:pt idx="26">
                  <c:v>44.185000000000002</c:v>
                </c:pt>
                <c:pt idx="27">
                  <c:v>44.017499999999998</c:v>
                </c:pt>
                <c:pt idx="28">
                  <c:v>43.856299999999997</c:v>
                </c:pt>
                <c:pt idx="29">
                  <c:v>43.708599999999997</c:v>
                </c:pt>
                <c:pt idx="30">
                  <c:v>43.568899999999999</c:v>
                </c:pt>
                <c:pt idx="31">
                  <c:v>43.4527</c:v>
                </c:pt>
                <c:pt idx="32">
                  <c:v>43.382199999999997</c:v>
                </c:pt>
                <c:pt idx="33">
                  <c:v>43.341000000000001</c:v>
                </c:pt>
                <c:pt idx="34">
                  <c:v>43.3048</c:v>
                </c:pt>
                <c:pt idx="35">
                  <c:v>43.2515</c:v>
                </c:pt>
                <c:pt idx="36">
                  <c:v>43.229700000000001</c:v>
                </c:pt>
                <c:pt idx="37">
                  <c:v>43.156399999999998</c:v>
                </c:pt>
                <c:pt idx="38">
                  <c:v>43.053100000000001</c:v>
                </c:pt>
                <c:pt idx="39">
                  <c:v>42.964700000000001</c:v>
                </c:pt>
                <c:pt idx="40">
                  <c:v>42.967300000000002</c:v>
                </c:pt>
                <c:pt idx="41">
                  <c:v>43.0595</c:v>
                </c:pt>
                <c:pt idx="42">
                  <c:v>43.282399999999996</c:v>
                </c:pt>
                <c:pt idx="43">
                  <c:v>43.663200000000003</c:v>
                </c:pt>
                <c:pt idx="44">
                  <c:v>44.214700000000001</c:v>
                </c:pt>
                <c:pt idx="45">
                  <c:v>44.872</c:v>
                </c:pt>
                <c:pt idx="46">
                  <c:v>45.580399999999997</c:v>
                </c:pt>
                <c:pt idx="47">
                  <c:v>46.241599999999998</c:v>
                </c:pt>
                <c:pt idx="48">
                  <c:v>47.043700000000001</c:v>
                </c:pt>
                <c:pt idx="49">
                  <c:v>47.761399999999995</c:v>
                </c:pt>
                <c:pt idx="50">
                  <c:v>48.4482</c:v>
                </c:pt>
                <c:pt idx="51">
                  <c:v>48.988199999999999</c:v>
                </c:pt>
                <c:pt idx="52">
                  <c:v>49.464700000000001</c:v>
                </c:pt>
                <c:pt idx="53">
                  <c:v>49.884399999999999</c:v>
                </c:pt>
                <c:pt idx="54">
                  <c:v>50.322199999999995</c:v>
                </c:pt>
                <c:pt idx="55">
                  <c:v>50.846100000000007</c:v>
                </c:pt>
                <c:pt idx="56">
                  <c:v>51.365200000000002</c:v>
                </c:pt>
                <c:pt idx="57">
                  <c:v>51.703600000000009</c:v>
                </c:pt>
                <c:pt idx="58">
                  <c:v>51.951000000000001</c:v>
                </c:pt>
                <c:pt idx="59">
                  <c:v>52.137299999999996</c:v>
                </c:pt>
                <c:pt idx="60">
                  <c:v>52.3401</c:v>
                </c:pt>
                <c:pt idx="61">
                  <c:v>52.581000000000003</c:v>
                </c:pt>
                <c:pt idx="62">
                  <c:v>52.841800000000006</c:v>
                </c:pt>
                <c:pt idx="63">
                  <c:v>53.0486</c:v>
                </c:pt>
                <c:pt idx="64">
                  <c:v>53.311900000000001</c:v>
                </c:pt>
                <c:pt idx="65">
                  <c:v>53.705800000000004</c:v>
                </c:pt>
                <c:pt idx="66">
                  <c:v>54.015899999999995</c:v>
                </c:pt>
                <c:pt idx="67">
                  <c:v>54.271499999999996</c:v>
                </c:pt>
                <c:pt idx="68">
                  <c:v>54.496699999999997</c:v>
                </c:pt>
                <c:pt idx="69">
                  <c:v>54.760100000000001</c:v>
                </c:pt>
                <c:pt idx="70">
                  <c:v>55.14</c:v>
                </c:pt>
                <c:pt idx="71">
                  <c:v>55.837000000000003</c:v>
                </c:pt>
                <c:pt idx="72">
                  <c:v>56.315000000000005</c:v>
                </c:pt>
                <c:pt idx="73">
                  <c:v>56.635999999999996</c:v>
                </c:pt>
                <c:pt idx="74">
                  <c:v>57.177199999999992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1.6645399999999999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57.584199999999996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2.2964882432432425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45.348887837837836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2.1010185135135133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48.474190540540562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2.1010185135135133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48.474190540540562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8" t="s">
        <v>574</v>
      </c>
      <c r="D5" s="151"/>
      <c r="E5" s="151"/>
      <c r="F5" s="152"/>
      <c r="G5" s="48" t="str">
        <f>lang!B27</f>
        <v>编号</v>
      </c>
      <c r="H5" s="150">
        <v>9</v>
      </c>
      <c r="I5" s="151"/>
      <c r="J5" s="151"/>
      <c r="K5" s="153"/>
    </row>
    <row r="6" spans="2:21" ht="17.25" customHeight="1">
      <c r="B6" s="46" t="str">
        <f>lang!B25</f>
        <v>性别</v>
      </c>
      <c r="C6" s="197" t="s">
        <v>573</v>
      </c>
      <c r="D6" s="188"/>
      <c r="E6" s="188"/>
      <c r="F6" s="189"/>
      <c r="G6" s="49" t="str">
        <f>lang!B28</f>
        <v xml:space="preserve"> 日期</v>
      </c>
      <c r="H6" s="172">
        <f>FH_info!A2</f>
        <v>43607.404270833336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41</v>
      </c>
      <c r="D7" s="191"/>
      <c r="E7" s="191"/>
      <c r="F7" s="192"/>
      <c r="G7" s="50" t="str">
        <f>lang!B29</f>
        <v>误差率（%）</v>
      </c>
      <c r="H7" s="175">
        <f>M!B17*1</f>
        <v>18.475999999999999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33.493899999999996</v>
      </c>
      <c r="O8" s="59">
        <f>M!C5*1</f>
        <v>6.5976900000000001</v>
      </c>
      <c r="P8" s="59">
        <f>M!D5*1</f>
        <v>19.6982</v>
      </c>
      <c r="Q8" s="59">
        <f>M!E5*1</f>
        <v>20</v>
      </c>
      <c r="R8" s="59">
        <f>M!F5*1</f>
        <v>14.3049</v>
      </c>
      <c r="S8" s="59">
        <f>M!G5*1</f>
        <v>50</v>
      </c>
      <c r="T8" s="59">
        <f>M!H5*1</f>
        <v>49.159399999999998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47.1601</v>
      </c>
      <c r="O9" s="59">
        <f>M!C6*1</f>
        <v>2.7972299999999999</v>
      </c>
      <c r="P9" s="59">
        <f>M!D6*1</f>
        <v>5.9313399999999996</v>
      </c>
      <c r="Q9" s="59">
        <f>M!E6*1</f>
        <v>20</v>
      </c>
      <c r="R9" s="59">
        <f>M!F6*1</f>
        <v>39.202399999999997</v>
      </c>
      <c r="S9" s="59">
        <f>M!G6*1</f>
        <v>40</v>
      </c>
      <c r="T9" s="59">
        <f>M!H6*1</f>
        <v>54.517800000000001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14.3049</v>
      </c>
      <c r="D10" s="99">
        <f>N8</f>
        <v>33.493899999999996</v>
      </c>
      <c r="E10" s="100">
        <f>T8</f>
        <v>49.159399999999998</v>
      </c>
      <c r="F10" s="91">
        <f>P8</f>
        <v>19.6982</v>
      </c>
      <c r="G10" s="81" t="str">
        <f>CONCATENATE(M9,"
(20 ~ 40)")</f>
        <v>压力
(20 ~ 40)</v>
      </c>
      <c r="H10" s="98">
        <f>R9</f>
        <v>39.202399999999997</v>
      </c>
      <c r="I10" s="108">
        <f>N9</f>
        <v>47.1601</v>
      </c>
      <c r="J10" s="98">
        <f>T9</f>
        <v>54.517800000000001</v>
      </c>
      <c r="K10" s="92">
        <f>P9</f>
        <v>5.9313399999999996</v>
      </c>
      <c r="L10" s="6"/>
      <c r="M10" s="27" t="str">
        <f>lang!B16</f>
        <v>焦虑</v>
      </c>
      <c r="N10" s="59">
        <f>M!B7*1</f>
        <v>34.258499999999998</v>
      </c>
      <c r="O10" s="59">
        <f>M!C7*1</f>
        <v>9.7537500000000001</v>
      </c>
      <c r="P10" s="59">
        <f>M!D7*1</f>
        <v>28.4711</v>
      </c>
      <c r="Q10" s="59">
        <f>M!E7*1</f>
        <v>15</v>
      </c>
      <c r="R10" s="59">
        <f>M!F7*1</f>
        <v>12.529400000000001</v>
      </c>
      <c r="S10" s="59">
        <f>M!G7*1</f>
        <v>40</v>
      </c>
      <c r="T10" s="59">
        <f>M!H7*1</f>
        <v>51.061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12.529400000000001</v>
      </c>
      <c r="D11" s="102">
        <f>N10</f>
        <v>34.258499999999998</v>
      </c>
      <c r="E11" s="103">
        <f>T10</f>
        <v>51.061</v>
      </c>
      <c r="F11" s="94">
        <f>P10</f>
        <v>28.4711</v>
      </c>
      <c r="G11" s="52" t="str">
        <f>CONCATENATE(M11,"
(20 ~ 50)")</f>
        <v>可疑
(20 ~ 50)</v>
      </c>
      <c r="H11" s="101">
        <f>R11</f>
        <v>22.685199999999998</v>
      </c>
      <c r="I11" s="104">
        <f>N11</f>
        <v>39.034599999999998</v>
      </c>
      <c r="J11" s="101">
        <f>T11</f>
        <v>43.543700000000001</v>
      </c>
      <c r="K11" s="95">
        <f>P11</f>
        <v>11.342000000000001</v>
      </c>
      <c r="L11" s="4"/>
      <c r="M11" s="27" t="str">
        <f>lang!B17</f>
        <v>可疑</v>
      </c>
      <c r="N11" s="59">
        <f>M!B8*1</f>
        <v>39.034599999999998</v>
      </c>
      <c r="O11" s="59">
        <f>M!C8*1</f>
        <v>4.4273199999999999</v>
      </c>
      <c r="P11" s="59">
        <f>M!D8*1</f>
        <v>11.342000000000001</v>
      </c>
      <c r="Q11" s="59">
        <f>M!E8*1</f>
        <v>20</v>
      </c>
      <c r="R11" s="59">
        <f>M!F8*1</f>
        <v>22.685199999999998</v>
      </c>
      <c r="S11" s="59">
        <f>M!G8*1</f>
        <v>50</v>
      </c>
      <c r="T11" s="59">
        <f>M!H8*1</f>
        <v>43.543700000000001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40.957799999999999</v>
      </c>
      <c r="D12" s="104">
        <f>N12</f>
        <v>60.866900000000001</v>
      </c>
      <c r="E12" s="101">
        <f>T12</f>
        <v>71.891999999999996</v>
      </c>
      <c r="F12" s="93">
        <f>P12</f>
        <v>10.3284</v>
      </c>
      <c r="G12" s="52" t="str">
        <f>CONCATENATE(M13,"
(40 ~ 100)")</f>
        <v>自信
(40 ~ 100)</v>
      </c>
      <c r="H12" s="101">
        <f>R13</f>
        <v>47.447600000000001</v>
      </c>
      <c r="I12" s="104">
        <f>N13</f>
        <v>53.252299999999998</v>
      </c>
      <c r="J12" s="101">
        <f>T13</f>
        <v>69.905699999999996</v>
      </c>
      <c r="K12" s="95">
        <f>P13</f>
        <v>12.139099999999999</v>
      </c>
      <c r="L12" s="4"/>
      <c r="M12" s="27" t="str">
        <f>lang!B18</f>
        <v>平衡</v>
      </c>
      <c r="N12" s="59">
        <f>M!B9*1</f>
        <v>60.866900000000001</v>
      </c>
      <c r="O12" s="59">
        <f>M!C9*1</f>
        <v>6.2865500000000001</v>
      </c>
      <c r="P12" s="59">
        <f>M!D9*1</f>
        <v>10.3284</v>
      </c>
      <c r="Q12" s="59">
        <f>M!E9*1</f>
        <v>50</v>
      </c>
      <c r="R12" s="59">
        <f>M!F9*1</f>
        <v>40.957799999999999</v>
      </c>
      <c r="S12" s="59">
        <f>M!G9*1</f>
        <v>100</v>
      </c>
      <c r="T12" s="59">
        <f>M!H9*1</f>
        <v>71.891999999999996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4.7104699999999999</v>
      </c>
      <c r="D13" s="102">
        <f>N14</f>
        <v>11.5002</v>
      </c>
      <c r="E13" s="103">
        <f>T14</f>
        <v>16.471299999999999</v>
      </c>
      <c r="F13" s="94">
        <f>P14</f>
        <v>20.078600000000002</v>
      </c>
      <c r="G13" s="52" t="str">
        <f>CONCATENATE(M15,"
(50 ~ 100)")</f>
        <v>自我调节
(50 ~ 100)</v>
      </c>
      <c r="H13" s="101">
        <f>R15</f>
        <v>45.659300000000002</v>
      </c>
      <c r="I13" s="104">
        <f>N15</f>
        <v>57.967599999999997</v>
      </c>
      <c r="J13" s="101">
        <f>T15</f>
        <v>67.160600000000002</v>
      </c>
      <c r="K13" s="95">
        <f>P15</f>
        <v>7.5347099999999996</v>
      </c>
      <c r="L13" s="4"/>
      <c r="M13" s="27" t="str">
        <f>lang!B19</f>
        <v>自信</v>
      </c>
      <c r="N13" s="59">
        <f>M!B10*1</f>
        <v>53.252299999999998</v>
      </c>
      <c r="O13" s="59">
        <f>M!C10*1</f>
        <v>6.4643499999999996</v>
      </c>
      <c r="P13" s="59">
        <f>M!D10*1</f>
        <v>12.139099999999999</v>
      </c>
      <c r="Q13" s="59">
        <f>M!E10*1</f>
        <v>40</v>
      </c>
      <c r="R13" s="59">
        <f>M!F10*1</f>
        <v>47.447600000000001</v>
      </c>
      <c r="S13" s="59">
        <f>M!G10*1</f>
        <v>100</v>
      </c>
      <c r="T13" s="59">
        <f>M!H10*1</f>
        <v>69.905699999999996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10.848100000000001</v>
      </c>
      <c r="D14" s="106">
        <f>N16</f>
        <v>14.1394</v>
      </c>
      <c r="E14" s="107">
        <f>T16</f>
        <v>29.499400000000001</v>
      </c>
      <c r="F14" s="96">
        <f>P16</f>
        <v>22.029399999999999</v>
      </c>
      <c r="G14" s="112" t="str">
        <f>CONCATENATE(M17,"
(10 ~ 50)")</f>
        <v>神经质
(10 ~ 50)</v>
      </c>
      <c r="H14" s="105">
        <f>R17</f>
        <v>2.3957899999999999</v>
      </c>
      <c r="I14" s="106">
        <f>N17</f>
        <v>31.148299999999999</v>
      </c>
      <c r="J14" s="107">
        <f>T17</f>
        <v>45.198700000000002</v>
      </c>
      <c r="K14" s="97">
        <f>P17</f>
        <v>47.206899999999997</v>
      </c>
      <c r="M14" s="27" t="str">
        <f>lang!B20</f>
        <v>活力</v>
      </c>
      <c r="N14" s="59">
        <f>M!B11*1</f>
        <v>11.5002</v>
      </c>
      <c r="O14" s="59">
        <f>M!C11*1</f>
        <v>2.3090899999999999</v>
      </c>
      <c r="P14" s="59">
        <f>M!D11*1</f>
        <v>20.078600000000002</v>
      </c>
      <c r="Q14" s="59">
        <f>M!E11*1</f>
        <v>10</v>
      </c>
      <c r="R14" s="59">
        <f>M!F11*1</f>
        <v>4.7104699999999999</v>
      </c>
      <c r="S14" s="59">
        <f>M!G11*1</f>
        <v>50</v>
      </c>
      <c r="T14" s="59">
        <f>M!H11*1</f>
        <v>16.471299999999999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57.967599999999997</v>
      </c>
      <c r="O15" s="59">
        <f>M!C12*1</f>
        <v>4.3676899999999996</v>
      </c>
      <c r="P15" s="59">
        <f>M!D12*1</f>
        <v>7.5347099999999996</v>
      </c>
      <c r="Q15" s="59">
        <f>M!E12*1</f>
        <v>50</v>
      </c>
      <c r="R15" s="59">
        <f>M!F12*1</f>
        <v>45.659300000000002</v>
      </c>
      <c r="S15" s="59">
        <f>M!G12*1</f>
        <v>100</v>
      </c>
      <c r="T15" s="59">
        <f>M!H12*1</f>
        <v>67.160600000000002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14.1394</v>
      </c>
      <c r="O16" s="59">
        <f>M!C13*1</f>
        <v>3.11483</v>
      </c>
      <c r="P16" s="59">
        <f>M!D13*1</f>
        <v>22.029399999999999</v>
      </c>
      <c r="Q16" s="59">
        <f>M!E13*1</f>
        <v>10</v>
      </c>
      <c r="R16" s="59">
        <f>M!F13*1</f>
        <v>10.848100000000001</v>
      </c>
      <c r="S16" s="59">
        <f>M!G13*1</f>
        <v>25</v>
      </c>
      <c r="T16" s="59">
        <f>M!H13*1</f>
        <v>29.499400000000001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31.148299999999999</v>
      </c>
      <c r="O17" s="59">
        <f>M!C14*1</f>
        <v>14.7041</v>
      </c>
      <c r="P17" s="59">
        <f>M!D14*1</f>
        <v>47.206899999999997</v>
      </c>
      <c r="Q17" s="59">
        <f>M!E14*1</f>
        <v>10</v>
      </c>
      <c r="R17" s="59">
        <f>M!F14*1</f>
        <v>2.3957899999999999</v>
      </c>
      <c r="S17" s="59">
        <f>M!G14*1</f>
        <v>50</v>
      </c>
      <c r="T17" s="59">
        <f>M!H14*1</f>
        <v>45.198700000000002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45.896750000000004</v>
      </c>
      <c r="O18" s="22">
        <f>N18/(N18+N19+N20)</f>
        <v>0.42883187595696903</v>
      </c>
      <c r="P18" s="65">
        <f>SUM(P12:P15)/4</f>
        <v>12.5202025</v>
      </c>
      <c r="Q18" s="22">
        <f>P18/(P18+P19+P20)</f>
        <v>0.19717160955849511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38.486774999999994</v>
      </c>
      <c r="O19" s="22">
        <f>N19/(N18+N19+N20)</f>
        <v>0.35959748615716303</v>
      </c>
      <c r="P19" s="18">
        <f>SUM(P8:P11)/4</f>
        <v>16.360659999999999</v>
      </c>
      <c r="Q19" s="22">
        <f>P19/(P18+P19+P20)</f>
        <v>0.25765219577233583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22.64385</v>
      </c>
      <c r="O20" s="22">
        <f>N20/(N18+N19+N20)</f>
        <v>0.211570637885868</v>
      </c>
      <c r="P20" s="18">
        <f>(P16+P17)/2</f>
        <v>34.61815</v>
      </c>
      <c r="Q20" s="22">
        <f>P20/(P18+P19+P20)</f>
        <v>0.54517619466916911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5.0800000000000178E-2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1.097468412858813</v>
      </c>
      <c r="D25" s="44" t="str">
        <f>lang!B11</f>
        <v>频率方差</v>
      </c>
      <c r="E25" s="142">
        <f ca="1">FH!L3</f>
        <v>0.54290852388233779</v>
      </c>
      <c r="F25" s="143"/>
      <c r="G25" s="134" t="str">
        <f>lang!B12</f>
        <v>生理变化率</v>
      </c>
      <c r="H25" s="135"/>
      <c r="I25" s="62" t="str">
        <f ca="1">CONCATENATE(info!M7,"-",info!M8)</f>
        <v>36.9-57.6</v>
      </c>
      <c r="J25" s="42" t="str">
        <f>lang!B13</f>
        <v>千卡l/分钟</v>
      </c>
      <c r="K25" s="41" t="str">
        <f ca="1">CONCATENATE(info!M5,"-",info!M6)</f>
        <v>1.5-2.7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54.795400000000008</v>
      </c>
      <c r="F28" s="164"/>
      <c r="G28" s="178" t="str">
        <f>lang!B33</f>
        <v>稳定性</v>
      </c>
      <c r="H28" s="179"/>
      <c r="I28" s="180"/>
      <c r="J28" s="181">
        <f>M!B19*100</f>
        <v>74.848700000000008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⊡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⊠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43607.404270833336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-0.82860000000000156</v>
      </c>
      <c r="O7" s="59">
        <f t="shared" ref="O7:T7" si="2">AG7-X7</f>
        <v>-3.1657100000000007</v>
      </c>
      <c r="P7" s="59">
        <f t="shared" si="2"/>
        <v>-8.902099999999999</v>
      </c>
      <c r="Q7" s="59">
        <f t="shared" si="2"/>
        <v>0</v>
      </c>
      <c r="R7" s="59">
        <f t="shared" si="2"/>
        <v>10.305900000000001</v>
      </c>
      <c r="S7" s="59">
        <f t="shared" si="2"/>
        <v>0</v>
      </c>
      <c r="T7" s="59">
        <f t="shared" si="2"/>
        <v>-3.7402999999999977</v>
      </c>
      <c r="U7" s="14"/>
      <c r="V7" s="27" t="str">
        <f>M7</f>
        <v>攻击性</v>
      </c>
      <c r="W7" s="59">
        <f>'M1'!B5*1</f>
        <v>34.2241</v>
      </c>
      <c r="X7" s="59">
        <f>'M1'!C5*1</f>
        <v>7.9639800000000003</v>
      </c>
      <c r="Y7" s="59">
        <f>'M1'!D5*1</f>
        <v>23.270099999999999</v>
      </c>
      <c r="Z7" s="59">
        <f>'M1'!E5*1</f>
        <v>20</v>
      </c>
      <c r="AA7" s="59">
        <f>'M1'!F5*1</f>
        <v>14.3049</v>
      </c>
      <c r="AB7" s="59">
        <f>'M1'!G5*1</f>
        <v>50</v>
      </c>
      <c r="AC7" s="59">
        <f>'M1'!H5*1</f>
        <v>49.159399999999998</v>
      </c>
      <c r="AE7" s="27" t="str">
        <f>V7</f>
        <v>攻击性</v>
      </c>
      <c r="AF7" s="59">
        <f>'M2'!B5*1</f>
        <v>33.395499999999998</v>
      </c>
      <c r="AG7" s="59">
        <f>'M2'!C5*1</f>
        <v>4.7982699999999996</v>
      </c>
      <c r="AH7" s="59">
        <f>'M2'!D5*1</f>
        <v>14.368</v>
      </c>
      <c r="AI7" s="59">
        <f>'M2'!E5*1</f>
        <v>20</v>
      </c>
      <c r="AJ7" s="59">
        <f>'M2'!F5*1</f>
        <v>24.610800000000001</v>
      </c>
      <c r="AK7" s="59">
        <f>'M2'!G5*1</f>
        <v>50</v>
      </c>
      <c r="AL7" s="59">
        <f>'M2'!H5*1</f>
        <v>45.4191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-3.0515999999999934</v>
      </c>
      <c r="O8" s="59">
        <f t="shared" ref="O8:O16" si="5">AG8-X8</f>
        <v>-0.78236999999999979</v>
      </c>
      <c r="P8" s="59">
        <f t="shared" ref="P8:P16" si="6">AH8-Y8</f>
        <v>-1.3107099999999994</v>
      </c>
      <c r="Q8" s="59">
        <f t="shared" ref="Q8:Q16" si="7">AI8-Z8</f>
        <v>0</v>
      </c>
      <c r="R8" s="59">
        <f t="shared" ref="R8:R16" si="8">AJ8-AA8</f>
        <v>4.2888000000000019</v>
      </c>
      <c r="S8" s="59">
        <f t="shared" ref="S8:S16" si="9">AK8-AB8</f>
        <v>0</v>
      </c>
      <c r="T8" s="59">
        <f t="shared" ref="T8:T16" si="10">AL8-AC8</f>
        <v>-3.3624000000000009</v>
      </c>
      <c r="U8" s="15"/>
      <c r="V8" s="27" t="str">
        <f t="shared" ref="V8:V16" si="11">M8</f>
        <v>压力</v>
      </c>
      <c r="W8" s="59">
        <f>'M1'!B6*1</f>
        <v>49.019799999999996</v>
      </c>
      <c r="X8" s="59">
        <f>'M1'!C6*1</f>
        <v>2.8891499999999999</v>
      </c>
      <c r="Y8" s="59">
        <f>'M1'!D6*1</f>
        <v>5.8938499999999996</v>
      </c>
      <c r="Z8" s="59">
        <f>'M1'!E6*1</f>
        <v>20</v>
      </c>
      <c r="AA8" s="59">
        <f>'M1'!F6*1</f>
        <v>39.202399999999997</v>
      </c>
      <c r="AB8" s="59">
        <f>'M1'!G6*1</f>
        <v>40</v>
      </c>
      <c r="AC8" s="59">
        <f>'M1'!H6*1</f>
        <v>54.517800000000001</v>
      </c>
      <c r="AE8" s="27" t="str">
        <f t="shared" ref="AE8:AE16" si="12">V8</f>
        <v>压力</v>
      </c>
      <c r="AF8" s="59">
        <f>'M2'!B6*1</f>
        <v>45.968200000000003</v>
      </c>
      <c r="AG8" s="59">
        <f>'M2'!C6*1</f>
        <v>2.1067800000000001</v>
      </c>
      <c r="AH8" s="59">
        <f>'M2'!D6*1</f>
        <v>4.5831400000000002</v>
      </c>
      <c r="AI8" s="59">
        <f>'M2'!E6*1</f>
        <v>20</v>
      </c>
      <c r="AJ8" s="59">
        <f>'M2'!F6*1</f>
        <v>43.491199999999999</v>
      </c>
      <c r="AK8" s="59">
        <f>'M2'!G6*1</f>
        <v>40</v>
      </c>
      <c r="AL8" s="59">
        <f>'M2'!H6*1</f>
        <v>51.1554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10.305900000000001</v>
      </c>
      <c r="D9" s="78">
        <f>N7</f>
        <v>-0.82860000000000156</v>
      </c>
      <c r="E9" s="79">
        <f>T7</f>
        <v>-3.7402999999999977</v>
      </c>
      <c r="F9" s="79">
        <f>P7</f>
        <v>-8.902099999999999</v>
      </c>
      <c r="G9" s="80" t="str">
        <f>CONCATENATE(M8,"
(20 ~ 40)")</f>
        <v>压力
(20 ~ 40)</v>
      </c>
      <c r="H9" s="77">
        <f>R8</f>
        <v>4.2888000000000019</v>
      </c>
      <c r="I9" s="81">
        <f>N8</f>
        <v>-3.0515999999999934</v>
      </c>
      <c r="J9" s="77">
        <f>T8</f>
        <v>-3.3624000000000009</v>
      </c>
      <c r="K9" s="82">
        <f>P8</f>
        <v>-1.3107099999999994</v>
      </c>
      <c r="L9" s="6"/>
      <c r="M9" s="27" t="str">
        <f>lang!B16</f>
        <v>焦虑</v>
      </c>
      <c r="N9" s="59">
        <f t="shared" si="4"/>
        <v>2.5781999999999954</v>
      </c>
      <c r="O9" s="59">
        <f t="shared" si="5"/>
        <v>3.085799999999999</v>
      </c>
      <c r="P9" s="59">
        <f t="shared" si="6"/>
        <v>6.7975999999999992</v>
      </c>
      <c r="Q9" s="59">
        <f t="shared" si="7"/>
        <v>0</v>
      </c>
      <c r="R9" s="59">
        <f t="shared" si="8"/>
        <v>-7.6435999999999975</v>
      </c>
      <c r="S9" s="59">
        <f t="shared" si="9"/>
        <v>0</v>
      </c>
      <c r="T9" s="59">
        <f t="shared" si="10"/>
        <v>0.11180000000000234</v>
      </c>
      <c r="U9" s="14"/>
      <c r="V9" s="27" t="str">
        <f t="shared" si="11"/>
        <v>焦虑</v>
      </c>
      <c r="W9" s="59">
        <f>'M1'!B7*1</f>
        <v>34.222900000000003</v>
      </c>
      <c r="X9" s="59">
        <f>'M1'!C7*1</f>
        <v>7.7545000000000002</v>
      </c>
      <c r="Y9" s="59">
        <f>'M1'!D7*1</f>
        <v>22.658799999999999</v>
      </c>
      <c r="Z9" s="59">
        <f>'M1'!E7*1</f>
        <v>15</v>
      </c>
      <c r="AA9" s="59">
        <f>'M1'!F7*1</f>
        <v>20.172999999999998</v>
      </c>
      <c r="AB9" s="59">
        <f>'M1'!G7*1</f>
        <v>40</v>
      </c>
      <c r="AC9" s="59">
        <f>'M1'!H7*1</f>
        <v>50.949199999999998</v>
      </c>
      <c r="AE9" s="27" t="str">
        <f t="shared" si="12"/>
        <v>焦虑</v>
      </c>
      <c r="AF9" s="59">
        <f>'M2'!B7*1</f>
        <v>36.801099999999998</v>
      </c>
      <c r="AG9" s="59">
        <f>'M2'!C7*1</f>
        <v>10.840299999999999</v>
      </c>
      <c r="AH9" s="59">
        <f>'M2'!D7*1</f>
        <v>29.456399999999999</v>
      </c>
      <c r="AI9" s="59">
        <f>'M2'!E7*1</f>
        <v>15</v>
      </c>
      <c r="AJ9" s="59">
        <f>'M2'!F7*1</f>
        <v>12.529400000000001</v>
      </c>
      <c r="AK9" s="59">
        <f>'M2'!G7*1</f>
        <v>40</v>
      </c>
      <c r="AL9" s="59">
        <f>'M2'!H7*1</f>
        <v>51.061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-7.6435999999999975</v>
      </c>
      <c r="D10" s="51">
        <f>N9</f>
        <v>2.5781999999999954</v>
      </c>
      <c r="E10" s="53">
        <f>T9</f>
        <v>0.11180000000000234</v>
      </c>
      <c r="F10" s="53">
        <f>P9</f>
        <v>6.7975999999999992</v>
      </c>
      <c r="G10" s="73" t="str">
        <f>CONCATENATE(M10,"
(20 ~ 50)")</f>
        <v>可疑
(20 ~ 50)</v>
      </c>
      <c r="H10" s="24">
        <f>R10</f>
        <v>7.6617000000000033</v>
      </c>
      <c r="I10" s="52">
        <f>N10</f>
        <v>-3.1435999999999993</v>
      </c>
      <c r="J10" s="24">
        <f>T10</f>
        <v>-5.9600000000003206E-2</v>
      </c>
      <c r="K10" s="25">
        <f>P10</f>
        <v>-1.3886000000000003</v>
      </c>
      <c r="L10" s="4"/>
      <c r="M10" s="27" t="str">
        <f>lang!B17</f>
        <v>可疑</v>
      </c>
      <c r="N10" s="59">
        <f t="shared" si="4"/>
        <v>-3.1435999999999993</v>
      </c>
      <c r="O10" s="59">
        <f t="shared" si="5"/>
        <v>-0.89201999999999959</v>
      </c>
      <c r="P10" s="59">
        <f t="shared" si="6"/>
        <v>-1.3886000000000003</v>
      </c>
      <c r="Q10" s="59">
        <f t="shared" si="7"/>
        <v>0</v>
      </c>
      <c r="R10" s="59">
        <f t="shared" si="8"/>
        <v>7.6617000000000033</v>
      </c>
      <c r="S10" s="59">
        <f t="shared" si="9"/>
        <v>0</v>
      </c>
      <c r="T10" s="59">
        <f t="shared" si="10"/>
        <v>-5.9600000000003206E-2</v>
      </c>
      <c r="U10" s="14"/>
      <c r="V10" s="27" t="str">
        <f t="shared" si="11"/>
        <v>可疑</v>
      </c>
      <c r="W10" s="59">
        <f>'M1'!B8*1</f>
        <v>41.025500000000001</v>
      </c>
      <c r="X10" s="59">
        <f>'M1'!C8*1</f>
        <v>4.7763799999999996</v>
      </c>
      <c r="Y10" s="59">
        <f>'M1'!D8*1</f>
        <v>11.6425</v>
      </c>
      <c r="Z10" s="59">
        <f>'M1'!E8*1</f>
        <v>20</v>
      </c>
      <c r="AA10" s="59">
        <f>'M1'!F8*1</f>
        <v>22.685199999999998</v>
      </c>
      <c r="AB10" s="59">
        <f>'M1'!G8*1</f>
        <v>50</v>
      </c>
      <c r="AC10" s="59">
        <f>'M1'!H8*1</f>
        <v>43.543700000000001</v>
      </c>
      <c r="AE10" s="27" t="str">
        <f t="shared" si="12"/>
        <v>可疑</v>
      </c>
      <c r="AF10" s="59">
        <f>'M2'!B8*1</f>
        <v>37.881900000000002</v>
      </c>
      <c r="AG10" s="59">
        <f>'M2'!C8*1</f>
        <v>3.88436</v>
      </c>
      <c r="AH10" s="59">
        <f>'M2'!D8*1</f>
        <v>10.2539</v>
      </c>
      <c r="AI10" s="59">
        <f>'M2'!E8*1</f>
        <v>20</v>
      </c>
      <c r="AJ10" s="59">
        <f>'M2'!F8*1</f>
        <v>30.346900000000002</v>
      </c>
      <c r="AK10" s="59">
        <f>'M2'!G8*1</f>
        <v>50</v>
      </c>
      <c r="AL10" s="59">
        <f>'M2'!H8*1</f>
        <v>43.484099999999998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-7.0829000000000022</v>
      </c>
      <c r="D11" s="52">
        <f>N11</f>
        <v>1.0052999999999983</v>
      </c>
      <c r="E11" s="24">
        <f>T11</f>
        <v>-2.4654000000000025</v>
      </c>
      <c r="F11" s="24">
        <f>P11</f>
        <v>1.4069000000000003</v>
      </c>
      <c r="G11" s="73" t="str">
        <f>CONCATENATE(M12,"
(40 ~ 100)")</f>
        <v>自信
(40 ~ 100)</v>
      </c>
      <c r="H11" s="24">
        <f>R12</f>
        <v>-2.6914999999999978</v>
      </c>
      <c r="I11" s="52">
        <f>N12</f>
        <v>-12.379100000000001</v>
      </c>
      <c r="J11" s="24">
        <f>T12</f>
        <v>-15.699399999999997</v>
      </c>
      <c r="K11" s="25">
        <f>P12</f>
        <v>-5.8059099999999999</v>
      </c>
      <c r="L11" s="4"/>
      <c r="M11" s="27" t="str">
        <f>lang!B18</f>
        <v>平衡</v>
      </c>
      <c r="N11" s="59">
        <f t="shared" si="4"/>
        <v>1.0052999999999983</v>
      </c>
      <c r="O11" s="59">
        <f t="shared" si="5"/>
        <v>0.95664999999999978</v>
      </c>
      <c r="P11" s="59">
        <f t="shared" si="6"/>
        <v>1.4069000000000003</v>
      </c>
      <c r="Q11" s="59">
        <f t="shared" si="7"/>
        <v>0</v>
      </c>
      <c r="R11" s="59">
        <f t="shared" si="8"/>
        <v>-7.0829000000000022</v>
      </c>
      <c r="S11" s="59">
        <f t="shared" si="9"/>
        <v>0</v>
      </c>
      <c r="T11" s="59">
        <f t="shared" si="10"/>
        <v>-2.4654000000000025</v>
      </c>
      <c r="U11" s="14"/>
      <c r="V11" s="27" t="str">
        <f t="shared" si="11"/>
        <v>平衡</v>
      </c>
      <c r="W11" s="59">
        <f>'M1'!B9*1</f>
        <v>60.1342</v>
      </c>
      <c r="X11" s="59">
        <f>'M1'!C9*1</f>
        <v>5.7690900000000003</v>
      </c>
      <c r="Y11" s="59">
        <f>'M1'!D9*1</f>
        <v>9.5937000000000001</v>
      </c>
      <c r="Z11" s="59">
        <f>'M1'!E9*1</f>
        <v>50</v>
      </c>
      <c r="AA11" s="59">
        <f>'M1'!F9*1</f>
        <v>48.040700000000001</v>
      </c>
      <c r="AB11" s="59">
        <f>'M1'!G9*1</f>
        <v>100</v>
      </c>
      <c r="AC11" s="59">
        <f>'M1'!H9*1</f>
        <v>71.891999999999996</v>
      </c>
      <c r="AE11" s="27" t="str">
        <f t="shared" si="12"/>
        <v>平衡</v>
      </c>
      <c r="AF11" s="59">
        <f>'M2'!B9*1</f>
        <v>61.139499999999998</v>
      </c>
      <c r="AG11" s="59">
        <f>'M2'!C9*1</f>
        <v>6.7257400000000001</v>
      </c>
      <c r="AH11" s="59">
        <f>'M2'!D9*1</f>
        <v>11.0006</v>
      </c>
      <c r="AI11" s="59">
        <f>'M2'!E9*1</f>
        <v>50</v>
      </c>
      <c r="AJ11" s="59">
        <f>'M2'!F9*1</f>
        <v>40.957799999999999</v>
      </c>
      <c r="AK11" s="59">
        <f>'M2'!G9*1</f>
        <v>100</v>
      </c>
      <c r="AL11" s="59">
        <f>'M2'!H9*1</f>
        <v>69.426599999999993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2.1590400000000001</v>
      </c>
      <c r="D12" s="51">
        <f>N13</f>
        <v>-0.42220000000000013</v>
      </c>
      <c r="E12" s="53">
        <f>T13</f>
        <v>-1.764899999999999</v>
      </c>
      <c r="F12" s="53">
        <f>P13</f>
        <v>-6.2004000000000019</v>
      </c>
      <c r="G12" s="73" t="str">
        <f>CONCATENATE(M14,"
(50 ~ 100)")</f>
        <v>自我调节
(50 ~ 100)</v>
      </c>
      <c r="H12" s="24">
        <f>R14</f>
        <v>-9.3765000000000001</v>
      </c>
      <c r="I12" s="52">
        <f>N14</f>
        <v>-4.3221999999999952</v>
      </c>
      <c r="J12" s="24">
        <f>T14</f>
        <v>-6.2229000000000028</v>
      </c>
      <c r="K12" s="25">
        <f>P14</f>
        <v>1.5053000000000001</v>
      </c>
      <c r="L12" s="4"/>
      <c r="M12" s="27" t="str">
        <f>lang!B19</f>
        <v>自信</v>
      </c>
      <c r="N12" s="59">
        <f t="shared" si="4"/>
        <v>-12.379100000000001</v>
      </c>
      <c r="O12" s="59">
        <f t="shared" si="5"/>
        <v>-4.07402</v>
      </c>
      <c r="P12" s="59">
        <f t="shared" si="6"/>
        <v>-5.8059099999999999</v>
      </c>
      <c r="Q12" s="59">
        <f t="shared" si="7"/>
        <v>0</v>
      </c>
      <c r="R12" s="59">
        <f t="shared" si="8"/>
        <v>-2.6914999999999978</v>
      </c>
      <c r="S12" s="59">
        <f t="shared" si="9"/>
        <v>0</v>
      </c>
      <c r="T12" s="59">
        <f t="shared" si="10"/>
        <v>-15.699399999999997</v>
      </c>
      <c r="U12" s="15"/>
      <c r="V12" s="27" t="str">
        <f t="shared" si="11"/>
        <v>自信</v>
      </c>
      <c r="W12" s="59">
        <f>'M1'!B10*1</f>
        <v>63.5886</v>
      </c>
      <c r="X12" s="59">
        <f>'M1'!C10*1</f>
        <v>5.65482</v>
      </c>
      <c r="Y12" s="59">
        <f>'M1'!D10*1</f>
        <v>8.89283</v>
      </c>
      <c r="Z12" s="59">
        <f>'M1'!E10*1</f>
        <v>40</v>
      </c>
      <c r="AA12" s="59">
        <f>'M1'!F10*1</f>
        <v>50.139099999999999</v>
      </c>
      <c r="AB12" s="59">
        <f>'M1'!G10*1</f>
        <v>100</v>
      </c>
      <c r="AC12" s="59">
        <f>'M1'!H10*1</f>
        <v>69.905699999999996</v>
      </c>
      <c r="AE12" s="27" t="str">
        <f t="shared" si="12"/>
        <v>自信</v>
      </c>
      <c r="AF12" s="59">
        <f>'M2'!B10*1</f>
        <v>51.209499999999998</v>
      </c>
      <c r="AG12" s="59">
        <f>'M2'!C10*1</f>
        <v>1.5808</v>
      </c>
      <c r="AH12" s="59">
        <f>'M2'!D10*1</f>
        <v>3.0869200000000001</v>
      </c>
      <c r="AI12" s="59">
        <f>'M2'!E10*1</f>
        <v>40</v>
      </c>
      <c r="AJ12" s="59">
        <f>'M2'!F10*1</f>
        <v>47.447600000000001</v>
      </c>
      <c r="AK12" s="59">
        <f>'M2'!G10*1</f>
        <v>100</v>
      </c>
      <c r="AL12" s="59">
        <f>'M2'!H10*1</f>
        <v>54.206299999999999</v>
      </c>
    </row>
    <row r="13" spans="2:38" ht="25.5" customHeight="1" thickBot="1">
      <c r="B13" s="72" t="str">
        <f>CONCATENATE(M15,"
(10 ~ 25)")</f>
        <v>抑郁
(10 ~ 25)</v>
      </c>
      <c r="C13" s="54">
        <f>R15</f>
        <v>0.67469999999999963</v>
      </c>
      <c r="D13" s="55">
        <f>N15</f>
        <v>1.559999999999917E-2</v>
      </c>
      <c r="E13" s="56">
        <f>T15</f>
        <v>-9.3611000000000004</v>
      </c>
      <c r="F13" s="56">
        <f>P15</f>
        <v>-13.791999999999998</v>
      </c>
      <c r="G13" s="74" t="str">
        <f>CONCATENATE(M16,"
(10 ~ 50)")</f>
        <v>神经质
(10 ~ 50)</v>
      </c>
      <c r="H13" s="54">
        <f>R16</f>
        <v>-3.2480000000000064E-2</v>
      </c>
      <c r="I13" s="55">
        <f>N16</f>
        <v>-19.479400000000002</v>
      </c>
      <c r="J13" s="56">
        <f>T16</f>
        <v>-6.1332000000000022</v>
      </c>
      <c r="K13" s="57">
        <f>P16</f>
        <v>29.372700000000002</v>
      </c>
      <c r="M13" s="27" t="str">
        <f>lang!B20</f>
        <v>活力</v>
      </c>
      <c r="N13" s="59">
        <f t="shared" si="4"/>
        <v>-0.42220000000000013</v>
      </c>
      <c r="O13" s="59">
        <f t="shared" si="5"/>
        <v>-0.80021000000000009</v>
      </c>
      <c r="P13" s="59">
        <f t="shared" si="6"/>
        <v>-6.2004000000000019</v>
      </c>
      <c r="Q13" s="59">
        <f t="shared" si="7"/>
        <v>0</v>
      </c>
      <c r="R13" s="59">
        <f t="shared" si="8"/>
        <v>2.1590400000000001</v>
      </c>
      <c r="S13" s="59">
        <f t="shared" si="9"/>
        <v>0</v>
      </c>
      <c r="T13" s="59">
        <f t="shared" si="10"/>
        <v>-1.764899999999999</v>
      </c>
      <c r="U13" s="14"/>
      <c r="V13" s="27" t="str">
        <f t="shared" si="11"/>
        <v>活力</v>
      </c>
      <c r="W13" s="59">
        <f>'M1'!B11*1</f>
        <v>11.794499999999999</v>
      </c>
      <c r="X13" s="59">
        <f>'M1'!C11*1</f>
        <v>2.6559200000000001</v>
      </c>
      <c r="Y13" s="59">
        <f>'M1'!D11*1</f>
        <v>22.5182</v>
      </c>
      <c r="Z13" s="59">
        <f>'M1'!E11*1</f>
        <v>10</v>
      </c>
      <c r="AA13" s="59">
        <f>'M1'!F11*1</f>
        <v>4.7104699999999999</v>
      </c>
      <c r="AB13" s="59">
        <f>'M1'!G11*1</f>
        <v>50</v>
      </c>
      <c r="AC13" s="59">
        <f>'M1'!H11*1</f>
        <v>16.471299999999999</v>
      </c>
      <c r="AE13" s="27" t="str">
        <f t="shared" si="12"/>
        <v>活力</v>
      </c>
      <c r="AF13" s="59">
        <f>'M2'!B11*1</f>
        <v>11.372299999999999</v>
      </c>
      <c r="AG13" s="59">
        <f>'M2'!C11*1</f>
        <v>1.85571</v>
      </c>
      <c r="AH13" s="59">
        <f>'M2'!D11*1</f>
        <v>16.317799999999998</v>
      </c>
      <c r="AI13" s="59">
        <f>'M2'!E11*1</f>
        <v>10</v>
      </c>
      <c r="AJ13" s="59">
        <f>'M2'!F11*1</f>
        <v>6.86951</v>
      </c>
      <c r="AK13" s="59">
        <f>'M2'!G11*1</f>
        <v>50</v>
      </c>
      <c r="AL13" s="59">
        <f>'M2'!H11*1</f>
        <v>14.7064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-4.3221999999999952</v>
      </c>
      <c r="O14" s="59">
        <f t="shared" si="5"/>
        <v>0.62991999999999981</v>
      </c>
      <c r="P14" s="59">
        <f t="shared" si="6"/>
        <v>1.5053000000000001</v>
      </c>
      <c r="Q14" s="59">
        <f t="shared" si="7"/>
        <v>0</v>
      </c>
      <c r="R14" s="59">
        <f t="shared" si="8"/>
        <v>-9.3765000000000001</v>
      </c>
      <c r="S14" s="59">
        <f t="shared" si="9"/>
        <v>0</v>
      </c>
      <c r="T14" s="59">
        <f t="shared" si="10"/>
        <v>-6.2229000000000028</v>
      </c>
      <c r="U14" s="14"/>
      <c r="V14" s="27" t="str">
        <f t="shared" si="11"/>
        <v>自我调节</v>
      </c>
      <c r="W14" s="59">
        <f>'M1'!B12*1</f>
        <v>60.537799999999997</v>
      </c>
      <c r="X14" s="59">
        <f>'M1'!C12*1</f>
        <v>3.02949</v>
      </c>
      <c r="Y14" s="59">
        <f>'M1'!D12*1</f>
        <v>5.0042900000000001</v>
      </c>
      <c r="Z14" s="59">
        <f>'M1'!E12*1</f>
        <v>50</v>
      </c>
      <c r="AA14" s="59">
        <f>'M1'!F12*1</f>
        <v>55.035800000000002</v>
      </c>
      <c r="AB14" s="59">
        <f>'M1'!G12*1</f>
        <v>100</v>
      </c>
      <c r="AC14" s="59">
        <f>'M1'!H12*1</f>
        <v>67.160600000000002</v>
      </c>
      <c r="AE14" s="27" t="str">
        <f t="shared" si="12"/>
        <v>自我调节</v>
      </c>
      <c r="AF14" s="59">
        <f>'M2'!B12*1</f>
        <v>56.215600000000002</v>
      </c>
      <c r="AG14" s="59">
        <f>'M2'!C12*1</f>
        <v>3.6594099999999998</v>
      </c>
      <c r="AH14" s="59">
        <f>'M2'!D12*1</f>
        <v>6.5095900000000002</v>
      </c>
      <c r="AI14" s="59">
        <f>'M2'!E12*1</f>
        <v>50</v>
      </c>
      <c r="AJ14" s="59">
        <f>'M2'!F12*1</f>
        <v>45.659300000000002</v>
      </c>
      <c r="AK14" s="59">
        <f>'M2'!G12*1</f>
        <v>100</v>
      </c>
      <c r="AL14" s="59">
        <f>'M2'!H12*1</f>
        <v>60.9377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1.559999999999917E-2</v>
      </c>
      <c r="O15" s="59">
        <f t="shared" si="5"/>
        <v>-1.9479399999999998</v>
      </c>
      <c r="P15" s="59">
        <f t="shared" si="6"/>
        <v>-13.791999999999998</v>
      </c>
      <c r="Q15" s="59">
        <f t="shared" si="7"/>
        <v>0</v>
      </c>
      <c r="R15" s="59">
        <f t="shared" si="8"/>
        <v>0.67469999999999963</v>
      </c>
      <c r="S15" s="59">
        <f t="shared" si="9"/>
        <v>0</v>
      </c>
      <c r="T15" s="59">
        <f t="shared" si="10"/>
        <v>-9.3611000000000004</v>
      </c>
      <c r="U15" s="14"/>
      <c r="V15" s="27" t="str">
        <f t="shared" si="11"/>
        <v>抑郁</v>
      </c>
      <c r="W15" s="59">
        <f>'M1'!B13*1</f>
        <v>14.1394</v>
      </c>
      <c r="X15" s="59">
        <f>'M1'!C13*1</f>
        <v>3.9121199999999998</v>
      </c>
      <c r="Y15" s="59">
        <f>'M1'!D13*1</f>
        <v>27.668199999999999</v>
      </c>
      <c r="Z15" s="59">
        <f>'M1'!E13*1</f>
        <v>10</v>
      </c>
      <c r="AA15" s="59">
        <f>'M1'!F13*1</f>
        <v>10.848100000000001</v>
      </c>
      <c r="AB15" s="59">
        <f>'M1'!G13*1</f>
        <v>25</v>
      </c>
      <c r="AC15" s="59">
        <f>'M1'!H13*1</f>
        <v>29.499400000000001</v>
      </c>
      <c r="AE15" s="27" t="str">
        <f t="shared" si="12"/>
        <v>抑郁</v>
      </c>
      <c r="AF15" s="59">
        <f>'M2'!B13*1</f>
        <v>14.154999999999999</v>
      </c>
      <c r="AG15" s="59">
        <f>'M2'!C13*1</f>
        <v>1.96418</v>
      </c>
      <c r="AH15" s="59">
        <f>'M2'!D13*1</f>
        <v>13.876200000000001</v>
      </c>
      <c r="AI15" s="59">
        <f>'M2'!E13*1</f>
        <v>10</v>
      </c>
      <c r="AJ15" s="59">
        <f>'M2'!F13*1</f>
        <v>11.5228</v>
      </c>
      <c r="AK15" s="59">
        <f>'M2'!G13*1</f>
        <v>25</v>
      </c>
      <c r="AL15" s="59">
        <f>'M2'!H13*1</f>
        <v>20.138300000000001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-19.479400000000002</v>
      </c>
      <c r="O16" s="59">
        <f t="shared" si="5"/>
        <v>-2.0290999999999997</v>
      </c>
      <c r="P16" s="59">
        <f t="shared" si="6"/>
        <v>29.372700000000002</v>
      </c>
      <c r="Q16" s="59">
        <f t="shared" si="7"/>
        <v>0</v>
      </c>
      <c r="R16" s="59">
        <f t="shared" si="8"/>
        <v>-3.2480000000000064E-2</v>
      </c>
      <c r="S16" s="59">
        <f t="shared" si="9"/>
        <v>0</v>
      </c>
      <c r="T16" s="59">
        <f t="shared" si="10"/>
        <v>-6.1332000000000022</v>
      </c>
      <c r="U16" s="15"/>
      <c r="V16" s="27" t="str">
        <f t="shared" si="11"/>
        <v>神经质</v>
      </c>
      <c r="W16" s="59">
        <f>'M1'!B14*1</f>
        <v>39.121200000000002</v>
      </c>
      <c r="X16" s="59">
        <f>'M1'!C14*1</f>
        <v>15.661799999999999</v>
      </c>
      <c r="Y16" s="59">
        <f>'M1'!D14*1</f>
        <v>40.033999999999999</v>
      </c>
      <c r="Z16" s="59">
        <f>'M1'!E14*1</f>
        <v>10</v>
      </c>
      <c r="AA16" s="59">
        <f>'M1'!F14*1</f>
        <v>2.4282699999999999</v>
      </c>
      <c r="AB16" s="59">
        <f>'M1'!G14*1</f>
        <v>50</v>
      </c>
      <c r="AC16" s="59">
        <f>'M1'!H14*1</f>
        <v>45.198700000000002</v>
      </c>
      <c r="AE16" s="27" t="str">
        <f t="shared" si="12"/>
        <v>神经质</v>
      </c>
      <c r="AF16" s="59">
        <f>'M2'!B14*1</f>
        <v>19.6418</v>
      </c>
      <c r="AG16" s="59">
        <f>'M2'!C14*1</f>
        <v>13.6327</v>
      </c>
      <c r="AH16" s="59">
        <f>'M2'!D14*1</f>
        <v>69.406700000000001</v>
      </c>
      <c r="AI16" s="59">
        <f>'M2'!E14*1</f>
        <v>10</v>
      </c>
      <c r="AJ16" s="59">
        <f>'M2'!F14*1</f>
        <v>2.3957899999999999</v>
      </c>
      <c r="AK16" s="59">
        <f>'M2'!G14*1</f>
        <v>50</v>
      </c>
      <c r="AL16" s="59">
        <f>'M2'!H14*1</f>
        <v>39.0655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-4.0295499999999995</v>
      </c>
      <c r="O17" s="22">
        <f>N17/(N17+N18+N19)</f>
        <v>0.2709332777510699</v>
      </c>
      <c r="P17" s="65">
        <f>SUM(P11:P14)/4</f>
        <v>-2.2735275000000006</v>
      </c>
      <c r="Q17" s="22">
        <f>P17/(P17+P18+P19)</f>
        <v>-0.52678312831480079</v>
      </c>
      <c r="R17" s="14"/>
      <c r="S17" s="14"/>
      <c r="T17" s="14"/>
      <c r="U17" s="14"/>
      <c r="V17" s="21" t="str">
        <f>M17</f>
        <v>Positive</v>
      </c>
      <c r="W17" s="65">
        <f>SUM(W11:W14)/4</f>
        <v>49.013775000000003</v>
      </c>
      <c r="X17" s="22">
        <f>W17/(W17+W18+W19)</f>
        <v>0.42521893705188335</v>
      </c>
      <c r="Y17" s="65">
        <f>SUM(Y11:Y14)/4</f>
        <v>11.502255</v>
      </c>
      <c r="Z17" s="22">
        <f>Y17/(Y17+Y18+Y19)</f>
        <v>0.18788496360258736</v>
      </c>
      <c r="AA17" s="14"/>
      <c r="AB17" s="14"/>
      <c r="AC17" s="14"/>
      <c r="AE17" s="21" t="str">
        <f>V17</f>
        <v>Positive</v>
      </c>
      <c r="AF17" s="65">
        <f>SUM(AF11:AF14)/4</f>
        <v>44.984224999999995</v>
      </c>
      <c r="AG17" s="22">
        <f>AF17/(AF17+AF18+AF19)</f>
        <v>0.44807548834943817</v>
      </c>
      <c r="AH17" s="65">
        <f>SUM(AH11:AH14)/4</f>
        <v>9.2287274999999998</v>
      </c>
      <c r="AI17" s="22">
        <f>AH17/(AH17+AH18+AH19)</f>
        <v>0.14082020003269216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-1.1113999999999997</v>
      </c>
      <c r="O18" s="22">
        <f>N18/(N17+N18+N19)</f>
        <v>7.4726767230221494E-2</v>
      </c>
      <c r="P18" s="18">
        <f>SUM(P7:P10)/4</f>
        <v>-1.2009524999999996</v>
      </c>
      <c r="Q18" s="22">
        <f>P18/(P17+P18+P19)</f>
        <v>-0.27826428970288702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39.623075</v>
      </c>
      <c r="X18" s="22">
        <f>W18/(W17+W18+W19)</f>
        <v>0.34374993222266703</v>
      </c>
      <c r="Y18" s="18">
        <f>SUM(Y7:Y10)/4</f>
        <v>15.866312499999999</v>
      </c>
      <c r="Z18" s="22">
        <f>Y18/(Y17+Y18+Y19)</f>
        <v>0.25917018415691329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38.511674999999997</v>
      </c>
      <c r="AG18" s="22">
        <f>AF18/(AF17+AF18+AF19)</f>
        <v>0.38360419864474377</v>
      </c>
      <c r="AH18" s="18">
        <f>SUM(AH7:AH10)/4</f>
        <v>14.66536</v>
      </c>
      <c r="AI18" s="22">
        <f>AH18/(AH17+AH18+AH19)</f>
        <v>0.22377721400392878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-9.7319000000000013</v>
      </c>
      <c r="O19" s="22">
        <f>N19/(N17+N18+N19)</f>
        <v>0.65433995501870867</v>
      </c>
      <c r="P19" s="18">
        <f>(P15+P16)/2</f>
        <v>7.7903500000000019</v>
      </c>
      <c r="Q19" s="22">
        <f>P19/(P17+P18+P19)</f>
        <v>1.8050474180176879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26.630300000000002</v>
      </c>
      <c r="X19" s="22">
        <f>W19/(W17+W18+W19)</f>
        <v>0.23103113072544951</v>
      </c>
      <c r="Y19" s="18">
        <f>(Y15+Y16)/2</f>
        <v>33.851100000000002</v>
      </c>
      <c r="Z19" s="22">
        <f>Y19/(Y17+Y18+Y19)</f>
        <v>0.55294485224049938</v>
      </c>
      <c r="AA19" s="14"/>
      <c r="AB19" s="14"/>
      <c r="AC19" s="14"/>
      <c r="AE19" s="21" t="str">
        <f t="shared" si="14"/>
        <v>Physiological</v>
      </c>
      <c r="AF19" s="18">
        <f>(AF15+AF16)/2</f>
        <v>16.898399999999999</v>
      </c>
      <c r="AG19" s="22">
        <f>AF19/(AF17+AF18+AF19)</f>
        <v>0.16832031300581807</v>
      </c>
      <c r="AH19" s="18">
        <f>(AH15+AH16)/2</f>
        <v>41.641449999999999</v>
      </c>
      <c r="AI19" s="22">
        <f>AH19/(AH17+AH18+AH19)</f>
        <v>0.63540258596337895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1.11/1.08</v>
      </c>
      <c r="D24" s="44" t="str">
        <f>lang!B11</f>
        <v>频率方差</v>
      </c>
      <c r="E24" s="142" t="str">
        <f ca="1">CONCATENATE(ROUND('FH1'!L3,2),"/",ROUND('FH2'!L3,2))</f>
        <v>0.56/0.52</v>
      </c>
      <c r="F24" s="143"/>
      <c r="G24" s="134" t="str">
        <f>lang!B12</f>
        <v>生理变化率</v>
      </c>
      <c r="H24" s="135"/>
      <c r="I24" s="62" t="str">
        <f ca="1">CONCATENATE(info!M7,"-",info!M8)</f>
        <v>36.9-57.6</v>
      </c>
      <c r="J24" s="42" t="str">
        <f>lang!B13</f>
        <v>千卡l/分钟</v>
      </c>
      <c r="K24" s="41" t="str">
        <f ca="1">CONCATENATE(info!M5,"-",info!M6)</f>
        <v>1.5-2.7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-5.8212999999999955</v>
      </c>
      <c r="F27" s="164"/>
      <c r="G27" s="178" t="str">
        <f>lang!B33</f>
        <v>稳定性</v>
      </c>
      <c r="H27" s="179"/>
      <c r="I27" s="180"/>
      <c r="J27" s="181">
        <f>dM!B19*100</f>
        <v>1.1156999999999972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⊡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⊠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-0.98186222772696075</v>
      </c>
      <c r="C2">
        <f t="array" aca="1" ref="C2" ca="1">CORREL(FT_E02,FT_PH02)</f>
        <v>-0.93698918366452477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1.6645399999999999</v>
      </c>
      <c r="G2" s="61">
        <f>IF(FT!B2&lt;&gt;"",FT!B2*100,"")</f>
        <v>57.584199999999996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1.7134099999999999</v>
      </c>
      <c r="G3" s="61">
        <f>IF(FT!B3&lt;&gt;"",FT!B3*100,"")</f>
        <v>56.755100000000006</v>
      </c>
      <c r="H3" s="61">
        <f t="shared" ref="H3:H66" si="1">(IF(F3&lt;&gt;"",1,""))</f>
        <v>1</v>
      </c>
      <c r="I3" t="str">
        <f>IF(FT!B3&lt;&gt;"",FT!E3,"")</f>
        <v>1 [0.406680]</v>
      </c>
      <c r="J3">
        <f>IF(FT!B3&lt;&gt;"",FT!C3,"")</f>
        <v>0.40667999999999999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0.45348887837837837</v>
      </c>
      <c r="V3">
        <f ca="1">AVERAGE(OFFSET(FT!B2,info!$L$3/2,0,info!$L$3/2,1))</f>
        <v>0.48474190540540563</v>
      </c>
      <c r="W3">
        <f ca="1">AVERAGE(OFFSET(FT!A2,0,0,info!$L$3/2,1))</f>
        <v>0.22964882432432426</v>
      </c>
      <c r="X3">
        <f ca="1">AVERAGE(OFFSET(FT!A2,info!$L$3/2,0,info!$L$3/2,1))</f>
        <v>0.21010185135135134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1.7618100000000001</v>
      </c>
      <c r="G4" s="61">
        <f>IF(FT!B4&lt;&gt;"",FT!B4*100,"")</f>
        <v>55.909799999999997</v>
      </c>
      <c r="H4" s="61">
        <f t="shared" si="1"/>
        <v>1</v>
      </c>
      <c r="I4" t="str">
        <f>IF(FT!B4&lt;&gt;"",FT!E4,"")</f>
        <v>1 [0.810253]</v>
      </c>
      <c r="J4">
        <f>IF(FT!B4&lt;&gt;"",FT!C4,"")</f>
        <v>0.810253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14.938000000000001</v>
      </c>
      <c r="V4">
        <f>U4*3</f>
        <v>44.814</v>
      </c>
      <c r="W4">
        <f>U4</f>
        <v>14.938000000000001</v>
      </c>
      <c r="X4">
        <f>V4</f>
        <v>44.814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1.8108599999999999</v>
      </c>
      <c r="G5" s="61">
        <f>IF(FT!B5&lt;&gt;"",FT!B5*100,"")</f>
        <v>54.982500000000002</v>
      </c>
      <c r="H5" s="61">
        <f t="shared" si="1"/>
        <v>1</v>
      </c>
      <c r="I5" t="str">
        <f>IF(FT!B5&lt;&gt;"",FT!E5,"")</f>
        <v>1 [1.221543]</v>
      </c>
      <c r="J5">
        <f>IF(FT!B5&lt;&gt;"",FT!C5,"")</f>
        <v>1.2215400000000001</v>
      </c>
      <c r="K5" t="s">
        <v>53</v>
      </c>
      <c r="L5" s="63">
        <f ca="1">MIN(FT_E)</f>
        <v>1.54304</v>
      </c>
      <c r="M5" s="63">
        <f ca="1">ROUND(L5,1)</f>
        <v>1.5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45.348887837837836</v>
      </c>
      <c r="V5">
        <f ca="1">V3*100</f>
        <v>48.474190540540562</v>
      </c>
      <c r="W5">
        <f ca="1">W3*10</f>
        <v>2.2964882432432425</v>
      </c>
      <c r="X5">
        <f ca="1">X3*10</f>
        <v>2.1010185135135133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1.8590200000000001</v>
      </c>
      <c r="G6" s="61">
        <f>IF(FT!B6&lt;&gt;"",FT!B6*100,"")</f>
        <v>54.063000000000002</v>
      </c>
      <c r="H6" s="61">
        <f t="shared" si="1"/>
        <v>1</v>
      </c>
      <c r="I6" t="str">
        <f>IF(FT!B6&lt;&gt;"",FT!E6,"")</f>
        <v>1 [1.624410]</v>
      </c>
      <c r="J6">
        <f>IF(FT!B6&lt;&gt;"",FT!C6,"")</f>
        <v>1.6244099999999999</v>
      </c>
      <c r="K6" t="s">
        <v>54</v>
      </c>
      <c r="L6" s="63">
        <f ca="1">MAX(FT_E)</f>
        <v>2.6961300000000001</v>
      </c>
      <c r="M6" s="63">
        <f ca="1">ROUND(L6,1)</f>
        <v>2.7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1.9039700000000002</v>
      </c>
      <c r="G7" s="61">
        <f>IF(FT!B7&lt;&gt;"",FT!B7*100,"")</f>
        <v>53.061499999999995</v>
      </c>
      <c r="H7" s="61">
        <f t="shared" si="1"/>
        <v>1</v>
      </c>
      <c r="I7" t="str">
        <f>IF(FT!B7&lt;&gt;"",FT!E7,"")</f>
        <v>1 [2.032660]</v>
      </c>
      <c r="J7">
        <f>IF(FT!B7&lt;&gt;"",FT!C7,"")</f>
        <v>2.0326599999999999</v>
      </c>
      <c r="K7" t="s">
        <v>55</v>
      </c>
      <c r="L7" s="63">
        <f ca="1">MIN(FT_PH)</f>
        <v>36.8626</v>
      </c>
      <c r="M7" s="63">
        <f ca="1">ROUND(L7,1)</f>
        <v>36.9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28672</v>
      </c>
      <c r="D8" s="61">
        <f>FH!B8*1</f>
        <v>28672</v>
      </c>
      <c r="E8">
        <f t="shared" si="3"/>
        <v>6</v>
      </c>
      <c r="F8" s="61">
        <f>IF(FT!A8&lt;&gt;"",FT!A8*10,"")</f>
        <v>1.9490099999999999</v>
      </c>
      <c r="G8" s="61">
        <f>IF(FT!B8&lt;&gt;"",FT!B8*100,"")</f>
        <v>52.022199999999998</v>
      </c>
      <c r="H8" s="61">
        <f t="shared" si="1"/>
        <v>1</v>
      </c>
      <c r="I8" t="str">
        <f>IF(FT!B8&lt;&gt;"",FT!E8,"")</f>
        <v>1 [2.440185]</v>
      </c>
      <c r="J8">
        <f>IF(FT!B8&lt;&gt;"",FT!C8,"")</f>
        <v>2.4401899999999999</v>
      </c>
      <c r="K8" t="s">
        <v>56</v>
      </c>
      <c r="L8" s="63">
        <f ca="1">MAX(FT_PH)</f>
        <v>57.584199999999996</v>
      </c>
      <c r="M8" s="63">
        <f ca="1">ROUND(L8,1)</f>
        <v>57.6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1.9963</v>
      </c>
      <c r="G9" s="61">
        <f>IF(FT!B9&lt;&gt;"",FT!B9*100,"")</f>
        <v>50.764200000000002</v>
      </c>
      <c r="H9" s="61">
        <f t="shared" si="1"/>
        <v>1</v>
      </c>
      <c r="I9" t="str">
        <f>IF(FT!B9&lt;&gt;"",FT!E9,"")</f>
        <v>1 [2.844115]</v>
      </c>
      <c r="J9">
        <f>IF(FT!B9&lt;&gt;"",FT!C9,"")</f>
        <v>2.8441100000000001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35077</v>
      </c>
      <c r="D10" s="61">
        <f>FH!B10*1</f>
        <v>35077</v>
      </c>
      <c r="E10">
        <f t="shared" si="3"/>
        <v>8</v>
      </c>
      <c r="F10" s="61">
        <f>IF(FT!A10&lt;&gt;"",FT!A10*10,"")</f>
        <v>2.0440499999999999</v>
      </c>
      <c r="G10" s="61">
        <f>IF(FT!B10&lt;&gt;"",FT!B10*100,"")</f>
        <v>49.5289</v>
      </c>
      <c r="H10" s="61">
        <f t="shared" si="1"/>
        <v>1</v>
      </c>
      <c r="I10" t="str">
        <f>IF(FT!B10&lt;&gt;"",FT!E10,"")</f>
        <v>1 [3.253267]</v>
      </c>
      <c r="J10">
        <f>IF(FT!B10&lt;&gt;"",FT!C10,"")</f>
        <v>3.2532700000000001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2.0892599999999999</v>
      </c>
      <c r="G11" s="61">
        <f>IF(FT!B11&lt;&gt;"",FT!B11*100,"")</f>
        <v>48.428800000000003</v>
      </c>
      <c r="H11" s="61">
        <f t="shared" si="1"/>
        <v>1</v>
      </c>
      <c r="I11" t="str">
        <f>IF(FT!B11&lt;&gt;"",FT!E11,"")</f>
        <v>1 [3.655082]</v>
      </c>
      <c r="J11">
        <f>IF(FT!B11&lt;&gt;"",FT!C11,"")</f>
        <v>3.6550799999999999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2.1337700000000002</v>
      </c>
      <c r="G12" s="61">
        <f>IF(FT!B12&lt;&gt;"",FT!B12*100,"")</f>
        <v>47.397399999999998</v>
      </c>
      <c r="H12" s="61">
        <f t="shared" si="1"/>
        <v>1</v>
      </c>
      <c r="I12" t="str">
        <f>IF(FT!B12&lt;&gt;"",FT!E12,"")</f>
        <v>1 [4.061878]</v>
      </c>
      <c r="J12">
        <f>IF(FT!B12&lt;&gt;"",FT!C12,"")</f>
        <v>4.0618800000000004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39241</v>
      </c>
      <c r="D13" s="61">
        <f>FH!B13*1</f>
        <v>39241</v>
      </c>
      <c r="E13">
        <f t="shared" si="3"/>
        <v>11</v>
      </c>
      <c r="F13" s="61">
        <f>IF(FT!A13&lt;&gt;"",FT!A13*10,"")</f>
        <v>2.17787</v>
      </c>
      <c r="G13" s="61">
        <f>IF(FT!B13&lt;&gt;"",FT!B13*100,"")</f>
        <v>46.371200000000002</v>
      </c>
      <c r="H13" s="61">
        <f t="shared" si="1"/>
        <v>1</v>
      </c>
      <c r="I13" t="str">
        <f>IF(FT!B13&lt;&gt;"",FT!E13,"")</f>
        <v>1 [4.470820]</v>
      </c>
      <c r="J13">
        <f>IF(FT!B13&lt;&gt;"",FT!C13,"")</f>
        <v>4.4708199999999998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2.2209699999999999</v>
      </c>
      <c r="G14" s="61">
        <f>IF(FT!B14&lt;&gt;"",FT!B14*100,"")</f>
        <v>45.305700000000002</v>
      </c>
      <c r="H14" s="61">
        <f t="shared" si="1"/>
        <v>1</v>
      </c>
      <c r="I14" t="str">
        <f>IF(FT!B14&lt;&gt;"",FT!E14,"")</f>
        <v>1 [4.877690]</v>
      </c>
      <c r="J14">
        <f>IF(FT!B14&lt;&gt;"",FT!C14,"")</f>
        <v>4.8776900000000003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51930</v>
      </c>
      <c r="D15" s="61">
        <f>FH!B15*1</f>
        <v>51930</v>
      </c>
      <c r="E15">
        <f t="shared" si="3"/>
        <v>13</v>
      </c>
      <c r="F15" s="61">
        <f>IF(FT!A15&lt;&gt;"",FT!A15*10,"")</f>
        <v>2.2643499999999999</v>
      </c>
      <c r="G15" s="61">
        <f>IF(FT!B15&lt;&gt;"",FT!B15*100,"")</f>
        <v>44.260599999999997</v>
      </c>
      <c r="H15" s="61">
        <f t="shared" si="1"/>
        <v>1</v>
      </c>
      <c r="I15" t="str">
        <f>IF(FT!B15&lt;&gt;"",FT!E15,"")</f>
        <v>1 [5.278631]</v>
      </c>
      <c r="J15">
        <f>IF(FT!B15&lt;&gt;"",FT!C15,"")</f>
        <v>5.2786299999999997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2.3065099999999998</v>
      </c>
      <c r="G16" s="61">
        <f>IF(FT!B16&lt;&gt;"",FT!B16*100,"")</f>
        <v>43.258099999999999</v>
      </c>
      <c r="H16" s="61">
        <f t="shared" si="1"/>
        <v>1</v>
      </c>
      <c r="I16" t="str">
        <f>IF(FT!B16&lt;&gt;"",FT!E16,"")</f>
        <v>1 [5.689538]</v>
      </c>
      <c r="J16">
        <f>IF(FT!B16&lt;&gt;"",FT!C16,"")</f>
        <v>5.68954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2.3498800000000002</v>
      </c>
      <c r="G17" s="61">
        <f>IF(FT!B17&lt;&gt;"",FT!B17*100,"")</f>
        <v>42.177100000000003</v>
      </c>
      <c r="H17" s="61">
        <f t="shared" si="1"/>
        <v>1</v>
      </c>
      <c r="I17" t="str">
        <f>IF(FT!B17&lt;&gt;"",FT!E17,"")</f>
        <v>1 [6.091393]</v>
      </c>
      <c r="J17">
        <f>IF(FT!B17&lt;&gt;"",FT!C17,"")</f>
        <v>6.0913899999999996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62759</v>
      </c>
      <c r="D18" s="61">
        <f>FH!B18*1</f>
        <v>62759</v>
      </c>
      <c r="E18">
        <f t="shared" si="3"/>
        <v>16</v>
      </c>
      <c r="F18" s="61">
        <f>IF(FT!A18&lt;&gt;"",FT!A18*10,"")</f>
        <v>2.39384</v>
      </c>
      <c r="G18" s="61">
        <f>IF(FT!B18&lt;&gt;"",FT!B18*100,"")</f>
        <v>41.075299999999999</v>
      </c>
      <c r="H18" s="61">
        <f t="shared" si="1"/>
        <v>1</v>
      </c>
      <c r="I18" t="str">
        <f>IF(FT!B18&lt;&gt;"",FT!E18,"")</f>
        <v>1 [6.499525]</v>
      </c>
      <c r="J18">
        <f>IF(FT!B18&lt;&gt;"",FT!C18,"")</f>
        <v>6.49953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2.43669</v>
      </c>
      <c r="G19" s="61">
        <f>IF(FT!B19&lt;&gt;"",FT!B19*100,"")</f>
        <v>39.956099999999999</v>
      </c>
      <c r="H19" s="61">
        <f t="shared" si="1"/>
        <v>1</v>
      </c>
      <c r="I19" t="str">
        <f>IF(FT!B19&lt;&gt;"",FT!E19,"")</f>
        <v>1 [6.907227]</v>
      </c>
      <c r="J19">
        <f>IF(FT!B19&lt;&gt;"",FT!C19,"")</f>
        <v>6.9072300000000002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2.48495</v>
      </c>
      <c r="G20" s="61">
        <f>IF(FT!B20&lt;&gt;"",FT!B20*100,"")</f>
        <v>38.996199999999995</v>
      </c>
      <c r="H20" s="61">
        <f t="shared" si="1"/>
        <v>1</v>
      </c>
      <c r="I20" t="str">
        <f>IF(FT!B20&lt;&gt;"",FT!E20,"")</f>
        <v>1 [7.317164]</v>
      </c>
      <c r="J20">
        <f>IF(FT!B20&lt;&gt;"",FT!C20,"")</f>
        <v>7.3171600000000003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61525</v>
      </c>
      <c r="D21" s="61">
        <f>FH!B21*1</f>
        <v>61525</v>
      </c>
      <c r="E21">
        <f t="shared" si="3"/>
        <v>19</v>
      </c>
      <c r="F21" s="61">
        <f>IF(FT!A21&lt;&gt;"",FT!A21*10,"")</f>
        <v>2.5313600000000003</v>
      </c>
      <c r="G21" s="61">
        <f>IF(FT!B21&lt;&gt;"",FT!B21*100,"")</f>
        <v>38.209800000000001</v>
      </c>
      <c r="H21" s="61">
        <f t="shared" si="1"/>
        <v>1</v>
      </c>
      <c r="I21" t="str">
        <f>IF(FT!B21&lt;&gt;"",FT!E21,"")</f>
        <v>1 [7.725096]</v>
      </c>
      <c r="J21">
        <f>IF(FT!B21&lt;&gt;"",FT!C21,"")</f>
        <v>7.7251000000000003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2.5708599999999997</v>
      </c>
      <c r="G22" s="61">
        <f>IF(FT!B22&lt;&gt;"",FT!B22*100,"")</f>
        <v>37.661299999999997</v>
      </c>
      <c r="H22" s="61">
        <f t="shared" si="1"/>
        <v>1</v>
      </c>
      <c r="I22" t="str">
        <f>IF(FT!B22&lt;&gt;"",FT!E22,"")</f>
        <v>1 [8.124992]</v>
      </c>
      <c r="J22">
        <f>IF(FT!B22&lt;&gt;"",FT!C22,"")</f>
        <v>8.1249900000000004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71445</v>
      </c>
      <c r="D23" s="61">
        <f>FH!B23*1</f>
        <v>71445</v>
      </c>
      <c r="E23">
        <f t="shared" si="3"/>
        <v>21</v>
      </c>
      <c r="F23" s="61">
        <f>IF(FT!A23&lt;&gt;"",FT!A23*10,"")</f>
        <v>2.6040600000000005</v>
      </c>
      <c r="G23" s="61">
        <f>IF(FT!B23&lt;&gt;"",FT!B23*100,"")</f>
        <v>37.308700000000002</v>
      </c>
      <c r="H23" s="61">
        <f t="shared" si="1"/>
        <v>1</v>
      </c>
      <c r="I23" t="str">
        <f>IF(FT!B23&lt;&gt;"",FT!E23,"")</f>
        <v>1 [8.528659]</v>
      </c>
      <c r="J23">
        <f>IF(FT!B23&lt;&gt;"",FT!C23,"")</f>
        <v>8.5286600000000004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2.6316299999999999</v>
      </c>
      <c r="G24" s="61">
        <f>IF(FT!B24&lt;&gt;"",FT!B24*100,"")</f>
        <v>37.075399999999995</v>
      </c>
      <c r="H24" s="61">
        <f t="shared" si="1"/>
        <v>1</v>
      </c>
      <c r="I24" t="str">
        <f>IF(FT!B24&lt;&gt;"",FT!E24,"")</f>
        <v>1 [8.939814]</v>
      </c>
      <c r="J24">
        <f>IF(FT!B24&lt;&gt;"",FT!C24,"")</f>
        <v>8.9398099999999996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2.65368</v>
      </c>
      <c r="G25" s="61">
        <f>IF(FT!B25&lt;&gt;"",FT!B25*100,"")</f>
        <v>36.9343</v>
      </c>
      <c r="H25" s="61">
        <f t="shared" si="1"/>
        <v>1</v>
      </c>
      <c r="I25" t="str">
        <f>IF(FT!B25&lt;&gt;"",FT!E25,"")</f>
        <v>1 [9.346695]</v>
      </c>
      <c r="J25">
        <f>IF(FT!B25&lt;&gt;"",FT!C25,"")</f>
        <v>9.3467000000000002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71074</v>
      </c>
      <c r="D26" s="61">
        <f>FH!B26*1</f>
        <v>71074</v>
      </c>
      <c r="E26">
        <f t="shared" si="3"/>
        <v>24</v>
      </c>
      <c r="F26" s="61">
        <f>IF(FT!A26&lt;&gt;"",FT!A26*10,"")</f>
        <v>2.67136</v>
      </c>
      <c r="G26" s="61">
        <f>IF(FT!B26&lt;&gt;"",FT!B26*100,"")</f>
        <v>36.8626</v>
      </c>
      <c r="H26" s="61">
        <f t="shared" si="1"/>
        <v>1</v>
      </c>
      <c r="I26" t="str">
        <f>IF(FT!B26&lt;&gt;"",FT!E26,"")</f>
        <v>1 [9.749652]</v>
      </c>
      <c r="J26">
        <f>IF(FT!B26&lt;&gt;"",FT!C26,"")</f>
        <v>9.7496500000000008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2.6825199999999998</v>
      </c>
      <c r="G27" s="61">
        <f>IF(FT!B27&lt;&gt;"",FT!B27*100,"")</f>
        <v>36.9024</v>
      </c>
      <c r="H27" s="61">
        <f t="shared" si="1"/>
        <v>1</v>
      </c>
      <c r="I27" t="str">
        <f>IF(FT!B27&lt;&gt;"",FT!E27,"")</f>
        <v>1 [10.155560]</v>
      </c>
      <c r="J27">
        <f>IF(FT!B27&lt;&gt;"",FT!C27,"")</f>
        <v>10.1556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78240</v>
      </c>
      <c r="D28" s="61">
        <f>FH!B28*1</f>
        <v>78240</v>
      </c>
      <c r="E28">
        <f t="shared" si="3"/>
        <v>26</v>
      </c>
      <c r="F28" s="61">
        <f>IF(FT!A28&lt;&gt;"",FT!A28*10,"")</f>
        <v>2.6898899999999997</v>
      </c>
      <c r="G28" s="61">
        <f>IF(FT!B28&lt;&gt;"",FT!B28*100,"")</f>
        <v>36.994399999999999</v>
      </c>
      <c r="H28" s="61">
        <f t="shared" si="1"/>
        <v>1</v>
      </c>
      <c r="I28" t="str">
        <f>IF(FT!B28&lt;&gt;"",FT!E28,"")</f>
        <v>1 [10.562683]</v>
      </c>
      <c r="J28">
        <f>IF(FT!B28&lt;&gt;"",FT!C28,"")</f>
        <v>10.5627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2.6947999999999999</v>
      </c>
      <c r="G29" s="61">
        <f>IF(FT!B29&lt;&gt;"",FT!B29*100,"")</f>
        <v>37.123699999999999</v>
      </c>
      <c r="H29" s="61">
        <f t="shared" si="1"/>
        <v>1</v>
      </c>
      <c r="I29" t="str">
        <f>IF(FT!B29&lt;&gt;"",FT!E29,"")</f>
        <v>1 [10.968392]</v>
      </c>
      <c r="J29">
        <f>IF(FT!B29&lt;&gt;"",FT!C29,"")</f>
        <v>10.968400000000001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2.6961300000000001</v>
      </c>
      <c r="G30" s="61">
        <f>IF(FT!B30&lt;&gt;"",FT!B30*100,"")</f>
        <v>37.2776</v>
      </c>
      <c r="H30" s="61">
        <f t="shared" si="1"/>
        <v>1</v>
      </c>
      <c r="I30" t="str">
        <f>IF(FT!B30&lt;&gt;"",FT!E30,"")</f>
        <v>1 [11.375397]</v>
      </c>
      <c r="J30">
        <f>IF(FT!B30&lt;&gt;"",FT!C30,"")</f>
        <v>11.375400000000001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82709</v>
      </c>
      <c r="D31" s="61">
        <f>FH!B31*1</f>
        <v>82709</v>
      </c>
      <c r="E31">
        <f t="shared" si="3"/>
        <v>29</v>
      </c>
      <c r="F31" s="61">
        <f>IF(FT!A31&lt;&gt;"",FT!A31*10,"")</f>
        <v>2.6902300000000001</v>
      </c>
      <c r="G31" s="61">
        <f>IF(FT!B31&lt;&gt;"",FT!B31*100,"")</f>
        <v>37.454300000000003</v>
      </c>
      <c r="H31" s="61">
        <f t="shared" si="1"/>
        <v>1</v>
      </c>
      <c r="I31" t="str">
        <f>IF(FT!B31&lt;&gt;"",FT!E31,"")</f>
        <v>1 [11.783199]</v>
      </c>
      <c r="J31">
        <f>IF(FT!B31&lt;&gt;"",FT!C31,"")</f>
        <v>11.783200000000001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2.6812799999999997</v>
      </c>
      <c r="G32" s="61">
        <f>IF(FT!B32&lt;&gt;"",FT!B32*100,"")</f>
        <v>37.604199999999999</v>
      </c>
      <c r="H32" s="61">
        <f t="shared" si="1"/>
        <v>1</v>
      </c>
      <c r="I32" t="str">
        <f>IF(FT!B32&lt;&gt;"",FT!E32,"")</f>
        <v>1 [12.189104]</v>
      </c>
      <c r="J32">
        <f>IF(FT!B32&lt;&gt;"",FT!C32,"")</f>
        <v>12.1891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86372</v>
      </c>
      <c r="D33" s="61">
        <f>FH!B33*1</f>
        <v>86372</v>
      </c>
      <c r="E33">
        <f t="shared" si="3"/>
        <v>31</v>
      </c>
      <c r="F33" s="61">
        <f>IF(FT!A33&lt;&gt;"",FT!A33*10,"")</f>
        <v>2.6703399999999999</v>
      </c>
      <c r="G33" s="61">
        <f>IF(FT!B33&lt;&gt;"",FT!B33*100,"")</f>
        <v>37.799199999999999</v>
      </c>
      <c r="H33" s="61">
        <f t="shared" si="1"/>
        <v>1</v>
      </c>
      <c r="I33" t="str">
        <f>IF(FT!B33&lt;&gt;"",FT!E33,"")</f>
        <v>1 [12.593053]</v>
      </c>
      <c r="J33">
        <f>IF(FT!B33&lt;&gt;"",FT!C33,"")</f>
        <v>12.5931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2.6562400000000004</v>
      </c>
      <c r="G34" s="61">
        <f>IF(FT!B34&lt;&gt;"",FT!B34*100,"")</f>
        <v>38.055599999999998</v>
      </c>
      <c r="H34" s="61">
        <f t="shared" si="1"/>
        <v>1</v>
      </c>
      <c r="I34" t="str">
        <f>IF(FT!B34&lt;&gt;"",FT!E34,"")</f>
        <v>1 [12.996213]</v>
      </c>
      <c r="J34">
        <f>IF(FT!B34&lt;&gt;"",FT!C34,"")</f>
        <v>12.9962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2.6407599999999998</v>
      </c>
      <c r="G35" s="61">
        <f>IF(FT!B35&lt;&gt;"",FT!B35*100,"")</f>
        <v>38.340699999999998</v>
      </c>
      <c r="H35" s="61">
        <f t="shared" si="1"/>
        <v>1</v>
      </c>
      <c r="I35" t="str">
        <f>IF(FT!B35&lt;&gt;"",FT!E35,"")</f>
        <v>1 [13.406059]</v>
      </c>
      <c r="J35">
        <f>IF(FT!B35&lt;&gt;"",FT!C35,"")</f>
        <v>13.4061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95418</v>
      </c>
      <c r="D36" s="61">
        <f>FH!B36*1</f>
        <v>95418</v>
      </c>
      <c r="E36">
        <f t="shared" si="3"/>
        <v>34</v>
      </c>
      <c r="F36" s="61">
        <f>IF(FT!A36&lt;&gt;"",FT!A36*10,"")</f>
        <v>2.6239299999999997</v>
      </c>
      <c r="G36" s="61">
        <f>IF(FT!B36&lt;&gt;"",FT!B36*100,"")</f>
        <v>38.615600000000001</v>
      </c>
      <c r="H36" s="61">
        <f t="shared" si="1"/>
        <v>1</v>
      </c>
      <c r="I36" t="str">
        <f>IF(FT!B36&lt;&gt;"",FT!E36,"")</f>
        <v>1 [13.812871]</v>
      </c>
      <c r="J36">
        <f>IF(FT!B36&lt;&gt;"",FT!C36,"")</f>
        <v>13.812900000000001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2.6068200000000004</v>
      </c>
      <c r="G37" s="61">
        <f>IF(FT!B37&lt;&gt;"",FT!B37*100,"")</f>
        <v>38.923499999999997</v>
      </c>
      <c r="H37" s="61">
        <f t="shared" si="1"/>
        <v>1</v>
      </c>
      <c r="I37" t="str">
        <f>IF(FT!B37&lt;&gt;"",FT!E37,"")</f>
        <v>1 [14.219942]</v>
      </c>
      <c r="J37">
        <f>IF(FT!B37&lt;&gt;"",FT!C37,"")</f>
        <v>14.219900000000001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2.5887100000000003</v>
      </c>
      <c r="G38" s="61">
        <f>IF(FT!B38&lt;&gt;"",FT!B38*100,"")</f>
        <v>39.289299999999997</v>
      </c>
      <c r="H38" s="61">
        <f t="shared" si="1"/>
        <v>1</v>
      </c>
      <c r="I38" t="str">
        <f>IF(FT!B38&lt;&gt;"",FT!E38,"")</f>
        <v>1 [14.624663]</v>
      </c>
      <c r="J38">
        <f>IF(FT!B38&lt;&gt;"",FT!C38,"")</f>
        <v>14.624700000000001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97843</v>
      </c>
      <c r="D39" s="61">
        <f>FH!B39*1</f>
        <v>97843</v>
      </c>
      <c r="E39">
        <f t="shared" si="3"/>
        <v>37</v>
      </c>
      <c r="F39" s="61">
        <f>IF(FT!A39&lt;&gt;"",FT!A39*10,"")</f>
        <v>2.5667099999999996</v>
      </c>
      <c r="G39" s="61">
        <f>IF(FT!B39&lt;&gt;"",FT!B39*100,"")</f>
        <v>39.694299999999998</v>
      </c>
      <c r="H39" s="61">
        <f t="shared" si="1"/>
        <v>1</v>
      </c>
      <c r="I39" t="str">
        <f>IF(FT!B39&lt;&gt;"",FT!E39,"")</f>
        <v>1 [15.031522]</v>
      </c>
      <c r="J39">
        <f>IF(FT!B39&lt;&gt;"",FT!C39,"")</f>
        <v>15.031499999999999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2.5432700000000001</v>
      </c>
      <c r="G40" s="61">
        <f>IF(FT!B40&lt;&gt;"",FT!B40*100,"")</f>
        <v>40.1417</v>
      </c>
      <c r="H40" s="61">
        <f t="shared" si="1"/>
        <v>1</v>
      </c>
      <c r="I40" t="str">
        <f>IF(FT!B40&lt;&gt;"",FT!E40,"")</f>
        <v>1 [15.437600]</v>
      </c>
      <c r="J40">
        <f>IF(FT!B40&lt;&gt;"",FT!C40,"")</f>
        <v>15.4376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96848</v>
      </c>
      <c r="D41" s="61">
        <f>FH!B41*1</f>
        <v>96848</v>
      </c>
      <c r="E41">
        <f t="shared" si="3"/>
        <v>39</v>
      </c>
      <c r="F41" s="61">
        <f>IF(FT!A41&lt;&gt;"",FT!A41*10,"")</f>
        <v>2.5179099999999996</v>
      </c>
      <c r="G41" s="61">
        <f>IF(FT!B41&lt;&gt;"",FT!B41*100,"")</f>
        <v>40.611399999999996</v>
      </c>
      <c r="H41" s="61">
        <f t="shared" si="1"/>
        <v>1</v>
      </c>
      <c r="I41" t="str">
        <f>IF(FT!B41&lt;&gt;"",FT!E41,"")</f>
        <v>1 [15.844486]</v>
      </c>
      <c r="J41">
        <f>IF(FT!B41&lt;&gt;"",FT!C41,"")</f>
        <v>15.8445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2.4919500000000001</v>
      </c>
      <c r="G42" s="61">
        <f>IF(FT!B42&lt;&gt;"",FT!B42*100,"")</f>
        <v>41.216200000000001</v>
      </c>
      <c r="H42" s="61">
        <f t="shared" si="1"/>
        <v>1</v>
      </c>
      <c r="I42" t="str">
        <f>IF(FT!B42&lt;&gt;"",FT!E42,"")</f>
        <v>1 [16.252307]</v>
      </c>
      <c r="J42">
        <f>IF(FT!B42&lt;&gt;"",FT!C42,"")</f>
        <v>16.252300000000002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2.4641799999999998</v>
      </c>
      <c r="G43" s="61">
        <f>IF(FT!B43&lt;&gt;"",FT!B43*100,"")</f>
        <v>41.906599999999997</v>
      </c>
      <c r="H43" s="61">
        <f t="shared" si="1"/>
        <v>1</v>
      </c>
      <c r="I43" t="str">
        <f>IF(FT!B43&lt;&gt;"",FT!E43,"")</f>
        <v>1 [16.656457]</v>
      </c>
      <c r="J43">
        <f>IF(FT!B43&lt;&gt;"",FT!C43,"")</f>
        <v>16.656500000000001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87516</v>
      </c>
      <c r="D44" s="61">
        <f>FH!B44*1</f>
        <v>87516</v>
      </c>
      <c r="E44">
        <f t="shared" si="3"/>
        <v>42</v>
      </c>
      <c r="F44" s="61">
        <f>IF(FT!A44&lt;&gt;"",FT!A44*10,"")</f>
        <v>2.4369299999999998</v>
      </c>
      <c r="G44" s="61">
        <f>IF(FT!B44&lt;&gt;"",FT!B44*100,"")</f>
        <v>42.691499999999998</v>
      </c>
      <c r="H44" s="61">
        <f t="shared" si="1"/>
        <v>1</v>
      </c>
      <c r="I44" t="str">
        <f>IF(FT!B44&lt;&gt;"",FT!E44,"")</f>
        <v>1 [17.066200]</v>
      </c>
      <c r="J44">
        <f>IF(FT!B44&lt;&gt;"",FT!C44,"")</f>
        <v>17.066199999999998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2.4047399999999999</v>
      </c>
      <c r="G45" s="61">
        <f>IF(FT!B45&lt;&gt;"",FT!B45*100,"")</f>
        <v>43.5242</v>
      </c>
      <c r="H45" s="61">
        <f t="shared" si="1"/>
        <v>1</v>
      </c>
      <c r="I45" t="str">
        <f>IF(FT!B45&lt;&gt;"",FT!E45,"")</f>
        <v>1 [17.469018]</v>
      </c>
      <c r="J45">
        <f>IF(FT!B45&lt;&gt;"",FT!C45,"")</f>
        <v>17.469000000000001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93215</v>
      </c>
      <c r="D46" s="61">
        <f>FH!B46*1</f>
        <v>93215</v>
      </c>
      <c r="E46">
        <f t="shared" si="3"/>
        <v>44</v>
      </c>
      <c r="F46" s="61">
        <f>IF(FT!A46&lt;&gt;"",FT!A46*10,"")</f>
        <v>2.37107</v>
      </c>
      <c r="G46" s="61">
        <f>IF(FT!B46&lt;&gt;"",FT!B46*100,"")</f>
        <v>44.407899999999998</v>
      </c>
      <c r="H46" s="61">
        <f t="shared" si="1"/>
        <v>1</v>
      </c>
      <c r="I46" t="str">
        <f>IF(FT!B46&lt;&gt;"",FT!E46,"")</f>
        <v>1 [17.875280]</v>
      </c>
      <c r="J46">
        <f>IF(FT!B46&lt;&gt;"",FT!C46,"")</f>
        <v>17.875299999999999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2.3428100000000001</v>
      </c>
      <c r="G47" s="61">
        <f>IF(FT!B47&lt;&gt;"",FT!B47*100,"")</f>
        <v>45.201599999999999</v>
      </c>
      <c r="H47" s="61">
        <f t="shared" si="1"/>
        <v>1</v>
      </c>
      <c r="I47" t="str">
        <f>IF(FT!B47&lt;&gt;"",FT!E47,"")</f>
        <v>1 [18.283864]</v>
      </c>
      <c r="J47">
        <f>IF(FT!B47&lt;&gt;"",FT!C47,"")</f>
        <v>18.283899999999999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2.31691</v>
      </c>
      <c r="G48" s="61">
        <f>IF(FT!B48&lt;&gt;"",FT!B48*100,"")</f>
        <v>45.902100000000004</v>
      </c>
      <c r="H48" s="61">
        <f t="shared" si="1"/>
        <v>1</v>
      </c>
      <c r="I48" t="str">
        <f>IF(FT!B48&lt;&gt;"",FT!E48,"")</f>
        <v>1 [18.689749]</v>
      </c>
      <c r="J48">
        <f>IF(FT!B48&lt;&gt;"",FT!C48,"")</f>
        <v>18.689699999999998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86685</v>
      </c>
      <c r="D49" s="61">
        <f>FH!B49*1</f>
        <v>86685</v>
      </c>
      <c r="E49">
        <f t="shared" si="3"/>
        <v>47</v>
      </c>
      <c r="F49" s="61">
        <f>IF(FT!A49&lt;&gt;"",FT!A49*10,"")</f>
        <v>2.2898199999999997</v>
      </c>
      <c r="G49" s="61">
        <f>IF(FT!B49&lt;&gt;"",FT!B49*100,"")</f>
        <v>46.562899999999999</v>
      </c>
      <c r="H49" s="61">
        <f t="shared" si="1"/>
        <v>1</v>
      </c>
      <c r="I49" t="str">
        <f>IF(FT!B49&lt;&gt;"",FT!E49,"")</f>
        <v>1 [19.093688]</v>
      </c>
      <c r="J49">
        <f>IF(FT!B49&lt;&gt;"",FT!C49,"")</f>
        <v>19.093699999999998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2.26396</v>
      </c>
      <c r="G50" s="61">
        <f>IF(FT!B50&lt;&gt;"",FT!B50*100,"")</f>
        <v>47.1783</v>
      </c>
      <c r="H50" s="61">
        <f t="shared" si="1"/>
        <v>1</v>
      </c>
      <c r="I50" t="str">
        <f>IF(FT!B50&lt;&gt;"",FT!E50,"")</f>
        <v>1 [19.500584]</v>
      </c>
      <c r="J50">
        <f>IF(FT!B50&lt;&gt;"",FT!C50,"")</f>
        <v>19.500599999999999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86392</v>
      </c>
      <c r="D51" s="61">
        <f>FH!B51*1</f>
        <v>86392</v>
      </c>
      <c r="E51">
        <f t="shared" si="3"/>
        <v>49</v>
      </c>
      <c r="F51" s="61">
        <f>IF(FT!A51&lt;&gt;"",FT!A51*10,"")</f>
        <v>2.2407499999999998</v>
      </c>
      <c r="G51" s="61">
        <f>IF(FT!B51&lt;&gt;"",FT!B51*100,"")</f>
        <v>47.771500000000003</v>
      </c>
      <c r="H51" s="61">
        <f t="shared" si="1"/>
        <v>1</v>
      </c>
      <c r="I51" t="str">
        <f>IF(FT!B51&lt;&gt;"",FT!E51,"")</f>
        <v>1 [19.905620]</v>
      </c>
      <c r="J51">
        <f>IF(FT!B51&lt;&gt;"",FT!C51,"")</f>
        <v>19.9056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2.2215400000000001</v>
      </c>
      <c r="G52" s="61">
        <f>IF(FT!B52&lt;&gt;"",FT!B52*100,"")</f>
        <v>48.213899999999995</v>
      </c>
      <c r="H52" s="61">
        <f t="shared" si="1"/>
        <v>1</v>
      </c>
      <c r="I52" t="str">
        <f>IF(FT!B52&lt;&gt;"",FT!E52,"")</f>
        <v>1 [20.312412]</v>
      </c>
      <c r="J52">
        <f>IF(FT!B52&lt;&gt;"",FT!C52,"")</f>
        <v>20.3124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2.2054199999999997</v>
      </c>
      <c r="G53" s="61">
        <f>IF(FT!B53&lt;&gt;"",FT!B53*100,"")</f>
        <v>48.572700000000005</v>
      </c>
      <c r="H53" s="61">
        <f t="shared" si="1"/>
        <v>1</v>
      </c>
      <c r="I53" t="str">
        <f>IF(FT!B53&lt;&gt;"",FT!E53,"")</f>
        <v>1 [20.723321]</v>
      </c>
      <c r="J53">
        <f>IF(FT!B53&lt;&gt;"",FT!C53,"")</f>
        <v>20.723299999999998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80499</v>
      </c>
      <c r="D54" s="61">
        <f>FH!B54*1</f>
        <v>80499</v>
      </c>
      <c r="E54">
        <f t="shared" si="3"/>
        <v>52</v>
      </c>
      <c r="F54" s="61">
        <f>IF(FT!A54&lt;&gt;"",FT!A54*10,"")</f>
        <v>2.1899099999999998</v>
      </c>
      <c r="G54" s="61">
        <f>IF(FT!B54&lt;&gt;"",FT!B54*100,"")</f>
        <v>48.884999999999998</v>
      </c>
      <c r="H54" s="61">
        <f t="shared" si="1"/>
        <v>1</v>
      </c>
      <c r="I54" t="str">
        <f>IF(FT!B54&lt;&gt;"",FT!E54,"")</f>
        <v>1 [21.124287]</v>
      </c>
      <c r="J54">
        <f>IF(FT!B54&lt;&gt;"",FT!C54,"")</f>
        <v>21.124300000000002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2.1746400000000001</v>
      </c>
      <c r="G55" s="61">
        <f>IF(FT!B55&lt;&gt;"",FT!B55*100,"")</f>
        <v>49.179299999999998</v>
      </c>
      <c r="H55" s="61">
        <f t="shared" si="1"/>
        <v>1</v>
      </c>
      <c r="I55" t="str">
        <f>IF(FT!B55&lt;&gt;"",FT!E55,"")</f>
        <v>1 [21.534255]</v>
      </c>
      <c r="J55">
        <f>IF(FT!B55&lt;&gt;"",FT!C55,"")</f>
        <v>21.534300000000002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2.1647699999999999</v>
      </c>
      <c r="G56" s="61">
        <f>IF(FT!B56&lt;&gt;"",FT!B56*100,"")</f>
        <v>49.347900000000003</v>
      </c>
      <c r="H56" s="61">
        <f t="shared" si="1"/>
        <v>1</v>
      </c>
      <c r="I56" t="str">
        <f>IF(FT!B56&lt;&gt;"",FT!E56,"")</f>
        <v>1 [21.937455]</v>
      </c>
      <c r="J56">
        <f>IF(FT!B56&lt;&gt;"",FT!C56,"")</f>
        <v>21.9375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76798</v>
      </c>
      <c r="D57" s="61">
        <f>FH!B57*1</f>
        <v>76798</v>
      </c>
      <c r="E57">
        <f t="shared" si="3"/>
        <v>55</v>
      </c>
      <c r="F57" s="61">
        <f>IF(FT!A57&lt;&gt;"",FT!A57*10,"")</f>
        <v>2.1596799999999998</v>
      </c>
      <c r="G57" s="61">
        <f>IF(FT!B57&lt;&gt;"",FT!B57*100,"")</f>
        <v>49.474000000000004</v>
      </c>
      <c r="H57" s="61">
        <f t="shared" si="1"/>
        <v>1</v>
      </c>
      <c r="I57" t="str">
        <f>IF(FT!B57&lt;&gt;"",FT!E57,"")</f>
        <v>1 [22.344002]</v>
      </c>
      <c r="J57">
        <f>IF(FT!B57&lt;&gt;"",FT!C57,"")</f>
        <v>22.344000000000001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2.1539600000000001</v>
      </c>
      <c r="G58" s="61">
        <f>IF(FT!B58&lt;&gt;"",FT!B58*100,"")</f>
        <v>49.5871</v>
      </c>
      <c r="H58" s="61">
        <f t="shared" si="1"/>
        <v>1</v>
      </c>
      <c r="I58" t="str">
        <f>IF(FT!B58&lt;&gt;"",FT!E58,"")</f>
        <v>1 [22.752139]</v>
      </c>
      <c r="J58">
        <f>IF(FT!B58&lt;&gt;"",FT!C58,"")</f>
        <v>22.752099999999999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80661</v>
      </c>
      <c r="D59" s="61">
        <f>FH!B59*1</f>
        <v>80661</v>
      </c>
      <c r="E59">
        <f t="shared" si="3"/>
        <v>57</v>
      </c>
      <c r="F59" s="61">
        <f>IF(FT!A59&lt;&gt;"",FT!A59*10,"")</f>
        <v>2.1465399999999999</v>
      </c>
      <c r="G59" s="61">
        <f>IF(FT!B59&lt;&gt;"",FT!B59*100,"")</f>
        <v>49.682200000000002</v>
      </c>
      <c r="H59" s="61">
        <f t="shared" si="1"/>
        <v>1</v>
      </c>
      <c r="I59" t="str">
        <f>IF(FT!B59&lt;&gt;"",FT!E59,"")</f>
        <v>1 [23.156914]</v>
      </c>
      <c r="J59">
        <f>IF(FT!B59&lt;&gt;"",FT!C59,"")</f>
        <v>23.1569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2.1410800000000001</v>
      </c>
      <c r="G60" s="61">
        <f>IF(FT!B60&lt;&gt;"",FT!B60*100,"")</f>
        <v>49.7517</v>
      </c>
      <c r="H60" s="61">
        <f t="shared" si="1"/>
        <v>1</v>
      </c>
      <c r="I60" t="str">
        <f>IF(FT!B60&lt;&gt;"",FT!E60,"")</f>
        <v>1 [23.560707]</v>
      </c>
      <c r="J60">
        <f>IF(FT!B60&lt;&gt;"",FT!C60,"")</f>
        <v>23.560700000000001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2.1371500000000001</v>
      </c>
      <c r="G61" s="61">
        <f>IF(FT!B61&lt;&gt;"",FT!B61*100,"")</f>
        <v>49.808999999999997</v>
      </c>
      <c r="H61" s="61">
        <f t="shared" si="1"/>
        <v>1</v>
      </c>
      <c r="I61" t="str">
        <f>IF(FT!B61&lt;&gt;"",FT!E61,"")</f>
        <v>1 [23.967745]</v>
      </c>
      <c r="J61">
        <f>IF(FT!B61&lt;&gt;"",FT!C61,"")</f>
        <v>23.967700000000001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78324</v>
      </c>
      <c r="D62" s="61">
        <f>FH!B62*1</f>
        <v>78324</v>
      </c>
      <c r="E62">
        <f t="shared" si="3"/>
        <v>60</v>
      </c>
      <c r="F62" s="61">
        <f>IF(FT!A62&lt;&gt;"",FT!A62*10,"")</f>
        <v>2.1317400000000002</v>
      </c>
      <c r="G62" s="61">
        <f>IF(FT!B62&lt;&gt;"",FT!B62*100,"")</f>
        <v>49.8795</v>
      </c>
      <c r="H62" s="61">
        <f t="shared" si="1"/>
        <v>1</v>
      </c>
      <c r="I62" t="str">
        <f>IF(FT!B62&lt;&gt;"",FT!E62,"")</f>
        <v>1 [24.373680]</v>
      </c>
      <c r="J62">
        <f>IF(FT!B62&lt;&gt;"",FT!C62,"")</f>
        <v>24.373699999999999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2.12703</v>
      </c>
      <c r="G63" s="61">
        <f>IF(FT!B63&lt;&gt;"",FT!B63*100,"")</f>
        <v>49.935099999999998</v>
      </c>
      <c r="H63" s="61">
        <f t="shared" si="1"/>
        <v>1</v>
      </c>
      <c r="I63" t="str">
        <f>IF(FT!B63&lt;&gt;"",FT!E63,"")</f>
        <v>1 [24.782480]</v>
      </c>
      <c r="J63">
        <f>IF(FT!B63&lt;&gt;"",FT!C63,"")</f>
        <v>24.782499999999999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83818</v>
      </c>
      <c r="D64" s="61">
        <f>FH!B64*1</f>
        <v>83818</v>
      </c>
      <c r="E64">
        <f t="shared" si="3"/>
        <v>62</v>
      </c>
      <c r="F64" s="61">
        <f>IF(FT!A64&lt;&gt;"",FT!A64*10,"")</f>
        <v>2.1281099999999999</v>
      </c>
      <c r="G64" s="61">
        <f>IF(FT!B64&lt;&gt;"",FT!B64*100,"")</f>
        <v>49.885300000000001</v>
      </c>
      <c r="H64" s="61">
        <f t="shared" si="1"/>
        <v>1</v>
      </c>
      <c r="I64" t="str">
        <f>IF(FT!B64&lt;&gt;"",FT!E64,"")</f>
        <v>1 [25.189384]</v>
      </c>
      <c r="J64">
        <f>IF(FT!B64&lt;&gt;"",FT!C64,"")</f>
        <v>25.189399999999999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2.1293500000000001</v>
      </c>
      <c r="G65" s="61">
        <f>IF(FT!B65&lt;&gt;"",FT!B65*100,"")</f>
        <v>49.843600000000002</v>
      </c>
      <c r="H65" s="61">
        <f t="shared" si="1"/>
        <v>1</v>
      </c>
      <c r="I65" t="str">
        <f>IF(FT!B65&lt;&gt;"",FT!E65,"")</f>
        <v>1 [25.593397]</v>
      </c>
      <c r="J65">
        <f>IF(FT!B65&lt;&gt;"",FT!C65,"")</f>
        <v>25.593399999999999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2.1324199999999998</v>
      </c>
      <c r="G66" s="61">
        <f>IF(FT!B66&lt;&gt;"",FT!B66*100,"")</f>
        <v>49.761099999999999</v>
      </c>
      <c r="H66" s="61">
        <f t="shared" si="1"/>
        <v>1</v>
      </c>
      <c r="I66" t="str">
        <f>IF(FT!B66&lt;&gt;"",FT!E66,"")</f>
        <v>1 [25.999208]</v>
      </c>
      <c r="J66">
        <f>IF(FT!B66&lt;&gt;"",FT!C66,"")</f>
        <v>25.999199999999998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88078</v>
      </c>
      <c r="D67" s="61">
        <f>FH!B67*1</f>
        <v>88078</v>
      </c>
      <c r="E67">
        <f t="shared" si="3"/>
        <v>65</v>
      </c>
      <c r="F67" s="61">
        <f>IF(FT!A67&lt;&gt;"",FT!A67*10,"")</f>
        <v>2.1348099999999999</v>
      </c>
      <c r="G67" s="61">
        <f>IF(FT!B67&lt;&gt;"",FT!B67*100,"")</f>
        <v>49.668800000000005</v>
      </c>
      <c r="H67" s="61">
        <f t="shared" ref="H67:H130" si="9">(IF(F67&lt;&gt;"",1,""))</f>
        <v>1</v>
      </c>
      <c r="I67" t="str">
        <f>IF(FT!B67&lt;&gt;"",FT!E67,"")</f>
        <v>1 [26.407221]</v>
      </c>
      <c r="J67">
        <f>IF(FT!B67&lt;&gt;"",FT!C67,"")</f>
        <v>26.4072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2.1369899999999999</v>
      </c>
      <c r="G68" s="61">
        <f>IF(FT!B68&lt;&gt;"",FT!B68*100,"")</f>
        <v>49.6021</v>
      </c>
      <c r="H68" s="61">
        <f t="shared" si="9"/>
        <v>1</v>
      </c>
      <c r="I68" t="str">
        <f>IF(FT!B68&lt;&gt;"",FT!E68,"")</f>
        <v>1 [26.813067]</v>
      </c>
      <c r="J68">
        <f>IF(FT!B68&lt;&gt;"",FT!C68,"")</f>
        <v>26.813099999999999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92743</v>
      </c>
      <c r="D69" s="61">
        <f>FH!B69*1</f>
        <v>92743</v>
      </c>
      <c r="E69">
        <f t="shared" si="11"/>
        <v>67</v>
      </c>
      <c r="F69" s="61">
        <f>IF(FT!A69&lt;&gt;"",FT!A69*10,"")</f>
        <v>2.1394500000000001</v>
      </c>
      <c r="G69" s="61">
        <f>IF(FT!B69&lt;&gt;"",FT!B69*100,"")</f>
        <v>49.514800000000001</v>
      </c>
      <c r="H69" s="61">
        <f t="shared" si="9"/>
        <v>1</v>
      </c>
      <c r="I69" t="str">
        <f>IF(FT!B69&lt;&gt;"",FT!E69,"")</f>
        <v>1 [27.220981]</v>
      </c>
      <c r="J69">
        <f>IF(FT!B69&lt;&gt;"",FT!C69,"")</f>
        <v>27.221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2.1398900000000003</v>
      </c>
      <c r="G70" s="61">
        <f>IF(FT!B70&lt;&gt;"",FT!B70*100,"")</f>
        <v>49.477900000000005</v>
      </c>
      <c r="H70" s="61">
        <f t="shared" si="9"/>
        <v>1</v>
      </c>
      <c r="I70" t="str">
        <f>IF(FT!B70&lt;&gt;"",FT!E70,"")</f>
        <v>1 [27.621943]</v>
      </c>
      <c r="J70">
        <f>IF(FT!B70&lt;&gt;"",FT!C70,"")</f>
        <v>27.6219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2.1365600000000002</v>
      </c>
      <c r="G71" s="61">
        <f>IF(FT!B71&lt;&gt;"",FT!B71*100,"")</f>
        <v>49.522300000000001</v>
      </c>
      <c r="H71" s="61">
        <f t="shared" si="9"/>
        <v>1</v>
      </c>
      <c r="I71" t="str">
        <f>IF(FT!B71&lt;&gt;"",FT!E71,"")</f>
        <v>1 [28.030777]</v>
      </c>
      <c r="J71">
        <f>IF(FT!B71&lt;&gt;"",FT!C71,"")</f>
        <v>28.030799999999999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91637</v>
      </c>
      <c r="D72" s="61">
        <f>FH!B72*1</f>
        <v>91637</v>
      </c>
      <c r="E72">
        <f t="shared" si="11"/>
        <v>70</v>
      </c>
      <c r="F72" s="61">
        <f>IF(FT!A72&lt;&gt;"",FT!A72*10,"")</f>
        <v>2.1310599999999997</v>
      </c>
      <c r="G72" s="61">
        <f>IF(FT!B72&lt;&gt;"",FT!B72*100,"")</f>
        <v>49.629100000000001</v>
      </c>
      <c r="H72" s="61">
        <f t="shared" si="9"/>
        <v>1</v>
      </c>
      <c r="I72" t="str">
        <f>IF(FT!B72&lt;&gt;"",FT!E72,"")</f>
        <v>1 [28.440693]</v>
      </c>
      <c r="J72">
        <f>IF(FT!B72&lt;&gt;"",FT!C72,"")</f>
        <v>28.4407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2.1278800000000002</v>
      </c>
      <c r="G73" s="61">
        <f>IF(FT!B73&lt;&gt;"",FT!B73*100,"")</f>
        <v>49.717199999999998</v>
      </c>
      <c r="H73" s="61">
        <f t="shared" si="9"/>
        <v>1</v>
      </c>
      <c r="I73" t="str">
        <f>IF(FT!B73&lt;&gt;"",FT!E73,"")</f>
        <v>1 [28.844598]</v>
      </c>
      <c r="J73">
        <f>IF(FT!B73&lt;&gt;"",FT!C73,"")</f>
        <v>28.8446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2.12669</v>
      </c>
      <c r="G74" s="61">
        <f>IF(FT!B74&lt;&gt;"",FT!B74*100,"")</f>
        <v>49.823900000000002</v>
      </c>
      <c r="H74" s="61">
        <f t="shared" si="9"/>
        <v>1</v>
      </c>
      <c r="I74" t="str">
        <f>IF(FT!B74&lt;&gt;"",FT!E74,"")</f>
        <v>1 [29.251510]</v>
      </c>
      <c r="J74">
        <f>IF(FT!B74&lt;&gt;"",FT!C74,"")</f>
        <v>29.2515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84421</v>
      </c>
      <c r="D75" s="61">
        <f>FH!B75*1</f>
        <v>84421</v>
      </c>
      <c r="E75">
        <f t="shared" si="11"/>
        <v>73</v>
      </c>
      <c r="F75" s="61">
        <f>IF(FT!A75&lt;&gt;"",FT!A75*10,"")</f>
        <v>2.1267900000000002</v>
      </c>
      <c r="G75" s="61">
        <f>IF(FT!B75&lt;&gt;"",FT!B75*100,"")</f>
        <v>49.913499999999999</v>
      </c>
      <c r="H75" s="61">
        <f t="shared" si="9"/>
        <v>1</v>
      </c>
      <c r="I75" t="str">
        <f>IF(FT!B75&lt;&gt;"",FT!E75,"")</f>
        <v>1 [29.655491]</v>
      </c>
      <c r="J75">
        <f>IF(FT!B75&lt;&gt;"",FT!C75,"")</f>
        <v>29.6555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2.12988</v>
      </c>
      <c r="G76" s="61">
        <f>IF(FT!B76&lt;&gt;"",FT!B76*100,"")</f>
        <v>49.911799999999999</v>
      </c>
      <c r="H76" s="61">
        <f t="shared" si="9"/>
        <v>1</v>
      </c>
      <c r="I76" t="str">
        <f>IF(FT!B76&lt;&gt;"",FT!E76,"")</f>
        <v>2 [30.061384]</v>
      </c>
      <c r="J76">
        <f>IF(FT!B76&lt;&gt;"",FT!C76,"")</f>
        <v>30.061399999999999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84721</v>
      </c>
      <c r="D77" s="61">
        <f>FH!B77*1</f>
        <v>84721</v>
      </c>
      <c r="E77">
        <f t="shared" si="11"/>
        <v>75</v>
      </c>
      <c r="F77" s="61">
        <f>IF(FT!A77&lt;&gt;"",FT!A77*10,"")</f>
        <v>2.13293</v>
      </c>
      <c r="G77" s="61">
        <f>IF(FT!B77&lt;&gt;"",FT!B77*100,"")</f>
        <v>49.893000000000001</v>
      </c>
      <c r="H77" s="61">
        <f t="shared" si="9"/>
        <v>1</v>
      </c>
      <c r="I77" t="str">
        <f>IF(FT!B77&lt;&gt;"",FT!E77,"")</f>
        <v>2 [30.500342]</v>
      </c>
      <c r="J77">
        <f>IF(FT!B77&lt;&gt;"",FT!C77,"")</f>
        <v>30.500299999999999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2.1351800000000001</v>
      </c>
      <c r="G78" s="61">
        <f>IF(FT!B78&lt;&gt;"",FT!B78*100,"")</f>
        <v>49.926600000000001</v>
      </c>
      <c r="H78" s="61">
        <f t="shared" si="9"/>
        <v>1</v>
      </c>
      <c r="I78" t="str">
        <f>IF(FT!B78&lt;&gt;"",FT!E78,"")</f>
        <v>2 [30.907174]</v>
      </c>
      <c r="J78">
        <f>IF(FT!B78&lt;&gt;"",FT!C78,"")</f>
        <v>30.9072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2.13734</v>
      </c>
      <c r="G79" s="61">
        <f>IF(FT!B79&lt;&gt;"",FT!B79*100,"")</f>
        <v>49.967199999999998</v>
      </c>
      <c r="H79" s="61">
        <f t="shared" si="9"/>
        <v>1</v>
      </c>
      <c r="I79" t="str">
        <f>IF(FT!B79&lt;&gt;"",FT!E79,"")</f>
        <v>2 [31.312277]</v>
      </c>
      <c r="J79">
        <f>IF(FT!B79&lt;&gt;"",FT!C79,"")</f>
        <v>31.3123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84737</v>
      </c>
      <c r="D80" s="61">
        <f>FH!B80*1</f>
        <v>84737</v>
      </c>
      <c r="E80">
        <f t="shared" si="11"/>
        <v>78</v>
      </c>
      <c r="F80" s="61">
        <f>IF(FT!A80&lt;&gt;"",FT!A80*10,"")</f>
        <v>2.14154</v>
      </c>
      <c r="G80" s="61">
        <f>IF(FT!B80&lt;&gt;"",FT!B80*100,"")</f>
        <v>49.953800000000001</v>
      </c>
      <c r="H80" s="61">
        <f t="shared" si="9"/>
        <v>1</v>
      </c>
      <c r="I80" t="str">
        <f>IF(FT!B80&lt;&gt;"",FT!E80,"")</f>
        <v>2 [31.722982]</v>
      </c>
      <c r="J80">
        <f>IF(FT!B80&lt;&gt;"",FT!C80,"")</f>
        <v>31.722999999999999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2.14527</v>
      </c>
      <c r="G81" s="61">
        <f>IF(FT!B81&lt;&gt;"",FT!B81*100,"")</f>
        <v>49.936199999999999</v>
      </c>
      <c r="H81" s="61">
        <f t="shared" si="9"/>
        <v>1</v>
      </c>
      <c r="I81" t="str">
        <f>IF(FT!B81&lt;&gt;"",FT!E81,"")</f>
        <v>2 [32.124806]</v>
      </c>
      <c r="J81">
        <f>IF(FT!B81&lt;&gt;"",FT!C81,"")</f>
        <v>32.1248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76018</v>
      </c>
      <c r="D82" s="61">
        <f>FH!B82*1</f>
        <v>76018</v>
      </c>
      <c r="E82">
        <f t="shared" si="11"/>
        <v>80</v>
      </c>
      <c r="F82" s="61">
        <f>IF(FT!A82&lt;&gt;"",FT!A82*10,"")</f>
        <v>2.1476000000000002</v>
      </c>
      <c r="G82" s="61">
        <f>IF(FT!B82&lt;&gt;"",FT!B82*100,"")</f>
        <v>49.915700000000001</v>
      </c>
      <c r="H82" s="61">
        <f t="shared" si="9"/>
        <v>1</v>
      </c>
      <c r="I82" t="str">
        <f>IF(FT!B82&lt;&gt;"",FT!E82,"")</f>
        <v>2 [32.531868]</v>
      </c>
      <c r="J82">
        <f>IF(FT!B82&lt;&gt;"",FT!C82,"")</f>
        <v>32.5319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2.1532200000000001</v>
      </c>
      <c r="G83" s="61">
        <f>IF(FT!B83&lt;&gt;"",FT!B83*100,"")</f>
        <v>49.813200000000002</v>
      </c>
      <c r="H83" s="61">
        <f t="shared" si="9"/>
        <v>1</v>
      </c>
      <c r="I83" t="str">
        <f>IF(FT!B83&lt;&gt;"",FT!E83,"")</f>
        <v>2 [32.938994]</v>
      </c>
      <c r="J83">
        <f>IF(FT!B83&lt;&gt;"",FT!C83,"")</f>
        <v>32.939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2.1615000000000002</v>
      </c>
      <c r="G84" s="61">
        <f>IF(FT!B84&lt;&gt;"",FT!B84*100,"")</f>
        <v>49.702800000000003</v>
      </c>
      <c r="H84" s="61">
        <f t="shared" si="9"/>
        <v>1</v>
      </c>
      <c r="I84" t="str">
        <f>IF(FT!B84&lt;&gt;"",FT!E84,"")</f>
        <v>2 [33.344571]</v>
      </c>
      <c r="J84">
        <f>IF(FT!B84&lt;&gt;"",FT!C84,"")</f>
        <v>33.3446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68867</v>
      </c>
      <c r="D85" s="61">
        <f>FH!B85*1</f>
        <v>68867</v>
      </c>
      <c r="E85">
        <f t="shared" si="11"/>
        <v>83</v>
      </c>
      <c r="F85" s="61">
        <f>IF(FT!A85&lt;&gt;"",FT!A85*10,"")</f>
        <v>2.16852</v>
      </c>
      <c r="G85" s="61">
        <f>IF(FT!B85&lt;&gt;"",FT!B85*100,"")</f>
        <v>49.626399999999997</v>
      </c>
      <c r="H85" s="61">
        <f t="shared" si="9"/>
        <v>1</v>
      </c>
      <c r="I85" t="str">
        <f>IF(FT!B85&lt;&gt;"",FT!E85,"")</f>
        <v>2 [33.751515]</v>
      </c>
      <c r="J85">
        <f>IF(FT!B85&lt;&gt;"",FT!C85,"")</f>
        <v>33.7515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2.1764800000000002</v>
      </c>
      <c r="G86" s="61">
        <f>IF(FT!B86&lt;&gt;"",FT!B86*100,"")</f>
        <v>49.508099999999999</v>
      </c>
      <c r="H86" s="61">
        <f t="shared" si="9"/>
        <v>1</v>
      </c>
      <c r="I86" t="str">
        <f>IF(FT!B86&lt;&gt;"",FT!E86,"")</f>
        <v>2 [34.154452]</v>
      </c>
      <c r="J86">
        <f>IF(FT!B86&lt;&gt;"",FT!C86,"")</f>
        <v>34.154499999999999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2.1862300000000001</v>
      </c>
      <c r="G87" s="61">
        <f>IF(FT!B87&lt;&gt;"",FT!B87*100,"")</f>
        <v>49.418700000000001</v>
      </c>
      <c r="H87" s="61">
        <f t="shared" si="9"/>
        <v>1</v>
      </c>
      <c r="I87" t="str">
        <f>IF(FT!B87&lt;&gt;"",FT!E87,"")</f>
        <v>2 [34.562485]</v>
      </c>
      <c r="J87">
        <f>IF(FT!B87&lt;&gt;"",FT!C87,"")</f>
        <v>34.5625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65874</v>
      </c>
      <c r="D88" s="61">
        <f>FH!B88*1</f>
        <v>65874</v>
      </c>
      <c r="E88">
        <f t="shared" si="11"/>
        <v>86</v>
      </c>
      <c r="F88" s="61">
        <f>IF(FT!A88&lt;&gt;"",FT!A88*10,"")</f>
        <v>2.1963300000000001</v>
      </c>
      <c r="G88" s="61">
        <f>IF(FT!B88&lt;&gt;"",FT!B88*100,"")</f>
        <v>49.3003</v>
      </c>
      <c r="H88" s="61">
        <f t="shared" si="9"/>
        <v>1</v>
      </c>
      <c r="I88" t="str">
        <f>IF(FT!B88&lt;&gt;"",FT!E88,"")</f>
        <v>2 [34.970527]</v>
      </c>
      <c r="J88">
        <f>IF(FT!B88&lt;&gt;"",FT!C88,"")</f>
        <v>34.970500000000001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2.2049400000000001</v>
      </c>
      <c r="G89" s="61">
        <f>IF(FT!B89&lt;&gt;"",FT!B89*100,"")</f>
        <v>49.177799999999998</v>
      </c>
      <c r="H89" s="61">
        <f t="shared" si="9"/>
        <v>1</v>
      </c>
      <c r="I89" t="str">
        <f>IF(FT!B89&lt;&gt;"",FT!E89,"")</f>
        <v>2 [35.374152]</v>
      </c>
      <c r="J89">
        <f>IF(FT!B89&lt;&gt;"",FT!C89,"")</f>
        <v>35.374200000000002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57450</v>
      </c>
      <c r="D90" s="61">
        <f>FH!B90*1</f>
        <v>57450</v>
      </c>
      <c r="E90">
        <f t="shared" si="11"/>
        <v>88</v>
      </c>
      <c r="F90" s="61">
        <f>IF(FT!A90&lt;&gt;"",FT!A90*10,"")</f>
        <v>2.2181100000000002</v>
      </c>
      <c r="G90" s="61">
        <f>IF(FT!B90&lt;&gt;"",FT!B90*100,"")</f>
        <v>48.914900000000003</v>
      </c>
      <c r="H90" s="61">
        <f t="shared" si="9"/>
        <v>1</v>
      </c>
      <c r="I90" t="str">
        <f>IF(FT!B90&lt;&gt;"",FT!E90,"")</f>
        <v>2 [35.782076]</v>
      </c>
      <c r="J90">
        <f>IF(FT!B90&lt;&gt;"",FT!C90,"")</f>
        <v>35.7821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2.2338900000000002</v>
      </c>
      <c r="G91" s="61">
        <f>IF(FT!B91&lt;&gt;"",FT!B91*100,"")</f>
        <v>48.588700000000003</v>
      </c>
      <c r="H91" s="61">
        <f t="shared" si="9"/>
        <v>1</v>
      </c>
      <c r="I91" t="str">
        <f>IF(FT!B91&lt;&gt;"",FT!E91,"")</f>
        <v>2 [36.186019]</v>
      </c>
      <c r="J91">
        <f>IF(FT!B91&lt;&gt;"",FT!C91,"")</f>
        <v>36.186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2.2508699999999999</v>
      </c>
      <c r="G92" s="61">
        <f>IF(FT!B92&lt;&gt;"",FT!B92*100,"")</f>
        <v>48.198999999999998</v>
      </c>
      <c r="H92" s="61">
        <f t="shared" si="9"/>
        <v>1</v>
      </c>
      <c r="I92" t="str">
        <f>IF(FT!B92&lt;&gt;"",FT!E92,"")</f>
        <v>2 [36.592943]</v>
      </c>
      <c r="J92">
        <f>IF(FT!B92&lt;&gt;"",FT!C92,"")</f>
        <v>36.5929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51201</v>
      </c>
      <c r="D93" s="61">
        <f>FH!B93*1</f>
        <v>51201</v>
      </c>
      <c r="E93">
        <f t="shared" si="11"/>
        <v>91</v>
      </c>
      <c r="F93" s="61">
        <f>IF(FT!A93&lt;&gt;"",FT!A93*10,"")</f>
        <v>2.27291</v>
      </c>
      <c r="G93" s="61">
        <f>IF(FT!B93&lt;&gt;"",FT!B93*100,"")</f>
        <v>47.649700000000003</v>
      </c>
      <c r="H93" s="61">
        <f t="shared" si="9"/>
        <v>1</v>
      </c>
      <c r="I93" t="str">
        <f>IF(FT!B93&lt;&gt;"",FT!E93,"")</f>
        <v>2 [37.000794]</v>
      </c>
      <c r="J93">
        <f>IF(FT!B93&lt;&gt;"",FT!C93,"")</f>
        <v>37.000799999999998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2.2957800000000002</v>
      </c>
      <c r="G94" s="61">
        <f>IF(FT!B94&lt;&gt;"",FT!B94*100,"")</f>
        <v>47.044799999999995</v>
      </c>
      <c r="H94" s="61">
        <f t="shared" si="9"/>
        <v>1</v>
      </c>
      <c r="I94" t="str">
        <f>IF(FT!B94&lt;&gt;"",FT!E94,"")</f>
        <v>2 [37.405721]</v>
      </c>
      <c r="J94">
        <f>IF(FT!B94&lt;&gt;"",FT!C94,"")</f>
        <v>37.405700000000003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49716</v>
      </c>
      <c r="D95" s="61">
        <f>FH!B95*1</f>
        <v>49716</v>
      </c>
      <c r="E95">
        <f t="shared" si="11"/>
        <v>93</v>
      </c>
      <c r="F95" s="61">
        <f>IF(FT!A95&lt;&gt;"",FT!A95*10,"")</f>
        <v>2.3198300000000001</v>
      </c>
      <c r="G95" s="61">
        <f>IF(FT!B95&lt;&gt;"",FT!B95*100,"")</f>
        <v>46.441300000000005</v>
      </c>
      <c r="H95" s="61">
        <f t="shared" si="9"/>
        <v>1</v>
      </c>
      <c r="I95" t="str">
        <f>IF(FT!B95&lt;&gt;"",FT!E95,"")</f>
        <v>2 [37.809861]</v>
      </c>
      <c r="J95">
        <f>IF(FT!B95&lt;&gt;"",FT!C95,"")</f>
        <v>37.809899999999999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2.3447399999999998</v>
      </c>
      <c r="G96" s="61">
        <f>IF(FT!B96&lt;&gt;"",FT!B96*100,"")</f>
        <v>45.878</v>
      </c>
      <c r="H96" s="61">
        <f t="shared" si="9"/>
        <v>1</v>
      </c>
      <c r="I96" t="str">
        <f>IF(FT!B96&lt;&gt;"",FT!E96,"")</f>
        <v>2 [38.221525]</v>
      </c>
      <c r="J96">
        <f>IF(FT!B96&lt;&gt;"",FT!C96,"")</f>
        <v>38.221499999999999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2.3668300000000002</v>
      </c>
      <c r="G97" s="61">
        <f>IF(FT!B97&lt;&gt;"",FT!B97*100,"")</f>
        <v>45.443300000000001</v>
      </c>
      <c r="H97" s="61">
        <f t="shared" si="9"/>
        <v>1</v>
      </c>
      <c r="I97" t="str">
        <f>IF(FT!B97&lt;&gt;"",FT!E97,"")</f>
        <v>2 [38.628513]</v>
      </c>
      <c r="J97">
        <f>IF(FT!B97&lt;&gt;"",FT!C97,"")</f>
        <v>38.628500000000003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44989</v>
      </c>
      <c r="D98" s="61">
        <f>FH!B98*1</f>
        <v>44989</v>
      </c>
      <c r="E98">
        <f t="shared" si="11"/>
        <v>96</v>
      </c>
      <c r="F98" s="61">
        <f>IF(FT!A98&lt;&gt;"",FT!A98*10,"")</f>
        <v>2.3867099999999999</v>
      </c>
      <c r="G98" s="61">
        <f>IF(FT!B98&lt;&gt;"",FT!B98*100,"")</f>
        <v>45.021999999999998</v>
      </c>
      <c r="H98" s="61">
        <f t="shared" si="9"/>
        <v>1</v>
      </c>
      <c r="I98" t="str">
        <f>IF(FT!B98&lt;&gt;"",FT!E98,"")</f>
        <v>2 [39.033325]</v>
      </c>
      <c r="J98">
        <f>IF(FT!B98&lt;&gt;"",FT!C98,"")</f>
        <v>39.033299999999997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2.4031700000000003</v>
      </c>
      <c r="G99" s="61">
        <f>IF(FT!B99&lt;&gt;"",FT!B99*100,"")</f>
        <v>44.693199999999997</v>
      </c>
      <c r="H99" s="61">
        <f t="shared" si="9"/>
        <v>1</v>
      </c>
      <c r="I99" t="str">
        <f>IF(FT!B99&lt;&gt;"",FT!E99,"")</f>
        <v>2 [39.437434]</v>
      </c>
      <c r="J99">
        <f>IF(FT!B99&lt;&gt;"",FT!C99,"")</f>
        <v>39.437399999999997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42736</v>
      </c>
      <c r="D100" s="61">
        <f>FH!B100*1</f>
        <v>42736</v>
      </c>
      <c r="E100">
        <f t="shared" si="11"/>
        <v>98</v>
      </c>
      <c r="F100" s="61">
        <f>IF(FT!A100&lt;&gt;"",FT!A100*10,"")</f>
        <v>2.4159700000000002</v>
      </c>
      <c r="G100" s="61">
        <f>IF(FT!B100&lt;&gt;"",FT!B100*100,"")</f>
        <v>44.415500000000002</v>
      </c>
      <c r="H100" s="61">
        <f t="shared" si="9"/>
        <v>1</v>
      </c>
      <c r="I100" t="str">
        <f>IF(FT!B100&lt;&gt;"",FT!E100,"")</f>
        <v>2 [39.842350]</v>
      </c>
      <c r="J100">
        <f>IF(FT!B100&lt;&gt;"",FT!C100,"")</f>
        <v>39.842399999999998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2.4234499999999999</v>
      </c>
      <c r="G101" s="61">
        <f>IF(FT!B101&lt;&gt;"",FT!B101*100,"")</f>
        <v>44.185000000000002</v>
      </c>
      <c r="H101" s="61">
        <f t="shared" si="9"/>
        <v>1</v>
      </c>
      <c r="I101" t="str">
        <f>IF(FT!B101&lt;&gt;"",FT!E101,"")</f>
        <v>2 [40.252150]</v>
      </c>
      <c r="J101">
        <f>IF(FT!B101&lt;&gt;"",FT!C101,"")</f>
        <v>40.252200000000002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2.4290799999999999</v>
      </c>
      <c r="G102" s="61">
        <f>IF(FT!B102&lt;&gt;"",FT!B102*100,"")</f>
        <v>44.017499999999998</v>
      </c>
      <c r="H102" s="61">
        <f t="shared" si="9"/>
        <v>1</v>
      </c>
      <c r="I102" t="str">
        <f>IF(FT!B102&lt;&gt;"",FT!E102,"")</f>
        <v>2 [40.659050]</v>
      </c>
      <c r="J102">
        <f>IF(FT!B102&lt;&gt;"",FT!C102,"")</f>
        <v>40.658999999999999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34851</v>
      </c>
      <c r="D103" s="61">
        <f>FH!B103*1</f>
        <v>34851</v>
      </c>
      <c r="E103">
        <f t="shared" si="11"/>
        <v>101</v>
      </c>
      <c r="F103" s="61">
        <f>IF(FT!A103&lt;&gt;"",FT!A103*10,"")</f>
        <v>2.4331900000000002</v>
      </c>
      <c r="G103" s="61">
        <f>IF(FT!B103&lt;&gt;"",FT!B103*100,"")</f>
        <v>43.856299999999997</v>
      </c>
      <c r="H103" s="61">
        <f t="shared" si="9"/>
        <v>1</v>
      </c>
      <c r="I103" t="str">
        <f>IF(FT!B103&lt;&gt;"",FT!E103,"")</f>
        <v>2 [41.063967]</v>
      </c>
      <c r="J103">
        <f>IF(FT!B103&lt;&gt;"",FT!C103,"")</f>
        <v>41.064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2.4372099999999999</v>
      </c>
      <c r="G104" s="61">
        <f>IF(FT!B104&lt;&gt;"",FT!B104*100,"")</f>
        <v>43.708599999999997</v>
      </c>
      <c r="H104" s="61">
        <f t="shared" si="9"/>
        <v>1</v>
      </c>
      <c r="I104" t="str">
        <f>IF(FT!B104&lt;&gt;"",FT!E104,"")</f>
        <v>2 [41.470322]</v>
      </c>
      <c r="J104">
        <f>IF(FT!B104&lt;&gt;"",FT!C104,"")</f>
        <v>41.470300000000002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2.4409700000000001</v>
      </c>
      <c r="G105" s="61">
        <f>IF(FT!B105&lt;&gt;"",FT!B105*100,"")</f>
        <v>43.568899999999999</v>
      </c>
      <c r="H105" s="61">
        <f t="shared" si="9"/>
        <v>1</v>
      </c>
      <c r="I105" t="str">
        <f>IF(FT!B105&lt;&gt;"",FT!E105,"")</f>
        <v>2 [41.872904]</v>
      </c>
      <c r="J105">
        <f>IF(FT!B105&lt;&gt;"",FT!C105,"")</f>
        <v>41.872900000000001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32162</v>
      </c>
      <c r="D106" s="61">
        <f>FH!B106*1</f>
        <v>32162</v>
      </c>
      <c r="E106">
        <f t="shared" si="11"/>
        <v>104</v>
      </c>
      <c r="F106" s="61">
        <f>IF(FT!A106&lt;&gt;"",FT!A106*10,"")</f>
        <v>2.4438599999999999</v>
      </c>
      <c r="G106" s="61">
        <f>IF(FT!B106&lt;&gt;"",FT!B106*100,"")</f>
        <v>43.4527</v>
      </c>
      <c r="H106" s="61">
        <f t="shared" si="9"/>
        <v>1</v>
      </c>
      <c r="I106" t="str">
        <f>IF(FT!B106&lt;&gt;"",FT!E106,"")</f>
        <v>2 [42.282704]</v>
      </c>
      <c r="J106">
        <f>IF(FT!B106&lt;&gt;"",FT!C106,"")</f>
        <v>42.282699999999998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2.4426700000000001</v>
      </c>
      <c r="G107" s="61">
        <f>IF(FT!B107&lt;&gt;"",FT!B107*100,"")</f>
        <v>43.382199999999997</v>
      </c>
      <c r="H107" s="61">
        <f t="shared" si="9"/>
        <v>1</v>
      </c>
      <c r="I107" t="str">
        <f>IF(FT!B107&lt;&gt;"",FT!E107,"")</f>
        <v>2 [42.690591]</v>
      </c>
      <c r="J107">
        <f>IF(FT!B107&lt;&gt;"",FT!C107,"")</f>
        <v>42.690600000000003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28426</v>
      </c>
      <c r="D108" s="61">
        <f>FH!B108*1</f>
        <v>28426</v>
      </c>
      <c r="E108">
        <f t="shared" si="11"/>
        <v>106</v>
      </c>
      <c r="F108" s="61">
        <f>IF(FT!A108&lt;&gt;"",FT!A108*10,"")</f>
        <v>2.4374100000000003</v>
      </c>
      <c r="G108" s="61">
        <f>IF(FT!B108&lt;&gt;"",FT!B108*100,"")</f>
        <v>43.341000000000001</v>
      </c>
      <c r="H108" s="61">
        <f t="shared" si="9"/>
        <v>1</v>
      </c>
      <c r="I108" t="str">
        <f>IF(FT!B108&lt;&gt;"",FT!E108,"")</f>
        <v>2 [43.094529]</v>
      </c>
      <c r="J108">
        <f>IF(FT!B108&lt;&gt;"",FT!C108,"")</f>
        <v>43.094499999999996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2.4301900000000001</v>
      </c>
      <c r="G109" s="61">
        <f>IF(FT!B109&lt;&gt;"",FT!B109*100,"")</f>
        <v>43.3048</v>
      </c>
      <c r="H109" s="61">
        <f t="shared" si="9"/>
        <v>1</v>
      </c>
      <c r="I109" t="str">
        <f>IF(FT!B109&lt;&gt;"",FT!E109,"")</f>
        <v>2 [43.500412]</v>
      </c>
      <c r="J109">
        <f>IF(FT!B109&lt;&gt;"",FT!C109,"")</f>
        <v>43.500399999999999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2.4226299999999998</v>
      </c>
      <c r="G110" s="61">
        <f>IF(FT!B110&lt;&gt;"",FT!B110*100,"")</f>
        <v>43.2515</v>
      </c>
      <c r="H110" s="61">
        <f t="shared" si="9"/>
        <v>1</v>
      </c>
      <c r="I110" t="str">
        <f>IF(FT!B110&lt;&gt;"",FT!E110,"")</f>
        <v>2 [43.905440]</v>
      </c>
      <c r="J110">
        <f>IF(FT!B110&lt;&gt;"",FT!C110,"")</f>
        <v>43.9054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28210</v>
      </c>
      <c r="D111" s="61">
        <f>FH!B111*1</f>
        <v>28210</v>
      </c>
      <c r="E111">
        <f t="shared" si="11"/>
        <v>109</v>
      </c>
      <c r="F111" s="61">
        <f>IF(FT!A111&lt;&gt;"",FT!A111*10,"")</f>
        <v>2.4135300000000002</v>
      </c>
      <c r="G111" s="61">
        <f>IF(FT!B111&lt;&gt;"",FT!B111*100,"")</f>
        <v>43.229700000000001</v>
      </c>
      <c r="H111" s="61">
        <f t="shared" si="9"/>
        <v>1</v>
      </c>
      <c r="I111" t="str">
        <f>IF(FT!B111&lt;&gt;"",FT!E111,"")</f>
        <v>2 [44.312283]</v>
      </c>
      <c r="J111">
        <f>IF(FT!B111&lt;&gt;"",FT!C111,"")</f>
        <v>44.3123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2.40307</v>
      </c>
      <c r="G112" s="61">
        <f>IF(FT!B112&lt;&gt;"",FT!B112*100,"")</f>
        <v>43.156399999999998</v>
      </c>
      <c r="H112" s="61">
        <f t="shared" si="9"/>
        <v>1</v>
      </c>
      <c r="I112" t="str">
        <f>IF(FT!B112&lt;&gt;"",FT!E112,"")</f>
        <v>2 [44.720657]</v>
      </c>
      <c r="J112">
        <f>IF(FT!B112&lt;&gt;"",FT!C112,"")</f>
        <v>44.720700000000001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24559</v>
      </c>
      <c r="D113" s="61">
        <f>FH!B113*1</f>
        <v>24559</v>
      </c>
      <c r="E113">
        <f t="shared" si="11"/>
        <v>111</v>
      </c>
      <c r="F113" s="61">
        <f>IF(FT!A113&lt;&gt;"",FT!A113*10,"")</f>
        <v>2.3890000000000002</v>
      </c>
      <c r="G113" s="61">
        <f>IF(FT!B113&lt;&gt;"",FT!B113*100,"")</f>
        <v>43.053100000000001</v>
      </c>
      <c r="H113" s="61">
        <f t="shared" si="9"/>
        <v>1</v>
      </c>
      <c r="I113" t="str">
        <f>IF(FT!B113&lt;&gt;"",FT!E113,"")</f>
        <v>2 [45.125108]</v>
      </c>
      <c r="J113">
        <f>IF(FT!B113&lt;&gt;"",FT!C113,"")</f>
        <v>45.125100000000003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2.3740600000000001</v>
      </c>
      <c r="G114" s="61">
        <f>IF(FT!B114&lt;&gt;"",FT!B114*100,"")</f>
        <v>42.964700000000001</v>
      </c>
      <c r="H114" s="61">
        <f t="shared" si="9"/>
        <v>1</v>
      </c>
      <c r="I114" t="str">
        <f>IF(FT!B114&lt;&gt;"",FT!E114,"")</f>
        <v>2 [45.532005]</v>
      </c>
      <c r="J114">
        <f>IF(FT!B114&lt;&gt;"",FT!C114,"")</f>
        <v>45.531999999999996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2.3551099999999998</v>
      </c>
      <c r="G115" s="61">
        <f>IF(FT!B115&lt;&gt;"",FT!B115*100,"")</f>
        <v>42.967300000000002</v>
      </c>
      <c r="H115" s="61">
        <f t="shared" si="9"/>
        <v>1</v>
      </c>
      <c r="I115" t="str">
        <f>IF(FT!B115&lt;&gt;"",FT!E115,"")</f>
        <v>2 [45.933922]</v>
      </c>
      <c r="J115">
        <f>IF(FT!B115&lt;&gt;"",FT!C115,"")</f>
        <v>45.933900000000001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17331</v>
      </c>
      <c r="D116" s="61">
        <f>FH!B116*1</f>
        <v>17331</v>
      </c>
      <c r="E116">
        <f t="shared" si="11"/>
        <v>114</v>
      </c>
      <c r="F116" s="61">
        <f>IF(FT!A116&lt;&gt;"",FT!A116*10,"")</f>
        <v>2.3319200000000002</v>
      </c>
      <c r="G116" s="61">
        <f>IF(FT!B116&lt;&gt;"",FT!B116*100,"")</f>
        <v>43.0595</v>
      </c>
      <c r="H116" s="61">
        <f t="shared" si="9"/>
        <v>1</v>
      </c>
      <c r="I116" t="str">
        <f>IF(FT!B116&lt;&gt;"",FT!E116,"")</f>
        <v>2 [46.344848]</v>
      </c>
      <c r="J116">
        <f>IF(FT!B116&lt;&gt;"",FT!C116,"")</f>
        <v>46.344799999999999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2.30497</v>
      </c>
      <c r="G117" s="61">
        <f>IF(FT!B117&lt;&gt;"",FT!B117*100,"")</f>
        <v>43.282399999999996</v>
      </c>
      <c r="H117" s="61">
        <f t="shared" si="9"/>
        <v>1</v>
      </c>
      <c r="I117" t="str">
        <f>IF(FT!B117&lt;&gt;"",FT!E117,"")</f>
        <v>2 [46.748587]</v>
      </c>
      <c r="J117">
        <f>IF(FT!B117&lt;&gt;"",FT!C117,"")</f>
        <v>46.748600000000003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14621</v>
      </c>
      <c r="D118" s="61">
        <f>FH!B118*1</f>
        <v>14621</v>
      </c>
      <c r="E118">
        <f t="shared" si="11"/>
        <v>116</v>
      </c>
      <c r="F118" s="61">
        <f>IF(FT!A118&lt;&gt;"",FT!A118*10,"")</f>
        <v>2.27027</v>
      </c>
      <c r="G118" s="61">
        <f>IF(FT!B118&lt;&gt;"",FT!B118*100,"")</f>
        <v>43.663200000000003</v>
      </c>
      <c r="H118" s="61">
        <f t="shared" si="9"/>
        <v>1</v>
      </c>
      <c r="I118" t="str">
        <f>IF(FT!B118&lt;&gt;"",FT!E118,"")</f>
        <v>2 [47.156632]</v>
      </c>
      <c r="J118">
        <f>IF(FT!B118&lt;&gt;"",FT!C118,"")</f>
        <v>47.156599999999997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2.23095</v>
      </c>
      <c r="G119" s="61">
        <f>IF(FT!B119&lt;&gt;"",FT!B119*100,"")</f>
        <v>44.214700000000001</v>
      </c>
      <c r="H119" s="61">
        <f t="shared" si="9"/>
        <v>1</v>
      </c>
      <c r="I119" t="str">
        <f>IF(FT!B119&lt;&gt;"",FT!E119,"")</f>
        <v>2 [47.562646]</v>
      </c>
      <c r="J119">
        <f>IF(FT!B119&lt;&gt;"",FT!C119,"")</f>
        <v>47.562600000000003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2.1901899999999999</v>
      </c>
      <c r="G120" s="61">
        <f>IF(FT!B120&lt;&gt;"",FT!B120*100,"")</f>
        <v>44.872</v>
      </c>
      <c r="H120" s="61">
        <f t="shared" si="9"/>
        <v>1</v>
      </c>
      <c r="I120" t="str">
        <f>IF(FT!B120&lt;&gt;"",FT!E120,"")</f>
        <v>2 [47.969764]</v>
      </c>
      <c r="J120">
        <f>IF(FT!B120&lt;&gt;"",FT!C120,"")</f>
        <v>47.969799999999999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9357</v>
      </c>
      <c r="D121" s="61">
        <f>FH!B121*1</f>
        <v>9357</v>
      </c>
      <c r="E121">
        <f t="shared" si="11"/>
        <v>119</v>
      </c>
      <c r="F121" s="61">
        <f>IF(FT!A121&lt;&gt;"",FT!A121*10,"")</f>
        <v>2.1495100000000003</v>
      </c>
      <c r="G121" s="61">
        <f>IF(FT!B121&lt;&gt;"",FT!B121*100,"")</f>
        <v>45.580399999999997</v>
      </c>
      <c r="H121" s="61">
        <f t="shared" si="9"/>
        <v>1</v>
      </c>
      <c r="I121" t="str">
        <f>IF(FT!B121&lt;&gt;"",FT!E121,"")</f>
        <v>2 [48.376485]</v>
      </c>
      <c r="J121">
        <f>IF(FT!B121&lt;&gt;"",FT!C121,"")</f>
        <v>48.3765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2.1074699999999997</v>
      </c>
      <c r="G122" s="61">
        <f>IF(FT!B122&lt;&gt;"",FT!B122*100,"")</f>
        <v>46.241599999999998</v>
      </c>
      <c r="H122" s="61">
        <f t="shared" si="9"/>
        <v>1</v>
      </c>
      <c r="I122" t="str">
        <f>IF(FT!B122&lt;&gt;"",FT!E122,"")</f>
        <v>2 [48.783289]</v>
      </c>
      <c r="J122">
        <f>IF(FT!B122&lt;&gt;"",FT!C122,"")</f>
        <v>48.783299999999997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2.0636299999999999</v>
      </c>
      <c r="G123" s="61">
        <f>IF(FT!B123&lt;&gt;"",FT!B123*100,"")</f>
        <v>47.043700000000001</v>
      </c>
      <c r="H123" s="61">
        <f t="shared" si="9"/>
        <v>1</v>
      </c>
      <c r="I123" t="str">
        <f>IF(FT!B123&lt;&gt;"",FT!E123,"")</f>
        <v>2 [49.190329]</v>
      </c>
      <c r="J123">
        <f>IF(FT!B123&lt;&gt;"",FT!C123,"")</f>
        <v>49.190300000000001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7881</v>
      </c>
      <c r="D124" s="61">
        <f>FH!B124*1</f>
        <v>7881</v>
      </c>
      <c r="E124">
        <f t="shared" si="11"/>
        <v>122</v>
      </c>
      <c r="F124" s="61">
        <f>IF(FT!A124&lt;&gt;"",FT!A124*10,"")</f>
        <v>2.0239699999999998</v>
      </c>
      <c r="G124" s="61">
        <f>IF(FT!B124&lt;&gt;"",FT!B124*100,"")</f>
        <v>47.761399999999995</v>
      </c>
      <c r="H124" s="61">
        <f t="shared" si="9"/>
        <v>1</v>
      </c>
      <c r="I124" t="str">
        <f>IF(FT!B124&lt;&gt;"",FT!E124,"")</f>
        <v>2 [49.592126]</v>
      </c>
      <c r="J124">
        <f>IF(FT!B124&lt;&gt;"",FT!C124,"")</f>
        <v>49.592100000000002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1.98617</v>
      </c>
      <c r="G125" s="61">
        <f>IF(FT!B125&lt;&gt;"",FT!B125*100,"")</f>
        <v>48.4482</v>
      </c>
      <c r="H125" s="61">
        <f t="shared" si="9"/>
        <v>1</v>
      </c>
      <c r="I125" t="str">
        <f>IF(FT!B125&lt;&gt;"",FT!E125,"")</f>
        <v>2 [50.000422]</v>
      </c>
      <c r="J125">
        <f>IF(FT!B125&lt;&gt;"",FT!C125,"")</f>
        <v>50.000399999999999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6694</v>
      </c>
      <c r="D126" s="61">
        <f>FH!B126*1</f>
        <v>6694</v>
      </c>
      <c r="E126">
        <f t="shared" si="11"/>
        <v>124</v>
      </c>
      <c r="F126" s="61">
        <f>IF(FT!A126&lt;&gt;"",FT!A126*10,"")</f>
        <v>1.9652500000000002</v>
      </c>
      <c r="G126" s="61">
        <f>IF(FT!B126&lt;&gt;"",FT!B126*100,"")</f>
        <v>48.988199999999999</v>
      </c>
      <c r="H126" s="61">
        <f t="shared" si="9"/>
        <v>1</v>
      </c>
      <c r="I126" t="str">
        <f>IF(FT!B126&lt;&gt;"",FT!E126,"")</f>
        <v>2 [50.406973]</v>
      </c>
      <c r="J126">
        <f>IF(FT!B126&lt;&gt;"",FT!C126,"")</f>
        <v>50.406999999999996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1.9450000000000001</v>
      </c>
      <c r="G127" s="61">
        <f>IF(FT!B127&lt;&gt;"",FT!B127*100,"")</f>
        <v>49.464700000000001</v>
      </c>
      <c r="H127" s="61">
        <f t="shared" si="9"/>
        <v>1</v>
      </c>
      <c r="I127" t="str">
        <f>IF(FT!B127&lt;&gt;"",FT!E127,"")</f>
        <v>2 [50.811880]</v>
      </c>
      <c r="J127">
        <f>IF(FT!B127&lt;&gt;"",FT!C127,"")</f>
        <v>50.811900000000001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1.9251199999999999</v>
      </c>
      <c r="G128" s="61">
        <f>IF(FT!B128&lt;&gt;"",FT!B128*100,"")</f>
        <v>49.884399999999999</v>
      </c>
      <c r="H128" s="61">
        <f t="shared" si="9"/>
        <v>1</v>
      </c>
      <c r="I128" t="str">
        <f>IF(FT!B128&lt;&gt;"",FT!E128,"")</f>
        <v>2 [51.220971]</v>
      </c>
      <c r="J128">
        <f>IF(FT!B128&lt;&gt;"",FT!C128,"")</f>
        <v>51.220999999999997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5033</v>
      </c>
      <c r="D129" s="61">
        <f>FH!B129*1</f>
        <v>5033</v>
      </c>
      <c r="E129">
        <f t="shared" si="11"/>
        <v>127</v>
      </c>
      <c r="F129" s="61">
        <f>IF(FT!A129&lt;&gt;"",FT!A129*10,"")</f>
        <v>1.90408</v>
      </c>
      <c r="G129" s="61">
        <f>IF(FT!B129&lt;&gt;"",FT!B129*100,"")</f>
        <v>50.322199999999995</v>
      </c>
      <c r="H129" s="61">
        <f t="shared" si="9"/>
        <v>1</v>
      </c>
      <c r="I129" t="str">
        <f>IF(FT!B129&lt;&gt;"",FT!E129,"")</f>
        <v>2 [51.625668]</v>
      </c>
      <c r="J129">
        <f>IF(FT!B129&lt;&gt;"",FT!C129,"")</f>
        <v>51.625700000000002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1.8809</v>
      </c>
      <c r="G130" s="61">
        <f>IF(FT!B130&lt;&gt;"",FT!B130*100,"")</f>
        <v>50.846100000000007</v>
      </c>
      <c r="H130" s="61">
        <f t="shared" si="9"/>
        <v>1</v>
      </c>
      <c r="I130" t="str">
        <f>IF(FT!B130&lt;&gt;"",FT!E130,"")</f>
        <v>2 [52.028643]</v>
      </c>
      <c r="J130">
        <f>IF(FT!B130&lt;&gt;"",FT!C130,"")</f>
        <v>52.028599999999997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3851</v>
      </c>
      <c r="D131" s="61">
        <f>FH!B131*1</f>
        <v>3851</v>
      </c>
      <c r="E131">
        <f t="shared" si="11"/>
        <v>129</v>
      </c>
      <c r="F131" s="61">
        <f>IF(FT!A131&lt;&gt;"",FT!A131*10,"")</f>
        <v>1.8573</v>
      </c>
      <c r="G131" s="61">
        <f>IF(FT!B131&lt;&gt;"",FT!B131*100,"")</f>
        <v>51.365200000000002</v>
      </c>
      <c r="H131" s="61">
        <f t="shared" ref="H131:H194" si="13">(IF(F131&lt;&gt;"",1,""))</f>
        <v>1</v>
      </c>
      <c r="I131" t="str">
        <f>IF(FT!B131&lt;&gt;"",FT!E131,"")</f>
        <v>2 [52.437033]</v>
      </c>
      <c r="J131">
        <f>IF(FT!B131&lt;&gt;"",FT!C131,"")</f>
        <v>52.436999999999998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1.8373999999999999</v>
      </c>
      <c r="G132" s="61">
        <f>IF(FT!B132&lt;&gt;"",FT!B132*100,"")</f>
        <v>51.703600000000009</v>
      </c>
      <c r="H132" s="61">
        <f t="shared" si="13"/>
        <v>1</v>
      </c>
      <c r="I132" t="str">
        <f>IF(FT!B132&lt;&gt;"",FT!E132,"")</f>
        <v>2 [52.847325]</v>
      </c>
      <c r="J132">
        <f>IF(FT!B132&lt;&gt;"",FT!C132,"")</f>
        <v>52.847299999999997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1.8201000000000001</v>
      </c>
      <c r="G133" s="61">
        <f>IF(FT!B133&lt;&gt;"",FT!B133*100,"")</f>
        <v>51.951000000000001</v>
      </c>
      <c r="H133" s="61">
        <f t="shared" si="13"/>
        <v>1</v>
      </c>
      <c r="I133" t="str">
        <f>IF(FT!B133&lt;&gt;"",FT!E133,"")</f>
        <v>2 [53.251399]</v>
      </c>
      <c r="J133">
        <f>IF(FT!B133&lt;&gt;"",FT!C133,"")</f>
        <v>53.251399999999997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2336</v>
      </c>
      <c r="D134" s="61">
        <f>FH!B134*1</f>
        <v>2336</v>
      </c>
      <c r="E134">
        <f t="shared" si="15"/>
        <v>132</v>
      </c>
      <c r="F134" s="61">
        <f>IF(FT!A134&lt;&gt;"",FT!A134*10,"")</f>
        <v>1.8034300000000001</v>
      </c>
      <c r="G134" s="61">
        <f>IF(FT!B134&lt;&gt;"",FT!B134*100,"")</f>
        <v>52.137299999999996</v>
      </c>
      <c r="H134" s="61">
        <f t="shared" si="13"/>
        <v>1</v>
      </c>
      <c r="I134" t="str">
        <f>IF(FT!B134&lt;&gt;"",FT!E134,"")</f>
        <v>2 [53.656415]</v>
      </c>
      <c r="J134">
        <f>IF(FT!B134&lt;&gt;"",FT!C134,"")</f>
        <v>53.656399999999998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1.7863599999999999</v>
      </c>
      <c r="G135" s="61">
        <f>IF(FT!B135&lt;&gt;"",FT!B135*100,"")</f>
        <v>52.3401</v>
      </c>
      <c r="H135" s="61">
        <f t="shared" si="13"/>
        <v>1</v>
      </c>
      <c r="I135" t="str">
        <f>IF(FT!B135&lt;&gt;"",FT!E135,"")</f>
        <v>2 [54.061215]</v>
      </c>
      <c r="J135">
        <f>IF(FT!B135&lt;&gt;"",FT!C135,"")</f>
        <v>54.061199999999999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1607</v>
      </c>
      <c r="D136" s="61">
        <f>FH!B136*1</f>
        <v>1607</v>
      </c>
      <c r="E136">
        <f t="shared" si="15"/>
        <v>134</v>
      </c>
      <c r="F136" s="61">
        <f>IF(FT!A136&lt;&gt;"",FT!A136*10,"")</f>
        <v>1.76708</v>
      </c>
      <c r="G136" s="61">
        <f>IF(FT!B136&lt;&gt;"",FT!B136*100,"")</f>
        <v>52.581000000000003</v>
      </c>
      <c r="H136" s="61">
        <f t="shared" si="13"/>
        <v>1</v>
      </c>
      <c r="I136" t="str">
        <f>IF(FT!B136&lt;&gt;"",FT!E136,"")</f>
        <v>2 [54.467557]</v>
      </c>
      <c r="J136">
        <f>IF(FT!B136&lt;&gt;"",FT!C136,"")</f>
        <v>54.467599999999997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1.7468400000000002</v>
      </c>
      <c r="G137" s="61">
        <f>IF(FT!B137&lt;&gt;"",FT!B137*100,"")</f>
        <v>52.841800000000006</v>
      </c>
      <c r="H137" s="61">
        <f t="shared" si="13"/>
        <v>1</v>
      </c>
      <c r="I137" t="str">
        <f>IF(FT!B137&lt;&gt;"",FT!E137,"")</f>
        <v>2 [54.876127]</v>
      </c>
      <c r="J137">
        <f>IF(FT!B137&lt;&gt;"",FT!C137,"")</f>
        <v>54.876100000000001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1.7317899999999999</v>
      </c>
      <c r="G138" s="61">
        <f>IF(FT!B138&lt;&gt;"",FT!B138*100,"")</f>
        <v>53.0486</v>
      </c>
      <c r="H138" s="61">
        <f t="shared" si="13"/>
        <v>1</v>
      </c>
      <c r="I138" t="str">
        <f>IF(FT!B138&lt;&gt;"",FT!E138,"")</f>
        <v>2 [55.283926]</v>
      </c>
      <c r="J138">
        <f>IF(FT!B138&lt;&gt;"",FT!C138,"")</f>
        <v>55.283900000000003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507</v>
      </c>
      <c r="D139" s="61">
        <f>FH!B139*1</f>
        <v>507</v>
      </c>
      <c r="E139">
        <f t="shared" si="15"/>
        <v>137</v>
      </c>
      <c r="F139" s="61">
        <f>IF(FT!A139&lt;&gt;"",FT!A139*10,"")</f>
        <v>1.7150599999999998</v>
      </c>
      <c r="G139" s="61">
        <f>IF(FT!B139&lt;&gt;"",FT!B139*100,"")</f>
        <v>53.311900000000001</v>
      </c>
      <c r="H139" s="61">
        <f t="shared" si="13"/>
        <v>1</v>
      </c>
      <c r="I139" t="str">
        <f>IF(FT!B139&lt;&gt;"",FT!E139,"")</f>
        <v>2 [55.687058]</v>
      </c>
      <c r="J139">
        <f>IF(FT!B139&lt;&gt;"",FT!C139,"")</f>
        <v>55.687100000000001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1.6933200000000002</v>
      </c>
      <c r="G140" s="61">
        <f>IF(FT!B140&lt;&gt;"",FT!B140*100,"")</f>
        <v>53.705800000000004</v>
      </c>
      <c r="H140" s="61">
        <f t="shared" si="13"/>
        <v>1</v>
      </c>
      <c r="I140" t="str">
        <f>IF(FT!B140&lt;&gt;"",FT!E140,"")</f>
        <v>2 [56.093731]</v>
      </c>
      <c r="J140">
        <f>IF(FT!B140&lt;&gt;"",FT!C140,"")</f>
        <v>56.093699999999998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1.6727400000000001</v>
      </c>
      <c r="G141" s="61">
        <f>IF(FT!B141&lt;&gt;"",FT!B141*100,"")</f>
        <v>54.015899999999995</v>
      </c>
      <c r="H141" s="61">
        <f t="shared" si="13"/>
        <v>1</v>
      </c>
      <c r="I141" t="str">
        <f>IF(FT!B141&lt;&gt;"",FT!E141,"")</f>
        <v>2 [56.499218]</v>
      </c>
      <c r="J141">
        <f>IF(FT!B141&lt;&gt;"",FT!C141,"")</f>
        <v>56.499200000000002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371</v>
      </c>
      <c r="D142" s="61">
        <f>FH!B142*1</f>
        <v>371</v>
      </c>
      <c r="E142">
        <f t="shared" si="15"/>
        <v>140</v>
      </c>
      <c r="F142" s="61">
        <f>IF(FT!A142&lt;&gt;"",FT!A142*10,"")</f>
        <v>1.6505000000000001</v>
      </c>
      <c r="G142" s="61">
        <f>IF(FT!B142&lt;&gt;"",FT!B142*100,"")</f>
        <v>54.271499999999996</v>
      </c>
      <c r="H142" s="61">
        <f t="shared" si="13"/>
        <v>1</v>
      </c>
      <c r="I142" t="str">
        <f>IF(FT!B142&lt;&gt;"",FT!E142,"")</f>
        <v>2 [56.905595]</v>
      </c>
      <c r="J142">
        <f>IF(FT!B142&lt;&gt;"",FT!C142,"")</f>
        <v>56.9056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1.6351599999999999</v>
      </c>
      <c r="G143" s="61">
        <f>IF(FT!B143&lt;&gt;"",FT!B143*100,"")</f>
        <v>54.496699999999997</v>
      </c>
      <c r="H143" s="61">
        <f t="shared" si="13"/>
        <v>1</v>
      </c>
      <c r="I143" t="str">
        <f>IF(FT!B143&lt;&gt;"",FT!E143,"")</f>
        <v>2 [57.315520]</v>
      </c>
      <c r="J143">
        <f>IF(FT!B143&lt;&gt;"",FT!C143,"")</f>
        <v>57.3155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487</v>
      </c>
      <c r="D144" s="61">
        <f>FH!B144*1</f>
        <v>487</v>
      </c>
      <c r="E144">
        <f t="shared" si="15"/>
        <v>142</v>
      </c>
      <c r="F144" s="61">
        <f>IF(FT!A144&lt;&gt;"",FT!A144*10,"")</f>
        <v>1.621</v>
      </c>
      <c r="G144" s="61">
        <f>IF(FT!B144&lt;&gt;"",FT!B144*100,"")</f>
        <v>54.760100000000001</v>
      </c>
      <c r="H144" s="61">
        <f t="shared" si="13"/>
        <v>1</v>
      </c>
      <c r="I144" t="str">
        <f>IF(FT!B144&lt;&gt;"",FT!E144,"")</f>
        <v>2 [57.717419]</v>
      </c>
      <c r="J144">
        <f>IF(FT!B144&lt;&gt;"",FT!C144,"")</f>
        <v>57.717399999999998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1.6028899999999999</v>
      </c>
      <c r="G145" s="61">
        <f>IF(FT!B145&lt;&gt;"",FT!B145*100,"")</f>
        <v>55.14</v>
      </c>
      <c r="H145" s="61">
        <f t="shared" si="13"/>
        <v>1</v>
      </c>
      <c r="I145" t="str">
        <f>IF(FT!B145&lt;&gt;"",FT!E145,"")</f>
        <v>2 [58.124385]</v>
      </c>
      <c r="J145">
        <f>IF(FT!B145&lt;&gt;"",FT!C145,"")</f>
        <v>58.124400000000001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1.5787499999999999</v>
      </c>
      <c r="G146" s="61">
        <f>IF(FT!B146&lt;&gt;"",FT!B146*100,"")</f>
        <v>55.837000000000003</v>
      </c>
      <c r="H146" s="61">
        <f t="shared" si="13"/>
        <v>1</v>
      </c>
      <c r="I146" t="str">
        <f>IF(FT!B146&lt;&gt;"",FT!E146,"")</f>
        <v>2 [58.532303]</v>
      </c>
      <c r="J146">
        <f>IF(FT!B146&lt;&gt;"",FT!C146,"")</f>
        <v>58.532299999999999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273</v>
      </c>
      <c r="D147" s="61">
        <f>FH!B147*1</f>
        <v>273</v>
      </c>
      <c r="E147">
        <f t="shared" si="15"/>
        <v>145</v>
      </c>
      <c r="F147" s="61">
        <f>IF(FT!A147&lt;&gt;"",FT!A147*10,"")</f>
        <v>1.5693999999999999</v>
      </c>
      <c r="G147" s="61">
        <f>IF(FT!B147&lt;&gt;"",FT!B147*100,"")</f>
        <v>56.315000000000005</v>
      </c>
      <c r="H147" s="61">
        <f t="shared" si="13"/>
        <v>1</v>
      </c>
      <c r="I147" t="str">
        <f>IF(FT!B147&lt;&gt;"",FT!E147,"")</f>
        <v>2 [58.938140]</v>
      </c>
      <c r="J147">
        <f>IF(FT!B147&lt;&gt;"",FT!C147,"")</f>
        <v>58.938099999999999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1.5626100000000001</v>
      </c>
      <c r="G148" s="61">
        <f>IF(FT!B148&lt;&gt;"",FT!B148*100,"")</f>
        <v>56.635999999999996</v>
      </c>
      <c r="H148" s="61">
        <f t="shared" si="13"/>
        <v>1</v>
      </c>
      <c r="I148" t="str">
        <f>IF(FT!B148&lt;&gt;"",FT!E148,"")</f>
        <v>2 [59.346233]</v>
      </c>
      <c r="J148">
        <f>IF(FT!B148&lt;&gt;"",FT!C148,"")</f>
        <v>59.346200000000003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437</v>
      </c>
      <c r="D149" s="61">
        <f>FH!B149*1</f>
        <v>437</v>
      </c>
      <c r="E149">
        <f t="shared" si="15"/>
        <v>147</v>
      </c>
      <c r="F149" s="61">
        <f>IF(FT!A149&lt;&gt;"",FT!A149*10,"")</f>
        <v>1.54304</v>
      </c>
      <c r="G149" s="61">
        <f>IF(FT!B149&lt;&gt;"",FT!B149*100,"")</f>
        <v>57.177199999999992</v>
      </c>
      <c r="H149" s="61">
        <f t="shared" si="13"/>
        <v>1</v>
      </c>
      <c r="I149" t="str">
        <f>IF(FT!B149&lt;&gt;"",FT!E149,"")</f>
        <v>2 [59.751986]</v>
      </c>
      <c r="J149">
        <f>IF(FT!B149&lt;&gt;"",FT!C149,"")</f>
        <v>59.752000000000002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129</v>
      </c>
      <c r="D152" s="61">
        <f>FH!B152*1</f>
        <v>129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81</v>
      </c>
      <c r="D154" s="61">
        <f>FH!B154*1</f>
        <v>81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76</v>
      </c>
      <c r="D157" s="61">
        <f>FH!B157*1</f>
        <v>76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36</v>
      </c>
      <c r="D160" s="61">
        <f>FH!B160*1</f>
        <v>36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0</v>
      </c>
      <c r="D162" s="61">
        <f>FH!B162*1</f>
        <v>0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0</v>
      </c>
      <c r="D165" s="61">
        <f>FH!B165*1</f>
        <v>0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0</v>
      </c>
      <c r="D167" s="61">
        <f>FH!B167*1</f>
        <v>0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0</v>
      </c>
      <c r="D170" s="61">
        <f>FH!B170*1</f>
        <v>0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0</v>
      </c>
      <c r="D173" s="61">
        <f>FH!B173*1</f>
        <v>0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0</v>
      </c>
      <c r="D175" s="61">
        <f>FH!B175*1</f>
        <v>0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0</v>
      </c>
      <c r="D178" s="61">
        <f>FH!B178*1</f>
        <v>0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0</v>
      </c>
      <c r="D180" s="61">
        <f>FH!B180*1</f>
        <v>0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33.493899999999996</v>
      </c>
      <c r="C5" s="66">
        <v>6.5976900000000001</v>
      </c>
      <c r="D5" s="66">
        <v>19.6982</v>
      </c>
      <c r="E5" s="66">
        <v>20</v>
      </c>
      <c r="F5" s="66">
        <v>14.3049</v>
      </c>
      <c r="G5" s="66">
        <v>50</v>
      </c>
      <c r="H5" s="66">
        <v>49.159399999999998</v>
      </c>
    </row>
    <row r="6" spans="1:8">
      <c r="A6" s="58" t="s">
        <v>303</v>
      </c>
      <c r="B6" s="66">
        <v>47.1601</v>
      </c>
      <c r="C6" s="66">
        <v>2.7972299999999999</v>
      </c>
      <c r="D6" s="66">
        <v>5.9313399999999996</v>
      </c>
      <c r="E6" s="66">
        <v>20</v>
      </c>
      <c r="F6" s="66">
        <v>39.202399999999997</v>
      </c>
      <c r="G6" s="66">
        <v>40</v>
      </c>
      <c r="H6" s="66">
        <v>54.517800000000001</v>
      </c>
    </row>
    <row r="7" spans="1:8">
      <c r="A7" s="58" t="s">
        <v>304</v>
      </c>
      <c r="B7" s="66">
        <v>34.258499999999998</v>
      </c>
      <c r="C7" s="66">
        <v>9.7537500000000001</v>
      </c>
      <c r="D7" s="66">
        <v>28.4711</v>
      </c>
      <c r="E7" s="66">
        <v>15</v>
      </c>
      <c r="F7" s="66">
        <v>12.529400000000001</v>
      </c>
      <c r="G7" s="66">
        <v>40</v>
      </c>
      <c r="H7" s="66">
        <v>51.061</v>
      </c>
    </row>
    <row r="8" spans="1:8">
      <c r="A8" s="58" t="s">
        <v>305</v>
      </c>
      <c r="B8" s="66">
        <v>39.034599999999998</v>
      </c>
      <c r="C8" s="66">
        <v>4.4273199999999999</v>
      </c>
      <c r="D8" s="66">
        <v>11.342000000000001</v>
      </c>
      <c r="E8" s="66">
        <v>20</v>
      </c>
      <c r="F8" s="66">
        <v>22.685199999999998</v>
      </c>
      <c r="G8" s="66">
        <v>50</v>
      </c>
      <c r="H8" s="66">
        <v>43.543700000000001</v>
      </c>
    </row>
    <row r="9" spans="1:8">
      <c r="A9" s="58" t="s">
        <v>306</v>
      </c>
      <c r="B9" s="66">
        <v>60.866900000000001</v>
      </c>
      <c r="C9" s="66">
        <v>6.2865500000000001</v>
      </c>
      <c r="D9" s="66">
        <v>10.3284</v>
      </c>
      <c r="E9" s="66">
        <v>50</v>
      </c>
      <c r="F9" s="66">
        <v>40.957799999999999</v>
      </c>
      <c r="G9" s="66">
        <v>100</v>
      </c>
      <c r="H9" s="66">
        <v>71.891999999999996</v>
      </c>
    </row>
    <row r="10" spans="1:8">
      <c r="A10" s="58" t="s">
        <v>307</v>
      </c>
      <c r="B10" s="66">
        <v>53.252299999999998</v>
      </c>
      <c r="C10" s="66">
        <v>6.4643499999999996</v>
      </c>
      <c r="D10" s="66">
        <v>12.139099999999999</v>
      </c>
      <c r="E10" s="66">
        <v>40</v>
      </c>
      <c r="F10" s="66">
        <v>47.447600000000001</v>
      </c>
      <c r="G10" s="66">
        <v>100</v>
      </c>
      <c r="H10" s="66">
        <v>69.905699999999996</v>
      </c>
    </row>
    <row r="11" spans="1:8">
      <c r="A11" s="58" t="s">
        <v>308</v>
      </c>
      <c r="B11" s="66">
        <v>11.5002</v>
      </c>
      <c r="C11" s="66">
        <v>2.3090899999999999</v>
      </c>
      <c r="D11" s="66">
        <v>20.078600000000002</v>
      </c>
      <c r="E11" s="66">
        <v>10</v>
      </c>
      <c r="F11" s="66">
        <v>4.7104699999999999</v>
      </c>
      <c r="G11" s="66">
        <v>50</v>
      </c>
      <c r="H11" s="66">
        <v>16.471299999999999</v>
      </c>
    </row>
    <row r="12" spans="1:8">
      <c r="A12" s="58" t="s">
        <v>309</v>
      </c>
      <c r="B12" s="66">
        <v>57.967599999999997</v>
      </c>
      <c r="C12" s="66">
        <v>4.3676899999999996</v>
      </c>
      <c r="D12" s="66">
        <v>7.5347099999999996</v>
      </c>
      <c r="E12" s="66">
        <v>50</v>
      </c>
      <c r="F12" s="66">
        <v>45.659300000000002</v>
      </c>
      <c r="G12" s="66">
        <v>100</v>
      </c>
      <c r="H12" s="66">
        <v>67.160600000000002</v>
      </c>
    </row>
    <row r="13" spans="1:8">
      <c r="A13" s="58" t="s">
        <v>310</v>
      </c>
      <c r="B13" s="66">
        <v>14.1394</v>
      </c>
      <c r="C13" s="66">
        <v>3.11483</v>
      </c>
      <c r="D13" s="66">
        <v>22.029399999999999</v>
      </c>
      <c r="E13" s="66">
        <v>10</v>
      </c>
      <c r="F13" s="66">
        <v>10.848100000000001</v>
      </c>
      <c r="G13" s="66">
        <v>25</v>
      </c>
      <c r="H13" s="66">
        <v>29.499400000000001</v>
      </c>
    </row>
    <row r="14" spans="1:8">
      <c r="A14" s="58" t="s">
        <v>311</v>
      </c>
      <c r="B14" s="66">
        <v>31.148299999999999</v>
      </c>
      <c r="C14" s="66">
        <v>14.7041</v>
      </c>
      <c r="D14" s="66">
        <v>47.206899999999997</v>
      </c>
      <c r="E14" s="66">
        <v>10</v>
      </c>
      <c r="F14" s="66">
        <v>2.3957899999999999</v>
      </c>
      <c r="G14" s="66">
        <v>50</v>
      </c>
      <c r="H14" s="66">
        <v>45.198700000000002</v>
      </c>
    </row>
    <row r="15" spans="1:8">
      <c r="A15" s="58" t="s">
        <v>312</v>
      </c>
      <c r="B15" s="66">
        <v>-9.1923100000000004E-3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3.25849E-2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18.475999999999999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0.54795400000000005</v>
      </c>
      <c r="C18" s="66">
        <v>1.72888E-2</v>
      </c>
      <c r="D18" s="66">
        <v>3.1551500000000003E-2</v>
      </c>
      <c r="E18" s="66">
        <v>0</v>
      </c>
      <c r="F18" s="66">
        <v>0.53066599999999997</v>
      </c>
      <c r="G18" s="66">
        <v>0</v>
      </c>
      <c r="H18" s="66">
        <v>0.56524300000000005</v>
      </c>
    </row>
    <row r="19" spans="1:8">
      <c r="A19" s="58" t="s">
        <v>316</v>
      </c>
      <c r="B19" s="66">
        <v>0.74848700000000001</v>
      </c>
      <c r="C19" s="66">
        <v>3.5827199999999997E-2</v>
      </c>
      <c r="D19" s="66">
        <v>4.7866199999999998E-2</v>
      </c>
      <c r="E19" s="66">
        <v>0</v>
      </c>
      <c r="F19" s="66">
        <v>0.71265900000000004</v>
      </c>
      <c r="G19" s="66">
        <v>0</v>
      </c>
      <c r="H19" s="66">
        <v>0.78431399999999996</v>
      </c>
    </row>
    <row r="20" spans="1:8">
      <c r="A20" s="58" t="s">
        <v>317</v>
      </c>
      <c r="B20" s="196">
        <v>2.4612799999999999E-5</v>
      </c>
      <c r="C20" s="66">
        <v>6.4806100000000004E-3</v>
      </c>
      <c r="D20" s="66">
        <v>263.303</v>
      </c>
      <c r="E20" s="66">
        <v>0</v>
      </c>
      <c r="F20" s="66">
        <v>0</v>
      </c>
      <c r="G20" s="66">
        <v>0</v>
      </c>
      <c r="H20" s="66">
        <v>0.110059</v>
      </c>
    </row>
    <row r="21" spans="1:8">
      <c r="A21" s="58" t="s">
        <v>318</v>
      </c>
      <c r="B21" s="66">
        <v>3.57654E-3</v>
      </c>
      <c r="C21" s="66">
        <v>3.1274200000000002E-2</v>
      </c>
      <c r="D21" s="66">
        <v>8.7442600000000006</v>
      </c>
      <c r="E21" s="66">
        <v>0</v>
      </c>
      <c r="F21" s="66">
        <v>0</v>
      </c>
      <c r="G21" s="66">
        <v>0</v>
      </c>
      <c r="H21" s="66">
        <v>0.212508</v>
      </c>
    </row>
    <row r="22" spans="1:8">
      <c r="A22" s="58" t="s">
        <v>319</v>
      </c>
      <c r="B22" s="66">
        <v>20.607700000000001</v>
      </c>
      <c r="C22" s="66">
        <v>13.466799999999999</v>
      </c>
      <c r="D22" s="66">
        <v>0.65348399999999995</v>
      </c>
      <c r="E22" s="66">
        <v>0</v>
      </c>
      <c r="F22" s="66">
        <v>6.9813400000000003</v>
      </c>
      <c r="G22" s="66">
        <v>0</v>
      </c>
      <c r="H22" s="66">
        <v>63.85</v>
      </c>
    </row>
    <row r="23" spans="1:8">
      <c r="A23" s="58" t="s">
        <v>320</v>
      </c>
      <c r="B23" s="66">
        <v>11.135400000000001</v>
      </c>
      <c r="C23" s="66">
        <v>2.0920800000000002</v>
      </c>
      <c r="D23" s="66">
        <v>0.18787599999999999</v>
      </c>
      <c r="E23" s="66">
        <v>0</v>
      </c>
      <c r="F23" s="66">
        <v>6.5034599999999996</v>
      </c>
      <c r="G23" s="66">
        <v>0</v>
      </c>
      <c r="H23" s="66">
        <v>15.1168</v>
      </c>
    </row>
    <row r="24" spans="1:8">
      <c r="A24" s="58" t="s">
        <v>321</v>
      </c>
      <c r="B24" s="196">
        <v>2.6449899999999999E-5</v>
      </c>
      <c r="C24" s="66">
        <v>3.73559E-3</v>
      </c>
      <c r="D24" s="66">
        <v>141.233</v>
      </c>
      <c r="E24" s="66">
        <v>0</v>
      </c>
      <c r="F24" s="196">
        <v>3.8065299999999999E-6</v>
      </c>
      <c r="G24" s="66">
        <v>0</v>
      </c>
      <c r="H24" s="66">
        <v>3.3342299999999998E-2</v>
      </c>
    </row>
    <row r="25" spans="1:8">
      <c r="A25" s="58" t="s">
        <v>322</v>
      </c>
      <c r="B25" s="66">
        <v>1.20193E-2</v>
      </c>
      <c r="C25" s="66">
        <v>1.6239799999999999E-2</v>
      </c>
      <c r="D25" s="66">
        <v>1.35114</v>
      </c>
      <c r="E25" s="66">
        <v>0</v>
      </c>
      <c r="F25" s="66">
        <v>6.8120699999999997E-4</v>
      </c>
      <c r="G25" s="66">
        <v>0</v>
      </c>
      <c r="H25" s="66">
        <v>9.0408199999999994E-2</v>
      </c>
    </row>
    <row r="26" spans="1:8">
      <c r="A26" s="58" t="s">
        <v>323</v>
      </c>
      <c r="B26" s="196">
        <v>6.5651299999999996E-6</v>
      </c>
      <c r="C26" s="66">
        <v>5.2770300000000003E-4</v>
      </c>
      <c r="D26" s="66">
        <v>80.3797</v>
      </c>
      <c r="E26" s="66">
        <v>0</v>
      </c>
      <c r="F26" s="66">
        <v>0</v>
      </c>
      <c r="G26" s="66">
        <v>0</v>
      </c>
      <c r="H26" s="66">
        <v>1.4101900000000001E-2</v>
      </c>
    </row>
    <row r="27" spans="1:8">
      <c r="A27" s="58" t="s">
        <v>324</v>
      </c>
      <c r="B27" s="66">
        <v>0</v>
      </c>
      <c r="C27" s="66">
        <v>5.7809500000000004E-4</v>
      </c>
      <c r="D27" s="66">
        <v>0</v>
      </c>
      <c r="E27" s="66">
        <v>0</v>
      </c>
      <c r="F27" s="66">
        <v>-1.379E-2</v>
      </c>
      <c r="G27" s="66">
        <v>0</v>
      </c>
      <c r="H27" s="66">
        <v>1.3300899999999999E-2</v>
      </c>
    </row>
    <row r="28" spans="1:8">
      <c r="A28" s="58" t="s">
        <v>325</v>
      </c>
      <c r="B28" s="66">
        <v>1.0595699999999999E-3</v>
      </c>
      <c r="C28" s="66">
        <v>3.4411400000000001E-3</v>
      </c>
      <c r="D28" s="66">
        <v>3.2476699999999998</v>
      </c>
      <c r="E28" s="66">
        <v>0</v>
      </c>
      <c r="F28" s="66">
        <v>0</v>
      </c>
      <c r="G28" s="66">
        <v>0</v>
      </c>
      <c r="H28" s="66">
        <v>2.4713499999999999E-2</v>
      </c>
    </row>
    <row r="29" spans="1:8">
      <c r="A29" s="58" t="s">
        <v>326</v>
      </c>
      <c r="B29" s="66">
        <v>63.252000000000002</v>
      </c>
      <c r="C29" s="66">
        <v>9.7077200000000001</v>
      </c>
      <c r="D29" s="66">
        <v>0.153477</v>
      </c>
      <c r="E29" s="66">
        <v>0</v>
      </c>
      <c r="F29" s="66">
        <v>38.741500000000002</v>
      </c>
      <c r="G29" s="66">
        <v>0</v>
      </c>
      <c r="H29" s="66">
        <v>87.935299999999998</v>
      </c>
    </row>
    <row r="30" spans="1:8">
      <c r="A30" s="58" t="s">
        <v>327</v>
      </c>
      <c r="B30" s="66">
        <v>20.228000000000002</v>
      </c>
      <c r="C30" s="66">
        <v>4.5164299999999997</v>
      </c>
      <c r="D30" s="66">
        <v>0.223277</v>
      </c>
      <c r="E30" s="66">
        <v>0</v>
      </c>
      <c r="F30" s="66">
        <v>6.8914200000000001</v>
      </c>
      <c r="G30" s="66">
        <v>0</v>
      </c>
      <c r="H30" s="66">
        <v>24.5929</v>
      </c>
    </row>
    <row r="31" spans="1:8">
      <c r="A31" s="58" t="s">
        <v>328</v>
      </c>
      <c r="B31" s="66">
        <v>84.065100000000001</v>
      </c>
      <c r="C31" s="66">
        <v>29.505299999999998</v>
      </c>
      <c r="D31" s="66">
        <v>0.35098200000000002</v>
      </c>
      <c r="E31" s="66">
        <v>0</v>
      </c>
      <c r="F31" s="66">
        <v>35.824199999999998</v>
      </c>
      <c r="G31" s="66">
        <v>0</v>
      </c>
      <c r="H31" s="66">
        <v>134.96199999999999</v>
      </c>
    </row>
    <row r="32" spans="1:8">
      <c r="A32" s="58" t="s">
        <v>329</v>
      </c>
      <c r="B32" s="66">
        <v>0.34258499999999997</v>
      </c>
      <c r="C32" s="66">
        <v>9.7537499999999999E-2</v>
      </c>
      <c r="D32" s="66">
        <v>0.28471099999999999</v>
      </c>
      <c r="E32" s="66">
        <v>0.15</v>
      </c>
      <c r="F32" s="66">
        <v>0.12529399999999999</v>
      </c>
      <c r="G32" s="66">
        <v>0.4</v>
      </c>
      <c r="H32" s="66">
        <v>0.51061000000000001</v>
      </c>
    </row>
    <row r="33" spans="1:8">
      <c r="A33" s="58" t="s">
        <v>330</v>
      </c>
      <c r="B33" s="66">
        <v>0.40021400000000001</v>
      </c>
      <c r="C33" s="66">
        <v>8.0549300000000004E-2</v>
      </c>
      <c r="D33" s="66">
        <v>0.201266</v>
      </c>
      <c r="E33" s="66">
        <v>0</v>
      </c>
      <c r="F33" s="66">
        <v>0.23896999999999999</v>
      </c>
      <c r="G33" s="66">
        <v>0</v>
      </c>
      <c r="H33" s="66">
        <v>0.47125</v>
      </c>
    </row>
    <row r="34" spans="1:8">
      <c r="A34" s="58" t="s">
        <v>331</v>
      </c>
      <c r="B34" s="66">
        <v>0.14139399999999999</v>
      </c>
      <c r="C34" s="66">
        <v>3.11483E-2</v>
      </c>
      <c r="D34" s="66">
        <v>0.22029399999999999</v>
      </c>
      <c r="E34" s="66">
        <v>0.1</v>
      </c>
      <c r="F34" s="66">
        <v>0.10848099999999999</v>
      </c>
      <c r="G34" s="66">
        <v>0.25</v>
      </c>
      <c r="H34" s="66">
        <v>0.29499399999999998</v>
      </c>
    </row>
    <row r="35" spans="1:8">
      <c r="A35" s="58" t="s">
        <v>332</v>
      </c>
      <c r="B35" s="66">
        <v>6.2554299999999993E-2</v>
      </c>
      <c r="C35" s="66">
        <v>2.4427299999999999E-2</v>
      </c>
      <c r="D35" s="66">
        <v>0.39049800000000001</v>
      </c>
      <c r="E35" s="66">
        <v>0</v>
      </c>
      <c r="F35" s="66">
        <v>3.1945399999999999E-2</v>
      </c>
      <c r="G35" s="66">
        <v>0</v>
      </c>
      <c r="H35" s="66">
        <v>0.15471399999999999</v>
      </c>
    </row>
    <row r="36" spans="1:8">
      <c r="A36" s="58" t="s">
        <v>333</v>
      </c>
      <c r="B36" s="66">
        <v>0.124554</v>
      </c>
      <c r="C36" s="66">
        <v>7.7746999999999997E-2</v>
      </c>
      <c r="D36" s="66">
        <v>0.62420200000000003</v>
      </c>
      <c r="E36" s="66">
        <v>0</v>
      </c>
      <c r="F36" s="66">
        <v>3.5820100000000001E-2</v>
      </c>
      <c r="G36" s="66">
        <v>0</v>
      </c>
      <c r="H36" s="66">
        <v>0.57016900000000004</v>
      </c>
    </row>
    <row r="37" spans="1:8">
      <c r="A37" s="58" t="s">
        <v>334</v>
      </c>
      <c r="B37" s="66">
        <v>0.31148300000000001</v>
      </c>
      <c r="C37" s="66">
        <v>0.14704100000000001</v>
      </c>
      <c r="D37" s="66">
        <v>0.47206900000000002</v>
      </c>
      <c r="E37" s="66">
        <v>0.1</v>
      </c>
      <c r="F37" s="66">
        <v>2.3957900000000001E-2</v>
      </c>
      <c r="G37" s="66">
        <v>0.5</v>
      </c>
      <c r="H37" s="66">
        <v>0.45198700000000003</v>
      </c>
    </row>
    <row r="38" spans="1:8">
      <c r="A38" s="58" t="s">
        <v>335</v>
      </c>
      <c r="B38" s="66">
        <v>0</v>
      </c>
      <c r="C38" s="66">
        <v>33.895200000000003</v>
      </c>
      <c r="D38" s="66">
        <v>0</v>
      </c>
      <c r="E38" s="66">
        <v>0</v>
      </c>
      <c r="F38" s="66">
        <v>-109.896</v>
      </c>
      <c r="G38" s="66">
        <v>0</v>
      </c>
      <c r="H38" s="66">
        <v>221.46799999999999</v>
      </c>
    </row>
    <row r="39" spans="1:8">
      <c r="A39" s="58" t="s">
        <v>336</v>
      </c>
      <c r="B39" s="66">
        <v>-0.371415</v>
      </c>
      <c r="C39" s="66">
        <v>5.7776500000000004</v>
      </c>
      <c r="D39" s="66">
        <v>-15.5558</v>
      </c>
      <c r="E39" s="66">
        <v>0</v>
      </c>
      <c r="F39" s="66">
        <v>-10.991099999999999</v>
      </c>
      <c r="G39" s="66">
        <v>0</v>
      </c>
      <c r="H39" s="66">
        <v>30.520600000000002</v>
      </c>
    </row>
    <row r="40" spans="1:8">
      <c r="A40" s="58" t="s">
        <v>337</v>
      </c>
      <c r="B40" s="66">
        <v>-0.95868200000000003</v>
      </c>
      <c r="C40" s="66">
        <v>0.30485299999999999</v>
      </c>
      <c r="D40" s="66">
        <v>-0.31799100000000002</v>
      </c>
      <c r="E40" s="66">
        <v>0</v>
      </c>
      <c r="F40" s="66">
        <v>-1.6339300000000001</v>
      </c>
      <c r="G40" s="66">
        <v>0</v>
      </c>
      <c r="H40" s="66">
        <v>-0.113548</v>
      </c>
    </row>
    <row r="41" spans="1:8">
      <c r="A41" s="58" t="s">
        <v>338</v>
      </c>
      <c r="B41" s="66">
        <v>0</v>
      </c>
      <c r="C41" s="66">
        <v>0.45979799999999998</v>
      </c>
      <c r="D41" s="66">
        <v>0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-8.9806800000000006E-2</v>
      </c>
      <c r="C42" s="66">
        <v>0.18915399999999999</v>
      </c>
      <c r="D42" s="66">
        <v>-2.10623</v>
      </c>
      <c r="E42" s="66">
        <v>0</v>
      </c>
      <c r="F42" s="66">
        <v>-0.54098400000000002</v>
      </c>
      <c r="G42" s="66">
        <v>0</v>
      </c>
      <c r="H42" s="66">
        <v>0.47368399999999999</v>
      </c>
    </row>
    <row r="43" spans="1:8">
      <c r="A43" s="58" t="s">
        <v>340</v>
      </c>
      <c r="B43" s="66">
        <v>-5.8883900000000003E-2</v>
      </c>
      <c r="C43" s="66">
        <v>6.0236900000000003E-2</v>
      </c>
      <c r="D43" s="66">
        <v>-1.02298</v>
      </c>
      <c r="E43" s="66">
        <v>0</v>
      </c>
      <c r="F43" s="66">
        <v>-0.13594200000000001</v>
      </c>
      <c r="G43" s="66">
        <v>0</v>
      </c>
      <c r="H43" s="66">
        <v>7.0770899999999998E-2</v>
      </c>
    </row>
    <row r="44" spans="1:8">
      <c r="A44" s="58" t="s">
        <v>341</v>
      </c>
      <c r="B44" s="66">
        <v>1.6605399999999999</v>
      </c>
      <c r="C44" s="66">
        <v>4.7948199999999996</v>
      </c>
      <c r="D44" s="66">
        <v>2.8875099999999998</v>
      </c>
      <c r="E44" s="66">
        <v>0</v>
      </c>
      <c r="F44" s="66">
        <v>-4.0803399999999996</v>
      </c>
      <c r="G44" s="66">
        <v>0</v>
      </c>
      <c r="H44" s="66">
        <v>13.0471</v>
      </c>
    </row>
    <row r="45" spans="1:8">
      <c r="A45" s="58" t="s">
        <v>342</v>
      </c>
      <c r="B45" s="66">
        <v>51.536099999999998</v>
      </c>
      <c r="C45" s="66">
        <v>11.1738</v>
      </c>
      <c r="D45" s="66">
        <v>0.21681600000000001</v>
      </c>
      <c r="E45" s="66">
        <v>0</v>
      </c>
      <c r="F45" s="66">
        <v>20.935400000000001</v>
      </c>
      <c r="G45" s="66">
        <v>0</v>
      </c>
      <c r="H45" s="66">
        <v>80.6721</v>
      </c>
    </row>
    <row r="46" spans="1:8">
      <c r="A46" s="58" t="s">
        <v>343</v>
      </c>
      <c r="B46" s="66">
        <v>27.8889</v>
      </c>
      <c r="C46" s="66">
        <v>5.2426000000000004</v>
      </c>
      <c r="D46" s="66">
        <v>0.18798200000000001</v>
      </c>
      <c r="E46" s="66">
        <v>0</v>
      </c>
      <c r="F46" s="66">
        <v>10.3004</v>
      </c>
      <c r="G46" s="66">
        <v>0</v>
      </c>
      <c r="H46" s="66">
        <v>37.711300000000001</v>
      </c>
    </row>
    <row r="47" spans="1:8">
      <c r="A47" s="58" t="s">
        <v>344</v>
      </c>
      <c r="B47" s="66">
        <v>0.39950999999999998</v>
      </c>
      <c r="C47" s="66">
        <v>0.20469399999999999</v>
      </c>
      <c r="D47" s="66">
        <v>0.51236199999999998</v>
      </c>
      <c r="E47" s="66">
        <v>0</v>
      </c>
      <c r="F47" s="66">
        <v>0.103342</v>
      </c>
      <c r="G47" s="66">
        <v>0</v>
      </c>
      <c r="H47" s="66">
        <v>1.2738</v>
      </c>
    </row>
    <row r="48" spans="1:8">
      <c r="A48" s="58" t="s">
        <v>345</v>
      </c>
      <c r="B48" s="66">
        <v>0.49649599999999999</v>
      </c>
      <c r="C48" s="66">
        <v>0.13855600000000001</v>
      </c>
      <c r="D48" s="66">
        <v>0.27906700000000001</v>
      </c>
      <c r="E48" s="66">
        <v>0</v>
      </c>
      <c r="F48" s="66">
        <v>0.26951599999999998</v>
      </c>
      <c r="G48" s="66">
        <v>0</v>
      </c>
      <c r="H48" s="66">
        <v>0.97404199999999996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-0.82860000000000156</v>
      </c>
      <c r="C5" s="66">
        <f>'M2'!C5-'M1'!C5</f>
        <v>-3.1657100000000007</v>
      </c>
      <c r="D5" s="66">
        <f>'M2'!D5-'M1'!D5</f>
        <v>-8.902099999999999</v>
      </c>
      <c r="E5" s="66">
        <f>'M2'!E5-'M1'!E5</f>
        <v>0</v>
      </c>
      <c r="F5" s="66">
        <f>'M2'!F5-'M1'!F5</f>
        <v>10.305900000000001</v>
      </c>
      <c r="G5" s="66">
        <f>'M2'!G5-'M1'!G5</f>
        <v>0</v>
      </c>
      <c r="H5" s="66">
        <f>'M2'!H5-'M1'!H5</f>
        <v>-3.7402999999999977</v>
      </c>
    </row>
    <row r="6" spans="1:8">
      <c r="A6" s="66" t="s">
        <v>244</v>
      </c>
      <c r="B6" s="66">
        <f>'M2'!B6-'M1'!B6</f>
        <v>-3.0515999999999934</v>
      </c>
      <c r="C6" s="66">
        <f>'M2'!C6-'M1'!C6</f>
        <v>-0.78236999999999979</v>
      </c>
      <c r="D6" s="66">
        <f>'M2'!D6-'M1'!D6</f>
        <v>-1.3107099999999994</v>
      </c>
      <c r="E6" s="66">
        <f>'M2'!E6-'M1'!E6</f>
        <v>0</v>
      </c>
      <c r="F6" s="66">
        <f>'M2'!F6-'M1'!F6</f>
        <v>4.2888000000000019</v>
      </c>
      <c r="G6" s="66">
        <f>'M2'!G6-'M1'!G6</f>
        <v>0</v>
      </c>
      <c r="H6" s="66">
        <f>'M2'!H6-'M1'!H6</f>
        <v>-3.3624000000000009</v>
      </c>
    </row>
    <row r="7" spans="1:8">
      <c r="A7" s="66" t="s">
        <v>245</v>
      </c>
      <c r="B7" s="66">
        <f>'M2'!B7-'M1'!B7</f>
        <v>2.5781999999999954</v>
      </c>
      <c r="C7" s="66">
        <f>'M2'!C7-'M1'!C7</f>
        <v>3.085799999999999</v>
      </c>
      <c r="D7" s="66">
        <f>'M2'!D7-'M1'!D7</f>
        <v>6.7975999999999992</v>
      </c>
      <c r="E7" s="66">
        <f>'M2'!E7-'M1'!E7</f>
        <v>0</v>
      </c>
      <c r="F7" s="66">
        <f>'M2'!F7-'M1'!F7</f>
        <v>-7.6435999999999975</v>
      </c>
      <c r="G7" s="66">
        <f>'M2'!G7-'M1'!G7</f>
        <v>0</v>
      </c>
      <c r="H7" s="66">
        <f>'M2'!H7-'M1'!H7</f>
        <v>0.11180000000000234</v>
      </c>
    </row>
    <row r="8" spans="1:8">
      <c r="A8" s="66" t="s">
        <v>246</v>
      </c>
      <c r="B8" s="66">
        <f>'M2'!B8-'M1'!B8</f>
        <v>-3.1435999999999993</v>
      </c>
      <c r="C8" s="66">
        <f>'M2'!C8-'M1'!C8</f>
        <v>-0.89201999999999959</v>
      </c>
      <c r="D8" s="66">
        <f>'M2'!D8-'M1'!D8</f>
        <v>-1.3886000000000003</v>
      </c>
      <c r="E8" s="66">
        <f>'M2'!E8-'M1'!E8</f>
        <v>0</v>
      </c>
      <c r="F8" s="66">
        <f>'M2'!F8-'M1'!F8</f>
        <v>7.6617000000000033</v>
      </c>
      <c r="G8" s="66">
        <f>'M2'!G8-'M1'!G8</f>
        <v>0</v>
      </c>
      <c r="H8" s="66">
        <f>'M2'!H8-'M1'!H8</f>
        <v>-5.9600000000003206E-2</v>
      </c>
    </row>
    <row r="9" spans="1:8">
      <c r="A9" s="66" t="s">
        <v>247</v>
      </c>
      <c r="B9" s="66">
        <f>'M2'!B9-'M1'!B9</f>
        <v>1.0052999999999983</v>
      </c>
      <c r="C9" s="66">
        <f>'M2'!C9-'M1'!C9</f>
        <v>0.95664999999999978</v>
      </c>
      <c r="D9" s="66">
        <f>'M2'!D9-'M1'!D9</f>
        <v>1.4069000000000003</v>
      </c>
      <c r="E9" s="66">
        <f>'M2'!E9-'M1'!E9</f>
        <v>0</v>
      </c>
      <c r="F9" s="66">
        <f>'M2'!F9-'M1'!F9</f>
        <v>-7.0829000000000022</v>
      </c>
      <c r="G9" s="66">
        <f>'M2'!G9-'M1'!G9</f>
        <v>0</v>
      </c>
      <c r="H9" s="66">
        <f>'M2'!H9-'M1'!H9</f>
        <v>-2.4654000000000025</v>
      </c>
    </row>
    <row r="10" spans="1:8">
      <c r="A10" s="66" t="s">
        <v>248</v>
      </c>
      <c r="B10" s="66">
        <f>'M2'!B10-'M1'!B10</f>
        <v>-12.379100000000001</v>
      </c>
      <c r="C10" s="66">
        <f>'M2'!C10-'M1'!C10</f>
        <v>-4.07402</v>
      </c>
      <c r="D10" s="66">
        <f>'M2'!D10-'M1'!D10</f>
        <v>-5.8059099999999999</v>
      </c>
      <c r="E10" s="66">
        <f>'M2'!E10-'M1'!E10</f>
        <v>0</v>
      </c>
      <c r="F10" s="66">
        <f>'M2'!F10-'M1'!F10</f>
        <v>-2.6914999999999978</v>
      </c>
      <c r="G10" s="66">
        <f>'M2'!G10-'M1'!G10</f>
        <v>0</v>
      </c>
      <c r="H10" s="66">
        <f>'M2'!H10-'M1'!H10</f>
        <v>-15.699399999999997</v>
      </c>
    </row>
    <row r="11" spans="1:8">
      <c r="A11" s="66" t="s">
        <v>249</v>
      </c>
      <c r="B11" s="66">
        <f>'M2'!B11-'M1'!B11</f>
        <v>-0.42220000000000013</v>
      </c>
      <c r="C11" s="66">
        <f>'M2'!C11-'M1'!C11</f>
        <v>-0.80021000000000009</v>
      </c>
      <c r="D11" s="66">
        <f>'M2'!D11-'M1'!D11</f>
        <v>-6.2004000000000019</v>
      </c>
      <c r="E11" s="66">
        <f>'M2'!E11-'M1'!E11</f>
        <v>0</v>
      </c>
      <c r="F11" s="66">
        <f>'M2'!F11-'M1'!F11</f>
        <v>2.1590400000000001</v>
      </c>
      <c r="G11" s="66">
        <f>'M2'!G11-'M1'!G11</f>
        <v>0</v>
      </c>
      <c r="H11" s="66">
        <f>'M2'!H11-'M1'!H11</f>
        <v>-1.764899999999999</v>
      </c>
    </row>
    <row r="12" spans="1:8">
      <c r="A12" s="66" t="s">
        <v>250</v>
      </c>
      <c r="B12" s="66">
        <f>'M2'!B12-'M1'!B12</f>
        <v>-4.3221999999999952</v>
      </c>
      <c r="C12" s="66">
        <f>'M2'!C12-'M1'!C12</f>
        <v>0.62991999999999981</v>
      </c>
      <c r="D12" s="66">
        <f>'M2'!D12-'M1'!D12</f>
        <v>1.5053000000000001</v>
      </c>
      <c r="E12" s="66">
        <f>'M2'!E12-'M1'!E12</f>
        <v>0</v>
      </c>
      <c r="F12" s="66">
        <f>'M2'!F12-'M1'!F12</f>
        <v>-9.3765000000000001</v>
      </c>
      <c r="G12" s="66">
        <f>'M2'!G12-'M1'!G12</f>
        <v>0</v>
      </c>
      <c r="H12" s="66">
        <f>'M2'!H12-'M1'!H12</f>
        <v>-6.2229000000000028</v>
      </c>
    </row>
    <row r="13" spans="1:8">
      <c r="A13" s="66" t="s">
        <v>251</v>
      </c>
      <c r="B13" s="66">
        <f>'M2'!B13-'M1'!B13</f>
        <v>1.559999999999917E-2</v>
      </c>
      <c r="C13" s="66">
        <f>'M2'!C13-'M1'!C13</f>
        <v>-1.9479399999999998</v>
      </c>
      <c r="D13" s="66">
        <f>'M2'!D13-'M1'!D13</f>
        <v>-13.791999999999998</v>
      </c>
      <c r="E13" s="66">
        <f>'M2'!E13-'M1'!E13</f>
        <v>0</v>
      </c>
      <c r="F13" s="66">
        <f>'M2'!F13-'M1'!F13</f>
        <v>0.67469999999999963</v>
      </c>
      <c r="G13" s="66">
        <f>'M2'!G13-'M1'!G13</f>
        <v>0</v>
      </c>
      <c r="H13" s="66">
        <f>'M2'!H13-'M1'!H13</f>
        <v>-9.3611000000000004</v>
      </c>
    </row>
    <row r="14" spans="1:8">
      <c r="A14" s="66" t="s">
        <v>252</v>
      </c>
      <c r="B14" s="66">
        <f>'M2'!B14-'M1'!B14</f>
        <v>-19.479400000000002</v>
      </c>
      <c r="C14" s="66">
        <f>'M2'!C14-'M1'!C14</f>
        <v>-2.0290999999999997</v>
      </c>
      <c r="D14" s="66">
        <f>'M2'!D14-'M1'!D14</f>
        <v>29.372700000000002</v>
      </c>
      <c r="E14" s="66">
        <f>'M2'!E14-'M1'!E14</f>
        <v>0</v>
      </c>
      <c r="F14" s="66">
        <f>'M2'!F14-'M1'!F14</f>
        <v>-3.2480000000000064E-2</v>
      </c>
      <c r="G14" s="66">
        <f>'M2'!G14-'M1'!G14</f>
        <v>0</v>
      </c>
      <c r="H14" s="66">
        <f>'M2'!H14-'M1'!H14</f>
        <v>-6.1332000000000022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-5.8212999999999959E-2</v>
      </c>
      <c r="C18" s="66">
        <f>'M2'!C18-'M1'!C18</f>
        <v>1.72888E-2</v>
      </c>
      <c r="D18" s="66">
        <f>'M2'!D18-'M1'!D18</f>
        <v>3.1551500000000003E-2</v>
      </c>
      <c r="E18" s="66">
        <f>'M2'!E18-'M1'!E18</f>
        <v>0</v>
      </c>
      <c r="F18" s="66">
        <f>'M2'!F18-'M1'!F18</f>
        <v>0.53066599999999997</v>
      </c>
      <c r="G18" s="66">
        <f>'M2'!G18-'M1'!G18</f>
        <v>0</v>
      </c>
      <c r="H18" s="66">
        <f>'M2'!H18-'M1'!H18</f>
        <v>0.56524300000000005</v>
      </c>
    </row>
    <row r="19" spans="1:8">
      <c r="A19" s="66" t="s">
        <v>256</v>
      </c>
      <c r="B19" s="66">
        <f>'M2'!B19-'M1'!B19</f>
        <v>1.1156999999999972E-2</v>
      </c>
      <c r="C19" s="66">
        <f>'M2'!C19-'M1'!C19</f>
        <v>3.5827199999999997E-2</v>
      </c>
      <c r="D19" s="66">
        <f>'M2'!D19-'M1'!D19</f>
        <v>4.7866199999999998E-2</v>
      </c>
      <c r="E19" s="66">
        <f>'M2'!E19-'M1'!E19</f>
        <v>0</v>
      </c>
      <c r="F19" s="66">
        <f>'M2'!F19-'M1'!F19</f>
        <v>0.71265900000000004</v>
      </c>
      <c r="G19" s="66">
        <f>'M2'!G19-'M1'!G19</f>
        <v>0</v>
      </c>
      <c r="H19" s="66">
        <f>'M2'!H19-'M1'!H19</f>
        <v>0.78431399999999996</v>
      </c>
    </row>
    <row r="20" spans="1:8">
      <c r="A20" s="66" t="s">
        <v>63</v>
      </c>
      <c r="B20" s="66">
        <f>'M2'!B20-'M1'!B20</f>
        <v>-1.1115599999999996E-5</v>
      </c>
      <c r="C20" s="66">
        <f>'M2'!C20-'M1'!C20</f>
        <v>-2.9797000000000001E-3</v>
      </c>
      <c r="D20" s="66">
        <f>'M2'!D20-'M1'!D20</f>
        <v>-7.7870000000000061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-4.1050200000000009E-2</v>
      </c>
    </row>
    <row r="21" spans="1:8">
      <c r="A21" s="66" t="s">
        <v>64</v>
      </c>
      <c r="B21" s="66">
        <f>'M2'!B21-'M1'!B21</f>
        <v>-4.1588600000000003E-3</v>
      </c>
      <c r="C21" s="66">
        <f>'M2'!C21-'M1'!C21</f>
        <v>-1.8447999999999999E-2</v>
      </c>
      <c r="D21" s="66">
        <f>'M2'!D21-'M1'!D21</f>
        <v>3.5453099999999997</v>
      </c>
      <c r="E21" s="66">
        <f>'M2'!E21-'M1'!E21</f>
        <v>0</v>
      </c>
      <c r="F21" s="66">
        <f>'M2'!F21-'M1'!F21</f>
        <v>-2.4139599999999998E-5</v>
      </c>
      <c r="G21" s="66">
        <f>'M2'!G21-'M1'!G21</f>
        <v>0</v>
      </c>
      <c r="H21" s="66">
        <f>'M2'!H21-'M1'!H21</f>
        <v>-0.103198</v>
      </c>
    </row>
    <row r="22" spans="1:8">
      <c r="A22" s="66" t="s">
        <v>65</v>
      </c>
      <c r="B22" s="66">
        <f>'M2'!B22-'M1'!B22</f>
        <v>-3.1779999999999973</v>
      </c>
      <c r="C22" s="66">
        <f>'M2'!C22-'M1'!C22</f>
        <v>3.5863999999999994</v>
      </c>
      <c r="D22" s="66">
        <f>'M2'!D22-'M1'!D22</f>
        <v>0.26451800000000003</v>
      </c>
      <c r="E22" s="66">
        <f>'M2'!E22-'M1'!E22</f>
        <v>0</v>
      </c>
      <c r="F22" s="66">
        <f>'M2'!F22-'M1'!F22</f>
        <v>-5.2696599999999991</v>
      </c>
      <c r="G22" s="66">
        <f>'M2'!G22-'M1'!G22</f>
        <v>0</v>
      </c>
      <c r="H22" s="66">
        <f>'M2'!H22-'M1'!H22</f>
        <v>6.5914000000000001</v>
      </c>
    </row>
    <row r="23" spans="1:8">
      <c r="A23" s="66" t="s">
        <v>66</v>
      </c>
      <c r="B23" s="66">
        <f>'M2'!B23-'M1'!B23</f>
        <v>1.5070999999999994</v>
      </c>
      <c r="C23" s="66">
        <f>'M2'!C23-'M1'!C23</f>
        <v>0.14711000000000007</v>
      </c>
      <c r="D23" s="66">
        <f>'M2'!D23-'M1'!D23</f>
        <v>-9.1520000000000212E-3</v>
      </c>
      <c r="E23" s="66">
        <f>'M2'!E23-'M1'!E23</f>
        <v>0</v>
      </c>
      <c r="F23" s="66">
        <f>'M2'!F23-'M1'!F23</f>
        <v>1.9562499999999998</v>
      </c>
      <c r="G23" s="66">
        <f>'M2'!G23-'M1'!G23</f>
        <v>0</v>
      </c>
      <c r="H23" s="66">
        <f>'M2'!H23-'M1'!H23</f>
        <v>0.25739999999999874</v>
      </c>
    </row>
    <row r="24" spans="1:8">
      <c r="A24" s="66" t="s">
        <v>67</v>
      </c>
      <c r="B24" s="66">
        <f>'M2'!B24-'M1'!B24</f>
        <v>-1.4089099999999997E-5</v>
      </c>
      <c r="C24" s="66">
        <f>'M2'!C24-'M1'!C24</f>
        <v>-1.7483899999999998E-3</v>
      </c>
      <c r="D24" s="66">
        <f>'M2'!D24-'M1'!D24</f>
        <v>-1.3650000000000091</v>
      </c>
      <c r="E24" s="66">
        <f>'M2'!E24-'M1'!E24</f>
        <v>0</v>
      </c>
      <c r="F24" s="66">
        <f>'M2'!F24-'M1'!F24</f>
        <v>-2.9124100000000005E-6</v>
      </c>
      <c r="G24" s="66">
        <f>'M2'!G24-'M1'!G24</f>
        <v>0</v>
      </c>
      <c r="H24" s="66">
        <f>'M2'!H24-'M1'!H24</f>
        <v>-1.66883E-2</v>
      </c>
    </row>
    <row r="25" spans="1:8">
      <c r="A25" s="66" t="s">
        <v>68</v>
      </c>
      <c r="B25" s="66">
        <f>'M2'!B25-'M1'!B25</f>
        <v>-5.5435999999999992E-3</v>
      </c>
      <c r="C25" s="66">
        <f>'M2'!C25-'M1'!C25</f>
        <v>-1.102122E-2</v>
      </c>
      <c r="D25" s="66">
        <f>'M2'!D25-'M1'!D25</f>
        <v>-0.40079900000000002</v>
      </c>
      <c r="E25" s="66">
        <f>'M2'!E25-'M1'!E25</f>
        <v>0</v>
      </c>
      <c r="F25" s="66">
        <f>'M2'!F25-'M1'!F25</f>
        <v>-1.3010230000000001E-3</v>
      </c>
      <c r="G25" s="66">
        <f>'M2'!G25-'M1'!G25</f>
        <v>0</v>
      </c>
      <c r="H25" s="66">
        <f>'M2'!H25-'M1'!H25</f>
        <v>-6.0784399999999995E-2</v>
      </c>
    </row>
    <row r="26" spans="1:8">
      <c r="A26" s="66" t="s">
        <v>69</v>
      </c>
      <c r="B26" s="66">
        <f>'M2'!B26-'M1'!B26</f>
        <v>-3.2825699999999997E-6</v>
      </c>
      <c r="C26" s="66">
        <f>'M2'!C26-'M1'!C26</f>
        <v>-3.6151100000000002E-4</v>
      </c>
      <c r="D26" s="66">
        <f>'M2'!D26-'M1'!D26</f>
        <v>-7.2747000000000099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-1.077666E-2</v>
      </c>
    </row>
    <row r="27" spans="1:8">
      <c r="A27" s="66" t="s">
        <v>70</v>
      </c>
      <c r="B27" s="66">
        <f>'M2'!B27-'M1'!B27</f>
        <v>0</v>
      </c>
      <c r="C27" s="66">
        <f>'M2'!C27-'M1'!C27</f>
        <v>-5.4792300000000007E-4</v>
      </c>
      <c r="D27" s="66">
        <f>'M2'!D27-'M1'!D27</f>
        <v>0</v>
      </c>
      <c r="E27" s="66">
        <f>'M2'!E27-'M1'!E27</f>
        <v>0</v>
      </c>
      <c r="F27" s="66">
        <f>'M2'!F27-'M1'!F27</f>
        <v>1.1065470000000001E-2</v>
      </c>
      <c r="G27" s="66">
        <f>'M2'!G27-'M1'!G27</f>
        <v>0</v>
      </c>
      <c r="H27" s="66">
        <f>'M2'!H27-'M1'!H27</f>
        <v>-1.08357E-2</v>
      </c>
    </row>
    <row r="28" spans="1:8">
      <c r="A28" s="66" t="s">
        <v>71</v>
      </c>
      <c r="B28" s="66">
        <f>'M2'!B28-'M1'!B28</f>
        <v>-9.3099100000000005E-4</v>
      </c>
      <c r="C28" s="66">
        <f>'M2'!C28-'M1'!C28</f>
        <v>-1.9189699999999999E-3</v>
      </c>
      <c r="D28" s="66">
        <f>'M2'!D28-'M1'!D28</f>
        <v>0.72413000000000016</v>
      </c>
      <c r="E28" s="66">
        <f>'M2'!E28-'M1'!E28</f>
        <v>0</v>
      </c>
      <c r="F28" s="66">
        <f>'M2'!F28-'M1'!F28</f>
        <v>-6.5104200000000001E-6</v>
      </c>
      <c r="G28" s="66">
        <f>'M2'!G28-'M1'!G28</f>
        <v>0</v>
      </c>
      <c r="H28" s="66">
        <f>'M2'!H28-'M1'!H28</f>
        <v>-1.4150299999999999E-2</v>
      </c>
    </row>
    <row r="29" spans="1:8">
      <c r="A29" s="66" t="s">
        <v>72</v>
      </c>
      <c r="B29" s="66">
        <f>'M2'!B29-'M1'!B29</f>
        <v>-0.12590000000000146</v>
      </c>
      <c r="C29" s="66">
        <f>'M2'!C29-'M1'!C29</f>
        <v>3.2331199999999995</v>
      </c>
      <c r="D29" s="66">
        <f>'M2'!D29-'M1'!D29</f>
        <v>5.1392000000000021E-2</v>
      </c>
      <c r="E29" s="66">
        <f>'M2'!E29-'M1'!E29</f>
        <v>0</v>
      </c>
      <c r="F29" s="66">
        <f>'M2'!F29-'M1'!F29</f>
        <v>-7.9377999999999957</v>
      </c>
      <c r="G29" s="66">
        <f>'M2'!G29-'M1'!G29</f>
        <v>0</v>
      </c>
      <c r="H29" s="66">
        <f>'M2'!H29-'M1'!H29</f>
        <v>4.6096000000000004</v>
      </c>
    </row>
    <row r="30" spans="1:8">
      <c r="A30" s="66" t="s">
        <v>73</v>
      </c>
      <c r="B30" s="66">
        <f>'M2'!B30-'M1'!B30</f>
        <v>6.0877999999999997</v>
      </c>
      <c r="C30" s="66">
        <f>'M2'!C30-'M1'!C30</f>
        <v>-2.9941800000000001</v>
      </c>
      <c r="D30" s="66">
        <f>'M2'!D30-'M1'!D30</f>
        <v>-0.23677359999999997</v>
      </c>
      <c r="E30" s="66">
        <f>'M2'!E30-'M1'!E30</f>
        <v>0</v>
      </c>
      <c r="F30" s="66">
        <f>'M2'!F30-'M1'!F30</f>
        <v>10.390180000000001</v>
      </c>
      <c r="G30" s="66">
        <f>'M2'!G30-'M1'!G30</f>
        <v>0</v>
      </c>
      <c r="H30" s="66">
        <f>'M2'!H30-'M1'!H30</f>
        <v>2.0831000000000017</v>
      </c>
    </row>
    <row r="31" spans="1:8">
      <c r="A31" s="66" t="s">
        <v>74</v>
      </c>
      <c r="B31" s="66">
        <f>'M2'!B31-'M1'!B31</f>
        <v>-21.397999999999996</v>
      </c>
      <c r="C31" s="66">
        <f>'M2'!C31-'M1'!C31</f>
        <v>-8.3574999999999982</v>
      </c>
      <c r="D31" s="66">
        <f>'M2'!D31-'M1'!D31</f>
        <v>-2.5343999999999978E-2</v>
      </c>
      <c r="E31" s="66">
        <f>'M2'!E31-'M1'!E31</f>
        <v>0</v>
      </c>
      <c r="F31" s="66">
        <f>'M2'!F31-'M1'!F31</f>
        <v>-1.3081999999999994</v>
      </c>
      <c r="G31" s="66">
        <f>'M2'!G31-'M1'!G31</f>
        <v>0</v>
      </c>
      <c r="H31" s="66">
        <f>'M2'!H31-'M1'!H31</f>
        <v>-41.539099999999991</v>
      </c>
    </row>
    <row r="32" spans="1:8">
      <c r="A32" s="66" t="s">
        <v>75</v>
      </c>
      <c r="B32" s="66">
        <f>'M2'!B32-'M1'!B32</f>
        <v>2.5781999999999972E-2</v>
      </c>
      <c r="C32" s="66">
        <f>'M2'!C32-'M1'!C32</f>
        <v>3.0857999999999997E-2</v>
      </c>
      <c r="D32" s="66">
        <f>'M2'!D32-'M1'!D32</f>
        <v>6.7975999999999981E-2</v>
      </c>
      <c r="E32" s="66">
        <f>'M2'!E32-'M1'!E32</f>
        <v>0</v>
      </c>
      <c r="F32" s="66">
        <f>'M2'!F32-'M1'!F32</f>
        <v>-7.6436000000000004E-2</v>
      </c>
      <c r="G32" s="66">
        <f>'M2'!G32-'M1'!G32</f>
        <v>0</v>
      </c>
      <c r="H32" s="66">
        <f>'M2'!H32-'M1'!H32</f>
        <v>1.1180000000000634E-3</v>
      </c>
    </row>
    <row r="33" spans="1:8">
      <c r="A33" s="66" t="s">
        <v>76</v>
      </c>
      <c r="B33" s="66">
        <f>'M2'!B33-'M1'!B33</f>
        <v>0.160551</v>
      </c>
      <c r="C33" s="66">
        <f>'M2'!C33-'M1'!C33</f>
        <v>-3.8160600000000003E-2</v>
      </c>
      <c r="D33" s="66">
        <f>'M2'!D33-'M1'!D33</f>
        <v>-0.16493380000000002</v>
      </c>
      <c r="E33" s="66">
        <f>'M2'!E33-'M1'!E33</f>
        <v>0</v>
      </c>
      <c r="F33" s="66">
        <f>'M2'!F33-'M1'!F33</f>
        <v>0.14617100000000002</v>
      </c>
      <c r="G33" s="66">
        <f>'M2'!G33-'M1'!G33</f>
        <v>0</v>
      </c>
      <c r="H33" s="66">
        <f>'M2'!H33-'M1'!H33</f>
        <v>4.3920999999999988E-2</v>
      </c>
    </row>
    <row r="34" spans="1:8">
      <c r="A34" s="66" t="s">
        <v>77</v>
      </c>
      <c r="B34" s="66">
        <f>'M2'!B34-'M1'!B34</f>
        <v>1.5600000000001724E-4</v>
      </c>
      <c r="C34" s="66">
        <f>'M2'!C34-'M1'!C34</f>
        <v>-1.9479400000000001E-2</v>
      </c>
      <c r="D34" s="66">
        <f>'M2'!D34-'M1'!D34</f>
        <v>-0.13791999999999999</v>
      </c>
      <c r="E34" s="66">
        <f>'M2'!E34-'M1'!E34</f>
        <v>0</v>
      </c>
      <c r="F34" s="66">
        <f>'M2'!F34-'M1'!F34</f>
        <v>6.747000000000003E-3</v>
      </c>
      <c r="G34" s="66">
        <f>'M2'!G34-'M1'!G34</f>
        <v>0</v>
      </c>
      <c r="H34" s="66">
        <f>'M2'!H34-'M1'!H34</f>
        <v>-9.3610999999999972E-2</v>
      </c>
    </row>
    <row r="35" spans="1:8">
      <c r="A35" s="66" t="s">
        <v>78</v>
      </c>
      <c r="B35" s="66">
        <f>'M2'!B35-'M1'!B35</f>
        <v>3.5648000000000069E-3</v>
      </c>
      <c r="C35" s="66">
        <f>'M2'!C35-'M1'!C35</f>
        <v>-9.814299999999998E-3</v>
      </c>
      <c r="D35" s="66">
        <f>'M2'!D35-'M1'!D35</f>
        <v>-0.18032300000000001</v>
      </c>
      <c r="E35" s="66">
        <f>'M2'!E35-'M1'!E35</f>
        <v>0</v>
      </c>
      <c r="F35" s="66">
        <f>'M2'!F35-'M1'!F35</f>
        <v>-3.7803000000000003E-3</v>
      </c>
      <c r="G35" s="66">
        <f>'M2'!G35-'M1'!G35</f>
        <v>0</v>
      </c>
      <c r="H35" s="66">
        <f>'M2'!H35-'M1'!H35</f>
        <v>-3.9925999999999989E-2</v>
      </c>
    </row>
    <row r="36" spans="1:8">
      <c r="A36" s="66" t="s">
        <v>79</v>
      </c>
      <c r="B36" s="66">
        <f>'M2'!B36-'M1'!B36</f>
        <v>-4.5120000000000021E-3</v>
      </c>
      <c r="C36" s="66">
        <f>'M2'!C36-'M1'!C36</f>
        <v>-1.4702900000000005E-2</v>
      </c>
      <c r="D36" s="66">
        <f>'M2'!D36-'M1'!D36</f>
        <v>-9.4322999999999935E-2</v>
      </c>
      <c r="E36" s="66">
        <f>'M2'!E36-'M1'!E36</f>
        <v>0</v>
      </c>
      <c r="F36" s="66">
        <f>'M2'!F36-'M1'!F36</f>
        <v>2.0688999999999985E-3</v>
      </c>
      <c r="G36" s="66">
        <f>'M2'!G36-'M1'!G36</f>
        <v>0</v>
      </c>
      <c r="H36" s="66">
        <f>'M2'!H36-'M1'!H36</f>
        <v>-9.2948000000000031E-2</v>
      </c>
    </row>
    <row r="37" spans="1:8">
      <c r="A37" s="66" t="s">
        <v>80</v>
      </c>
      <c r="B37" s="66">
        <f>'M2'!B37-'M1'!B37</f>
        <v>-0.19479399999999999</v>
      </c>
      <c r="C37" s="66">
        <f>'M2'!C37-'M1'!C37</f>
        <v>-2.0291000000000003E-2</v>
      </c>
      <c r="D37" s="66">
        <f>'M2'!D37-'M1'!D37</f>
        <v>0.29372700000000002</v>
      </c>
      <c r="E37" s="66">
        <f>'M2'!E37-'M1'!E37</f>
        <v>0</v>
      </c>
      <c r="F37" s="66">
        <f>'M2'!F37-'M1'!F37</f>
        <v>-3.2480000000000009E-4</v>
      </c>
      <c r="G37" s="66">
        <f>'M2'!G37-'M1'!G37</f>
        <v>0</v>
      </c>
      <c r="H37" s="66">
        <f>'M2'!H37-'M1'!H37</f>
        <v>-6.1332000000000053E-2</v>
      </c>
    </row>
    <row r="38" spans="1:8">
      <c r="A38" s="66" t="s">
        <v>81</v>
      </c>
      <c r="B38" s="66">
        <f>'M2'!B38-'M1'!B38</f>
        <v>0</v>
      </c>
      <c r="C38" s="66">
        <f>'M2'!C38-'M1'!C38</f>
        <v>-14.732799999999997</v>
      </c>
      <c r="D38" s="66">
        <f>'M2'!D38-'M1'!D38</f>
        <v>0</v>
      </c>
      <c r="E38" s="66">
        <f>'M2'!E38-'M1'!E38</f>
        <v>0</v>
      </c>
      <c r="F38" s="66">
        <f>'M2'!F38-'M1'!F38</f>
        <v>-0.56100000000000705</v>
      </c>
      <c r="G38" s="66">
        <f>'M2'!G38-'M1'!G38</f>
        <v>0</v>
      </c>
      <c r="H38" s="66">
        <f>'M2'!H38-'M1'!H38</f>
        <v>-154.16839999999999</v>
      </c>
    </row>
    <row r="39" spans="1:8">
      <c r="A39" s="66" t="s">
        <v>82</v>
      </c>
      <c r="B39" s="66">
        <f>'M2'!B39-'M1'!B39</f>
        <v>-2.1992050000000001</v>
      </c>
      <c r="C39" s="66">
        <f>'M2'!C39-'M1'!C39</f>
        <v>-3.6800499999999996</v>
      </c>
      <c r="D39" s="66">
        <f>'M2'!D39-'M1'!D39</f>
        <v>-10.94763</v>
      </c>
      <c r="E39" s="66">
        <f>'M2'!E39-'M1'!E39</f>
        <v>0</v>
      </c>
      <c r="F39" s="66">
        <f>'M2'!F39-'M1'!F39</f>
        <v>3.2109899999999998</v>
      </c>
      <c r="G39" s="66">
        <f>'M2'!G39-'M1'!G39</f>
        <v>0</v>
      </c>
      <c r="H39" s="66">
        <f>'M2'!H39-'M1'!H39</f>
        <v>-23.160900000000002</v>
      </c>
    </row>
    <row r="40" spans="1:8">
      <c r="A40" s="66" t="s">
        <v>83</v>
      </c>
      <c r="B40" s="66">
        <f>'M2'!B40-'M1'!B40</f>
        <v>-0.10413700000000004</v>
      </c>
      <c r="C40" s="66">
        <f>'M2'!C40-'M1'!C40</f>
        <v>6.5865000000000007E-2</v>
      </c>
      <c r="D40" s="66">
        <f>'M2'!D40-'M1'!D40</f>
        <v>-3.536499999999998E-2</v>
      </c>
      <c r="E40" s="66">
        <f>'M2'!E40-'M1'!E40</f>
        <v>0</v>
      </c>
      <c r="F40" s="66">
        <f>'M2'!F40-'M1'!F40</f>
        <v>0.14788000000000001</v>
      </c>
      <c r="G40" s="66">
        <f>'M2'!G40-'M1'!G40</f>
        <v>0</v>
      </c>
      <c r="H40" s="66">
        <f>'M2'!H40-'M1'!H40</f>
        <v>-9.0052000000000021E-2</v>
      </c>
    </row>
    <row r="41" spans="1:8">
      <c r="A41" s="66" t="s">
        <v>84</v>
      </c>
      <c r="B41" s="66">
        <f>'M2'!B41-'M1'!B41</f>
        <v>0</v>
      </c>
      <c r="C41" s="66">
        <f>'M2'!C41-'M1'!C41</f>
        <v>-6.4184999999999992E-2</v>
      </c>
      <c r="D41" s="66">
        <f>'M2'!D41-'M1'!D41</f>
        <v>0</v>
      </c>
      <c r="E41" s="66">
        <f>'M2'!E41-'M1'!E41</f>
        <v>0</v>
      </c>
      <c r="F41" s="66">
        <f>'M2'!F41-'M1'!F41</f>
        <v>0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-5.0969800000000003E-2</v>
      </c>
      <c r="C42" s="66">
        <f>'M2'!C42-'M1'!C42</f>
        <v>2.7173000000000003E-2</v>
      </c>
      <c r="D42" s="66">
        <f>'M2'!D42-'M1'!D42</f>
        <v>1.47051</v>
      </c>
      <c r="E42" s="66">
        <f>'M2'!E42-'M1'!E42</f>
        <v>0</v>
      </c>
      <c r="F42" s="66">
        <f>'M2'!F42-'M1'!F42</f>
        <v>-3.6017999999999994E-2</v>
      </c>
      <c r="G42" s="66">
        <f>'M2'!G42-'M1'!G42</f>
        <v>0</v>
      </c>
      <c r="H42" s="66">
        <f>'M2'!H42-'M1'!H42</f>
        <v>4.3845999999999996E-2</v>
      </c>
    </row>
    <row r="43" spans="1:8">
      <c r="A43" s="66" t="s">
        <v>86</v>
      </c>
      <c r="B43" s="66">
        <f>'M2'!B43-'M1'!B43</f>
        <v>-0.1093001</v>
      </c>
      <c r="C43" s="66">
        <f>'M2'!C43-'M1'!C43</f>
        <v>-1.3923499999999998E-2</v>
      </c>
      <c r="D43" s="66">
        <f>'M2'!D43-'M1'!D43</f>
        <v>-3.2573160000000003</v>
      </c>
      <c r="E43" s="66">
        <f>'M2'!E43-'M1'!E43</f>
        <v>0</v>
      </c>
      <c r="F43" s="66">
        <f>'M2'!F43-'M1'!F43</f>
        <v>-6.235750000000001E-2</v>
      </c>
      <c r="G43" s="66">
        <f>'M2'!G43-'M1'!G43</f>
        <v>0</v>
      </c>
      <c r="H43" s="66">
        <f>'M2'!H43-'M1'!H43</f>
        <v>-0.11246100000000001</v>
      </c>
    </row>
    <row r="44" spans="1:8">
      <c r="A44" s="66" t="s">
        <v>87</v>
      </c>
      <c r="B44" s="66">
        <f>'M2'!B44-'M1'!B44</f>
        <v>6.1807062999999998</v>
      </c>
      <c r="C44" s="66">
        <f>'M2'!C44-'M1'!C44</f>
        <v>2.6693500000000001</v>
      </c>
      <c r="D44" s="66">
        <f>'M2'!D44-'M1'!D44</f>
        <v>27.175025999999999</v>
      </c>
      <c r="E44" s="66">
        <f>'M2'!E44-'M1'!E44</f>
        <v>0</v>
      </c>
      <c r="F44" s="66">
        <f>'M2'!F44-'M1'!F44</f>
        <v>2.0059499999999995</v>
      </c>
      <c r="G44" s="66">
        <f>'M2'!G44-'M1'!G44</f>
        <v>0</v>
      </c>
      <c r="H44" s="66">
        <f>'M2'!H44-'M1'!H44</f>
        <v>8.6479900000000001</v>
      </c>
    </row>
    <row r="45" spans="1:8">
      <c r="A45" s="66" t="s">
        <v>88</v>
      </c>
      <c r="B45" s="66">
        <f>'M2'!B45-'M1'!B45</f>
        <v>-4.3656000000000006</v>
      </c>
      <c r="C45" s="66">
        <f>'M2'!C45-'M1'!C45</f>
        <v>3.0207999999999995</v>
      </c>
      <c r="D45" s="66">
        <f>'M2'!D45-'M1'!D45</f>
        <v>7.8261999999999998E-2</v>
      </c>
      <c r="E45" s="66">
        <f>'M2'!E45-'M1'!E45</f>
        <v>0</v>
      </c>
      <c r="F45" s="66">
        <f>'M2'!F45-'M1'!F45</f>
        <v>-12.692999999999998</v>
      </c>
      <c r="G45" s="66">
        <f>'M2'!G45-'M1'!G45</f>
        <v>0</v>
      </c>
      <c r="H45" s="66">
        <f>'M2'!H45-'M1'!H45</f>
        <v>-6.2776000000000067</v>
      </c>
    </row>
    <row r="46" spans="1:8">
      <c r="A46" s="66" t="s">
        <v>89</v>
      </c>
      <c r="B46" s="66">
        <f>'M2'!B46-'M1'!B46</f>
        <v>2.9199999999999449E-2</v>
      </c>
      <c r="C46" s="66">
        <f>'M2'!C46-'M1'!C46</f>
        <v>-3.3336000000000001</v>
      </c>
      <c r="D46" s="66">
        <f>'M2'!D46-'M1'!D46</f>
        <v>-0.11969200000000001</v>
      </c>
      <c r="E46" s="66">
        <f>'M2'!E46-'M1'!E46</f>
        <v>0</v>
      </c>
      <c r="F46" s="66">
        <f>'M2'!F46-'M1'!F46</f>
        <v>11.227399999999999</v>
      </c>
      <c r="G46" s="66">
        <f>'M2'!G46-'M1'!G46</f>
        <v>0</v>
      </c>
      <c r="H46" s="66">
        <f>'M2'!H46-'M1'!H46</f>
        <v>-1.9344000000000037</v>
      </c>
    </row>
    <row r="47" spans="1:8">
      <c r="A47" s="66" t="s">
        <v>90</v>
      </c>
      <c r="B47" s="66">
        <f>'M2'!B47-'M1'!B47</f>
        <v>-6.8590999999999958E-2</v>
      </c>
      <c r="C47" s="66">
        <f>'M2'!C47-'M1'!C47</f>
        <v>-5.8698E-2</v>
      </c>
      <c r="D47" s="66">
        <f>'M2'!D47-'M1'!D47</f>
        <v>-6.2899999999999956E-2</v>
      </c>
      <c r="E47" s="66">
        <f>'M2'!E47-'M1'!E47</f>
        <v>0</v>
      </c>
      <c r="F47" s="66">
        <f>'M2'!F47-'M1'!F47</f>
        <v>-4.3072999999999986E-2</v>
      </c>
      <c r="G47" s="66">
        <f>'M2'!G47-'M1'!G47</f>
        <v>0</v>
      </c>
      <c r="H47" s="66">
        <f>'M2'!H47-'M1'!H47</f>
        <v>-0.49066700000000008</v>
      </c>
    </row>
    <row r="48" spans="1:8">
      <c r="A48" s="66" t="s">
        <v>91</v>
      </c>
      <c r="B48" s="66">
        <f>'M2'!B48-'M1'!B48</f>
        <v>-0.10375800000000002</v>
      </c>
      <c r="C48" s="66">
        <f>'M2'!C48-'M1'!C48</f>
        <v>-6.1118299999999987E-2</v>
      </c>
      <c r="D48" s="66">
        <f>'M2'!D48-'M1'!D48</f>
        <v>-7.6705999999999996E-2</v>
      </c>
      <c r="E48" s="66">
        <f>'M2'!E48-'M1'!E48</f>
        <v>0</v>
      </c>
      <c r="F48" s="66">
        <f>'M2'!F48-'M1'!F48</f>
        <v>-0.12224100000000004</v>
      </c>
      <c r="G48" s="66">
        <f>'M2'!G48-'M1'!G48</f>
        <v>0</v>
      </c>
      <c r="H48" s="66">
        <f>'M2'!H48-'M1'!H48</f>
        <v>-0.36491899999999999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34.2241</v>
      </c>
      <c r="C5" s="66">
        <v>7.9639800000000003</v>
      </c>
      <c r="D5" s="66">
        <v>23.270099999999999</v>
      </c>
      <c r="E5" s="66">
        <v>20</v>
      </c>
      <c r="F5" s="66">
        <v>14.3049</v>
      </c>
      <c r="G5" s="66">
        <v>50</v>
      </c>
      <c r="H5" s="66">
        <v>49.159399999999998</v>
      </c>
    </row>
    <row r="6" spans="1:8">
      <c r="A6" s="66" t="s">
        <v>358</v>
      </c>
      <c r="B6" s="66">
        <v>49.019799999999996</v>
      </c>
      <c r="C6" s="66">
        <v>2.8891499999999999</v>
      </c>
      <c r="D6" s="66">
        <v>5.8938499999999996</v>
      </c>
      <c r="E6" s="66">
        <v>20</v>
      </c>
      <c r="F6" s="66">
        <v>39.202399999999997</v>
      </c>
      <c r="G6" s="66">
        <v>40</v>
      </c>
      <c r="H6" s="66">
        <v>54.517800000000001</v>
      </c>
    </row>
    <row r="7" spans="1:8">
      <c r="A7" s="66" t="s">
        <v>359</v>
      </c>
      <c r="B7" s="66">
        <v>34.222900000000003</v>
      </c>
      <c r="C7" s="66">
        <v>7.7545000000000002</v>
      </c>
      <c r="D7" s="66">
        <v>22.658799999999999</v>
      </c>
      <c r="E7" s="66">
        <v>15</v>
      </c>
      <c r="F7" s="66">
        <v>20.172999999999998</v>
      </c>
      <c r="G7" s="66">
        <v>40</v>
      </c>
      <c r="H7" s="66">
        <v>50.949199999999998</v>
      </c>
    </row>
    <row r="8" spans="1:8">
      <c r="A8" s="66" t="s">
        <v>360</v>
      </c>
      <c r="B8" s="66">
        <v>41.025500000000001</v>
      </c>
      <c r="C8" s="66">
        <v>4.7763799999999996</v>
      </c>
      <c r="D8" s="66">
        <v>11.6425</v>
      </c>
      <c r="E8" s="66">
        <v>20</v>
      </c>
      <c r="F8" s="66">
        <v>22.685199999999998</v>
      </c>
      <c r="G8" s="66">
        <v>50</v>
      </c>
      <c r="H8" s="66">
        <v>43.543700000000001</v>
      </c>
    </row>
    <row r="9" spans="1:8">
      <c r="A9" s="66" t="s">
        <v>361</v>
      </c>
      <c r="B9" s="66">
        <v>60.1342</v>
      </c>
      <c r="C9" s="66">
        <v>5.7690900000000003</v>
      </c>
      <c r="D9" s="66">
        <v>9.5937000000000001</v>
      </c>
      <c r="E9" s="66">
        <v>50</v>
      </c>
      <c r="F9" s="66">
        <v>48.040700000000001</v>
      </c>
      <c r="G9" s="66">
        <v>100</v>
      </c>
      <c r="H9" s="66">
        <v>71.891999999999996</v>
      </c>
    </row>
    <row r="10" spans="1:8">
      <c r="A10" s="66" t="s">
        <v>362</v>
      </c>
      <c r="B10" s="66">
        <v>63.5886</v>
      </c>
      <c r="C10" s="66">
        <v>5.65482</v>
      </c>
      <c r="D10" s="66">
        <v>8.89283</v>
      </c>
      <c r="E10" s="66">
        <v>40</v>
      </c>
      <c r="F10" s="66">
        <v>50.139099999999999</v>
      </c>
      <c r="G10" s="66">
        <v>100</v>
      </c>
      <c r="H10" s="66">
        <v>69.905699999999996</v>
      </c>
    </row>
    <row r="11" spans="1:8">
      <c r="A11" s="66" t="s">
        <v>363</v>
      </c>
      <c r="B11" s="66">
        <v>11.794499999999999</v>
      </c>
      <c r="C11" s="66">
        <v>2.6559200000000001</v>
      </c>
      <c r="D11" s="66">
        <v>22.5182</v>
      </c>
      <c r="E11" s="66">
        <v>10</v>
      </c>
      <c r="F11" s="66">
        <v>4.7104699999999999</v>
      </c>
      <c r="G11" s="66">
        <v>50</v>
      </c>
      <c r="H11" s="66">
        <v>16.471299999999999</v>
      </c>
    </row>
    <row r="12" spans="1:8">
      <c r="A12" s="66" t="s">
        <v>364</v>
      </c>
      <c r="B12" s="66">
        <v>60.537799999999997</v>
      </c>
      <c r="C12" s="66">
        <v>3.02949</v>
      </c>
      <c r="D12" s="66">
        <v>5.0042900000000001</v>
      </c>
      <c r="E12" s="66">
        <v>50</v>
      </c>
      <c r="F12" s="66">
        <v>55.035800000000002</v>
      </c>
      <c r="G12" s="66">
        <v>100</v>
      </c>
      <c r="H12" s="66">
        <v>67.160600000000002</v>
      </c>
    </row>
    <row r="13" spans="1:8">
      <c r="A13" s="66" t="s">
        <v>365</v>
      </c>
      <c r="B13" s="66">
        <v>14.1394</v>
      </c>
      <c r="C13" s="66">
        <v>3.9121199999999998</v>
      </c>
      <c r="D13" s="66">
        <v>27.668199999999999</v>
      </c>
      <c r="E13" s="66">
        <v>10</v>
      </c>
      <c r="F13" s="66">
        <v>10.848100000000001</v>
      </c>
      <c r="G13" s="66">
        <v>25</v>
      </c>
      <c r="H13" s="66">
        <v>29.499400000000001</v>
      </c>
    </row>
    <row r="14" spans="1:8">
      <c r="A14" s="66" t="s">
        <v>366</v>
      </c>
      <c r="B14" s="66">
        <v>39.121200000000002</v>
      </c>
      <c r="C14" s="66">
        <v>15.661799999999999</v>
      </c>
      <c r="D14" s="66">
        <v>40.033999999999999</v>
      </c>
      <c r="E14" s="66">
        <v>10</v>
      </c>
      <c r="F14" s="66">
        <v>2.4282699999999999</v>
      </c>
      <c r="G14" s="66">
        <v>50</v>
      </c>
      <c r="H14" s="66">
        <v>45.198700000000002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0.60616700000000001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0.73733000000000004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196">
        <v>3.0617899999999997E-5</v>
      </c>
      <c r="C20" s="66">
        <v>7.7891899999999997E-3</v>
      </c>
      <c r="D20" s="66">
        <v>254.399</v>
      </c>
      <c r="E20" s="66">
        <v>0</v>
      </c>
      <c r="F20" s="66">
        <v>0</v>
      </c>
      <c r="G20" s="66">
        <v>0</v>
      </c>
      <c r="H20" s="66">
        <v>0.110059</v>
      </c>
    </row>
    <row r="21" spans="1:8">
      <c r="A21" s="66" t="s">
        <v>373</v>
      </c>
      <c r="B21" s="66">
        <v>6.2257600000000003E-3</v>
      </c>
      <c r="C21" s="66">
        <v>3.8586099999999998E-2</v>
      </c>
      <c r="D21" s="66">
        <v>6.1978099999999996</v>
      </c>
      <c r="E21" s="66">
        <v>0</v>
      </c>
      <c r="F21" s="196">
        <v>2.4139599999999998E-5</v>
      </c>
      <c r="G21" s="66">
        <v>0</v>
      </c>
      <c r="H21" s="66">
        <v>0.212508</v>
      </c>
    </row>
    <row r="22" spans="1:8">
      <c r="A22" s="66" t="s">
        <v>374</v>
      </c>
      <c r="B22" s="66">
        <v>22.808399999999999</v>
      </c>
      <c r="C22" s="66">
        <v>11.5273</v>
      </c>
      <c r="D22" s="66">
        <v>0.50539599999999996</v>
      </c>
      <c r="E22" s="66">
        <v>0</v>
      </c>
      <c r="F22" s="66">
        <v>12.250999999999999</v>
      </c>
      <c r="G22" s="66">
        <v>0</v>
      </c>
      <c r="H22" s="66">
        <v>57.258600000000001</v>
      </c>
    </row>
    <row r="23" spans="1:8">
      <c r="A23" s="66" t="s">
        <v>375</v>
      </c>
      <c r="B23" s="66">
        <v>10.7689</v>
      </c>
      <c r="C23" s="66">
        <v>1.85398</v>
      </c>
      <c r="D23" s="66">
        <v>0.17216000000000001</v>
      </c>
      <c r="E23" s="66">
        <v>0</v>
      </c>
      <c r="F23" s="66">
        <v>6.5034599999999996</v>
      </c>
      <c r="G23" s="66">
        <v>0</v>
      </c>
      <c r="H23" s="66">
        <v>14.859400000000001</v>
      </c>
    </row>
    <row r="24" spans="1:8">
      <c r="A24" s="66" t="s">
        <v>376</v>
      </c>
      <c r="B24" s="196">
        <v>3.6832799999999997E-5</v>
      </c>
      <c r="C24" s="66">
        <v>4.4895899999999999E-3</v>
      </c>
      <c r="D24" s="66">
        <v>121.89100000000001</v>
      </c>
      <c r="E24" s="66">
        <v>0</v>
      </c>
      <c r="F24" s="196">
        <v>6.7189400000000004E-6</v>
      </c>
      <c r="G24" s="66">
        <v>0</v>
      </c>
      <c r="H24" s="66">
        <v>3.3342299999999998E-2</v>
      </c>
    </row>
    <row r="25" spans="1:8">
      <c r="A25" s="66" t="s">
        <v>377</v>
      </c>
      <c r="B25" s="66">
        <v>1.6198899999999999E-2</v>
      </c>
      <c r="C25" s="66">
        <v>1.9726E-2</v>
      </c>
      <c r="D25" s="66">
        <v>1.21774</v>
      </c>
      <c r="E25" s="66">
        <v>0</v>
      </c>
      <c r="F25" s="66">
        <v>1.9822300000000002E-3</v>
      </c>
      <c r="G25" s="66">
        <v>0</v>
      </c>
      <c r="H25" s="66">
        <v>9.0408199999999994E-2</v>
      </c>
    </row>
    <row r="26" spans="1:8">
      <c r="A26" s="66" t="s">
        <v>378</v>
      </c>
      <c r="B26" s="196">
        <v>6.5651299999999996E-6</v>
      </c>
      <c r="C26" s="66">
        <v>6.7525899999999999E-4</v>
      </c>
      <c r="D26" s="66">
        <v>102.855</v>
      </c>
      <c r="E26" s="66">
        <v>0</v>
      </c>
      <c r="F26" s="66">
        <v>0</v>
      </c>
      <c r="G26" s="66">
        <v>0</v>
      </c>
      <c r="H26" s="66">
        <v>1.4101900000000001E-2</v>
      </c>
    </row>
    <row r="27" spans="1:8">
      <c r="A27" s="66" t="s">
        <v>379</v>
      </c>
      <c r="B27" s="66">
        <v>0</v>
      </c>
      <c r="C27" s="66">
        <v>7.8289600000000005E-4</v>
      </c>
      <c r="D27" s="66">
        <v>0</v>
      </c>
      <c r="E27" s="66">
        <v>0</v>
      </c>
      <c r="F27" s="66">
        <v>-1.379E-2</v>
      </c>
      <c r="G27" s="66">
        <v>0</v>
      </c>
      <c r="H27" s="66">
        <v>1.3300899999999999E-2</v>
      </c>
    </row>
    <row r="28" spans="1:8">
      <c r="A28" s="66" t="s">
        <v>380</v>
      </c>
      <c r="B28" s="66">
        <v>1.61133E-3</v>
      </c>
      <c r="C28" s="66">
        <v>4.1739799999999999E-3</v>
      </c>
      <c r="D28" s="66">
        <v>2.5903999999999998</v>
      </c>
      <c r="E28" s="66">
        <v>0</v>
      </c>
      <c r="F28" s="196">
        <v>6.5104200000000001E-6</v>
      </c>
      <c r="G28" s="66">
        <v>0</v>
      </c>
      <c r="H28" s="66">
        <v>2.4713499999999999E-2</v>
      </c>
    </row>
    <row r="29" spans="1:8">
      <c r="A29" s="66" t="s">
        <v>381</v>
      </c>
      <c r="B29" s="66">
        <v>63.3431</v>
      </c>
      <c r="C29" s="66">
        <v>7.9295799999999996</v>
      </c>
      <c r="D29" s="66">
        <v>0.12518499999999999</v>
      </c>
      <c r="E29" s="66">
        <v>0</v>
      </c>
      <c r="F29" s="66">
        <v>46.679299999999998</v>
      </c>
      <c r="G29" s="66">
        <v>0</v>
      </c>
      <c r="H29" s="66">
        <v>83.325699999999998</v>
      </c>
    </row>
    <row r="30" spans="1:8">
      <c r="A30" s="66" t="s">
        <v>382</v>
      </c>
      <c r="B30" s="66">
        <v>14.7844</v>
      </c>
      <c r="C30" s="66">
        <v>4.73027</v>
      </c>
      <c r="D30" s="66">
        <v>0.31995099999999999</v>
      </c>
      <c r="E30" s="66">
        <v>0</v>
      </c>
      <c r="F30" s="66">
        <v>6.8914200000000001</v>
      </c>
      <c r="G30" s="66">
        <v>0</v>
      </c>
      <c r="H30" s="66">
        <v>22.509799999999998</v>
      </c>
    </row>
    <row r="31" spans="1:8">
      <c r="A31" s="66" t="s">
        <v>383</v>
      </c>
      <c r="B31" s="66">
        <v>99.956699999999998</v>
      </c>
      <c r="C31" s="66">
        <v>29.74</v>
      </c>
      <c r="D31" s="66">
        <v>0.29752899999999999</v>
      </c>
      <c r="E31" s="66">
        <v>0</v>
      </c>
      <c r="F31" s="66">
        <v>37.132399999999997</v>
      </c>
      <c r="G31" s="66">
        <v>0</v>
      </c>
      <c r="H31" s="66">
        <v>134.96199999999999</v>
      </c>
    </row>
    <row r="32" spans="1:8">
      <c r="A32" s="66" t="s">
        <v>384</v>
      </c>
      <c r="B32" s="66">
        <v>0.34222900000000001</v>
      </c>
      <c r="C32" s="66">
        <v>7.7545000000000003E-2</v>
      </c>
      <c r="D32" s="66">
        <v>0.22658800000000001</v>
      </c>
      <c r="E32" s="66">
        <v>0.15</v>
      </c>
      <c r="F32" s="66">
        <v>0.20172999999999999</v>
      </c>
      <c r="G32" s="66">
        <v>0.4</v>
      </c>
      <c r="H32" s="66">
        <v>0.50949199999999994</v>
      </c>
    </row>
    <row r="33" spans="1:8">
      <c r="A33" s="66" t="s">
        <v>385</v>
      </c>
      <c r="B33" s="66">
        <v>0.26660299999999998</v>
      </c>
      <c r="C33" s="66">
        <v>5.3621500000000002E-2</v>
      </c>
      <c r="D33" s="66">
        <v>0.201129</v>
      </c>
      <c r="E33" s="66">
        <v>0</v>
      </c>
      <c r="F33" s="66">
        <v>0.23896999999999999</v>
      </c>
      <c r="G33" s="66">
        <v>0</v>
      </c>
      <c r="H33" s="66">
        <v>0.42732900000000001</v>
      </c>
    </row>
    <row r="34" spans="1:8">
      <c r="A34" s="66" t="s">
        <v>386</v>
      </c>
      <c r="B34" s="66">
        <v>0.14139399999999999</v>
      </c>
      <c r="C34" s="66">
        <v>3.9121200000000002E-2</v>
      </c>
      <c r="D34" s="66">
        <v>0.27668199999999998</v>
      </c>
      <c r="E34" s="66">
        <v>0.1</v>
      </c>
      <c r="F34" s="66">
        <v>0.10848099999999999</v>
      </c>
      <c r="G34" s="66">
        <v>0.25</v>
      </c>
      <c r="H34" s="66">
        <v>0.29499399999999998</v>
      </c>
    </row>
    <row r="35" spans="1:8">
      <c r="A35" s="66" t="s">
        <v>387</v>
      </c>
      <c r="B35" s="66">
        <v>6.0285699999999998E-2</v>
      </c>
      <c r="C35" s="66">
        <v>2.8740399999999999E-2</v>
      </c>
      <c r="D35" s="66">
        <v>0.47673599999999999</v>
      </c>
      <c r="E35" s="66">
        <v>0</v>
      </c>
      <c r="F35" s="66">
        <v>3.5725699999999999E-2</v>
      </c>
      <c r="G35" s="66">
        <v>0</v>
      </c>
      <c r="H35" s="66">
        <v>0.15471399999999999</v>
      </c>
    </row>
    <row r="36" spans="1:8">
      <c r="A36" s="66" t="s">
        <v>388</v>
      </c>
      <c r="B36" s="66">
        <v>0.128888</v>
      </c>
      <c r="C36" s="66">
        <v>8.4881300000000007E-2</v>
      </c>
      <c r="D36" s="66">
        <v>0.65856599999999998</v>
      </c>
      <c r="E36" s="66">
        <v>0</v>
      </c>
      <c r="F36" s="66">
        <v>3.5820100000000001E-2</v>
      </c>
      <c r="G36" s="66">
        <v>0</v>
      </c>
      <c r="H36" s="66">
        <v>0.57016900000000004</v>
      </c>
    </row>
    <row r="37" spans="1:8">
      <c r="A37" s="66" t="s">
        <v>389</v>
      </c>
      <c r="B37" s="66">
        <v>0.391212</v>
      </c>
      <c r="C37" s="66">
        <v>0.15661800000000001</v>
      </c>
      <c r="D37" s="66">
        <v>0.40033999999999997</v>
      </c>
      <c r="E37" s="66">
        <v>0.1</v>
      </c>
      <c r="F37" s="66">
        <v>2.4282700000000001E-2</v>
      </c>
      <c r="G37" s="66">
        <v>0.5</v>
      </c>
      <c r="H37" s="66">
        <v>0.45198700000000003</v>
      </c>
    </row>
    <row r="38" spans="1:8">
      <c r="A38" s="66" t="s">
        <v>390</v>
      </c>
      <c r="B38" s="66">
        <v>0</v>
      </c>
      <c r="C38" s="66">
        <v>40.352499999999999</v>
      </c>
      <c r="D38" s="66">
        <v>0</v>
      </c>
      <c r="E38" s="66">
        <v>0</v>
      </c>
      <c r="F38" s="66">
        <v>-109.33499999999999</v>
      </c>
      <c r="G38" s="66">
        <v>0</v>
      </c>
      <c r="H38" s="66">
        <v>221.46799999999999</v>
      </c>
    </row>
    <row r="39" spans="1:8">
      <c r="A39" s="66" t="s">
        <v>391</v>
      </c>
      <c r="B39" s="66">
        <v>0.88981500000000002</v>
      </c>
      <c r="C39" s="66">
        <v>7.2889099999999996</v>
      </c>
      <c r="D39" s="66">
        <v>8.1914899999999999</v>
      </c>
      <c r="E39" s="66">
        <v>0</v>
      </c>
      <c r="F39" s="66">
        <v>-10.991099999999999</v>
      </c>
      <c r="G39" s="66">
        <v>0</v>
      </c>
      <c r="H39" s="66">
        <v>30.520600000000002</v>
      </c>
    </row>
    <row r="40" spans="1:8">
      <c r="A40" s="66" t="s">
        <v>392</v>
      </c>
      <c r="B40" s="66">
        <v>-0.901393</v>
      </c>
      <c r="C40" s="66">
        <v>0.26230100000000001</v>
      </c>
      <c r="D40" s="66">
        <v>-0.290995</v>
      </c>
      <c r="E40" s="66">
        <v>0</v>
      </c>
      <c r="F40" s="66">
        <v>-1.6339300000000001</v>
      </c>
      <c r="G40" s="66">
        <v>0</v>
      </c>
      <c r="H40" s="66">
        <v>-0.14954899999999999</v>
      </c>
    </row>
    <row r="41" spans="1:8">
      <c r="A41" s="66" t="s">
        <v>393</v>
      </c>
      <c r="B41" s="66">
        <v>0</v>
      </c>
      <c r="C41" s="66">
        <v>0.48757299999999998</v>
      </c>
      <c r="D41" s="66">
        <v>0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394</v>
      </c>
      <c r="B42" s="66">
        <v>-5.0403200000000002E-2</v>
      </c>
      <c r="C42" s="66">
        <v>0.17428299999999999</v>
      </c>
      <c r="D42" s="66">
        <v>-3.45777</v>
      </c>
      <c r="E42" s="66">
        <v>0</v>
      </c>
      <c r="F42" s="66">
        <v>-0.50496600000000003</v>
      </c>
      <c r="G42" s="66">
        <v>0</v>
      </c>
      <c r="H42" s="66">
        <v>0.429838</v>
      </c>
    </row>
    <row r="43" spans="1:8">
      <c r="A43" s="66" t="s">
        <v>395</v>
      </c>
      <c r="B43" s="66">
        <v>1.2239399999999999E-2</v>
      </c>
      <c r="C43" s="66">
        <v>3.6962399999999999E-2</v>
      </c>
      <c r="D43" s="66">
        <v>3.0199500000000001</v>
      </c>
      <c r="E43" s="66">
        <v>0</v>
      </c>
      <c r="F43" s="66">
        <v>-7.3584499999999997E-2</v>
      </c>
      <c r="G43" s="66">
        <v>0</v>
      </c>
      <c r="H43" s="66">
        <v>7.0770899999999998E-2</v>
      </c>
    </row>
    <row r="44" spans="1:8">
      <c r="A44" s="66" t="s">
        <v>396</v>
      </c>
      <c r="B44" s="66">
        <v>-7.7316300000000004E-2</v>
      </c>
      <c r="C44" s="66">
        <v>2.0413999999999999</v>
      </c>
      <c r="D44" s="66">
        <v>-26.403199999999998</v>
      </c>
      <c r="E44" s="66">
        <v>0</v>
      </c>
      <c r="F44" s="66">
        <v>-4.0803399999999996</v>
      </c>
      <c r="G44" s="66">
        <v>0</v>
      </c>
      <c r="H44" s="66">
        <v>4.3991100000000003</v>
      </c>
    </row>
    <row r="45" spans="1:8">
      <c r="A45" s="66" t="s">
        <v>397</v>
      </c>
      <c r="B45" s="66">
        <v>52.721200000000003</v>
      </c>
      <c r="C45" s="66">
        <v>9.2215000000000007</v>
      </c>
      <c r="D45" s="66">
        <v>0.17491000000000001</v>
      </c>
      <c r="E45" s="66">
        <v>0</v>
      </c>
      <c r="F45" s="66">
        <v>33.628399999999999</v>
      </c>
      <c r="G45" s="66">
        <v>0</v>
      </c>
      <c r="H45" s="66">
        <v>80.6721</v>
      </c>
    </row>
    <row r="46" spans="1:8">
      <c r="A46" s="66" t="s">
        <v>398</v>
      </c>
      <c r="B46" s="66">
        <v>27.8797</v>
      </c>
      <c r="C46" s="66">
        <v>6.5811000000000002</v>
      </c>
      <c r="D46" s="66">
        <v>0.23605300000000001</v>
      </c>
      <c r="E46" s="66">
        <v>0</v>
      </c>
      <c r="F46" s="66">
        <v>10.3004</v>
      </c>
      <c r="G46" s="66">
        <v>0</v>
      </c>
      <c r="H46" s="66">
        <v>37.711300000000001</v>
      </c>
    </row>
    <row r="47" spans="1:8">
      <c r="A47" s="66" t="s">
        <v>399</v>
      </c>
      <c r="B47" s="66">
        <v>0.42354599999999998</v>
      </c>
      <c r="C47" s="66">
        <v>0.22458800000000001</v>
      </c>
      <c r="D47" s="66">
        <v>0.53025599999999995</v>
      </c>
      <c r="E47" s="66">
        <v>0</v>
      </c>
      <c r="F47" s="66">
        <v>0.14641499999999999</v>
      </c>
      <c r="G47" s="66">
        <v>0</v>
      </c>
      <c r="H47" s="66">
        <v>1.2738</v>
      </c>
    </row>
    <row r="48" spans="1:8">
      <c r="A48" s="66" t="s">
        <v>400</v>
      </c>
      <c r="B48" s="66">
        <v>0.56406900000000004</v>
      </c>
      <c r="C48" s="66">
        <v>0.14030999999999999</v>
      </c>
      <c r="D48" s="66">
        <v>0.24874499999999999</v>
      </c>
      <c r="E48" s="66">
        <v>0</v>
      </c>
      <c r="F48" s="66">
        <v>0.39175700000000002</v>
      </c>
      <c r="G48" s="66">
        <v>0</v>
      </c>
      <c r="H48" s="66">
        <v>0.97404199999999996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401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33.395499999999998</v>
      </c>
      <c r="C5" s="66">
        <v>4.7982699999999996</v>
      </c>
      <c r="D5" s="66">
        <v>14.368</v>
      </c>
      <c r="E5" s="66">
        <v>20</v>
      </c>
      <c r="F5" s="66">
        <v>24.610800000000001</v>
      </c>
      <c r="G5" s="66">
        <v>50</v>
      </c>
      <c r="H5" s="66">
        <v>45.4191</v>
      </c>
    </row>
    <row r="6" spans="1:8">
      <c r="A6" s="66" t="s">
        <v>358</v>
      </c>
      <c r="B6" s="66">
        <v>45.968200000000003</v>
      </c>
      <c r="C6" s="66">
        <v>2.1067800000000001</v>
      </c>
      <c r="D6" s="66">
        <v>4.5831400000000002</v>
      </c>
      <c r="E6" s="66">
        <v>20</v>
      </c>
      <c r="F6" s="66">
        <v>43.491199999999999</v>
      </c>
      <c r="G6" s="66">
        <v>40</v>
      </c>
      <c r="H6" s="66">
        <v>51.1554</v>
      </c>
    </row>
    <row r="7" spans="1:8">
      <c r="A7" s="66" t="s">
        <v>359</v>
      </c>
      <c r="B7" s="66">
        <v>36.801099999999998</v>
      </c>
      <c r="C7" s="66">
        <v>10.840299999999999</v>
      </c>
      <c r="D7" s="66">
        <v>29.456399999999999</v>
      </c>
      <c r="E7" s="66">
        <v>15</v>
      </c>
      <c r="F7" s="66">
        <v>12.529400000000001</v>
      </c>
      <c r="G7" s="66">
        <v>40</v>
      </c>
      <c r="H7" s="66">
        <v>51.061</v>
      </c>
    </row>
    <row r="8" spans="1:8">
      <c r="A8" s="66" t="s">
        <v>360</v>
      </c>
      <c r="B8" s="66">
        <v>37.881900000000002</v>
      </c>
      <c r="C8" s="66">
        <v>3.88436</v>
      </c>
      <c r="D8" s="66">
        <v>10.2539</v>
      </c>
      <c r="E8" s="66">
        <v>20</v>
      </c>
      <c r="F8" s="66">
        <v>30.346900000000002</v>
      </c>
      <c r="G8" s="66">
        <v>50</v>
      </c>
      <c r="H8" s="66">
        <v>43.484099999999998</v>
      </c>
    </row>
    <row r="9" spans="1:8">
      <c r="A9" s="66" t="s">
        <v>361</v>
      </c>
      <c r="B9" s="66">
        <v>61.139499999999998</v>
      </c>
      <c r="C9" s="66">
        <v>6.7257400000000001</v>
      </c>
      <c r="D9" s="66">
        <v>11.0006</v>
      </c>
      <c r="E9" s="66">
        <v>50</v>
      </c>
      <c r="F9" s="66">
        <v>40.957799999999999</v>
      </c>
      <c r="G9" s="66">
        <v>100</v>
      </c>
      <c r="H9" s="66">
        <v>69.426599999999993</v>
      </c>
    </row>
    <row r="10" spans="1:8">
      <c r="A10" s="66" t="s">
        <v>362</v>
      </c>
      <c r="B10" s="66">
        <v>51.209499999999998</v>
      </c>
      <c r="C10" s="66">
        <v>1.5808</v>
      </c>
      <c r="D10" s="66">
        <v>3.0869200000000001</v>
      </c>
      <c r="E10" s="66">
        <v>40</v>
      </c>
      <c r="F10" s="66">
        <v>47.447600000000001</v>
      </c>
      <c r="G10" s="66">
        <v>100</v>
      </c>
      <c r="H10" s="66">
        <v>54.206299999999999</v>
      </c>
    </row>
    <row r="11" spans="1:8">
      <c r="A11" s="66" t="s">
        <v>363</v>
      </c>
      <c r="B11" s="66">
        <v>11.372299999999999</v>
      </c>
      <c r="C11" s="66">
        <v>1.85571</v>
      </c>
      <c r="D11" s="66">
        <v>16.317799999999998</v>
      </c>
      <c r="E11" s="66">
        <v>10</v>
      </c>
      <c r="F11" s="66">
        <v>6.86951</v>
      </c>
      <c r="G11" s="66">
        <v>50</v>
      </c>
      <c r="H11" s="66">
        <v>14.7064</v>
      </c>
    </row>
    <row r="12" spans="1:8">
      <c r="A12" s="66" t="s">
        <v>364</v>
      </c>
      <c r="B12" s="66">
        <v>56.215600000000002</v>
      </c>
      <c r="C12" s="66">
        <v>3.6594099999999998</v>
      </c>
      <c r="D12" s="66">
        <v>6.5095900000000002</v>
      </c>
      <c r="E12" s="66">
        <v>50</v>
      </c>
      <c r="F12" s="66">
        <v>45.659300000000002</v>
      </c>
      <c r="G12" s="66">
        <v>100</v>
      </c>
      <c r="H12" s="66">
        <v>60.9377</v>
      </c>
    </row>
    <row r="13" spans="1:8">
      <c r="A13" s="66" t="s">
        <v>365</v>
      </c>
      <c r="B13" s="66">
        <v>14.154999999999999</v>
      </c>
      <c r="C13" s="66">
        <v>1.96418</v>
      </c>
      <c r="D13" s="66">
        <v>13.876200000000001</v>
      </c>
      <c r="E13" s="66">
        <v>10</v>
      </c>
      <c r="F13" s="66">
        <v>11.5228</v>
      </c>
      <c r="G13" s="66">
        <v>25</v>
      </c>
      <c r="H13" s="66">
        <v>20.138300000000001</v>
      </c>
    </row>
    <row r="14" spans="1:8">
      <c r="A14" s="66" t="s">
        <v>366</v>
      </c>
      <c r="B14" s="66">
        <v>19.6418</v>
      </c>
      <c r="C14" s="66">
        <v>13.6327</v>
      </c>
      <c r="D14" s="66">
        <v>69.406700000000001</v>
      </c>
      <c r="E14" s="66">
        <v>10</v>
      </c>
      <c r="F14" s="66">
        <v>2.3957899999999999</v>
      </c>
      <c r="G14" s="66">
        <v>50</v>
      </c>
      <c r="H14" s="66">
        <v>39.0655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0.54795400000000005</v>
      </c>
      <c r="C18" s="66">
        <v>1.72888E-2</v>
      </c>
      <c r="D18" s="66">
        <v>3.1551500000000003E-2</v>
      </c>
      <c r="E18" s="66">
        <v>0</v>
      </c>
      <c r="F18" s="66">
        <v>0.53066599999999997</v>
      </c>
      <c r="G18" s="66">
        <v>0</v>
      </c>
      <c r="H18" s="66">
        <v>0.56524300000000005</v>
      </c>
    </row>
    <row r="19" spans="1:8">
      <c r="A19" s="66" t="s">
        <v>371</v>
      </c>
      <c r="B19" s="66">
        <v>0.74848700000000001</v>
      </c>
      <c r="C19" s="66">
        <v>3.5827199999999997E-2</v>
      </c>
      <c r="D19" s="66">
        <v>4.7866199999999998E-2</v>
      </c>
      <c r="E19" s="66">
        <v>0</v>
      </c>
      <c r="F19" s="66">
        <v>0.71265900000000004</v>
      </c>
      <c r="G19" s="66">
        <v>0</v>
      </c>
      <c r="H19" s="66">
        <v>0.78431399999999996</v>
      </c>
    </row>
    <row r="20" spans="1:8">
      <c r="A20" s="66" t="s">
        <v>402</v>
      </c>
      <c r="B20" s="196">
        <v>1.9502300000000001E-5</v>
      </c>
      <c r="C20" s="66">
        <v>4.8094899999999996E-3</v>
      </c>
      <c r="D20" s="66">
        <v>246.61199999999999</v>
      </c>
      <c r="E20" s="66">
        <v>0</v>
      </c>
      <c r="F20" s="66">
        <v>0</v>
      </c>
      <c r="G20" s="66">
        <v>0</v>
      </c>
      <c r="H20" s="66">
        <v>6.9008799999999995E-2</v>
      </c>
    </row>
    <row r="21" spans="1:8">
      <c r="A21" s="66" t="s">
        <v>373</v>
      </c>
      <c r="B21" s="66">
        <v>2.0669E-3</v>
      </c>
      <c r="C21" s="66">
        <v>2.0138099999999999E-2</v>
      </c>
      <c r="D21" s="66">
        <v>9.7431199999999993</v>
      </c>
      <c r="E21" s="66">
        <v>0</v>
      </c>
      <c r="F21" s="66">
        <v>0</v>
      </c>
      <c r="G21" s="66">
        <v>0</v>
      </c>
      <c r="H21" s="66">
        <v>0.10931</v>
      </c>
    </row>
    <row r="22" spans="1:8">
      <c r="A22" s="66" t="s">
        <v>374</v>
      </c>
      <c r="B22" s="66">
        <v>19.630400000000002</v>
      </c>
      <c r="C22" s="66">
        <v>15.1137</v>
      </c>
      <c r="D22" s="66">
        <v>0.76991399999999999</v>
      </c>
      <c r="E22" s="66">
        <v>0</v>
      </c>
      <c r="F22" s="66">
        <v>6.9813400000000003</v>
      </c>
      <c r="G22" s="66">
        <v>0</v>
      </c>
      <c r="H22" s="66">
        <v>63.85</v>
      </c>
    </row>
    <row r="23" spans="1:8">
      <c r="A23" s="66" t="s">
        <v>375</v>
      </c>
      <c r="B23" s="66">
        <v>12.276</v>
      </c>
      <c r="C23" s="66">
        <v>2.00109</v>
      </c>
      <c r="D23" s="66">
        <v>0.16300799999999999</v>
      </c>
      <c r="E23" s="66">
        <v>0</v>
      </c>
      <c r="F23" s="66">
        <v>8.4597099999999994</v>
      </c>
      <c r="G23" s="66">
        <v>0</v>
      </c>
      <c r="H23" s="66">
        <v>15.1168</v>
      </c>
    </row>
    <row r="24" spans="1:8">
      <c r="A24" s="66" t="s">
        <v>403</v>
      </c>
      <c r="B24" s="196">
        <v>2.27437E-5</v>
      </c>
      <c r="C24" s="66">
        <v>2.7412000000000001E-3</v>
      </c>
      <c r="D24" s="66">
        <v>120.526</v>
      </c>
      <c r="E24" s="66">
        <v>0</v>
      </c>
      <c r="F24" s="196">
        <v>3.8065299999999999E-6</v>
      </c>
      <c r="G24" s="66">
        <v>0</v>
      </c>
      <c r="H24" s="66">
        <v>1.6653999999999999E-2</v>
      </c>
    </row>
    <row r="25" spans="1:8">
      <c r="A25" s="66" t="s">
        <v>377</v>
      </c>
      <c r="B25" s="66">
        <v>1.0655299999999999E-2</v>
      </c>
      <c r="C25" s="66">
        <v>8.7047800000000005E-3</v>
      </c>
      <c r="D25" s="66">
        <v>0.81694100000000003</v>
      </c>
      <c r="E25" s="66">
        <v>0</v>
      </c>
      <c r="F25" s="66">
        <v>6.8120699999999997E-4</v>
      </c>
      <c r="G25" s="66">
        <v>0</v>
      </c>
      <c r="H25" s="66">
        <v>2.9623799999999999E-2</v>
      </c>
    </row>
    <row r="26" spans="1:8">
      <c r="A26" s="66" t="s">
        <v>378</v>
      </c>
      <c r="B26" s="196">
        <v>3.2825599999999999E-6</v>
      </c>
      <c r="C26" s="66">
        <v>3.1374799999999998E-4</v>
      </c>
      <c r="D26" s="66">
        <v>95.580299999999994</v>
      </c>
      <c r="E26" s="66">
        <v>0</v>
      </c>
      <c r="F26" s="66">
        <v>0</v>
      </c>
      <c r="G26" s="66">
        <v>0</v>
      </c>
      <c r="H26" s="66">
        <v>3.3252400000000001E-3</v>
      </c>
    </row>
    <row r="27" spans="1:8">
      <c r="A27" s="66" t="s">
        <v>379</v>
      </c>
      <c r="B27" s="66">
        <v>0</v>
      </c>
      <c r="C27" s="66">
        <v>2.34973E-4</v>
      </c>
      <c r="D27" s="66">
        <v>0</v>
      </c>
      <c r="E27" s="66">
        <v>0</v>
      </c>
      <c r="F27" s="66">
        <v>-2.7245300000000002E-3</v>
      </c>
      <c r="G27" s="66">
        <v>0</v>
      </c>
      <c r="H27" s="66">
        <v>2.4651999999999999E-3</v>
      </c>
    </row>
    <row r="28" spans="1:8">
      <c r="A28" s="66" t="s">
        <v>380</v>
      </c>
      <c r="B28" s="66">
        <v>6.8033899999999997E-4</v>
      </c>
      <c r="C28" s="66">
        <v>2.25501E-3</v>
      </c>
      <c r="D28" s="66">
        <v>3.31453</v>
      </c>
      <c r="E28" s="66">
        <v>0</v>
      </c>
      <c r="F28" s="66">
        <v>0</v>
      </c>
      <c r="G28" s="66">
        <v>0</v>
      </c>
      <c r="H28" s="66">
        <v>1.05632E-2</v>
      </c>
    </row>
    <row r="29" spans="1:8">
      <c r="A29" s="66" t="s">
        <v>381</v>
      </c>
      <c r="B29" s="66">
        <v>63.217199999999998</v>
      </c>
      <c r="C29" s="66">
        <v>11.162699999999999</v>
      </c>
      <c r="D29" s="66">
        <v>0.17657700000000001</v>
      </c>
      <c r="E29" s="66">
        <v>0</v>
      </c>
      <c r="F29" s="66">
        <v>38.741500000000002</v>
      </c>
      <c r="G29" s="66">
        <v>0</v>
      </c>
      <c r="H29" s="66">
        <v>87.935299999999998</v>
      </c>
    </row>
    <row r="30" spans="1:8">
      <c r="A30" s="66" t="s">
        <v>382</v>
      </c>
      <c r="B30" s="66">
        <v>20.872199999999999</v>
      </c>
      <c r="C30" s="66">
        <v>1.7360899999999999</v>
      </c>
      <c r="D30" s="66">
        <v>8.3177399999999999E-2</v>
      </c>
      <c r="E30" s="66">
        <v>0</v>
      </c>
      <c r="F30" s="66">
        <v>17.281600000000001</v>
      </c>
      <c r="G30" s="66">
        <v>0</v>
      </c>
      <c r="H30" s="66">
        <v>24.5929</v>
      </c>
    </row>
    <row r="31" spans="1:8">
      <c r="A31" s="66" t="s">
        <v>383</v>
      </c>
      <c r="B31" s="66">
        <v>78.558700000000002</v>
      </c>
      <c r="C31" s="66">
        <v>21.3825</v>
      </c>
      <c r="D31" s="66">
        <v>0.27218500000000001</v>
      </c>
      <c r="E31" s="66">
        <v>0</v>
      </c>
      <c r="F31" s="66">
        <v>35.824199999999998</v>
      </c>
      <c r="G31" s="66">
        <v>0</v>
      </c>
      <c r="H31" s="66">
        <v>93.422899999999998</v>
      </c>
    </row>
    <row r="32" spans="1:8">
      <c r="A32" s="66" t="s">
        <v>384</v>
      </c>
      <c r="B32" s="66">
        <v>0.36801099999999998</v>
      </c>
      <c r="C32" s="66">
        <v>0.108403</v>
      </c>
      <c r="D32" s="66">
        <v>0.29456399999999999</v>
      </c>
      <c r="E32" s="66">
        <v>0.15</v>
      </c>
      <c r="F32" s="66">
        <v>0.12529399999999999</v>
      </c>
      <c r="G32" s="66">
        <v>0.4</v>
      </c>
      <c r="H32" s="66">
        <v>0.51061000000000001</v>
      </c>
    </row>
    <row r="33" spans="1:8">
      <c r="A33" s="66" t="s">
        <v>385</v>
      </c>
      <c r="B33" s="66">
        <v>0.42715399999999998</v>
      </c>
      <c r="C33" s="66">
        <v>1.54609E-2</v>
      </c>
      <c r="D33" s="66">
        <v>3.6195199999999997E-2</v>
      </c>
      <c r="E33" s="66">
        <v>0</v>
      </c>
      <c r="F33" s="66">
        <v>0.38514100000000001</v>
      </c>
      <c r="G33" s="66">
        <v>0</v>
      </c>
      <c r="H33" s="66">
        <v>0.47125</v>
      </c>
    </row>
    <row r="34" spans="1:8">
      <c r="A34" s="66" t="s">
        <v>386</v>
      </c>
      <c r="B34" s="66">
        <v>0.14155000000000001</v>
      </c>
      <c r="C34" s="66">
        <v>1.9641800000000001E-2</v>
      </c>
      <c r="D34" s="66">
        <v>0.138762</v>
      </c>
      <c r="E34" s="66">
        <v>0.1</v>
      </c>
      <c r="F34" s="66">
        <v>0.115228</v>
      </c>
      <c r="G34" s="66">
        <v>0.25</v>
      </c>
      <c r="H34" s="66">
        <v>0.20138300000000001</v>
      </c>
    </row>
    <row r="35" spans="1:8">
      <c r="A35" s="66" t="s">
        <v>387</v>
      </c>
      <c r="B35" s="66">
        <v>6.3850500000000004E-2</v>
      </c>
      <c r="C35" s="66">
        <v>1.8926100000000001E-2</v>
      </c>
      <c r="D35" s="66">
        <v>0.29641299999999998</v>
      </c>
      <c r="E35" s="66">
        <v>0</v>
      </c>
      <c r="F35" s="66">
        <v>3.1945399999999999E-2</v>
      </c>
      <c r="G35" s="66">
        <v>0</v>
      </c>
      <c r="H35" s="66">
        <v>0.114788</v>
      </c>
    </row>
    <row r="36" spans="1:8">
      <c r="A36" s="66" t="s">
        <v>388</v>
      </c>
      <c r="B36" s="66">
        <v>0.124376</v>
      </c>
      <c r="C36" s="66">
        <v>7.0178400000000002E-2</v>
      </c>
      <c r="D36" s="66">
        <v>0.56424300000000005</v>
      </c>
      <c r="E36" s="66">
        <v>0</v>
      </c>
      <c r="F36" s="66">
        <v>3.7888999999999999E-2</v>
      </c>
      <c r="G36" s="66">
        <v>0</v>
      </c>
      <c r="H36" s="66">
        <v>0.47722100000000001</v>
      </c>
    </row>
    <row r="37" spans="1:8">
      <c r="A37" s="66" t="s">
        <v>389</v>
      </c>
      <c r="B37" s="66">
        <v>0.19641800000000001</v>
      </c>
      <c r="C37" s="66">
        <v>0.136327</v>
      </c>
      <c r="D37" s="66">
        <v>0.69406699999999999</v>
      </c>
      <c r="E37" s="66">
        <v>0.1</v>
      </c>
      <c r="F37" s="66">
        <v>2.3957900000000001E-2</v>
      </c>
      <c r="G37" s="66">
        <v>0.5</v>
      </c>
      <c r="H37" s="66">
        <v>0.39065499999999997</v>
      </c>
    </row>
    <row r="38" spans="1:8">
      <c r="A38" s="66" t="s">
        <v>390</v>
      </c>
      <c r="B38" s="66">
        <v>0</v>
      </c>
      <c r="C38" s="66">
        <v>25.619700000000002</v>
      </c>
      <c r="D38" s="66">
        <v>0</v>
      </c>
      <c r="E38" s="66">
        <v>0</v>
      </c>
      <c r="F38" s="66">
        <v>-109.896</v>
      </c>
      <c r="G38" s="66">
        <v>0</v>
      </c>
      <c r="H38" s="66">
        <v>67.299599999999998</v>
      </c>
    </row>
    <row r="39" spans="1:8">
      <c r="A39" s="66" t="s">
        <v>391</v>
      </c>
      <c r="B39" s="66">
        <v>-1.3093900000000001</v>
      </c>
      <c r="C39" s="66">
        <v>3.60886</v>
      </c>
      <c r="D39" s="66">
        <v>-2.7561399999999998</v>
      </c>
      <c r="E39" s="66">
        <v>0</v>
      </c>
      <c r="F39" s="66">
        <v>-7.7801099999999996</v>
      </c>
      <c r="G39" s="66">
        <v>0</v>
      </c>
      <c r="H39" s="66">
        <v>7.3597000000000001</v>
      </c>
    </row>
    <row r="40" spans="1:8">
      <c r="A40" s="66" t="s">
        <v>392</v>
      </c>
      <c r="B40" s="66">
        <v>-1.00553</v>
      </c>
      <c r="C40" s="66">
        <v>0.32816600000000001</v>
      </c>
      <c r="D40" s="66">
        <v>-0.32635999999999998</v>
      </c>
      <c r="E40" s="66">
        <v>0</v>
      </c>
      <c r="F40" s="66">
        <v>-1.4860500000000001</v>
      </c>
      <c r="G40" s="66">
        <v>0</v>
      </c>
      <c r="H40" s="66">
        <v>-0.23960100000000001</v>
      </c>
    </row>
    <row r="41" spans="1:8">
      <c r="A41" s="66" t="s">
        <v>393</v>
      </c>
      <c r="B41" s="66">
        <v>0</v>
      </c>
      <c r="C41" s="66">
        <v>0.42338799999999999</v>
      </c>
      <c r="D41" s="66">
        <v>0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394</v>
      </c>
      <c r="B42" s="66">
        <v>-0.101373</v>
      </c>
      <c r="C42" s="66">
        <v>0.201456</v>
      </c>
      <c r="D42" s="66">
        <v>-1.98726</v>
      </c>
      <c r="E42" s="66">
        <v>0</v>
      </c>
      <c r="F42" s="66">
        <v>-0.54098400000000002</v>
      </c>
      <c r="G42" s="66">
        <v>0</v>
      </c>
      <c r="H42" s="66">
        <v>0.47368399999999999</v>
      </c>
    </row>
    <row r="43" spans="1:8">
      <c r="A43" s="66" t="s">
        <v>395</v>
      </c>
      <c r="B43" s="66">
        <v>-9.70607E-2</v>
      </c>
      <c r="C43" s="66">
        <v>2.3038900000000001E-2</v>
      </c>
      <c r="D43" s="66">
        <v>-0.23736599999999999</v>
      </c>
      <c r="E43" s="66">
        <v>0</v>
      </c>
      <c r="F43" s="66">
        <v>-0.13594200000000001</v>
      </c>
      <c r="G43" s="66">
        <v>0</v>
      </c>
      <c r="H43" s="66">
        <v>-4.1690100000000001E-2</v>
      </c>
    </row>
    <row r="44" spans="1:8">
      <c r="A44" s="66" t="s">
        <v>396</v>
      </c>
      <c r="B44" s="66">
        <v>6.1033900000000001</v>
      </c>
      <c r="C44" s="66">
        <v>4.71075</v>
      </c>
      <c r="D44" s="66">
        <v>0.77182600000000001</v>
      </c>
      <c r="E44" s="66">
        <v>0</v>
      </c>
      <c r="F44" s="66">
        <v>-2.0743900000000002</v>
      </c>
      <c r="G44" s="66">
        <v>0</v>
      </c>
      <c r="H44" s="66">
        <v>13.0471</v>
      </c>
    </row>
    <row r="45" spans="1:8">
      <c r="A45" s="66" t="s">
        <v>397</v>
      </c>
      <c r="B45" s="66">
        <v>48.355600000000003</v>
      </c>
      <c r="C45" s="66">
        <v>12.2423</v>
      </c>
      <c r="D45" s="66">
        <v>0.25317200000000001</v>
      </c>
      <c r="E45" s="66">
        <v>0</v>
      </c>
      <c r="F45" s="66">
        <v>20.935400000000001</v>
      </c>
      <c r="G45" s="66">
        <v>0</v>
      </c>
      <c r="H45" s="66">
        <v>74.394499999999994</v>
      </c>
    </row>
    <row r="46" spans="1:8">
      <c r="A46" s="66" t="s">
        <v>398</v>
      </c>
      <c r="B46" s="66">
        <v>27.908899999999999</v>
      </c>
      <c r="C46" s="66">
        <v>3.2475000000000001</v>
      </c>
      <c r="D46" s="66">
        <v>0.11636100000000001</v>
      </c>
      <c r="E46" s="66">
        <v>0</v>
      </c>
      <c r="F46" s="66">
        <v>21.527799999999999</v>
      </c>
      <c r="G46" s="66">
        <v>0</v>
      </c>
      <c r="H46" s="66">
        <v>35.776899999999998</v>
      </c>
    </row>
    <row r="47" spans="1:8">
      <c r="A47" s="66" t="s">
        <v>399</v>
      </c>
      <c r="B47" s="66">
        <v>0.35495500000000002</v>
      </c>
      <c r="C47" s="66">
        <v>0.16589000000000001</v>
      </c>
      <c r="D47" s="66">
        <v>0.46735599999999999</v>
      </c>
      <c r="E47" s="66">
        <v>0</v>
      </c>
      <c r="F47" s="66">
        <v>0.103342</v>
      </c>
      <c r="G47" s="66">
        <v>0</v>
      </c>
      <c r="H47" s="66">
        <v>0.78313299999999997</v>
      </c>
    </row>
    <row r="48" spans="1:8">
      <c r="A48" s="66" t="s">
        <v>400</v>
      </c>
      <c r="B48" s="66">
        <v>0.46031100000000003</v>
      </c>
      <c r="C48" s="66">
        <v>7.9191700000000004E-2</v>
      </c>
      <c r="D48" s="66">
        <v>0.172039</v>
      </c>
      <c r="E48" s="66">
        <v>0</v>
      </c>
      <c r="F48" s="66">
        <v>0.26951599999999998</v>
      </c>
      <c r="G48" s="66">
        <v>0</v>
      </c>
      <c r="H48" s="66">
        <v>0.60912299999999997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404</v>
      </c>
      <c r="B1" s="60" t="s">
        <v>405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56.8415885085738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1.097468412858813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0.54290852388233779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28672</v>
      </c>
      <c r="B8" s="66">
        <v>28672</v>
      </c>
      <c r="D8">
        <f t="shared" si="0"/>
        <v>0.29304089204133155</v>
      </c>
      <c r="E8">
        <f t="shared" si="0"/>
        <v>0.29304089204133155</v>
      </c>
      <c r="G8">
        <f t="shared" ca="1" si="1"/>
        <v>6</v>
      </c>
      <c r="H8">
        <f t="shared" ca="1" si="2"/>
        <v>1.7582453522479893</v>
      </c>
      <c r="I8">
        <f t="shared" ca="1" si="3"/>
        <v>757.47176726120949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35077</v>
      </c>
      <c r="B10" s="66">
        <v>35077</v>
      </c>
      <c r="D10">
        <f t="shared" si="0"/>
        <v>0.35850290771950982</v>
      </c>
      <c r="E10">
        <f t="shared" si="0"/>
        <v>0.35850290771950982</v>
      </c>
      <c r="G10">
        <f t="shared" ca="1" si="1"/>
        <v>8</v>
      </c>
      <c r="H10">
        <f t="shared" ca="1" si="2"/>
        <v>2.8680232617560786</v>
      </c>
      <c r="I10">
        <f t="shared" ca="1" si="3"/>
        <v>855.20896170976812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39241</v>
      </c>
      <c r="B13" s="66">
        <v>39241</v>
      </c>
      <c r="D13">
        <f t="shared" si="0"/>
        <v>0.40106088325174005</v>
      </c>
      <c r="E13">
        <f t="shared" si="0"/>
        <v>0.40106088325174005</v>
      </c>
      <c r="G13">
        <f t="shared" ca="1" si="1"/>
        <v>11</v>
      </c>
      <c r="H13">
        <f t="shared" ca="1" si="2"/>
        <v>4.4116697157691407</v>
      </c>
      <c r="I13">
        <f t="shared" ca="1" si="3"/>
        <v>842.80988921743267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51930</v>
      </c>
      <c r="B15" s="66">
        <v>51930</v>
      </c>
      <c r="D15">
        <f t="shared" si="0"/>
        <v>0.53074823952658856</v>
      </c>
      <c r="E15">
        <f t="shared" si="0"/>
        <v>0.53074823952658856</v>
      </c>
      <c r="G15">
        <f t="shared" ca="1" si="1"/>
        <v>13</v>
      </c>
      <c r="H15">
        <f t="shared" ca="1" si="2"/>
        <v>6.8997271138456515</v>
      </c>
      <c r="I15">
        <f t="shared" ca="1" si="3"/>
        <v>1020.1431678490939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62759</v>
      </c>
      <c r="B18" s="66">
        <v>62759</v>
      </c>
      <c r="D18">
        <f t="shared" si="0"/>
        <v>0.64142554909395666</v>
      </c>
      <c r="E18">
        <f t="shared" si="0"/>
        <v>0.64142554909395666</v>
      </c>
      <c r="G18">
        <f t="shared" ca="1" si="1"/>
        <v>16</v>
      </c>
      <c r="H18">
        <f t="shared" ca="1" si="2"/>
        <v>10.262808785503307</v>
      </c>
      <c r="I18">
        <f t="shared" ca="1" si="3"/>
        <v>1069.9204915029411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61525</v>
      </c>
      <c r="B21" s="66">
        <v>61525</v>
      </c>
      <c r="D21">
        <f t="shared" si="0"/>
        <v>0.62881350735361752</v>
      </c>
      <c r="E21">
        <f t="shared" si="0"/>
        <v>0.62881350735361752</v>
      </c>
      <c r="G21">
        <f t="shared" ca="1" si="1"/>
        <v>19</v>
      </c>
      <c r="H21">
        <f t="shared" ca="1" si="2"/>
        <v>11.947456639718732</v>
      </c>
      <c r="I21">
        <f t="shared" ca="1" si="3"/>
        <v>900.45202649073633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71445</v>
      </c>
      <c r="B23" s="66">
        <v>71445</v>
      </c>
      <c r="D23">
        <f t="shared" si="0"/>
        <v>0.73020042312684608</v>
      </c>
      <c r="E23">
        <f t="shared" si="0"/>
        <v>0.73020042312684608</v>
      </c>
      <c r="G23">
        <f t="shared" ca="1" si="1"/>
        <v>21</v>
      </c>
      <c r="H23">
        <f t="shared" ca="1" si="2"/>
        <v>15.334208885663768</v>
      </c>
      <c r="I23">
        <f t="shared" ca="1" si="3"/>
        <v>938.0296782274354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71074</v>
      </c>
      <c r="B26" s="66">
        <v>71074</v>
      </c>
      <c r="D26">
        <f t="shared" si="0"/>
        <v>0.72640863424056912</v>
      </c>
      <c r="E26">
        <f t="shared" si="0"/>
        <v>0.72640863424056912</v>
      </c>
      <c r="G26">
        <f t="shared" ca="1" si="1"/>
        <v>24</v>
      </c>
      <c r="H26">
        <f t="shared" ca="1" si="2"/>
        <v>17.433807221773659</v>
      </c>
      <c r="I26">
        <f t="shared" ca="1" si="3"/>
        <v>783.48251397307195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78240</v>
      </c>
      <c r="B28" s="66">
        <v>78240</v>
      </c>
      <c r="D28">
        <f t="shared" si="0"/>
        <v>0.7996484163404638</v>
      </c>
      <c r="E28">
        <f t="shared" si="0"/>
        <v>0.7996484163404638</v>
      </c>
      <c r="G28">
        <f t="shared" ca="1" si="1"/>
        <v>26</v>
      </c>
      <c r="H28">
        <f t="shared" ca="1" si="2"/>
        <v>20.790858824852059</v>
      </c>
      <c r="I28">
        <f t="shared" ca="1" si="3"/>
        <v>760.62843774952375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82709</v>
      </c>
      <c r="B31" s="66">
        <v>82709</v>
      </c>
      <c r="D31">
        <f t="shared" si="0"/>
        <v>0.845323630714512</v>
      </c>
      <c r="E31">
        <f t="shared" si="0"/>
        <v>0.845323630714512</v>
      </c>
      <c r="G31">
        <f t="shared" ca="1" si="1"/>
        <v>29</v>
      </c>
      <c r="H31">
        <f t="shared" ca="1" si="2"/>
        <v>24.514385290720849</v>
      </c>
      <c r="I31">
        <f t="shared" ca="1" si="3"/>
        <v>655.25603648451136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86372</v>
      </c>
      <c r="B33" s="66">
        <v>86372</v>
      </c>
      <c r="D33">
        <f t="shared" si="0"/>
        <v>0.88276115818198542</v>
      </c>
      <c r="E33">
        <f t="shared" si="0"/>
        <v>0.88276115818198542</v>
      </c>
      <c r="G33">
        <f t="shared" ca="1" si="1"/>
        <v>31</v>
      </c>
      <c r="H33">
        <f t="shared" ca="1" si="2"/>
        <v>27.365595903641548</v>
      </c>
      <c r="I33">
        <f t="shared" ca="1" si="3"/>
        <v>589.49704051130357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95418</v>
      </c>
      <c r="B36" s="66">
        <v>95418</v>
      </c>
      <c r="D36">
        <f t="shared" si="0"/>
        <v>0.97521539609374197</v>
      </c>
      <c r="E36">
        <f t="shared" si="0"/>
        <v>0.97521539609374197</v>
      </c>
      <c r="G36">
        <f t="shared" ca="1" si="1"/>
        <v>34</v>
      </c>
      <c r="H36">
        <f t="shared" ca="1" si="2"/>
        <v>33.157323467187226</v>
      </c>
      <c r="I36">
        <f t="shared" ca="1" si="3"/>
        <v>508.80709181796061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97843</v>
      </c>
      <c r="B39" s="66">
        <v>97843</v>
      </c>
      <c r="D39">
        <f t="shared" si="0"/>
        <v>1</v>
      </c>
      <c r="E39">
        <f t="shared" si="0"/>
        <v>1</v>
      </c>
      <c r="G39">
        <f t="shared" ca="1" si="1"/>
        <v>37</v>
      </c>
      <c r="H39">
        <f t="shared" ca="1" si="2"/>
        <v>37</v>
      </c>
      <c r="I39">
        <f t="shared" ca="1" si="3"/>
        <v>393.68863454356784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96848</v>
      </c>
      <c r="B41" s="66">
        <v>96848</v>
      </c>
      <c r="D41">
        <f t="shared" si="0"/>
        <v>0.98983064705701995</v>
      </c>
      <c r="E41">
        <f t="shared" si="0"/>
        <v>0.98983064705701995</v>
      </c>
      <c r="G41">
        <f t="shared" ca="1" si="1"/>
        <v>39</v>
      </c>
      <c r="H41">
        <f t="shared" ca="1" si="2"/>
        <v>38.603395235223779</v>
      </c>
      <c r="I41">
        <f t="shared" ca="1" si="3"/>
        <v>315.0851488891596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87516</v>
      </c>
      <c r="B44" s="66">
        <v>87516</v>
      </c>
      <c r="D44">
        <f t="shared" si="0"/>
        <v>0.8944533589526078</v>
      </c>
      <c r="E44">
        <f t="shared" si="0"/>
        <v>0.8944533589526078</v>
      </c>
      <c r="G44">
        <f t="shared" ca="1" si="1"/>
        <v>42</v>
      </c>
      <c r="H44">
        <f t="shared" ca="1" si="2"/>
        <v>37.567041076009531</v>
      </c>
      <c r="I44">
        <f t="shared" ca="1" si="3"/>
        <v>197.02370063828215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93215</v>
      </c>
      <c r="B46" s="66">
        <v>93215</v>
      </c>
      <c r="D46">
        <f t="shared" si="0"/>
        <v>0.95269973324611879</v>
      </c>
      <c r="E46">
        <f t="shared" si="0"/>
        <v>0.95269973324611879</v>
      </c>
      <c r="G46">
        <f t="shared" ca="1" si="1"/>
        <v>44</v>
      </c>
      <c r="H46">
        <f t="shared" ca="1" si="2"/>
        <v>41.918788262829224</v>
      </c>
      <c r="I46">
        <f t="shared" ca="1" si="3"/>
        <v>157.10627893058046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86685</v>
      </c>
      <c r="B49" s="66">
        <v>86685</v>
      </c>
      <c r="D49">
        <f t="shared" si="0"/>
        <v>0.88596016066555605</v>
      </c>
      <c r="E49">
        <f t="shared" si="0"/>
        <v>0.88596016066555605</v>
      </c>
      <c r="G49">
        <f t="shared" ca="1" si="1"/>
        <v>47</v>
      </c>
      <c r="H49">
        <f t="shared" ca="1" si="2"/>
        <v>41.640127551281132</v>
      </c>
      <c r="I49">
        <f t="shared" ca="1" si="3"/>
        <v>85.811323120660475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86392</v>
      </c>
      <c r="B51" s="66">
        <v>86392</v>
      </c>
      <c r="D51">
        <f t="shared" si="0"/>
        <v>0.88296556728636688</v>
      </c>
      <c r="E51">
        <f t="shared" si="0"/>
        <v>0.88296556728636688</v>
      </c>
      <c r="G51">
        <f t="shared" ca="1" si="1"/>
        <v>49</v>
      </c>
      <c r="H51">
        <f t="shared" ca="1" si="2"/>
        <v>43.265312797031974</v>
      </c>
      <c r="I51">
        <f t="shared" ca="1" si="3"/>
        <v>54.294003343140844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80499</v>
      </c>
      <c r="B54" s="66">
        <v>80499</v>
      </c>
      <c r="D54">
        <f t="shared" si="0"/>
        <v>0.82273642468035524</v>
      </c>
      <c r="E54">
        <f t="shared" si="0"/>
        <v>0.82273642468035524</v>
      </c>
      <c r="G54">
        <f t="shared" ca="1" si="1"/>
        <v>52</v>
      </c>
      <c r="H54">
        <f t="shared" ca="1" si="2"/>
        <v>42.782294083378474</v>
      </c>
      <c r="I54">
        <f t="shared" ca="1" si="3"/>
        <v>19.285747489061048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76798</v>
      </c>
      <c r="B57" s="66">
        <v>76798</v>
      </c>
      <c r="D57">
        <f t="shared" si="0"/>
        <v>0.78491051991455696</v>
      </c>
      <c r="E57">
        <f t="shared" si="0"/>
        <v>0.78491051991455696</v>
      </c>
      <c r="G57">
        <f t="shared" ca="1" si="1"/>
        <v>55</v>
      </c>
      <c r="H57">
        <f t="shared" ca="1" si="2"/>
        <v>43.17007859530063</v>
      </c>
      <c r="I57">
        <f t="shared" ca="1" si="3"/>
        <v>2.6619833973273561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80661</v>
      </c>
      <c r="B59" s="66">
        <v>80661</v>
      </c>
      <c r="D59">
        <f t="shared" si="0"/>
        <v>0.82439213842584547</v>
      </c>
      <c r="E59">
        <f t="shared" si="0"/>
        <v>0.82439213842584547</v>
      </c>
      <c r="G59">
        <f t="shared" ca="1" si="1"/>
        <v>57</v>
      </c>
      <c r="H59">
        <f t="shared" ca="1" si="2"/>
        <v>46.990351890273189</v>
      </c>
      <c r="I59">
        <f t="shared" ca="1" si="3"/>
        <v>2.0687461707806807E-2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78324</v>
      </c>
      <c r="B62" s="66">
        <v>78324</v>
      </c>
      <c r="D62">
        <f t="shared" si="0"/>
        <v>0.80050693457886613</v>
      </c>
      <c r="E62">
        <f t="shared" si="0"/>
        <v>0.80050693457886613</v>
      </c>
      <c r="G62">
        <f t="shared" ca="1" si="1"/>
        <v>60</v>
      </c>
      <c r="H62">
        <f t="shared" ca="1" si="2"/>
        <v>48.030416074731967</v>
      </c>
      <c r="I62">
        <f t="shared" ca="1" si="3"/>
        <v>7.9855074772424386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83818</v>
      </c>
      <c r="B64" s="66">
        <v>83818</v>
      </c>
      <c r="D64">
        <f t="shared" si="0"/>
        <v>0.85665811555246674</v>
      </c>
      <c r="E64">
        <f t="shared" si="0"/>
        <v>0.85665811555246674</v>
      </c>
      <c r="G64">
        <f t="shared" ca="1" si="1"/>
        <v>62</v>
      </c>
      <c r="H64">
        <f t="shared" ca="1" si="2"/>
        <v>53.112803164252938</v>
      </c>
      <c r="I64">
        <f t="shared" ca="1" si="3"/>
        <v>22.794994936692802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88078</v>
      </c>
      <c r="B67" s="66">
        <v>88078</v>
      </c>
      <c r="D67">
        <f t="shared" ref="D67:E130" si="4">IFERROR( A67/MAX(A$2:A$257), 0 )</f>
        <v>0.90019725478572821</v>
      </c>
      <c r="E67">
        <f t="shared" si="4"/>
        <v>0.90019725478572821</v>
      </c>
      <c r="G67">
        <f t="shared" ref="G67:G130" ca="1" si="5">CELL("row",D67)-2</f>
        <v>65</v>
      </c>
      <c r="H67">
        <f t="shared" ref="H67:H130" ca="1" si="6">D67*G67</f>
        <v>58.512821561072336</v>
      </c>
      <c r="I67">
        <f t="shared" ref="I67:I130" ca="1" si="7">D67*((G67-$L$1)^2)</f>
        <v>59.916839472126107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92743</v>
      </c>
      <c r="B69" s="66">
        <v>92743</v>
      </c>
      <c r="D69">
        <f t="shared" si="4"/>
        <v>0.94787567838271514</v>
      </c>
      <c r="E69">
        <f t="shared" si="4"/>
        <v>0.94787567838271514</v>
      </c>
      <c r="G69">
        <f t="shared" ca="1" si="5"/>
        <v>67</v>
      </c>
      <c r="H69">
        <f t="shared" ca="1" si="6"/>
        <v>63.507670451641914</v>
      </c>
      <c r="I69">
        <f t="shared" ca="1" si="7"/>
        <v>97.814442018688297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91637</v>
      </c>
      <c r="B72" s="66">
        <v>91637</v>
      </c>
      <c r="D72">
        <f t="shared" si="4"/>
        <v>0.93657185491041772</v>
      </c>
      <c r="E72">
        <f t="shared" si="4"/>
        <v>0.93657185491041772</v>
      </c>
      <c r="G72">
        <f t="shared" ca="1" si="5"/>
        <v>70</v>
      </c>
      <c r="H72">
        <f t="shared" ca="1" si="6"/>
        <v>65.560029843729239</v>
      </c>
      <c r="I72">
        <f t="shared" ca="1" si="7"/>
        <v>162.1616033553471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84421</v>
      </c>
      <c r="B75" s="66">
        <v>84421</v>
      </c>
      <c r="D75">
        <f t="shared" si="4"/>
        <v>0.86282105004956922</v>
      </c>
      <c r="E75">
        <f t="shared" si="4"/>
        <v>0.86282105004956922</v>
      </c>
      <c r="G75">
        <f t="shared" ca="1" si="5"/>
        <v>73</v>
      </c>
      <c r="H75">
        <f t="shared" ca="1" si="6"/>
        <v>62.985936653618552</v>
      </c>
      <c r="I75">
        <f t="shared" ca="1" si="7"/>
        <v>225.27762523712795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84721</v>
      </c>
      <c r="B77" s="66">
        <v>84721</v>
      </c>
      <c r="D77">
        <f t="shared" si="4"/>
        <v>0.86588718661529185</v>
      </c>
      <c r="E77">
        <f t="shared" si="4"/>
        <v>0.86588718661529185</v>
      </c>
      <c r="G77">
        <f t="shared" ca="1" si="5"/>
        <v>75</v>
      </c>
      <c r="H77">
        <f t="shared" ca="1" si="6"/>
        <v>64.941538996146889</v>
      </c>
      <c r="I77">
        <f t="shared" ca="1" si="7"/>
        <v>285.50717051311454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84737</v>
      </c>
      <c r="B80" s="66">
        <v>84737</v>
      </c>
      <c r="D80">
        <f t="shared" si="4"/>
        <v>0.86605071389879706</v>
      </c>
      <c r="E80">
        <f t="shared" si="4"/>
        <v>0.86605071389879706</v>
      </c>
      <c r="G80">
        <f t="shared" ca="1" si="5"/>
        <v>78</v>
      </c>
      <c r="H80">
        <f t="shared" ca="1" si="6"/>
        <v>67.551955684106176</v>
      </c>
      <c r="I80">
        <f t="shared" ca="1" si="7"/>
        <v>387.71217785978382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76018</v>
      </c>
      <c r="B82" s="66">
        <v>76018</v>
      </c>
      <c r="D82">
        <f t="shared" si="4"/>
        <v>0.77693856484367818</v>
      </c>
      <c r="E82">
        <f t="shared" si="4"/>
        <v>0.77693856484367818</v>
      </c>
      <c r="G82">
        <f t="shared" ca="1" si="5"/>
        <v>80</v>
      </c>
      <c r="H82">
        <f t="shared" ca="1" si="6"/>
        <v>62.155085187494251</v>
      </c>
      <c r="I82">
        <f t="shared" ca="1" si="7"/>
        <v>416.68149330747542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68867</v>
      </c>
      <c r="B85" s="66">
        <v>68867</v>
      </c>
      <c r="D85">
        <f t="shared" si="4"/>
        <v>0.70385208957206957</v>
      </c>
      <c r="E85">
        <f t="shared" si="4"/>
        <v>0.70385208957206957</v>
      </c>
      <c r="G85">
        <f t="shared" ca="1" si="5"/>
        <v>83</v>
      </c>
      <c r="H85">
        <f t="shared" ca="1" si="6"/>
        <v>58.419723434481774</v>
      </c>
      <c r="I85">
        <f t="shared" ca="1" si="7"/>
        <v>481.61958463739171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65874</v>
      </c>
      <c r="B88" s="66">
        <v>65874</v>
      </c>
      <c r="D88">
        <f t="shared" si="4"/>
        <v>0.67326226710137671</v>
      </c>
      <c r="E88">
        <f t="shared" si="4"/>
        <v>0.67326226710137671</v>
      </c>
      <c r="G88">
        <f t="shared" ca="1" si="5"/>
        <v>86</v>
      </c>
      <c r="H88">
        <f t="shared" ca="1" si="6"/>
        <v>57.900554970718396</v>
      </c>
      <c r="I88">
        <f t="shared" ca="1" si="7"/>
        <v>572.41630544210136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57450</v>
      </c>
      <c r="B90" s="66">
        <v>57450</v>
      </c>
      <c r="D90">
        <f t="shared" si="4"/>
        <v>0.58716515233588507</v>
      </c>
      <c r="E90">
        <f t="shared" si="4"/>
        <v>0.58716515233588507</v>
      </c>
      <c r="G90">
        <f t="shared" ca="1" si="5"/>
        <v>88</v>
      </c>
      <c r="H90">
        <f t="shared" ca="1" si="6"/>
        <v>51.670533405557883</v>
      </c>
      <c r="I90">
        <f t="shared" ca="1" si="7"/>
        <v>570.04729569960409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51201</v>
      </c>
      <c r="B93" s="66">
        <v>51201</v>
      </c>
      <c r="D93">
        <f t="shared" si="4"/>
        <v>0.52329752767188253</v>
      </c>
      <c r="E93">
        <f t="shared" si="4"/>
        <v>0.52329752767188253</v>
      </c>
      <c r="G93">
        <f t="shared" ca="1" si="5"/>
        <v>91</v>
      </c>
      <c r="H93">
        <f t="shared" ca="1" si="6"/>
        <v>47.620075018141307</v>
      </c>
      <c r="I93">
        <f t="shared" ca="1" si="7"/>
        <v>610.58202496547142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49716</v>
      </c>
      <c r="B95" s="66">
        <v>49716</v>
      </c>
      <c r="D95">
        <f t="shared" si="4"/>
        <v>0.50812015167155544</v>
      </c>
      <c r="E95">
        <f t="shared" si="4"/>
        <v>0.50812015167155544</v>
      </c>
      <c r="G95">
        <f t="shared" ca="1" si="5"/>
        <v>93</v>
      </c>
      <c r="H95">
        <f t="shared" ca="1" si="6"/>
        <v>47.255174105454657</v>
      </c>
      <c r="I95">
        <f t="shared" ca="1" si="7"/>
        <v>664.33189655095873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44989</v>
      </c>
      <c r="B98" s="66">
        <v>44989</v>
      </c>
      <c r="D98">
        <f t="shared" si="4"/>
        <v>0.45980805985098577</v>
      </c>
      <c r="E98">
        <f t="shared" si="4"/>
        <v>0.45980805985098577</v>
      </c>
      <c r="G98">
        <f t="shared" ca="1" si="5"/>
        <v>96</v>
      </c>
      <c r="H98">
        <f t="shared" ca="1" si="6"/>
        <v>44.141573745694636</v>
      </c>
      <c r="I98">
        <f t="shared" ca="1" si="7"/>
        <v>705.06103023044909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42736</v>
      </c>
      <c r="B100" s="66">
        <v>42736</v>
      </c>
      <c r="D100">
        <f t="shared" si="4"/>
        <v>0.43678137424240876</v>
      </c>
      <c r="E100">
        <f t="shared" si="4"/>
        <v>0.43678137424240876</v>
      </c>
      <c r="G100">
        <f t="shared" ca="1" si="5"/>
        <v>98</v>
      </c>
      <c r="H100">
        <f t="shared" ca="1" si="6"/>
        <v>42.804574675756058</v>
      </c>
      <c r="I100">
        <f t="shared" ca="1" si="7"/>
        <v>739.91412827243551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34851</v>
      </c>
      <c r="B103" s="66">
        <v>34851</v>
      </c>
      <c r="D103">
        <f t="shared" si="4"/>
        <v>0.35619308483999879</v>
      </c>
      <c r="E103">
        <f t="shared" si="4"/>
        <v>0.35619308483999879</v>
      </c>
      <c r="G103">
        <f t="shared" ca="1" si="5"/>
        <v>101</v>
      </c>
      <c r="H103">
        <f t="shared" ca="1" si="6"/>
        <v>35.975501568839874</v>
      </c>
      <c r="I103">
        <f t="shared" ca="1" si="7"/>
        <v>694.56415747782444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32162</v>
      </c>
      <c r="B106" s="66">
        <v>32162</v>
      </c>
      <c r="D106">
        <f t="shared" si="4"/>
        <v>0.32871028075590486</v>
      </c>
      <c r="E106">
        <f t="shared" si="4"/>
        <v>0.32871028075590486</v>
      </c>
      <c r="G106">
        <f t="shared" ca="1" si="5"/>
        <v>104</v>
      </c>
      <c r="H106">
        <f t="shared" ca="1" si="6"/>
        <v>34.185869198614107</v>
      </c>
      <c r="I106">
        <f t="shared" ca="1" si="7"/>
        <v>731.02397857876053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28426</v>
      </c>
      <c r="B108" s="66">
        <v>28426</v>
      </c>
      <c r="D108">
        <f t="shared" si="4"/>
        <v>0.29052666005743893</v>
      </c>
      <c r="E108">
        <f t="shared" si="4"/>
        <v>0.29052666005743893</v>
      </c>
      <c r="G108">
        <f t="shared" ca="1" si="5"/>
        <v>106</v>
      </c>
      <c r="H108">
        <f t="shared" ca="1" si="6"/>
        <v>30.795825966088525</v>
      </c>
      <c r="I108">
        <f t="shared" ca="1" si="7"/>
        <v>702.07203196104228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28210</v>
      </c>
      <c r="B111" s="66">
        <v>28210</v>
      </c>
      <c r="D111">
        <f t="shared" si="4"/>
        <v>0.28831904173011869</v>
      </c>
      <c r="E111">
        <f t="shared" si="4"/>
        <v>0.28831904173011869</v>
      </c>
      <c r="G111">
        <f t="shared" ca="1" si="5"/>
        <v>109</v>
      </c>
      <c r="H111">
        <f t="shared" ca="1" si="6"/>
        <v>31.426775548582938</v>
      </c>
      <c r="I111">
        <f t="shared" ca="1" si="7"/>
        <v>784.37192111244769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24559</v>
      </c>
      <c r="B113" s="66">
        <v>24559</v>
      </c>
      <c r="D113">
        <f t="shared" si="4"/>
        <v>0.25100415972527418</v>
      </c>
      <c r="E113">
        <f t="shared" si="4"/>
        <v>0.25100415972527418</v>
      </c>
      <c r="G113">
        <f t="shared" ca="1" si="5"/>
        <v>111</v>
      </c>
      <c r="H113">
        <f t="shared" ca="1" si="6"/>
        <v>27.861461729505432</v>
      </c>
      <c r="I113">
        <f t="shared" ca="1" si="7"/>
        <v>736.22871838363528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17331</v>
      </c>
      <c r="B116" s="66">
        <v>17331</v>
      </c>
      <c r="D116">
        <f t="shared" si="4"/>
        <v>0.17713070940179676</v>
      </c>
      <c r="E116">
        <f t="shared" si="4"/>
        <v>0.17713070940179676</v>
      </c>
      <c r="G116">
        <f t="shared" ca="1" si="5"/>
        <v>114</v>
      </c>
      <c r="H116">
        <f t="shared" ca="1" si="6"/>
        <v>20.192900871804831</v>
      </c>
      <c r="I116">
        <f t="shared" ca="1" si="7"/>
        <v>578.70090734331859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14621</v>
      </c>
      <c r="B118" s="66">
        <v>14621</v>
      </c>
      <c r="D118">
        <f t="shared" si="4"/>
        <v>0.14943327575810228</v>
      </c>
      <c r="E118">
        <f t="shared" si="4"/>
        <v>0.14943327575810228</v>
      </c>
      <c r="G118">
        <f t="shared" ca="1" si="5"/>
        <v>116</v>
      </c>
      <c r="H118">
        <f t="shared" ca="1" si="6"/>
        <v>17.334259987939866</v>
      </c>
      <c r="I118">
        <f t="shared" ca="1" si="7"/>
        <v>522.97427269617674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9357</v>
      </c>
      <c r="B121" s="66">
        <v>9357</v>
      </c>
      <c r="D121">
        <f t="shared" si="4"/>
        <v>9.563279948488905E-2</v>
      </c>
      <c r="E121">
        <f t="shared" si="4"/>
        <v>9.563279948488905E-2</v>
      </c>
      <c r="G121">
        <f t="shared" ca="1" si="5"/>
        <v>119</v>
      </c>
      <c r="H121">
        <f t="shared" ca="1" si="6"/>
        <v>11.380303138701796</v>
      </c>
      <c r="I121">
        <f t="shared" ca="1" si="7"/>
        <v>369.49339851363158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7881</v>
      </c>
      <c r="B124" s="66">
        <v>7881</v>
      </c>
      <c r="D124">
        <f t="shared" si="4"/>
        <v>8.0547407581533684E-2</v>
      </c>
      <c r="E124">
        <f t="shared" si="4"/>
        <v>8.0547407581533684E-2</v>
      </c>
      <c r="G124">
        <f t="shared" ca="1" si="5"/>
        <v>122</v>
      </c>
      <c r="H124">
        <f t="shared" ca="1" si="6"/>
        <v>9.8267837249471093</v>
      </c>
      <c r="I124">
        <f t="shared" ca="1" si="7"/>
        <v>341.97357085030029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6694</v>
      </c>
      <c r="B126" s="66">
        <v>6694</v>
      </c>
      <c r="D126">
        <f t="shared" si="4"/>
        <v>6.8415727236491114E-2</v>
      </c>
      <c r="E126">
        <f t="shared" si="4"/>
        <v>6.8415727236491114E-2</v>
      </c>
      <c r="G126">
        <f t="shared" ca="1" si="5"/>
        <v>124</v>
      </c>
      <c r="H126">
        <f t="shared" ca="1" si="6"/>
        <v>8.4835501773248989</v>
      </c>
      <c r="I126">
        <f t="shared" ca="1" si="7"/>
        <v>308.57218661265756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5033</v>
      </c>
      <c r="B129" s="66">
        <v>5033</v>
      </c>
      <c r="D129">
        <f t="shared" si="4"/>
        <v>5.1439551117606779E-2</v>
      </c>
      <c r="E129">
        <f t="shared" si="4"/>
        <v>5.1439551117606779E-2</v>
      </c>
      <c r="G129">
        <f t="shared" ca="1" si="5"/>
        <v>127</v>
      </c>
      <c r="H129">
        <f t="shared" ca="1" si="6"/>
        <v>6.5328229919360608</v>
      </c>
      <c r="I129">
        <f t="shared" ca="1" si="7"/>
        <v>253.19589755220531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3851</v>
      </c>
      <c r="B131" s="66">
        <v>3851</v>
      </c>
      <c r="D131">
        <f t="shared" ref="D131:E194" si="8">IFERROR( A131/MAX(A$2:A$257), 0 )</f>
        <v>3.9358973048659589E-2</v>
      </c>
      <c r="E131">
        <f t="shared" si="8"/>
        <v>3.9358973048659589E-2</v>
      </c>
      <c r="G131">
        <f t="shared" ref="G131:G194" ca="1" si="9">CELL("row",D131)-2</f>
        <v>129</v>
      </c>
      <c r="H131">
        <f t="shared" ref="H131:H194" ca="1" si="10">D131*G131</f>
        <v>5.0773075232770868</v>
      </c>
      <c r="I131">
        <f t="shared" ref="I131:I194" ca="1" si="11">D131*((G131-$L$1)^2)</f>
        <v>204.9357315277334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2336</v>
      </c>
      <c r="B134" s="66">
        <v>2336</v>
      </c>
      <c r="D134">
        <f t="shared" si="8"/>
        <v>2.3874983391760269E-2</v>
      </c>
      <c r="E134">
        <f t="shared" si="8"/>
        <v>2.3874983391760269E-2</v>
      </c>
      <c r="G134">
        <f t="shared" ca="1" si="9"/>
        <v>132</v>
      </c>
      <c r="H134">
        <f t="shared" ca="1" si="10"/>
        <v>3.1514978077123557</v>
      </c>
      <c r="I134">
        <f t="shared" ca="1" si="11"/>
        <v>134.86469146130412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1607</v>
      </c>
      <c r="B136" s="66">
        <v>1607</v>
      </c>
      <c r="D136">
        <f t="shared" si="8"/>
        <v>1.6424271537054259E-2</v>
      </c>
      <c r="E136">
        <f t="shared" si="8"/>
        <v>1.6424271537054259E-2</v>
      </c>
      <c r="G136">
        <f t="shared" ca="1" si="9"/>
        <v>134</v>
      </c>
      <c r="H136">
        <f t="shared" ca="1" si="10"/>
        <v>2.2008523859652707</v>
      </c>
      <c r="I136">
        <f t="shared" ca="1" si="11"/>
        <v>97.780594273024747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507</v>
      </c>
      <c r="B139" s="66">
        <v>507</v>
      </c>
      <c r="D139">
        <f t="shared" si="8"/>
        <v>5.1817707960712571E-3</v>
      </c>
      <c r="E139">
        <f t="shared" si="8"/>
        <v>5.1817707960712571E-3</v>
      </c>
      <c r="G139">
        <f t="shared" ca="1" si="9"/>
        <v>137</v>
      </c>
      <c r="H139">
        <f t="shared" ca="1" si="10"/>
        <v>0.70990259906176223</v>
      </c>
      <c r="I139">
        <f t="shared" ca="1" si="11"/>
        <v>33.29479945365744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371</v>
      </c>
      <c r="B142" s="66">
        <v>371</v>
      </c>
      <c r="D142">
        <f t="shared" si="8"/>
        <v>3.7917888862769949E-3</v>
      </c>
      <c r="E142">
        <f t="shared" si="8"/>
        <v>3.7917888862769949E-3</v>
      </c>
      <c r="G142">
        <f t="shared" ca="1" si="9"/>
        <v>140</v>
      </c>
      <c r="H142">
        <f t="shared" ca="1" si="10"/>
        <v>0.53085044407877924</v>
      </c>
      <c r="I142">
        <f t="shared" ca="1" si="11"/>
        <v>26.221438836292858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487</v>
      </c>
      <c r="B144" s="66">
        <v>487</v>
      </c>
      <c r="D144">
        <f t="shared" si="8"/>
        <v>4.9773616916897476E-3</v>
      </c>
      <c r="E144">
        <f t="shared" si="8"/>
        <v>4.9773616916897476E-3</v>
      </c>
      <c r="G144">
        <f t="shared" ca="1" si="9"/>
        <v>142</v>
      </c>
      <c r="H144">
        <f t="shared" ca="1" si="10"/>
        <v>0.7067853602199442</v>
      </c>
      <c r="I144">
        <f t="shared" ca="1" si="11"/>
        <v>36.095603244492445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273</v>
      </c>
      <c r="B147" s="66">
        <v>273</v>
      </c>
      <c r="D147">
        <f t="shared" si="8"/>
        <v>2.7901842748076001E-3</v>
      </c>
      <c r="E147">
        <f t="shared" si="8"/>
        <v>2.7901842748076001E-3</v>
      </c>
      <c r="G147">
        <f t="shared" ca="1" si="9"/>
        <v>145</v>
      </c>
      <c r="H147">
        <f t="shared" ca="1" si="10"/>
        <v>0.40457671984710203</v>
      </c>
      <c r="I147">
        <f t="shared" ca="1" si="11"/>
        <v>21.685048557963412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437</v>
      </c>
      <c r="B149" s="66">
        <v>437</v>
      </c>
      <c r="D149">
        <f t="shared" si="8"/>
        <v>4.4663389307359747E-3</v>
      </c>
      <c r="E149">
        <f t="shared" si="8"/>
        <v>4.4663389307359747E-3</v>
      </c>
      <c r="G149">
        <f t="shared" ca="1" si="9"/>
        <v>147</v>
      </c>
      <c r="H149">
        <f t="shared" ca="1" si="10"/>
        <v>0.65655182281818825</v>
      </c>
      <c r="I149">
        <f t="shared" ca="1" si="11"/>
        <v>36.304810912188437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129</v>
      </c>
      <c r="B152" s="66">
        <v>129</v>
      </c>
      <c r="D152">
        <f t="shared" si="8"/>
        <v>1.318438723260734E-3</v>
      </c>
      <c r="E152">
        <f t="shared" si="8"/>
        <v>1.318438723260734E-3</v>
      </c>
      <c r="G152">
        <f t="shared" ca="1" si="9"/>
        <v>150</v>
      </c>
      <c r="H152">
        <f t="shared" ca="1" si="10"/>
        <v>0.1977658084891101</v>
      </c>
      <c r="I152">
        <f t="shared" ca="1" si="11"/>
        <v>11.442056789725983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81</v>
      </c>
      <c r="B154" s="66">
        <v>81</v>
      </c>
      <c r="D154">
        <f t="shared" si="8"/>
        <v>8.2785687274511204E-4</v>
      </c>
      <c r="E154">
        <f t="shared" si="8"/>
        <v>8.2785687274511204E-4</v>
      </c>
      <c r="G154">
        <f t="shared" ca="1" si="9"/>
        <v>152</v>
      </c>
      <c r="H154">
        <f t="shared" ca="1" si="10"/>
        <v>0.12583424465725704</v>
      </c>
      <c r="I154">
        <f t="shared" ca="1" si="11"/>
        <v>7.4963460388918879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76</v>
      </c>
      <c r="B157" s="66">
        <v>76</v>
      </c>
      <c r="D157">
        <f t="shared" si="8"/>
        <v>7.7675459664973477E-4</v>
      </c>
      <c r="E157">
        <f t="shared" si="8"/>
        <v>7.7675459664973477E-4</v>
      </c>
      <c r="G157">
        <f t="shared" ca="1" si="9"/>
        <v>155</v>
      </c>
      <c r="H157">
        <f t="shared" ca="1" si="10"/>
        <v>0.12039696248070889</v>
      </c>
      <c r="I157">
        <f t="shared" ca="1" si="11"/>
        <v>7.484087821668707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36</v>
      </c>
      <c r="B160" s="66">
        <v>36</v>
      </c>
      <c r="D160">
        <f t="shared" si="8"/>
        <v>3.6793638788671648E-4</v>
      </c>
      <c r="E160">
        <f t="shared" si="8"/>
        <v>3.6793638788671648E-4</v>
      </c>
      <c r="G160">
        <f t="shared" ca="1" si="9"/>
        <v>158</v>
      </c>
      <c r="H160">
        <f t="shared" ca="1" si="10"/>
        <v>5.8133949286101202E-2</v>
      </c>
      <c r="I160">
        <f t="shared" ca="1" si="11"/>
        <v>3.7651019669968568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0</v>
      </c>
      <c r="B162" s="66">
        <v>0</v>
      </c>
      <c r="D162">
        <f t="shared" si="8"/>
        <v>0</v>
      </c>
      <c r="E162">
        <f t="shared" si="8"/>
        <v>0</v>
      </c>
      <c r="G162">
        <f t="shared" ca="1" si="9"/>
        <v>160</v>
      </c>
      <c r="H162">
        <f t="shared" ca="1" si="10"/>
        <v>0</v>
      </c>
      <c r="I162">
        <f t="shared" ca="1" si="11"/>
        <v>0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0</v>
      </c>
      <c r="B165" s="66">
        <v>0</v>
      </c>
      <c r="D165">
        <f t="shared" si="8"/>
        <v>0</v>
      </c>
      <c r="E165">
        <f t="shared" si="8"/>
        <v>0</v>
      </c>
      <c r="G165">
        <f t="shared" ca="1" si="9"/>
        <v>163</v>
      </c>
      <c r="H165">
        <f t="shared" ca="1" si="10"/>
        <v>0</v>
      </c>
      <c r="I165">
        <f t="shared" ca="1" si="11"/>
        <v>0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0</v>
      </c>
      <c r="B167" s="66">
        <v>0</v>
      </c>
      <c r="D167">
        <f t="shared" si="8"/>
        <v>0</v>
      </c>
      <c r="E167">
        <f t="shared" si="8"/>
        <v>0</v>
      </c>
      <c r="G167">
        <f t="shared" ca="1" si="9"/>
        <v>165</v>
      </c>
      <c r="H167">
        <f t="shared" ca="1" si="10"/>
        <v>0</v>
      </c>
      <c r="I167">
        <f t="shared" ca="1" si="11"/>
        <v>0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0</v>
      </c>
      <c r="B170" s="66">
        <v>0</v>
      </c>
      <c r="D170">
        <f t="shared" si="8"/>
        <v>0</v>
      </c>
      <c r="E170">
        <f t="shared" si="8"/>
        <v>0</v>
      </c>
      <c r="G170">
        <f t="shared" ca="1" si="9"/>
        <v>168</v>
      </c>
      <c r="H170">
        <f t="shared" ca="1" si="10"/>
        <v>0</v>
      </c>
      <c r="I170">
        <f t="shared" ca="1" si="11"/>
        <v>0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0</v>
      </c>
      <c r="B173" s="66">
        <v>0</v>
      </c>
      <c r="D173">
        <f t="shared" si="8"/>
        <v>0</v>
      </c>
      <c r="E173">
        <f t="shared" si="8"/>
        <v>0</v>
      </c>
      <c r="G173">
        <f t="shared" ca="1" si="9"/>
        <v>171</v>
      </c>
      <c r="H173">
        <f t="shared" ca="1" si="10"/>
        <v>0</v>
      </c>
      <c r="I173">
        <f t="shared" ca="1" si="11"/>
        <v>0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0</v>
      </c>
      <c r="B175" s="66">
        <v>0</v>
      </c>
      <c r="D175">
        <f t="shared" si="8"/>
        <v>0</v>
      </c>
      <c r="E175">
        <f t="shared" si="8"/>
        <v>0</v>
      </c>
      <c r="G175">
        <f t="shared" ca="1" si="9"/>
        <v>173</v>
      </c>
      <c r="H175">
        <f t="shared" ca="1" si="10"/>
        <v>0</v>
      </c>
      <c r="I175">
        <f t="shared" ca="1" si="11"/>
        <v>0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0</v>
      </c>
      <c r="B178" s="66">
        <v>0</v>
      </c>
      <c r="D178">
        <f t="shared" si="8"/>
        <v>0</v>
      </c>
      <c r="E178">
        <f t="shared" si="8"/>
        <v>0</v>
      </c>
      <c r="G178">
        <f t="shared" ca="1" si="9"/>
        <v>176</v>
      </c>
      <c r="H178">
        <f t="shared" ca="1" si="10"/>
        <v>0</v>
      </c>
      <c r="I178">
        <f t="shared" ca="1" si="11"/>
        <v>0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0</v>
      </c>
      <c r="B180" s="66">
        <v>0</v>
      </c>
      <c r="D180">
        <f t="shared" si="8"/>
        <v>0</v>
      </c>
      <c r="E180">
        <f t="shared" si="8"/>
        <v>0</v>
      </c>
      <c r="G180">
        <f t="shared" ca="1" si="9"/>
        <v>178</v>
      </c>
      <c r="H180">
        <f t="shared" ca="1" si="10"/>
        <v>0</v>
      </c>
      <c r="I180">
        <f t="shared" ca="1" si="11"/>
        <v>0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404</v>
      </c>
      <c r="B1" s="66" t="s">
        <v>405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57.712589752536886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1.1142852608374023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0.56344548296443708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15957</v>
      </c>
      <c r="B8" s="66">
        <v>15957</v>
      </c>
      <c r="D8">
        <f t="shared" si="0"/>
        <v>31.205021902377972</v>
      </c>
      <c r="E8">
        <f t="shared" si="1"/>
        <v>31.205021902377972</v>
      </c>
      <c r="G8">
        <f t="shared" ca="1" si="2"/>
        <v>6</v>
      </c>
      <c r="H8">
        <f t="shared" ca="1" si="3"/>
        <v>187.23013141426782</v>
      </c>
      <c r="I8">
        <f t="shared" ca="1" si="4"/>
        <v>83448.218024979695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16515</v>
      </c>
      <c r="B10" s="66">
        <v>16515</v>
      </c>
      <c r="D10">
        <f t="shared" si="0"/>
        <v>32.2962296620776</v>
      </c>
      <c r="E10">
        <f t="shared" si="1"/>
        <v>32.2962296620776</v>
      </c>
      <c r="G10">
        <f t="shared" ca="1" si="2"/>
        <v>8</v>
      </c>
      <c r="H10">
        <f t="shared" ca="1" si="3"/>
        <v>258.3698372966208</v>
      </c>
      <c r="I10">
        <f t="shared" ca="1" si="4"/>
        <v>79815.015238022432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18635</v>
      </c>
      <c r="B13" s="66">
        <v>18635</v>
      </c>
      <c r="D13">
        <f t="shared" si="0"/>
        <v>36.442036921151441</v>
      </c>
      <c r="E13">
        <f t="shared" si="1"/>
        <v>36.442036921151441</v>
      </c>
      <c r="G13">
        <f t="shared" ca="1" si="2"/>
        <v>11</v>
      </c>
      <c r="H13">
        <f t="shared" ca="1" si="3"/>
        <v>400.86240613266585</v>
      </c>
      <c r="I13">
        <f t="shared" ca="1" si="4"/>
        <v>79518.931244681924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24349</v>
      </c>
      <c r="B15" s="66">
        <v>24349</v>
      </c>
      <c r="D15">
        <f t="shared" si="0"/>
        <v>47.616160826032541</v>
      </c>
      <c r="E15">
        <f t="shared" si="1"/>
        <v>47.616160826032541</v>
      </c>
      <c r="G15">
        <f t="shared" ca="1" si="2"/>
        <v>13</v>
      </c>
      <c r="H15">
        <f t="shared" ca="1" si="3"/>
        <v>619.01009073842306</v>
      </c>
      <c r="I15">
        <f t="shared" ca="1" si="4"/>
        <v>95194.975458068977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29059</v>
      </c>
      <c r="B18" s="66">
        <v>29059</v>
      </c>
      <c r="D18">
        <f t="shared" si="0"/>
        <v>56.826892991239049</v>
      </c>
      <c r="E18">
        <f t="shared" si="1"/>
        <v>56.826892991239049</v>
      </c>
      <c r="G18">
        <f t="shared" ca="1" si="2"/>
        <v>16</v>
      </c>
      <c r="H18">
        <f t="shared" ca="1" si="3"/>
        <v>909.23028785982478</v>
      </c>
      <c r="I18">
        <f t="shared" ca="1" si="4"/>
        <v>98875.392366489075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25998</v>
      </c>
      <c r="B21" s="66">
        <v>25998</v>
      </c>
      <c r="D21">
        <f t="shared" si="0"/>
        <v>50.840894868585735</v>
      </c>
      <c r="E21">
        <f t="shared" si="1"/>
        <v>50.840894868585735</v>
      </c>
      <c r="G21">
        <f t="shared" ca="1" si="2"/>
        <v>19</v>
      </c>
      <c r="H21">
        <f t="shared" ca="1" si="3"/>
        <v>965.97700250312892</v>
      </c>
      <c r="I21">
        <f t="shared" ca="1" si="4"/>
        <v>76193.449643779575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33574</v>
      </c>
      <c r="B23" s="66">
        <v>33574</v>
      </c>
      <c r="D23">
        <f t="shared" si="0"/>
        <v>65.656289111389242</v>
      </c>
      <c r="E23">
        <f t="shared" si="1"/>
        <v>65.656289111389242</v>
      </c>
      <c r="G23">
        <f t="shared" ca="1" si="2"/>
        <v>21</v>
      </c>
      <c r="H23">
        <f t="shared" ca="1" si="3"/>
        <v>1378.7820713391741</v>
      </c>
      <c r="I23">
        <f t="shared" ca="1" si="4"/>
        <v>88492.481826021947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31087</v>
      </c>
      <c r="B26" s="66">
        <v>31087</v>
      </c>
      <c r="D26">
        <f t="shared" si="0"/>
        <v>60.792787859824784</v>
      </c>
      <c r="E26">
        <f t="shared" si="1"/>
        <v>60.792787859824784</v>
      </c>
      <c r="G26">
        <f t="shared" ca="1" si="2"/>
        <v>24</v>
      </c>
      <c r="H26">
        <f t="shared" ca="1" si="3"/>
        <v>1459.0269086357948</v>
      </c>
      <c r="I26">
        <f t="shared" ca="1" si="4"/>
        <v>69093.356559154214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35115</v>
      </c>
      <c r="B28" s="66">
        <v>35115</v>
      </c>
      <c r="D28">
        <f t="shared" si="0"/>
        <v>68.669821652065082</v>
      </c>
      <c r="E28">
        <f t="shared" si="1"/>
        <v>68.669821652065082</v>
      </c>
      <c r="G28">
        <f t="shared" ca="1" si="2"/>
        <v>26</v>
      </c>
      <c r="H28">
        <f t="shared" ca="1" si="3"/>
        <v>1785.4153629536922</v>
      </c>
      <c r="I28">
        <f t="shared" ca="1" si="4"/>
        <v>69060.439550528434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38541</v>
      </c>
      <c r="B31" s="66">
        <v>38541</v>
      </c>
      <c r="D31">
        <f t="shared" si="0"/>
        <v>75.369602628285364</v>
      </c>
      <c r="E31">
        <f t="shared" si="1"/>
        <v>75.369602628285364</v>
      </c>
      <c r="G31">
        <f t="shared" ca="1" si="2"/>
        <v>29</v>
      </c>
      <c r="H31">
        <f t="shared" ca="1" si="3"/>
        <v>2185.7184762202755</v>
      </c>
      <c r="I31">
        <f t="shared" ca="1" si="4"/>
        <v>62135.66591378954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40861</v>
      </c>
      <c r="B33" s="66">
        <v>40861</v>
      </c>
      <c r="D33">
        <f t="shared" si="0"/>
        <v>79.906523779724651</v>
      </c>
      <c r="E33">
        <f t="shared" si="1"/>
        <v>79.906523779724651</v>
      </c>
      <c r="G33">
        <f t="shared" ca="1" si="2"/>
        <v>31</v>
      </c>
      <c r="H33">
        <f t="shared" ca="1" si="3"/>
        <v>2477.1022371714644</v>
      </c>
      <c r="I33">
        <f t="shared" ca="1" si="4"/>
        <v>57018.294982110332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48952</v>
      </c>
      <c r="B36" s="66">
        <v>48952</v>
      </c>
      <c r="D36">
        <f t="shared" si="0"/>
        <v>95.729036295369212</v>
      </c>
      <c r="E36">
        <f t="shared" si="1"/>
        <v>95.729036295369212</v>
      </c>
      <c r="G36">
        <f t="shared" ca="1" si="2"/>
        <v>34</v>
      </c>
      <c r="H36">
        <f t="shared" ca="1" si="3"/>
        <v>3254.7872340425533</v>
      </c>
      <c r="I36">
        <f t="shared" ca="1" si="4"/>
        <v>53827.184281173119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49453</v>
      </c>
      <c r="B39" s="66">
        <v>49453</v>
      </c>
      <c r="D39">
        <f t="shared" si="0"/>
        <v>96.708776595744681</v>
      </c>
      <c r="E39">
        <f t="shared" si="1"/>
        <v>96.708776595744681</v>
      </c>
      <c r="G39">
        <f t="shared" ca="1" si="2"/>
        <v>37</v>
      </c>
      <c r="H39">
        <f t="shared" ca="1" si="3"/>
        <v>3578.2247340425533</v>
      </c>
      <c r="I39">
        <f t="shared" ca="1" si="4"/>
        <v>41489.165150043562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47818</v>
      </c>
      <c r="B41" s="66">
        <v>47818</v>
      </c>
      <c r="D41">
        <f t="shared" si="0"/>
        <v>93.511420525657073</v>
      </c>
      <c r="E41">
        <f t="shared" si="1"/>
        <v>93.511420525657073</v>
      </c>
      <c r="G41">
        <f t="shared" ca="1" si="2"/>
        <v>39</v>
      </c>
      <c r="H41">
        <f t="shared" ca="1" si="3"/>
        <v>3646.945400500626</v>
      </c>
      <c r="I41">
        <f t="shared" ca="1" si="4"/>
        <v>32744.053948429711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45937</v>
      </c>
      <c r="B44" s="66">
        <v>45937</v>
      </c>
      <c r="D44">
        <f t="shared" si="0"/>
        <v>89.832994367959955</v>
      </c>
      <c r="E44">
        <f t="shared" si="1"/>
        <v>89.832994367959955</v>
      </c>
      <c r="G44">
        <f t="shared" ca="1" si="2"/>
        <v>42</v>
      </c>
      <c r="H44">
        <f t="shared" ca="1" si="3"/>
        <v>3772.9857634543182</v>
      </c>
      <c r="I44">
        <f t="shared" ca="1" si="4"/>
        <v>22178.461640754387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51136</v>
      </c>
      <c r="B46" s="66">
        <v>51136</v>
      </c>
      <c r="D46">
        <f t="shared" si="0"/>
        <v>100</v>
      </c>
      <c r="E46">
        <f t="shared" si="1"/>
        <v>100</v>
      </c>
      <c r="G46">
        <f t="shared" ca="1" si="2"/>
        <v>44</v>
      </c>
      <c r="H46">
        <f t="shared" ca="1" si="3"/>
        <v>4400</v>
      </c>
      <c r="I46">
        <f t="shared" ca="1" si="4"/>
        <v>18803.511772137961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43565</v>
      </c>
      <c r="B49" s="66">
        <v>43565</v>
      </c>
      <c r="D49">
        <f t="shared" si="0"/>
        <v>85.194383604505632</v>
      </c>
      <c r="E49">
        <f t="shared" si="1"/>
        <v>85.194383604505632</v>
      </c>
      <c r="G49">
        <f t="shared" ca="1" si="2"/>
        <v>47</v>
      </c>
      <c r="H49">
        <f t="shared" ca="1" si="3"/>
        <v>4004.1360294117649</v>
      </c>
      <c r="I49">
        <f t="shared" ca="1" si="4"/>
        <v>9776.8716131810979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43280</v>
      </c>
      <c r="B51" s="66">
        <v>43280</v>
      </c>
      <c r="D51">
        <f t="shared" si="0"/>
        <v>84.637046307884859</v>
      </c>
      <c r="E51">
        <f t="shared" si="1"/>
        <v>84.637046307884859</v>
      </c>
      <c r="G51">
        <f t="shared" ca="1" si="2"/>
        <v>49</v>
      </c>
      <c r="H51">
        <f t="shared" ca="1" si="3"/>
        <v>4147.2152690863577</v>
      </c>
      <c r="I51">
        <f t="shared" ca="1" si="4"/>
        <v>6424.7321849251903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40234</v>
      </c>
      <c r="B54" s="66">
        <v>40234</v>
      </c>
      <c r="D54">
        <f t="shared" si="0"/>
        <v>78.680381727158945</v>
      </c>
      <c r="E54">
        <f t="shared" si="1"/>
        <v>78.680381727158945</v>
      </c>
      <c r="G54">
        <f t="shared" ca="1" si="2"/>
        <v>52</v>
      </c>
      <c r="H54">
        <f t="shared" ca="1" si="3"/>
        <v>4091.3798498122651</v>
      </c>
      <c r="I54">
        <f t="shared" ca="1" si="4"/>
        <v>2567.6305318071068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38424</v>
      </c>
      <c r="B57" s="66">
        <v>38424</v>
      </c>
      <c r="D57">
        <f t="shared" si="0"/>
        <v>75.14080100125156</v>
      </c>
      <c r="E57">
        <f t="shared" si="1"/>
        <v>75.14080100125156</v>
      </c>
      <c r="G57">
        <f t="shared" ca="1" si="2"/>
        <v>55</v>
      </c>
      <c r="H57">
        <f t="shared" ca="1" si="3"/>
        <v>4132.7440550688361</v>
      </c>
      <c r="I57">
        <f t="shared" ca="1" si="4"/>
        <v>552.89677134267345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38813</v>
      </c>
      <c r="B59" s="66">
        <v>38813</v>
      </c>
      <c r="D59">
        <f t="shared" si="0"/>
        <v>75.901517521902377</v>
      </c>
      <c r="E59">
        <f t="shared" si="1"/>
        <v>75.901517521902377</v>
      </c>
      <c r="G59">
        <f t="shared" ca="1" si="2"/>
        <v>57</v>
      </c>
      <c r="H59">
        <f t="shared" ca="1" si="3"/>
        <v>4326.3864987484358</v>
      </c>
      <c r="I59">
        <f t="shared" ca="1" si="4"/>
        <v>38.54158796999954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38056</v>
      </c>
      <c r="B62" s="66">
        <v>38056</v>
      </c>
      <c r="D62">
        <f t="shared" si="0"/>
        <v>74.421151439299123</v>
      </c>
      <c r="E62">
        <f t="shared" si="1"/>
        <v>74.421151439299123</v>
      </c>
      <c r="G62">
        <f t="shared" ca="1" si="2"/>
        <v>60</v>
      </c>
      <c r="H62">
        <f t="shared" ca="1" si="3"/>
        <v>4465.2690863579473</v>
      </c>
      <c r="I62">
        <f t="shared" ca="1" si="4"/>
        <v>389.38974515688216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38948</v>
      </c>
      <c r="B64" s="66">
        <v>38948</v>
      </c>
      <c r="D64">
        <f t="shared" si="0"/>
        <v>76.165519399249064</v>
      </c>
      <c r="E64">
        <f t="shared" si="1"/>
        <v>76.165519399249064</v>
      </c>
      <c r="G64">
        <f t="shared" ca="1" si="2"/>
        <v>62</v>
      </c>
      <c r="H64">
        <f t="shared" ca="1" si="3"/>
        <v>4722.2622027534417</v>
      </c>
      <c r="I64">
        <f t="shared" ca="1" si="4"/>
        <v>1400.0659427160017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39940</v>
      </c>
      <c r="B67" s="66">
        <v>39940</v>
      </c>
      <c r="D67">
        <f t="shared" ref="D67:D130" si="5">IFERROR( 100*A67/MAX(A$2:A$257), 0 )</f>
        <v>78.105444305381724</v>
      </c>
      <c r="E67">
        <f t="shared" ref="E67:E130" si="6">IFERROR( 100*B67/MAX(B$2:B$257), 0 )</f>
        <v>78.105444305381724</v>
      </c>
      <c r="G67">
        <f t="shared" ref="G67:G130" ca="1" si="7">CELL("row",D67)-2</f>
        <v>65</v>
      </c>
      <c r="H67">
        <f t="shared" ref="H67:H130" ca="1" si="8">D67*G67</f>
        <v>5076.8538798498121</v>
      </c>
      <c r="I67">
        <f t="shared" ref="I67:I130" ca="1" si="9">D67*((G67-$L$1)^2)</f>
        <v>4147.8949149451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41077</v>
      </c>
      <c r="B69" s="66">
        <v>41077</v>
      </c>
      <c r="D69">
        <f t="shared" si="5"/>
        <v>80.328926783479346</v>
      </c>
      <c r="E69">
        <f t="shared" si="6"/>
        <v>80.328926783479346</v>
      </c>
      <c r="G69">
        <f t="shared" ca="1" si="7"/>
        <v>67</v>
      </c>
      <c r="H69">
        <f t="shared" ca="1" si="8"/>
        <v>5382.0380944931167</v>
      </c>
      <c r="I69">
        <f t="shared" ca="1" si="9"/>
        <v>6928.8510334266621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41454</v>
      </c>
      <c r="B72" s="66">
        <v>41454</v>
      </c>
      <c r="D72">
        <f t="shared" si="5"/>
        <v>81.066176470588232</v>
      </c>
      <c r="E72">
        <f t="shared" si="6"/>
        <v>81.066176470588232</v>
      </c>
      <c r="G72">
        <f t="shared" ca="1" si="7"/>
        <v>70</v>
      </c>
      <c r="H72">
        <f t="shared" ca="1" si="8"/>
        <v>5674.6323529411766</v>
      </c>
      <c r="I72">
        <f t="shared" ca="1" si="9"/>
        <v>12239.407851094218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38547</v>
      </c>
      <c r="B75" s="66">
        <v>38547</v>
      </c>
      <c r="D75">
        <f t="shared" si="5"/>
        <v>75.381336045056315</v>
      </c>
      <c r="E75">
        <f t="shared" si="6"/>
        <v>75.381336045056315</v>
      </c>
      <c r="G75">
        <f t="shared" ca="1" si="7"/>
        <v>73</v>
      </c>
      <c r="H75">
        <f t="shared" ca="1" si="8"/>
        <v>5502.8375312891112</v>
      </c>
      <c r="I75">
        <f t="shared" ca="1" si="9"/>
        <v>17616.988512448643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39905</v>
      </c>
      <c r="B77" s="66">
        <v>39905</v>
      </c>
      <c r="D77">
        <f t="shared" si="5"/>
        <v>78.036999374217771</v>
      </c>
      <c r="E77">
        <f t="shared" si="6"/>
        <v>78.036999374217771</v>
      </c>
      <c r="G77">
        <f t="shared" ca="1" si="7"/>
        <v>75</v>
      </c>
      <c r="H77">
        <f t="shared" ca="1" si="8"/>
        <v>5852.7749530663332</v>
      </c>
      <c r="I77">
        <f t="shared" ca="1" si="9"/>
        <v>23321.712570444732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36654</v>
      </c>
      <c r="B80" s="66">
        <v>36654</v>
      </c>
      <c r="D80">
        <f t="shared" si="5"/>
        <v>71.679443053817266</v>
      </c>
      <c r="E80">
        <f t="shared" si="6"/>
        <v>71.679443053817266</v>
      </c>
      <c r="G80">
        <f t="shared" ca="1" si="7"/>
        <v>78</v>
      </c>
      <c r="H80">
        <f t="shared" ca="1" si="8"/>
        <v>5590.9965581977467</v>
      </c>
      <c r="I80">
        <f t="shared" ca="1" si="9"/>
        <v>29501.754535502056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30527</v>
      </c>
      <c r="B82" s="66">
        <v>30527</v>
      </c>
      <c r="D82">
        <f t="shared" si="5"/>
        <v>59.697668961201501</v>
      </c>
      <c r="E82">
        <f t="shared" si="6"/>
        <v>59.697668961201501</v>
      </c>
      <c r="G82">
        <f t="shared" ca="1" si="7"/>
        <v>80</v>
      </c>
      <c r="H82">
        <f t="shared" ca="1" si="8"/>
        <v>4775.8135168961198</v>
      </c>
      <c r="I82">
        <f t="shared" ca="1" si="9"/>
        <v>29653.542841893428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27756</v>
      </c>
      <c r="B85" s="66">
        <v>27756</v>
      </c>
      <c r="D85">
        <f t="shared" si="5"/>
        <v>54.278785982478098</v>
      </c>
      <c r="E85">
        <f t="shared" si="6"/>
        <v>54.278785982478098</v>
      </c>
      <c r="G85">
        <f t="shared" ca="1" si="7"/>
        <v>83</v>
      </c>
      <c r="H85">
        <f t="shared" ca="1" si="8"/>
        <v>4505.1392365456823</v>
      </c>
      <c r="I85">
        <f t="shared" ca="1" si="9"/>
        <v>34708.738884747218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27344</v>
      </c>
      <c r="B88" s="66">
        <v>27344</v>
      </c>
      <c r="D88">
        <f t="shared" si="5"/>
        <v>53.47309136420526</v>
      </c>
      <c r="E88">
        <f t="shared" si="6"/>
        <v>53.47309136420526</v>
      </c>
      <c r="G88">
        <f t="shared" ca="1" si="7"/>
        <v>86</v>
      </c>
      <c r="H88">
        <f t="shared" ca="1" si="8"/>
        <v>4598.6858573216523</v>
      </c>
      <c r="I88">
        <f t="shared" ca="1" si="9"/>
        <v>42787.968763161844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24995</v>
      </c>
      <c r="B90" s="66">
        <v>24995</v>
      </c>
      <c r="D90">
        <f t="shared" si="5"/>
        <v>48.879458698372964</v>
      </c>
      <c r="E90">
        <f t="shared" si="6"/>
        <v>48.879458698372964</v>
      </c>
      <c r="G90">
        <f t="shared" ca="1" si="7"/>
        <v>88</v>
      </c>
      <c r="H90">
        <f t="shared" ca="1" si="8"/>
        <v>4301.3923654568207</v>
      </c>
      <c r="I90">
        <f t="shared" ca="1" si="9"/>
        <v>44838.457938352338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22910</v>
      </c>
      <c r="B93" s="66">
        <v>22910</v>
      </c>
      <c r="D93">
        <f t="shared" si="5"/>
        <v>44.802096370463076</v>
      </c>
      <c r="E93">
        <f t="shared" si="6"/>
        <v>44.802096370463076</v>
      </c>
      <c r="G93">
        <f t="shared" ca="1" si="7"/>
        <v>91</v>
      </c>
      <c r="H93">
        <f t="shared" ca="1" si="8"/>
        <v>4076.9907697121398</v>
      </c>
      <c r="I93">
        <f t="shared" ca="1" si="9"/>
        <v>49643.038194850044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23926</v>
      </c>
      <c r="B95" s="66">
        <v>23926</v>
      </c>
      <c r="D95">
        <f t="shared" si="5"/>
        <v>46.788954943679599</v>
      </c>
      <c r="E95">
        <f t="shared" si="6"/>
        <v>46.788954943679599</v>
      </c>
      <c r="G95">
        <f t="shared" ca="1" si="7"/>
        <v>93</v>
      </c>
      <c r="H95">
        <f t="shared" ca="1" si="8"/>
        <v>4351.3728097622025</v>
      </c>
      <c r="I95">
        <f t="shared" ca="1" si="9"/>
        <v>58261.668549593967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24555</v>
      </c>
      <c r="B98" s="66">
        <v>24555</v>
      </c>
      <c r="D98">
        <f t="shared" si="5"/>
        <v>48.01900813516896</v>
      </c>
      <c r="E98">
        <f t="shared" si="6"/>
        <v>48.01900813516896</v>
      </c>
      <c r="G98">
        <f t="shared" ca="1" si="7"/>
        <v>96</v>
      </c>
      <c r="H98">
        <f t="shared" ca="1" si="8"/>
        <v>4609.8247809762197</v>
      </c>
      <c r="I98">
        <f t="shared" ca="1" si="9"/>
        <v>70392.302121401706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21420</v>
      </c>
      <c r="B100" s="66">
        <v>21420</v>
      </c>
      <c r="D100">
        <f t="shared" si="5"/>
        <v>41.888297872340424</v>
      </c>
      <c r="E100">
        <f t="shared" si="6"/>
        <v>41.888297872340424</v>
      </c>
      <c r="G100">
        <f t="shared" ca="1" si="7"/>
        <v>98</v>
      </c>
      <c r="H100">
        <f t="shared" ca="1" si="8"/>
        <v>4105.0531914893618</v>
      </c>
      <c r="I100">
        <f t="shared" ca="1" si="9"/>
        <v>67987.86684852789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18361</v>
      </c>
      <c r="B103" s="66">
        <v>18361</v>
      </c>
      <c r="D103">
        <f t="shared" si="5"/>
        <v>35.906210888610765</v>
      </c>
      <c r="E103">
        <f t="shared" si="6"/>
        <v>35.906210888610765</v>
      </c>
      <c r="G103">
        <f t="shared" ca="1" si="7"/>
        <v>101</v>
      </c>
      <c r="H103">
        <f t="shared" ca="1" si="8"/>
        <v>3626.5272997496872</v>
      </c>
      <c r="I103">
        <f t="shared" ca="1" si="9"/>
        <v>67281.05386733546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18518</v>
      </c>
      <c r="B106" s="66">
        <v>18518</v>
      </c>
      <c r="D106">
        <f t="shared" si="5"/>
        <v>36.213235294117645</v>
      </c>
      <c r="E106">
        <f t="shared" si="6"/>
        <v>36.213235294117645</v>
      </c>
      <c r="G106">
        <f t="shared" ca="1" si="7"/>
        <v>104</v>
      </c>
      <c r="H106">
        <f t="shared" ca="1" si="8"/>
        <v>3766.1764705882351</v>
      </c>
      <c r="I106">
        <f t="shared" ca="1" si="9"/>
        <v>77587.738316385992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15000</v>
      </c>
      <c r="B108" s="66">
        <v>15000</v>
      </c>
      <c r="D108">
        <f t="shared" si="5"/>
        <v>29.333541927409261</v>
      </c>
      <c r="E108">
        <f t="shared" si="6"/>
        <v>29.333541927409261</v>
      </c>
      <c r="G108">
        <f t="shared" ca="1" si="7"/>
        <v>106</v>
      </c>
      <c r="H108">
        <f t="shared" ca="1" si="8"/>
        <v>3109.3554443053818</v>
      </c>
      <c r="I108">
        <f t="shared" ca="1" si="9"/>
        <v>68396.2566999806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15313</v>
      </c>
      <c r="B111" s="66">
        <v>15313</v>
      </c>
      <c r="D111">
        <f t="shared" si="5"/>
        <v>29.9456351689612</v>
      </c>
      <c r="E111">
        <f t="shared" si="6"/>
        <v>29.9456351689612</v>
      </c>
      <c r="G111">
        <f t="shared" ca="1" si="7"/>
        <v>109</v>
      </c>
      <c r="H111">
        <f t="shared" ca="1" si="8"/>
        <v>3264.0742334167708</v>
      </c>
      <c r="I111">
        <f t="shared" ca="1" si="9"/>
        <v>78768.952329454449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14310</v>
      </c>
      <c r="B113" s="66">
        <v>14310</v>
      </c>
      <c r="D113">
        <f t="shared" si="5"/>
        <v>27.984198998748436</v>
      </c>
      <c r="E113">
        <f t="shared" si="6"/>
        <v>27.984198998748436</v>
      </c>
      <c r="G113">
        <f t="shared" ca="1" si="7"/>
        <v>111</v>
      </c>
      <c r="H113">
        <f t="shared" ca="1" si="8"/>
        <v>3106.2460888610763</v>
      </c>
      <c r="I113">
        <f t="shared" ca="1" si="9"/>
        <v>79462.478841742341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9690</v>
      </c>
      <c r="B116" s="66">
        <v>9690</v>
      </c>
      <c r="D116">
        <f t="shared" si="5"/>
        <v>18.949468085106382</v>
      </c>
      <c r="E116">
        <f t="shared" si="6"/>
        <v>18.949468085106382</v>
      </c>
      <c r="G116">
        <f t="shared" ca="1" si="7"/>
        <v>114</v>
      </c>
      <c r="H116">
        <f t="shared" ca="1" si="8"/>
        <v>2160.2393617021276</v>
      </c>
      <c r="I116">
        <f t="shared" ca="1" si="9"/>
        <v>60037.07961598214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8774</v>
      </c>
      <c r="B118" s="66">
        <v>8774</v>
      </c>
      <c r="D118">
        <f t="shared" si="5"/>
        <v>17.158166458072589</v>
      </c>
      <c r="E118">
        <f t="shared" si="6"/>
        <v>17.158166458072589</v>
      </c>
      <c r="G118">
        <f t="shared" ca="1" si="7"/>
        <v>116</v>
      </c>
      <c r="H118">
        <f t="shared" ca="1" si="8"/>
        <v>1990.3473091364203</v>
      </c>
      <c r="I118">
        <f t="shared" ca="1" si="9"/>
        <v>58293.53552195349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7369</v>
      </c>
      <c r="B121" s="66">
        <v>7369</v>
      </c>
      <c r="D121">
        <f t="shared" si="5"/>
        <v>14.410591364205256</v>
      </c>
      <c r="E121">
        <f t="shared" si="6"/>
        <v>14.410591364205256</v>
      </c>
      <c r="G121">
        <f t="shared" ca="1" si="7"/>
        <v>119</v>
      </c>
      <c r="H121">
        <f t="shared" ca="1" si="8"/>
        <v>1714.8603723404256</v>
      </c>
      <c r="I121">
        <f t="shared" ca="1" si="9"/>
        <v>54128.294546937963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6749</v>
      </c>
      <c r="B124" s="66">
        <v>6749</v>
      </c>
      <c r="D124">
        <f t="shared" si="5"/>
        <v>13.19813829787234</v>
      </c>
      <c r="E124">
        <f t="shared" si="6"/>
        <v>13.19813829787234</v>
      </c>
      <c r="G124">
        <f t="shared" ca="1" si="7"/>
        <v>122</v>
      </c>
      <c r="H124">
        <f t="shared" ca="1" si="8"/>
        <v>1610.1728723404256</v>
      </c>
      <c r="I124">
        <f t="shared" ca="1" si="9"/>
        <v>54546.204560547652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6292</v>
      </c>
      <c r="B126" s="66">
        <v>6292</v>
      </c>
      <c r="D126">
        <f t="shared" si="5"/>
        <v>12.304443053817272</v>
      </c>
      <c r="E126">
        <f t="shared" si="6"/>
        <v>12.304443053817272</v>
      </c>
      <c r="G126">
        <f t="shared" ca="1" si="7"/>
        <v>124</v>
      </c>
      <c r="H126">
        <f t="shared" ca="1" si="8"/>
        <v>1525.7509386733416</v>
      </c>
      <c r="I126">
        <f t="shared" ca="1" si="9"/>
        <v>54065.978185679334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4411</v>
      </c>
      <c r="B129" s="66">
        <v>4411</v>
      </c>
      <c r="D129">
        <f t="shared" si="5"/>
        <v>8.6260168961201504</v>
      </c>
      <c r="E129">
        <f t="shared" si="6"/>
        <v>8.6260168961201504</v>
      </c>
      <c r="G129">
        <f t="shared" ca="1" si="7"/>
        <v>127</v>
      </c>
      <c r="H129">
        <f t="shared" ca="1" si="8"/>
        <v>1095.5041458072592</v>
      </c>
      <c r="I129">
        <f t="shared" ca="1" si="9"/>
        <v>41411.309371339041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3544</v>
      </c>
      <c r="B131" s="66">
        <v>3544</v>
      </c>
      <c r="D131">
        <f t="shared" ref="D131:D194" si="10">IFERROR( 100*A131/MAX(A$2:A$257), 0 )</f>
        <v>6.9305381727158952</v>
      </c>
      <c r="E131">
        <f t="shared" ref="E131:E194" si="11">IFERROR( 100*B131/MAX(B$2:B$257), 0 )</f>
        <v>6.9305381727158952</v>
      </c>
      <c r="G131">
        <f t="shared" ref="G131:G194" ca="1" si="12">CELL("row",D131)-2</f>
        <v>129</v>
      </c>
      <c r="H131">
        <f t="shared" ref="H131:H194" ca="1" si="13">D131*G131</f>
        <v>894.03942428035043</v>
      </c>
      <c r="I131">
        <f t="shared" ref="I131:I194" ca="1" si="14">D131*((G131-$L$1)^2)</f>
        <v>35220.266315504043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2336</v>
      </c>
      <c r="B134" s="66">
        <v>2336</v>
      </c>
      <c r="D134">
        <f t="shared" si="10"/>
        <v>4.5682102628285355</v>
      </c>
      <c r="E134">
        <f t="shared" si="11"/>
        <v>4.5682102628285355</v>
      </c>
      <c r="G134">
        <f t="shared" ca="1" si="12"/>
        <v>132</v>
      </c>
      <c r="H134">
        <f t="shared" ca="1" si="13"/>
        <v>603.00375469336666</v>
      </c>
      <c r="I134">
        <f t="shared" ca="1" si="14"/>
        <v>25210.21342009179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1607</v>
      </c>
      <c r="B136" s="66">
        <v>1607</v>
      </c>
      <c r="D136">
        <f t="shared" si="10"/>
        <v>3.1426001251564455</v>
      </c>
      <c r="E136">
        <f t="shared" si="11"/>
        <v>3.1426001251564455</v>
      </c>
      <c r="G136">
        <f t="shared" ca="1" si="12"/>
        <v>134</v>
      </c>
      <c r="H136">
        <f t="shared" ca="1" si="13"/>
        <v>421.10841677096369</v>
      </c>
      <c r="I136">
        <f t="shared" ca="1" si="14"/>
        <v>18289.206669194769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507</v>
      </c>
      <c r="B139" s="66">
        <v>507</v>
      </c>
      <c r="D139">
        <f t="shared" si="10"/>
        <v>0.99147371714643306</v>
      </c>
      <c r="E139">
        <f t="shared" si="11"/>
        <v>0.99147371714643306</v>
      </c>
      <c r="G139">
        <f t="shared" ca="1" si="12"/>
        <v>137</v>
      </c>
      <c r="H139">
        <f t="shared" ca="1" si="13"/>
        <v>135.83189924906134</v>
      </c>
      <c r="I139">
        <f t="shared" ca="1" si="14"/>
        <v>6232.8930026615426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371</v>
      </c>
      <c r="B142" s="66">
        <v>371</v>
      </c>
      <c r="D142">
        <f t="shared" si="10"/>
        <v>0.72551627033792243</v>
      </c>
      <c r="E142">
        <f t="shared" si="11"/>
        <v>0.72551627033792243</v>
      </c>
      <c r="G142">
        <f t="shared" ca="1" si="12"/>
        <v>140</v>
      </c>
      <c r="H142">
        <f t="shared" ca="1" si="13"/>
        <v>101.57227784730914</v>
      </c>
      <c r="I142">
        <f t="shared" ca="1" si="14"/>
        <v>4912.6287457406224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487</v>
      </c>
      <c r="B144" s="66">
        <v>487</v>
      </c>
      <c r="D144">
        <f t="shared" si="10"/>
        <v>0.9523623279098874</v>
      </c>
      <c r="E144">
        <f t="shared" si="11"/>
        <v>0.9523623279098874</v>
      </c>
      <c r="G144">
        <f t="shared" ca="1" si="12"/>
        <v>142</v>
      </c>
      <c r="H144">
        <f t="shared" ca="1" si="13"/>
        <v>135.23545056320401</v>
      </c>
      <c r="I144">
        <f t="shared" ca="1" si="14"/>
        <v>6765.93199560224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273</v>
      </c>
      <c r="B147" s="66">
        <v>273</v>
      </c>
      <c r="D147">
        <f t="shared" si="10"/>
        <v>0.53387046307884856</v>
      </c>
      <c r="E147">
        <f t="shared" si="11"/>
        <v>0.53387046307884856</v>
      </c>
      <c r="G147">
        <f t="shared" ca="1" si="12"/>
        <v>145</v>
      </c>
      <c r="H147">
        <f t="shared" ca="1" si="13"/>
        <v>77.411217146433046</v>
      </c>
      <c r="I147">
        <f t="shared" ca="1" si="14"/>
        <v>4067.6081677185107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437</v>
      </c>
      <c r="B149" s="66">
        <v>437</v>
      </c>
      <c r="D149">
        <f t="shared" si="10"/>
        <v>0.85458385481852317</v>
      </c>
      <c r="E149">
        <f t="shared" si="11"/>
        <v>0.85458385481852317</v>
      </c>
      <c r="G149">
        <f t="shared" ca="1" si="12"/>
        <v>147</v>
      </c>
      <c r="H149">
        <f t="shared" ca="1" si="13"/>
        <v>125.62382665832291</v>
      </c>
      <c r="I149">
        <f t="shared" ca="1" si="14"/>
        <v>6812.9489825981054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129</v>
      </c>
      <c r="B152" s="66">
        <v>129</v>
      </c>
      <c r="D152">
        <f t="shared" si="10"/>
        <v>0.25226846057571967</v>
      </c>
      <c r="E152">
        <f t="shared" si="11"/>
        <v>0.25226846057571967</v>
      </c>
      <c r="G152">
        <f t="shared" ca="1" si="12"/>
        <v>150</v>
      </c>
      <c r="H152">
        <f t="shared" ca="1" si="13"/>
        <v>37.840269086357949</v>
      </c>
      <c r="I152">
        <f t="shared" ca="1" si="14"/>
        <v>2148.5619243462124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81</v>
      </c>
      <c r="B154" s="66">
        <v>81</v>
      </c>
      <c r="D154">
        <f t="shared" si="10"/>
        <v>0.15840112640801002</v>
      </c>
      <c r="E154">
        <f t="shared" si="11"/>
        <v>0.15840112640801002</v>
      </c>
      <c r="G154">
        <f t="shared" ca="1" si="12"/>
        <v>152</v>
      </c>
      <c r="H154">
        <f t="shared" ca="1" si="13"/>
        <v>24.076971214017522</v>
      </c>
      <c r="I154">
        <f t="shared" ca="1" si="14"/>
        <v>1408.204345715438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76</v>
      </c>
      <c r="B157" s="66">
        <v>76</v>
      </c>
      <c r="D157">
        <f t="shared" si="10"/>
        <v>0.1486232790988736</v>
      </c>
      <c r="E157">
        <f t="shared" si="11"/>
        <v>0.1486232790988736</v>
      </c>
      <c r="G157">
        <f t="shared" ca="1" si="12"/>
        <v>155</v>
      </c>
      <c r="H157">
        <f t="shared" ca="1" si="13"/>
        <v>23.036608260325409</v>
      </c>
      <c r="I157">
        <f t="shared" ca="1" si="14"/>
        <v>1406.695585579675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36</v>
      </c>
      <c r="B160" s="66">
        <v>36</v>
      </c>
      <c r="D160">
        <f t="shared" si="10"/>
        <v>7.0400500625782222E-2</v>
      </c>
      <c r="E160">
        <f t="shared" si="11"/>
        <v>7.0400500625782222E-2</v>
      </c>
      <c r="G160">
        <f t="shared" ca="1" si="12"/>
        <v>158</v>
      </c>
      <c r="H160">
        <f t="shared" ca="1" si="13"/>
        <v>11.12327909887359</v>
      </c>
      <c r="I160">
        <f t="shared" ca="1" si="14"/>
        <v>708.05758672783736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0</v>
      </c>
      <c r="B162" s="66">
        <v>0</v>
      </c>
      <c r="D162">
        <f t="shared" si="10"/>
        <v>0</v>
      </c>
      <c r="E162">
        <f t="shared" si="11"/>
        <v>0</v>
      </c>
      <c r="G162">
        <f t="shared" ca="1" si="12"/>
        <v>160</v>
      </c>
      <c r="H162">
        <f t="shared" ca="1" si="13"/>
        <v>0</v>
      </c>
      <c r="I162">
        <f t="shared" ca="1" si="14"/>
        <v>0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0</v>
      </c>
      <c r="B165" s="66">
        <v>0</v>
      </c>
      <c r="D165">
        <f t="shared" si="10"/>
        <v>0</v>
      </c>
      <c r="E165">
        <f t="shared" si="11"/>
        <v>0</v>
      </c>
      <c r="G165">
        <f t="shared" ca="1" si="12"/>
        <v>163</v>
      </c>
      <c r="H165">
        <f t="shared" ca="1" si="13"/>
        <v>0</v>
      </c>
      <c r="I165">
        <f t="shared" ca="1" si="14"/>
        <v>0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404</v>
      </c>
      <c r="B1" s="66" t="s">
        <v>405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55.997069175262055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1.0811628641104978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0.52193760132380951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12916</v>
      </c>
      <c r="B8" s="66">
        <v>12916</v>
      </c>
      <c r="D8">
        <f t="shared" si="0"/>
        <v>24.290980215150832</v>
      </c>
      <c r="E8">
        <f t="shared" si="1"/>
        <v>24.290980215150832</v>
      </c>
      <c r="G8">
        <f t="shared" ca="1" si="2"/>
        <v>6</v>
      </c>
      <c r="H8">
        <f t="shared" ca="1" si="3"/>
        <v>145.745881290905</v>
      </c>
      <c r="I8">
        <f t="shared" ca="1" si="4"/>
        <v>60720.33148595778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18831</v>
      </c>
      <c r="B10" s="66">
        <v>18831</v>
      </c>
      <c r="D10">
        <f t="shared" si="0"/>
        <v>35.415256149853306</v>
      </c>
      <c r="E10">
        <f t="shared" si="1"/>
        <v>35.415256149853306</v>
      </c>
      <c r="G10">
        <f t="shared" ca="1" si="2"/>
        <v>8</v>
      </c>
      <c r="H10">
        <f t="shared" ca="1" si="3"/>
        <v>283.32204919882645</v>
      </c>
      <c r="I10">
        <f t="shared" ca="1" si="4"/>
        <v>81586.78606622247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20869</v>
      </c>
      <c r="B13" s="66">
        <v>20869</v>
      </c>
      <c r="D13">
        <f t="shared" si="0"/>
        <v>39.248100504024677</v>
      </c>
      <c r="E13">
        <f t="shared" si="1"/>
        <v>39.248100504024677</v>
      </c>
      <c r="G13">
        <f t="shared" ca="1" si="2"/>
        <v>11</v>
      </c>
      <c r="H13">
        <f t="shared" ca="1" si="3"/>
        <v>431.72910554427142</v>
      </c>
      <c r="I13">
        <f t="shared" ca="1" si="4"/>
        <v>79467.051220431982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28236</v>
      </c>
      <c r="B15" s="66">
        <v>28236</v>
      </c>
      <c r="D15">
        <f t="shared" si="0"/>
        <v>53.103136989392915</v>
      </c>
      <c r="E15">
        <f t="shared" si="1"/>
        <v>53.103136989392915</v>
      </c>
      <c r="G15">
        <f t="shared" ca="1" si="2"/>
        <v>13</v>
      </c>
      <c r="H15">
        <f t="shared" ca="1" si="3"/>
        <v>690.34078086210786</v>
      </c>
      <c r="I15">
        <f t="shared" ca="1" si="4"/>
        <v>98174.316054599927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34455</v>
      </c>
      <c r="B18" s="66">
        <v>34455</v>
      </c>
      <c r="D18">
        <f t="shared" si="0"/>
        <v>64.799142405777474</v>
      </c>
      <c r="E18">
        <f t="shared" si="1"/>
        <v>64.799142405777474</v>
      </c>
      <c r="G18">
        <f t="shared" ca="1" si="2"/>
        <v>16</v>
      </c>
      <c r="H18">
        <f t="shared" ca="1" si="3"/>
        <v>1036.7862784924396</v>
      </c>
      <c r="I18">
        <f t="shared" ca="1" si="4"/>
        <v>103663.43521148649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36171</v>
      </c>
      <c r="B21" s="66">
        <v>36171</v>
      </c>
      <c r="D21">
        <f t="shared" si="0"/>
        <v>68.026404874746106</v>
      </c>
      <c r="E21">
        <f t="shared" si="1"/>
        <v>68.026404874746106</v>
      </c>
      <c r="G21">
        <f t="shared" ca="1" si="2"/>
        <v>19</v>
      </c>
      <c r="H21">
        <f t="shared" ca="1" si="3"/>
        <v>1292.5016926201761</v>
      </c>
      <c r="I21">
        <f t="shared" ca="1" si="4"/>
        <v>93113.395221058323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38810</v>
      </c>
      <c r="B23" s="66">
        <v>38810</v>
      </c>
      <c r="D23">
        <f t="shared" si="0"/>
        <v>72.989543368690292</v>
      </c>
      <c r="E23">
        <f t="shared" si="1"/>
        <v>72.989543368690292</v>
      </c>
      <c r="G23">
        <f t="shared" ca="1" si="2"/>
        <v>21</v>
      </c>
      <c r="H23">
        <f t="shared" ca="1" si="3"/>
        <v>1532.7804107424961</v>
      </c>
      <c r="I23">
        <f t="shared" ca="1" si="4"/>
        <v>89397.216884454203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40948</v>
      </c>
      <c r="B26" s="66">
        <v>40948</v>
      </c>
      <c r="D26">
        <f t="shared" si="0"/>
        <v>77.010456631309708</v>
      </c>
      <c r="E26">
        <f t="shared" si="1"/>
        <v>77.010456631309708</v>
      </c>
      <c r="G26">
        <f t="shared" ca="1" si="2"/>
        <v>24</v>
      </c>
      <c r="H26">
        <f t="shared" ca="1" si="3"/>
        <v>1848.2509591514331</v>
      </c>
      <c r="I26">
        <f t="shared" ca="1" si="4"/>
        <v>78844.263186272423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44497</v>
      </c>
      <c r="B28" s="66">
        <v>44497</v>
      </c>
      <c r="D28">
        <f t="shared" si="0"/>
        <v>83.6850221921312</v>
      </c>
      <c r="E28">
        <f t="shared" si="1"/>
        <v>83.6850221921312</v>
      </c>
      <c r="G28">
        <f t="shared" ca="1" si="2"/>
        <v>26</v>
      </c>
      <c r="H28">
        <f t="shared" ca="1" si="3"/>
        <v>2175.8105769954113</v>
      </c>
      <c r="I28">
        <f t="shared" ca="1" si="4"/>
        <v>75301.804723755966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45195</v>
      </c>
      <c r="B31" s="66">
        <v>45195</v>
      </c>
      <c r="D31">
        <f t="shared" si="0"/>
        <v>84.997743173098627</v>
      </c>
      <c r="E31">
        <f t="shared" si="1"/>
        <v>84.997743173098627</v>
      </c>
      <c r="G31">
        <f t="shared" ca="1" si="2"/>
        <v>29</v>
      </c>
      <c r="H31">
        <f t="shared" ca="1" si="3"/>
        <v>2464.9345520198603</v>
      </c>
      <c r="I31">
        <f t="shared" ca="1" si="4"/>
        <v>61949.903374925372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46725</v>
      </c>
      <c r="B33" s="66">
        <v>46725</v>
      </c>
      <c r="D33">
        <f t="shared" si="0"/>
        <v>87.875197472353875</v>
      </c>
      <c r="E33">
        <f t="shared" si="1"/>
        <v>87.875197472353875</v>
      </c>
      <c r="G33">
        <f t="shared" ca="1" si="2"/>
        <v>31</v>
      </c>
      <c r="H33">
        <f t="shared" ca="1" si="3"/>
        <v>2724.1311216429704</v>
      </c>
      <c r="I33">
        <f t="shared" ca="1" si="4"/>
        <v>54909.121834915532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47517</v>
      </c>
      <c r="B36" s="66">
        <v>47517</v>
      </c>
      <c r="D36">
        <f t="shared" si="0"/>
        <v>89.364703227262467</v>
      </c>
      <c r="E36">
        <f t="shared" si="1"/>
        <v>89.364703227262467</v>
      </c>
      <c r="G36">
        <f t="shared" ca="1" si="2"/>
        <v>34</v>
      </c>
      <c r="H36">
        <f t="shared" ca="1" si="3"/>
        <v>3038.3999097269239</v>
      </c>
      <c r="I36">
        <f t="shared" ca="1" si="4"/>
        <v>43240.992989165657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49528</v>
      </c>
      <c r="B39" s="66">
        <v>49528</v>
      </c>
      <c r="D39">
        <f t="shared" si="0"/>
        <v>93.146768976152856</v>
      </c>
      <c r="E39">
        <f t="shared" si="1"/>
        <v>93.146768976152856</v>
      </c>
      <c r="G39">
        <f t="shared" ca="1" si="2"/>
        <v>37</v>
      </c>
      <c r="H39">
        <f t="shared" ca="1" si="3"/>
        <v>3446.4304521176555</v>
      </c>
      <c r="I39">
        <f t="shared" ca="1" si="4"/>
        <v>33615.610520015667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50094</v>
      </c>
      <c r="B41" s="66">
        <v>50094</v>
      </c>
      <c r="D41">
        <f t="shared" si="0"/>
        <v>94.211238997968849</v>
      </c>
      <c r="E41">
        <f t="shared" si="1"/>
        <v>94.211238997968849</v>
      </c>
      <c r="G41">
        <f t="shared" ca="1" si="2"/>
        <v>39</v>
      </c>
      <c r="H41">
        <f t="shared" ca="1" si="3"/>
        <v>3674.2383209207851</v>
      </c>
      <c r="I41">
        <f t="shared" ca="1" si="4"/>
        <v>27217.660914247623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42443</v>
      </c>
      <c r="B44" s="66">
        <v>42443</v>
      </c>
      <c r="D44">
        <f t="shared" si="0"/>
        <v>79.822086812608134</v>
      </c>
      <c r="E44">
        <f t="shared" si="1"/>
        <v>79.822086812608134</v>
      </c>
      <c r="G44">
        <f t="shared" ca="1" si="2"/>
        <v>42</v>
      </c>
      <c r="H44">
        <f t="shared" ca="1" si="3"/>
        <v>3352.5276461295416</v>
      </c>
      <c r="I44">
        <f t="shared" ca="1" si="4"/>
        <v>15638.579253615046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42777</v>
      </c>
      <c r="B46" s="66">
        <v>42777</v>
      </c>
      <c r="D46">
        <f t="shared" si="0"/>
        <v>80.450236966824647</v>
      </c>
      <c r="E46">
        <f t="shared" si="1"/>
        <v>80.450236966824647</v>
      </c>
      <c r="G46">
        <f t="shared" ca="1" si="2"/>
        <v>44</v>
      </c>
      <c r="H46">
        <f t="shared" ca="1" si="3"/>
        <v>3539.8104265402844</v>
      </c>
      <c r="I46">
        <f t="shared" ca="1" si="4"/>
        <v>11579.175961196635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44104</v>
      </c>
      <c r="B49" s="66">
        <v>44104</v>
      </c>
      <c r="D49">
        <f t="shared" si="0"/>
        <v>82.945911381930344</v>
      </c>
      <c r="E49">
        <f t="shared" si="1"/>
        <v>82.945911381930344</v>
      </c>
      <c r="G49">
        <f t="shared" ca="1" si="2"/>
        <v>47</v>
      </c>
      <c r="H49">
        <f t="shared" ca="1" si="3"/>
        <v>3898.457834950726</v>
      </c>
      <c r="I49">
        <f t="shared" ca="1" si="4"/>
        <v>6714.2437356978317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44162</v>
      </c>
      <c r="B51" s="66">
        <v>44162</v>
      </c>
      <c r="D51">
        <f t="shared" si="0"/>
        <v>83.054991348830214</v>
      </c>
      <c r="E51">
        <f t="shared" si="1"/>
        <v>83.054991348830214</v>
      </c>
      <c r="G51">
        <f t="shared" ca="1" si="2"/>
        <v>49</v>
      </c>
      <c r="H51">
        <f t="shared" ca="1" si="3"/>
        <v>4069.6945760926806</v>
      </c>
      <c r="I51">
        <f t="shared" ca="1" si="4"/>
        <v>4066.2874147873649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41660</v>
      </c>
      <c r="B54" s="66">
        <v>41660</v>
      </c>
      <c r="D54">
        <f t="shared" si="0"/>
        <v>78.34950725945987</v>
      </c>
      <c r="E54">
        <f t="shared" si="1"/>
        <v>78.34950725945987</v>
      </c>
      <c r="G54">
        <f t="shared" ca="1" si="2"/>
        <v>52</v>
      </c>
      <c r="H54">
        <f t="shared" ca="1" si="3"/>
        <v>4074.1743774919132</v>
      </c>
      <c r="I54">
        <f t="shared" ca="1" si="4"/>
        <v>1251.7557597601019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39224</v>
      </c>
      <c r="B57" s="66">
        <v>39224</v>
      </c>
      <c r="D57">
        <f t="shared" si="0"/>
        <v>73.768148649665235</v>
      </c>
      <c r="E57">
        <f t="shared" si="1"/>
        <v>73.768148649665235</v>
      </c>
      <c r="G57">
        <f t="shared" ca="1" si="2"/>
        <v>55</v>
      </c>
      <c r="H57">
        <f t="shared" ca="1" si="3"/>
        <v>4057.2481757315882</v>
      </c>
      <c r="I57">
        <f t="shared" ca="1" si="4"/>
        <v>73.336379268543951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42584</v>
      </c>
      <c r="B59" s="66">
        <v>42584</v>
      </c>
      <c r="D59">
        <f t="shared" si="0"/>
        <v>80.087263973519896</v>
      </c>
      <c r="E59">
        <f t="shared" si="1"/>
        <v>80.087263973519896</v>
      </c>
      <c r="G59">
        <f t="shared" ca="1" si="2"/>
        <v>57</v>
      </c>
      <c r="H59">
        <f t="shared" ca="1" si="3"/>
        <v>4564.9740464906345</v>
      </c>
      <c r="I59">
        <f t="shared" ca="1" si="4"/>
        <v>80.557395370681547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41170</v>
      </c>
      <c r="B62" s="66">
        <v>41170</v>
      </c>
      <c r="D62">
        <f t="shared" si="0"/>
        <v>77.427969608064402</v>
      </c>
      <c r="E62">
        <f t="shared" si="1"/>
        <v>77.427969608064402</v>
      </c>
      <c r="G62">
        <f t="shared" ca="1" si="2"/>
        <v>60</v>
      </c>
      <c r="H62">
        <f t="shared" ca="1" si="3"/>
        <v>4645.6781764838643</v>
      </c>
      <c r="I62">
        <f t="shared" ca="1" si="4"/>
        <v>1240.6636012845554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45841</v>
      </c>
      <c r="B64" s="66">
        <v>45841</v>
      </c>
      <c r="D64">
        <f t="shared" si="0"/>
        <v>86.212668321673064</v>
      </c>
      <c r="E64">
        <f t="shared" si="1"/>
        <v>86.212668321673064</v>
      </c>
      <c r="G64">
        <f t="shared" ca="1" si="2"/>
        <v>62</v>
      </c>
      <c r="H64">
        <f t="shared" ca="1" si="3"/>
        <v>5345.1854359437302</v>
      </c>
      <c r="I64">
        <f t="shared" ca="1" si="4"/>
        <v>3106.6888907765847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49337</v>
      </c>
      <c r="B67" s="66">
        <v>49337</v>
      </c>
      <c r="D67">
        <f t="shared" ref="D67:D130" si="5">IFERROR(100*A67/MAX(A$2:A$257), 0 )</f>
        <v>92.787557361017079</v>
      </c>
      <c r="E67">
        <f t="shared" ref="E67:E130" si="6">IFERROR(100*B67/MAX(B$2:B$257), 0 )</f>
        <v>92.787557361017079</v>
      </c>
      <c r="G67">
        <f t="shared" ref="G67:G130" ca="1" si="7">CELL("row",D67)-2</f>
        <v>65</v>
      </c>
      <c r="H67">
        <f t="shared" ref="H67:H130" ca="1" si="8">D67*G67</f>
        <v>6031.1912284661103</v>
      </c>
      <c r="I67">
        <f t="shared" ref="I67:I130" ca="1" si="9">D67*((G67-$L$1)^2)</f>
        <v>7520.6879364955548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53172</v>
      </c>
      <c r="B69" s="66">
        <v>53172</v>
      </c>
      <c r="D69">
        <f t="shared" si="5"/>
        <v>100</v>
      </c>
      <c r="E69">
        <f t="shared" si="6"/>
        <v>100</v>
      </c>
      <c r="G69">
        <f t="shared" ca="1" si="7"/>
        <v>67</v>
      </c>
      <c r="H69">
        <f t="shared" ca="1" si="8"/>
        <v>6700</v>
      </c>
      <c r="I69">
        <f t="shared" ca="1" si="9"/>
        <v>12106.448673396842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50960</v>
      </c>
      <c r="B72" s="66">
        <v>50960</v>
      </c>
      <c r="D72">
        <f t="shared" si="5"/>
        <v>95.839915745129019</v>
      </c>
      <c r="E72">
        <f t="shared" si="6"/>
        <v>95.839915745129019</v>
      </c>
      <c r="G72">
        <f t="shared" ca="1" si="7"/>
        <v>70</v>
      </c>
      <c r="H72">
        <f t="shared" ca="1" si="8"/>
        <v>6708.7941021590314</v>
      </c>
      <c r="I72">
        <f t="shared" ca="1" si="9"/>
        <v>18792.489229171191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47037</v>
      </c>
      <c r="B75" s="66">
        <v>47037</v>
      </c>
      <c r="D75">
        <f t="shared" si="5"/>
        <v>88.461972466711799</v>
      </c>
      <c r="E75">
        <f t="shared" si="6"/>
        <v>88.461972466711799</v>
      </c>
      <c r="G75">
        <f t="shared" ca="1" si="7"/>
        <v>73</v>
      </c>
      <c r="H75">
        <f t="shared" ca="1" si="8"/>
        <v>6457.7239900699615</v>
      </c>
      <c r="I75">
        <f t="shared" ca="1" si="9"/>
        <v>25574.325865011764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46004</v>
      </c>
      <c r="B77" s="66">
        <v>46004</v>
      </c>
      <c r="D77">
        <f t="shared" si="5"/>
        <v>86.519220642443386</v>
      </c>
      <c r="E77">
        <f t="shared" si="6"/>
        <v>86.519220642443386</v>
      </c>
      <c r="G77">
        <f t="shared" ca="1" si="7"/>
        <v>75</v>
      </c>
      <c r="H77">
        <f t="shared" ca="1" si="8"/>
        <v>6488.9415481832539</v>
      </c>
      <c r="I77">
        <f t="shared" ca="1" si="9"/>
        <v>31243.075156641451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49339</v>
      </c>
      <c r="B80" s="66">
        <v>49339</v>
      </c>
      <c r="D80">
        <f t="shared" si="5"/>
        <v>92.791318739186039</v>
      </c>
      <c r="E80">
        <f t="shared" si="6"/>
        <v>92.791318739186039</v>
      </c>
      <c r="G80">
        <f t="shared" ca="1" si="7"/>
        <v>78</v>
      </c>
      <c r="H80">
        <f t="shared" ca="1" si="8"/>
        <v>7237.7228616565108</v>
      </c>
      <c r="I80">
        <f t="shared" ca="1" si="9"/>
        <v>44922.965090885555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46644</v>
      </c>
      <c r="B82" s="66">
        <v>46644</v>
      </c>
      <c r="D82">
        <f t="shared" si="5"/>
        <v>87.722861656510943</v>
      </c>
      <c r="E82">
        <f t="shared" si="6"/>
        <v>87.722861656510943</v>
      </c>
      <c r="G82">
        <f t="shared" ca="1" si="7"/>
        <v>80</v>
      </c>
      <c r="H82">
        <f t="shared" ca="1" si="8"/>
        <v>7017.8289325208752</v>
      </c>
      <c r="I82">
        <f t="shared" ca="1" si="9"/>
        <v>50540.709883651572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41765</v>
      </c>
      <c r="B85" s="66">
        <v>41765</v>
      </c>
      <c r="D85">
        <f t="shared" si="5"/>
        <v>78.546979613330322</v>
      </c>
      <c r="E85">
        <f t="shared" si="6"/>
        <v>78.546979613330322</v>
      </c>
      <c r="G85">
        <f t="shared" ca="1" si="7"/>
        <v>83</v>
      </c>
      <c r="H85">
        <f t="shared" ca="1" si="8"/>
        <v>6519.3993079064167</v>
      </c>
      <c r="I85">
        <f t="shared" ca="1" si="9"/>
        <v>57273.180014086283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39260</v>
      </c>
      <c r="B88" s="66">
        <v>39260</v>
      </c>
      <c r="D88">
        <f t="shared" si="5"/>
        <v>73.835853456706531</v>
      </c>
      <c r="E88">
        <f t="shared" si="6"/>
        <v>73.835853456706531</v>
      </c>
      <c r="G88">
        <f t="shared" ca="1" si="7"/>
        <v>86</v>
      </c>
      <c r="H88">
        <f t="shared" ca="1" si="8"/>
        <v>6349.8833972767616</v>
      </c>
      <c r="I88">
        <f t="shared" ca="1" si="9"/>
        <v>66465.252742017678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32794</v>
      </c>
      <c r="B90" s="66">
        <v>32794</v>
      </c>
      <c r="D90">
        <f t="shared" si="5"/>
        <v>61.675317836455278</v>
      </c>
      <c r="E90">
        <f t="shared" si="6"/>
        <v>61.675317836455278</v>
      </c>
      <c r="G90">
        <f t="shared" ca="1" si="7"/>
        <v>88</v>
      </c>
      <c r="H90">
        <f t="shared" ca="1" si="8"/>
        <v>5427.4279696080648</v>
      </c>
      <c r="I90">
        <f t="shared" ca="1" si="9"/>
        <v>63167.094605327839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28463</v>
      </c>
      <c r="B93" s="66">
        <v>28463</v>
      </c>
      <c r="D93">
        <f t="shared" si="5"/>
        <v>53.530053411570002</v>
      </c>
      <c r="E93">
        <f t="shared" si="6"/>
        <v>53.530053411570002</v>
      </c>
      <c r="G93">
        <f t="shared" ca="1" si="7"/>
        <v>91</v>
      </c>
      <c r="H93">
        <f t="shared" ca="1" si="8"/>
        <v>4871.2348604528697</v>
      </c>
      <c r="I93">
        <f t="shared" ca="1" si="9"/>
        <v>65585.2979933155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26368</v>
      </c>
      <c r="B95" s="66">
        <v>26368</v>
      </c>
      <c r="D95">
        <f t="shared" si="5"/>
        <v>49.590009779583241</v>
      </c>
      <c r="E95">
        <f t="shared" si="6"/>
        <v>49.590009779583241</v>
      </c>
      <c r="G95">
        <f t="shared" ca="1" si="7"/>
        <v>93</v>
      </c>
      <c r="H95">
        <f t="shared" ca="1" si="8"/>
        <v>4611.8709095012418</v>
      </c>
      <c r="I95">
        <f t="shared" ca="1" si="9"/>
        <v>67899.478946643285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20875</v>
      </c>
      <c r="B98" s="66">
        <v>20875</v>
      </c>
      <c r="D98">
        <f t="shared" si="5"/>
        <v>39.259384638531557</v>
      </c>
      <c r="E98">
        <f t="shared" si="6"/>
        <v>39.259384638531557</v>
      </c>
      <c r="G98">
        <f t="shared" ca="1" si="7"/>
        <v>96</v>
      </c>
      <c r="H98">
        <f t="shared" ca="1" si="8"/>
        <v>3768.9009252990295</v>
      </c>
      <c r="I98">
        <f t="shared" ca="1" si="9"/>
        <v>62824.220748933752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21453</v>
      </c>
      <c r="B100" s="66">
        <v>21453</v>
      </c>
      <c r="D100">
        <f t="shared" si="5"/>
        <v>40.346422929361317</v>
      </c>
      <c r="E100">
        <f t="shared" si="6"/>
        <v>40.346422929361317</v>
      </c>
      <c r="G100">
        <f t="shared" ca="1" si="7"/>
        <v>98</v>
      </c>
      <c r="H100">
        <f t="shared" ca="1" si="8"/>
        <v>3953.9494470774089</v>
      </c>
      <c r="I100">
        <f t="shared" ca="1" si="9"/>
        <v>71181.023250688741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17091</v>
      </c>
      <c r="B103" s="66">
        <v>17091</v>
      </c>
      <c r="D103">
        <f t="shared" si="5"/>
        <v>32.142857142857146</v>
      </c>
      <c r="E103">
        <f t="shared" si="6"/>
        <v>32.142857142857146</v>
      </c>
      <c r="G103">
        <f t="shared" ca="1" si="7"/>
        <v>101</v>
      </c>
      <c r="H103">
        <f t="shared" ca="1" si="8"/>
        <v>3246.4285714285716</v>
      </c>
      <c r="I103">
        <f t="shared" ca="1" si="9"/>
        <v>65097.764447661932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14274</v>
      </c>
      <c r="B106" s="66">
        <v>14274</v>
      </c>
      <c r="D106">
        <f t="shared" si="5"/>
        <v>26.844955991875423</v>
      </c>
      <c r="E106">
        <f t="shared" si="6"/>
        <v>26.844955991875423</v>
      </c>
      <c r="G106">
        <f t="shared" ca="1" si="7"/>
        <v>104</v>
      </c>
      <c r="H106">
        <f t="shared" ca="1" si="8"/>
        <v>2791.8754231550438</v>
      </c>
      <c r="I106">
        <f t="shared" ca="1" si="9"/>
        <v>61858.33191053856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13764</v>
      </c>
      <c r="B108" s="66">
        <v>13764</v>
      </c>
      <c r="D108">
        <f t="shared" si="5"/>
        <v>25.88580455879034</v>
      </c>
      <c r="E108">
        <f t="shared" si="6"/>
        <v>25.88580455879034</v>
      </c>
      <c r="G108">
        <f t="shared" ca="1" si="7"/>
        <v>106</v>
      </c>
      <c r="H108">
        <f t="shared" ca="1" si="8"/>
        <v>2743.8952832317759</v>
      </c>
      <c r="I108">
        <f t="shared" ca="1" si="9"/>
        <v>64722.098294964271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13002</v>
      </c>
      <c r="B111" s="66">
        <v>13002</v>
      </c>
      <c r="D111">
        <f t="shared" si="5"/>
        <v>24.45271947641616</v>
      </c>
      <c r="E111">
        <f t="shared" si="6"/>
        <v>24.45271947641616</v>
      </c>
      <c r="G111">
        <f t="shared" ca="1" si="7"/>
        <v>109</v>
      </c>
      <c r="H111">
        <f t="shared" ca="1" si="8"/>
        <v>2665.3464229293613</v>
      </c>
      <c r="I111">
        <f t="shared" ca="1" si="9"/>
        <v>68695.285882621407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10374</v>
      </c>
      <c r="B113" s="66">
        <v>10374</v>
      </c>
      <c r="D113">
        <f t="shared" si="5"/>
        <v>19.510268562401265</v>
      </c>
      <c r="E113">
        <f t="shared" si="6"/>
        <v>19.510268562401265</v>
      </c>
      <c r="G113">
        <f t="shared" ca="1" si="7"/>
        <v>111</v>
      </c>
      <c r="H113">
        <f t="shared" ca="1" si="8"/>
        <v>2165.6398104265404</v>
      </c>
      <c r="I113">
        <f t="shared" ca="1" si="9"/>
        <v>59024.852498403969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7752</v>
      </c>
      <c r="B116" s="66">
        <v>7752</v>
      </c>
      <c r="D116">
        <f t="shared" si="5"/>
        <v>14.579101782893252</v>
      </c>
      <c r="E116">
        <f t="shared" si="6"/>
        <v>14.579101782893252</v>
      </c>
      <c r="G116">
        <f t="shared" ca="1" si="7"/>
        <v>114</v>
      </c>
      <c r="H116">
        <f t="shared" ca="1" si="8"/>
        <v>1662.0176032498307</v>
      </c>
      <c r="I116">
        <f t="shared" ca="1" si="9"/>
        <v>49049.055062774329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5880</v>
      </c>
      <c r="B118" s="66">
        <v>5880</v>
      </c>
      <c r="D118">
        <f t="shared" si="5"/>
        <v>11.058451816745656</v>
      </c>
      <c r="E118">
        <f t="shared" si="6"/>
        <v>11.058451816745656</v>
      </c>
      <c r="G118">
        <f t="shared" ca="1" si="7"/>
        <v>116</v>
      </c>
      <c r="H118">
        <f t="shared" ca="1" si="8"/>
        <v>1282.7804107424961</v>
      </c>
      <c r="I118">
        <f t="shared" ca="1" si="9"/>
        <v>39814.315881371265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1988</v>
      </c>
      <c r="B121" s="66">
        <v>1988</v>
      </c>
      <c r="D121">
        <f t="shared" si="5"/>
        <v>3.7388098999473409</v>
      </c>
      <c r="E121">
        <f t="shared" si="6"/>
        <v>3.7388098999473409</v>
      </c>
      <c r="G121">
        <f t="shared" ca="1" si="7"/>
        <v>119</v>
      </c>
      <c r="H121">
        <f t="shared" ca="1" si="8"/>
        <v>444.91837809373357</v>
      </c>
      <c r="I121">
        <f t="shared" ca="1" si="9"/>
        <v>14840.717207371077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1132</v>
      </c>
      <c r="B124" s="66">
        <v>1132</v>
      </c>
      <c r="D124">
        <f t="shared" si="5"/>
        <v>2.128940043631987</v>
      </c>
      <c r="E124">
        <f t="shared" si="6"/>
        <v>2.128940043631987</v>
      </c>
      <c r="G124">
        <f t="shared" ca="1" si="7"/>
        <v>122</v>
      </c>
      <c r="H124">
        <f t="shared" ca="1" si="8"/>
        <v>259.73068532310242</v>
      </c>
      <c r="I124">
        <f t="shared" ca="1" si="9"/>
        <v>9274.4864689671649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402</v>
      </c>
      <c r="B126" s="66">
        <v>402</v>
      </c>
      <c r="D126">
        <f t="shared" si="5"/>
        <v>0.75603701196118256</v>
      </c>
      <c r="E126">
        <f t="shared" si="6"/>
        <v>0.75603701196118256</v>
      </c>
      <c r="G126">
        <f t="shared" ca="1" si="7"/>
        <v>124</v>
      </c>
      <c r="H126">
        <f t="shared" ca="1" si="8"/>
        <v>93.748589483186635</v>
      </c>
      <c r="I126">
        <f t="shared" ca="1" si="9"/>
        <v>3496.2165002315992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622</v>
      </c>
      <c r="B129" s="66">
        <v>622</v>
      </c>
      <c r="D129">
        <f t="shared" si="5"/>
        <v>1.1697886105469044</v>
      </c>
      <c r="E129">
        <f t="shared" si="6"/>
        <v>1.1697886105469044</v>
      </c>
      <c r="G129">
        <f t="shared" ca="1" si="7"/>
        <v>127</v>
      </c>
      <c r="H129">
        <f t="shared" ca="1" si="8"/>
        <v>148.56315353945686</v>
      </c>
      <c r="I129">
        <f t="shared" ca="1" si="9"/>
        <v>5897.3912350616274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307</v>
      </c>
      <c r="B131" s="66">
        <v>307</v>
      </c>
      <c r="D131">
        <f t="shared" ref="D131:D194" si="10">IFERROR(100*A131/MAX(A$2:A$257), 0 )</f>
        <v>0.57737154893553</v>
      </c>
      <c r="E131">
        <f t="shared" ref="E131:E194" si="11">IFERROR(100*B131/MAX(B$2:B$257), 0 )</f>
        <v>0.57737154893553</v>
      </c>
      <c r="G131">
        <f t="shared" ref="G131:G194" ca="1" si="12">CELL("row",D131)-2</f>
        <v>129</v>
      </c>
      <c r="H131">
        <f t="shared" ref="H131:H194" ca="1" si="13">D131*G131</f>
        <v>74.480929812683371</v>
      </c>
      <c r="I131">
        <f t="shared" ref="I131:I194" ca="1" si="14">D131*((G131-$L$1)^2)</f>
        <v>3077.0600467604236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0</v>
      </c>
      <c r="B134" s="66">
        <v>0</v>
      </c>
      <c r="D134">
        <f t="shared" si="10"/>
        <v>0</v>
      </c>
      <c r="E134">
        <f t="shared" si="11"/>
        <v>0</v>
      </c>
      <c r="G134">
        <f t="shared" ca="1" si="12"/>
        <v>132</v>
      </c>
      <c r="H134">
        <f t="shared" ca="1" si="13"/>
        <v>0</v>
      </c>
      <c r="I134">
        <f t="shared" ca="1" si="14"/>
        <v>0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0</v>
      </c>
      <c r="B136" s="66">
        <v>0</v>
      </c>
      <c r="D136">
        <f t="shared" si="10"/>
        <v>0</v>
      </c>
      <c r="E136">
        <f t="shared" si="11"/>
        <v>0</v>
      </c>
      <c r="G136">
        <f t="shared" ca="1" si="12"/>
        <v>134</v>
      </c>
      <c r="H136">
        <f t="shared" ca="1" si="13"/>
        <v>0</v>
      </c>
      <c r="I136">
        <f t="shared" ca="1" si="14"/>
        <v>0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0</v>
      </c>
      <c r="B139" s="66">
        <v>0</v>
      </c>
      <c r="D139">
        <f t="shared" si="10"/>
        <v>0</v>
      </c>
      <c r="E139">
        <f t="shared" si="11"/>
        <v>0</v>
      </c>
      <c r="G139">
        <f t="shared" ca="1" si="12"/>
        <v>137</v>
      </c>
      <c r="H139">
        <f t="shared" ca="1" si="13"/>
        <v>0</v>
      </c>
      <c r="I139">
        <f t="shared" ca="1" si="14"/>
        <v>0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0</v>
      </c>
      <c r="B142" s="66">
        <v>0</v>
      </c>
      <c r="D142">
        <f t="shared" si="10"/>
        <v>0</v>
      </c>
      <c r="E142">
        <f t="shared" si="11"/>
        <v>0</v>
      </c>
      <c r="G142">
        <f t="shared" ca="1" si="12"/>
        <v>140</v>
      </c>
      <c r="H142">
        <f t="shared" ca="1" si="13"/>
        <v>0</v>
      </c>
      <c r="I142">
        <f t="shared" ca="1" si="14"/>
        <v>0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0</v>
      </c>
      <c r="B144" s="66">
        <v>0</v>
      </c>
      <c r="D144">
        <f t="shared" si="10"/>
        <v>0</v>
      </c>
      <c r="E144">
        <f t="shared" si="11"/>
        <v>0</v>
      </c>
      <c r="G144">
        <f t="shared" ca="1" si="12"/>
        <v>142</v>
      </c>
      <c r="H144">
        <f t="shared" ca="1" si="13"/>
        <v>0</v>
      </c>
      <c r="I144">
        <f t="shared" ca="1" si="14"/>
        <v>0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0</v>
      </c>
      <c r="B147" s="66">
        <v>0</v>
      </c>
      <c r="D147">
        <f t="shared" si="10"/>
        <v>0</v>
      </c>
      <c r="E147">
        <f t="shared" si="11"/>
        <v>0</v>
      </c>
      <c r="G147">
        <f t="shared" ca="1" si="12"/>
        <v>145</v>
      </c>
      <c r="H147">
        <f t="shared" ca="1" si="13"/>
        <v>0</v>
      </c>
      <c r="I147">
        <f t="shared" ca="1" si="14"/>
        <v>0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0</v>
      </c>
      <c r="B149" s="66">
        <v>0</v>
      </c>
      <c r="D149">
        <f t="shared" si="10"/>
        <v>0</v>
      </c>
      <c r="E149">
        <f t="shared" si="11"/>
        <v>0</v>
      </c>
      <c r="G149">
        <f t="shared" ca="1" si="12"/>
        <v>147</v>
      </c>
      <c r="H149">
        <f t="shared" ca="1" si="13"/>
        <v>0</v>
      </c>
      <c r="I149">
        <f t="shared" ca="1" si="14"/>
        <v>0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0</v>
      </c>
      <c r="B152" s="66">
        <v>0</v>
      </c>
      <c r="D152">
        <f t="shared" si="10"/>
        <v>0</v>
      </c>
      <c r="E152">
        <f t="shared" si="11"/>
        <v>0</v>
      </c>
      <c r="G152">
        <f t="shared" ca="1" si="12"/>
        <v>150</v>
      </c>
      <c r="H152">
        <f t="shared" ca="1" si="13"/>
        <v>0</v>
      </c>
      <c r="I152">
        <f t="shared" ca="1" si="14"/>
        <v>0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0</v>
      </c>
      <c r="B154" s="66">
        <v>0</v>
      </c>
      <c r="D154">
        <f t="shared" si="10"/>
        <v>0</v>
      </c>
      <c r="E154">
        <f t="shared" si="11"/>
        <v>0</v>
      </c>
      <c r="G154">
        <f t="shared" ca="1" si="12"/>
        <v>152</v>
      </c>
      <c r="H154">
        <f t="shared" ca="1" si="13"/>
        <v>0</v>
      </c>
      <c r="I154">
        <f t="shared" ca="1" si="14"/>
        <v>0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0</v>
      </c>
      <c r="B157" s="66">
        <v>0</v>
      </c>
      <c r="D157">
        <f t="shared" si="10"/>
        <v>0</v>
      </c>
      <c r="E157">
        <f t="shared" si="11"/>
        <v>0</v>
      </c>
      <c r="G157">
        <f t="shared" ca="1" si="12"/>
        <v>155</v>
      </c>
      <c r="H157">
        <f t="shared" ca="1" si="13"/>
        <v>0</v>
      </c>
      <c r="I157">
        <f t="shared" ca="1" si="14"/>
        <v>0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0</v>
      </c>
      <c r="B160" s="66">
        <v>0</v>
      </c>
      <c r="D160">
        <f t="shared" si="10"/>
        <v>0</v>
      </c>
      <c r="E160">
        <f t="shared" si="11"/>
        <v>0</v>
      </c>
      <c r="G160">
        <f t="shared" ca="1" si="12"/>
        <v>158</v>
      </c>
      <c r="H160">
        <f t="shared" ca="1" si="13"/>
        <v>0</v>
      </c>
      <c r="I160">
        <f t="shared" ca="1" si="14"/>
        <v>0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0</v>
      </c>
      <c r="B162" s="66">
        <v>0</v>
      </c>
      <c r="D162">
        <f t="shared" si="10"/>
        <v>0</v>
      </c>
      <c r="E162">
        <f t="shared" si="11"/>
        <v>0</v>
      </c>
      <c r="G162">
        <f t="shared" ca="1" si="12"/>
        <v>160</v>
      </c>
      <c r="H162">
        <f t="shared" ca="1" si="13"/>
        <v>0</v>
      </c>
      <c r="I162">
        <f t="shared" ca="1" si="14"/>
        <v>0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0</v>
      </c>
      <c r="B165" s="66">
        <v>0</v>
      </c>
      <c r="D165">
        <f t="shared" si="10"/>
        <v>0</v>
      </c>
      <c r="E165">
        <f t="shared" si="11"/>
        <v>0</v>
      </c>
      <c r="G165">
        <f t="shared" ca="1" si="12"/>
        <v>163</v>
      </c>
      <c r="H165">
        <f t="shared" ca="1" si="13"/>
        <v>0</v>
      </c>
      <c r="I165">
        <f t="shared" ca="1" si="14"/>
        <v>0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406</v>
      </c>
      <c r="B1" s="68" t="s">
        <v>407</v>
      </c>
      <c r="C1" s="32" t="s">
        <v>408</v>
      </c>
      <c r="D1" s="32" t="s">
        <v>409</v>
      </c>
      <c r="E1" s="32" t="s">
        <v>410</v>
      </c>
    </row>
    <row r="2" spans="1:5">
      <c r="A2" s="68">
        <v>0.16645399999999999</v>
      </c>
      <c r="B2" s="68">
        <v>0.57584199999999996</v>
      </c>
      <c r="C2" s="68">
        <v>0</v>
      </c>
      <c r="D2" s="68">
        <v>1</v>
      </c>
      <c r="E2" s="68" t="s">
        <v>411</v>
      </c>
    </row>
    <row r="3" spans="1:5">
      <c r="A3" s="68">
        <v>0.17134099999999999</v>
      </c>
      <c r="B3" s="68">
        <v>0.56755100000000003</v>
      </c>
      <c r="C3" s="68">
        <v>0.40667999999999999</v>
      </c>
      <c r="D3" s="89">
        <v>1</v>
      </c>
      <c r="E3" s="68" t="s">
        <v>412</v>
      </c>
    </row>
    <row r="4" spans="1:5">
      <c r="A4" s="68">
        <v>0.176181</v>
      </c>
      <c r="B4" s="68">
        <v>0.55909799999999998</v>
      </c>
      <c r="C4" s="68">
        <v>0.810253</v>
      </c>
      <c r="D4" s="89">
        <v>1</v>
      </c>
      <c r="E4" s="68" t="s">
        <v>413</v>
      </c>
    </row>
    <row r="5" spans="1:5">
      <c r="A5" s="89">
        <v>0.181086</v>
      </c>
      <c r="B5" s="89">
        <v>0.54982500000000001</v>
      </c>
      <c r="C5" s="89">
        <v>1.2215400000000001</v>
      </c>
      <c r="D5" s="89">
        <v>1</v>
      </c>
      <c r="E5" s="68" t="s">
        <v>414</v>
      </c>
    </row>
    <row r="6" spans="1:5">
      <c r="A6" s="68">
        <v>0.18590200000000001</v>
      </c>
      <c r="B6" s="68">
        <v>0.54063000000000005</v>
      </c>
      <c r="C6" s="68">
        <v>1.6244099999999999</v>
      </c>
      <c r="D6" s="68">
        <v>1</v>
      </c>
      <c r="E6" s="68" t="s">
        <v>415</v>
      </c>
    </row>
    <row r="7" spans="1:5">
      <c r="A7" s="68">
        <v>0.19039700000000001</v>
      </c>
      <c r="B7" s="68">
        <v>0.53061499999999995</v>
      </c>
      <c r="C7" s="68">
        <v>2.0326599999999999</v>
      </c>
      <c r="D7" s="68">
        <v>1</v>
      </c>
      <c r="E7" s="68" t="s">
        <v>416</v>
      </c>
    </row>
    <row r="8" spans="1:5">
      <c r="A8" s="68">
        <v>0.19490099999999999</v>
      </c>
      <c r="B8" s="68">
        <v>0.52022199999999996</v>
      </c>
      <c r="C8" s="68">
        <v>2.4401899999999999</v>
      </c>
      <c r="D8" s="68">
        <v>1</v>
      </c>
      <c r="E8" s="68" t="s">
        <v>417</v>
      </c>
    </row>
    <row r="9" spans="1:5">
      <c r="A9" s="68">
        <v>0.19963</v>
      </c>
      <c r="B9" s="68">
        <v>0.50764200000000004</v>
      </c>
      <c r="C9" s="68">
        <v>2.8441100000000001</v>
      </c>
      <c r="D9" s="68">
        <v>1</v>
      </c>
      <c r="E9" s="68" t="s">
        <v>418</v>
      </c>
    </row>
    <row r="10" spans="1:5">
      <c r="A10" s="68">
        <v>0.204405</v>
      </c>
      <c r="B10" s="68">
        <v>0.49528899999999998</v>
      </c>
      <c r="C10" s="68">
        <v>3.2532700000000001</v>
      </c>
      <c r="D10" s="68">
        <v>1</v>
      </c>
      <c r="E10" s="68" t="s">
        <v>419</v>
      </c>
    </row>
    <row r="11" spans="1:5">
      <c r="A11" s="68">
        <v>0.208926</v>
      </c>
      <c r="B11" s="68">
        <v>0.484288</v>
      </c>
      <c r="C11" s="68">
        <v>3.6550799999999999</v>
      </c>
      <c r="D11" s="68">
        <v>1</v>
      </c>
      <c r="E11" s="68" t="s">
        <v>420</v>
      </c>
    </row>
    <row r="12" spans="1:5">
      <c r="A12" s="68">
        <v>0.21337700000000001</v>
      </c>
      <c r="B12" s="68">
        <v>0.47397400000000001</v>
      </c>
      <c r="C12" s="68">
        <v>4.0618800000000004</v>
      </c>
      <c r="D12" s="68">
        <v>1</v>
      </c>
      <c r="E12" s="68" t="s">
        <v>421</v>
      </c>
    </row>
    <row r="13" spans="1:5">
      <c r="A13" s="68">
        <v>0.21778700000000001</v>
      </c>
      <c r="B13" s="68">
        <v>0.46371200000000001</v>
      </c>
      <c r="C13" s="68">
        <v>4.4708199999999998</v>
      </c>
      <c r="D13" s="68">
        <v>1</v>
      </c>
      <c r="E13" s="68" t="s">
        <v>422</v>
      </c>
    </row>
    <row r="14" spans="1:5">
      <c r="A14" s="68">
        <v>0.22209699999999999</v>
      </c>
      <c r="B14" s="68">
        <v>0.45305699999999999</v>
      </c>
      <c r="C14" s="68">
        <v>4.8776900000000003</v>
      </c>
      <c r="D14" s="68">
        <v>1</v>
      </c>
      <c r="E14" s="68" t="s">
        <v>423</v>
      </c>
    </row>
    <row r="15" spans="1:5">
      <c r="A15" s="68">
        <v>0.226435</v>
      </c>
      <c r="B15" s="68">
        <v>0.442606</v>
      </c>
      <c r="C15" s="68">
        <v>5.2786299999999997</v>
      </c>
      <c r="D15" s="68">
        <v>1</v>
      </c>
      <c r="E15" s="68" t="s">
        <v>424</v>
      </c>
    </row>
    <row r="16" spans="1:5">
      <c r="A16" s="68">
        <v>0.23065099999999999</v>
      </c>
      <c r="B16" s="68">
        <v>0.43258099999999999</v>
      </c>
      <c r="C16" s="68">
        <v>5.68954</v>
      </c>
      <c r="D16" s="68">
        <v>1</v>
      </c>
      <c r="E16" s="68" t="s">
        <v>425</v>
      </c>
    </row>
    <row r="17" spans="1:5">
      <c r="A17" s="68">
        <v>0.234988</v>
      </c>
      <c r="B17" s="68">
        <v>0.42177100000000001</v>
      </c>
      <c r="C17" s="68">
        <v>6.0913899999999996</v>
      </c>
      <c r="D17" s="68">
        <v>1</v>
      </c>
      <c r="E17" s="68" t="s">
        <v>426</v>
      </c>
    </row>
    <row r="18" spans="1:5">
      <c r="A18" s="68">
        <v>0.23938400000000001</v>
      </c>
      <c r="B18" s="68">
        <v>0.41075299999999998</v>
      </c>
      <c r="C18" s="68">
        <v>6.49953</v>
      </c>
      <c r="D18" s="68">
        <v>1</v>
      </c>
      <c r="E18" s="68" t="s">
        <v>427</v>
      </c>
    </row>
    <row r="19" spans="1:5">
      <c r="A19" s="68">
        <v>0.243669</v>
      </c>
      <c r="B19" s="68">
        <v>0.399561</v>
      </c>
      <c r="C19" s="68">
        <v>6.9072300000000002</v>
      </c>
      <c r="D19" s="68">
        <v>1</v>
      </c>
      <c r="E19" s="68" t="s">
        <v>428</v>
      </c>
    </row>
    <row r="20" spans="1:5">
      <c r="A20" s="68">
        <v>0.24849499999999999</v>
      </c>
      <c r="B20" s="68">
        <v>0.38996199999999998</v>
      </c>
      <c r="C20" s="68">
        <v>7.3171600000000003</v>
      </c>
      <c r="D20" s="68">
        <v>1</v>
      </c>
      <c r="E20" s="68" t="s">
        <v>429</v>
      </c>
    </row>
    <row r="21" spans="1:5">
      <c r="A21" s="68">
        <v>0.25313600000000003</v>
      </c>
      <c r="B21" s="68">
        <v>0.38209799999999999</v>
      </c>
      <c r="C21" s="68">
        <v>7.7251000000000003</v>
      </c>
      <c r="D21" s="68">
        <v>1</v>
      </c>
      <c r="E21" s="68" t="s">
        <v>430</v>
      </c>
    </row>
    <row r="22" spans="1:5">
      <c r="A22" s="68">
        <v>0.25708599999999998</v>
      </c>
      <c r="B22" s="68">
        <v>0.37661299999999998</v>
      </c>
      <c r="C22" s="68">
        <v>8.1249900000000004</v>
      </c>
      <c r="D22" s="68">
        <v>1</v>
      </c>
      <c r="E22" s="68" t="s">
        <v>431</v>
      </c>
    </row>
    <row r="23" spans="1:5">
      <c r="A23" s="68">
        <v>0.26040600000000003</v>
      </c>
      <c r="B23" s="68">
        <v>0.373087</v>
      </c>
      <c r="C23" s="68">
        <v>8.5286600000000004</v>
      </c>
      <c r="D23" s="68">
        <v>1</v>
      </c>
      <c r="E23" s="68" t="s">
        <v>432</v>
      </c>
    </row>
    <row r="24" spans="1:5">
      <c r="A24" s="68">
        <v>0.26316299999999998</v>
      </c>
      <c r="B24" s="68">
        <v>0.37075399999999997</v>
      </c>
      <c r="C24" s="68">
        <v>8.9398099999999996</v>
      </c>
      <c r="D24" s="68">
        <v>1</v>
      </c>
      <c r="E24" s="68" t="s">
        <v>433</v>
      </c>
    </row>
    <row r="25" spans="1:5">
      <c r="A25" s="68">
        <v>0.26536799999999999</v>
      </c>
      <c r="B25" s="68">
        <v>0.36934299999999998</v>
      </c>
      <c r="C25" s="68">
        <v>9.3467000000000002</v>
      </c>
      <c r="D25" s="68">
        <v>1</v>
      </c>
      <c r="E25" s="68" t="s">
        <v>434</v>
      </c>
    </row>
    <row r="26" spans="1:5">
      <c r="A26" s="68">
        <v>0.26713599999999998</v>
      </c>
      <c r="B26" s="68">
        <v>0.36862600000000001</v>
      </c>
      <c r="C26" s="68">
        <v>9.7496500000000008</v>
      </c>
      <c r="D26" s="68">
        <v>1</v>
      </c>
      <c r="E26" s="68" t="s">
        <v>435</v>
      </c>
    </row>
    <row r="27" spans="1:5">
      <c r="A27" s="68">
        <v>0.26825199999999999</v>
      </c>
      <c r="B27" s="68">
        <v>0.36902400000000002</v>
      </c>
      <c r="C27" s="68">
        <v>10.1556</v>
      </c>
      <c r="D27" s="68">
        <v>1</v>
      </c>
      <c r="E27" s="68" t="s">
        <v>436</v>
      </c>
    </row>
    <row r="28" spans="1:5">
      <c r="A28" s="68">
        <v>0.26898899999999998</v>
      </c>
      <c r="B28" s="68">
        <v>0.369944</v>
      </c>
      <c r="C28" s="68">
        <v>10.5627</v>
      </c>
      <c r="D28" s="68">
        <v>1</v>
      </c>
      <c r="E28" s="68" t="s">
        <v>437</v>
      </c>
    </row>
    <row r="29" spans="1:5">
      <c r="A29" s="68">
        <v>0.26948</v>
      </c>
      <c r="B29" s="68">
        <v>0.37123699999999998</v>
      </c>
      <c r="C29" s="68">
        <v>10.968400000000001</v>
      </c>
      <c r="D29" s="68">
        <v>1</v>
      </c>
      <c r="E29" s="68" t="s">
        <v>438</v>
      </c>
    </row>
    <row r="30" spans="1:5">
      <c r="A30" s="68">
        <v>0.26961299999999999</v>
      </c>
      <c r="B30" s="68">
        <v>0.372776</v>
      </c>
      <c r="C30" s="68">
        <v>11.375400000000001</v>
      </c>
      <c r="D30" s="68">
        <v>1</v>
      </c>
      <c r="E30" s="68" t="s">
        <v>439</v>
      </c>
    </row>
    <row r="31" spans="1:5">
      <c r="A31" s="68">
        <v>0.26902300000000001</v>
      </c>
      <c r="B31" s="68">
        <v>0.37454300000000001</v>
      </c>
      <c r="C31" s="68">
        <v>11.783200000000001</v>
      </c>
      <c r="D31" s="68">
        <v>1</v>
      </c>
      <c r="E31" s="68" t="s">
        <v>440</v>
      </c>
    </row>
    <row r="32" spans="1:5">
      <c r="A32" s="68">
        <v>0.26812799999999998</v>
      </c>
      <c r="B32" s="68">
        <v>0.37604199999999999</v>
      </c>
      <c r="C32" s="68">
        <v>12.1891</v>
      </c>
      <c r="D32" s="68">
        <v>1</v>
      </c>
      <c r="E32" s="68" t="s">
        <v>441</v>
      </c>
    </row>
    <row r="33" spans="1:5">
      <c r="A33" s="68">
        <v>0.26703399999999999</v>
      </c>
      <c r="B33" s="68">
        <v>0.37799199999999999</v>
      </c>
      <c r="C33" s="68">
        <v>12.5931</v>
      </c>
      <c r="D33" s="68">
        <v>1</v>
      </c>
      <c r="E33" s="68" t="s">
        <v>442</v>
      </c>
    </row>
    <row r="34" spans="1:5">
      <c r="A34" s="68">
        <v>0.26562400000000003</v>
      </c>
      <c r="B34" s="68">
        <v>0.38055600000000001</v>
      </c>
      <c r="C34" s="68">
        <v>12.9962</v>
      </c>
      <c r="D34" s="68">
        <v>1</v>
      </c>
      <c r="E34" s="68" t="s">
        <v>443</v>
      </c>
    </row>
    <row r="35" spans="1:5">
      <c r="A35" s="68">
        <v>0.26407599999999998</v>
      </c>
      <c r="B35" s="68">
        <v>0.383407</v>
      </c>
      <c r="C35" s="68">
        <v>13.4061</v>
      </c>
      <c r="D35" s="68">
        <v>1</v>
      </c>
      <c r="E35" s="68" t="s">
        <v>444</v>
      </c>
    </row>
    <row r="36" spans="1:5">
      <c r="A36" s="68">
        <v>0.26239299999999999</v>
      </c>
      <c r="B36" s="68">
        <v>0.386156</v>
      </c>
      <c r="C36" s="68">
        <v>13.812900000000001</v>
      </c>
      <c r="D36" s="68">
        <v>1</v>
      </c>
      <c r="E36" s="68" t="s">
        <v>445</v>
      </c>
    </row>
    <row r="37" spans="1:5">
      <c r="A37" s="68">
        <v>0.26068200000000002</v>
      </c>
      <c r="B37" s="68">
        <v>0.389235</v>
      </c>
      <c r="C37" s="68">
        <v>14.219900000000001</v>
      </c>
      <c r="D37" s="68">
        <v>1</v>
      </c>
      <c r="E37" s="68" t="s">
        <v>446</v>
      </c>
    </row>
    <row r="38" spans="1:5">
      <c r="A38" s="68">
        <v>0.25887100000000002</v>
      </c>
      <c r="B38" s="68">
        <v>0.39289299999999999</v>
      </c>
      <c r="C38" s="68">
        <v>14.624700000000001</v>
      </c>
      <c r="D38" s="68">
        <v>1</v>
      </c>
      <c r="E38" s="68" t="s">
        <v>447</v>
      </c>
    </row>
    <row r="39" spans="1:5">
      <c r="A39" s="68">
        <v>0.25667099999999998</v>
      </c>
      <c r="B39" s="68">
        <v>0.39694299999999999</v>
      </c>
      <c r="C39" s="68">
        <v>15.031499999999999</v>
      </c>
      <c r="D39" s="68">
        <v>1</v>
      </c>
      <c r="E39" s="68" t="s">
        <v>448</v>
      </c>
    </row>
    <row r="40" spans="1:5">
      <c r="A40" s="68">
        <v>0.25432700000000003</v>
      </c>
      <c r="B40" s="68">
        <v>0.40141700000000002</v>
      </c>
      <c r="C40" s="68">
        <v>15.4376</v>
      </c>
      <c r="D40" s="68">
        <v>1</v>
      </c>
      <c r="E40" s="68" t="s">
        <v>449</v>
      </c>
    </row>
    <row r="41" spans="1:5">
      <c r="A41" s="68">
        <v>0.25179099999999999</v>
      </c>
      <c r="B41" s="68">
        <v>0.40611399999999998</v>
      </c>
      <c r="C41" s="68">
        <v>15.8445</v>
      </c>
      <c r="D41" s="68">
        <v>1</v>
      </c>
      <c r="E41" s="68" t="s">
        <v>450</v>
      </c>
    </row>
    <row r="42" spans="1:5">
      <c r="A42" s="68">
        <v>0.249195</v>
      </c>
      <c r="B42" s="68">
        <v>0.41216199999999997</v>
      </c>
      <c r="C42" s="68">
        <v>16.252300000000002</v>
      </c>
      <c r="D42" s="68">
        <v>1</v>
      </c>
      <c r="E42" s="68" t="s">
        <v>451</v>
      </c>
    </row>
    <row r="43" spans="1:5">
      <c r="A43" s="68">
        <v>0.246418</v>
      </c>
      <c r="B43" s="68">
        <v>0.41906599999999999</v>
      </c>
      <c r="C43" s="68">
        <v>16.656500000000001</v>
      </c>
      <c r="D43" s="68">
        <v>1</v>
      </c>
      <c r="E43" s="68" t="s">
        <v>452</v>
      </c>
    </row>
    <row r="44" spans="1:5">
      <c r="A44" s="68">
        <v>0.24369299999999999</v>
      </c>
      <c r="B44" s="68">
        <v>0.42691499999999999</v>
      </c>
      <c r="C44" s="68">
        <v>17.066199999999998</v>
      </c>
      <c r="D44" s="68">
        <v>1</v>
      </c>
      <c r="E44" s="68" t="s">
        <v>453</v>
      </c>
    </row>
    <row r="45" spans="1:5">
      <c r="A45" s="68">
        <v>0.24047399999999999</v>
      </c>
      <c r="B45" s="68">
        <v>0.43524200000000002</v>
      </c>
      <c r="C45" s="68">
        <v>17.469000000000001</v>
      </c>
      <c r="D45" s="68">
        <v>1</v>
      </c>
      <c r="E45" s="68" t="s">
        <v>454</v>
      </c>
    </row>
    <row r="46" spans="1:5">
      <c r="A46" s="68">
        <v>0.23710700000000001</v>
      </c>
      <c r="B46" s="68">
        <v>0.444079</v>
      </c>
      <c r="C46" s="68">
        <v>17.875299999999999</v>
      </c>
      <c r="D46" s="68">
        <v>1</v>
      </c>
      <c r="E46" s="68" t="s">
        <v>455</v>
      </c>
    </row>
    <row r="47" spans="1:5">
      <c r="A47" s="68">
        <v>0.23428099999999999</v>
      </c>
      <c r="B47" s="68">
        <v>0.45201599999999997</v>
      </c>
      <c r="C47" s="68">
        <v>18.283899999999999</v>
      </c>
      <c r="D47" s="68">
        <v>1</v>
      </c>
      <c r="E47" s="68" t="s">
        <v>456</v>
      </c>
    </row>
    <row r="48" spans="1:5">
      <c r="A48" s="68">
        <v>0.23169100000000001</v>
      </c>
      <c r="B48" s="68">
        <v>0.45902100000000001</v>
      </c>
      <c r="C48" s="68">
        <v>18.689699999999998</v>
      </c>
      <c r="D48" s="68">
        <v>1</v>
      </c>
      <c r="E48" s="68" t="s">
        <v>457</v>
      </c>
    </row>
    <row r="49" spans="1:5">
      <c r="A49" s="68">
        <v>0.22898199999999999</v>
      </c>
      <c r="B49" s="68">
        <v>0.46562900000000002</v>
      </c>
      <c r="C49" s="68">
        <v>19.093699999999998</v>
      </c>
      <c r="D49" s="68">
        <v>1</v>
      </c>
      <c r="E49" s="68" t="s">
        <v>458</v>
      </c>
    </row>
    <row r="50" spans="1:5">
      <c r="A50" s="68">
        <v>0.22639599999999999</v>
      </c>
      <c r="B50" s="68">
        <v>0.47178300000000001</v>
      </c>
      <c r="C50" s="68">
        <v>19.500599999999999</v>
      </c>
      <c r="D50" s="68">
        <v>1</v>
      </c>
      <c r="E50" s="68" t="s">
        <v>459</v>
      </c>
    </row>
    <row r="51" spans="1:5">
      <c r="A51" s="68">
        <v>0.224075</v>
      </c>
      <c r="B51" s="68">
        <v>0.477715</v>
      </c>
      <c r="C51" s="68">
        <v>19.9056</v>
      </c>
      <c r="D51" s="68">
        <v>1</v>
      </c>
      <c r="E51" s="68" t="s">
        <v>460</v>
      </c>
    </row>
    <row r="52" spans="1:5">
      <c r="A52" s="68">
        <v>0.22215399999999999</v>
      </c>
      <c r="B52" s="68">
        <v>0.48213899999999998</v>
      </c>
      <c r="C52" s="68">
        <v>20.3124</v>
      </c>
      <c r="D52" s="68">
        <v>1</v>
      </c>
      <c r="E52" s="68" t="s">
        <v>461</v>
      </c>
    </row>
    <row r="53" spans="1:5">
      <c r="A53" s="68">
        <v>0.22054199999999999</v>
      </c>
      <c r="B53" s="68">
        <v>0.48572700000000002</v>
      </c>
      <c r="C53" s="68">
        <v>20.723299999999998</v>
      </c>
      <c r="D53" s="68">
        <v>1</v>
      </c>
      <c r="E53" s="68" t="s">
        <v>462</v>
      </c>
    </row>
    <row r="54" spans="1:5">
      <c r="A54" s="68">
        <v>0.21899099999999999</v>
      </c>
      <c r="B54" s="68">
        <v>0.48885000000000001</v>
      </c>
      <c r="C54" s="68">
        <v>21.124300000000002</v>
      </c>
      <c r="D54" s="68">
        <v>1</v>
      </c>
      <c r="E54" s="68" t="s">
        <v>463</v>
      </c>
    </row>
    <row r="55" spans="1:5">
      <c r="A55" s="68">
        <v>0.21746399999999999</v>
      </c>
      <c r="B55" s="68">
        <v>0.49179299999999998</v>
      </c>
      <c r="C55" s="68">
        <v>21.534300000000002</v>
      </c>
      <c r="D55" s="68">
        <v>1</v>
      </c>
      <c r="E55" s="68" t="s">
        <v>464</v>
      </c>
    </row>
    <row r="56" spans="1:5">
      <c r="A56" s="68">
        <v>0.216477</v>
      </c>
      <c r="B56" s="68">
        <v>0.493479</v>
      </c>
      <c r="C56" s="68">
        <v>21.9375</v>
      </c>
      <c r="D56" s="68">
        <v>1</v>
      </c>
      <c r="E56" s="68" t="s">
        <v>465</v>
      </c>
    </row>
    <row r="57" spans="1:5">
      <c r="A57" s="68">
        <v>0.21596799999999999</v>
      </c>
      <c r="B57" s="68">
        <v>0.49474000000000001</v>
      </c>
      <c r="C57" s="68">
        <v>22.344000000000001</v>
      </c>
      <c r="D57" s="68">
        <v>1</v>
      </c>
      <c r="E57" s="68" t="s">
        <v>466</v>
      </c>
    </row>
    <row r="58" spans="1:5">
      <c r="A58" s="68">
        <v>0.215396</v>
      </c>
      <c r="B58" s="68">
        <v>0.49587100000000001</v>
      </c>
      <c r="C58" s="68">
        <v>22.752099999999999</v>
      </c>
      <c r="D58" s="68">
        <v>1</v>
      </c>
      <c r="E58" s="68" t="s">
        <v>467</v>
      </c>
    </row>
    <row r="59" spans="1:5">
      <c r="A59" s="68">
        <v>0.21465400000000001</v>
      </c>
      <c r="B59" s="68">
        <v>0.49682199999999999</v>
      </c>
      <c r="C59" s="68">
        <v>23.1569</v>
      </c>
      <c r="D59" s="68">
        <v>1</v>
      </c>
      <c r="E59" s="68" t="s">
        <v>468</v>
      </c>
    </row>
    <row r="60" spans="1:5">
      <c r="A60" s="68">
        <v>0.21410799999999999</v>
      </c>
      <c r="B60" s="68">
        <v>0.49751699999999999</v>
      </c>
      <c r="C60" s="68">
        <v>23.560700000000001</v>
      </c>
      <c r="D60" s="68">
        <v>1</v>
      </c>
      <c r="E60" s="68" t="s">
        <v>469</v>
      </c>
    </row>
    <row r="61" spans="1:5">
      <c r="A61" s="68">
        <v>0.21371499999999999</v>
      </c>
      <c r="B61" s="68">
        <v>0.49808999999999998</v>
      </c>
      <c r="C61" s="68">
        <v>23.967700000000001</v>
      </c>
      <c r="D61" s="68">
        <v>1</v>
      </c>
      <c r="E61" s="68" t="s">
        <v>470</v>
      </c>
    </row>
    <row r="62" spans="1:5">
      <c r="A62" s="68">
        <v>0.213174</v>
      </c>
      <c r="B62" s="68">
        <v>0.49879499999999999</v>
      </c>
      <c r="C62" s="68">
        <v>24.373699999999999</v>
      </c>
      <c r="D62" s="68">
        <v>1</v>
      </c>
      <c r="E62" s="68" t="s">
        <v>471</v>
      </c>
    </row>
    <row r="63" spans="1:5">
      <c r="A63" s="68">
        <v>0.212703</v>
      </c>
      <c r="B63" s="68">
        <v>0.49935099999999999</v>
      </c>
      <c r="C63" s="68">
        <v>24.782499999999999</v>
      </c>
      <c r="D63" s="68">
        <v>1</v>
      </c>
      <c r="E63" s="68" t="s">
        <v>472</v>
      </c>
    </row>
    <row r="64" spans="1:5">
      <c r="A64" s="68">
        <v>0.212811</v>
      </c>
      <c r="B64" s="68">
        <v>0.49885299999999999</v>
      </c>
      <c r="C64" s="68">
        <v>25.189399999999999</v>
      </c>
      <c r="D64" s="68">
        <v>1</v>
      </c>
      <c r="E64" s="68" t="s">
        <v>473</v>
      </c>
    </row>
    <row r="65" spans="1:5">
      <c r="A65" s="68">
        <v>0.21293500000000001</v>
      </c>
      <c r="B65" s="68">
        <v>0.49843599999999999</v>
      </c>
      <c r="C65" s="68">
        <v>25.593399999999999</v>
      </c>
      <c r="D65" s="68">
        <v>1</v>
      </c>
      <c r="E65" s="68" t="s">
        <v>474</v>
      </c>
    </row>
    <row r="66" spans="1:5">
      <c r="A66" s="68">
        <v>0.21324199999999999</v>
      </c>
      <c r="B66" s="68">
        <v>0.49761100000000003</v>
      </c>
      <c r="C66" s="68">
        <v>25.999199999999998</v>
      </c>
      <c r="D66" s="68">
        <v>1</v>
      </c>
      <c r="E66" s="68" t="s">
        <v>475</v>
      </c>
    </row>
    <row r="67" spans="1:5">
      <c r="A67" s="68">
        <v>0.213481</v>
      </c>
      <c r="B67" s="68">
        <v>0.49668800000000002</v>
      </c>
      <c r="C67" s="68">
        <v>26.4072</v>
      </c>
      <c r="D67" s="68">
        <v>1</v>
      </c>
      <c r="E67" s="68" t="s">
        <v>476</v>
      </c>
    </row>
    <row r="68" spans="1:5">
      <c r="A68" s="68">
        <v>0.213699</v>
      </c>
      <c r="B68" s="68">
        <v>0.49602099999999999</v>
      </c>
      <c r="C68" s="68">
        <v>26.813099999999999</v>
      </c>
      <c r="D68" s="68">
        <v>1</v>
      </c>
      <c r="E68" s="68" t="s">
        <v>477</v>
      </c>
    </row>
    <row r="69" spans="1:5">
      <c r="A69" s="68">
        <v>0.213945</v>
      </c>
      <c r="B69" s="68">
        <v>0.49514799999999998</v>
      </c>
      <c r="C69" s="68">
        <v>27.221</v>
      </c>
      <c r="D69" s="68">
        <v>1</v>
      </c>
      <c r="E69" s="68" t="s">
        <v>478</v>
      </c>
    </row>
    <row r="70" spans="1:5">
      <c r="A70" s="68">
        <v>0.21398900000000001</v>
      </c>
      <c r="B70" s="68">
        <v>0.49477900000000002</v>
      </c>
      <c r="C70" s="68">
        <v>27.6219</v>
      </c>
      <c r="D70" s="68">
        <v>1</v>
      </c>
      <c r="E70" s="68" t="s">
        <v>479</v>
      </c>
    </row>
    <row r="71" spans="1:5">
      <c r="A71" s="68">
        <v>0.21365600000000001</v>
      </c>
      <c r="B71" s="68">
        <v>0.49522300000000002</v>
      </c>
      <c r="C71" s="68">
        <v>28.030799999999999</v>
      </c>
      <c r="D71" s="68">
        <v>1</v>
      </c>
      <c r="E71" s="68" t="s">
        <v>480</v>
      </c>
    </row>
    <row r="72" spans="1:5">
      <c r="A72" s="68">
        <v>0.21310599999999999</v>
      </c>
      <c r="B72" s="68">
        <v>0.49629099999999998</v>
      </c>
      <c r="C72" s="68">
        <v>28.4407</v>
      </c>
      <c r="D72" s="68">
        <v>1</v>
      </c>
      <c r="E72" s="68" t="s">
        <v>481</v>
      </c>
    </row>
    <row r="73" spans="1:5">
      <c r="A73" s="68">
        <v>0.212788</v>
      </c>
      <c r="B73" s="68">
        <v>0.497172</v>
      </c>
      <c r="C73" s="68">
        <v>28.8446</v>
      </c>
      <c r="D73" s="68">
        <v>1</v>
      </c>
      <c r="E73" s="68" t="s">
        <v>482</v>
      </c>
    </row>
    <row r="74" spans="1:5">
      <c r="A74" s="68">
        <v>0.212669</v>
      </c>
      <c r="B74" s="68">
        <v>0.49823899999999999</v>
      </c>
      <c r="C74" s="68">
        <v>29.2515</v>
      </c>
      <c r="D74" s="68">
        <v>1</v>
      </c>
      <c r="E74" s="68" t="s">
        <v>483</v>
      </c>
    </row>
    <row r="75" spans="1:5">
      <c r="A75" s="68">
        <v>0.21267900000000001</v>
      </c>
      <c r="B75" s="68">
        <v>0.499135</v>
      </c>
      <c r="C75" s="68">
        <v>29.6555</v>
      </c>
      <c r="D75" s="68">
        <v>1</v>
      </c>
      <c r="E75" s="68" t="s">
        <v>484</v>
      </c>
    </row>
    <row r="76" spans="1:5">
      <c r="A76" s="68">
        <v>0.21298800000000001</v>
      </c>
      <c r="B76" s="68">
        <v>0.49911800000000001</v>
      </c>
      <c r="C76" s="68">
        <v>30.061399999999999</v>
      </c>
      <c r="D76" s="68">
        <v>2</v>
      </c>
      <c r="E76" s="68" t="s">
        <v>485</v>
      </c>
    </row>
    <row r="77" spans="1:5">
      <c r="A77" s="68">
        <v>0.21329300000000001</v>
      </c>
      <c r="B77" s="68">
        <v>0.49892999999999998</v>
      </c>
      <c r="C77" s="68">
        <v>30.500299999999999</v>
      </c>
      <c r="D77" s="68">
        <v>2</v>
      </c>
      <c r="E77" s="68" t="s">
        <v>486</v>
      </c>
    </row>
    <row r="78" spans="1:5">
      <c r="A78" s="68">
        <v>0.21351800000000001</v>
      </c>
      <c r="B78" s="68">
        <v>0.49926599999999999</v>
      </c>
      <c r="C78" s="68">
        <v>30.9072</v>
      </c>
      <c r="D78" s="68">
        <v>2</v>
      </c>
      <c r="E78" s="68" t="s">
        <v>487</v>
      </c>
    </row>
    <row r="79" spans="1:5">
      <c r="A79" s="68">
        <v>0.21373400000000001</v>
      </c>
      <c r="B79" s="68">
        <v>0.49967200000000001</v>
      </c>
      <c r="C79" s="68">
        <v>31.3123</v>
      </c>
      <c r="D79" s="68">
        <v>2</v>
      </c>
      <c r="E79" s="68" t="s">
        <v>488</v>
      </c>
    </row>
    <row r="80" spans="1:5">
      <c r="A80" s="68">
        <v>0.21415400000000001</v>
      </c>
      <c r="B80" s="68">
        <v>0.49953799999999998</v>
      </c>
      <c r="C80" s="68">
        <v>31.722999999999999</v>
      </c>
      <c r="D80" s="68">
        <v>2</v>
      </c>
      <c r="E80" s="68" t="s">
        <v>489</v>
      </c>
    </row>
    <row r="81" spans="1:5">
      <c r="A81" s="68">
        <v>0.214527</v>
      </c>
      <c r="B81" s="68">
        <v>0.49936199999999997</v>
      </c>
      <c r="C81" s="68">
        <v>32.1248</v>
      </c>
      <c r="D81" s="68">
        <v>2</v>
      </c>
      <c r="E81" s="68" t="s">
        <v>490</v>
      </c>
    </row>
    <row r="82" spans="1:5">
      <c r="A82" s="68">
        <v>0.21476000000000001</v>
      </c>
      <c r="B82" s="68">
        <v>0.49915700000000002</v>
      </c>
      <c r="C82" s="68">
        <v>32.5319</v>
      </c>
      <c r="D82" s="68">
        <v>2</v>
      </c>
      <c r="E82" s="68" t="s">
        <v>491</v>
      </c>
    </row>
    <row r="83" spans="1:5">
      <c r="A83" s="68">
        <v>0.21532200000000001</v>
      </c>
      <c r="B83" s="68">
        <v>0.49813200000000002</v>
      </c>
      <c r="C83" s="68">
        <v>32.939</v>
      </c>
      <c r="D83" s="68">
        <v>2</v>
      </c>
      <c r="E83" s="68" t="s">
        <v>492</v>
      </c>
    </row>
    <row r="84" spans="1:5">
      <c r="A84" s="68">
        <v>0.21615000000000001</v>
      </c>
      <c r="B84" s="68">
        <v>0.49702800000000003</v>
      </c>
      <c r="C84" s="68">
        <v>33.3446</v>
      </c>
      <c r="D84" s="68">
        <v>2</v>
      </c>
      <c r="E84" s="68" t="s">
        <v>493</v>
      </c>
    </row>
    <row r="85" spans="1:5">
      <c r="A85" s="68">
        <v>0.21685199999999999</v>
      </c>
      <c r="B85" s="68">
        <v>0.49626399999999998</v>
      </c>
      <c r="C85" s="68">
        <v>33.7515</v>
      </c>
      <c r="D85" s="68">
        <v>2</v>
      </c>
      <c r="E85" s="68" t="s">
        <v>494</v>
      </c>
    </row>
    <row r="86" spans="1:5">
      <c r="A86" s="68">
        <v>0.21764800000000001</v>
      </c>
      <c r="B86" s="68">
        <v>0.49508099999999999</v>
      </c>
      <c r="C86" s="68">
        <v>34.154499999999999</v>
      </c>
      <c r="D86" s="68">
        <v>2</v>
      </c>
      <c r="E86" s="68" t="s">
        <v>495</v>
      </c>
    </row>
    <row r="87" spans="1:5">
      <c r="A87" s="68">
        <v>0.21862300000000001</v>
      </c>
      <c r="B87" s="68">
        <v>0.49418699999999999</v>
      </c>
      <c r="C87" s="68">
        <v>34.5625</v>
      </c>
      <c r="D87" s="68">
        <v>2</v>
      </c>
      <c r="E87" s="68" t="s">
        <v>496</v>
      </c>
    </row>
    <row r="88" spans="1:5">
      <c r="A88" s="68">
        <v>0.21963299999999999</v>
      </c>
      <c r="B88" s="68">
        <v>0.49300300000000002</v>
      </c>
      <c r="C88" s="68">
        <v>34.970500000000001</v>
      </c>
      <c r="D88" s="68">
        <v>2</v>
      </c>
      <c r="E88" s="68" t="s">
        <v>497</v>
      </c>
    </row>
    <row r="89" spans="1:5">
      <c r="A89" s="68">
        <v>0.220494</v>
      </c>
      <c r="B89" s="68">
        <v>0.49177799999999999</v>
      </c>
      <c r="C89" s="68">
        <v>35.374200000000002</v>
      </c>
      <c r="D89" s="68">
        <v>2</v>
      </c>
      <c r="E89" s="68" t="s">
        <v>498</v>
      </c>
    </row>
    <row r="90" spans="1:5">
      <c r="A90" s="68">
        <v>0.22181100000000001</v>
      </c>
      <c r="B90" s="68">
        <v>0.489149</v>
      </c>
      <c r="C90" s="68">
        <v>35.7821</v>
      </c>
      <c r="D90" s="68">
        <v>2</v>
      </c>
      <c r="E90" s="68" t="s">
        <v>499</v>
      </c>
    </row>
    <row r="91" spans="1:5">
      <c r="A91" s="68">
        <v>0.223389</v>
      </c>
      <c r="B91" s="68">
        <v>0.48588700000000001</v>
      </c>
      <c r="C91" s="68">
        <v>36.186</v>
      </c>
      <c r="D91" s="68">
        <v>2</v>
      </c>
      <c r="E91" s="68" t="s">
        <v>500</v>
      </c>
    </row>
    <row r="92" spans="1:5">
      <c r="A92" s="68">
        <v>0.22508700000000001</v>
      </c>
      <c r="B92" s="68">
        <v>0.48198999999999997</v>
      </c>
      <c r="C92" s="68">
        <v>36.5929</v>
      </c>
      <c r="D92" s="68">
        <v>2</v>
      </c>
      <c r="E92" s="68" t="s">
        <v>501</v>
      </c>
    </row>
    <row r="93" spans="1:5">
      <c r="A93" s="68">
        <v>0.22729099999999999</v>
      </c>
      <c r="B93" s="68">
        <v>0.476497</v>
      </c>
      <c r="C93" s="68">
        <v>37.000799999999998</v>
      </c>
      <c r="D93" s="68">
        <v>2</v>
      </c>
      <c r="E93" s="68" t="s">
        <v>502</v>
      </c>
    </row>
    <row r="94" spans="1:5">
      <c r="A94" s="68">
        <v>0.229578</v>
      </c>
      <c r="B94" s="68">
        <v>0.47044799999999998</v>
      </c>
      <c r="C94" s="68">
        <v>37.405700000000003</v>
      </c>
      <c r="D94" s="68">
        <v>2</v>
      </c>
      <c r="E94" s="68" t="s">
        <v>503</v>
      </c>
    </row>
    <row r="95" spans="1:5">
      <c r="A95" s="68">
        <v>0.23198299999999999</v>
      </c>
      <c r="B95" s="68">
        <v>0.46441300000000002</v>
      </c>
      <c r="C95" s="68">
        <v>37.809899999999999</v>
      </c>
      <c r="D95" s="68">
        <v>2</v>
      </c>
      <c r="E95" s="68" t="s">
        <v>504</v>
      </c>
    </row>
    <row r="96" spans="1:5">
      <c r="A96" s="68">
        <v>0.23447399999999999</v>
      </c>
      <c r="B96" s="68">
        <v>0.45878000000000002</v>
      </c>
      <c r="C96" s="68">
        <v>38.221499999999999</v>
      </c>
      <c r="D96" s="68">
        <v>2</v>
      </c>
      <c r="E96" s="68" t="s">
        <v>505</v>
      </c>
    </row>
    <row r="97" spans="1:5">
      <c r="A97" s="68">
        <v>0.236683</v>
      </c>
      <c r="B97" s="68">
        <v>0.45443299999999998</v>
      </c>
      <c r="C97" s="68">
        <v>38.628500000000003</v>
      </c>
      <c r="D97" s="68">
        <v>2</v>
      </c>
      <c r="E97" s="68" t="s">
        <v>506</v>
      </c>
    </row>
    <row r="98" spans="1:5">
      <c r="A98" s="68">
        <v>0.23867099999999999</v>
      </c>
      <c r="B98" s="68">
        <v>0.45022000000000001</v>
      </c>
      <c r="C98" s="68">
        <v>39.033299999999997</v>
      </c>
      <c r="D98" s="68">
        <v>2</v>
      </c>
      <c r="E98" s="68" t="s">
        <v>507</v>
      </c>
    </row>
    <row r="99" spans="1:5">
      <c r="A99" s="68">
        <v>0.240317</v>
      </c>
      <c r="B99" s="68">
        <v>0.446932</v>
      </c>
      <c r="C99" s="68">
        <v>39.437399999999997</v>
      </c>
      <c r="D99" s="68">
        <v>2</v>
      </c>
      <c r="E99" s="68" t="s">
        <v>508</v>
      </c>
    </row>
    <row r="100" spans="1:5">
      <c r="A100" s="68">
        <v>0.24159700000000001</v>
      </c>
      <c r="B100" s="68">
        <v>0.44415500000000002</v>
      </c>
      <c r="C100" s="68">
        <v>39.842399999999998</v>
      </c>
      <c r="D100" s="68">
        <v>2</v>
      </c>
      <c r="E100" s="68" t="s">
        <v>509</v>
      </c>
    </row>
    <row r="101" spans="1:5">
      <c r="A101" s="68">
        <v>0.242345</v>
      </c>
      <c r="B101" s="68">
        <v>0.44185000000000002</v>
      </c>
      <c r="C101" s="68">
        <v>40.252200000000002</v>
      </c>
      <c r="D101" s="68">
        <v>2</v>
      </c>
      <c r="E101" s="68" t="s">
        <v>510</v>
      </c>
    </row>
    <row r="102" spans="1:5">
      <c r="A102" s="68">
        <v>0.24290800000000001</v>
      </c>
      <c r="B102" s="68">
        <v>0.44017499999999998</v>
      </c>
      <c r="C102" s="68">
        <v>40.658999999999999</v>
      </c>
      <c r="D102" s="68">
        <v>2</v>
      </c>
      <c r="E102" s="68" t="s">
        <v>511</v>
      </c>
    </row>
    <row r="103" spans="1:5">
      <c r="A103" s="68">
        <v>0.24331900000000001</v>
      </c>
      <c r="B103" s="68">
        <v>0.43856299999999998</v>
      </c>
      <c r="C103" s="68">
        <v>41.064</v>
      </c>
      <c r="D103" s="68">
        <v>2</v>
      </c>
      <c r="E103" s="68" t="s">
        <v>512</v>
      </c>
    </row>
    <row r="104" spans="1:5">
      <c r="A104" s="68">
        <v>0.24372099999999999</v>
      </c>
      <c r="B104" s="68">
        <v>0.43708599999999997</v>
      </c>
      <c r="C104" s="68">
        <v>41.470300000000002</v>
      </c>
      <c r="D104" s="68">
        <v>2</v>
      </c>
      <c r="E104" s="68" t="s">
        <v>513</v>
      </c>
    </row>
    <row r="105" spans="1:5">
      <c r="A105" s="68">
        <v>0.24409700000000001</v>
      </c>
      <c r="B105" s="68">
        <v>0.43568899999999999</v>
      </c>
      <c r="C105" s="68">
        <v>41.872900000000001</v>
      </c>
      <c r="D105" s="68">
        <v>2</v>
      </c>
      <c r="E105" s="68" t="s">
        <v>514</v>
      </c>
    </row>
    <row r="106" spans="1:5">
      <c r="A106" s="68">
        <v>0.24438599999999999</v>
      </c>
      <c r="B106" s="68">
        <v>0.434527</v>
      </c>
      <c r="C106" s="68">
        <v>42.282699999999998</v>
      </c>
      <c r="D106" s="68">
        <v>2</v>
      </c>
      <c r="E106" s="68" t="s">
        <v>515</v>
      </c>
    </row>
    <row r="107" spans="1:5">
      <c r="A107" s="68">
        <v>0.24426700000000001</v>
      </c>
      <c r="B107" s="68">
        <v>0.43382199999999999</v>
      </c>
      <c r="C107" s="68">
        <v>42.690600000000003</v>
      </c>
      <c r="D107" s="68">
        <v>2</v>
      </c>
      <c r="E107" s="68" t="s">
        <v>516</v>
      </c>
    </row>
    <row r="108" spans="1:5">
      <c r="A108" s="68">
        <v>0.24374100000000001</v>
      </c>
      <c r="B108" s="68">
        <v>0.43341000000000002</v>
      </c>
      <c r="C108" s="68">
        <v>43.094499999999996</v>
      </c>
      <c r="D108" s="68">
        <v>2</v>
      </c>
      <c r="E108" s="68" t="s">
        <v>517</v>
      </c>
    </row>
    <row r="109" spans="1:5">
      <c r="A109" s="68">
        <v>0.24301900000000001</v>
      </c>
      <c r="B109" s="68">
        <v>0.43304799999999999</v>
      </c>
      <c r="C109" s="68">
        <v>43.500399999999999</v>
      </c>
      <c r="D109" s="68">
        <v>2</v>
      </c>
      <c r="E109" s="68" t="s">
        <v>518</v>
      </c>
    </row>
    <row r="110" spans="1:5">
      <c r="A110" s="68">
        <v>0.24226300000000001</v>
      </c>
      <c r="B110" s="68">
        <v>0.43251499999999998</v>
      </c>
      <c r="C110" s="68">
        <v>43.9054</v>
      </c>
      <c r="D110" s="68">
        <v>2</v>
      </c>
      <c r="E110" s="68" t="s">
        <v>519</v>
      </c>
    </row>
    <row r="111" spans="1:5">
      <c r="A111" s="68">
        <v>0.24135300000000001</v>
      </c>
      <c r="B111" s="68">
        <v>0.43229699999999999</v>
      </c>
      <c r="C111" s="68">
        <v>44.3123</v>
      </c>
      <c r="D111" s="68">
        <v>2</v>
      </c>
      <c r="E111" s="68" t="s">
        <v>520</v>
      </c>
    </row>
    <row r="112" spans="1:5">
      <c r="A112" s="68">
        <v>0.24030699999999999</v>
      </c>
      <c r="B112" s="68">
        <v>0.431564</v>
      </c>
      <c r="C112" s="68">
        <v>44.720700000000001</v>
      </c>
      <c r="D112" s="68">
        <v>2</v>
      </c>
      <c r="E112" s="68" t="s">
        <v>521</v>
      </c>
    </row>
    <row r="113" spans="1:5">
      <c r="A113" s="68">
        <v>0.2389</v>
      </c>
      <c r="B113" s="68">
        <v>0.430531</v>
      </c>
      <c r="C113" s="68">
        <v>45.125100000000003</v>
      </c>
      <c r="D113" s="68">
        <v>2</v>
      </c>
      <c r="E113" s="68" t="s">
        <v>522</v>
      </c>
    </row>
    <row r="114" spans="1:5">
      <c r="A114" s="68">
        <v>0.23740600000000001</v>
      </c>
      <c r="B114" s="68">
        <v>0.429647</v>
      </c>
      <c r="C114" s="68">
        <v>45.531999999999996</v>
      </c>
      <c r="D114" s="68">
        <v>2</v>
      </c>
      <c r="E114" s="68" t="s">
        <v>523</v>
      </c>
    </row>
    <row r="115" spans="1:5">
      <c r="A115" s="68">
        <v>0.235511</v>
      </c>
      <c r="B115" s="68">
        <v>0.42967300000000003</v>
      </c>
      <c r="C115" s="68">
        <v>45.933900000000001</v>
      </c>
      <c r="D115" s="68">
        <v>2</v>
      </c>
      <c r="E115" s="68" t="s">
        <v>524</v>
      </c>
    </row>
    <row r="116" spans="1:5">
      <c r="A116" s="68">
        <v>0.23319200000000001</v>
      </c>
      <c r="B116" s="68">
        <v>0.43059500000000001</v>
      </c>
      <c r="C116" s="68">
        <v>46.344799999999999</v>
      </c>
      <c r="D116" s="68">
        <v>2</v>
      </c>
      <c r="E116" s="68" t="s">
        <v>525</v>
      </c>
    </row>
    <row r="117" spans="1:5">
      <c r="A117" s="68">
        <v>0.23049700000000001</v>
      </c>
      <c r="B117" s="68">
        <v>0.43282399999999999</v>
      </c>
      <c r="C117" s="68">
        <v>46.748600000000003</v>
      </c>
      <c r="D117" s="68">
        <v>2</v>
      </c>
      <c r="E117" s="68" t="s">
        <v>526</v>
      </c>
    </row>
    <row r="118" spans="1:5">
      <c r="A118" s="68">
        <v>0.22702700000000001</v>
      </c>
      <c r="B118" s="68">
        <v>0.43663200000000002</v>
      </c>
      <c r="C118" s="68">
        <v>47.156599999999997</v>
      </c>
      <c r="D118" s="68">
        <v>2</v>
      </c>
      <c r="E118" s="68" t="s">
        <v>527</v>
      </c>
    </row>
    <row r="119" spans="1:5">
      <c r="A119" s="68">
        <v>0.22309499999999999</v>
      </c>
      <c r="B119" s="68">
        <v>0.44214700000000001</v>
      </c>
      <c r="C119" s="68">
        <v>47.562600000000003</v>
      </c>
      <c r="D119" s="68">
        <v>2</v>
      </c>
      <c r="E119" s="68" t="s">
        <v>528</v>
      </c>
    </row>
    <row r="120" spans="1:5">
      <c r="A120" s="68">
        <v>0.21901899999999999</v>
      </c>
      <c r="B120" s="68">
        <v>0.44872000000000001</v>
      </c>
      <c r="C120" s="68">
        <v>47.969799999999999</v>
      </c>
      <c r="D120" s="68">
        <v>2</v>
      </c>
      <c r="E120" s="68" t="s">
        <v>529</v>
      </c>
    </row>
    <row r="121" spans="1:5">
      <c r="A121" s="68">
        <v>0.214951</v>
      </c>
      <c r="B121" s="68">
        <v>0.45580399999999999</v>
      </c>
      <c r="C121" s="68">
        <v>48.3765</v>
      </c>
      <c r="D121" s="68">
        <v>2</v>
      </c>
      <c r="E121" s="68" t="s">
        <v>530</v>
      </c>
    </row>
    <row r="122" spans="1:5">
      <c r="A122" s="68">
        <v>0.21074699999999999</v>
      </c>
      <c r="B122" s="68">
        <v>0.46241599999999999</v>
      </c>
      <c r="C122" s="68">
        <v>48.783299999999997</v>
      </c>
      <c r="D122" s="68">
        <v>2</v>
      </c>
      <c r="E122" s="68" t="s">
        <v>531</v>
      </c>
    </row>
    <row r="123" spans="1:5">
      <c r="A123" s="68">
        <v>0.20636299999999999</v>
      </c>
      <c r="B123" s="68">
        <v>0.47043699999999999</v>
      </c>
      <c r="C123" s="68">
        <v>49.190300000000001</v>
      </c>
      <c r="D123" s="68">
        <v>2</v>
      </c>
      <c r="E123" s="68" t="s">
        <v>532</v>
      </c>
    </row>
    <row r="124" spans="1:5">
      <c r="A124" s="68">
        <v>0.20239699999999999</v>
      </c>
      <c r="B124" s="68">
        <v>0.47761399999999998</v>
      </c>
      <c r="C124" s="68">
        <v>49.592100000000002</v>
      </c>
      <c r="D124" s="68">
        <v>2</v>
      </c>
      <c r="E124" s="68" t="s">
        <v>533</v>
      </c>
    </row>
    <row r="125" spans="1:5">
      <c r="A125" s="68">
        <v>0.19861699999999999</v>
      </c>
      <c r="B125" s="68">
        <v>0.48448200000000002</v>
      </c>
      <c r="C125" s="68">
        <v>50.000399999999999</v>
      </c>
      <c r="D125" s="68">
        <v>2</v>
      </c>
      <c r="E125" s="68" t="s">
        <v>534</v>
      </c>
    </row>
    <row r="126" spans="1:5">
      <c r="A126" s="68">
        <v>0.19652500000000001</v>
      </c>
      <c r="B126" s="68">
        <v>0.48988199999999998</v>
      </c>
      <c r="C126" s="68">
        <v>50.406999999999996</v>
      </c>
      <c r="D126" s="68">
        <v>2</v>
      </c>
      <c r="E126" s="68" t="s">
        <v>535</v>
      </c>
    </row>
    <row r="127" spans="1:5">
      <c r="A127" s="68">
        <v>0.19450000000000001</v>
      </c>
      <c r="B127" s="68">
        <v>0.494647</v>
      </c>
      <c r="C127" s="68">
        <v>50.811900000000001</v>
      </c>
      <c r="D127" s="68">
        <v>2</v>
      </c>
      <c r="E127" s="68" t="s">
        <v>536</v>
      </c>
    </row>
    <row r="128" spans="1:5">
      <c r="A128" s="68">
        <v>0.19251199999999999</v>
      </c>
      <c r="B128" s="68">
        <v>0.49884400000000001</v>
      </c>
      <c r="C128" s="68">
        <v>51.220999999999997</v>
      </c>
      <c r="D128" s="68">
        <v>2</v>
      </c>
      <c r="E128" s="68" t="s">
        <v>537</v>
      </c>
    </row>
    <row r="129" spans="1:5">
      <c r="A129" s="68">
        <v>0.19040799999999999</v>
      </c>
      <c r="B129" s="68">
        <v>0.50322199999999995</v>
      </c>
      <c r="C129" s="68">
        <v>51.625700000000002</v>
      </c>
      <c r="D129" s="68">
        <v>2</v>
      </c>
      <c r="E129" s="68" t="s">
        <v>538</v>
      </c>
    </row>
    <row r="130" spans="1:5">
      <c r="A130" s="68">
        <v>0.18809000000000001</v>
      </c>
      <c r="B130" s="68">
        <v>0.50846100000000005</v>
      </c>
      <c r="C130" s="68">
        <v>52.028599999999997</v>
      </c>
      <c r="D130" s="68">
        <v>2</v>
      </c>
      <c r="E130" s="68" t="s">
        <v>539</v>
      </c>
    </row>
    <row r="131" spans="1:5">
      <c r="A131" s="68">
        <v>0.18573000000000001</v>
      </c>
      <c r="B131" s="68">
        <v>0.513652</v>
      </c>
      <c r="C131" s="68">
        <v>52.436999999999998</v>
      </c>
      <c r="D131" s="68">
        <v>2</v>
      </c>
      <c r="E131" s="68" t="s">
        <v>540</v>
      </c>
    </row>
    <row r="132" spans="1:5">
      <c r="A132" s="68">
        <v>0.18373999999999999</v>
      </c>
      <c r="B132" s="68">
        <v>0.51703600000000005</v>
      </c>
      <c r="C132" s="68">
        <v>52.847299999999997</v>
      </c>
      <c r="D132" s="68">
        <v>2</v>
      </c>
      <c r="E132" s="68" t="s">
        <v>541</v>
      </c>
    </row>
    <row r="133" spans="1:5">
      <c r="A133" s="68">
        <v>0.18201000000000001</v>
      </c>
      <c r="B133" s="68">
        <v>0.51951000000000003</v>
      </c>
      <c r="C133" s="68">
        <v>53.251399999999997</v>
      </c>
      <c r="D133" s="68">
        <v>2</v>
      </c>
      <c r="E133" s="68" t="s">
        <v>542</v>
      </c>
    </row>
    <row r="134" spans="1:5">
      <c r="A134" s="68">
        <v>0.180343</v>
      </c>
      <c r="B134" s="68">
        <v>0.52137299999999998</v>
      </c>
      <c r="C134" s="68">
        <v>53.656399999999998</v>
      </c>
      <c r="D134" s="68">
        <v>2</v>
      </c>
      <c r="E134" s="68" t="s">
        <v>543</v>
      </c>
    </row>
    <row r="135" spans="1:5">
      <c r="A135" s="68">
        <v>0.17863599999999999</v>
      </c>
      <c r="B135" s="68">
        <v>0.52340100000000001</v>
      </c>
      <c r="C135" s="68">
        <v>54.061199999999999</v>
      </c>
      <c r="D135" s="68">
        <v>2</v>
      </c>
      <c r="E135" s="68" t="s">
        <v>544</v>
      </c>
    </row>
    <row r="136" spans="1:5">
      <c r="A136" s="68">
        <v>0.176708</v>
      </c>
      <c r="B136" s="68">
        <v>0.52581</v>
      </c>
      <c r="C136" s="68">
        <v>54.467599999999997</v>
      </c>
      <c r="D136" s="68">
        <v>2</v>
      </c>
      <c r="E136" s="68" t="s">
        <v>545</v>
      </c>
    </row>
    <row r="137" spans="1:5">
      <c r="A137" s="68">
        <v>0.17468400000000001</v>
      </c>
      <c r="B137" s="68">
        <v>0.52841800000000005</v>
      </c>
      <c r="C137" s="68">
        <v>54.876100000000001</v>
      </c>
      <c r="D137" s="68">
        <v>2</v>
      </c>
      <c r="E137" s="68" t="s">
        <v>546</v>
      </c>
    </row>
    <row r="138" spans="1:5">
      <c r="A138" s="68">
        <v>0.173179</v>
      </c>
      <c r="B138" s="68">
        <v>0.53048600000000001</v>
      </c>
      <c r="C138" s="68">
        <v>55.283900000000003</v>
      </c>
      <c r="D138" s="68">
        <v>2</v>
      </c>
      <c r="E138" s="68" t="s">
        <v>547</v>
      </c>
    </row>
    <row r="139" spans="1:5">
      <c r="A139" s="68">
        <v>0.17150599999999999</v>
      </c>
      <c r="B139" s="68">
        <v>0.53311900000000001</v>
      </c>
      <c r="C139" s="68">
        <v>55.687100000000001</v>
      </c>
      <c r="D139" s="68">
        <v>2</v>
      </c>
      <c r="E139" s="68" t="s">
        <v>548</v>
      </c>
    </row>
    <row r="140" spans="1:5">
      <c r="A140" s="68">
        <v>0.16933200000000001</v>
      </c>
      <c r="B140" s="68">
        <v>0.53705800000000004</v>
      </c>
      <c r="C140" s="68">
        <v>56.093699999999998</v>
      </c>
      <c r="D140" s="68">
        <v>2</v>
      </c>
      <c r="E140" s="68" t="s">
        <v>549</v>
      </c>
    </row>
    <row r="141" spans="1:5">
      <c r="A141" s="68">
        <v>0.16727400000000001</v>
      </c>
      <c r="B141" s="68">
        <v>0.54015899999999994</v>
      </c>
      <c r="C141" s="68">
        <v>56.499200000000002</v>
      </c>
      <c r="D141" s="68">
        <v>2</v>
      </c>
      <c r="E141" s="68" t="s">
        <v>550</v>
      </c>
    </row>
    <row r="142" spans="1:5">
      <c r="A142" s="68">
        <v>0.16505</v>
      </c>
      <c r="B142" s="68">
        <v>0.54271499999999995</v>
      </c>
      <c r="C142" s="68">
        <v>56.9056</v>
      </c>
      <c r="D142" s="68">
        <v>2</v>
      </c>
      <c r="E142" s="68" t="s">
        <v>551</v>
      </c>
    </row>
    <row r="143" spans="1:5">
      <c r="A143" s="68">
        <v>0.16351599999999999</v>
      </c>
      <c r="B143" s="68">
        <v>0.54496699999999998</v>
      </c>
      <c r="C143" s="68">
        <v>57.3155</v>
      </c>
      <c r="D143" s="68">
        <v>2</v>
      </c>
      <c r="E143" s="68" t="s">
        <v>552</v>
      </c>
    </row>
    <row r="144" spans="1:5">
      <c r="A144" s="68">
        <v>0.16209999999999999</v>
      </c>
      <c r="B144" s="68">
        <v>0.547601</v>
      </c>
      <c r="C144" s="68">
        <v>57.717399999999998</v>
      </c>
      <c r="D144" s="68">
        <v>2</v>
      </c>
      <c r="E144" s="68" t="s">
        <v>553</v>
      </c>
    </row>
    <row r="145" spans="1:5">
      <c r="A145" s="68">
        <v>0.16028899999999999</v>
      </c>
      <c r="B145" s="68">
        <v>0.5514</v>
      </c>
      <c r="C145" s="68">
        <v>58.124400000000001</v>
      </c>
      <c r="D145" s="68">
        <v>2</v>
      </c>
      <c r="E145" s="68" t="s">
        <v>554</v>
      </c>
    </row>
    <row r="146" spans="1:5">
      <c r="A146" s="68">
        <v>0.15787499999999999</v>
      </c>
      <c r="B146" s="68">
        <v>0.55837000000000003</v>
      </c>
      <c r="C146" s="68">
        <v>58.532299999999999</v>
      </c>
      <c r="D146" s="68">
        <v>2</v>
      </c>
      <c r="E146" s="68" t="s">
        <v>555</v>
      </c>
    </row>
    <row r="147" spans="1:5">
      <c r="A147" s="68">
        <v>0.15694</v>
      </c>
      <c r="B147" s="68">
        <v>0.56315000000000004</v>
      </c>
      <c r="C147" s="68">
        <v>58.938099999999999</v>
      </c>
      <c r="D147" s="68">
        <v>2</v>
      </c>
      <c r="E147" s="68" t="s">
        <v>556</v>
      </c>
    </row>
    <row r="148" spans="1:5">
      <c r="A148" s="68">
        <v>0.15626100000000001</v>
      </c>
      <c r="B148" s="68">
        <v>0.56635999999999997</v>
      </c>
      <c r="C148" s="68">
        <v>59.346200000000003</v>
      </c>
      <c r="D148" s="68">
        <v>2</v>
      </c>
      <c r="E148" s="68" t="s">
        <v>557</v>
      </c>
    </row>
    <row r="149" spans="1:5">
      <c r="A149" s="68">
        <v>0.154304</v>
      </c>
      <c r="B149" s="68">
        <v>0.57177199999999995</v>
      </c>
      <c r="C149" s="68">
        <v>59.752000000000002</v>
      </c>
      <c r="D149" s="68">
        <v>2</v>
      </c>
      <c r="E149" s="68" t="s">
        <v>558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559</v>
      </c>
      <c r="B1" s="66" t="s">
        <v>560</v>
      </c>
      <c r="C1" s="66" t="s">
        <v>562</v>
      </c>
      <c r="D1" s="66" t="s">
        <v>563</v>
      </c>
      <c r="E1" s="66" t="s">
        <v>564</v>
      </c>
      <c r="F1" s="66" t="s">
        <v>565</v>
      </c>
      <c r="G1" s="66" t="s">
        <v>349</v>
      </c>
      <c r="H1" s="66" t="s">
        <v>566</v>
      </c>
      <c r="I1" s="66" t="s">
        <v>567</v>
      </c>
      <c r="J1" s="66" t="s">
        <v>568</v>
      </c>
      <c r="K1" s="66" t="s">
        <v>569</v>
      </c>
      <c r="L1" s="66" t="s">
        <v>570</v>
      </c>
      <c r="M1" s="66" t="s">
        <v>571</v>
      </c>
      <c r="N1" s="66"/>
    </row>
    <row r="2" spans="1:14">
      <c r="A2" s="75">
        <v>43607.404270833336</v>
      </c>
      <c r="B2" s="66" t="s">
        <v>561</v>
      </c>
      <c r="C2" s="66"/>
      <c r="D2" s="66"/>
      <c r="E2" s="66">
        <v>4.9234099999999996</v>
      </c>
      <c r="F2" s="66">
        <v>1.0775699999999999</v>
      </c>
      <c r="G2" s="66">
        <v>0.52452600000000005</v>
      </c>
      <c r="H2" s="66">
        <v>0</v>
      </c>
      <c r="I2" s="66">
        <v>53172</v>
      </c>
      <c r="J2" s="66">
        <v>67</v>
      </c>
      <c r="K2" s="66">
        <v>67</v>
      </c>
      <c r="L2" s="66">
        <v>0</v>
      </c>
      <c r="M2" s="66" t="s">
        <v>572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2019-05-22T01:43:38Z</cp:lastPrinted>
  <dcterms:created xsi:type="dcterms:W3CDTF">2010-10-29T12:53:05Z</dcterms:created>
  <dcterms:modified xsi:type="dcterms:W3CDTF">2019-05-22T01:43:58Z</dcterms:modified>
</cp:coreProperties>
</file>