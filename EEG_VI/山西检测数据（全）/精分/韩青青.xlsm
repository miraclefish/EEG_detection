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<sst xmlns="http://schemas.openxmlformats.org/spreadsheetml/2006/main" count="628" uniqueCount="497">
  <si>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</si>
  <si>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</si>
  <si>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</si>
  <si>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</si>
  <si>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</si>
  <si>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</si>
  <si>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</si>
  <si>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</si>
  <si>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</si>
  <si>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</si>
  <si>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</si>
  <si>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</si>
  <si>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</si>
  <si>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</si>
  <si>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</si>
  <si>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</si>
  <si>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</si>
  <si>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</si>
  <si>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</si>
  <si>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</si>
  <si>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</si>
  <si>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</si>
  <si>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</si>
  <si>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</si>
  <si>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</si>
  <si>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</si>
  <si>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</si>
  <si>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</si>
  <si>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</si>
  <si>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</si>
  <si>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</si>
  <si>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</si>
  <si>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</si>
  <si>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</si>
  <si>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</si>
  <si>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</si>
  <si>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</si>
  <si>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</si>
  <si>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</si>
  <si>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</si>
  <si>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</si>
  <si>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</si>
  <si>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</si>
  <si>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</si>
  <si>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</si>
  <si>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</si>
  <si>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</si>
  <si>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</si>
  <si>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</si>
  <si>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</si>
  <si>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</si>
  <si>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</si>
  <si>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</si>
  <si>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</si>
  <si>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</si>
  <si>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</si>
  <si>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</si>
  <si>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</si>
  <si>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</si>
  <si>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</si>
  <si>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</si>
  <si>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</si>
  <si>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</si>
  <si>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</si>
  <si>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</si>
  <si>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</si>
  <si>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</si>
  <si>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</si>
  <si>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</si>
  <si>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</si>
  <si>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</si>
  <si>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</si>
  <si>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</si>
  <si>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</si>
  <si>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</si>
  <si>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</si>
  <si>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</si>
  <si>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</si>
  <si>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</si>
  <si>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</si>
  <si>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</si>
  <si>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</si>
  <si>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</si>
  <si>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</si>
  <si>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</si>
  <si>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</si>
  <si>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</si>
  <si>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</si>
  <si>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</si>
  <si>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</si>
  <si>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</si>
  <si>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</si>
  <si>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</si>
  <si>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</si>
  <si>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</si>
  <si>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</si>
  <si>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</si>
  <si>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</si>
  <si>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</si>
  <si>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</si>
  <si>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</si>
  <si>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</si>
  <si>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</si>
  <si>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</si>
  <si>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</si>
  <si>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</si>
  <si>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</si>
  <si>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</si>
  <si>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</si>
  <si>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</si>
  <si>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</si>
  <si>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</si>
  <si>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</si>
  <si>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</si>
  <si>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</si>
  <si>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</si>
  <si>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</si>
  <si>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</si>
  <si>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</si>
  <si>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</si>
  <si>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</si>
  <si>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</si>
  <si>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</si>
  <si>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</si>
  <si>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</si>
  <si>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</si>
  <si>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</si>
  <si>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</si>
  <si>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</si>
  <si>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</si>
  <si>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</si>
  <si>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</si>
  <si>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</si>
  <si>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</si>
  <si>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</si>
  <si>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</si>
  <si>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</si>
  <si>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</si>
  <si>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</si>
  <si>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</si>
  <si>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</si>
  <si>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</si>
  <si>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</si>
  <si>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</si>
  <si>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</si>
  <si>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</si>
  <si>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</si>
  <si>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</si>
  <si>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</si>
  <si>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</si>
  <si>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</si>
  <si>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</si>
  <si>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</si>
  <si>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</si>
  <si>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</si>
  <si>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</si>
  <si>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</si>
  <si>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</si>
  <si>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</si>
  <si>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</si>
  <si>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</si>
  <si>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</si>
  <si>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</si>
  <si>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</si>
  <si>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</si>
  <si>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</si>
  <si>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</si>
  <si>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</si>
  <si>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</si>
  <si>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</si>
  <si>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</si>
  <si>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</si>
  <si>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</si>
  <si>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</si>
  <si>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</si>
  <si>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</si>
  <si>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</si>
  <si>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</si>
  <si>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</si>
  <si>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</si>
  <si>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</si>
  <si>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</si>
  <si>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</si>
  <si>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</si>
  <si>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</si>
  <si>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</si>
  <si>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</si>
  <si>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</si>
  <si>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</si>
  <si>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</si>
  <si>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</si>
  <si>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</si>
  <si>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</si>
  <si>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</si>
  <si>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</si>
  <si>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</si>
  <si>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</si>
  <si>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</si>
  <si>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</si>
  <si>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</si>
  <si>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</si>
  <si>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</si>
  <si>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</si>
  <si>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</si>
  <si>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</si>
  <si>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</si>
  <si>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</si>
  <si>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</si>
  <si>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</si>
  <si>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</si>
  <si>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</si>
  <si>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</si>
  <si>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</si>
  <si>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</si>
  <si>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</si>
  <si>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</si>
  <si>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</si>
  <si>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</si>
  <si>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</si>
  <si>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</si>
  <si>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</si>
  <si>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</si>
  <si>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</si>
  <si>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</si>
  <si>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</si>
  <si>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</si>
  <si>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</si>
  <si>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</si>
  <si>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</si>
  <si>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</si>
  <si>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</si>
  <si>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</si>
  <si>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</si>
  <si>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</si>
  <si>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</si>
  <si>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</si>
  <si>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</si>
  <si>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</si>
  <si>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</si>
  <si>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</si>
  <si>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</si>
  <si>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</si>
  <si>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</si>
  <si>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</si>
  <si>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</si>
  <si>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</si>
  <si>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</si>
  <si>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</si>
  <si>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</si>
  <si>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</si>
  <si>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</si>
  <si>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</si>
  <si>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</si>
  <si>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</si>
  <si>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</si>
  <si>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</si>
  <si>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</si>
  <si>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</si>
  <si>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</si>
  <si>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</si>
  <si>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</si>
  <si>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</si>
  <si>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</si>
  <si>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</si>
  <si>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</si>
  <si>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</si>
  <si>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</si>
  <si>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</si>
  <si>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</si>
  <si>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</si>
  <si>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</si>
  <si>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</si>
  <si>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</si>
  <si>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</si>
  <si>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</si>
  <si>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</si>
  <si>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</si>
  <si>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</si>
  <si>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</si>
  <si>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</si>
  <si>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</si>
  <si>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</si>
  <si>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</si>
  <si>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</si>
  <si>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</si>
  <si>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</si>
  <si>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</si>
  <si>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</si>
  <si>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</si>
  <si>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</si>
  <si>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</si>
  <si>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</si>
  <si>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</si>
  <si>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</si>
  <si>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</si>
  <si>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</si>
  <si>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</si>
  <si>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</si>
  <si>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</si>
  <si>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</si>
  <si>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</si>
  <si>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</si>
  <si>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</si>
  <si>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</si>
  <si>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</si>
  <si>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</si>
  <si>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</si>
  <si>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</si>
  <si>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</si>
  <si>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</si>
  <si>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</si>
  <si>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</si>
  <si>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</si>
  <si>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</si>
  <si>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</si>
  <si>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</si>
  <si>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</si>
  <si>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</si>
  <si>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</si>
  <si>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</si>
  <si>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</si>
  <si>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</si>
  <si>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</si>
  <si>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</si>
  <si>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</si>
  <si>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</si>
  <si>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</si>
  <si>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</si>
  <si>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</si>
  <si>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</si>
  <si>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</si>
  <si>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</si>
  <si>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</si>
  <si>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</si>
  <si>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</si>
  <si>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</si>
  <si>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</si>
  <si>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</si>
  <si>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</si>
  <si>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</si>
  <si>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</si>
  <si>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</si>
  <si>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</si>
  <si>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</si>
  <si>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</si>
  <si>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</si>
  <si>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</si>
  <si>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</si>
  <si>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</si>
  <si>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</si>
  <si>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</si>
  <si>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</si>
  <si>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</si>
  <si>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</si>
  <si>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</si>
  <si>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</si>
  <si>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</si>
  <si>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</si>
  <si>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</si>
  <si>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</si>
  <si>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</si>
  <si>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</si>
  <si>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</si>
  <si>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</si>
  <si>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</si>
  <si>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</si>
  <si>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</si>
  <si>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</si>
  <si>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</si>
  <si>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</si>
  <si>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</si>
  <si>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</si>
  <si>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</si>
  <si>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</si>
  <si>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</si>
  <si>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</si>
  <si>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</si>
  <si>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</si>
  <si>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</si>
  <si>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</si>
  <si>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</si>
  <si>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</si>
  <si>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</si>
  <si>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</si>
  <si>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</si>
  <si>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</si>
  <si>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</si>
  <si>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</si>
  <si>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</si>
  <si>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</si>
  <si>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</si>
  <si>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</si>
  <si>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</si>
  <si>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</si>
  <si>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</si>
  <si>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</si>
  <si>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</si>
  <si>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</si>
  <si>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</si>
  <si>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</si>
  <si>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</si>
  <si>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</si>
  <si>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</si>
  <si>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</si>
  <si>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</si>
  <si>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</si>
  <si>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</si>
  <si>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</si>
  <si>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</si>
  <si>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[0.379614]</t>
  </si>
  <si>
    <t>1 [0.785567]</t>
  </si>
  <si>
    <t>1 [1.193032]</t>
  </si>
  <si>
    <t>1 [1.599330]</t>
  </si>
  <si>
    <t>1 [2.004231]</t>
  </si>
  <si>
    <t>1 [2.411159]</t>
  </si>
  <si>
    <t>1 [2.817136]</t>
  </si>
  <si>
    <t>1 [3.221948]</t>
  </si>
  <si>
    <t>1 [3.629849]</t>
  </si>
  <si>
    <t>1 [4.034546]</t>
  </si>
  <si>
    <t>1 [4.442927]</t>
  </si>
  <si>
    <t>1 [4.849605]</t>
  </si>
  <si>
    <t>1 [5.251544]</t>
  </si>
  <si>
    <t>1 [5.657871]</t>
  </si>
  <si>
    <t>1 [6.068416]</t>
  </si>
  <si>
    <t>1 [6.475328]</t>
  </si>
  <si>
    <t>1 [6.879174]</t>
  </si>
  <si>
    <t>1 [7.285147]</t>
  </si>
  <si>
    <t>1 [7.691220]</t>
  </si>
  <si>
    <t>1 [8.099016]</t>
  </si>
  <si>
    <t>1 [8.506993]</t>
  </si>
  <si>
    <t>1 [8.910787]</t>
  </si>
  <si>
    <t>1 [9.314749]</t>
  </si>
  <si>
    <t>1 [9.721624]</t>
  </si>
  <si>
    <t>1 [10.128513]</t>
  </si>
  <si>
    <t>1 [10.531403]</t>
  </si>
  <si>
    <t>1 [10.939459]</t>
  </si>
  <si>
    <t>1 [11.346335]</t>
  </si>
  <si>
    <t>1 [11.755165]</t>
  </si>
  <si>
    <t>1 [12.159379]</t>
  </si>
  <si>
    <t>1 [12.566012]</t>
  </si>
  <si>
    <t>1 [12.969114]</t>
  </si>
  <si>
    <t>1 [13.381794]</t>
  </si>
  <si>
    <t>1 [13.781675]</t>
  </si>
  <si>
    <t>1 [14.192897]</t>
  </si>
  <si>
    <t>1 [14.597528]</t>
  </si>
  <si>
    <t>1 [15.003503]</t>
  </si>
  <si>
    <t>2 [15.598902]</t>
  </si>
  <si>
    <t>2 [15.976165]</t>
  </si>
  <si>
    <t>2 [16.349872]</t>
  </si>
  <si>
    <t>2 [16.722908]</t>
  </si>
  <si>
    <t>2 [17.097136]</t>
  </si>
  <si>
    <t>2 [17.503783]</t>
  </si>
  <si>
    <t>2 [17.910856]</t>
  </si>
  <si>
    <t>2 [18.318637]</t>
  </si>
  <si>
    <t>2 [18.722544]</t>
  </si>
  <si>
    <t>2 [19.128676]</t>
  </si>
  <si>
    <t>2 [19.534424]</t>
  </si>
  <si>
    <t>2 [19.945323]</t>
  </si>
  <si>
    <t>2 [20.349276]</t>
  </si>
  <si>
    <t>2 [20.753121]</t>
  </si>
  <si>
    <t>2 [21.160444]</t>
  </si>
  <si>
    <t>2 [21.567942]</t>
  </si>
  <si>
    <t>2 [21.974858]</t>
  </si>
  <si>
    <t>2 [22.378225]</t>
  </si>
  <si>
    <t>2 [22.783745]</t>
  </si>
  <si>
    <t>2 [23.191620]</t>
  </si>
  <si>
    <t>2 [23.597506]</t>
  </si>
  <si>
    <t>2 [24.000448]</t>
  </si>
  <si>
    <t>2 [24.408470]</t>
  </si>
  <si>
    <t>2 [24.817313]</t>
  </si>
  <si>
    <t>2 [25.223225]</t>
  </si>
  <si>
    <t>2 [25.631093]</t>
  </si>
  <si>
    <t>2 [26.035068]</t>
  </si>
  <si>
    <t>2 [26.442161]</t>
  </si>
  <si>
    <t>2 [26.849924]</t>
  </si>
  <si>
    <t>2 [27.255699]</t>
  </si>
  <si>
    <t>2 [27.662634]</t>
  </si>
  <si>
    <t>2 [28.064570]</t>
  </si>
  <si>
    <t>2 [28.471574]</t>
  </si>
  <si>
    <t>2 [28.883208]</t>
  </si>
  <si>
    <t>2 [29.286571]</t>
  </si>
  <si>
    <t>2 [29.689899]</t>
  </si>
  <si>
    <t>2 [30.097259]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</si>
  <si>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</si>
  <si>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</si>
  <si>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</si>
  <si>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</si>
  <si>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</si>
  <si>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</si>
  <si>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</si>
  <si>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</si>
  <si>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</si>
  <si>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</si>
  <si>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</si>
  <si>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</si>
  <si>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</si>
  <si>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韩青青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</si>
</sst>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45.213000000000001</c:v>
                </c:pt>
                <c:pt idx="1">
                  <c:v>29.084</c:v>
                </c:pt>
                <c:pt idx="2">
                  <c:v>24.2986</c:v>
                </c:pt>
                <c:pt idx="3">
                  <c:v>31.8566</c:v>
                </c:pt>
                <c:pt idx="4">
                  <c:v>62.537700000000001</c:v>
                </c:pt>
                <c:pt idx="5">
                  <c:v>78.500200000000007</c:v>
                </c:pt>
                <c:pt idx="6">
                  <c:v>28.845800000000001</c:v>
                </c:pt>
                <c:pt idx="7">
                  <c:v>68.843299999999999</c:v>
                </c:pt>
                <c:pt idx="8">
                  <c:v>22.0458</c:v>
                </c:pt>
                <c:pt idx="9">
                  <c:v>29.133400000000002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0.5062735188031664</c:v>
                </c:pt>
                <c:pt idx="1">
                  <c:v>0.27665280562992217</c:v>
                </c:pt>
                <c:pt idx="2">
                  <c:v>0.21707367556691129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755</c:v>
                </c:pt>
                <c:pt idx="7">
                  <c:v>0</c:v>
                </c:pt>
                <c:pt idx="8">
                  <c:v>781</c:v>
                </c:pt>
                <c:pt idx="9">
                  <c:v>0</c:v>
                </c:pt>
                <c:pt idx="10">
                  <c:v>0</c:v>
                </c:pt>
                <c:pt idx="11">
                  <c:v>1354</c:v>
                </c:pt>
                <c:pt idx="12">
                  <c:v>0</c:v>
                </c:pt>
                <c:pt idx="13">
                  <c:v>2733</c:v>
                </c:pt>
                <c:pt idx="14">
                  <c:v>0</c:v>
                </c:pt>
                <c:pt idx="15">
                  <c:v>0</c:v>
                </c:pt>
                <c:pt idx="16">
                  <c:v>7661</c:v>
                </c:pt>
                <c:pt idx="17">
                  <c:v>0</c:v>
                </c:pt>
                <c:pt idx="18">
                  <c:v>0</c:v>
                </c:pt>
                <c:pt idx="19">
                  <c:v>10636</c:v>
                </c:pt>
                <c:pt idx="20">
                  <c:v>0</c:v>
                </c:pt>
                <c:pt idx="21">
                  <c:v>19187</c:v>
                </c:pt>
                <c:pt idx="22">
                  <c:v>0</c:v>
                </c:pt>
                <c:pt idx="23">
                  <c:v>0</c:v>
                </c:pt>
                <c:pt idx="24">
                  <c:v>30601</c:v>
                </c:pt>
                <c:pt idx="25">
                  <c:v>0</c:v>
                </c:pt>
                <c:pt idx="26">
                  <c:v>29524</c:v>
                </c:pt>
                <c:pt idx="27">
                  <c:v>0</c:v>
                </c:pt>
                <c:pt idx="28">
                  <c:v>0</c:v>
                </c:pt>
                <c:pt idx="29">
                  <c:v>27692</c:v>
                </c:pt>
                <c:pt idx="30">
                  <c:v>0</c:v>
                </c:pt>
                <c:pt idx="31">
                  <c:v>35126</c:v>
                </c:pt>
                <c:pt idx="32">
                  <c:v>0</c:v>
                </c:pt>
                <c:pt idx="33">
                  <c:v>0</c:v>
                </c:pt>
                <c:pt idx="34">
                  <c:v>39936</c:v>
                </c:pt>
                <c:pt idx="35">
                  <c:v>0</c:v>
                </c:pt>
                <c:pt idx="36">
                  <c:v>0</c:v>
                </c:pt>
                <c:pt idx="37">
                  <c:v>47346</c:v>
                </c:pt>
                <c:pt idx="38">
                  <c:v>0</c:v>
                </c:pt>
                <c:pt idx="39">
                  <c:v>43379</c:v>
                </c:pt>
                <c:pt idx="40">
                  <c:v>0</c:v>
                </c:pt>
                <c:pt idx="41">
                  <c:v>0</c:v>
                </c:pt>
                <c:pt idx="42">
                  <c:v>43122</c:v>
                </c:pt>
                <c:pt idx="43">
                  <c:v>0</c:v>
                </c:pt>
                <c:pt idx="44">
                  <c:v>38811</c:v>
                </c:pt>
                <c:pt idx="45">
                  <c:v>0</c:v>
                </c:pt>
                <c:pt idx="46">
                  <c:v>0</c:v>
                </c:pt>
                <c:pt idx="47">
                  <c:v>37015</c:v>
                </c:pt>
                <c:pt idx="48">
                  <c:v>0</c:v>
                </c:pt>
                <c:pt idx="49">
                  <c:v>37248</c:v>
                </c:pt>
                <c:pt idx="50">
                  <c:v>0</c:v>
                </c:pt>
                <c:pt idx="51">
                  <c:v>0</c:v>
                </c:pt>
                <c:pt idx="52">
                  <c:v>38791</c:v>
                </c:pt>
                <c:pt idx="53">
                  <c:v>0</c:v>
                </c:pt>
                <c:pt idx="54">
                  <c:v>0</c:v>
                </c:pt>
                <c:pt idx="55">
                  <c:v>39219</c:v>
                </c:pt>
                <c:pt idx="56">
                  <c:v>0</c:v>
                </c:pt>
                <c:pt idx="57">
                  <c:v>44066</c:v>
                </c:pt>
                <c:pt idx="58">
                  <c:v>0</c:v>
                </c:pt>
                <c:pt idx="59">
                  <c:v>0</c:v>
                </c:pt>
                <c:pt idx="60">
                  <c:v>45181</c:v>
                </c:pt>
                <c:pt idx="61">
                  <c:v>0</c:v>
                </c:pt>
                <c:pt idx="62">
                  <c:v>48863</c:v>
                </c:pt>
                <c:pt idx="63">
                  <c:v>0</c:v>
                </c:pt>
                <c:pt idx="64">
                  <c:v>0</c:v>
                </c:pt>
                <c:pt idx="65">
                  <c:v>48143</c:v>
                </c:pt>
                <c:pt idx="66">
                  <c:v>0</c:v>
                </c:pt>
                <c:pt idx="67">
                  <c:v>53396</c:v>
                </c:pt>
                <c:pt idx="68">
                  <c:v>0</c:v>
                </c:pt>
                <c:pt idx="69">
                  <c:v>0</c:v>
                </c:pt>
                <c:pt idx="70">
                  <c:v>57478</c:v>
                </c:pt>
                <c:pt idx="71">
                  <c:v>0</c:v>
                </c:pt>
                <c:pt idx="72">
                  <c:v>0</c:v>
                </c:pt>
                <c:pt idx="73">
                  <c:v>54552</c:v>
                </c:pt>
                <c:pt idx="74">
                  <c:v>0</c:v>
                </c:pt>
                <c:pt idx="75">
                  <c:v>54059</c:v>
                </c:pt>
                <c:pt idx="76">
                  <c:v>0</c:v>
                </c:pt>
                <c:pt idx="77">
                  <c:v>0</c:v>
                </c:pt>
                <c:pt idx="78">
                  <c:v>56894</c:v>
                </c:pt>
                <c:pt idx="79">
                  <c:v>0</c:v>
                </c:pt>
                <c:pt idx="80">
                  <c:v>57609</c:v>
                </c:pt>
                <c:pt idx="81">
                  <c:v>0</c:v>
                </c:pt>
                <c:pt idx="82">
                  <c:v>0</c:v>
                </c:pt>
                <c:pt idx="83">
                  <c:v>61252</c:v>
                </c:pt>
                <c:pt idx="84">
                  <c:v>0</c:v>
                </c:pt>
                <c:pt idx="85">
                  <c:v>0</c:v>
                </c:pt>
                <c:pt idx="86">
                  <c:v>60658</c:v>
                </c:pt>
                <c:pt idx="87">
                  <c:v>0</c:v>
                </c:pt>
                <c:pt idx="88">
                  <c:v>62497</c:v>
                </c:pt>
                <c:pt idx="89">
                  <c:v>0</c:v>
                </c:pt>
                <c:pt idx="90">
                  <c:v>0</c:v>
                </c:pt>
                <c:pt idx="91">
                  <c:v>63384</c:v>
                </c:pt>
                <c:pt idx="92">
                  <c:v>0</c:v>
                </c:pt>
                <c:pt idx="93">
                  <c:v>61843</c:v>
                </c:pt>
                <c:pt idx="94">
                  <c:v>0</c:v>
                </c:pt>
                <c:pt idx="95">
                  <c:v>0</c:v>
                </c:pt>
                <c:pt idx="96">
                  <c:v>68725</c:v>
                </c:pt>
                <c:pt idx="97">
                  <c:v>0</c:v>
                </c:pt>
                <c:pt idx="98">
                  <c:v>69205</c:v>
                </c:pt>
                <c:pt idx="99">
                  <c:v>0</c:v>
                </c:pt>
                <c:pt idx="100">
                  <c:v>0</c:v>
                </c:pt>
                <c:pt idx="101">
                  <c:v>71475</c:v>
                </c:pt>
                <c:pt idx="102">
                  <c:v>0</c:v>
                </c:pt>
                <c:pt idx="103">
                  <c:v>0</c:v>
                </c:pt>
                <c:pt idx="104">
                  <c:v>71459</c:v>
                </c:pt>
                <c:pt idx="105">
                  <c:v>0</c:v>
                </c:pt>
                <c:pt idx="106">
                  <c:v>78076</c:v>
                </c:pt>
                <c:pt idx="107">
                  <c:v>0</c:v>
                </c:pt>
                <c:pt idx="108">
                  <c:v>0</c:v>
                </c:pt>
                <c:pt idx="109">
                  <c:v>84315</c:v>
                </c:pt>
                <c:pt idx="110">
                  <c:v>0</c:v>
                </c:pt>
                <c:pt idx="111">
                  <c:v>89014</c:v>
                </c:pt>
                <c:pt idx="112">
                  <c:v>0</c:v>
                </c:pt>
                <c:pt idx="113">
                  <c:v>0</c:v>
                </c:pt>
                <c:pt idx="114">
                  <c:v>92171</c:v>
                </c:pt>
                <c:pt idx="115">
                  <c:v>0</c:v>
                </c:pt>
                <c:pt idx="116">
                  <c:v>93505</c:v>
                </c:pt>
                <c:pt idx="117">
                  <c:v>0</c:v>
                </c:pt>
                <c:pt idx="118">
                  <c:v>0</c:v>
                </c:pt>
                <c:pt idx="119">
                  <c:v>93131</c:v>
                </c:pt>
                <c:pt idx="120">
                  <c:v>0</c:v>
                </c:pt>
                <c:pt idx="121">
                  <c:v>0</c:v>
                </c:pt>
                <c:pt idx="122">
                  <c:v>95251</c:v>
                </c:pt>
                <c:pt idx="123">
                  <c:v>0</c:v>
                </c:pt>
                <c:pt idx="124">
                  <c:v>93852</c:v>
                </c:pt>
                <c:pt idx="125">
                  <c:v>0</c:v>
                </c:pt>
                <c:pt idx="126">
                  <c:v>0</c:v>
                </c:pt>
                <c:pt idx="127">
                  <c:v>83831</c:v>
                </c:pt>
                <c:pt idx="128">
                  <c:v>0</c:v>
                </c:pt>
                <c:pt idx="129">
                  <c:v>71605</c:v>
                </c:pt>
                <c:pt idx="130">
                  <c:v>0</c:v>
                </c:pt>
                <c:pt idx="131">
                  <c:v>0</c:v>
                </c:pt>
                <c:pt idx="132">
                  <c:v>61939</c:v>
                </c:pt>
                <c:pt idx="133">
                  <c:v>0</c:v>
                </c:pt>
                <c:pt idx="134">
                  <c:v>49682</c:v>
                </c:pt>
                <c:pt idx="135">
                  <c:v>0</c:v>
                </c:pt>
                <c:pt idx="136">
                  <c:v>0</c:v>
                </c:pt>
                <c:pt idx="137">
                  <c:v>39180</c:v>
                </c:pt>
                <c:pt idx="138">
                  <c:v>0</c:v>
                </c:pt>
                <c:pt idx="139">
                  <c:v>0</c:v>
                </c:pt>
                <c:pt idx="140">
                  <c:v>32934</c:v>
                </c:pt>
                <c:pt idx="141">
                  <c:v>0</c:v>
                </c:pt>
                <c:pt idx="142">
                  <c:v>29548</c:v>
                </c:pt>
                <c:pt idx="143">
                  <c:v>0</c:v>
                </c:pt>
                <c:pt idx="144">
                  <c:v>0</c:v>
                </c:pt>
                <c:pt idx="145">
                  <c:v>31388</c:v>
                </c:pt>
                <c:pt idx="146">
                  <c:v>0</c:v>
                </c:pt>
                <c:pt idx="147">
                  <c:v>26332</c:v>
                </c:pt>
                <c:pt idx="148">
                  <c:v>0</c:v>
                </c:pt>
                <c:pt idx="149">
                  <c:v>0</c:v>
                </c:pt>
                <c:pt idx="150">
                  <c:v>22075</c:v>
                </c:pt>
                <c:pt idx="151">
                  <c:v>0</c:v>
                </c:pt>
                <c:pt idx="152">
                  <c:v>17953</c:v>
                </c:pt>
                <c:pt idx="153">
                  <c:v>0</c:v>
                </c:pt>
                <c:pt idx="154">
                  <c:v>0</c:v>
                </c:pt>
                <c:pt idx="155">
                  <c:v>14278</c:v>
                </c:pt>
                <c:pt idx="156">
                  <c:v>0</c:v>
                </c:pt>
                <c:pt idx="157">
                  <c:v>0</c:v>
                </c:pt>
                <c:pt idx="158">
                  <c:v>10251</c:v>
                </c:pt>
                <c:pt idx="159">
                  <c:v>0</c:v>
                </c:pt>
                <c:pt idx="160">
                  <c:v>10683</c:v>
                </c:pt>
                <c:pt idx="161">
                  <c:v>0</c:v>
                </c:pt>
                <c:pt idx="162">
                  <c:v>0</c:v>
                </c:pt>
                <c:pt idx="163">
                  <c:v>9536</c:v>
                </c:pt>
                <c:pt idx="164">
                  <c:v>0</c:v>
                </c:pt>
                <c:pt idx="165">
                  <c:v>7497</c:v>
                </c:pt>
                <c:pt idx="166">
                  <c:v>0</c:v>
                </c:pt>
                <c:pt idx="167">
                  <c:v>0</c:v>
                </c:pt>
                <c:pt idx="168">
                  <c:v>7839</c:v>
                </c:pt>
                <c:pt idx="169">
                  <c:v>0</c:v>
                </c:pt>
                <c:pt idx="170">
                  <c:v>0</c:v>
                </c:pt>
                <c:pt idx="171">
                  <c:v>6983</c:v>
                </c:pt>
                <c:pt idx="172">
                  <c:v>0</c:v>
                </c:pt>
                <c:pt idx="173">
                  <c:v>6420</c:v>
                </c:pt>
                <c:pt idx="174">
                  <c:v>0</c:v>
                </c:pt>
                <c:pt idx="175">
                  <c:v>0</c:v>
                </c:pt>
                <c:pt idx="176">
                  <c:v>7224</c:v>
                </c:pt>
                <c:pt idx="177">
                  <c:v>0</c:v>
                </c:pt>
                <c:pt idx="178">
                  <c:v>8167</c:v>
                </c:pt>
                <c:pt idx="179">
                  <c:v>0</c:v>
                </c:pt>
                <c:pt idx="180">
                  <c:v>0</c:v>
                </c:pt>
                <c:pt idx="181">
                  <c:v>6815</c:v>
                </c:pt>
                <c:pt idx="182">
                  <c:v>0</c:v>
                </c:pt>
                <c:pt idx="183">
                  <c:v>5658</c:v>
                </c:pt>
                <c:pt idx="184">
                  <c:v>0</c:v>
                </c:pt>
                <c:pt idx="185">
                  <c:v>0</c:v>
                </c:pt>
                <c:pt idx="186">
                  <c:v>4377</c:v>
                </c:pt>
                <c:pt idx="187">
                  <c:v>0</c:v>
                </c:pt>
                <c:pt idx="188">
                  <c:v>0</c:v>
                </c:pt>
                <c:pt idx="189">
                  <c:v>3179</c:v>
                </c:pt>
                <c:pt idx="190">
                  <c:v>0</c:v>
                </c:pt>
                <c:pt idx="191">
                  <c:v>2628</c:v>
                </c:pt>
                <c:pt idx="192">
                  <c:v>0</c:v>
                </c:pt>
                <c:pt idx="193">
                  <c:v>0</c:v>
                </c:pt>
                <c:pt idx="194">
                  <c:v>1583</c:v>
                </c:pt>
                <c:pt idx="195">
                  <c:v>0</c:v>
                </c:pt>
                <c:pt idx="196">
                  <c:v>990</c:v>
                </c:pt>
                <c:pt idx="197">
                  <c:v>0</c:v>
                </c:pt>
                <c:pt idx="198">
                  <c:v>0</c:v>
                </c:pt>
                <c:pt idx="199">
                  <c:v>360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  <c:pt idx="38">
                  <c:v>4.4246600000000003</c:v>
                </c:pt>
                <c:pt idx="39">
                  <c:v>4.4263599999999999</c:v>
                </c:pt>
                <c:pt idx="40">
                  <c:v>4.4217899999999997</c:v>
                </c:pt>
                <c:pt idx="41">
                  <c:v>4.4138599999999997</c:v>
                </c:pt>
                <c:pt idx="42">
                  <c:v>4.40029</c:v>
                </c:pt>
                <c:pt idx="43">
                  <c:v>4.3818999999999999</c:v>
                </c:pt>
                <c:pt idx="44">
                  <c:v>4.3635400000000004</c:v>
                </c:pt>
                <c:pt idx="45">
                  <c:v>4.3458399999999999</c:v>
                </c:pt>
                <c:pt idx="46">
                  <c:v>4.3345000000000002</c:v>
                </c:pt>
                <c:pt idx="47">
                  <c:v>4.3286899999999999</c:v>
                </c:pt>
                <c:pt idx="48">
                  <c:v>4.3252299999999995</c:v>
                </c:pt>
                <c:pt idx="49">
                  <c:v>4.3235000000000001</c:v>
                </c:pt>
                <c:pt idx="50">
                  <c:v>4.3216999999999999</c:v>
                </c:pt>
                <c:pt idx="51">
                  <c:v>4.3206299999999995</c:v>
                </c:pt>
                <c:pt idx="52">
                  <c:v>4.3194600000000003</c:v>
                </c:pt>
                <c:pt idx="53">
                  <c:v>4.3183300000000004</c:v>
                </c:pt>
                <c:pt idx="54">
                  <c:v>4.3155799999999997</c:v>
                </c:pt>
                <c:pt idx="55">
                  <c:v>4.3097099999999999</c:v>
                </c:pt>
                <c:pt idx="56">
                  <c:v>4.2983700000000002</c:v>
                </c:pt>
                <c:pt idx="57">
                  <c:v>4.2833900000000007</c:v>
                </c:pt>
                <c:pt idx="58">
                  <c:v>4.27006</c:v>
                </c:pt>
                <c:pt idx="59">
                  <c:v>4.2557799999999997</c:v>
                </c:pt>
                <c:pt idx="60">
                  <c:v>4.2418399999999998</c:v>
                </c:pt>
                <c:pt idx="61">
                  <c:v>4.2298900000000001</c:v>
                </c:pt>
                <c:pt idx="62">
                  <c:v>4.2160599999999997</c:v>
                </c:pt>
                <c:pt idx="63">
                  <c:v>4.2035099999999996</c:v>
                </c:pt>
                <c:pt idx="64">
                  <c:v>4.1939299999999999</c:v>
                </c:pt>
                <c:pt idx="65">
                  <c:v>4.1917600000000004</c:v>
                </c:pt>
                <c:pt idx="66">
                  <c:v>4.1875600000000004</c:v>
                </c:pt>
                <c:pt idx="67">
                  <c:v>4.1883400000000002</c:v>
                </c:pt>
                <c:pt idx="68">
                  <c:v>4.1919300000000002</c:v>
                </c:pt>
                <c:pt idx="69">
                  <c:v>4.2000500000000001</c:v>
                </c:pt>
                <c:pt idx="70">
                  <c:v>4.2141599999999997</c:v>
                </c:pt>
                <c:pt idx="71">
                  <c:v>4.2229899999999994</c:v>
                </c:pt>
                <c:pt idx="72">
                  <c:v>4.2335200000000004</c:v>
                </c:pt>
                <c:pt idx="73">
                  <c:v>4.2480600000000006</c:v>
                </c:pt>
                <c:pt idx="74">
                  <c:v>4.27637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  <c:pt idx="38">
                  <c:v>38.084899999999998</c:v>
                </c:pt>
                <c:pt idx="39">
                  <c:v>37.947399999999995</c:v>
                </c:pt>
                <c:pt idx="40">
                  <c:v>37.873899999999999</c:v>
                </c:pt>
                <c:pt idx="41">
                  <c:v>37.8324</c:v>
                </c:pt>
                <c:pt idx="42">
                  <c:v>37.811900000000001</c:v>
                </c:pt>
                <c:pt idx="43">
                  <c:v>37.844100000000005</c:v>
                </c:pt>
                <c:pt idx="44">
                  <c:v>37.933199999999999</c:v>
                </c:pt>
                <c:pt idx="45">
                  <c:v>37.996499999999997</c:v>
                </c:pt>
                <c:pt idx="46">
                  <c:v>38.079800000000006</c:v>
                </c:pt>
                <c:pt idx="47">
                  <c:v>38.162300000000002</c:v>
                </c:pt>
                <c:pt idx="48">
                  <c:v>38.2149</c:v>
                </c:pt>
                <c:pt idx="49">
                  <c:v>38.227400000000003</c:v>
                </c:pt>
                <c:pt idx="50">
                  <c:v>38.296700000000001</c:v>
                </c:pt>
                <c:pt idx="51">
                  <c:v>38.410699999999999</c:v>
                </c:pt>
                <c:pt idx="52">
                  <c:v>38.477400000000003</c:v>
                </c:pt>
                <c:pt idx="53">
                  <c:v>38.448399999999999</c:v>
                </c:pt>
                <c:pt idx="54">
                  <c:v>38.397999999999996</c:v>
                </c:pt>
                <c:pt idx="55">
                  <c:v>38.337299999999999</c:v>
                </c:pt>
                <c:pt idx="56">
                  <c:v>38.340800000000002</c:v>
                </c:pt>
                <c:pt idx="57">
                  <c:v>38.396099999999997</c:v>
                </c:pt>
                <c:pt idx="58">
                  <c:v>38.402299999999997</c:v>
                </c:pt>
                <c:pt idx="59">
                  <c:v>38.428899999999999</c:v>
                </c:pt>
                <c:pt idx="60">
                  <c:v>38.411699999999996</c:v>
                </c:pt>
                <c:pt idx="61">
                  <c:v>38.363199999999999</c:v>
                </c:pt>
                <c:pt idx="62">
                  <c:v>38.335700000000003</c:v>
                </c:pt>
                <c:pt idx="63">
                  <c:v>38.2744</c:v>
                </c:pt>
                <c:pt idx="64">
                  <c:v>38.258199999999995</c:v>
                </c:pt>
                <c:pt idx="65">
                  <c:v>38.106400000000001</c:v>
                </c:pt>
                <c:pt idx="66">
                  <c:v>37.972799999999999</c:v>
                </c:pt>
                <c:pt idx="67">
                  <c:v>37.844999999999999</c:v>
                </c:pt>
                <c:pt idx="68">
                  <c:v>37.817700000000002</c:v>
                </c:pt>
                <c:pt idx="69">
                  <c:v>37.695</c:v>
                </c:pt>
                <c:pt idx="70">
                  <c:v>37.672699999999999</c:v>
                </c:pt>
                <c:pt idx="71">
                  <c:v>37.711600000000004</c:v>
                </c:pt>
                <c:pt idx="72">
                  <c:v>37.667099999999998</c:v>
                </c:pt>
                <c:pt idx="73">
                  <c:v>37.377200000000002</c:v>
                </c:pt>
                <c:pt idx="74">
                  <c:v>37.098999999999997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4.4171500000000004</c:v>
                </c:pt>
                <c:pt idx="1">
                  <c:v>4.4246600000000003</c:v>
                </c:pt>
                <c:pt idx="2">
                  <c:v>4.4263599999999999</c:v>
                </c:pt>
                <c:pt idx="3">
                  <c:v>4.4217899999999997</c:v>
                </c:pt>
                <c:pt idx="4">
                  <c:v>4.4138599999999997</c:v>
                </c:pt>
                <c:pt idx="5">
                  <c:v>4.40029</c:v>
                </c:pt>
                <c:pt idx="6">
                  <c:v>4.3818999999999999</c:v>
                </c:pt>
                <c:pt idx="7">
                  <c:v>4.3635400000000004</c:v>
                </c:pt>
                <c:pt idx="8">
                  <c:v>4.3458399999999999</c:v>
                </c:pt>
                <c:pt idx="9">
                  <c:v>4.3345000000000002</c:v>
                </c:pt>
                <c:pt idx="10">
                  <c:v>4.3286899999999999</c:v>
                </c:pt>
                <c:pt idx="11">
                  <c:v>4.3252299999999995</c:v>
                </c:pt>
                <c:pt idx="12">
                  <c:v>4.3235000000000001</c:v>
                </c:pt>
                <c:pt idx="13">
                  <c:v>4.3216999999999999</c:v>
                </c:pt>
                <c:pt idx="14">
                  <c:v>4.3206299999999995</c:v>
                </c:pt>
                <c:pt idx="15">
                  <c:v>4.3194600000000003</c:v>
                </c:pt>
                <c:pt idx="16">
                  <c:v>4.3183300000000004</c:v>
                </c:pt>
                <c:pt idx="17">
                  <c:v>4.3155799999999997</c:v>
                </c:pt>
                <c:pt idx="18">
                  <c:v>4.3097099999999999</c:v>
                </c:pt>
                <c:pt idx="19">
                  <c:v>4.2983700000000002</c:v>
                </c:pt>
                <c:pt idx="20">
                  <c:v>4.2833900000000007</c:v>
                </c:pt>
                <c:pt idx="21">
                  <c:v>4.27006</c:v>
                </c:pt>
                <c:pt idx="22">
                  <c:v>4.2557799999999997</c:v>
                </c:pt>
                <c:pt idx="23">
                  <c:v>4.2418399999999998</c:v>
                </c:pt>
                <c:pt idx="24">
                  <c:v>4.2298900000000001</c:v>
                </c:pt>
                <c:pt idx="25">
                  <c:v>4.2160599999999997</c:v>
                </c:pt>
                <c:pt idx="26">
                  <c:v>4.2035099999999996</c:v>
                </c:pt>
                <c:pt idx="27">
                  <c:v>4.1939299999999999</c:v>
                </c:pt>
                <c:pt idx="28">
                  <c:v>4.1917600000000004</c:v>
                </c:pt>
                <c:pt idx="29">
                  <c:v>4.1875600000000004</c:v>
                </c:pt>
                <c:pt idx="30">
                  <c:v>4.1883400000000002</c:v>
                </c:pt>
                <c:pt idx="31">
                  <c:v>4.1919300000000002</c:v>
                </c:pt>
                <c:pt idx="32">
                  <c:v>4.2000500000000001</c:v>
                </c:pt>
                <c:pt idx="33">
                  <c:v>4.2141599999999997</c:v>
                </c:pt>
                <c:pt idx="34">
                  <c:v>4.2229899999999994</c:v>
                </c:pt>
                <c:pt idx="35">
                  <c:v>4.2335200000000004</c:v>
                </c:pt>
                <c:pt idx="36">
                  <c:v>4.2480600000000006</c:v>
                </c:pt>
                <c:pt idx="37">
                  <c:v>4.27637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38.149699999999996</c:v>
                </c:pt>
                <c:pt idx="1">
                  <c:v>38.084899999999998</c:v>
                </c:pt>
                <c:pt idx="2">
                  <c:v>37.947399999999995</c:v>
                </c:pt>
                <c:pt idx="3">
                  <c:v>37.873899999999999</c:v>
                </c:pt>
                <c:pt idx="4">
                  <c:v>37.8324</c:v>
                </c:pt>
                <c:pt idx="5">
                  <c:v>37.811900000000001</c:v>
                </c:pt>
                <c:pt idx="6">
                  <c:v>37.844100000000005</c:v>
                </c:pt>
                <c:pt idx="7">
                  <c:v>37.933199999999999</c:v>
                </c:pt>
                <c:pt idx="8">
                  <c:v>37.996499999999997</c:v>
                </c:pt>
                <c:pt idx="9">
                  <c:v>38.079800000000006</c:v>
                </c:pt>
                <c:pt idx="10">
                  <c:v>38.162300000000002</c:v>
                </c:pt>
                <c:pt idx="11">
                  <c:v>38.2149</c:v>
                </c:pt>
                <c:pt idx="12">
                  <c:v>38.227400000000003</c:v>
                </c:pt>
                <c:pt idx="13">
                  <c:v>38.296700000000001</c:v>
                </c:pt>
                <c:pt idx="14">
                  <c:v>38.410699999999999</c:v>
                </c:pt>
                <c:pt idx="15">
                  <c:v>38.477400000000003</c:v>
                </c:pt>
                <c:pt idx="16">
                  <c:v>38.448399999999999</c:v>
                </c:pt>
                <c:pt idx="17">
                  <c:v>38.397999999999996</c:v>
                </c:pt>
                <c:pt idx="18">
                  <c:v>38.337299999999999</c:v>
                </c:pt>
                <c:pt idx="19">
                  <c:v>38.340800000000002</c:v>
                </c:pt>
                <c:pt idx="20">
                  <c:v>38.396099999999997</c:v>
                </c:pt>
                <c:pt idx="21">
                  <c:v>38.402299999999997</c:v>
                </c:pt>
                <c:pt idx="22">
                  <c:v>38.428899999999999</c:v>
                </c:pt>
                <c:pt idx="23">
                  <c:v>38.411699999999996</c:v>
                </c:pt>
                <c:pt idx="24">
                  <c:v>38.363199999999999</c:v>
                </c:pt>
                <c:pt idx="25">
                  <c:v>38.335700000000003</c:v>
                </c:pt>
                <c:pt idx="26">
                  <c:v>38.2744</c:v>
                </c:pt>
                <c:pt idx="27">
                  <c:v>38.258199999999995</c:v>
                </c:pt>
                <c:pt idx="28">
                  <c:v>38.106400000000001</c:v>
                </c:pt>
                <c:pt idx="29">
                  <c:v>37.972799999999999</c:v>
                </c:pt>
                <c:pt idx="30">
                  <c:v>37.844999999999999</c:v>
                </c:pt>
                <c:pt idx="31">
                  <c:v>37.817700000000002</c:v>
                </c:pt>
                <c:pt idx="32">
                  <c:v>37.695</c:v>
                </c:pt>
                <c:pt idx="33">
                  <c:v>37.672699999999999</c:v>
                </c:pt>
                <c:pt idx="34">
                  <c:v>37.711600000000004</c:v>
                </c:pt>
                <c:pt idx="35">
                  <c:v>37.667099999999998</c:v>
                </c:pt>
                <c:pt idx="36">
                  <c:v>37.377200000000002</c:v>
                </c:pt>
                <c:pt idx="37">
                  <c:v>37.098999999999997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2.1774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3.468674594594594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45.229937837837845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4.2941599999999998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38.097397297297306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4.2941599999999998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38.097397297297306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0.25090729208602097</c:v>
                </c:pt>
                <c:pt idx="1">
                  <c:v>0.36857021934423212</c:v>
                </c:pt>
                <c:pt idx="2">
                  <c:v>0.38052248856974691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  <c:pt idx="38">
                  <c:v>15.5989</c:v>
                </c:pt>
                <c:pt idx="39">
                  <c:v>15.9762</c:v>
                </c:pt>
                <c:pt idx="40">
                  <c:v>16.349900000000002</c:v>
                </c:pt>
                <c:pt idx="41">
                  <c:v>16.722899999999999</c:v>
                </c:pt>
                <c:pt idx="42">
                  <c:v>17.097100000000001</c:v>
                </c:pt>
                <c:pt idx="43">
                  <c:v>17.503799999999998</c:v>
                </c:pt>
                <c:pt idx="44">
                  <c:v>17.910900000000002</c:v>
                </c:pt>
                <c:pt idx="45">
                  <c:v>18.3186</c:v>
                </c:pt>
                <c:pt idx="46">
                  <c:v>18.7225</c:v>
                </c:pt>
                <c:pt idx="47">
                  <c:v>19.128699999999998</c:v>
                </c:pt>
                <c:pt idx="48">
                  <c:v>19.534400000000002</c:v>
                </c:pt>
                <c:pt idx="49">
                  <c:v>19.9453</c:v>
                </c:pt>
                <c:pt idx="50">
                  <c:v>20.349299999999999</c:v>
                </c:pt>
                <c:pt idx="51">
                  <c:v>20.7531</c:v>
                </c:pt>
                <c:pt idx="52">
                  <c:v>21.160399999999999</c:v>
                </c:pt>
                <c:pt idx="53">
                  <c:v>21.567900000000002</c:v>
                </c:pt>
                <c:pt idx="54">
                  <c:v>21.974900000000002</c:v>
                </c:pt>
                <c:pt idx="55">
                  <c:v>22.3782</c:v>
                </c:pt>
                <c:pt idx="56">
                  <c:v>22.7837</c:v>
                </c:pt>
                <c:pt idx="57">
                  <c:v>23.191600000000001</c:v>
                </c:pt>
                <c:pt idx="58">
                  <c:v>23.5975</c:v>
                </c:pt>
                <c:pt idx="59">
                  <c:v>24.000399999999999</c:v>
                </c:pt>
                <c:pt idx="60">
                  <c:v>24.4085</c:v>
                </c:pt>
                <c:pt idx="61">
                  <c:v>24.817299999999999</c:v>
                </c:pt>
                <c:pt idx="62">
                  <c:v>25.223199999999999</c:v>
                </c:pt>
                <c:pt idx="63">
                  <c:v>25.6311</c:v>
                </c:pt>
                <c:pt idx="64">
                  <c:v>26.0351</c:v>
                </c:pt>
                <c:pt idx="65">
                  <c:v>26.4422</c:v>
                </c:pt>
                <c:pt idx="66">
                  <c:v>26.849900000000002</c:v>
                </c:pt>
                <c:pt idx="67">
                  <c:v>27.255700000000001</c:v>
                </c:pt>
                <c:pt idx="68">
                  <c:v>27.662600000000001</c:v>
                </c:pt>
                <c:pt idx="69">
                  <c:v>28.064599999999999</c:v>
                </c:pt>
                <c:pt idx="70">
                  <c:v>28.471599999999999</c:v>
                </c:pt>
                <c:pt idx="71">
                  <c:v>28.883199999999999</c:v>
                </c:pt>
                <c:pt idx="72">
                  <c:v>29.2866</c:v>
                </c:pt>
                <c:pt idx="73">
                  <c:v>29.689900000000002</c:v>
                </c:pt>
                <c:pt idx="74">
                  <c:v>30.097300000000001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  <c:pt idx="38">
                  <c:v>4.4246600000000003</c:v>
                </c:pt>
                <c:pt idx="39">
                  <c:v>4.4263599999999999</c:v>
                </c:pt>
                <c:pt idx="40">
                  <c:v>4.4217899999999997</c:v>
                </c:pt>
                <c:pt idx="41">
                  <c:v>4.4138599999999997</c:v>
                </c:pt>
                <c:pt idx="42">
                  <c:v>4.40029</c:v>
                </c:pt>
                <c:pt idx="43">
                  <c:v>4.3818999999999999</c:v>
                </c:pt>
                <c:pt idx="44">
                  <c:v>4.3635400000000004</c:v>
                </c:pt>
                <c:pt idx="45">
                  <c:v>4.3458399999999999</c:v>
                </c:pt>
                <c:pt idx="46">
                  <c:v>4.3345000000000002</c:v>
                </c:pt>
                <c:pt idx="47">
                  <c:v>4.3286899999999999</c:v>
                </c:pt>
                <c:pt idx="48">
                  <c:v>4.3252299999999995</c:v>
                </c:pt>
                <c:pt idx="49">
                  <c:v>4.3235000000000001</c:v>
                </c:pt>
                <c:pt idx="50">
                  <c:v>4.3216999999999999</c:v>
                </c:pt>
                <c:pt idx="51">
                  <c:v>4.3206299999999995</c:v>
                </c:pt>
                <c:pt idx="52">
                  <c:v>4.3194600000000003</c:v>
                </c:pt>
                <c:pt idx="53">
                  <c:v>4.3183300000000004</c:v>
                </c:pt>
                <c:pt idx="54">
                  <c:v>4.3155799999999997</c:v>
                </c:pt>
                <c:pt idx="55">
                  <c:v>4.3097099999999999</c:v>
                </c:pt>
                <c:pt idx="56">
                  <c:v>4.2983700000000002</c:v>
                </c:pt>
                <c:pt idx="57">
                  <c:v>4.2833900000000007</c:v>
                </c:pt>
                <c:pt idx="58">
                  <c:v>4.27006</c:v>
                </c:pt>
                <c:pt idx="59">
                  <c:v>4.2557799999999997</c:v>
                </c:pt>
                <c:pt idx="60">
                  <c:v>4.2418399999999998</c:v>
                </c:pt>
                <c:pt idx="61">
                  <c:v>4.2298900000000001</c:v>
                </c:pt>
                <c:pt idx="62">
                  <c:v>4.2160599999999997</c:v>
                </c:pt>
                <c:pt idx="63">
                  <c:v>4.2035099999999996</c:v>
                </c:pt>
                <c:pt idx="64">
                  <c:v>4.1939299999999999</c:v>
                </c:pt>
                <c:pt idx="65">
                  <c:v>4.1917600000000004</c:v>
                </c:pt>
                <c:pt idx="66">
                  <c:v>4.1875600000000004</c:v>
                </c:pt>
                <c:pt idx="67">
                  <c:v>4.1883400000000002</c:v>
                </c:pt>
                <c:pt idx="68">
                  <c:v>4.1919300000000002</c:v>
                </c:pt>
                <c:pt idx="69">
                  <c:v>4.2000500000000001</c:v>
                </c:pt>
                <c:pt idx="70">
                  <c:v>4.2141599999999997</c:v>
                </c:pt>
                <c:pt idx="71">
                  <c:v>4.2229899999999994</c:v>
                </c:pt>
                <c:pt idx="72">
                  <c:v>4.2335200000000004</c:v>
                </c:pt>
                <c:pt idx="73">
                  <c:v>4.2480600000000006</c:v>
                </c:pt>
                <c:pt idx="74">
                  <c:v>4.27637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15.003500000000001</c:v>
                </c:pt>
                <c:pt idx="1">
                  <c:v>15.5989</c:v>
                </c:pt>
                <c:pt idx="2">
                  <c:v>15.9762</c:v>
                </c:pt>
                <c:pt idx="3">
                  <c:v>16.349900000000002</c:v>
                </c:pt>
                <c:pt idx="4">
                  <c:v>16.722899999999999</c:v>
                </c:pt>
                <c:pt idx="5">
                  <c:v>17.097100000000001</c:v>
                </c:pt>
                <c:pt idx="6">
                  <c:v>17.503799999999998</c:v>
                </c:pt>
                <c:pt idx="7">
                  <c:v>17.910900000000002</c:v>
                </c:pt>
                <c:pt idx="8">
                  <c:v>18.3186</c:v>
                </c:pt>
                <c:pt idx="9">
                  <c:v>18.7225</c:v>
                </c:pt>
                <c:pt idx="10">
                  <c:v>19.128699999999998</c:v>
                </c:pt>
                <c:pt idx="11">
                  <c:v>19.534400000000002</c:v>
                </c:pt>
                <c:pt idx="12">
                  <c:v>19.9453</c:v>
                </c:pt>
                <c:pt idx="13">
                  <c:v>20.349299999999999</c:v>
                </c:pt>
                <c:pt idx="14">
                  <c:v>20.7531</c:v>
                </c:pt>
                <c:pt idx="15">
                  <c:v>21.160399999999999</c:v>
                </c:pt>
                <c:pt idx="16">
                  <c:v>21.567900000000002</c:v>
                </c:pt>
                <c:pt idx="17">
                  <c:v>21.974900000000002</c:v>
                </c:pt>
                <c:pt idx="18">
                  <c:v>22.3782</c:v>
                </c:pt>
                <c:pt idx="19">
                  <c:v>22.7837</c:v>
                </c:pt>
                <c:pt idx="20">
                  <c:v>23.191600000000001</c:v>
                </c:pt>
                <c:pt idx="21">
                  <c:v>23.5975</c:v>
                </c:pt>
                <c:pt idx="22">
                  <c:v>24.000399999999999</c:v>
                </c:pt>
                <c:pt idx="23">
                  <c:v>24.4085</c:v>
                </c:pt>
                <c:pt idx="24">
                  <c:v>24.817299999999999</c:v>
                </c:pt>
                <c:pt idx="25">
                  <c:v>25.223199999999999</c:v>
                </c:pt>
                <c:pt idx="26">
                  <c:v>25.6311</c:v>
                </c:pt>
                <c:pt idx="27">
                  <c:v>26.0351</c:v>
                </c:pt>
                <c:pt idx="28">
                  <c:v>26.4422</c:v>
                </c:pt>
                <c:pt idx="29">
                  <c:v>26.849900000000002</c:v>
                </c:pt>
                <c:pt idx="30">
                  <c:v>27.255700000000001</c:v>
                </c:pt>
                <c:pt idx="31">
                  <c:v>27.662600000000001</c:v>
                </c:pt>
                <c:pt idx="32">
                  <c:v>28.064599999999999</c:v>
                </c:pt>
                <c:pt idx="33">
                  <c:v>28.471599999999999</c:v>
                </c:pt>
                <c:pt idx="34">
                  <c:v>28.883199999999999</c:v>
                </c:pt>
                <c:pt idx="35">
                  <c:v>29.2866</c:v>
                </c:pt>
                <c:pt idx="36">
                  <c:v>29.689900000000002</c:v>
                </c:pt>
                <c:pt idx="37">
                  <c:v>30.097300000000001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4.4171500000000004</c:v>
                </c:pt>
                <c:pt idx="1">
                  <c:v>4.4246600000000003</c:v>
                </c:pt>
                <c:pt idx="2">
                  <c:v>4.4263599999999999</c:v>
                </c:pt>
                <c:pt idx="3">
                  <c:v>4.4217899999999997</c:v>
                </c:pt>
                <c:pt idx="4">
                  <c:v>4.4138599999999997</c:v>
                </c:pt>
                <c:pt idx="5">
                  <c:v>4.40029</c:v>
                </c:pt>
                <c:pt idx="6">
                  <c:v>4.3818999999999999</c:v>
                </c:pt>
                <c:pt idx="7">
                  <c:v>4.3635400000000004</c:v>
                </c:pt>
                <c:pt idx="8">
                  <c:v>4.3458399999999999</c:v>
                </c:pt>
                <c:pt idx="9">
                  <c:v>4.3345000000000002</c:v>
                </c:pt>
                <c:pt idx="10">
                  <c:v>4.3286899999999999</c:v>
                </c:pt>
                <c:pt idx="11">
                  <c:v>4.3252299999999995</c:v>
                </c:pt>
                <c:pt idx="12">
                  <c:v>4.3235000000000001</c:v>
                </c:pt>
                <c:pt idx="13">
                  <c:v>4.3216999999999999</c:v>
                </c:pt>
                <c:pt idx="14">
                  <c:v>4.3206299999999995</c:v>
                </c:pt>
                <c:pt idx="15">
                  <c:v>4.3194600000000003</c:v>
                </c:pt>
                <c:pt idx="16">
                  <c:v>4.3183300000000004</c:v>
                </c:pt>
                <c:pt idx="17">
                  <c:v>4.3155799999999997</c:v>
                </c:pt>
                <c:pt idx="18">
                  <c:v>4.3097099999999999</c:v>
                </c:pt>
                <c:pt idx="19">
                  <c:v>4.2983700000000002</c:v>
                </c:pt>
                <c:pt idx="20">
                  <c:v>4.2833900000000007</c:v>
                </c:pt>
                <c:pt idx="21">
                  <c:v>4.27006</c:v>
                </c:pt>
                <c:pt idx="22">
                  <c:v>4.2557799999999997</c:v>
                </c:pt>
                <c:pt idx="23">
                  <c:v>4.2418399999999998</c:v>
                </c:pt>
                <c:pt idx="24">
                  <c:v>4.2298900000000001</c:v>
                </c:pt>
                <c:pt idx="25">
                  <c:v>4.2160599999999997</c:v>
                </c:pt>
                <c:pt idx="26">
                  <c:v>4.2035099999999996</c:v>
                </c:pt>
                <c:pt idx="27">
                  <c:v>4.1939299999999999</c:v>
                </c:pt>
                <c:pt idx="28">
                  <c:v>4.1917600000000004</c:v>
                </c:pt>
                <c:pt idx="29">
                  <c:v>4.1875600000000004</c:v>
                </c:pt>
                <c:pt idx="30">
                  <c:v>4.1883400000000002</c:v>
                </c:pt>
                <c:pt idx="31">
                  <c:v>4.1919300000000002</c:v>
                </c:pt>
                <c:pt idx="32">
                  <c:v>4.2000500000000001</c:v>
                </c:pt>
                <c:pt idx="33">
                  <c:v>4.2141599999999997</c:v>
                </c:pt>
                <c:pt idx="34">
                  <c:v>4.2229899999999994</c:v>
                </c:pt>
                <c:pt idx="35">
                  <c:v>4.2335200000000004</c:v>
                </c:pt>
                <c:pt idx="36">
                  <c:v>4.2480600000000006</c:v>
                </c:pt>
                <c:pt idx="37">
                  <c:v>4.27637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7.5243250000000002</c:v>
                </c:pt>
                <c:pt idx="1">
                  <c:v>22.572975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3.468674594594594</c:v>
                </c:pt>
                <c:pt idx="1">
                  <c:v>4.2941599999999998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  <c:pt idx="38">
                  <c:v>15.5989</c:v>
                </c:pt>
                <c:pt idx="39">
                  <c:v>15.9762</c:v>
                </c:pt>
                <c:pt idx="40">
                  <c:v>16.349900000000002</c:v>
                </c:pt>
                <c:pt idx="41">
                  <c:v>16.722899999999999</c:v>
                </c:pt>
                <c:pt idx="42">
                  <c:v>17.097100000000001</c:v>
                </c:pt>
                <c:pt idx="43">
                  <c:v>17.503799999999998</c:v>
                </c:pt>
                <c:pt idx="44">
                  <c:v>17.910900000000002</c:v>
                </c:pt>
                <c:pt idx="45">
                  <c:v>18.3186</c:v>
                </c:pt>
                <c:pt idx="46">
                  <c:v>18.7225</c:v>
                </c:pt>
                <c:pt idx="47">
                  <c:v>19.128699999999998</c:v>
                </c:pt>
                <c:pt idx="48">
                  <c:v>19.534400000000002</c:v>
                </c:pt>
                <c:pt idx="49">
                  <c:v>19.9453</c:v>
                </c:pt>
                <c:pt idx="50">
                  <c:v>20.349299999999999</c:v>
                </c:pt>
                <c:pt idx="51">
                  <c:v>20.7531</c:v>
                </c:pt>
                <c:pt idx="52">
                  <c:v>21.160399999999999</c:v>
                </c:pt>
                <c:pt idx="53">
                  <c:v>21.567900000000002</c:v>
                </c:pt>
                <c:pt idx="54">
                  <c:v>21.974900000000002</c:v>
                </c:pt>
                <c:pt idx="55">
                  <c:v>22.3782</c:v>
                </c:pt>
                <c:pt idx="56">
                  <c:v>22.7837</c:v>
                </c:pt>
                <c:pt idx="57">
                  <c:v>23.191600000000001</c:v>
                </c:pt>
                <c:pt idx="58">
                  <c:v>23.5975</c:v>
                </c:pt>
                <c:pt idx="59">
                  <c:v>24.000399999999999</c:v>
                </c:pt>
                <c:pt idx="60">
                  <c:v>24.4085</c:v>
                </c:pt>
                <c:pt idx="61">
                  <c:v>24.817299999999999</c:v>
                </c:pt>
                <c:pt idx="62">
                  <c:v>25.223199999999999</c:v>
                </c:pt>
                <c:pt idx="63">
                  <c:v>25.6311</c:v>
                </c:pt>
                <c:pt idx="64">
                  <c:v>26.0351</c:v>
                </c:pt>
                <c:pt idx="65">
                  <c:v>26.4422</c:v>
                </c:pt>
                <c:pt idx="66">
                  <c:v>26.849900000000002</c:v>
                </c:pt>
                <c:pt idx="67">
                  <c:v>27.255700000000001</c:v>
                </c:pt>
                <c:pt idx="68">
                  <c:v>27.662600000000001</c:v>
                </c:pt>
                <c:pt idx="69">
                  <c:v>28.064599999999999</c:v>
                </c:pt>
                <c:pt idx="70">
                  <c:v>28.471599999999999</c:v>
                </c:pt>
                <c:pt idx="71">
                  <c:v>28.883199999999999</c:v>
                </c:pt>
                <c:pt idx="72">
                  <c:v>29.2866</c:v>
                </c:pt>
                <c:pt idx="73">
                  <c:v>29.689900000000002</c:v>
                </c:pt>
                <c:pt idx="74">
                  <c:v>30.097300000000001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  <c:pt idx="38">
                  <c:v>38.084899999999998</c:v>
                </c:pt>
                <c:pt idx="39">
                  <c:v>37.947399999999995</c:v>
                </c:pt>
                <c:pt idx="40">
                  <c:v>37.873899999999999</c:v>
                </c:pt>
                <c:pt idx="41">
                  <c:v>37.8324</c:v>
                </c:pt>
                <c:pt idx="42">
                  <c:v>37.811900000000001</c:v>
                </c:pt>
                <c:pt idx="43">
                  <c:v>37.844100000000005</c:v>
                </c:pt>
                <c:pt idx="44">
                  <c:v>37.933199999999999</c:v>
                </c:pt>
                <c:pt idx="45">
                  <c:v>37.996499999999997</c:v>
                </c:pt>
                <c:pt idx="46">
                  <c:v>38.079800000000006</c:v>
                </c:pt>
                <c:pt idx="47">
                  <c:v>38.162300000000002</c:v>
                </c:pt>
                <c:pt idx="48">
                  <c:v>38.2149</c:v>
                </c:pt>
                <c:pt idx="49">
                  <c:v>38.227400000000003</c:v>
                </c:pt>
                <c:pt idx="50">
                  <c:v>38.296700000000001</c:v>
                </c:pt>
                <c:pt idx="51">
                  <c:v>38.410699999999999</c:v>
                </c:pt>
                <c:pt idx="52">
                  <c:v>38.477400000000003</c:v>
                </c:pt>
                <c:pt idx="53">
                  <c:v>38.448399999999999</c:v>
                </c:pt>
                <c:pt idx="54">
                  <c:v>38.397999999999996</c:v>
                </c:pt>
                <c:pt idx="55">
                  <c:v>38.337299999999999</c:v>
                </c:pt>
                <c:pt idx="56">
                  <c:v>38.340800000000002</c:v>
                </c:pt>
                <c:pt idx="57">
                  <c:v>38.396099999999997</c:v>
                </c:pt>
                <c:pt idx="58">
                  <c:v>38.402299999999997</c:v>
                </c:pt>
                <c:pt idx="59">
                  <c:v>38.428899999999999</c:v>
                </c:pt>
                <c:pt idx="60">
                  <c:v>38.411699999999996</c:v>
                </c:pt>
                <c:pt idx="61">
                  <c:v>38.363199999999999</c:v>
                </c:pt>
                <c:pt idx="62">
                  <c:v>38.335700000000003</c:v>
                </c:pt>
                <c:pt idx="63">
                  <c:v>38.2744</c:v>
                </c:pt>
                <c:pt idx="64">
                  <c:v>38.258199999999995</c:v>
                </c:pt>
                <c:pt idx="65">
                  <c:v>38.106400000000001</c:v>
                </c:pt>
                <c:pt idx="66">
                  <c:v>37.972799999999999</c:v>
                </c:pt>
                <c:pt idx="67">
                  <c:v>37.844999999999999</c:v>
                </c:pt>
                <c:pt idx="68">
                  <c:v>37.817700000000002</c:v>
                </c:pt>
                <c:pt idx="69">
                  <c:v>37.695</c:v>
                </c:pt>
                <c:pt idx="70">
                  <c:v>37.672699999999999</c:v>
                </c:pt>
                <c:pt idx="71">
                  <c:v>37.711600000000004</c:v>
                </c:pt>
                <c:pt idx="72">
                  <c:v>37.667099999999998</c:v>
                </c:pt>
                <c:pt idx="73">
                  <c:v>37.377200000000002</c:v>
                </c:pt>
                <c:pt idx="74">
                  <c:v>37.098999999999997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15.003500000000001</c:v>
                </c:pt>
                <c:pt idx="1">
                  <c:v>15.5989</c:v>
                </c:pt>
                <c:pt idx="2">
                  <c:v>15.9762</c:v>
                </c:pt>
                <c:pt idx="3">
                  <c:v>16.349900000000002</c:v>
                </c:pt>
                <c:pt idx="4">
                  <c:v>16.722899999999999</c:v>
                </c:pt>
                <c:pt idx="5">
                  <c:v>17.097100000000001</c:v>
                </c:pt>
                <c:pt idx="6">
                  <c:v>17.503799999999998</c:v>
                </c:pt>
                <c:pt idx="7">
                  <c:v>17.910900000000002</c:v>
                </c:pt>
                <c:pt idx="8">
                  <c:v>18.3186</c:v>
                </c:pt>
                <c:pt idx="9">
                  <c:v>18.7225</c:v>
                </c:pt>
                <c:pt idx="10">
                  <c:v>19.128699999999998</c:v>
                </c:pt>
                <c:pt idx="11">
                  <c:v>19.534400000000002</c:v>
                </c:pt>
                <c:pt idx="12">
                  <c:v>19.9453</c:v>
                </c:pt>
                <c:pt idx="13">
                  <c:v>20.349299999999999</c:v>
                </c:pt>
                <c:pt idx="14">
                  <c:v>20.7531</c:v>
                </c:pt>
                <c:pt idx="15">
                  <c:v>21.160399999999999</c:v>
                </c:pt>
                <c:pt idx="16">
                  <c:v>21.567900000000002</c:v>
                </c:pt>
                <c:pt idx="17">
                  <c:v>21.974900000000002</c:v>
                </c:pt>
                <c:pt idx="18">
                  <c:v>22.3782</c:v>
                </c:pt>
                <c:pt idx="19">
                  <c:v>22.7837</c:v>
                </c:pt>
                <c:pt idx="20">
                  <c:v>23.191600000000001</c:v>
                </c:pt>
                <c:pt idx="21">
                  <c:v>23.5975</c:v>
                </c:pt>
                <c:pt idx="22">
                  <c:v>24.000399999999999</c:v>
                </c:pt>
                <c:pt idx="23">
                  <c:v>24.4085</c:v>
                </c:pt>
                <c:pt idx="24">
                  <c:v>24.817299999999999</c:v>
                </c:pt>
                <c:pt idx="25">
                  <c:v>25.223199999999999</c:v>
                </c:pt>
                <c:pt idx="26">
                  <c:v>25.6311</c:v>
                </c:pt>
                <c:pt idx="27">
                  <c:v>26.0351</c:v>
                </c:pt>
                <c:pt idx="28">
                  <c:v>26.4422</c:v>
                </c:pt>
                <c:pt idx="29">
                  <c:v>26.849900000000002</c:v>
                </c:pt>
                <c:pt idx="30">
                  <c:v>27.255700000000001</c:v>
                </c:pt>
                <c:pt idx="31">
                  <c:v>27.662600000000001</c:v>
                </c:pt>
                <c:pt idx="32">
                  <c:v>28.064599999999999</c:v>
                </c:pt>
                <c:pt idx="33">
                  <c:v>28.471599999999999</c:v>
                </c:pt>
                <c:pt idx="34">
                  <c:v>28.883199999999999</c:v>
                </c:pt>
                <c:pt idx="35">
                  <c:v>29.2866</c:v>
                </c:pt>
                <c:pt idx="36">
                  <c:v>29.689900000000002</c:v>
                </c:pt>
                <c:pt idx="37">
                  <c:v>30.097300000000001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38.149699999999996</c:v>
                </c:pt>
                <c:pt idx="1">
                  <c:v>38.084899999999998</c:v>
                </c:pt>
                <c:pt idx="2">
                  <c:v>37.947399999999995</c:v>
                </c:pt>
                <c:pt idx="3">
                  <c:v>37.873899999999999</c:v>
                </c:pt>
                <c:pt idx="4">
                  <c:v>37.8324</c:v>
                </c:pt>
                <c:pt idx="5">
                  <c:v>37.811900000000001</c:v>
                </c:pt>
                <c:pt idx="6">
                  <c:v>37.844100000000005</c:v>
                </c:pt>
                <c:pt idx="7">
                  <c:v>37.933199999999999</c:v>
                </c:pt>
                <c:pt idx="8">
                  <c:v>37.996499999999997</c:v>
                </c:pt>
                <c:pt idx="9">
                  <c:v>38.079800000000006</c:v>
                </c:pt>
                <c:pt idx="10">
                  <c:v>38.162300000000002</c:v>
                </c:pt>
                <c:pt idx="11">
                  <c:v>38.2149</c:v>
                </c:pt>
                <c:pt idx="12">
                  <c:v>38.227400000000003</c:v>
                </c:pt>
                <c:pt idx="13">
                  <c:v>38.296700000000001</c:v>
                </c:pt>
                <c:pt idx="14">
                  <c:v>38.410699999999999</c:v>
                </c:pt>
                <c:pt idx="15">
                  <c:v>38.477400000000003</c:v>
                </c:pt>
                <c:pt idx="16">
                  <c:v>38.448399999999999</c:v>
                </c:pt>
                <c:pt idx="17">
                  <c:v>38.397999999999996</c:v>
                </c:pt>
                <c:pt idx="18">
                  <c:v>38.337299999999999</c:v>
                </c:pt>
                <c:pt idx="19">
                  <c:v>38.340800000000002</c:v>
                </c:pt>
                <c:pt idx="20">
                  <c:v>38.396099999999997</c:v>
                </c:pt>
                <c:pt idx="21">
                  <c:v>38.402299999999997</c:v>
                </c:pt>
                <c:pt idx="22">
                  <c:v>38.428899999999999</c:v>
                </c:pt>
                <c:pt idx="23">
                  <c:v>38.411699999999996</c:v>
                </c:pt>
                <c:pt idx="24">
                  <c:v>38.363199999999999</c:v>
                </c:pt>
                <c:pt idx="25">
                  <c:v>38.335700000000003</c:v>
                </c:pt>
                <c:pt idx="26">
                  <c:v>38.2744</c:v>
                </c:pt>
                <c:pt idx="27">
                  <c:v>38.258199999999995</c:v>
                </c:pt>
                <c:pt idx="28">
                  <c:v>38.106400000000001</c:v>
                </c:pt>
                <c:pt idx="29">
                  <c:v>37.972799999999999</c:v>
                </c:pt>
                <c:pt idx="30">
                  <c:v>37.844999999999999</c:v>
                </c:pt>
                <c:pt idx="31">
                  <c:v>37.817700000000002</c:v>
                </c:pt>
                <c:pt idx="32">
                  <c:v>37.695</c:v>
                </c:pt>
                <c:pt idx="33">
                  <c:v>37.672699999999999</c:v>
                </c:pt>
                <c:pt idx="34">
                  <c:v>37.711600000000004</c:v>
                </c:pt>
                <c:pt idx="35">
                  <c:v>37.667099999999998</c:v>
                </c:pt>
                <c:pt idx="36">
                  <c:v>37.377200000000002</c:v>
                </c:pt>
                <c:pt idx="37">
                  <c:v>37.098999999999997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7.5243250000000002</c:v>
                </c:pt>
                <c:pt idx="1">
                  <c:v>22.572975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45.229937837837845</c:v>
                </c:pt>
                <c:pt idx="1">
                  <c:v>38.097397297297306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28.219200000000001</c:v>
                </c:pt>
                <c:pt idx="1">
                  <c:v>27.033200000000001</c:v>
                </c:pt>
                <c:pt idx="2">
                  <c:v>27.322099999999999</c:v>
                </c:pt>
                <c:pt idx="3">
                  <c:v>24.186299999999999</c:v>
                </c:pt>
                <c:pt idx="4">
                  <c:v>65.373099999999994</c:v>
                </c:pt>
                <c:pt idx="5">
                  <c:v>82.293999999999997</c:v>
                </c:pt>
                <c:pt idx="6">
                  <c:v>19.608599999999999</c:v>
                </c:pt>
                <c:pt idx="7">
                  <c:v>73.313800000000001</c:v>
                </c:pt>
                <c:pt idx="8">
                  <c:v>20.6508</c:v>
                </c:pt>
                <c:pt idx="9">
                  <c:v>29.380700000000001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48.328000000000003</c:v>
                </c:pt>
                <c:pt idx="1">
                  <c:v>32.001399999999997</c:v>
                </c:pt>
                <c:pt idx="2">
                  <c:v>23.736499999999999</c:v>
                </c:pt>
                <c:pt idx="3">
                  <c:v>35.075200000000002</c:v>
                </c:pt>
                <c:pt idx="4">
                  <c:v>57.539099999999998</c:v>
                </c:pt>
                <c:pt idx="5">
                  <c:v>69.048699999999997</c:v>
                </c:pt>
                <c:pt idx="6">
                  <c:v>31.0823</c:v>
                </c:pt>
                <c:pt idx="7">
                  <c:v>62.999200000000002</c:v>
                </c:pt>
                <c:pt idx="8">
                  <c:v>23.122699999999998</c:v>
                </c:pt>
                <c:pt idx="9">
                  <c:v>23.435500000000001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0.53773434987292512</c:v>
                </c:pt>
                <c:pt idx="1">
                  <c:v>0.23861785065397029</c:v>
                </c:pt>
                <c:pt idx="2">
                  <c:v>0.22364779947310462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3893</c:v>
                </c:pt>
                <c:pt idx="17">
                  <c:v>0</c:v>
                </c:pt>
                <c:pt idx="18">
                  <c:v>0</c:v>
                </c:pt>
                <c:pt idx="19">
                  <c:v>6291</c:v>
                </c:pt>
                <c:pt idx="20">
                  <c:v>0</c:v>
                </c:pt>
                <c:pt idx="21">
                  <c:v>14301</c:v>
                </c:pt>
                <c:pt idx="22">
                  <c:v>0</c:v>
                </c:pt>
                <c:pt idx="23">
                  <c:v>0</c:v>
                </c:pt>
                <c:pt idx="24">
                  <c:v>24708</c:v>
                </c:pt>
                <c:pt idx="25">
                  <c:v>0</c:v>
                </c:pt>
                <c:pt idx="26">
                  <c:v>22153</c:v>
                </c:pt>
                <c:pt idx="27">
                  <c:v>0</c:v>
                </c:pt>
                <c:pt idx="28">
                  <c:v>0</c:v>
                </c:pt>
                <c:pt idx="29">
                  <c:v>22742</c:v>
                </c:pt>
                <c:pt idx="30">
                  <c:v>0</c:v>
                </c:pt>
                <c:pt idx="31">
                  <c:v>29993</c:v>
                </c:pt>
                <c:pt idx="32">
                  <c:v>0</c:v>
                </c:pt>
                <c:pt idx="33">
                  <c:v>0</c:v>
                </c:pt>
                <c:pt idx="34">
                  <c:v>34079</c:v>
                </c:pt>
                <c:pt idx="35">
                  <c:v>0</c:v>
                </c:pt>
                <c:pt idx="36">
                  <c:v>0</c:v>
                </c:pt>
                <c:pt idx="37">
                  <c:v>40675</c:v>
                </c:pt>
                <c:pt idx="38">
                  <c:v>0</c:v>
                </c:pt>
                <c:pt idx="39">
                  <c:v>37091</c:v>
                </c:pt>
                <c:pt idx="40">
                  <c:v>0</c:v>
                </c:pt>
                <c:pt idx="41">
                  <c:v>0</c:v>
                </c:pt>
                <c:pt idx="42">
                  <c:v>35186</c:v>
                </c:pt>
                <c:pt idx="43">
                  <c:v>0</c:v>
                </c:pt>
                <c:pt idx="44">
                  <c:v>31880</c:v>
                </c:pt>
                <c:pt idx="45">
                  <c:v>0</c:v>
                </c:pt>
                <c:pt idx="46">
                  <c:v>0</c:v>
                </c:pt>
                <c:pt idx="47">
                  <c:v>31455</c:v>
                </c:pt>
                <c:pt idx="48">
                  <c:v>0</c:v>
                </c:pt>
                <c:pt idx="49">
                  <c:v>30860</c:v>
                </c:pt>
                <c:pt idx="50">
                  <c:v>0</c:v>
                </c:pt>
                <c:pt idx="51">
                  <c:v>0</c:v>
                </c:pt>
                <c:pt idx="52">
                  <c:v>30966</c:v>
                </c:pt>
                <c:pt idx="53">
                  <c:v>0</c:v>
                </c:pt>
                <c:pt idx="54">
                  <c:v>0</c:v>
                </c:pt>
                <c:pt idx="55">
                  <c:v>30245</c:v>
                </c:pt>
                <c:pt idx="56">
                  <c:v>0</c:v>
                </c:pt>
                <c:pt idx="57">
                  <c:v>32950</c:v>
                </c:pt>
                <c:pt idx="58">
                  <c:v>0</c:v>
                </c:pt>
                <c:pt idx="59">
                  <c:v>0</c:v>
                </c:pt>
                <c:pt idx="60">
                  <c:v>33714</c:v>
                </c:pt>
                <c:pt idx="61">
                  <c:v>0</c:v>
                </c:pt>
                <c:pt idx="62">
                  <c:v>32991</c:v>
                </c:pt>
                <c:pt idx="63">
                  <c:v>0</c:v>
                </c:pt>
                <c:pt idx="64">
                  <c:v>0</c:v>
                </c:pt>
                <c:pt idx="65">
                  <c:v>32125</c:v>
                </c:pt>
                <c:pt idx="66">
                  <c:v>0</c:v>
                </c:pt>
                <c:pt idx="67">
                  <c:v>33957</c:v>
                </c:pt>
                <c:pt idx="68">
                  <c:v>0</c:v>
                </c:pt>
                <c:pt idx="69">
                  <c:v>0</c:v>
                </c:pt>
                <c:pt idx="70">
                  <c:v>38611</c:v>
                </c:pt>
                <c:pt idx="71">
                  <c:v>0</c:v>
                </c:pt>
                <c:pt idx="72">
                  <c:v>0</c:v>
                </c:pt>
                <c:pt idx="73">
                  <c:v>36163</c:v>
                </c:pt>
                <c:pt idx="74">
                  <c:v>0</c:v>
                </c:pt>
                <c:pt idx="75">
                  <c:v>34916</c:v>
                </c:pt>
                <c:pt idx="76">
                  <c:v>0</c:v>
                </c:pt>
                <c:pt idx="77">
                  <c:v>0</c:v>
                </c:pt>
                <c:pt idx="78">
                  <c:v>34559</c:v>
                </c:pt>
                <c:pt idx="79">
                  <c:v>0</c:v>
                </c:pt>
                <c:pt idx="80">
                  <c:v>33500</c:v>
                </c:pt>
                <c:pt idx="81">
                  <c:v>0</c:v>
                </c:pt>
                <c:pt idx="82">
                  <c:v>0</c:v>
                </c:pt>
                <c:pt idx="83">
                  <c:v>34017</c:v>
                </c:pt>
                <c:pt idx="84">
                  <c:v>0</c:v>
                </c:pt>
                <c:pt idx="85">
                  <c:v>0</c:v>
                </c:pt>
                <c:pt idx="86">
                  <c:v>31678</c:v>
                </c:pt>
                <c:pt idx="87">
                  <c:v>0</c:v>
                </c:pt>
                <c:pt idx="88">
                  <c:v>31094</c:v>
                </c:pt>
                <c:pt idx="89">
                  <c:v>0</c:v>
                </c:pt>
                <c:pt idx="90">
                  <c:v>0</c:v>
                </c:pt>
                <c:pt idx="91">
                  <c:v>30931</c:v>
                </c:pt>
                <c:pt idx="92">
                  <c:v>0</c:v>
                </c:pt>
                <c:pt idx="93">
                  <c:v>26380</c:v>
                </c:pt>
                <c:pt idx="94">
                  <c:v>0</c:v>
                </c:pt>
                <c:pt idx="95">
                  <c:v>0</c:v>
                </c:pt>
                <c:pt idx="96">
                  <c:v>27750</c:v>
                </c:pt>
                <c:pt idx="97">
                  <c:v>0</c:v>
                </c:pt>
                <c:pt idx="98">
                  <c:v>25173</c:v>
                </c:pt>
                <c:pt idx="99">
                  <c:v>0</c:v>
                </c:pt>
                <c:pt idx="100">
                  <c:v>0</c:v>
                </c:pt>
                <c:pt idx="101">
                  <c:v>25346</c:v>
                </c:pt>
                <c:pt idx="102">
                  <c:v>0</c:v>
                </c:pt>
                <c:pt idx="103">
                  <c:v>0</c:v>
                </c:pt>
                <c:pt idx="104">
                  <c:v>24733</c:v>
                </c:pt>
                <c:pt idx="105">
                  <c:v>0</c:v>
                </c:pt>
                <c:pt idx="106">
                  <c:v>22305</c:v>
                </c:pt>
                <c:pt idx="107">
                  <c:v>0</c:v>
                </c:pt>
                <c:pt idx="108">
                  <c:v>0</c:v>
                </c:pt>
                <c:pt idx="109">
                  <c:v>22078</c:v>
                </c:pt>
                <c:pt idx="110">
                  <c:v>0</c:v>
                </c:pt>
                <c:pt idx="111">
                  <c:v>19630</c:v>
                </c:pt>
                <c:pt idx="112">
                  <c:v>0</c:v>
                </c:pt>
                <c:pt idx="113">
                  <c:v>0</c:v>
                </c:pt>
                <c:pt idx="114">
                  <c:v>16594</c:v>
                </c:pt>
                <c:pt idx="115">
                  <c:v>0</c:v>
                </c:pt>
                <c:pt idx="116">
                  <c:v>15228</c:v>
                </c:pt>
                <c:pt idx="117">
                  <c:v>0</c:v>
                </c:pt>
                <c:pt idx="118">
                  <c:v>0</c:v>
                </c:pt>
                <c:pt idx="119">
                  <c:v>13139</c:v>
                </c:pt>
                <c:pt idx="120">
                  <c:v>0</c:v>
                </c:pt>
                <c:pt idx="121">
                  <c:v>0</c:v>
                </c:pt>
                <c:pt idx="122">
                  <c:v>9922</c:v>
                </c:pt>
                <c:pt idx="123">
                  <c:v>0</c:v>
                </c:pt>
                <c:pt idx="124">
                  <c:v>7592</c:v>
                </c:pt>
                <c:pt idx="125">
                  <c:v>0</c:v>
                </c:pt>
                <c:pt idx="126">
                  <c:v>0</c:v>
                </c:pt>
                <c:pt idx="127">
                  <c:v>6008</c:v>
                </c:pt>
                <c:pt idx="128">
                  <c:v>0</c:v>
                </c:pt>
                <c:pt idx="129">
                  <c:v>5189</c:v>
                </c:pt>
                <c:pt idx="130">
                  <c:v>0</c:v>
                </c:pt>
                <c:pt idx="131">
                  <c:v>0</c:v>
                </c:pt>
                <c:pt idx="132">
                  <c:v>3721</c:v>
                </c:pt>
                <c:pt idx="133">
                  <c:v>0</c:v>
                </c:pt>
                <c:pt idx="134">
                  <c:v>2755</c:v>
                </c:pt>
                <c:pt idx="135">
                  <c:v>0</c:v>
                </c:pt>
                <c:pt idx="136">
                  <c:v>0</c:v>
                </c:pt>
                <c:pt idx="137">
                  <c:v>2061</c:v>
                </c:pt>
                <c:pt idx="138">
                  <c:v>0</c:v>
                </c:pt>
                <c:pt idx="139">
                  <c:v>0</c:v>
                </c:pt>
                <c:pt idx="140">
                  <c:v>1696</c:v>
                </c:pt>
                <c:pt idx="141">
                  <c:v>0</c:v>
                </c:pt>
                <c:pt idx="142">
                  <c:v>1632</c:v>
                </c:pt>
                <c:pt idx="143">
                  <c:v>0</c:v>
                </c:pt>
                <c:pt idx="144">
                  <c:v>0</c:v>
                </c:pt>
                <c:pt idx="145">
                  <c:v>1114</c:v>
                </c:pt>
                <c:pt idx="146">
                  <c:v>0</c:v>
                </c:pt>
                <c:pt idx="147">
                  <c:v>1200</c:v>
                </c:pt>
                <c:pt idx="148">
                  <c:v>0</c:v>
                </c:pt>
                <c:pt idx="149">
                  <c:v>0</c:v>
                </c:pt>
                <c:pt idx="150">
                  <c:v>1035</c:v>
                </c:pt>
                <c:pt idx="151">
                  <c:v>0</c:v>
                </c:pt>
                <c:pt idx="152">
                  <c:v>763</c:v>
                </c:pt>
                <c:pt idx="153">
                  <c:v>0</c:v>
                </c:pt>
                <c:pt idx="154">
                  <c:v>0</c:v>
                </c:pt>
                <c:pt idx="155">
                  <c:v>680</c:v>
                </c:pt>
                <c:pt idx="156">
                  <c:v>0</c:v>
                </c:pt>
                <c:pt idx="157">
                  <c:v>0</c:v>
                </c:pt>
                <c:pt idx="158">
                  <c:v>397</c:v>
                </c:pt>
                <c:pt idx="159">
                  <c:v>0</c:v>
                </c:pt>
                <c:pt idx="160">
                  <c:v>353</c:v>
                </c:pt>
                <c:pt idx="161">
                  <c:v>0</c:v>
                </c:pt>
                <c:pt idx="162">
                  <c:v>0</c:v>
                </c:pt>
                <c:pt idx="163">
                  <c:v>362</c:v>
                </c:pt>
                <c:pt idx="164">
                  <c:v>0</c:v>
                </c:pt>
                <c:pt idx="165">
                  <c:v>158</c:v>
                </c:pt>
                <c:pt idx="166">
                  <c:v>0</c:v>
                </c:pt>
                <c:pt idx="167">
                  <c:v>0</c:v>
                </c:pt>
                <c:pt idx="168">
                  <c:v>106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755</c:v>
                </c:pt>
                <c:pt idx="7">
                  <c:v>0</c:v>
                </c:pt>
                <c:pt idx="8">
                  <c:v>781</c:v>
                </c:pt>
                <c:pt idx="9">
                  <c:v>0</c:v>
                </c:pt>
                <c:pt idx="10">
                  <c:v>0</c:v>
                </c:pt>
                <c:pt idx="11">
                  <c:v>1354</c:v>
                </c:pt>
                <c:pt idx="12">
                  <c:v>0</c:v>
                </c:pt>
                <c:pt idx="13">
                  <c:v>2733</c:v>
                </c:pt>
                <c:pt idx="14">
                  <c:v>0</c:v>
                </c:pt>
                <c:pt idx="15">
                  <c:v>0</c:v>
                </c:pt>
                <c:pt idx="16">
                  <c:v>3816</c:v>
                </c:pt>
                <c:pt idx="17">
                  <c:v>0</c:v>
                </c:pt>
                <c:pt idx="18">
                  <c:v>0</c:v>
                </c:pt>
                <c:pt idx="19">
                  <c:v>4600</c:v>
                </c:pt>
                <c:pt idx="20">
                  <c:v>0</c:v>
                </c:pt>
                <c:pt idx="21">
                  <c:v>5418</c:v>
                </c:pt>
                <c:pt idx="22">
                  <c:v>0</c:v>
                </c:pt>
                <c:pt idx="23">
                  <c:v>0</c:v>
                </c:pt>
                <c:pt idx="24">
                  <c:v>6316</c:v>
                </c:pt>
                <c:pt idx="25">
                  <c:v>0</c:v>
                </c:pt>
                <c:pt idx="26">
                  <c:v>8031</c:v>
                </c:pt>
                <c:pt idx="27">
                  <c:v>0</c:v>
                </c:pt>
                <c:pt idx="28">
                  <c:v>0</c:v>
                </c:pt>
                <c:pt idx="29">
                  <c:v>5812</c:v>
                </c:pt>
                <c:pt idx="30">
                  <c:v>0</c:v>
                </c:pt>
                <c:pt idx="31">
                  <c:v>6132</c:v>
                </c:pt>
                <c:pt idx="32">
                  <c:v>0</c:v>
                </c:pt>
                <c:pt idx="33">
                  <c:v>0</c:v>
                </c:pt>
                <c:pt idx="34">
                  <c:v>6542</c:v>
                </c:pt>
                <c:pt idx="35">
                  <c:v>0</c:v>
                </c:pt>
                <c:pt idx="36">
                  <c:v>0</c:v>
                </c:pt>
                <c:pt idx="37">
                  <c:v>7512</c:v>
                </c:pt>
                <c:pt idx="38">
                  <c:v>0</c:v>
                </c:pt>
                <c:pt idx="39">
                  <c:v>6770</c:v>
                </c:pt>
                <c:pt idx="40">
                  <c:v>0</c:v>
                </c:pt>
                <c:pt idx="41">
                  <c:v>0</c:v>
                </c:pt>
                <c:pt idx="42">
                  <c:v>8415</c:v>
                </c:pt>
                <c:pt idx="43">
                  <c:v>0</c:v>
                </c:pt>
                <c:pt idx="44">
                  <c:v>7328</c:v>
                </c:pt>
                <c:pt idx="45">
                  <c:v>0</c:v>
                </c:pt>
                <c:pt idx="46">
                  <c:v>0</c:v>
                </c:pt>
                <c:pt idx="47">
                  <c:v>5752</c:v>
                </c:pt>
                <c:pt idx="48">
                  <c:v>0</c:v>
                </c:pt>
                <c:pt idx="49">
                  <c:v>6717</c:v>
                </c:pt>
                <c:pt idx="50">
                  <c:v>0</c:v>
                </c:pt>
                <c:pt idx="51">
                  <c:v>0</c:v>
                </c:pt>
                <c:pt idx="52">
                  <c:v>8177</c:v>
                </c:pt>
                <c:pt idx="53">
                  <c:v>0</c:v>
                </c:pt>
                <c:pt idx="54">
                  <c:v>0</c:v>
                </c:pt>
                <c:pt idx="55">
                  <c:v>9402</c:v>
                </c:pt>
                <c:pt idx="56">
                  <c:v>0</c:v>
                </c:pt>
                <c:pt idx="57">
                  <c:v>11733</c:v>
                </c:pt>
                <c:pt idx="58">
                  <c:v>0</c:v>
                </c:pt>
                <c:pt idx="59">
                  <c:v>0</c:v>
                </c:pt>
                <c:pt idx="60">
                  <c:v>12260</c:v>
                </c:pt>
                <c:pt idx="61">
                  <c:v>0</c:v>
                </c:pt>
                <c:pt idx="62">
                  <c:v>16734</c:v>
                </c:pt>
                <c:pt idx="63">
                  <c:v>0</c:v>
                </c:pt>
                <c:pt idx="64">
                  <c:v>0</c:v>
                </c:pt>
                <c:pt idx="65">
                  <c:v>16556</c:v>
                </c:pt>
                <c:pt idx="66">
                  <c:v>0</c:v>
                </c:pt>
                <c:pt idx="67">
                  <c:v>20174</c:v>
                </c:pt>
                <c:pt idx="68">
                  <c:v>0</c:v>
                </c:pt>
                <c:pt idx="69">
                  <c:v>0</c:v>
                </c:pt>
                <c:pt idx="70">
                  <c:v>19948</c:v>
                </c:pt>
                <c:pt idx="71">
                  <c:v>0</c:v>
                </c:pt>
                <c:pt idx="72">
                  <c:v>0</c:v>
                </c:pt>
                <c:pt idx="73">
                  <c:v>19362</c:v>
                </c:pt>
                <c:pt idx="74">
                  <c:v>0</c:v>
                </c:pt>
                <c:pt idx="75">
                  <c:v>20537</c:v>
                </c:pt>
                <c:pt idx="76">
                  <c:v>0</c:v>
                </c:pt>
                <c:pt idx="77">
                  <c:v>0</c:v>
                </c:pt>
                <c:pt idx="78">
                  <c:v>23934</c:v>
                </c:pt>
                <c:pt idx="79">
                  <c:v>0</c:v>
                </c:pt>
                <c:pt idx="80">
                  <c:v>25866</c:v>
                </c:pt>
                <c:pt idx="81">
                  <c:v>0</c:v>
                </c:pt>
                <c:pt idx="82">
                  <c:v>0</c:v>
                </c:pt>
                <c:pt idx="83">
                  <c:v>29459</c:v>
                </c:pt>
                <c:pt idx="84">
                  <c:v>0</c:v>
                </c:pt>
                <c:pt idx="85">
                  <c:v>0</c:v>
                </c:pt>
                <c:pt idx="86">
                  <c:v>31667</c:v>
                </c:pt>
                <c:pt idx="87">
                  <c:v>0</c:v>
                </c:pt>
                <c:pt idx="88">
                  <c:v>34279</c:v>
                </c:pt>
                <c:pt idx="89">
                  <c:v>0</c:v>
                </c:pt>
                <c:pt idx="90">
                  <c:v>0</c:v>
                </c:pt>
                <c:pt idx="91">
                  <c:v>35843</c:v>
                </c:pt>
                <c:pt idx="92">
                  <c:v>0</c:v>
                </c:pt>
                <c:pt idx="93">
                  <c:v>38884</c:v>
                </c:pt>
                <c:pt idx="94">
                  <c:v>0</c:v>
                </c:pt>
                <c:pt idx="95">
                  <c:v>0</c:v>
                </c:pt>
                <c:pt idx="96">
                  <c:v>44501</c:v>
                </c:pt>
                <c:pt idx="97">
                  <c:v>0</c:v>
                </c:pt>
                <c:pt idx="98">
                  <c:v>47622</c:v>
                </c:pt>
                <c:pt idx="99">
                  <c:v>0</c:v>
                </c:pt>
                <c:pt idx="100">
                  <c:v>0</c:v>
                </c:pt>
                <c:pt idx="101">
                  <c:v>50052</c:v>
                </c:pt>
                <c:pt idx="102">
                  <c:v>0</c:v>
                </c:pt>
                <c:pt idx="103">
                  <c:v>0</c:v>
                </c:pt>
                <c:pt idx="104">
                  <c:v>50931</c:v>
                </c:pt>
                <c:pt idx="105">
                  <c:v>0</c:v>
                </c:pt>
                <c:pt idx="106">
                  <c:v>59667</c:v>
                </c:pt>
                <c:pt idx="107">
                  <c:v>0</c:v>
                </c:pt>
                <c:pt idx="108">
                  <c:v>0</c:v>
                </c:pt>
                <c:pt idx="109">
                  <c:v>67035</c:v>
                </c:pt>
                <c:pt idx="110">
                  <c:v>0</c:v>
                </c:pt>
                <c:pt idx="111">
                  <c:v>74305</c:v>
                </c:pt>
                <c:pt idx="112">
                  <c:v>0</c:v>
                </c:pt>
                <c:pt idx="113">
                  <c:v>0</c:v>
                </c:pt>
                <c:pt idx="114">
                  <c:v>81280</c:v>
                </c:pt>
                <c:pt idx="115">
                  <c:v>0</c:v>
                </c:pt>
                <c:pt idx="116">
                  <c:v>83560</c:v>
                </c:pt>
                <c:pt idx="117">
                  <c:v>0</c:v>
                </c:pt>
                <c:pt idx="118">
                  <c:v>0</c:v>
                </c:pt>
                <c:pt idx="119">
                  <c:v>84730</c:v>
                </c:pt>
                <c:pt idx="120">
                  <c:v>0</c:v>
                </c:pt>
                <c:pt idx="121">
                  <c:v>0</c:v>
                </c:pt>
                <c:pt idx="122">
                  <c:v>89447</c:v>
                </c:pt>
                <c:pt idx="123">
                  <c:v>0</c:v>
                </c:pt>
                <c:pt idx="124">
                  <c:v>89772</c:v>
                </c:pt>
                <c:pt idx="125">
                  <c:v>0</c:v>
                </c:pt>
                <c:pt idx="126">
                  <c:v>0</c:v>
                </c:pt>
                <c:pt idx="127">
                  <c:v>80871</c:v>
                </c:pt>
                <c:pt idx="128">
                  <c:v>0</c:v>
                </c:pt>
                <c:pt idx="129">
                  <c:v>68812</c:v>
                </c:pt>
                <c:pt idx="130">
                  <c:v>0</c:v>
                </c:pt>
                <c:pt idx="131">
                  <c:v>0</c:v>
                </c:pt>
                <c:pt idx="132">
                  <c:v>60248</c:v>
                </c:pt>
                <c:pt idx="133">
                  <c:v>0</c:v>
                </c:pt>
                <c:pt idx="134">
                  <c:v>48291</c:v>
                </c:pt>
                <c:pt idx="135">
                  <c:v>0</c:v>
                </c:pt>
                <c:pt idx="136">
                  <c:v>0</c:v>
                </c:pt>
                <c:pt idx="137">
                  <c:v>38113</c:v>
                </c:pt>
                <c:pt idx="138">
                  <c:v>0</c:v>
                </c:pt>
                <c:pt idx="139">
                  <c:v>0</c:v>
                </c:pt>
                <c:pt idx="140">
                  <c:v>31989</c:v>
                </c:pt>
                <c:pt idx="141">
                  <c:v>0</c:v>
                </c:pt>
                <c:pt idx="142">
                  <c:v>28569</c:v>
                </c:pt>
                <c:pt idx="143">
                  <c:v>0</c:v>
                </c:pt>
                <c:pt idx="144">
                  <c:v>0</c:v>
                </c:pt>
                <c:pt idx="145">
                  <c:v>30885</c:v>
                </c:pt>
                <c:pt idx="146">
                  <c:v>0</c:v>
                </c:pt>
                <c:pt idx="147">
                  <c:v>25684</c:v>
                </c:pt>
                <c:pt idx="148">
                  <c:v>0</c:v>
                </c:pt>
                <c:pt idx="149">
                  <c:v>0</c:v>
                </c:pt>
                <c:pt idx="150">
                  <c:v>21600</c:v>
                </c:pt>
                <c:pt idx="151">
                  <c:v>0</c:v>
                </c:pt>
                <c:pt idx="152">
                  <c:v>17663</c:v>
                </c:pt>
                <c:pt idx="153">
                  <c:v>0</c:v>
                </c:pt>
                <c:pt idx="154">
                  <c:v>0</c:v>
                </c:pt>
                <c:pt idx="155">
                  <c:v>14137</c:v>
                </c:pt>
                <c:pt idx="156">
                  <c:v>0</c:v>
                </c:pt>
                <c:pt idx="157">
                  <c:v>0</c:v>
                </c:pt>
                <c:pt idx="158">
                  <c:v>10204</c:v>
                </c:pt>
                <c:pt idx="159">
                  <c:v>0</c:v>
                </c:pt>
                <c:pt idx="160">
                  <c:v>10683</c:v>
                </c:pt>
                <c:pt idx="161">
                  <c:v>0</c:v>
                </c:pt>
                <c:pt idx="162">
                  <c:v>0</c:v>
                </c:pt>
                <c:pt idx="163">
                  <c:v>9536</c:v>
                </c:pt>
                <c:pt idx="164">
                  <c:v>0</c:v>
                </c:pt>
                <c:pt idx="165">
                  <c:v>7497</c:v>
                </c:pt>
                <c:pt idx="166">
                  <c:v>0</c:v>
                </c:pt>
                <c:pt idx="167">
                  <c:v>0</c:v>
                </c:pt>
                <c:pt idx="168">
                  <c:v>7839</c:v>
                </c:pt>
                <c:pt idx="169">
                  <c:v>0</c:v>
                </c:pt>
                <c:pt idx="170">
                  <c:v>0</c:v>
                </c:pt>
                <c:pt idx="171">
                  <c:v>6983</c:v>
                </c:pt>
                <c:pt idx="172">
                  <c:v>0</c:v>
                </c:pt>
                <c:pt idx="173">
                  <c:v>6420</c:v>
                </c:pt>
                <c:pt idx="174">
                  <c:v>0</c:v>
                </c:pt>
                <c:pt idx="175">
                  <c:v>0</c:v>
                </c:pt>
                <c:pt idx="176">
                  <c:v>7224</c:v>
                </c:pt>
                <c:pt idx="177">
                  <c:v>0</c:v>
                </c:pt>
                <c:pt idx="178">
                  <c:v>8167</c:v>
                </c:pt>
                <c:pt idx="179">
                  <c:v>0</c:v>
                </c:pt>
                <c:pt idx="180">
                  <c:v>0</c:v>
                </c:pt>
                <c:pt idx="181">
                  <c:v>6815</c:v>
                </c:pt>
                <c:pt idx="182">
                  <c:v>0</c:v>
                </c:pt>
                <c:pt idx="183">
                  <c:v>5658</c:v>
                </c:pt>
                <c:pt idx="184">
                  <c:v>0</c:v>
                </c:pt>
                <c:pt idx="185">
                  <c:v>0</c:v>
                </c:pt>
                <c:pt idx="186">
                  <c:v>4377</c:v>
                </c:pt>
                <c:pt idx="187">
                  <c:v>0</c:v>
                </c:pt>
                <c:pt idx="188">
                  <c:v>0</c:v>
                </c:pt>
                <c:pt idx="189">
                  <c:v>3179</c:v>
                </c:pt>
                <c:pt idx="190">
                  <c:v>0</c:v>
                </c:pt>
                <c:pt idx="191">
                  <c:v>2628</c:v>
                </c:pt>
                <c:pt idx="192">
                  <c:v>0</c:v>
                </c:pt>
                <c:pt idx="193">
                  <c:v>0</c:v>
                </c:pt>
                <c:pt idx="194">
                  <c:v>1583</c:v>
                </c:pt>
                <c:pt idx="195">
                  <c:v>0</c:v>
                </c:pt>
                <c:pt idx="196">
                  <c:v>990</c:v>
                </c:pt>
                <c:pt idx="197">
                  <c:v>0</c:v>
                </c:pt>
                <c:pt idx="198">
                  <c:v>0</c:v>
                </c:pt>
                <c:pt idx="199">
                  <c:v>360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0.20696796962341288</c:v>
                </c:pt>
                <c:pt idx="1">
                  <c:v>0.42057075853730347</c:v>
                </c:pt>
                <c:pt idx="2">
                  <c:v>0.37246127183928368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0.48720742512918203</c:v>
                </c:pt>
                <c:pt idx="1">
                  <c:v>0.3072043871106766</c:v>
                </c:pt>
                <c:pt idx="2">
                  <c:v>0.2055881877601414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8.0801200000000009</c:v>
                </c:pt>
                <c:pt idx="1">
                  <c:v>9.6237750000000002</c:v>
                </c:pt>
                <c:pt idx="2">
                  <c:v>26.075099999999999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  <c:pt idx="38">
                  <c:v>15.5989</c:v>
                </c:pt>
                <c:pt idx="39">
                  <c:v>15.9762</c:v>
                </c:pt>
                <c:pt idx="40">
                  <c:v>16.349900000000002</c:v>
                </c:pt>
                <c:pt idx="41">
                  <c:v>16.722899999999999</c:v>
                </c:pt>
                <c:pt idx="42">
                  <c:v>17.097100000000001</c:v>
                </c:pt>
                <c:pt idx="43">
                  <c:v>17.503799999999998</c:v>
                </c:pt>
                <c:pt idx="44">
                  <c:v>17.910900000000002</c:v>
                </c:pt>
                <c:pt idx="45">
                  <c:v>18.3186</c:v>
                </c:pt>
                <c:pt idx="46">
                  <c:v>18.7225</c:v>
                </c:pt>
                <c:pt idx="47">
                  <c:v>19.128699999999998</c:v>
                </c:pt>
                <c:pt idx="48">
                  <c:v>19.534400000000002</c:v>
                </c:pt>
                <c:pt idx="49">
                  <c:v>19.9453</c:v>
                </c:pt>
                <c:pt idx="50">
                  <c:v>20.349299999999999</c:v>
                </c:pt>
                <c:pt idx="51">
                  <c:v>20.7531</c:v>
                </c:pt>
                <c:pt idx="52">
                  <c:v>21.160399999999999</c:v>
                </c:pt>
                <c:pt idx="53">
                  <c:v>21.567900000000002</c:v>
                </c:pt>
                <c:pt idx="54">
                  <c:v>21.974900000000002</c:v>
                </c:pt>
                <c:pt idx="55">
                  <c:v>22.3782</c:v>
                </c:pt>
                <c:pt idx="56">
                  <c:v>22.7837</c:v>
                </c:pt>
                <c:pt idx="57">
                  <c:v>23.191600000000001</c:v>
                </c:pt>
                <c:pt idx="58">
                  <c:v>23.5975</c:v>
                </c:pt>
                <c:pt idx="59">
                  <c:v>24.000399999999999</c:v>
                </c:pt>
                <c:pt idx="60">
                  <c:v>24.4085</c:v>
                </c:pt>
                <c:pt idx="61">
                  <c:v>24.817299999999999</c:v>
                </c:pt>
                <c:pt idx="62">
                  <c:v>25.223199999999999</c:v>
                </c:pt>
                <c:pt idx="63">
                  <c:v>25.6311</c:v>
                </c:pt>
                <c:pt idx="64">
                  <c:v>26.0351</c:v>
                </c:pt>
                <c:pt idx="65">
                  <c:v>26.4422</c:v>
                </c:pt>
                <c:pt idx="66">
                  <c:v>26.849900000000002</c:v>
                </c:pt>
                <c:pt idx="67">
                  <c:v>27.255700000000001</c:v>
                </c:pt>
                <c:pt idx="68">
                  <c:v>27.662600000000001</c:v>
                </c:pt>
                <c:pt idx="69">
                  <c:v>28.064599999999999</c:v>
                </c:pt>
                <c:pt idx="70">
                  <c:v>28.471599999999999</c:v>
                </c:pt>
                <c:pt idx="71">
                  <c:v>28.883199999999999</c:v>
                </c:pt>
                <c:pt idx="72">
                  <c:v>29.2866</c:v>
                </c:pt>
                <c:pt idx="73">
                  <c:v>29.689900000000002</c:v>
                </c:pt>
                <c:pt idx="74">
                  <c:v>30.097300000000001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  <c:pt idx="38">
                  <c:v>4.4246600000000003</c:v>
                </c:pt>
                <c:pt idx="39">
                  <c:v>4.4263599999999999</c:v>
                </c:pt>
                <c:pt idx="40">
                  <c:v>4.4217899999999997</c:v>
                </c:pt>
                <c:pt idx="41">
                  <c:v>4.4138599999999997</c:v>
                </c:pt>
                <c:pt idx="42">
                  <c:v>4.40029</c:v>
                </c:pt>
                <c:pt idx="43">
                  <c:v>4.3818999999999999</c:v>
                </c:pt>
                <c:pt idx="44">
                  <c:v>4.3635400000000004</c:v>
                </c:pt>
                <c:pt idx="45">
                  <c:v>4.3458399999999999</c:v>
                </c:pt>
                <c:pt idx="46">
                  <c:v>4.3345000000000002</c:v>
                </c:pt>
                <c:pt idx="47">
                  <c:v>4.3286899999999999</c:v>
                </c:pt>
                <c:pt idx="48">
                  <c:v>4.3252299999999995</c:v>
                </c:pt>
                <c:pt idx="49">
                  <c:v>4.3235000000000001</c:v>
                </c:pt>
                <c:pt idx="50">
                  <c:v>4.3216999999999999</c:v>
                </c:pt>
                <c:pt idx="51">
                  <c:v>4.3206299999999995</c:v>
                </c:pt>
                <c:pt idx="52">
                  <c:v>4.3194600000000003</c:v>
                </c:pt>
                <c:pt idx="53">
                  <c:v>4.3183300000000004</c:v>
                </c:pt>
                <c:pt idx="54">
                  <c:v>4.3155799999999997</c:v>
                </c:pt>
                <c:pt idx="55">
                  <c:v>4.3097099999999999</c:v>
                </c:pt>
                <c:pt idx="56">
                  <c:v>4.2983700000000002</c:v>
                </c:pt>
                <c:pt idx="57">
                  <c:v>4.2833900000000007</c:v>
                </c:pt>
                <c:pt idx="58">
                  <c:v>4.27006</c:v>
                </c:pt>
                <c:pt idx="59">
                  <c:v>4.2557799999999997</c:v>
                </c:pt>
                <c:pt idx="60">
                  <c:v>4.2418399999999998</c:v>
                </c:pt>
                <c:pt idx="61">
                  <c:v>4.2298900000000001</c:v>
                </c:pt>
                <c:pt idx="62">
                  <c:v>4.2160599999999997</c:v>
                </c:pt>
                <c:pt idx="63">
                  <c:v>4.2035099999999996</c:v>
                </c:pt>
                <c:pt idx="64">
                  <c:v>4.1939299999999999</c:v>
                </c:pt>
                <c:pt idx="65">
                  <c:v>4.1917600000000004</c:v>
                </c:pt>
                <c:pt idx="66">
                  <c:v>4.1875600000000004</c:v>
                </c:pt>
                <c:pt idx="67">
                  <c:v>4.1883400000000002</c:v>
                </c:pt>
                <c:pt idx="68">
                  <c:v>4.1919300000000002</c:v>
                </c:pt>
                <c:pt idx="69">
                  <c:v>4.2000500000000001</c:v>
                </c:pt>
                <c:pt idx="70">
                  <c:v>4.2141599999999997</c:v>
                </c:pt>
                <c:pt idx="71">
                  <c:v>4.2229899999999994</c:v>
                </c:pt>
                <c:pt idx="72">
                  <c:v>4.2335200000000004</c:v>
                </c:pt>
                <c:pt idx="73">
                  <c:v>4.2480600000000006</c:v>
                </c:pt>
                <c:pt idx="74">
                  <c:v>4.27637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15.003500000000001</c:v>
                </c:pt>
                <c:pt idx="1">
                  <c:v>15.5989</c:v>
                </c:pt>
                <c:pt idx="2">
                  <c:v>15.9762</c:v>
                </c:pt>
                <c:pt idx="3">
                  <c:v>16.349900000000002</c:v>
                </c:pt>
                <c:pt idx="4">
                  <c:v>16.722899999999999</c:v>
                </c:pt>
                <c:pt idx="5">
                  <c:v>17.097100000000001</c:v>
                </c:pt>
                <c:pt idx="6">
                  <c:v>17.503799999999998</c:v>
                </c:pt>
                <c:pt idx="7">
                  <c:v>17.910900000000002</c:v>
                </c:pt>
                <c:pt idx="8">
                  <c:v>18.3186</c:v>
                </c:pt>
                <c:pt idx="9">
                  <c:v>18.7225</c:v>
                </c:pt>
                <c:pt idx="10">
                  <c:v>19.128699999999998</c:v>
                </c:pt>
                <c:pt idx="11">
                  <c:v>19.534400000000002</c:v>
                </c:pt>
                <c:pt idx="12">
                  <c:v>19.9453</c:v>
                </c:pt>
                <c:pt idx="13">
                  <c:v>20.349299999999999</c:v>
                </c:pt>
                <c:pt idx="14">
                  <c:v>20.7531</c:v>
                </c:pt>
                <c:pt idx="15">
                  <c:v>21.160399999999999</c:v>
                </c:pt>
                <c:pt idx="16">
                  <c:v>21.567900000000002</c:v>
                </c:pt>
                <c:pt idx="17">
                  <c:v>21.974900000000002</c:v>
                </c:pt>
                <c:pt idx="18">
                  <c:v>22.3782</c:v>
                </c:pt>
                <c:pt idx="19">
                  <c:v>22.7837</c:v>
                </c:pt>
                <c:pt idx="20">
                  <c:v>23.191600000000001</c:v>
                </c:pt>
                <c:pt idx="21">
                  <c:v>23.5975</c:v>
                </c:pt>
                <c:pt idx="22">
                  <c:v>24.000399999999999</c:v>
                </c:pt>
                <c:pt idx="23">
                  <c:v>24.4085</c:v>
                </c:pt>
                <c:pt idx="24">
                  <c:v>24.817299999999999</c:v>
                </c:pt>
                <c:pt idx="25">
                  <c:v>25.223199999999999</c:v>
                </c:pt>
                <c:pt idx="26">
                  <c:v>25.6311</c:v>
                </c:pt>
                <c:pt idx="27">
                  <c:v>26.0351</c:v>
                </c:pt>
                <c:pt idx="28">
                  <c:v>26.4422</c:v>
                </c:pt>
                <c:pt idx="29">
                  <c:v>26.849900000000002</c:v>
                </c:pt>
                <c:pt idx="30">
                  <c:v>27.255700000000001</c:v>
                </c:pt>
                <c:pt idx="31">
                  <c:v>27.662600000000001</c:v>
                </c:pt>
                <c:pt idx="32">
                  <c:v>28.064599999999999</c:v>
                </c:pt>
                <c:pt idx="33">
                  <c:v>28.471599999999999</c:v>
                </c:pt>
                <c:pt idx="34">
                  <c:v>28.883199999999999</c:v>
                </c:pt>
                <c:pt idx="35">
                  <c:v>29.2866</c:v>
                </c:pt>
                <c:pt idx="36">
                  <c:v>29.689900000000002</c:v>
                </c:pt>
                <c:pt idx="37">
                  <c:v>30.097300000000001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4.4171500000000004</c:v>
                </c:pt>
                <c:pt idx="1">
                  <c:v>4.4246600000000003</c:v>
                </c:pt>
                <c:pt idx="2">
                  <c:v>4.4263599999999999</c:v>
                </c:pt>
                <c:pt idx="3">
                  <c:v>4.4217899999999997</c:v>
                </c:pt>
                <c:pt idx="4">
                  <c:v>4.4138599999999997</c:v>
                </c:pt>
                <c:pt idx="5">
                  <c:v>4.40029</c:v>
                </c:pt>
                <c:pt idx="6">
                  <c:v>4.3818999999999999</c:v>
                </c:pt>
                <c:pt idx="7">
                  <c:v>4.3635400000000004</c:v>
                </c:pt>
                <c:pt idx="8">
                  <c:v>4.3458399999999999</c:v>
                </c:pt>
                <c:pt idx="9">
                  <c:v>4.3345000000000002</c:v>
                </c:pt>
                <c:pt idx="10">
                  <c:v>4.3286899999999999</c:v>
                </c:pt>
                <c:pt idx="11">
                  <c:v>4.3252299999999995</c:v>
                </c:pt>
                <c:pt idx="12">
                  <c:v>4.3235000000000001</c:v>
                </c:pt>
                <c:pt idx="13">
                  <c:v>4.3216999999999999</c:v>
                </c:pt>
                <c:pt idx="14">
                  <c:v>4.3206299999999995</c:v>
                </c:pt>
                <c:pt idx="15">
                  <c:v>4.3194600000000003</c:v>
                </c:pt>
                <c:pt idx="16">
                  <c:v>4.3183300000000004</c:v>
                </c:pt>
                <c:pt idx="17">
                  <c:v>4.3155799999999997</c:v>
                </c:pt>
                <c:pt idx="18">
                  <c:v>4.3097099999999999</c:v>
                </c:pt>
                <c:pt idx="19">
                  <c:v>4.2983700000000002</c:v>
                </c:pt>
                <c:pt idx="20">
                  <c:v>4.2833900000000007</c:v>
                </c:pt>
                <c:pt idx="21">
                  <c:v>4.27006</c:v>
                </c:pt>
                <c:pt idx="22">
                  <c:v>4.2557799999999997</c:v>
                </c:pt>
                <c:pt idx="23">
                  <c:v>4.2418399999999998</c:v>
                </c:pt>
                <c:pt idx="24">
                  <c:v>4.2298900000000001</c:v>
                </c:pt>
                <c:pt idx="25">
                  <c:v>4.2160599999999997</c:v>
                </c:pt>
                <c:pt idx="26">
                  <c:v>4.2035099999999996</c:v>
                </c:pt>
                <c:pt idx="27">
                  <c:v>4.1939299999999999</c:v>
                </c:pt>
                <c:pt idx="28">
                  <c:v>4.1917600000000004</c:v>
                </c:pt>
                <c:pt idx="29">
                  <c:v>4.1875600000000004</c:v>
                </c:pt>
                <c:pt idx="30">
                  <c:v>4.1883400000000002</c:v>
                </c:pt>
                <c:pt idx="31">
                  <c:v>4.1919300000000002</c:v>
                </c:pt>
                <c:pt idx="32">
                  <c:v>4.2000500000000001</c:v>
                </c:pt>
                <c:pt idx="33">
                  <c:v>4.2141599999999997</c:v>
                </c:pt>
                <c:pt idx="34">
                  <c:v>4.2229899999999994</c:v>
                </c:pt>
                <c:pt idx="35">
                  <c:v>4.2335200000000004</c:v>
                </c:pt>
                <c:pt idx="36">
                  <c:v>4.2480600000000006</c:v>
                </c:pt>
                <c:pt idx="37">
                  <c:v>4.27637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7.5243250000000002</c:v>
                </c:pt>
                <c:pt idx="1">
                  <c:v>22.572975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3.468674594594594</c:v>
                </c:pt>
                <c:pt idx="1">
                  <c:v>4.2941599999999998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  <c:pt idx="38">
                  <c:v>15.5989</c:v>
                </c:pt>
                <c:pt idx="39">
                  <c:v>15.9762</c:v>
                </c:pt>
                <c:pt idx="40">
                  <c:v>16.349900000000002</c:v>
                </c:pt>
                <c:pt idx="41">
                  <c:v>16.722899999999999</c:v>
                </c:pt>
                <c:pt idx="42">
                  <c:v>17.097100000000001</c:v>
                </c:pt>
                <c:pt idx="43">
                  <c:v>17.503799999999998</c:v>
                </c:pt>
                <c:pt idx="44">
                  <c:v>17.910900000000002</c:v>
                </c:pt>
                <c:pt idx="45">
                  <c:v>18.3186</c:v>
                </c:pt>
                <c:pt idx="46">
                  <c:v>18.7225</c:v>
                </c:pt>
                <c:pt idx="47">
                  <c:v>19.128699999999998</c:v>
                </c:pt>
                <c:pt idx="48">
                  <c:v>19.534400000000002</c:v>
                </c:pt>
                <c:pt idx="49">
                  <c:v>19.9453</c:v>
                </c:pt>
                <c:pt idx="50">
                  <c:v>20.349299999999999</c:v>
                </c:pt>
                <c:pt idx="51">
                  <c:v>20.7531</c:v>
                </c:pt>
                <c:pt idx="52">
                  <c:v>21.160399999999999</c:v>
                </c:pt>
                <c:pt idx="53">
                  <c:v>21.567900000000002</c:v>
                </c:pt>
                <c:pt idx="54">
                  <c:v>21.974900000000002</c:v>
                </c:pt>
                <c:pt idx="55">
                  <c:v>22.3782</c:v>
                </c:pt>
                <c:pt idx="56">
                  <c:v>22.7837</c:v>
                </c:pt>
                <c:pt idx="57">
                  <c:v>23.191600000000001</c:v>
                </c:pt>
                <c:pt idx="58">
                  <c:v>23.5975</c:v>
                </c:pt>
                <c:pt idx="59">
                  <c:v>24.000399999999999</c:v>
                </c:pt>
                <c:pt idx="60">
                  <c:v>24.4085</c:v>
                </c:pt>
                <c:pt idx="61">
                  <c:v>24.817299999999999</c:v>
                </c:pt>
                <c:pt idx="62">
                  <c:v>25.223199999999999</c:v>
                </c:pt>
                <c:pt idx="63">
                  <c:v>25.6311</c:v>
                </c:pt>
                <c:pt idx="64">
                  <c:v>26.0351</c:v>
                </c:pt>
                <c:pt idx="65">
                  <c:v>26.4422</c:v>
                </c:pt>
                <c:pt idx="66">
                  <c:v>26.849900000000002</c:v>
                </c:pt>
                <c:pt idx="67">
                  <c:v>27.255700000000001</c:v>
                </c:pt>
                <c:pt idx="68">
                  <c:v>27.662600000000001</c:v>
                </c:pt>
                <c:pt idx="69">
                  <c:v>28.064599999999999</c:v>
                </c:pt>
                <c:pt idx="70">
                  <c:v>28.471599999999999</c:v>
                </c:pt>
                <c:pt idx="71">
                  <c:v>28.883199999999999</c:v>
                </c:pt>
                <c:pt idx="72">
                  <c:v>29.2866</c:v>
                </c:pt>
                <c:pt idx="73">
                  <c:v>29.689900000000002</c:v>
                </c:pt>
                <c:pt idx="74">
                  <c:v>30.097300000000001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  <c:pt idx="38">
                  <c:v>38.084899999999998</c:v>
                </c:pt>
                <c:pt idx="39">
                  <c:v>37.947399999999995</c:v>
                </c:pt>
                <c:pt idx="40">
                  <c:v>37.873899999999999</c:v>
                </c:pt>
                <c:pt idx="41">
                  <c:v>37.8324</c:v>
                </c:pt>
                <c:pt idx="42">
                  <c:v>37.811900000000001</c:v>
                </c:pt>
                <c:pt idx="43">
                  <c:v>37.844100000000005</c:v>
                </c:pt>
                <c:pt idx="44">
                  <c:v>37.933199999999999</c:v>
                </c:pt>
                <c:pt idx="45">
                  <c:v>37.996499999999997</c:v>
                </c:pt>
                <c:pt idx="46">
                  <c:v>38.079800000000006</c:v>
                </c:pt>
                <c:pt idx="47">
                  <c:v>38.162300000000002</c:v>
                </c:pt>
                <c:pt idx="48">
                  <c:v>38.2149</c:v>
                </c:pt>
                <c:pt idx="49">
                  <c:v>38.227400000000003</c:v>
                </c:pt>
                <c:pt idx="50">
                  <c:v>38.296700000000001</c:v>
                </c:pt>
                <c:pt idx="51">
                  <c:v>38.410699999999999</c:v>
                </c:pt>
                <c:pt idx="52">
                  <c:v>38.477400000000003</c:v>
                </c:pt>
                <c:pt idx="53">
                  <c:v>38.448399999999999</c:v>
                </c:pt>
                <c:pt idx="54">
                  <c:v>38.397999999999996</c:v>
                </c:pt>
                <c:pt idx="55">
                  <c:v>38.337299999999999</c:v>
                </c:pt>
                <c:pt idx="56">
                  <c:v>38.340800000000002</c:v>
                </c:pt>
                <c:pt idx="57">
                  <c:v>38.396099999999997</c:v>
                </c:pt>
                <c:pt idx="58">
                  <c:v>38.402299999999997</c:v>
                </c:pt>
                <c:pt idx="59">
                  <c:v>38.428899999999999</c:v>
                </c:pt>
                <c:pt idx="60">
                  <c:v>38.411699999999996</c:v>
                </c:pt>
                <c:pt idx="61">
                  <c:v>38.363199999999999</c:v>
                </c:pt>
                <c:pt idx="62">
                  <c:v>38.335700000000003</c:v>
                </c:pt>
                <c:pt idx="63">
                  <c:v>38.2744</c:v>
                </c:pt>
                <c:pt idx="64">
                  <c:v>38.258199999999995</c:v>
                </c:pt>
                <c:pt idx="65">
                  <c:v>38.106400000000001</c:v>
                </c:pt>
                <c:pt idx="66">
                  <c:v>37.972799999999999</c:v>
                </c:pt>
                <c:pt idx="67">
                  <c:v>37.844999999999999</c:v>
                </c:pt>
                <c:pt idx="68">
                  <c:v>37.817700000000002</c:v>
                </c:pt>
                <c:pt idx="69">
                  <c:v>37.695</c:v>
                </c:pt>
                <c:pt idx="70">
                  <c:v>37.672699999999999</c:v>
                </c:pt>
                <c:pt idx="71">
                  <c:v>37.711600000000004</c:v>
                </c:pt>
                <c:pt idx="72">
                  <c:v>37.667099999999998</c:v>
                </c:pt>
                <c:pt idx="73">
                  <c:v>37.377200000000002</c:v>
                </c:pt>
                <c:pt idx="74">
                  <c:v>37.098999999999997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0.37961400000000001</c:v>
                </c:pt>
                <c:pt idx="2">
                  <c:v>0.78556700000000002</c:v>
                </c:pt>
                <c:pt idx="3">
                  <c:v>1.19303</c:v>
                </c:pt>
                <c:pt idx="4">
                  <c:v>1.5993299999999999</c:v>
                </c:pt>
                <c:pt idx="5">
                  <c:v>2.0042300000000002</c:v>
                </c:pt>
                <c:pt idx="6">
                  <c:v>2.4111600000000002</c:v>
                </c:pt>
                <c:pt idx="7">
                  <c:v>2.8171400000000002</c:v>
                </c:pt>
                <c:pt idx="8">
                  <c:v>3.2219500000000001</c:v>
                </c:pt>
                <c:pt idx="9">
                  <c:v>3.6298499999999998</c:v>
                </c:pt>
                <c:pt idx="10">
                  <c:v>4.0345500000000003</c:v>
                </c:pt>
                <c:pt idx="11">
                  <c:v>4.4429299999999996</c:v>
                </c:pt>
                <c:pt idx="12">
                  <c:v>4.8496100000000002</c:v>
                </c:pt>
                <c:pt idx="13">
                  <c:v>5.2515400000000003</c:v>
                </c:pt>
                <c:pt idx="14">
                  <c:v>5.65787</c:v>
                </c:pt>
                <c:pt idx="15">
                  <c:v>6.0684199999999997</c:v>
                </c:pt>
                <c:pt idx="16">
                  <c:v>6.4753299999999996</c:v>
                </c:pt>
                <c:pt idx="17">
                  <c:v>6.8791700000000002</c:v>
                </c:pt>
                <c:pt idx="18">
                  <c:v>7.2851499999999998</c:v>
                </c:pt>
                <c:pt idx="19">
                  <c:v>7.6912200000000004</c:v>
                </c:pt>
                <c:pt idx="20">
                  <c:v>8.0990199999999994</c:v>
                </c:pt>
                <c:pt idx="21">
                  <c:v>8.5069900000000001</c:v>
                </c:pt>
                <c:pt idx="22">
                  <c:v>8.9107900000000004</c:v>
                </c:pt>
                <c:pt idx="23">
                  <c:v>9.3147500000000001</c:v>
                </c:pt>
                <c:pt idx="24">
                  <c:v>9.7216199999999997</c:v>
                </c:pt>
                <c:pt idx="25">
                  <c:v>10.128500000000001</c:v>
                </c:pt>
                <c:pt idx="26">
                  <c:v>10.5314</c:v>
                </c:pt>
                <c:pt idx="27">
                  <c:v>10.939500000000001</c:v>
                </c:pt>
                <c:pt idx="28">
                  <c:v>11.346299999999999</c:v>
                </c:pt>
                <c:pt idx="29">
                  <c:v>11.7552</c:v>
                </c:pt>
                <c:pt idx="30">
                  <c:v>12.1594</c:v>
                </c:pt>
                <c:pt idx="31">
                  <c:v>12.566000000000001</c:v>
                </c:pt>
                <c:pt idx="32">
                  <c:v>12.969099999999999</c:v>
                </c:pt>
                <c:pt idx="33">
                  <c:v>13.3818</c:v>
                </c:pt>
                <c:pt idx="34">
                  <c:v>13.781700000000001</c:v>
                </c:pt>
                <c:pt idx="35">
                  <c:v>14.1929</c:v>
                </c:pt>
                <c:pt idx="36">
                  <c:v>14.5975</c:v>
                </c:pt>
                <c:pt idx="37">
                  <c:v>15.003500000000001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15.003500000000001</c:v>
                </c:pt>
                <c:pt idx="1">
                  <c:v>15.5989</c:v>
                </c:pt>
                <c:pt idx="2">
                  <c:v>15.9762</c:v>
                </c:pt>
                <c:pt idx="3">
                  <c:v>16.349900000000002</c:v>
                </c:pt>
                <c:pt idx="4">
                  <c:v>16.722899999999999</c:v>
                </c:pt>
                <c:pt idx="5">
                  <c:v>17.097100000000001</c:v>
                </c:pt>
                <c:pt idx="6">
                  <c:v>17.503799999999998</c:v>
                </c:pt>
                <c:pt idx="7">
                  <c:v>17.910900000000002</c:v>
                </c:pt>
                <c:pt idx="8">
                  <c:v>18.3186</c:v>
                </c:pt>
                <c:pt idx="9">
                  <c:v>18.7225</c:v>
                </c:pt>
                <c:pt idx="10">
                  <c:v>19.128699999999998</c:v>
                </c:pt>
                <c:pt idx="11">
                  <c:v>19.534400000000002</c:v>
                </c:pt>
                <c:pt idx="12">
                  <c:v>19.9453</c:v>
                </c:pt>
                <c:pt idx="13">
                  <c:v>20.349299999999999</c:v>
                </c:pt>
                <c:pt idx="14">
                  <c:v>20.7531</c:v>
                </c:pt>
                <c:pt idx="15">
                  <c:v>21.160399999999999</c:v>
                </c:pt>
                <c:pt idx="16">
                  <c:v>21.567900000000002</c:v>
                </c:pt>
                <c:pt idx="17">
                  <c:v>21.974900000000002</c:v>
                </c:pt>
                <c:pt idx="18">
                  <c:v>22.3782</c:v>
                </c:pt>
                <c:pt idx="19">
                  <c:v>22.7837</c:v>
                </c:pt>
                <c:pt idx="20">
                  <c:v>23.191600000000001</c:v>
                </c:pt>
                <c:pt idx="21">
                  <c:v>23.5975</c:v>
                </c:pt>
                <c:pt idx="22">
                  <c:v>24.000399999999999</c:v>
                </c:pt>
                <c:pt idx="23">
                  <c:v>24.4085</c:v>
                </c:pt>
                <c:pt idx="24">
                  <c:v>24.817299999999999</c:v>
                </c:pt>
                <c:pt idx="25">
                  <c:v>25.223199999999999</c:v>
                </c:pt>
                <c:pt idx="26">
                  <c:v>25.6311</c:v>
                </c:pt>
                <c:pt idx="27">
                  <c:v>26.0351</c:v>
                </c:pt>
                <c:pt idx="28">
                  <c:v>26.4422</c:v>
                </c:pt>
                <c:pt idx="29">
                  <c:v>26.849900000000002</c:v>
                </c:pt>
                <c:pt idx="30">
                  <c:v>27.255700000000001</c:v>
                </c:pt>
                <c:pt idx="31">
                  <c:v>27.662600000000001</c:v>
                </c:pt>
                <c:pt idx="32">
                  <c:v>28.064599999999999</c:v>
                </c:pt>
                <c:pt idx="33">
                  <c:v>28.471599999999999</c:v>
                </c:pt>
                <c:pt idx="34">
                  <c:v>28.883199999999999</c:v>
                </c:pt>
                <c:pt idx="35">
                  <c:v>29.2866</c:v>
                </c:pt>
                <c:pt idx="36">
                  <c:v>29.689900000000002</c:v>
                </c:pt>
                <c:pt idx="37">
                  <c:v>30.097300000000001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38.149699999999996</c:v>
                </c:pt>
                <c:pt idx="1">
                  <c:v>38.084899999999998</c:v>
                </c:pt>
                <c:pt idx="2">
                  <c:v>37.947399999999995</c:v>
                </c:pt>
                <c:pt idx="3">
                  <c:v>37.873899999999999</c:v>
                </c:pt>
                <c:pt idx="4">
                  <c:v>37.8324</c:v>
                </c:pt>
                <c:pt idx="5">
                  <c:v>37.811900000000001</c:v>
                </c:pt>
                <c:pt idx="6">
                  <c:v>37.844100000000005</c:v>
                </c:pt>
                <c:pt idx="7">
                  <c:v>37.933199999999999</c:v>
                </c:pt>
                <c:pt idx="8">
                  <c:v>37.996499999999997</c:v>
                </c:pt>
                <c:pt idx="9">
                  <c:v>38.079800000000006</c:v>
                </c:pt>
                <c:pt idx="10">
                  <c:v>38.162300000000002</c:v>
                </c:pt>
                <c:pt idx="11">
                  <c:v>38.2149</c:v>
                </c:pt>
                <c:pt idx="12">
                  <c:v>38.227400000000003</c:v>
                </c:pt>
                <c:pt idx="13">
                  <c:v>38.296700000000001</c:v>
                </c:pt>
                <c:pt idx="14">
                  <c:v>38.410699999999999</c:v>
                </c:pt>
                <c:pt idx="15">
                  <c:v>38.477400000000003</c:v>
                </c:pt>
                <c:pt idx="16">
                  <c:v>38.448399999999999</c:v>
                </c:pt>
                <c:pt idx="17">
                  <c:v>38.397999999999996</c:v>
                </c:pt>
                <c:pt idx="18">
                  <c:v>38.337299999999999</c:v>
                </c:pt>
                <c:pt idx="19">
                  <c:v>38.340800000000002</c:v>
                </c:pt>
                <c:pt idx="20">
                  <c:v>38.396099999999997</c:v>
                </c:pt>
                <c:pt idx="21">
                  <c:v>38.402299999999997</c:v>
                </c:pt>
                <c:pt idx="22">
                  <c:v>38.428899999999999</c:v>
                </c:pt>
                <c:pt idx="23">
                  <c:v>38.411699999999996</c:v>
                </c:pt>
                <c:pt idx="24">
                  <c:v>38.363199999999999</c:v>
                </c:pt>
                <c:pt idx="25">
                  <c:v>38.335700000000003</c:v>
                </c:pt>
                <c:pt idx="26">
                  <c:v>38.2744</c:v>
                </c:pt>
                <c:pt idx="27">
                  <c:v>38.258199999999995</c:v>
                </c:pt>
                <c:pt idx="28">
                  <c:v>38.106400000000001</c:v>
                </c:pt>
                <c:pt idx="29">
                  <c:v>37.972799999999999</c:v>
                </c:pt>
                <c:pt idx="30">
                  <c:v>37.844999999999999</c:v>
                </c:pt>
                <c:pt idx="31">
                  <c:v>37.817700000000002</c:v>
                </c:pt>
                <c:pt idx="32">
                  <c:v>37.695</c:v>
                </c:pt>
                <c:pt idx="33">
                  <c:v>37.672699999999999</c:v>
                </c:pt>
                <c:pt idx="34">
                  <c:v>37.711600000000004</c:v>
                </c:pt>
                <c:pt idx="35">
                  <c:v>37.667099999999998</c:v>
                </c:pt>
                <c:pt idx="36">
                  <c:v>37.377200000000002</c:v>
                </c:pt>
                <c:pt idx="37">
                  <c:v>37.098999999999997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7.5243250000000002</c:v>
                </c:pt>
                <c:pt idx="1">
                  <c:v>22.572975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45.229937837837845</c:v>
                </c:pt>
                <c:pt idx="1">
                  <c:v>38.097397297297306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  <c:pt idx="38">
                  <c:v>4.4246600000000003</c:v>
                </c:pt>
                <c:pt idx="39">
                  <c:v>4.4263599999999999</c:v>
                </c:pt>
                <c:pt idx="40">
                  <c:v>4.4217899999999997</c:v>
                </c:pt>
                <c:pt idx="41">
                  <c:v>4.4138599999999997</c:v>
                </c:pt>
                <c:pt idx="42">
                  <c:v>4.40029</c:v>
                </c:pt>
                <c:pt idx="43">
                  <c:v>4.3818999999999999</c:v>
                </c:pt>
                <c:pt idx="44">
                  <c:v>4.3635400000000004</c:v>
                </c:pt>
                <c:pt idx="45">
                  <c:v>4.3458399999999999</c:v>
                </c:pt>
                <c:pt idx="46">
                  <c:v>4.3345000000000002</c:v>
                </c:pt>
                <c:pt idx="47">
                  <c:v>4.3286899999999999</c:v>
                </c:pt>
                <c:pt idx="48">
                  <c:v>4.3252299999999995</c:v>
                </c:pt>
                <c:pt idx="49">
                  <c:v>4.3235000000000001</c:v>
                </c:pt>
                <c:pt idx="50">
                  <c:v>4.3216999999999999</c:v>
                </c:pt>
                <c:pt idx="51">
                  <c:v>4.3206299999999995</c:v>
                </c:pt>
                <c:pt idx="52">
                  <c:v>4.3194600000000003</c:v>
                </c:pt>
                <c:pt idx="53">
                  <c:v>4.3183300000000004</c:v>
                </c:pt>
                <c:pt idx="54">
                  <c:v>4.3155799999999997</c:v>
                </c:pt>
                <c:pt idx="55">
                  <c:v>4.3097099999999999</c:v>
                </c:pt>
                <c:pt idx="56">
                  <c:v>4.2983700000000002</c:v>
                </c:pt>
                <c:pt idx="57">
                  <c:v>4.2833900000000007</c:v>
                </c:pt>
                <c:pt idx="58">
                  <c:v>4.27006</c:v>
                </c:pt>
                <c:pt idx="59">
                  <c:v>4.2557799999999997</c:v>
                </c:pt>
                <c:pt idx="60">
                  <c:v>4.2418399999999998</c:v>
                </c:pt>
                <c:pt idx="61">
                  <c:v>4.2298900000000001</c:v>
                </c:pt>
                <c:pt idx="62">
                  <c:v>4.2160599999999997</c:v>
                </c:pt>
                <c:pt idx="63">
                  <c:v>4.2035099999999996</c:v>
                </c:pt>
                <c:pt idx="64">
                  <c:v>4.1939299999999999</c:v>
                </c:pt>
                <c:pt idx="65">
                  <c:v>4.1917600000000004</c:v>
                </c:pt>
                <c:pt idx="66">
                  <c:v>4.1875600000000004</c:v>
                </c:pt>
                <c:pt idx="67">
                  <c:v>4.1883400000000002</c:v>
                </c:pt>
                <c:pt idx="68">
                  <c:v>4.1919300000000002</c:v>
                </c:pt>
                <c:pt idx="69">
                  <c:v>4.2000500000000001</c:v>
                </c:pt>
                <c:pt idx="70">
                  <c:v>4.2141599999999997</c:v>
                </c:pt>
                <c:pt idx="71">
                  <c:v>4.2229899999999994</c:v>
                </c:pt>
                <c:pt idx="72">
                  <c:v>4.2335200000000004</c:v>
                </c:pt>
                <c:pt idx="73">
                  <c:v>4.2480600000000006</c:v>
                </c:pt>
                <c:pt idx="74">
                  <c:v>4.27637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  <c:pt idx="38">
                  <c:v>38.084899999999998</c:v>
                </c:pt>
                <c:pt idx="39">
                  <c:v>37.947399999999995</c:v>
                </c:pt>
                <c:pt idx="40">
                  <c:v>37.873899999999999</c:v>
                </c:pt>
                <c:pt idx="41">
                  <c:v>37.8324</c:v>
                </c:pt>
                <c:pt idx="42">
                  <c:v>37.811900000000001</c:v>
                </c:pt>
                <c:pt idx="43">
                  <c:v>37.844100000000005</c:v>
                </c:pt>
                <c:pt idx="44">
                  <c:v>37.933199999999999</c:v>
                </c:pt>
                <c:pt idx="45">
                  <c:v>37.996499999999997</c:v>
                </c:pt>
                <c:pt idx="46">
                  <c:v>38.079800000000006</c:v>
                </c:pt>
                <c:pt idx="47">
                  <c:v>38.162300000000002</c:v>
                </c:pt>
                <c:pt idx="48">
                  <c:v>38.2149</c:v>
                </c:pt>
                <c:pt idx="49">
                  <c:v>38.227400000000003</c:v>
                </c:pt>
                <c:pt idx="50">
                  <c:v>38.296700000000001</c:v>
                </c:pt>
                <c:pt idx="51">
                  <c:v>38.410699999999999</c:v>
                </c:pt>
                <c:pt idx="52">
                  <c:v>38.477400000000003</c:v>
                </c:pt>
                <c:pt idx="53">
                  <c:v>38.448399999999999</c:v>
                </c:pt>
                <c:pt idx="54">
                  <c:v>38.397999999999996</c:v>
                </c:pt>
                <c:pt idx="55">
                  <c:v>38.337299999999999</c:v>
                </c:pt>
                <c:pt idx="56">
                  <c:v>38.340800000000002</c:v>
                </c:pt>
                <c:pt idx="57">
                  <c:v>38.396099999999997</c:v>
                </c:pt>
                <c:pt idx="58">
                  <c:v>38.402299999999997</c:v>
                </c:pt>
                <c:pt idx="59">
                  <c:v>38.428899999999999</c:v>
                </c:pt>
                <c:pt idx="60">
                  <c:v>38.411699999999996</c:v>
                </c:pt>
                <c:pt idx="61">
                  <c:v>38.363199999999999</c:v>
                </c:pt>
                <c:pt idx="62">
                  <c:v>38.335700000000003</c:v>
                </c:pt>
                <c:pt idx="63">
                  <c:v>38.2744</c:v>
                </c:pt>
                <c:pt idx="64">
                  <c:v>38.258199999999995</c:v>
                </c:pt>
                <c:pt idx="65">
                  <c:v>38.106400000000001</c:v>
                </c:pt>
                <c:pt idx="66">
                  <c:v>37.972799999999999</c:v>
                </c:pt>
                <c:pt idx="67">
                  <c:v>37.844999999999999</c:v>
                </c:pt>
                <c:pt idx="68">
                  <c:v>37.817700000000002</c:v>
                </c:pt>
                <c:pt idx="69">
                  <c:v>37.695</c:v>
                </c:pt>
                <c:pt idx="70">
                  <c:v>37.672699999999999</c:v>
                </c:pt>
                <c:pt idx="71">
                  <c:v>37.711600000000004</c:v>
                </c:pt>
                <c:pt idx="72">
                  <c:v>37.667099999999998</c:v>
                </c:pt>
                <c:pt idx="73">
                  <c:v>37.377200000000002</c:v>
                </c:pt>
                <c:pt idx="74">
                  <c:v>37.098999999999997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2.1774</c:v>
                </c:pt>
                <c:pt idx="1">
                  <c:v>2.2541500000000001</c:v>
                </c:pt>
                <c:pt idx="2">
                  <c:v>2.3332100000000002</c:v>
                </c:pt>
                <c:pt idx="3">
                  <c:v>2.4094600000000002</c:v>
                </c:pt>
                <c:pt idx="4">
                  <c:v>2.4831500000000002</c:v>
                </c:pt>
                <c:pt idx="5">
                  <c:v>2.5546699999999998</c:v>
                </c:pt>
                <c:pt idx="6">
                  <c:v>2.6301799999999997</c:v>
                </c:pt>
                <c:pt idx="7">
                  <c:v>2.7107399999999999</c:v>
                </c:pt>
                <c:pt idx="8">
                  <c:v>2.7910900000000001</c:v>
                </c:pt>
                <c:pt idx="9">
                  <c:v>2.86978</c:v>
                </c:pt>
                <c:pt idx="10">
                  <c:v>2.9464299999999999</c:v>
                </c:pt>
                <c:pt idx="11">
                  <c:v>3.0224299999999999</c:v>
                </c:pt>
                <c:pt idx="12">
                  <c:v>3.10378</c:v>
                </c:pt>
                <c:pt idx="13">
                  <c:v>3.16351</c:v>
                </c:pt>
                <c:pt idx="14">
                  <c:v>3.2468200000000005</c:v>
                </c:pt>
                <c:pt idx="15">
                  <c:v>3.3292799999999998</c:v>
                </c:pt>
                <c:pt idx="16">
                  <c:v>3.4132199999999999</c:v>
                </c:pt>
                <c:pt idx="17">
                  <c:v>3.4974699999999999</c:v>
                </c:pt>
                <c:pt idx="18">
                  <c:v>3.5826000000000002</c:v>
                </c:pt>
                <c:pt idx="19">
                  <c:v>3.6663600000000001</c:v>
                </c:pt>
                <c:pt idx="20">
                  <c:v>3.74254</c:v>
                </c:pt>
                <c:pt idx="21">
                  <c:v>3.8145699999999998</c:v>
                </c:pt>
                <c:pt idx="22">
                  <c:v>3.8761400000000004</c:v>
                </c:pt>
                <c:pt idx="23">
                  <c:v>3.9295900000000001</c:v>
                </c:pt>
                <c:pt idx="24">
                  <c:v>3.9773199999999997</c:v>
                </c:pt>
                <c:pt idx="25">
                  <c:v>4.0242499999999994</c:v>
                </c:pt>
                <c:pt idx="26">
                  <c:v>4.0702600000000002</c:v>
                </c:pt>
                <c:pt idx="27">
                  <c:v>4.1116399999999995</c:v>
                </c:pt>
                <c:pt idx="28">
                  <c:v>4.1504099999999999</c:v>
                </c:pt>
                <c:pt idx="29">
                  <c:v>4.1878399999999996</c:v>
                </c:pt>
                <c:pt idx="30">
                  <c:v>4.2264499999999998</c:v>
                </c:pt>
                <c:pt idx="31">
                  <c:v>4.2650800000000002</c:v>
                </c:pt>
                <c:pt idx="32">
                  <c:v>4.3003999999999998</c:v>
                </c:pt>
                <c:pt idx="33">
                  <c:v>4.3323400000000003</c:v>
                </c:pt>
                <c:pt idx="34">
                  <c:v>4.3588900000000006</c:v>
                </c:pt>
                <c:pt idx="35">
                  <c:v>4.38401</c:v>
                </c:pt>
                <c:pt idx="36">
                  <c:v>4.4035000000000002</c:v>
                </c:pt>
                <c:pt idx="37">
                  <c:v>4.4171500000000004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59.330799999999996</c:v>
                </c:pt>
                <c:pt idx="1">
                  <c:v>58.419399999999996</c:v>
                </c:pt>
                <c:pt idx="2">
                  <c:v>57.407699999999991</c:v>
                </c:pt>
                <c:pt idx="3">
                  <c:v>56.510899999999999</c:v>
                </c:pt>
                <c:pt idx="4">
                  <c:v>55.743099999999998</c:v>
                </c:pt>
                <c:pt idx="5">
                  <c:v>55.086500000000008</c:v>
                </c:pt>
                <c:pt idx="6">
                  <c:v>54.316299999999998</c:v>
                </c:pt>
                <c:pt idx="7">
                  <c:v>53.377699999999997</c:v>
                </c:pt>
                <c:pt idx="8">
                  <c:v>52.466900000000003</c:v>
                </c:pt>
                <c:pt idx="9">
                  <c:v>51.523300000000006</c:v>
                </c:pt>
                <c:pt idx="10">
                  <c:v>50.7271</c:v>
                </c:pt>
                <c:pt idx="11">
                  <c:v>49.867699999999999</c:v>
                </c:pt>
                <c:pt idx="12">
                  <c:v>48.872399999999999</c:v>
                </c:pt>
                <c:pt idx="13">
                  <c:v>48.458600000000004</c:v>
                </c:pt>
                <c:pt idx="14">
                  <c:v>47.362900000000003</c:v>
                </c:pt>
                <c:pt idx="15">
                  <c:v>46.125399999999999</c:v>
                </c:pt>
                <c:pt idx="16">
                  <c:v>44.881</c:v>
                </c:pt>
                <c:pt idx="17">
                  <c:v>43.63</c:v>
                </c:pt>
                <c:pt idx="18">
                  <c:v>42.241800000000005</c:v>
                </c:pt>
                <c:pt idx="19">
                  <c:v>40.940799999999996</c:v>
                </c:pt>
                <c:pt idx="20">
                  <c:v>40.044600000000003</c:v>
                </c:pt>
                <c:pt idx="21">
                  <c:v>39.3919</c:v>
                </c:pt>
                <c:pt idx="22">
                  <c:v>39.025100000000002</c:v>
                </c:pt>
                <c:pt idx="23">
                  <c:v>38.837800000000001</c:v>
                </c:pt>
                <c:pt idx="24">
                  <c:v>38.698599999999999</c:v>
                </c:pt>
                <c:pt idx="25">
                  <c:v>38.583399999999997</c:v>
                </c:pt>
                <c:pt idx="26">
                  <c:v>38.4161</c:v>
                </c:pt>
                <c:pt idx="27">
                  <c:v>38.2483</c:v>
                </c:pt>
                <c:pt idx="28">
                  <c:v>38.250399999999999</c:v>
                </c:pt>
                <c:pt idx="29">
                  <c:v>38.330300000000001</c:v>
                </c:pt>
                <c:pt idx="30">
                  <c:v>38.471499999999999</c:v>
                </c:pt>
                <c:pt idx="31">
                  <c:v>38.497399999999999</c:v>
                </c:pt>
                <c:pt idx="32">
                  <c:v>38.401899999999998</c:v>
                </c:pt>
                <c:pt idx="33">
                  <c:v>38.315100000000001</c:v>
                </c:pt>
                <c:pt idx="34">
                  <c:v>38.258900000000004</c:v>
                </c:pt>
                <c:pt idx="35">
                  <c:v>38.224399999999996</c:v>
                </c:pt>
                <c:pt idx="36">
                  <c:v>38.221699999999998</c:v>
                </c:pt>
                <c:pt idx="37">
                  <c:v>38.149699999999996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4.4171500000000004</c:v>
                </c:pt>
                <c:pt idx="1">
                  <c:v>4.4246600000000003</c:v>
                </c:pt>
                <c:pt idx="2">
                  <c:v>4.4263599999999999</c:v>
                </c:pt>
                <c:pt idx="3">
                  <c:v>4.4217899999999997</c:v>
                </c:pt>
                <c:pt idx="4">
                  <c:v>4.4138599999999997</c:v>
                </c:pt>
                <c:pt idx="5">
                  <c:v>4.40029</c:v>
                </c:pt>
                <c:pt idx="6">
                  <c:v>4.3818999999999999</c:v>
                </c:pt>
                <c:pt idx="7">
                  <c:v>4.3635400000000004</c:v>
                </c:pt>
                <c:pt idx="8">
                  <c:v>4.3458399999999999</c:v>
                </c:pt>
                <c:pt idx="9">
                  <c:v>4.3345000000000002</c:v>
                </c:pt>
                <c:pt idx="10">
                  <c:v>4.3286899999999999</c:v>
                </c:pt>
                <c:pt idx="11">
                  <c:v>4.3252299999999995</c:v>
                </c:pt>
                <c:pt idx="12">
                  <c:v>4.3235000000000001</c:v>
                </c:pt>
                <c:pt idx="13">
                  <c:v>4.3216999999999999</c:v>
                </c:pt>
                <c:pt idx="14">
                  <c:v>4.3206299999999995</c:v>
                </c:pt>
                <c:pt idx="15">
                  <c:v>4.3194600000000003</c:v>
                </c:pt>
                <c:pt idx="16">
                  <c:v>4.3183300000000004</c:v>
                </c:pt>
                <c:pt idx="17">
                  <c:v>4.3155799999999997</c:v>
                </c:pt>
                <c:pt idx="18">
                  <c:v>4.3097099999999999</c:v>
                </c:pt>
                <c:pt idx="19">
                  <c:v>4.2983700000000002</c:v>
                </c:pt>
                <c:pt idx="20">
                  <c:v>4.2833900000000007</c:v>
                </c:pt>
                <c:pt idx="21">
                  <c:v>4.27006</c:v>
                </c:pt>
                <c:pt idx="22">
                  <c:v>4.2557799999999997</c:v>
                </c:pt>
                <c:pt idx="23">
                  <c:v>4.2418399999999998</c:v>
                </c:pt>
                <c:pt idx="24">
                  <c:v>4.2298900000000001</c:v>
                </c:pt>
                <c:pt idx="25">
                  <c:v>4.2160599999999997</c:v>
                </c:pt>
                <c:pt idx="26">
                  <c:v>4.2035099999999996</c:v>
                </c:pt>
                <c:pt idx="27">
                  <c:v>4.1939299999999999</c:v>
                </c:pt>
                <c:pt idx="28">
                  <c:v>4.1917600000000004</c:v>
                </c:pt>
                <c:pt idx="29">
                  <c:v>4.1875600000000004</c:v>
                </c:pt>
                <c:pt idx="30">
                  <c:v>4.1883400000000002</c:v>
                </c:pt>
                <c:pt idx="31">
                  <c:v>4.1919300000000002</c:v>
                </c:pt>
                <c:pt idx="32">
                  <c:v>4.2000500000000001</c:v>
                </c:pt>
                <c:pt idx="33">
                  <c:v>4.2141599999999997</c:v>
                </c:pt>
                <c:pt idx="34">
                  <c:v>4.2229899999999994</c:v>
                </c:pt>
                <c:pt idx="35">
                  <c:v>4.2335200000000004</c:v>
                </c:pt>
                <c:pt idx="36">
                  <c:v>4.2480600000000006</c:v>
                </c:pt>
                <c:pt idx="37">
                  <c:v>4.27637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38.149699999999996</c:v>
                </c:pt>
                <c:pt idx="1">
                  <c:v>38.084899999999998</c:v>
                </c:pt>
                <c:pt idx="2">
                  <c:v>37.947399999999995</c:v>
                </c:pt>
                <c:pt idx="3">
                  <c:v>37.873899999999999</c:v>
                </c:pt>
                <c:pt idx="4">
                  <c:v>37.8324</c:v>
                </c:pt>
                <c:pt idx="5">
                  <c:v>37.811900000000001</c:v>
                </c:pt>
                <c:pt idx="6">
                  <c:v>37.844100000000005</c:v>
                </c:pt>
                <c:pt idx="7">
                  <c:v>37.933199999999999</c:v>
                </c:pt>
                <c:pt idx="8">
                  <c:v>37.996499999999997</c:v>
                </c:pt>
                <c:pt idx="9">
                  <c:v>38.079800000000006</c:v>
                </c:pt>
                <c:pt idx="10">
                  <c:v>38.162300000000002</c:v>
                </c:pt>
                <c:pt idx="11">
                  <c:v>38.2149</c:v>
                </c:pt>
                <c:pt idx="12">
                  <c:v>38.227400000000003</c:v>
                </c:pt>
                <c:pt idx="13">
                  <c:v>38.296700000000001</c:v>
                </c:pt>
                <c:pt idx="14">
                  <c:v>38.410699999999999</c:v>
                </c:pt>
                <c:pt idx="15">
                  <c:v>38.477400000000003</c:v>
                </c:pt>
                <c:pt idx="16">
                  <c:v>38.448399999999999</c:v>
                </c:pt>
                <c:pt idx="17">
                  <c:v>38.397999999999996</c:v>
                </c:pt>
                <c:pt idx="18">
                  <c:v>38.337299999999999</c:v>
                </c:pt>
                <c:pt idx="19">
                  <c:v>38.340800000000002</c:v>
                </c:pt>
                <c:pt idx="20">
                  <c:v>38.396099999999997</c:v>
                </c:pt>
                <c:pt idx="21">
                  <c:v>38.402299999999997</c:v>
                </c:pt>
                <c:pt idx="22">
                  <c:v>38.428899999999999</c:v>
                </c:pt>
                <c:pt idx="23">
                  <c:v>38.411699999999996</c:v>
                </c:pt>
                <c:pt idx="24">
                  <c:v>38.363199999999999</c:v>
                </c:pt>
                <c:pt idx="25">
                  <c:v>38.335700000000003</c:v>
                </c:pt>
                <c:pt idx="26">
                  <c:v>38.2744</c:v>
                </c:pt>
                <c:pt idx="27">
                  <c:v>38.258199999999995</c:v>
                </c:pt>
                <c:pt idx="28">
                  <c:v>38.106400000000001</c:v>
                </c:pt>
                <c:pt idx="29">
                  <c:v>37.972799999999999</c:v>
                </c:pt>
                <c:pt idx="30">
                  <c:v>37.844999999999999</c:v>
                </c:pt>
                <c:pt idx="31">
                  <c:v>37.817700000000002</c:v>
                </c:pt>
                <c:pt idx="32">
                  <c:v>37.695</c:v>
                </c:pt>
                <c:pt idx="33">
                  <c:v>37.672699999999999</c:v>
                </c:pt>
                <c:pt idx="34">
                  <c:v>37.711600000000004</c:v>
                </c:pt>
                <c:pt idx="35">
                  <c:v>37.667099999999998</c:v>
                </c:pt>
                <c:pt idx="36">
                  <c:v>37.377200000000002</c:v>
                </c:pt>
                <c:pt idx="37">
                  <c:v>37.098999999999997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2.1774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59.330799999999996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3.468674594594594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45.229937837837845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4.2941599999999998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38.097397297297306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4.2941599999999998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38.097397297297306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496</v>
      </c>
      <c r="D5" s="151"/>
      <c r="E5" s="151"/>
      <c r="F5" s="152"/>
      <c r="G5" s="48" t="str">
        <f>lang!B27</f>
        <v>编号</v>
      </c>
      <c r="H5" s="150">
        <v>32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495</v>
      </c>
      <c r="D6" s="188"/>
      <c r="E6" s="188"/>
      <c r="F6" s="189"/>
      <c r="G6" s="49" t="str">
        <f>lang!B28</f>
        <v xml:space="preserve"> 日期</v>
      </c>
      <c r="H6" s="172">
        <f>FH_info!A2</f>
        <v>43607.455000000002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25</v>
      </c>
      <c r="D7" s="191"/>
      <c r="E7" s="191"/>
      <c r="F7" s="192"/>
      <c r="G7" s="50" t="str">
        <f>lang!B29</f>
        <v>误差率（%）</v>
      </c>
      <c r="H7" s="175">
        <f>M!B17*1</f>
        <v>19.6069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45.213000000000001</v>
      </c>
      <c r="O8" s="59">
        <f>M!C5*1</f>
        <v>13.043699999999999</v>
      </c>
      <c r="P8" s="59">
        <f>M!D5*1</f>
        <v>28.849499999999999</v>
      </c>
      <c r="Q8" s="59">
        <f>M!E5*1</f>
        <v>20</v>
      </c>
      <c r="R8" s="59">
        <f>M!F5*1</f>
        <v>9.1627299999999998</v>
      </c>
      <c r="S8" s="59">
        <f>M!G5*1</f>
        <v>50</v>
      </c>
      <c r="T8" s="59">
        <f>M!H5*1</f>
        <v>52.036700000000003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29.084</v>
      </c>
      <c r="O9" s="59">
        <f>M!C6*1</f>
        <v>4.8735299999999997</v>
      </c>
      <c r="P9" s="59">
        <f>M!D6*1</f>
        <v>16.756699999999999</v>
      </c>
      <c r="Q9" s="59">
        <f>M!E6*1</f>
        <v>20</v>
      </c>
      <c r="R9" s="59">
        <f>M!F6*1</f>
        <v>16.183700000000002</v>
      </c>
      <c r="S9" s="59">
        <f>M!G6*1</f>
        <v>40</v>
      </c>
      <c r="T9" s="59">
        <f>M!H6*1</f>
        <v>37.663499999999999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9.1627299999999998</v>
      </c>
      <c r="D10" s="99">
        <f>N8</f>
        <v>45.213000000000001</v>
      </c>
      <c r="E10" s="100">
        <f>T8</f>
        <v>52.036700000000003</v>
      </c>
      <c r="F10" s="91">
        <f>P8</f>
        <v>28.849499999999999</v>
      </c>
      <c r="G10" s="81" t="str">
        <f>CONCATENATE(M9,"
(20 ~ 40)")</f>
        <v>压力
(20 ~ 40)</v>
      </c>
      <c r="H10" s="98">
        <f>R9</f>
        <v>16.183700000000002</v>
      </c>
      <c r="I10" s="108">
        <f>N9</f>
        <v>29.084</v>
      </c>
      <c r="J10" s="98">
        <f>T9</f>
        <v>37.663499999999999</v>
      </c>
      <c r="K10" s="92">
        <f>P9</f>
        <v>16.756699999999999</v>
      </c>
      <c r="L10" s="6"/>
      <c r="M10" s="27" t="str">
        <f>lang!B16</f>
        <v>焦虑</v>
      </c>
      <c r="N10" s="59">
        <f>M!B7*1</f>
        <v>24.2986</v>
      </c>
      <c r="O10" s="59">
        <f>M!C7*1</f>
        <v>5.9902300000000004</v>
      </c>
      <c r="P10" s="59">
        <f>M!D7*1</f>
        <v>24.6525</v>
      </c>
      <c r="Q10" s="59">
        <f>M!E7*1</f>
        <v>15</v>
      </c>
      <c r="R10" s="59">
        <f>M!F7*1</f>
        <v>11.316000000000001</v>
      </c>
      <c r="S10" s="59">
        <f>M!G7*1</f>
        <v>40</v>
      </c>
      <c r="T10" s="59">
        <f>M!H7*1</f>
        <v>42.009599999999999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11.316000000000001</v>
      </c>
      <c r="D11" s="102">
        <f>N10</f>
        <v>24.2986</v>
      </c>
      <c r="E11" s="103">
        <f>T10</f>
        <v>42.009599999999999</v>
      </c>
      <c r="F11" s="94">
        <f>P10</f>
        <v>24.6525</v>
      </c>
      <c r="G11" s="52" t="str">
        <f>CONCATENATE(M11,"
(20 ~ 50)")</f>
        <v>可疑
(20 ~ 50)</v>
      </c>
      <c r="H11" s="101">
        <f>R11</f>
        <v>15.8368</v>
      </c>
      <c r="I11" s="104">
        <f>N11</f>
        <v>31.8566</v>
      </c>
      <c r="J11" s="101">
        <f>T11</f>
        <v>38.3005</v>
      </c>
      <c r="K11" s="95">
        <f>P11</f>
        <v>18.9862</v>
      </c>
      <c r="L11" s="4"/>
      <c r="M11" s="27" t="str">
        <f>lang!B17</f>
        <v>可疑</v>
      </c>
      <c r="N11" s="59">
        <f>M!B8*1</f>
        <v>31.8566</v>
      </c>
      <c r="O11" s="59">
        <f>M!C8*1</f>
        <v>6.0483599999999997</v>
      </c>
      <c r="P11" s="59">
        <f>M!D8*1</f>
        <v>18.9862</v>
      </c>
      <c r="Q11" s="59">
        <f>M!E8*1</f>
        <v>20</v>
      </c>
      <c r="R11" s="59">
        <f>M!F8*1</f>
        <v>15.8368</v>
      </c>
      <c r="S11" s="59">
        <f>M!G8*1</f>
        <v>50</v>
      </c>
      <c r="T11" s="59">
        <f>M!H8*1</f>
        <v>38.3005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39.252899999999997</v>
      </c>
      <c r="D12" s="104">
        <f>N12</f>
        <v>62.537700000000001</v>
      </c>
      <c r="E12" s="101">
        <f>T12</f>
        <v>83.948499999999996</v>
      </c>
      <c r="F12" s="93">
        <f>P12</f>
        <v>15.5482</v>
      </c>
      <c r="G12" s="52" t="str">
        <f>CONCATENATE(M13,"
(40 ~ 100)")</f>
        <v>自信
(40 ~ 100)</v>
      </c>
      <c r="H12" s="101">
        <f>R13</f>
        <v>61.641300000000001</v>
      </c>
      <c r="I12" s="104">
        <f>N13</f>
        <v>78.500200000000007</v>
      </c>
      <c r="J12" s="101">
        <f>T13</f>
        <v>85.956699999999998</v>
      </c>
      <c r="K12" s="95">
        <f>P13</f>
        <v>9.2002199999999998</v>
      </c>
      <c r="L12" s="4"/>
      <c r="M12" s="27" t="str">
        <f>lang!B18</f>
        <v>平衡</v>
      </c>
      <c r="N12" s="59">
        <f>M!B9*1</f>
        <v>62.537700000000001</v>
      </c>
      <c r="O12" s="59">
        <f>M!C9*1</f>
        <v>9.7234800000000003</v>
      </c>
      <c r="P12" s="59">
        <f>M!D9*1</f>
        <v>15.5482</v>
      </c>
      <c r="Q12" s="59">
        <f>M!E9*1</f>
        <v>50</v>
      </c>
      <c r="R12" s="59">
        <f>M!F9*1</f>
        <v>39.252899999999997</v>
      </c>
      <c r="S12" s="59">
        <f>M!G9*1</f>
        <v>100</v>
      </c>
      <c r="T12" s="59">
        <f>M!H9*1</f>
        <v>83.948499999999996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9.7398799999999994</v>
      </c>
      <c r="D13" s="102">
        <f>N14</f>
        <v>28.845800000000001</v>
      </c>
      <c r="E13" s="103">
        <f>T14</f>
        <v>33.802500000000002</v>
      </c>
      <c r="F13" s="94">
        <f>P14</f>
        <v>25.069500000000001</v>
      </c>
      <c r="G13" s="52" t="str">
        <f>CONCATENATE(M15,"
(50 ~ 100)")</f>
        <v>自我调节
(50 ~ 100)</v>
      </c>
      <c r="H13" s="101">
        <f>R15</f>
        <v>54.5869</v>
      </c>
      <c r="I13" s="104">
        <f>N15</f>
        <v>68.843299999999999</v>
      </c>
      <c r="J13" s="101">
        <f>T15</f>
        <v>84.085400000000007</v>
      </c>
      <c r="K13" s="95">
        <f>P15</f>
        <v>10.936299999999999</v>
      </c>
      <c r="L13" s="4"/>
      <c r="M13" s="27" t="str">
        <f>lang!B19</f>
        <v>自信</v>
      </c>
      <c r="N13" s="59">
        <f>M!B10*1</f>
        <v>78.500200000000007</v>
      </c>
      <c r="O13" s="59">
        <f>M!C10*1</f>
        <v>7.2222</v>
      </c>
      <c r="P13" s="59">
        <f>M!D10*1</f>
        <v>9.2002199999999998</v>
      </c>
      <c r="Q13" s="59">
        <f>M!E10*1</f>
        <v>40</v>
      </c>
      <c r="R13" s="59">
        <f>M!F10*1</f>
        <v>61.641300000000001</v>
      </c>
      <c r="S13" s="59">
        <f>M!G10*1</f>
        <v>100</v>
      </c>
      <c r="T13" s="59">
        <f>M!H10*1</f>
        <v>85.956699999999998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16.410599999999999</v>
      </c>
      <c r="D14" s="106">
        <f>N16</f>
        <v>22.0458</v>
      </c>
      <c r="E14" s="107">
        <f>T16</f>
        <v>30.0488</v>
      </c>
      <c r="F14" s="96">
        <f>P16</f>
        <v>13.215</v>
      </c>
      <c r="G14" s="112" t="str">
        <f>CONCATENATE(M17,"
(10 ~ 50)")</f>
        <v>神经质
(10 ~ 50)</v>
      </c>
      <c r="H14" s="105">
        <f>R17</f>
        <v>2.54541</v>
      </c>
      <c r="I14" s="106">
        <f>N17</f>
        <v>29.133400000000002</v>
      </c>
      <c r="J14" s="107">
        <f>T17</f>
        <v>38.285800000000002</v>
      </c>
      <c r="K14" s="97">
        <f>P17</f>
        <v>32.854500000000002</v>
      </c>
      <c r="M14" s="27" t="str">
        <f>lang!B20</f>
        <v>活力</v>
      </c>
      <c r="N14" s="59">
        <f>M!B11*1</f>
        <v>28.845800000000001</v>
      </c>
      <c r="O14" s="59">
        <f>M!C11*1</f>
        <v>7.2314999999999996</v>
      </c>
      <c r="P14" s="59">
        <f>M!D11*1</f>
        <v>25.069500000000001</v>
      </c>
      <c r="Q14" s="59">
        <f>M!E11*1</f>
        <v>10</v>
      </c>
      <c r="R14" s="59">
        <f>M!F11*1</f>
        <v>9.7398799999999994</v>
      </c>
      <c r="S14" s="59">
        <f>M!G11*1</f>
        <v>50</v>
      </c>
      <c r="T14" s="59">
        <f>M!H11*1</f>
        <v>33.802500000000002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68.843299999999999</v>
      </c>
      <c r="O15" s="59">
        <f>M!C12*1</f>
        <v>7.5289400000000004</v>
      </c>
      <c r="P15" s="59">
        <f>M!D12*1</f>
        <v>10.936299999999999</v>
      </c>
      <c r="Q15" s="59">
        <f>M!E12*1</f>
        <v>50</v>
      </c>
      <c r="R15" s="59">
        <f>M!F12*1</f>
        <v>54.5869</v>
      </c>
      <c r="S15" s="59">
        <f>M!G12*1</f>
        <v>100</v>
      </c>
      <c r="T15" s="59">
        <f>M!H12*1</f>
        <v>84.085400000000007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22.0458</v>
      </c>
      <c r="O16" s="59">
        <f>M!C13*1</f>
        <v>2.9133399999999998</v>
      </c>
      <c r="P16" s="59">
        <f>M!D13*1</f>
        <v>13.215</v>
      </c>
      <c r="Q16" s="59">
        <f>M!E13*1</f>
        <v>10</v>
      </c>
      <c r="R16" s="59">
        <f>M!F13*1</f>
        <v>16.410599999999999</v>
      </c>
      <c r="S16" s="59">
        <f>M!G13*1</f>
        <v>25</v>
      </c>
      <c r="T16" s="59">
        <f>M!H13*1</f>
        <v>30.0488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29.133400000000002</v>
      </c>
      <c r="O17" s="59">
        <f>M!C14*1</f>
        <v>9.5716400000000004</v>
      </c>
      <c r="P17" s="59">
        <f>M!D14*1</f>
        <v>32.854500000000002</v>
      </c>
      <c r="Q17" s="59">
        <f>M!E14*1</f>
        <v>10</v>
      </c>
      <c r="R17" s="59">
        <f>M!F14*1</f>
        <v>2.54541</v>
      </c>
      <c r="S17" s="59">
        <f>M!G14*1</f>
        <v>50</v>
      </c>
      <c r="T17" s="59">
        <f>M!H14*1</f>
        <v>38.285800000000002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59.681750000000001</v>
      </c>
      <c r="O18" s="22">
        <f>N18/(N18+N19+N20)</f>
        <v>0.5062735188031664</v>
      </c>
      <c r="P18" s="65">
        <f>SUM(P12:P15)/4</f>
        <v>15.188555000000001</v>
      </c>
      <c r="Q18" s="22">
        <f>P18/(P18+P19+P20)</f>
        <v>0.25090729208602097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32.613050000000001</v>
      </c>
      <c r="O19" s="22">
        <f>N19/(N18+N19+N20)</f>
        <v>0.27665280562992217</v>
      </c>
      <c r="P19" s="18">
        <f>SUM(P8:P11)/4</f>
        <v>22.311225</v>
      </c>
      <c r="Q19" s="22">
        <f>P19/(P18+P19+P20)</f>
        <v>0.36857021934423212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25.589600000000001</v>
      </c>
      <c r="O20" s="22">
        <f>N20/(N18+N19+N20)</f>
        <v>0.21707367556691129</v>
      </c>
      <c r="P20" s="18">
        <f>(P16+P17)/2</f>
        <v>23.034750000000003</v>
      </c>
      <c r="Q20" s="22">
        <f>P20/(P18+P19+P20)</f>
        <v>0.38052248856974691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-0.15387394594594606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1.8201604779879994</v>
      </c>
      <c r="D25" s="44" t="str">
        <f>lang!B11</f>
        <v>频率方差</v>
      </c>
      <c r="E25" s="142">
        <f ca="1">FH!L3</f>
        <v>0.70796322997013483</v>
      </c>
      <c r="F25" s="143"/>
      <c r="G25" s="134" t="str">
        <f>lang!B12</f>
        <v>生理变化率</v>
      </c>
      <c r="H25" s="135"/>
      <c r="I25" s="62" t="str">
        <f ca="1">CONCATENATE(info!M7,"-",info!M8)</f>
        <v>37.1-59.3</v>
      </c>
      <c r="J25" s="42" t="str">
        <f>lang!B13</f>
        <v>千卡l/分钟</v>
      </c>
      <c r="K25" s="41" t="str">
        <f ca="1">CONCATENATE(info!M5,"-",info!M6)</f>
        <v>2.2-4.4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62.830799999999996</v>
      </c>
      <c r="F28" s="164"/>
      <c r="G28" s="178" t="str">
        <f>lang!B33</f>
        <v>稳定性</v>
      </c>
      <c r="H28" s="179"/>
      <c r="I28" s="180"/>
      <c r="J28" s="181">
        <f>M!B19*100</f>
        <v>72.181399999999996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43607.455000000002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20.108800000000002</v>
      </c>
      <c r="O7" s="59">
        <f t="shared" ref="O7:T7" si="2">AG7-X7</f>
        <v>-9.2749199999999998</v>
      </c>
      <c r="P7" s="59">
        <f t="shared" si="2"/>
        <v>-34.881329999999998</v>
      </c>
      <c r="Q7" s="59">
        <f t="shared" si="2"/>
        <v>0</v>
      </c>
      <c r="R7" s="59">
        <f t="shared" si="2"/>
        <v>35.709670000000003</v>
      </c>
      <c r="S7" s="59">
        <f t="shared" si="2"/>
        <v>0</v>
      </c>
      <c r="T7" s="59">
        <f t="shared" si="2"/>
        <v>6.8237000000000023</v>
      </c>
      <c r="U7" s="14"/>
      <c r="V7" s="27" t="str">
        <f>M7</f>
        <v>攻击性</v>
      </c>
      <c r="W7" s="59">
        <f>'M1'!B5*1</f>
        <v>28.219200000000001</v>
      </c>
      <c r="X7" s="59">
        <f>'M1'!C5*1</f>
        <v>10.6408</v>
      </c>
      <c r="Y7" s="59">
        <f>'M1'!D5*1</f>
        <v>37.707599999999999</v>
      </c>
      <c r="Z7" s="59">
        <f>'M1'!E5*1</f>
        <v>20</v>
      </c>
      <c r="AA7" s="59">
        <f>'M1'!F5*1</f>
        <v>9.1627299999999998</v>
      </c>
      <c r="AB7" s="59">
        <f>'M1'!G5*1</f>
        <v>50</v>
      </c>
      <c r="AC7" s="59">
        <f>'M1'!H5*1</f>
        <v>45.213000000000001</v>
      </c>
      <c r="AE7" s="27" t="str">
        <f>V7</f>
        <v>攻击性</v>
      </c>
      <c r="AF7" s="59">
        <f>'M2'!B5*1</f>
        <v>48.328000000000003</v>
      </c>
      <c r="AG7" s="59">
        <f>'M2'!C5*1</f>
        <v>1.36588</v>
      </c>
      <c r="AH7" s="59">
        <f>'M2'!D5*1</f>
        <v>2.8262700000000001</v>
      </c>
      <c r="AI7" s="59">
        <f>'M2'!E5*1</f>
        <v>20</v>
      </c>
      <c r="AJ7" s="59">
        <f>'M2'!F5*1</f>
        <v>44.872399999999999</v>
      </c>
      <c r="AK7" s="59">
        <f>'M2'!G5*1</f>
        <v>50</v>
      </c>
      <c r="AL7" s="59">
        <f>'M2'!H5*1</f>
        <v>52.036700000000003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4.968199999999996</v>
      </c>
      <c r="O8" s="59">
        <f t="shared" ref="O8:O16" si="5">AG8-X8</f>
        <v>-1.6594700000000002</v>
      </c>
      <c r="P8" s="59">
        <f t="shared" ref="P8:P16" si="6">AH8-Y8</f>
        <v>-7.4988199999999994</v>
      </c>
      <c r="Q8" s="59">
        <f t="shared" ref="Q8:Q16" si="7">AI8-Z8</f>
        <v>0</v>
      </c>
      <c r="R8" s="59">
        <f t="shared" ref="R8:R16" si="8">AJ8-AA8</f>
        <v>12.177399999999999</v>
      </c>
      <c r="S8" s="59">
        <f t="shared" ref="S8:S16" si="9">AK8-AB8</f>
        <v>0</v>
      </c>
      <c r="T8" s="59">
        <f t="shared" ref="T8:T16" si="10">AL8-AC8</f>
        <v>7.9833999999999996</v>
      </c>
      <c r="U8" s="15"/>
      <c r="V8" s="27" t="str">
        <f t="shared" ref="V8:V16" si="11">M8</f>
        <v>压力</v>
      </c>
      <c r="W8" s="59">
        <f>'M1'!B6*1</f>
        <v>27.033200000000001</v>
      </c>
      <c r="X8" s="59">
        <f>'M1'!C6*1</f>
        <v>4.0278600000000004</v>
      </c>
      <c r="Y8" s="59">
        <f>'M1'!D6*1</f>
        <v>14.899699999999999</v>
      </c>
      <c r="Z8" s="59">
        <f>'M1'!E6*1</f>
        <v>20</v>
      </c>
      <c r="AA8" s="59">
        <f>'M1'!F6*1</f>
        <v>16.183700000000002</v>
      </c>
      <c r="AB8" s="59">
        <f>'M1'!G6*1</f>
        <v>40</v>
      </c>
      <c r="AC8" s="59">
        <f>'M1'!H6*1</f>
        <v>29.680099999999999</v>
      </c>
      <c r="AE8" s="27" t="str">
        <f t="shared" ref="AE8:AE16" si="12">V8</f>
        <v>压力</v>
      </c>
      <c r="AF8" s="59">
        <f>'M2'!B6*1</f>
        <v>32.001399999999997</v>
      </c>
      <c r="AG8" s="59">
        <f>'M2'!C6*1</f>
        <v>2.3683900000000002</v>
      </c>
      <c r="AH8" s="59">
        <f>'M2'!D6*1</f>
        <v>7.4008799999999999</v>
      </c>
      <c r="AI8" s="59">
        <f>'M2'!E6*1</f>
        <v>20</v>
      </c>
      <c r="AJ8" s="59">
        <f>'M2'!F6*1</f>
        <v>28.3611</v>
      </c>
      <c r="AK8" s="59">
        <f>'M2'!G6*1</f>
        <v>40</v>
      </c>
      <c r="AL8" s="59">
        <f>'M2'!H6*1</f>
        <v>37.663499999999999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35.709670000000003</v>
      </c>
      <c r="D9" s="78">
        <f>N7</f>
        <v>20.108800000000002</v>
      </c>
      <c r="E9" s="79">
        <f>T7</f>
        <v>6.8237000000000023</v>
      </c>
      <c r="F9" s="79">
        <f>P7</f>
        <v>-34.881329999999998</v>
      </c>
      <c r="G9" s="80" t="str">
        <f>CONCATENATE(M8,"
(20 ~ 40)")</f>
        <v>压力
(20 ~ 40)</v>
      </c>
      <c r="H9" s="77">
        <f>R8</f>
        <v>12.177399999999999</v>
      </c>
      <c r="I9" s="81">
        <f>N8</f>
        <v>4.968199999999996</v>
      </c>
      <c r="J9" s="77">
        <f>T8</f>
        <v>7.9833999999999996</v>
      </c>
      <c r="K9" s="82">
        <f>P8</f>
        <v>-7.4988199999999994</v>
      </c>
      <c r="L9" s="6"/>
      <c r="M9" s="27" t="str">
        <f>lang!B16</f>
        <v>焦虑</v>
      </c>
      <c r="N9" s="59">
        <f t="shared" si="4"/>
        <v>-3.5855999999999995</v>
      </c>
      <c r="O9" s="59">
        <f t="shared" si="5"/>
        <v>-0.57316000000000056</v>
      </c>
      <c r="P9" s="59">
        <f t="shared" si="6"/>
        <v>0.77580000000000027</v>
      </c>
      <c r="Q9" s="59">
        <f t="shared" si="7"/>
        <v>0</v>
      </c>
      <c r="R9" s="59">
        <f t="shared" si="8"/>
        <v>1.8250999999999991</v>
      </c>
      <c r="S9" s="59">
        <f t="shared" si="9"/>
        <v>0</v>
      </c>
      <c r="T9" s="59">
        <f t="shared" si="10"/>
        <v>-7.7749000000000024</v>
      </c>
      <c r="U9" s="14"/>
      <c r="V9" s="27" t="str">
        <f t="shared" si="11"/>
        <v>焦虑</v>
      </c>
      <c r="W9" s="59">
        <f>'M1'!B7*1</f>
        <v>27.322099999999999</v>
      </c>
      <c r="X9" s="59">
        <f>'M1'!C7*1</f>
        <v>5.7704700000000004</v>
      </c>
      <c r="Y9" s="59">
        <f>'M1'!D7*1</f>
        <v>21.120100000000001</v>
      </c>
      <c r="Z9" s="59">
        <f>'M1'!E7*1</f>
        <v>15</v>
      </c>
      <c r="AA9" s="59">
        <f>'M1'!F7*1</f>
        <v>11.316000000000001</v>
      </c>
      <c r="AB9" s="59">
        <f>'M1'!G7*1</f>
        <v>40</v>
      </c>
      <c r="AC9" s="59">
        <f>'M1'!H7*1</f>
        <v>42.009599999999999</v>
      </c>
      <c r="AE9" s="27" t="str">
        <f t="shared" si="12"/>
        <v>焦虑</v>
      </c>
      <c r="AF9" s="59">
        <f>'M2'!B7*1</f>
        <v>23.736499999999999</v>
      </c>
      <c r="AG9" s="59">
        <f>'M2'!C7*1</f>
        <v>5.1973099999999999</v>
      </c>
      <c r="AH9" s="59">
        <f>'M2'!D7*1</f>
        <v>21.895900000000001</v>
      </c>
      <c r="AI9" s="59">
        <f>'M2'!E7*1</f>
        <v>15</v>
      </c>
      <c r="AJ9" s="59">
        <f>'M2'!F7*1</f>
        <v>13.1411</v>
      </c>
      <c r="AK9" s="59">
        <f>'M2'!G7*1</f>
        <v>40</v>
      </c>
      <c r="AL9" s="59">
        <f>'M2'!H7*1</f>
        <v>34.234699999999997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1.8250999999999991</v>
      </c>
      <c r="D10" s="51">
        <f>N9</f>
        <v>-3.5855999999999995</v>
      </c>
      <c r="E10" s="53">
        <f>T9</f>
        <v>-7.7749000000000024</v>
      </c>
      <c r="F10" s="53">
        <f>P9</f>
        <v>0.77580000000000027</v>
      </c>
      <c r="G10" s="73" t="str">
        <f>CONCATENATE(M10,"
(20 ~ 50)")</f>
        <v>可疑
(20 ~ 50)</v>
      </c>
      <c r="H10" s="24">
        <f>R10</f>
        <v>13.805599999999998</v>
      </c>
      <c r="I10" s="52">
        <f>N10</f>
        <v>10.888900000000003</v>
      </c>
      <c r="J10" s="24">
        <f>T10</f>
        <v>4.5476000000000028</v>
      </c>
      <c r="K10" s="25">
        <f>P10</f>
        <v>-16.585650000000001</v>
      </c>
      <c r="L10" s="4"/>
      <c r="M10" s="27" t="str">
        <f>lang!B17</f>
        <v>可疑</v>
      </c>
      <c r="N10" s="59">
        <f t="shared" si="4"/>
        <v>10.888900000000003</v>
      </c>
      <c r="O10" s="59">
        <f t="shared" si="5"/>
        <v>-3.3175999999999997</v>
      </c>
      <c r="P10" s="59">
        <f t="shared" si="6"/>
        <v>-16.585650000000001</v>
      </c>
      <c r="Q10" s="59">
        <f t="shared" si="7"/>
        <v>0</v>
      </c>
      <c r="R10" s="59">
        <f t="shared" si="8"/>
        <v>13.805599999999998</v>
      </c>
      <c r="S10" s="59">
        <f t="shared" si="9"/>
        <v>0</v>
      </c>
      <c r="T10" s="59">
        <f t="shared" si="10"/>
        <v>4.5476000000000028</v>
      </c>
      <c r="U10" s="14"/>
      <c r="V10" s="27" t="str">
        <f t="shared" si="11"/>
        <v>可疑</v>
      </c>
      <c r="W10" s="59">
        <f>'M1'!B8*1</f>
        <v>24.186299999999999</v>
      </c>
      <c r="X10" s="59">
        <f>'M1'!C8*1</f>
        <v>5.5526099999999996</v>
      </c>
      <c r="Y10" s="59">
        <f>'M1'!D8*1</f>
        <v>22.957699999999999</v>
      </c>
      <c r="Z10" s="59">
        <f>'M1'!E8*1</f>
        <v>20</v>
      </c>
      <c r="AA10" s="59">
        <f>'M1'!F8*1</f>
        <v>15.8368</v>
      </c>
      <c r="AB10" s="59">
        <f>'M1'!G8*1</f>
        <v>50</v>
      </c>
      <c r="AC10" s="59">
        <f>'M1'!H8*1</f>
        <v>33.752899999999997</v>
      </c>
      <c r="AE10" s="27" t="str">
        <f t="shared" si="12"/>
        <v>可疑</v>
      </c>
      <c r="AF10" s="59">
        <f>'M2'!B8*1</f>
        <v>35.075200000000002</v>
      </c>
      <c r="AG10" s="59">
        <f>'M2'!C8*1</f>
        <v>2.2350099999999999</v>
      </c>
      <c r="AH10" s="59">
        <f>'M2'!D8*1</f>
        <v>6.3720499999999998</v>
      </c>
      <c r="AI10" s="59">
        <f>'M2'!E8*1</f>
        <v>20</v>
      </c>
      <c r="AJ10" s="59">
        <f>'M2'!F8*1</f>
        <v>29.642399999999999</v>
      </c>
      <c r="AK10" s="59">
        <f>'M2'!G8*1</f>
        <v>50</v>
      </c>
      <c r="AL10" s="59">
        <f>'M2'!H8*1</f>
        <v>38.3005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-17.418000000000006</v>
      </c>
      <c r="D11" s="52">
        <f>N11</f>
        <v>-7.8339999999999961</v>
      </c>
      <c r="E11" s="24">
        <f>T11</f>
        <v>-15.616099999999989</v>
      </c>
      <c r="F11" s="24">
        <f>P11</f>
        <v>4.0984999999999996</v>
      </c>
      <c r="G11" s="73" t="str">
        <f>CONCATENATE(M12,"
(40 ~ 100)")</f>
        <v>自信
(40 ~ 100)</v>
      </c>
      <c r="H11" s="24">
        <f>R12</f>
        <v>-16.665700000000001</v>
      </c>
      <c r="I11" s="52">
        <f>N12</f>
        <v>-13.2453</v>
      </c>
      <c r="J11" s="24">
        <f>T12</f>
        <v>-7.3708999999999918</v>
      </c>
      <c r="K11" s="25">
        <f>P12</f>
        <v>3.9938400000000001</v>
      </c>
      <c r="L11" s="4"/>
      <c r="M11" s="27" t="str">
        <f>lang!B18</f>
        <v>平衡</v>
      </c>
      <c r="N11" s="59">
        <f t="shared" si="4"/>
        <v>-7.8339999999999961</v>
      </c>
      <c r="O11" s="59">
        <f t="shared" si="5"/>
        <v>1.5596699999999997</v>
      </c>
      <c r="P11" s="59">
        <f t="shared" si="6"/>
        <v>4.0984999999999996</v>
      </c>
      <c r="Q11" s="59">
        <f t="shared" si="7"/>
        <v>0</v>
      </c>
      <c r="R11" s="59">
        <f t="shared" si="8"/>
        <v>-17.418000000000006</v>
      </c>
      <c r="S11" s="59">
        <f t="shared" si="9"/>
        <v>0</v>
      </c>
      <c r="T11" s="59">
        <f t="shared" si="10"/>
        <v>-15.616099999999989</v>
      </c>
      <c r="U11" s="14"/>
      <c r="V11" s="27" t="str">
        <f t="shared" si="11"/>
        <v>平衡</v>
      </c>
      <c r="W11" s="59">
        <f>'M1'!B9*1</f>
        <v>65.373099999999994</v>
      </c>
      <c r="X11" s="59">
        <f>'M1'!C9*1</f>
        <v>6.6641199999999996</v>
      </c>
      <c r="Y11" s="59">
        <f>'M1'!D9*1</f>
        <v>10.194000000000001</v>
      </c>
      <c r="Z11" s="59">
        <f>'M1'!E9*1</f>
        <v>50</v>
      </c>
      <c r="AA11" s="59">
        <f>'M1'!F9*1</f>
        <v>56.670900000000003</v>
      </c>
      <c r="AB11" s="59">
        <f>'M1'!G9*1</f>
        <v>100</v>
      </c>
      <c r="AC11" s="59">
        <f>'M1'!H9*1</f>
        <v>83.948499999999996</v>
      </c>
      <c r="AE11" s="27" t="str">
        <f t="shared" si="12"/>
        <v>平衡</v>
      </c>
      <c r="AF11" s="59">
        <f>'M2'!B9*1</f>
        <v>57.539099999999998</v>
      </c>
      <c r="AG11" s="59">
        <f>'M2'!C9*1</f>
        <v>8.2237899999999993</v>
      </c>
      <c r="AH11" s="59">
        <f>'M2'!D9*1</f>
        <v>14.2925</v>
      </c>
      <c r="AI11" s="59">
        <f>'M2'!E9*1</f>
        <v>50</v>
      </c>
      <c r="AJ11" s="59">
        <f>'M2'!F9*1</f>
        <v>39.252899999999997</v>
      </c>
      <c r="AK11" s="59">
        <f>'M2'!G9*1</f>
        <v>100</v>
      </c>
      <c r="AL11" s="59">
        <f>'M2'!H9*1</f>
        <v>68.332400000000007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19.057220000000001</v>
      </c>
      <c r="D12" s="51">
        <f>N13</f>
        <v>11.473700000000001</v>
      </c>
      <c r="E12" s="53">
        <f>T13</f>
        <v>3.9355000000000011</v>
      </c>
      <c r="F12" s="53">
        <f>P13</f>
        <v>-24.19688</v>
      </c>
      <c r="G12" s="73" t="str">
        <f>CONCATENATE(M14,"
(50 ~ 100)")</f>
        <v>自我调节
(50 ~ 100)</v>
      </c>
      <c r="H12" s="24">
        <f>R14</f>
        <v>-12.902000000000001</v>
      </c>
      <c r="I12" s="52">
        <f>N14</f>
        <v>-10.314599999999999</v>
      </c>
      <c r="J12" s="24">
        <f>T14</f>
        <v>-14.632300000000001</v>
      </c>
      <c r="K12" s="25">
        <f>P14</f>
        <v>0.84510999999999914</v>
      </c>
      <c r="L12" s="4"/>
      <c r="M12" s="27" t="str">
        <f>lang!B19</f>
        <v>自信</v>
      </c>
      <c r="N12" s="59">
        <f t="shared" si="4"/>
        <v>-13.2453</v>
      </c>
      <c r="O12" s="59">
        <f t="shared" si="5"/>
        <v>2.38157</v>
      </c>
      <c r="P12" s="59">
        <f t="shared" si="6"/>
        <v>3.9938400000000001</v>
      </c>
      <c r="Q12" s="59">
        <f t="shared" si="7"/>
        <v>0</v>
      </c>
      <c r="R12" s="59">
        <f t="shared" si="8"/>
        <v>-16.665700000000001</v>
      </c>
      <c r="S12" s="59">
        <f t="shared" si="9"/>
        <v>0</v>
      </c>
      <c r="T12" s="59">
        <f t="shared" si="10"/>
        <v>-7.3708999999999918</v>
      </c>
      <c r="U12" s="15"/>
      <c r="V12" s="27" t="str">
        <f t="shared" si="11"/>
        <v>自信</v>
      </c>
      <c r="W12" s="59">
        <f>'M1'!B10*1</f>
        <v>82.293999999999997</v>
      </c>
      <c r="X12" s="59">
        <f>'M1'!C10*1</f>
        <v>2.3368500000000001</v>
      </c>
      <c r="Y12" s="59">
        <f>'M1'!D10*1</f>
        <v>2.8396300000000001</v>
      </c>
      <c r="Z12" s="59">
        <f>'M1'!E10*1</f>
        <v>40</v>
      </c>
      <c r="AA12" s="59">
        <f>'M1'!F10*1</f>
        <v>78.307000000000002</v>
      </c>
      <c r="AB12" s="59">
        <f>'M1'!G10*1</f>
        <v>100</v>
      </c>
      <c r="AC12" s="59">
        <f>'M1'!H10*1</f>
        <v>85.956699999999998</v>
      </c>
      <c r="AE12" s="27" t="str">
        <f t="shared" si="12"/>
        <v>自信</v>
      </c>
      <c r="AF12" s="59">
        <f>'M2'!B10*1</f>
        <v>69.048699999999997</v>
      </c>
      <c r="AG12" s="59">
        <f>'M2'!C10*1</f>
        <v>4.7184200000000001</v>
      </c>
      <c r="AH12" s="59">
        <f>'M2'!D10*1</f>
        <v>6.8334700000000002</v>
      </c>
      <c r="AI12" s="59">
        <f>'M2'!E10*1</f>
        <v>40</v>
      </c>
      <c r="AJ12" s="59">
        <f>'M2'!F10*1</f>
        <v>61.641300000000001</v>
      </c>
      <c r="AK12" s="59">
        <f>'M2'!G10*1</f>
        <v>100</v>
      </c>
      <c r="AL12" s="59">
        <f>'M2'!H10*1</f>
        <v>78.585800000000006</v>
      </c>
    </row>
    <row r="13" spans="2:38" ht="25.5" customHeight="1" thickBot="1">
      <c r="B13" s="72" t="str">
        <f>CONCATENATE(M15,"
(10 ~ 25)")</f>
        <v>抑郁
(10 ~ 25)</v>
      </c>
      <c r="C13" s="54">
        <f>R15</f>
        <v>3.4650999999999996</v>
      </c>
      <c r="D13" s="55">
        <f>N15</f>
        <v>2.471899999999998</v>
      </c>
      <c r="E13" s="56">
        <f>T15</f>
        <v>1.0224000000000011</v>
      </c>
      <c r="F13" s="56">
        <f>P15</f>
        <v>-4.0919999999999987</v>
      </c>
      <c r="G13" s="74" t="str">
        <f>CONCATENATE(M16,"
(10 ~ 50)")</f>
        <v>神经质
(10 ~ 50)</v>
      </c>
      <c r="H13" s="54">
        <f>R16</f>
        <v>2.0656900000000005</v>
      </c>
      <c r="I13" s="55">
        <f>N16</f>
        <v>-5.9451999999999998</v>
      </c>
      <c r="J13" s="56">
        <f>T16</f>
        <v>-5.1441000000000017</v>
      </c>
      <c r="K13" s="57">
        <f>P16</f>
        <v>13.429599999999997</v>
      </c>
      <c r="M13" s="27" t="str">
        <f>lang!B20</f>
        <v>活力</v>
      </c>
      <c r="N13" s="59">
        <f t="shared" si="4"/>
        <v>11.473700000000001</v>
      </c>
      <c r="O13" s="59">
        <f t="shared" si="5"/>
        <v>-4.2297700000000003</v>
      </c>
      <c r="P13" s="59">
        <f t="shared" si="6"/>
        <v>-24.19688</v>
      </c>
      <c r="Q13" s="59">
        <f t="shared" si="7"/>
        <v>0</v>
      </c>
      <c r="R13" s="59">
        <f t="shared" si="8"/>
        <v>19.057220000000001</v>
      </c>
      <c r="S13" s="59">
        <f t="shared" si="9"/>
        <v>0</v>
      </c>
      <c r="T13" s="59">
        <f t="shared" si="10"/>
        <v>3.9355000000000011</v>
      </c>
      <c r="U13" s="14"/>
      <c r="V13" s="27" t="str">
        <f t="shared" si="11"/>
        <v>活力</v>
      </c>
      <c r="W13" s="59">
        <f>'M1'!B11*1</f>
        <v>19.608599999999999</v>
      </c>
      <c r="X13" s="59">
        <f>'M1'!C11*1</f>
        <v>5.6246299999999998</v>
      </c>
      <c r="Y13" s="59">
        <f>'M1'!D11*1</f>
        <v>28.6845</v>
      </c>
      <c r="Z13" s="59">
        <f>'M1'!E11*1</f>
        <v>10</v>
      </c>
      <c r="AA13" s="59">
        <f>'M1'!F11*1</f>
        <v>9.7398799999999994</v>
      </c>
      <c r="AB13" s="59">
        <f>'M1'!G11*1</f>
        <v>50</v>
      </c>
      <c r="AC13" s="59">
        <f>'M1'!H11*1</f>
        <v>29.867000000000001</v>
      </c>
      <c r="AE13" s="27" t="str">
        <f t="shared" si="12"/>
        <v>活力</v>
      </c>
      <c r="AF13" s="59">
        <f>'M2'!B11*1</f>
        <v>31.0823</v>
      </c>
      <c r="AG13" s="59">
        <f>'M2'!C11*1</f>
        <v>1.39486</v>
      </c>
      <c r="AH13" s="59">
        <f>'M2'!D11*1</f>
        <v>4.4876199999999997</v>
      </c>
      <c r="AI13" s="59">
        <f>'M2'!E11*1</f>
        <v>10</v>
      </c>
      <c r="AJ13" s="59">
        <f>'M2'!F11*1</f>
        <v>28.7971</v>
      </c>
      <c r="AK13" s="59">
        <f>'M2'!G11*1</f>
        <v>50</v>
      </c>
      <c r="AL13" s="59">
        <f>'M2'!H11*1</f>
        <v>33.802500000000002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-10.314599999999999</v>
      </c>
      <c r="O14" s="59">
        <f t="shared" si="5"/>
        <v>-7.2210000000000107E-2</v>
      </c>
      <c r="P14" s="59">
        <f t="shared" si="6"/>
        <v>0.84510999999999914</v>
      </c>
      <c r="Q14" s="59">
        <f t="shared" si="7"/>
        <v>0</v>
      </c>
      <c r="R14" s="59">
        <f t="shared" si="8"/>
        <v>-12.902000000000001</v>
      </c>
      <c r="S14" s="59">
        <f t="shared" si="9"/>
        <v>0</v>
      </c>
      <c r="T14" s="59">
        <f t="shared" si="10"/>
        <v>-14.632300000000001</v>
      </c>
      <c r="U14" s="14"/>
      <c r="V14" s="27" t="str">
        <f t="shared" si="11"/>
        <v>自我调节</v>
      </c>
      <c r="W14" s="59">
        <f>'M1'!B12*1</f>
        <v>73.313800000000001</v>
      </c>
      <c r="X14" s="59">
        <f>'M1'!C12*1</f>
        <v>4.2974899999999998</v>
      </c>
      <c r="Y14" s="59">
        <f>'M1'!D12*1</f>
        <v>5.8617800000000004</v>
      </c>
      <c r="Z14" s="59">
        <f>'M1'!E12*1</f>
        <v>50</v>
      </c>
      <c r="AA14" s="59">
        <f>'M1'!F12*1</f>
        <v>67.488900000000001</v>
      </c>
      <c r="AB14" s="59">
        <f>'M1'!G12*1</f>
        <v>100</v>
      </c>
      <c r="AC14" s="59">
        <f>'M1'!H12*1</f>
        <v>84.085400000000007</v>
      </c>
      <c r="AE14" s="27" t="str">
        <f t="shared" si="12"/>
        <v>自我调节</v>
      </c>
      <c r="AF14" s="59">
        <f>'M2'!B12*1</f>
        <v>62.999200000000002</v>
      </c>
      <c r="AG14" s="59">
        <f>'M2'!C12*1</f>
        <v>4.2252799999999997</v>
      </c>
      <c r="AH14" s="59">
        <f>'M2'!D12*1</f>
        <v>6.7068899999999996</v>
      </c>
      <c r="AI14" s="59">
        <f>'M2'!E12*1</f>
        <v>50</v>
      </c>
      <c r="AJ14" s="59">
        <f>'M2'!F12*1</f>
        <v>54.5869</v>
      </c>
      <c r="AK14" s="59">
        <f>'M2'!G12*1</f>
        <v>100</v>
      </c>
      <c r="AL14" s="59">
        <f>'M2'!H12*1</f>
        <v>69.453100000000006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2.471899999999998</v>
      </c>
      <c r="O15" s="59">
        <f t="shared" si="5"/>
        <v>-0.59452000000000016</v>
      </c>
      <c r="P15" s="59">
        <f t="shared" si="6"/>
        <v>-4.0919999999999987</v>
      </c>
      <c r="Q15" s="59">
        <f t="shared" si="7"/>
        <v>0</v>
      </c>
      <c r="R15" s="59">
        <f t="shared" si="8"/>
        <v>3.4650999999999996</v>
      </c>
      <c r="S15" s="59">
        <f t="shared" si="9"/>
        <v>0</v>
      </c>
      <c r="T15" s="59">
        <f t="shared" si="10"/>
        <v>1.0224000000000011</v>
      </c>
      <c r="U15" s="14"/>
      <c r="V15" s="27" t="str">
        <f t="shared" si="11"/>
        <v>抑郁</v>
      </c>
      <c r="W15" s="59">
        <f>'M1'!B13*1</f>
        <v>20.6508</v>
      </c>
      <c r="X15" s="59">
        <f>'M1'!C13*1</f>
        <v>2.9380700000000002</v>
      </c>
      <c r="Y15" s="59">
        <f>'M1'!D13*1</f>
        <v>14.2273</v>
      </c>
      <c r="Z15" s="59">
        <f>'M1'!E13*1</f>
        <v>10</v>
      </c>
      <c r="AA15" s="59">
        <f>'M1'!F13*1</f>
        <v>16.410599999999999</v>
      </c>
      <c r="AB15" s="59">
        <f>'M1'!G13*1</f>
        <v>25</v>
      </c>
      <c r="AC15" s="59">
        <f>'M1'!H13*1</f>
        <v>29.026399999999999</v>
      </c>
      <c r="AE15" s="27" t="str">
        <f t="shared" si="12"/>
        <v>抑郁</v>
      </c>
      <c r="AF15" s="59">
        <f>'M2'!B13*1</f>
        <v>23.122699999999998</v>
      </c>
      <c r="AG15" s="59">
        <f>'M2'!C13*1</f>
        <v>2.34355</v>
      </c>
      <c r="AH15" s="59">
        <f>'M2'!D13*1</f>
        <v>10.135300000000001</v>
      </c>
      <c r="AI15" s="59">
        <f>'M2'!E13*1</f>
        <v>10</v>
      </c>
      <c r="AJ15" s="59">
        <f>'M2'!F13*1</f>
        <v>19.875699999999998</v>
      </c>
      <c r="AK15" s="59">
        <f>'M2'!G13*1</f>
        <v>25</v>
      </c>
      <c r="AL15" s="59">
        <f>'M2'!H13*1</f>
        <v>30.0488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-5.9451999999999998</v>
      </c>
      <c r="O16" s="59">
        <f t="shared" si="5"/>
        <v>1.447849999999999</v>
      </c>
      <c r="P16" s="59">
        <f t="shared" si="6"/>
        <v>13.429599999999997</v>
      </c>
      <c r="Q16" s="59">
        <f t="shared" si="7"/>
        <v>0</v>
      </c>
      <c r="R16" s="59">
        <f t="shared" si="8"/>
        <v>2.0656900000000005</v>
      </c>
      <c r="S16" s="59">
        <f t="shared" si="9"/>
        <v>0</v>
      </c>
      <c r="T16" s="59">
        <f t="shared" si="10"/>
        <v>-5.1441000000000017</v>
      </c>
      <c r="U16" s="15"/>
      <c r="V16" s="27" t="str">
        <f t="shared" si="11"/>
        <v>神经质</v>
      </c>
      <c r="W16" s="59">
        <f>'M1'!B14*1</f>
        <v>29.380700000000001</v>
      </c>
      <c r="X16" s="59">
        <f>'M1'!C14*1</f>
        <v>8.3985500000000002</v>
      </c>
      <c r="Y16" s="59">
        <f>'M1'!D14*1</f>
        <v>28.5853</v>
      </c>
      <c r="Z16" s="59">
        <f>'M1'!E14*1</f>
        <v>10</v>
      </c>
      <c r="AA16" s="59">
        <f>'M1'!F14*1</f>
        <v>2.54541</v>
      </c>
      <c r="AB16" s="59">
        <f>'M1'!G14*1</f>
        <v>50</v>
      </c>
      <c r="AC16" s="59">
        <f>'M1'!H14*1</f>
        <v>38.285800000000002</v>
      </c>
      <c r="AE16" s="27" t="str">
        <f t="shared" si="12"/>
        <v>神经质</v>
      </c>
      <c r="AF16" s="59">
        <f>'M2'!B14*1</f>
        <v>23.435500000000001</v>
      </c>
      <c r="AG16" s="59">
        <f>'M2'!C14*1</f>
        <v>9.8463999999999992</v>
      </c>
      <c r="AH16" s="59">
        <f>'M2'!D14*1</f>
        <v>42.014899999999997</v>
      </c>
      <c r="AI16" s="59">
        <f>'M2'!E14*1</f>
        <v>10</v>
      </c>
      <c r="AJ16" s="59">
        <f>'M2'!F14*1</f>
        <v>4.6111000000000004</v>
      </c>
      <c r="AK16" s="59">
        <f>'M2'!G14*1</f>
        <v>50</v>
      </c>
      <c r="AL16" s="59">
        <f>'M2'!H14*1</f>
        <v>33.1417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-4.9800499999999985</v>
      </c>
      <c r="O17" s="22">
        <f>N17/(N17+N18+N19)</f>
        <v>-3.6129863063389802</v>
      </c>
      <c r="P17" s="65">
        <f>SUM(P11:P14)/4</f>
        <v>-3.8148575000000005</v>
      </c>
      <c r="Q17" s="22">
        <f>P17/(P17+P18+P19)</f>
        <v>0.27858775924371731</v>
      </c>
      <c r="R17" s="14"/>
      <c r="S17" s="14"/>
      <c r="T17" s="14"/>
      <c r="U17" s="14"/>
      <c r="V17" s="21" t="str">
        <f>M17</f>
        <v>Positive</v>
      </c>
      <c r="W17" s="65">
        <f>SUM(W11:W14)/4</f>
        <v>60.147374999999997</v>
      </c>
      <c r="X17" s="22">
        <f>W17/(W17+W18+W19)</f>
        <v>0.53773434987292512</v>
      </c>
      <c r="Y17" s="65">
        <f>SUM(Y11:Y14)/4</f>
        <v>11.894977500000001</v>
      </c>
      <c r="Z17" s="22">
        <f>Y17/(Y17+Y18+Y19)</f>
        <v>0.20696796962341288</v>
      </c>
      <c r="AA17" s="14"/>
      <c r="AB17" s="14"/>
      <c r="AC17" s="14"/>
      <c r="AE17" s="21" t="str">
        <f>V17</f>
        <v>Positive</v>
      </c>
      <c r="AF17" s="65">
        <f>SUM(AF11:AF14)/4</f>
        <v>55.167324999999998</v>
      </c>
      <c r="AG17" s="22">
        <f>AF17/(AF17+AF18+AF19)</f>
        <v>0.48720742512918203</v>
      </c>
      <c r="AH17" s="65">
        <f>SUM(AH11:AH14)/4</f>
        <v>8.0801200000000009</v>
      </c>
      <c r="AI17" s="22">
        <f>AH17/(AH17+AH18+AH19)</f>
        <v>0.18456613725372181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8.0950750000000014</v>
      </c>
      <c r="O18" s="22">
        <f>N18/(N17+N18+N19)</f>
        <v>5.8729119434116193</v>
      </c>
      <c r="P18" s="18">
        <f>SUM(P7:P10)/4</f>
        <v>-14.547499999999999</v>
      </c>
      <c r="Q18" s="22">
        <f>P18/(P17+P18+P19)</f>
        <v>1.0623608948952816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26.690200000000001</v>
      </c>
      <c r="X18" s="22">
        <f>W18/(W17+W18+W19)</f>
        <v>0.23861785065397029</v>
      </c>
      <c r="Y18" s="18">
        <f>SUM(Y7:Y10)/4</f>
        <v>24.171274999999998</v>
      </c>
      <c r="Z18" s="22">
        <f>Y18/(Y17+Y18+Y19)</f>
        <v>0.42057075853730347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34.785274999999999</v>
      </c>
      <c r="AG18" s="22">
        <f>AF18/(AF17+AF18+AF19)</f>
        <v>0.3072043871106766</v>
      </c>
      <c r="AH18" s="18">
        <f>SUM(AH7:AH10)/4</f>
        <v>9.6237750000000002</v>
      </c>
      <c r="AI18" s="22">
        <f>AH18/(AH17+AH18+AH19)</f>
        <v>0.21982631168212061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-1.7366500000000009</v>
      </c>
      <c r="O19" s="22">
        <f>N19/(N17+N18+N19)</f>
        <v>-1.2599256370726388</v>
      </c>
      <c r="P19" s="18">
        <f>(P15+P16)/2</f>
        <v>4.6687999999999992</v>
      </c>
      <c r="Q19" s="22">
        <f>P19/(P17+P18+P19)</f>
        <v>-0.34094865413899916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25.015750000000001</v>
      </c>
      <c r="X19" s="22">
        <f>W19/(W17+W18+W19)</f>
        <v>0.22364779947310462</v>
      </c>
      <c r="Y19" s="18">
        <f>(Y15+Y16)/2</f>
        <v>21.406300000000002</v>
      </c>
      <c r="Z19" s="22">
        <f>Y19/(Y17+Y18+Y19)</f>
        <v>0.37246127183928368</v>
      </c>
      <c r="AA19" s="14"/>
      <c r="AB19" s="14"/>
      <c r="AC19" s="14"/>
      <c r="AE19" s="21" t="str">
        <f t="shared" si="14"/>
        <v>Physiological</v>
      </c>
      <c r="AF19" s="18">
        <f>(AF15+AF16)/2</f>
        <v>23.2791</v>
      </c>
      <c r="AG19" s="22">
        <f>AF19/(AF17+AF18+AF19)</f>
        <v>0.2055881877601414</v>
      </c>
      <c r="AH19" s="18">
        <f>(AH15+AH16)/2</f>
        <v>26.075099999999999</v>
      </c>
      <c r="AI19" s="22">
        <f>AH19/(AH17+AH18+AH19)</f>
        <v>0.59560755106415753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1.34/2.13</v>
      </c>
      <c r="D24" s="44" t="str">
        <f>lang!B11</f>
        <v>频率方差</v>
      </c>
      <c r="E24" s="142" t="str">
        <f ca="1">CONCATENATE(ROUND('FH1'!L3,2),"/",ROUND('FH2'!L3,2))</f>
        <v>0.56/0.61</v>
      </c>
      <c r="F24" s="143"/>
      <c r="G24" s="134" t="str">
        <f>lang!B12</f>
        <v>生理变化率</v>
      </c>
      <c r="H24" s="135"/>
      <c r="I24" s="62" t="str">
        <f ca="1">CONCATENATE(info!M7,"-",info!M8)</f>
        <v>37.1-59.3</v>
      </c>
      <c r="J24" s="42" t="str">
        <f>lang!B13</f>
        <v>千卡l/分钟</v>
      </c>
      <c r="K24" s="41" t="str">
        <f ca="1">CONCATENATE(info!M5,"-",info!M6)</f>
        <v>2.2-4.4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15.3584</v>
      </c>
      <c r="F27" s="164"/>
      <c r="G27" s="178" t="str">
        <f>lang!B33</f>
        <v>稳定性</v>
      </c>
      <c r="H27" s="179"/>
      <c r="I27" s="180"/>
      <c r="J27" s="181">
        <f>dM!B19*100</f>
        <v>26.242299999999997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-0.9829474950782815</v>
      </c>
      <c r="C2">
        <f t="array" aca="1" ref="C2" ca="1">CORREL(FT_E02,FT_PH02)</f>
        <v>4.7463274549492507E-2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2.1774</v>
      </c>
      <c r="G2" s="61">
        <f>IF(FT!B2&lt;&gt;"",FT!B2*100,"")</f>
        <v>59.330799999999996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2.2541500000000001</v>
      </c>
      <c r="G3" s="61">
        <f>IF(FT!B3&lt;&gt;"",FT!B3*100,"")</f>
        <v>58.419399999999996</v>
      </c>
      <c r="H3" s="61">
        <f t="shared" ref="H3:H66" si="1">(IF(F3&lt;&gt;"",1,""))</f>
        <v>1</v>
      </c>
      <c r="I3" t="str">
        <f>IF(FT!B3&lt;&gt;"",FT!E3,"")</f>
        <v>1 [0.379614]</v>
      </c>
      <c r="J3">
        <f>IF(FT!B3&lt;&gt;"",FT!C3,"")</f>
        <v>0.37961400000000001</v>
      </c>
      <c r="K3" t="s">
        <v>52</v>
      </c>
      <c r="L3">
        <f>SUM(H2:H2005)</f>
        <v>75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0.45229937837837847</v>
      </c>
      <c r="V3">
        <f ca="1">AVERAGE(OFFSET(FT!B2,info!$L$3/2,0,info!$L$3/2,1))</f>
        <v>0.38097397297297303</v>
      </c>
      <c r="W3">
        <f ca="1">AVERAGE(OFFSET(FT!A2,0,0,info!$L$3/2,1))</f>
        <v>0.3468674594594594</v>
      </c>
      <c r="X3">
        <f ca="1">AVERAGE(OFFSET(FT!A2,info!$L$3/2,0,info!$L$3/2,1))</f>
        <v>0.42941600000000002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2.3332100000000002</v>
      </c>
      <c r="G4" s="61">
        <f>IF(FT!B4&lt;&gt;"",FT!B4*100,"")</f>
        <v>57.407699999999991</v>
      </c>
      <c r="H4" s="61">
        <f t="shared" si="1"/>
        <v>1</v>
      </c>
      <c r="I4" t="str">
        <f>IF(FT!B4&lt;&gt;"",FT!E4,"")</f>
        <v>1 [0.785567]</v>
      </c>
      <c r="J4">
        <f>IF(FT!B4&lt;&gt;"",FT!C4,"")</f>
        <v>0.78556700000000002</v>
      </c>
      <c r="O4">
        <f>O3+1</f>
        <v>1</v>
      </c>
      <c r="P4">
        <v>0</v>
      </c>
      <c r="Q4">
        <f>IF(R4=1998,0,R4)</f>
        <v>37</v>
      </c>
      <c r="R4">
        <f t="array" ref="R4">MAX(IF(ft_nq=O4,row_n))</f>
        <v>37</v>
      </c>
      <c r="S4">
        <f>Q4-P4+1</f>
        <v>38</v>
      </c>
      <c r="U4">
        <f>MAX(FT!C2:C4000)/4</f>
        <v>7.5243250000000002</v>
      </c>
      <c r="V4">
        <f>U4*3</f>
        <v>22.572975</v>
      </c>
      <c r="W4">
        <f>U4</f>
        <v>7.5243250000000002</v>
      </c>
      <c r="X4">
        <f>V4</f>
        <v>22.572975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2.4094600000000002</v>
      </c>
      <c r="G5" s="61">
        <f>IF(FT!B5&lt;&gt;"",FT!B5*100,"")</f>
        <v>56.510899999999999</v>
      </c>
      <c r="H5" s="61">
        <f t="shared" si="1"/>
        <v>1</v>
      </c>
      <c r="I5" t="str">
        <f>IF(FT!B5&lt;&gt;"",FT!E5,"")</f>
        <v>1 [1.193032]</v>
      </c>
      <c r="J5">
        <f>IF(FT!B5&lt;&gt;"",FT!C5,"")</f>
        <v>1.19303</v>
      </c>
      <c r="K5" t="s">
        <v>53</v>
      </c>
      <c r="L5" s="63">
        <f ca="1">MIN(FT_E)</f>
        <v>2.1774</v>
      </c>
      <c r="M5" s="63">
        <f ca="1">ROUND(L5,1)</f>
        <v>2.2000000000000002</v>
      </c>
      <c r="O5">
        <f t="shared" ref="O5:O27" si="4">O4+1</f>
        <v>2</v>
      </c>
      <c r="P5">
        <f>IF(OR(R5=1998,R5=0),0,Q4)</f>
        <v>37</v>
      </c>
      <c r="Q5">
        <f>IF(R5=1998,0,R5)</f>
        <v>74</v>
      </c>
      <c r="R5">
        <f t="array" ref="R5">MAX(IF(ft_nq=O5,row_n))</f>
        <v>74</v>
      </c>
      <c r="S5">
        <f t="shared" ref="S5:S27" si="5">Q5-P5+1</f>
        <v>38</v>
      </c>
      <c r="U5">
        <f ca="1">U3*100</f>
        <v>45.229937837837845</v>
      </c>
      <c r="V5">
        <f ca="1">V3*100</f>
        <v>38.097397297297306</v>
      </c>
      <c r="W5">
        <f ca="1">W3*10</f>
        <v>3.468674594594594</v>
      </c>
      <c r="X5">
        <f ca="1">X3*10</f>
        <v>4.2941599999999998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2.4831500000000002</v>
      </c>
      <c r="G6" s="61">
        <f>IF(FT!B6&lt;&gt;"",FT!B6*100,"")</f>
        <v>55.743099999999998</v>
      </c>
      <c r="H6" s="61">
        <f t="shared" si="1"/>
        <v>1</v>
      </c>
      <c r="I6" t="str">
        <f>IF(FT!B6&lt;&gt;"",FT!E6,"")</f>
        <v>1 [1.599330]</v>
      </c>
      <c r="J6">
        <f>IF(FT!B6&lt;&gt;"",FT!C6,"")</f>
        <v>1.5993299999999999</v>
      </c>
      <c r="K6" t="s">
        <v>54</v>
      </c>
      <c r="L6" s="63">
        <f ca="1">MAX(FT_E)</f>
        <v>4.4263599999999999</v>
      </c>
      <c r="M6" s="63">
        <f ca="1">ROUND(L6,1)</f>
        <v>4.4000000000000004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2.5546699999999998</v>
      </c>
      <c r="G7" s="61">
        <f>IF(FT!B7&lt;&gt;"",FT!B7*100,"")</f>
        <v>55.086500000000008</v>
      </c>
      <c r="H7" s="61">
        <f t="shared" si="1"/>
        <v>1</v>
      </c>
      <c r="I7" t="str">
        <f>IF(FT!B7&lt;&gt;"",FT!E7,"")</f>
        <v>1 [2.004231]</v>
      </c>
      <c r="J7">
        <f>IF(FT!B7&lt;&gt;"",FT!C7,"")</f>
        <v>2.0042300000000002</v>
      </c>
      <c r="K7" t="s">
        <v>55</v>
      </c>
      <c r="L7" s="63">
        <f ca="1">MIN(FT_PH)</f>
        <v>37.098999999999997</v>
      </c>
      <c r="M7" s="63">
        <f ca="1">ROUND(L7,1)</f>
        <v>37.1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755</v>
      </c>
      <c r="D8" s="61">
        <f>FH!B8*1</f>
        <v>755</v>
      </c>
      <c r="E8">
        <f t="shared" si="3"/>
        <v>6</v>
      </c>
      <c r="F8" s="61">
        <f>IF(FT!A8&lt;&gt;"",FT!A8*10,"")</f>
        <v>2.6301799999999997</v>
      </c>
      <c r="G8" s="61">
        <f>IF(FT!B8&lt;&gt;"",FT!B8*100,"")</f>
        <v>54.316299999999998</v>
      </c>
      <c r="H8" s="61">
        <f t="shared" si="1"/>
        <v>1</v>
      </c>
      <c r="I8" t="str">
        <f>IF(FT!B8&lt;&gt;"",FT!E8,"")</f>
        <v>1 [2.411159]</v>
      </c>
      <c r="J8">
        <f>IF(FT!B8&lt;&gt;"",FT!C8,"")</f>
        <v>2.4111600000000002</v>
      </c>
      <c r="K8" t="s">
        <v>56</v>
      </c>
      <c r="L8" s="63">
        <f ca="1">MAX(FT_PH)</f>
        <v>59.330799999999996</v>
      </c>
      <c r="M8" s="63">
        <f ca="1">ROUND(L8,1)</f>
        <v>59.3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2.7107399999999999</v>
      </c>
      <c r="G9" s="61">
        <f>IF(FT!B9&lt;&gt;"",FT!B9*100,"")</f>
        <v>53.377699999999997</v>
      </c>
      <c r="H9" s="61">
        <f t="shared" si="1"/>
        <v>1</v>
      </c>
      <c r="I9" t="str">
        <f>IF(FT!B9&lt;&gt;"",FT!E9,"")</f>
        <v>1 [2.817136]</v>
      </c>
      <c r="J9">
        <f>IF(FT!B9&lt;&gt;"",FT!C9,"")</f>
        <v>2.8171400000000002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781</v>
      </c>
      <c r="D10" s="61">
        <f>FH!B10*1</f>
        <v>781</v>
      </c>
      <c r="E10">
        <f t="shared" si="3"/>
        <v>8</v>
      </c>
      <c r="F10" s="61">
        <f>IF(FT!A10&lt;&gt;"",FT!A10*10,"")</f>
        <v>2.7910900000000001</v>
      </c>
      <c r="G10" s="61">
        <f>IF(FT!B10&lt;&gt;"",FT!B10*100,"")</f>
        <v>52.466900000000003</v>
      </c>
      <c r="H10" s="61">
        <f t="shared" si="1"/>
        <v>1</v>
      </c>
      <c r="I10" t="str">
        <f>IF(FT!B10&lt;&gt;"",FT!E10,"")</f>
        <v>1 [3.221948]</v>
      </c>
      <c r="J10">
        <f>IF(FT!B10&lt;&gt;"",FT!C10,"")</f>
        <v>3.2219500000000001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2.86978</v>
      </c>
      <c r="G11" s="61">
        <f>IF(FT!B11&lt;&gt;"",FT!B11*100,"")</f>
        <v>51.523300000000006</v>
      </c>
      <c r="H11" s="61">
        <f t="shared" si="1"/>
        <v>1</v>
      </c>
      <c r="I11" t="str">
        <f>IF(FT!B11&lt;&gt;"",FT!E11,"")</f>
        <v>1 [3.629849]</v>
      </c>
      <c r="J11">
        <f>IF(FT!B11&lt;&gt;"",FT!C11,"")</f>
        <v>3.6298499999999998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2.9464299999999999</v>
      </c>
      <c r="G12" s="61">
        <f>IF(FT!B12&lt;&gt;"",FT!B12*100,"")</f>
        <v>50.7271</v>
      </c>
      <c r="H12" s="61">
        <f t="shared" si="1"/>
        <v>1</v>
      </c>
      <c r="I12" t="str">
        <f>IF(FT!B12&lt;&gt;"",FT!E12,"")</f>
        <v>1 [4.034546]</v>
      </c>
      <c r="J12">
        <f>IF(FT!B12&lt;&gt;"",FT!C12,"")</f>
        <v>4.0345500000000003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1354</v>
      </c>
      <c r="D13" s="61">
        <f>FH!B13*1</f>
        <v>1354</v>
      </c>
      <c r="E13">
        <f t="shared" si="3"/>
        <v>11</v>
      </c>
      <c r="F13" s="61">
        <f>IF(FT!A13&lt;&gt;"",FT!A13*10,"")</f>
        <v>3.0224299999999999</v>
      </c>
      <c r="G13" s="61">
        <f>IF(FT!B13&lt;&gt;"",FT!B13*100,"")</f>
        <v>49.867699999999999</v>
      </c>
      <c r="H13" s="61">
        <f t="shared" si="1"/>
        <v>1</v>
      </c>
      <c r="I13" t="str">
        <f>IF(FT!B13&lt;&gt;"",FT!E13,"")</f>
        <v>1 [4.442927]</v>
      </c>
      <c r="J13">
        <f>IF(FT!B13&lt;&gt;"",FT!C13,"")</f>
        <v>4.4429299999999996</v>
      </c>
      <c r="L13" s="67">
        <f t="array" ref="L13">MAX(IF(ft_nq=2,row_n))</f>
        <v>74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3.10378</v>
      </c>
      <c r="G14" s="61">
        <f>IF(FT!B14&lt;&gt;"",FT!B14*100,"")</f>
        <v>48.872399999999999</v>
      </c>
      <c r="H14" s="61">
        <f t="shared" si="1"/>
        <v>1</v>
      </c>
      <c r="I14" t="str">
        <f>IF(FT!B14&lt;&gt;"",FT!E14,"")</f>
        <v>1 [4.849605]</v>
      </c>
      <c r="J14">
        <f>IF(FT!B14&lt;&gt;"",FT!C14,"")</f>
        <v>4.8496100000000002</v>
      </c>
      <c r="L14">
        <f>L13+1</f>
        <v>75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2733</v>
      </c>
      <c r="D15" s="61">
        <f>FH!B15*1</f>
        <v>2733</v>
      </c>
      <c r="E15">
        <f t="shared" si="3"/>
        <v>13</v>
      </c>
      <c r="F15" s="61">
        <f>IF(FT!A15&lt;&gt;"",FT!A15*10,"")</f>
        <v>3.16351</v>
      </c>
      <c r="G15" s="61">
        <f>IF(FT!B15&lt;&gt;"",FT!B15*100,"")</f>
        <v>48.458600000000004</v>
      </c>
      <c r="H15" s="61">
        <f t="shared" si="1"/>
        <v>1</v>
      </c>
      <c r="I15" t="str">
        <f>IF(FT!B15&lt;&gt;"",FT!E15,"")</f>
        <v>1 [5.251544]</v>
      </c>
      <c r="J15">
        <f>IF(FT!B15&lt;&gt;"",FT!C15,"")</f>
        <v>5.2515400000000003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3.2468200000000005</v>
      </c>
      <c r="G16" s="61">
        <f>IF(FT!B16&lt;&gt;"",FT!B16*100,"")</f>
        <v>47.362900000000003</v>
      </c>
      <c r="H16" s="61">
        <f t="shared" si="1"/>
        <v>1</v>
      </c>
      <c r="I16" t="str">
        <f>IF(FT!B16&lt;&gt;"",FT!E16,"")</f>
        <v>1 [5.657871]</v>
      </c>
      <c r="J16">
        <f>IF(FT!B16&lt;&gt;"",FT!C16,"")</f>
        <v>5.65787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3.3292799999999998</v>
      </c>
      <c r="G17" s="61">
        <f>IF(FT!B17&lt;&gt;"",FT!B17*100,"")</f>
        <v>46.125399999999999</v>
      </c>
      <c r="H17" s="61">
        <f t="shared" si="1"/>
        <v>1</v>
      </c>
      <c r="I17" t="str">
        <f>IF(FT!B17&lt;&gt;"",FT!E17,"")</f>
        <v>1 [6.068416]</v>
      </c>
      <c r="J17">
        <f>IF(FT!B17&lt;&gt;"",FT!C17,"")</f>
        <v>6.0684199999999997</v>
      </c>
      <c r="L17">
        <f>L3+1</f>
        <v>76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7661</v>
      </c>
      <c r="D18" s="61">
        <f>FH!B18*1</f>
        <v>7661</v>
      </c>
      <c r="E18">
        <f t="shared" si="3"/>
        <v>16</v>
      </c>
      <c r="F18" s="61">
        <f>IF(FT!A18&lt;&gt;"",FT!A18*10,"")</f>
        <v>3.4132199999999999</v>
      </c>
      <c r="G18" s="61">
        <f>IF(FT!B18&lt;&gt;"",FT!B18*100,"")</f>
        <v>44.881</v>
      </c>
      <c r="H18" s="61">
        <f t="shared" si="1"/>
        <v>1</v>
      </c>
      <c r="I18" t="str">
        <f>IF(FT!B18&lt;&gt;"",FT!E18,"")</f>
        <v>1 [6.475328]</v>
      </c>
      <c r="J18">
        <f>IF(FT!B18&lt;&gt;"",FT!C18,"")</f>
        <v>6.4753299999999996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3.4974699999999999</v>
      </c>
      <c r="G19" s="61">
        <f>IF(FT!B19&lt;&gt;"",FT!B19*100,"")</f>
        <v>43.63</v>
      </c>
      <c r="H19" s="61">
        <f t="shared" si="1"/>
        <v>1</v>
      </c>
      <c r="I19" t="str">
        <f>IF(FT!B19&lt;&gt;"",FT!E19,"")</f>
        <v>1 [6.879174]</v>
      </c>
      <c r="J19">
        <f>IF(FT!B19&lt;&gt;"",FT!C19,"")</f>
        <v>6.8791700000000002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3.5826000000000002</v>
      </c>
      <c r="G20" s="61">
        <f>IF(FT!B20&lt;&gt;"",FT!B20*100,"")</f>
        <v>42.241800000000005</v>
      </c>
      <c r="H20" s="61">
        <f t="shared" si="1"/>
        <v>1</v>
      </c>
      <c r="I20" t="str">
        <f>IF(FT!B20&lt;&gt;"",FT!E20,"")</f>
        <v>1 [7.285147]</v>
      </c>
      <c r="J20">
        <f>IF(FT!B20&lt;&gt;"",FT!C20,"")</f>
        <v>7.2851499999999998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10636</v>
      </c>
      <c r="D21" s="61">
        <f>FH!B21*1</f>
        <v>10636</v>
      </c>
      <c r="E21">
        <f t="shared" si="3"/>
        <v>19</v>
      </c>
      <c r="F21" s="61">
        <f>IF(FT!A21&lt;&gt;"",FT!A21*10,"")</f>
        <v>3.6663600000000001</v>
      </c>
      <c r="G21" s="61">
        <f>IF(FT!B21&lt;&gt;"",FT!B21*100,"")</f>
        <v>40.940799999999996</v>
      </c>
      <c r="H21" s="61">
        <f t="shared" si="1"/>
        <v>1</v>
      </c>
      <c r="I21" t="str">
        <f>IF(FT!B21&lt;&gt;"",FT!E21,"")</f>
        <v>1 [7.691220]</v>
      </c>
      <c r="J21">
        <f>IF(FT!B21&lt;&gt;"",FT!C21,"")</f>
        <v>7.6912200000000004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3.74254</v>
      </c>
      <c r="G22" s="61">
        <f>IF(FT!B22&lt;&gt;"",FT!B22*100,"")</f>
        <v>40.044600000000003</v>
      </c>
      <c r="H22" s="61">
        <f t="shared" si="1"/>
        <v>1</v>
      </c>
      <c r="I22" t="str">
        <f>IF(FT!B22&lt;&gt;"",FT!E22,"")</f>
        <v>1 [8.099016]</v>
      </c>
      <c r="J22">
        <f>IF(FT!B22&lt;&gt;"",FT!C22,"")</f>
        <v>8.0990199999999994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19187</v>
      </c>
      <c r="D23" s="61">
        <f>FH!B23*1</f>
        <v>19187</v>
      </c>
      <c r="E23">
        <f t="shared" si="3"/>
        <v>21</v>
      </c>
      <c r="F23" s="61">
        <f>IF(FT!A23&lt;&gt;"",FT!A23*10,"")</f>
        <v>3.8145699999999998</v>
      </c>
      <c r="G23" s="61">
        <f>IF(FT!B23&lt;&gt;"",FT!B23*100,"")</f>
        <v>39.3919</v>
      </c>
      <c r="H23" s="61">
        <f t="shared" si="1"/>
        <v>1</v>
      </c>
      <c r="I23" t="str">
        <f>IF(FT!B23&lt;&gt;"",FT!E23,"")</f>
        <v>1 [8.506993]</v>
      </c>
      <c r="J23">
        <f>IF(FT!B23&lt;&gt;"",FT!C23,"")</f>
        <v>8.5069900000000001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3.8761400000000004</v>
      </c>
      <c r="G24" s="61">
        <f>IF(FT!B24&lt;&gt;"",FT!B24*100,"")</f>
        <v>39.025100000000002</v>
      </c>
      <c r="H24" s="61">
        <f t="shared" si="1"/>
        <v>1</v>
      </c>
      <c r="I24" t="str">
        <f>IF(FT!B24&lt;&gt;"",FT!E24,"")</f>
        <v>1 [8.910787]</v>
      </c>
      <c r="J24">
        <f>IF(FT!B24&lt;&gt;"",FT!C24,"")</f>
        <v>8.9107900000000004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3.9295900000000001</v>
      </c>
      <c r="G25" s="61">
        <f>IF(FT!B25&lt;&gt;"",FT!B25*100,"")</f>
        <v>38.837800000000001</v>
      </c>
      <c r="H25" s="61">
        <f t="shared" si="1"/>
        <v>1</v>
      </c>
      <c r="I25" t="str">
        <f>IF(FT!B25&lt;&gt;"",FT!E25,"")</f>
        <v>1 [9.314749]</v>
      </c>
      <c r="J25">
        <f>IF(FT!B25&lt;&gt;"",FT!C25,"")</f>
        <v>9.3147500000000001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30601</v>
      </c>
      <c r="D26" s="61">
        <f>FH!B26*1</f>
        <v>30601</v>
      </c>
      <c r="E26">
        <f t="shared" si="3"/>
        <v>24</v>
      </c>
      <c r="F26" s="61">
        <f>IF(FT!A26&lt;&gt;"",FT!A26*10,"")</f>
        <v>3.9773199999999997</v>
      </c>
      <c r="G26" s="61">
        <f>IF(FT!B26&lt;&gt;"",FT!B26*100,"")</f>
        <v>38.698599999999999</v>
      </c>
      <c r="H26" s="61">
        <f t="shared" si="1"/>
        <v>1</v>
      </c>
      <c r="I26" t="str">
        <f>IF(FT!B26&lt;&gt;"",FT!E26,"")</f>
        <v>1 [9.721624]</v>
      </c>
      <c r="J26">
        <f>IF(FT!B26&lt;&gt;"",FT!C26,"")</f>
        <v>9.7216199999999997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4.0242499999999994</v>
      </c>
      <c r="G27" s="61">
        <f>IF(FT!B27&lt;&gt;"",FT!B27*100,"")</f>
        <v>38.583399999999997</v>
      </c>
      <c r="H27" s="61">
        <f t="shared" si="1"/>
        <v>1</v>
      </c>
      <c r="I27" t="str">
        <f>IF(FT!B27&lt;&gt;"",FT!E27,"")</f>
        <v>1 [10.128513]</v>
      </c>
      <c r="J27">
        <f>IF(FT!B27&lt;&gt;"",FT!C27,"")</f>
        <v>10.128500000000001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29524</v>
      </c>
      <c r="D28" s="61">
        <f>FH!B28*1</f>
        <v>29524</v>
      </c>
      <c r="E28">
        <f t="shared" si="3"/>
        <v>26</v>
      </c>
      <c r="F28" s="61">
        <f>IF(FT!A28&lt;&gt;"",FT!A28*10,"")</f>
        <v>4.0702600000000002</v>
      </c>
      <c r="G28" s="61">
        <f>IF(FT!B28&lt;&gt;"",FT!B28*100,"")</f>
        <v>38.4161</v>
      </c>
      <c r="H28" s="61">
        <f t="shared" si="1"/>
        <v>1</v>
      </c>
      <c r="I28" t="str">
        <f>IF(FT!B28&lt;&gt;"",FT!E28,"")</f>
        <v>1 [10.531403]</v>
      </c>
      <c r="J28">
        <f>IF(FT!B28&lt;&gt;"",FT!C28,"")</f>
        <v>10.5314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4.1116399999999995</v>
      </c>
      <c r="G29" s="61">
        <f>IF(FT!B29&lt;&gt;"",FT!B29*100,"")</f>
        <v>38.2483</v>
      </c>
      <c r="H29" s="61">
        <f t="shared" si="1"/>
        <v>1</v>
      </c>
      <c r="I29" t="str">
        <f>IF(FT!B29&lt;&gt;"",FT!E29,"")</f>
        <v>1 [10.939459]</v>
      </c>
      <c r="J29">
        <f>IF(FT!B29&lt;&gt;"",FT!C29,"")</f>
        <v>10.939500000000001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4.1504099999999999</v>
      </c>
      <c r="G30" s="61">
        <f>IF(FT!B30&lt;&gt;"",FT!B30*100,"")</f>
        <v>38.250399999999999</v>
      </c>
      <c r="H30" s="61">
        <f t="shared" si="1"/>
        <v>1</v>
      </c>
      <c r="I30" t="str">
        <f>IF(FT!B30&lt;&gt;"",FT!E30,"")</f>
        <v>1 [11.346335]</v>
      </c>
      <c r="J30">
        <f>IF(FT!B30&lt;&gt;"",FT!C30,"")</f>
        <v>11.346299999999999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27692</v>
      </c>
      <c r="D31" s="61">
        <f>FH!B31*1</f>
        <v>27692</v>
      </c>
      <c r="E31">
        <f t="shared" si="3"/>
        <v>29</v>
      </c>
      <c r="F31" s="61">
        <f>IF(FT!A31&lt;&gt;"",FT!A31*10,"")</f>
        <v>4.1878399999999996</v>
      </c>
      <c r="G31" s="61">
        <f>IF(FT!B31&lt;&gt;"",FT!B31*100,"")</f>
        <v>38.330300000000001</v>
      </c>
      <c r="H31" s="61">
        <f t="shared" si="1"/>
        <v>1</v>
      </c>
      <c r="I31" t="str">
        <f>IF(FT!B31&lt;&gt;"",FT!E31,"")</f>
        <v>1 [11.755165]</v>
      </c>
      <c r="J31">
        <f>IF(FT!B31&lt;&gt;"",FT!C31,"")</f>
        <v>11.7552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4.2264499999999998</v>
      </c>
      <c r="G32" s="61">
        <f>IF(FT!B32&lt;&gt;"",FT!B32*100,"")</f>
        <v>38.471499999999999</v>
      </c>
      <c r="H32" s="61">
        <f t="shared" si="1"/>
        <v>1</v>
      </c>
      <c r="I32" t="str">
        <f>IF(FT!B32&lt;&gt;"",FT!E32,"")</f>
        <v>1 [12.159379]</v>
      </c>
      <c r="J32">
        <f>IF(FT!B32&lt;&gt;"",FT!C32,"")</f>
        <v>12.1594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35126</v>
      </c>
      <c r="D33" s="61">
        <f>FH!B33*1</f>
        <v>35126</v>
      </c>
      <c r="E33">
        <f t="shared" si="3"/>
        <v>31</v>
      </c>
      <c r="F33" s="61">
        <f>IF(FT!A33&lt;&gt;"",FT!A33*10,"")</f>
        <v>4.2650800000000002</v>
      </c>
      <c r="G33" s="61">
        <f>IF(FT!B33&lt;&gt;"",FT!B33*100,"")</f>
        <v>38.497399999999999</v>
      </c>
      <c r="H33" s="61">
        <f t="shared" si="1"/>
        <v>1</v>
      </c>
      <c r="I33" t="str">
        <f>IF(FT!B33&lt;&gt;"",FT!E33,"")</f>
        <v>1 [12.566012]</v>
      </c>
      <c r="J33">
        <f>IF(FT!B33&lt;&gt;"",FT!C33,"")</f>
        <v>12.566000000000001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4.3003999999999998</v>
      </c>
      <c r="G34" s="61">
        <f>IF(FT!B34&lt;&gt;"",FT!B34*100,"")</f>
        <v>38.401899999999998</v>
      </c>
      <c r="H34" s="61">
        <f t="shared" si="1"/>
        <v>1</v>
      </c>
      <c r="I34" t="str">
        <f>IF(FT!B34&lt;&gt;"",FT!E34,"")</f>
        <v>1 [12.969114]</v>
      </c>
      <c r="J34">
        <f>IF(FT!B34&lt;&gt;"",FT!C34,"")</f>
        <v>12.969099999999999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4.3323400000000003</v>
      </c>
      <c r="G35" s="61">
        <f>IF(FT!B35&lt;&gt;"",FT!B35*100,"")</f>
        <v>38.315100000000001</v>
      </c>
      <c r="H35" s="61">
        <f t="shared" si="1"/>
        <v>1</v>
      </c>
      <c r="I35" t="str">
        <f>IF(FT!B35&lt;&gt;"",FT!E35,"")</f>
        <v>1 [13.381794]</v>
      </c>
      <c r="J35">
        <f>IF(FT!B35&lt;&gt;"",FT!C35,"")</f>
        <v>13.3818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39936</v>
      </c>
      <c r="D36" s="61">
        <f>FH!B36*1</f>
        <v>39936</v>
      </c>
      <c r="E36">
        <f t="shared" si="3"/>
        <v>34</v>
      </c>
      <c r="F36" s="61">
        <f>IF(FT!A36&lt;&gt;"",FT!A36*10,"")</f>
        <v>4.3588900000000006</v>
      </c>
      <c r="G36" s="61">
        <f>IF(FT!B36&lt;&gt;"",FT!B36*100,"")</f>
        <v>38.258900000000004</v>
      </c>
      <c r="H36" s="61">
        <f t="shared" si="1"/>
        <v>1</v>
      </c>
      <c r="I36" t="str">
        <f>IF(FT!B36&lt;&gt;"",FT!E36,"")</f>
        <v>1 [13.781675]</v>
      </c>
      <c r="J36">
        <f>IF(FT!B36&lt;&gt;"",FT!C36,"")</f>
        <v>13.781700000000001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4.38401</v>
      </c>
      <c r="G37" s="61">
        <f>IF(FT!B37&lt;&gt;"",FT!B37*100,"")</f>
        <v>38.224399999999996</v>
      </c>
      <c r="H37" s="61">
        <f t="shared" si="1"/>
        <v>1</v>
      </c>
      <c r="I37" t="str">
        <f>IF(FT!B37&lt;&gt;"",FT!E37,"")</f>
        <v>1 [14.192897]</v>
      </c>
      <c r="J37">
        <f>IF(FT!B37&lt;&gt;"",FT!C37,"")</f>
        <v>14.1929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4.4035000000000002</v>
      </c>
      <c r="G38" s="61">
        <f>IF(FT!B38&lt;&gt;"",FT!B38*100,"")</f>
        <v>38.221699999999998</v>
      </c>
      <c r="H38" s="61">
        <f t="shared" si="1"/>
        <v>1</v>
      </c>
      <c r="I38" t="str">
        <f>IF(FT!B38&lt;&gt;"",FT!E38,"")</f>
        <v>1 [14.597528]</v>
      </c>
      <c r="J38">
        <f>IF(FT!B38&lt;&gt;"",FT!C38,"")</f>
        <v>14.5975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47346</v>
      </c>
      <c r="D39" s="61">
        <f>FH!B39*1</f>
        <v>47346</v>
      </c>
      <c r="E39">
        <f t="shared" si="3"/>
        <v>37</v>
      </c>
      <c r="F39" s="61">
        <f>IF(FT!A39&lt;&gt;"",FT!A39*10,"")</f>
        <v>4.4171500000000004</v>
      </c>
      <c r="G39" s="61">
        <f>IF(FT!B39&lt;&gt;"",FT!B39*100,"")</f>
        <v>38.149699999999996</v>
      </c>
      <c r="H39" s="61">
        <f t="shared" si="1"/>
        <v>1</v>
      </c>
      <c r="I39" t="str">
        <f>IF(FT!B39&lt;&gt;"",FT!E39,"")</f>
        <v>1 [15.003503]</v>
      </c>
      <c r="J39">
        <f>IF(FT!B39&lt;&gt;"",FT!C39,"")</f>
        <v>15.003500000000001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4.4246600000000003</v>
      </c>
      <c r="G40" s="61">
        <f>IF(FT!B40&lt;&gt;"",FT!B40*100,"")</f>
        <v>38.084899999999998</v>
      </c>
      <c r="H40" s="61">
        <f t="shared" si="1"/>
        <v>1</v>
      </c>
      <c r="I40" t="str">
        <f>IF(FT!B40&lt;&gt;"",FT!E40,"")</f>
        <v>2 [15.598902]</v>
      </c>
      <c r="J40">
        <f>IF(FT!B40&lt;&gt;"",FT!C40,"")</f>
        <v>15.5989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43379</v>
      </c>
      <c r="D41" s="61">
        <f>FH!B41*1</f>
        <v>43379</v>
      </c>
      <c r="E41">
        <f t="shared" si="3"/>
        <v>39</v>
      </c>
      <c r="F41" s="61">
        <f>IF(FT!A41&lt;&gt;"",FT!A41*10,"")</f>
        <v>4.4263599999999999</v>
      </c>
      <c r="G41" s="61">
        <f>IF(FT!B41&lt;&gt;"",FT!B41*100,"")</f>
        <v>37.947399999999995</v>
      </c>
      <c r="H41" s="61">
        <f t="shared" si="1"/>
        <v>1</v>
      </c>
      <c r="I41" t="str">
        <f>IF(FT!B41&lt;&gt;"",FT!E41,"")</f>
        <v>2 [15.976165]</v>
      </c>
      <c r="J41">
        <f>IF(FT!B41&lt;&gt;"",FT!C41,"")</f>
        <v>15.9762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4.4217899999999997</v>
      </c>
      <c r="G42" s="61">
        <f>IF(FT!B42&lt;&gt;"",FT!B42*100,"")</f>
        <v>37.873899999999999</v>
      </c>
      <c r="H42" s="61">
        <f t="shared" si="1"/>
        <v>1</v>
      </c>
      <c r="I42" t="str">
        <f>IF(FT!B42&lt;&gt;"",FT!E42,"")</f>
        <v>2 [16.349872]</v>
      </c>
      <c r="J42">
        <f>IF(FT!B42&lt;&gt;"",FT!C42,"")</f>
        <v>16.349900000000002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4.4138599999999997</v>
      </c>
      <c r="G43" s="61">
        <f>IF(FT!B43&lt;&gt;"",FT!B43*100,"")</f>
        <v>37.8324</v>
      </c>
      <c r="H43" s="61">
        <f t="shared" si="1"/>
        <v>1</v>
      </c>
      <c r="I43" t="str">
        <f>IF(FT!B43&lt;&gt;"",FT!E43,"")</f>
        <v>2 [16.722908]</v>
      </c>
      <c r="J43">
        <f>IF(FT!B43&lt;&gt;"",FT!C43,"")</f>
        <v>16.722899999999999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43122</v>
      </c>
      <c r="D44" s="61">
        <f>FH!B44*1</f>
        <v>43122</v>
      </c>
      <c r="E44">
        <f t="shared" si="3"/>
        <v>42</v>
      </c>
      <c r="F44" s="61">
        <f>IF(FT!A44&lt;&gt;"",FT!A44*10,"")</f>
        <v>4.40029</v>
      </c>
      <c r="G44" s="61">
        <f>IF(FT!B44&lt;&gt;"",FT!B44*100,"")</f>
        <v>37.811900000000001</v>
      </c>
      <c r="H44" s="61">
        <f t="shared" si="1"/>
        <v>1</v>
      </c>
      <c r="I44" t="str">
        <f>IF(FT!B44&lt;&gt;"",FT!E44,"")</f>
        <v>2 [17.097136]</v>
      </c>
      <c r="J44">
        <f>IF(FT!B44&lt;&gt;"",FT!C44,"")</f>
        <v>17.097100000000001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4.3818999999999999</v>
      </c>
      <c r="G45" s="61">
        <f>IF(FT!B45&lt;&gt;"",FT!B45*100,"")</f>
        <v>37.844100000000005</v>
      </c>
      <c r="H45" s="61">
        <f t="shared" si="1"/>
        <v>1</v>
      </c>
      <c r="I45" t="str">
        <f>IF(FT!B45&lt;&gt;"",FT!E45,"")</f>
        <v>2 [17.503783]</v>
      </c>
      <c r="J45">
        <f>IF(FT!B45&lt;&gt;"",FT!C45,"")</f>
        <v>17.503799999999998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38811</v>
      </c>
      <c r="D46" s="61">
        <f>FH!B46*1</f>
        <v>38811</v>
      </c>
      <c r="E46">
        <f t="shared" si="3"/>
        <v>44</v>
      </c>
      <c r="F46" s="61">
        <f>IF(FT!A46&lt;&gt;"",FT!A46*10,"")</f>
        <v>4.3635400000000004</v>
      </c>
      <c r="G46" s="61">
        <f>IF(FT!B46&lt;&gt;"",FT!B46*100,"")</f>
        <v>37.933199999999999</v>
      </c>
      <c r="H46" s="61">
        <f t="shared" si="1"/>
        <v>1</v>
      </c>
      <c r="I46" t="str">
        <f>IF(FT!B46&lt;&gt;"",FT!E46,"")</f>
        <v>2 [17.910856]</v>
      </c>
      <c r="J46">
        <f>IF(FT!B46&lt;&gt;"",FT!C46,"")</f>
        <v>17.910900000000002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4.3458399999999999</v>
      </c>
      <c r="G47" s="61">
        <f>IF(FT!B47&lt;&gt;"",FT!B47*100,"")</f>
        <v>37.996499999999997</v>
      </c>
      <c r="H47" s="61">
        <f t="shared" si="1"/>
        <v>1</v>
      </c>
      <c r="I47" t="str">
        <f>IF(FT!B47&lt;&gt;"",FT!E47,"")</f>
        <v>2 [18.318637]</v>
      </c>
      <c r="J47">
        <f>IF(FT!B47&lt;&gt;"",FT!C47,"")</f>
        <v>18.3186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4.3345000000000002</v>
      </c>
      <c r="G48" s="61">
        <f>IF(FT!B48&lt;&gt;"",FT!B48*100,"")</f>
        <v>38.079800000000006</v>
      </c>
      <c r="H48" s="61">
        <f t="shared" si="1"/>
        <v>1</v>
      </c>
      <c r="I48" t="str">
        <f>IF(FT!B48&lt;&gt;"",FT!E48,"")</f>
        <v>2 [18.722544]</v>
      </c>
      <c r="J48">
        <f>IF(FT!B48&lt;&gt;"",FT!C48,"")</f>
        <v>18.7225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37015</v>
      </c>
      <c r="D49" s="61">
        <f>FH!B49*1</f>
        <v>37015</v>
      </c>
      <c r="E49">
        <f t="shared" si="3"/>
        <v>47</v>
      </c>
      <c r="F49" s="61">
        <f>IF(FT!A49&lt;&gt;"",FT!A49*10,"")</f>
        <v>4.3286899999999999</v>
      </c>
      <c r="G49" s="61">
        <f>IF(FT!B49&lt;&gt;"",FT!B49*100,"")</f>
        <v>38.162300000000002</v>
      </c>
      <c r="H49" s="61">
        <f t="shared" si="1"/>
        <v>1</v>
      </c>
      <c r="I49" t="str">
        <f>IF(FT!B49&lt;&gt;"",FT!E49,"")</f>
        <v>2 [19.128676]</v>
      </c>
      <c r="J49">
        <f>IF(FT!B49&lt;&gt;"",FT!C49,"")</f>
        <v>19.128699999999998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4.3252299999999995</v>
      </c>
      <c r="G50" s="61">
        <f>IF(FT!B50&lt;&gt;"",FT!B50*100,"")</f>
        <v>38.2149</v>
      </c>
      <c r="H50" s="61">
        <f t="shared" si="1"/>
        <v>1</v>
      </c>
      <c r="I50" t="str">
        <f>IF(FT!B50&lt;&gt;"",FT!E50,"")</f>
        <v>2 [19.534424]</v>
      </c>
      <c r="J50">
        <f>IF(FT!B50&lt;&gt;"",FT!C50,"")</f>
        <v>19.534400000000002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37248</v>
      </c>
      <c r="D51" s="61">
        <f>FH!B51*1</f>
        <v>37248</v>
      </c>
      <c r="E51">
        <f t="shared" si="3"/>
        <v>49</v>
      </c>
      <c r="F51" s="61">
        <f>IF(FT!A51&lt;&gt;"",FT!A51*10,"")</f>
        <v>4.3235000000000001</v>
      </c>
      <c r="G51" s="61">
        <f>IF(FT!B51&lt;&gt;"",FT!B51*100,"")</f>
        <v>38.227400000000003</v>
      </c>
      <c r="H51" s="61">
        <f t="shared" si="1"/>
        <v>1</v>
      </c>
      <c r="I51" t="str">
        <f>IF(FT!B51&lt;&gt;"",FT!E51,"")</f>
        <v>2 [19.945323]</v>
      </c>
      <c r="J51">
        <f>IF(FT!B51&lt;&gt;"",FT!C51,"")</f>
        <v>19.9453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4.3216999999999999</v>
      </c>
      <c r="G52" s="61">
        <f>IF(FT!B52&lt;&gt;"",FT!B52*100,"")</f>
        <v>38.296700000000001</v>
      </c>
      <c r="H52" s="61">
        <f t="shared" si="1"/>
        <v>1</v>
      </c>
      <c r="I52" t="str">
        <f>IF(FT!B52&lt;&gt;"",FT!E52,"")</f>
        <v>2 [20.349276]</v>
      </c>
      <c r="J52">
        <f>IF(FT!B52&lt;&gt;"",FT!C52,"")</f>
        <v>20.349299999999999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4.3206299999999995</v>
      </c>
      <c r="G53" s="61">
        <f>IF(FT!B53&lt;&gt;"",FT!B53*100,"")</f>
        <v>38.410699999999999</v>
      </c>
      <c r="H53" s="61">
        <f t="shared" si="1"/>
        <v>1</v>
      </c>
      <c r="I53" t="str">
        <f>IF(FT!B53&lt;&gt;"",FT!E53,"")</f>
        <v>2 [20.753121]</v>
      </c>
      <c r="J53">
        <f>IF(FT!B53&lt;&gt;"",FT!C53,"")</f>
        <v>20.7531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38791</v>
      </c>
      <c r="D54" s="61">
        <f>FH!B54*1</f>
        <v>38791</v>
      </c>
      <c r="E54">
        <f t="shared" si="3"/>
        <v>52</v>
      </c>
      <c r="F54" s="61">
        <f>IF(FT!A54&lt;&gt;"",FT!A54*10,"")</f>
        <v>4.3194600000000003</v>
      </c>
      <c r="G54" s="61">
        <f>IF(FT!B54&lt;&gt;"",FT!B54*100,"")</f>
        <v>38.477400000000003</v>
      </c>
      <c r="H54" s="61">
        <f t="shared" si="1"/>
        <v>1</v>
      </c>
      <c r="I54" t="str">
        <f>IF(FT!B54&lt;&gt;"",FT!E54,"")</f>
        <v>2 [21.160444]</v>
      </c>
      <c r="J54">
        <f>IF(FT!B54&lt;&gt;"",FT!C54,"")</f>
        <v>21.160399999999999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4.3183300000000004</v>
      </c>
      <c r="G55" s="61">
        <f>IF(FT!B55&lt;&gt;"",FT!B55*100,"")</f>
        <v>38.448399999999999</v>
      </c>
      <c r="H55" s="61">
        <f t="shared" si="1"/>
        <v>1</v>
      </c>
      <c r="I55" t="str">
        <f>IF(FT!B55&lt;&gt;"",FT!E55,"")</f>
        <v>2 [21.567942]</v>
      </c>
      <c r="J55">
        <f>IF(FT!B55&lt;&gt;"",FT!C55,"")</f>
        <v>21.567900000000002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4.3155799999999997</v>
      </c>
      <c r="G56" s="61">
        <f>IF(FT!B56&lt;&gt;"",FT!B56*100,"")</f>
        <v>38.397999999999996</v>
      </c>
      <c r="H56" s="61">
        <f t="shared" si="1"/>
        <v>1</v>
      </c>
      <c r="I56" t="str">
        <f>IF(FT!B56&lt;&gt;"",FT!E56,"")</f>
        <v>2 [21.974858]</v>
      </c>
      <c r="J56">
        <f>IF(FT!B56&lt;&gt;"",FT!C56,"")</f>
        <v>21.974900000000002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39219</v>
      </c>
      <c r="D57" s="61">
        <f>FH!B57*1</f>
        <v>39219</v>
      </c>
      <c r="E57">
        <f t="shared" si="3"/>
        <v>55</v>
      </c>
      <c r="F57" s="61">
        <f>IF(FT!A57&lt;&gt;"",FT!A57*10,"")</f>
        <v>4.3097099999999999</v>
      </c>
      <c r="G57" s="61">
        <f>IF(FT!B57&lt;&gt;"",FT!B57*100,"")</f>
        <v>38.337299999999999</v>
      </c>
      <c r="H57" s="61">
        <f t="shared" si="1"/>
        <v>1</v>
      </c>
      <c r="I57" t="str">
        <f>IF(FT!B57&lt;&gt;"",FT!E57,"")</f>
        <v>2 [22.378225]</v>
      </c>
      <c r="J57">
        <f>IF(FT!B57&lt;&gt;"",FT!C57,"")</f>
        <v>22.3782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4.2983700000000002</v>
      </c>
      <c r="G58" s="61">
        <f>IF(FT!B58&lt;&gt;"",FT!B58*100,"")</f>
        <v>38.340800000000002</v>
      </c>
      <c r="H58" s="61">
        <f t="shared" si="1"/>
        <v>1</v>
      </c>
      <c r="I58" t="str">
        <f>IF(FT!B58&lt;&gt;"",FT!E58,"")</f>
        <v>2 [22.783745]</v>
      </c>
      <c r="J58">
        <f>IF(FT!B58&lt;&gt;"",FT!C58,"")</f>
        <v>22.7837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44066</v>
      </c>
      <c r="D59" s="61">
        <f>FH!B59*1</f>
        <v>44066</v>
      </c>
      <c r="E59">
        <f t="shared" si="3"/>
        <v>57</v>
      </c>
      <c r="F59" s="61">
        <f>IF(FT!A59&lt;&gt;"",FT!A59*10,"")</f>
        <v>4.2833900000000007</v>
      </c>
      <c r="G59" s="61">
        <f>IF(FT!B59&lt;&gt;"",FT!B59*100,"")</f>
        <v>38.396099999999997</v>
      </c>
      <c r="H59" s="61">
        <f t="shared" si="1"/>
        <v>1</v>
      </c>
      <c r="I59" t="str">
        <f>IF(FT!B59&lt;&gt;"",FT!E59,"")</f>
        <v>2 [23.191620]</v>
      </c>
      <c r="J59">
        <f>IF(FT!B59&lt;&gt;"",FT!C59,"")</f>
        <v>23.191600000000001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4.27006</v>
      </c>
      <c r="G60" s="61">
        <f>IF(FT!B60&lt;&gt;"",FT!B60*100,"")</f>
        <v>38.402299999999997</v>
      </c>
      <c r="H60" s="61">
        <f t="shared" si="1"/>
        <v>1</v>
      </c>
      <c r="I60" t="str">
        <f>IF(FT!B60&lt;&gt;"",FT!E60,"")</f>
        <v>2 [23.597506]</v>
      </c>
      <c r="J60">
        <f>IF(FT!B60&lt;&gt;"",FT!C60,"")</f>
        <v>23.5975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4.2557799999999997</v>
      </c>
      <c r="G61" s="61">
        <f>IF(FT!B61&lt;&gt;"",FT!B61*100,"")</f>
        <v>38.428899999999999</v>
      </c>
      <c r="H61" s="61">
        <f t="shared" si="1"/>
        <v>1</v>
      </c>
      <c r="I61" t="str">
        <f>IF(FT!B61&lt;&gt;"",FT!E61,"")</f>
        <v>2 [24.000448]</v>
      </c>
      <c r="J61">
        <f>IF(FT!B61&lt;&gt;"",FT!C61,"")</f>
        <v>24.000399999999999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45181</v>
      </c>
      <c r="D62" s="61">
        <f>FH!B62*1</f>
        <v>45181</v>
      </c>
      <c r="E62">
        <f t="shared" si="3"/>
        <v>60</v>
      </c>
      <c r="F62" s="61">
        <f>IF(FT!A62&lt;&gt;"",FT!A62*10,"")</f>
        <v>4.2418399999999998</v>
      </c>
      <c r="G62" s="61">
        <f>IF(FT!B62&lt;&gt;"",FT!B62*100,"")</f>
        <v>38.411699999999996</v>
      </c>
      <c r="H62" s="61">
        <f t="shared" si="1"/>
        <v>1</v>
      </c>
      <c r="I62" t="str">
        <f>IF(FT!B62&lt;&gt;"",FT!E62,"")</f>
        <v>2 [24.408470]</v>
      </c>
      <c r="J62">
        <f>IF(FT!B62&lt;&gt;"",FT!C62,"")</f>
        <v>24.4085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4.2298900000000001</v>
      </c>
      <c r="G63" s="61">
        <f>IF(FT!B63&lt;&gt;"",FT!B63*100,"")</f>
        <v>38.363199999999999</v>
      </c>
      <c r="H63" s="61">
        <f t="shared" si="1"/>
        <v>1</v>
      </c>
      <c r="I63" t="str">
        <f>IF(FT!B63&lt;&gt;"",FT!E63,"")</f>
        <v>2 [24.817313]</v>
      </c>
      <c r="J63">
        <f>IF(FT!B63&lt;&gt;"",FT!C63,"")</f>
        <v>24.817299999999999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48863</v>
      </c>
      <c r="D64" s="61">
        <f>FH!B64*1</f>
        <v>48863</v>
      </c>
      <c r="E64">
        <f t="shared" si="3"/>
        <v>62</v>
      </c>
      <c r="F64" s="61">
        <f>IF(FT!A64&lt;&gt;"",FT!A64*10,"")</f>
        <v>4.2160599999999997</v>
      </c>
      <c r="G64" s="61">
        <f>IF(FT!B64&lt;&gt;"",FT!B64*100,"")</f>
        <v>38.335700000000003</v>
      </c>
      <c r="H64" s="61">
        <f t="shared" si="1"/>
        <v>1</v>
      </c>
      <c r="I64" t="str">
        <f>IF(FT!B64&lt;&gt;"",FT!E64,"")</f>
        <v>2 [25.223225]</v>
      </c>
      <c r="J64">
        <f>IF(FT!B64&lt;&gt;"",FT!C64,"")</f>
        <v>25.223199999999999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4.2035099999999996</v>
      </c>
      <c r="G65" s="61">
        <f>IF(FT!B65&lt;&gt;"",FT!B65*100,"")</f>
        <v>38.2744</v>
      </c>
      <c r="H65" s="61">
        <f t="shared" si="1"/>
        <v>1</v>
      </c>
      <c r="I65" t="str">
        <f>IF(FT!B65&lt;&gt;"",FT!E65,"")</f>
        <v>2 [25.631093]</v>
      </c>
      <c r="J65">
        <f>IF(FT!B65&lt;&gt;"",FT!C65,"")</f>
        <v>25.6311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4.1939299999999999</v>
      </c>
      <c r="G66" s="61">
        <f>IF(FT!B66&lt;&gt;"",FT!B66*100,"")</f>
        <v>38.258199999999995</v>
      </c>
      <c r="H66" s="61">
        <f t="shared" si="1"/>
        <v>1</v>
      </c>
      <c r="I66" t="str">
        <f>IF(FT!B66&lt;&gt;"",FT!E66,"")</f>
        <v>2 [26.035068]</v>
      </c>
      <c r="J66">
        <f>IF(FT!B66&lt;&gt;"",FT!C66,"")</f>
        <v>26.0351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48143</v>
      </c>
      <c r="D67" s="61">
        <f>FH!B67*1</f>
        <v>48143</v>
      </c>
      <c r="E67">
        <f t="shared" si="3"/>
        <v>65</v>
      </c>
      <c r="F67" s="61">
        <f>IF(FT!A67&lt;&gt;"",FT!A67*10,"")</f>
        <v>4.1917600000000004</v>
      </c>
      <c r="G67" s="61">
        <f>IF(FT!B67&lt;&gt;"",FT!B67*100,"")</f>
        <v>38.106400000000001</v>
      </c>
      <c r="H67" s="61">
        <f t="shared" ref="H67:H130" si="9">(IF(F67&lt;&gt;"",1,""))</f>
        <v>1</v>
      </c>
      <c r="I67" t="str">
        <f>IF(FT!B67&lt;&gt;"",FT!E67,"")</f>
        <v>2 [26.442161]</v>
      </c>
      <c r="J67">
        <f>IF(FT!B67&lt;&gt;"",FT!C67,"")</f>
        <v>26.4422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4.1875600000000004</v>
      </c>
      <c r="G68" s="61">
        <f>IF(FT!B68&lt;&gt;"",FT!B68*100,"")</f>
        <v>37.972799999999999</v>
      </c>
      <c r="H68" s="61">
        <f t="shared" si="9"/>
        <v>1</v>
      </c>
      <c r="I68" t="str">
        <f>IF(FT!B68&lt;&gt;"",FT!E68,"")</f>
        <v>2 [26.849924]</v>
      </c>
      <c r="J68">
        <f>IF(FT!B68&lt;&gt;"",FT!C68,"")</f>
        <v>26.849900000000002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53396</v>
      </c>
      <c r="D69" s="61">
        <f>FH!B69*1</f>
        <v>53396</v>
      </c>
      <c r="E69">
        <f t="shared" si="11"/>
        <v>67</v>
      </c>
      <c r="F69" s="61">
        <f>IF(FT!A69&lt;&gt;"",FT!A69*10,"")</f>
        <v>4.1883400000000002</v>
      </c>
      <c r="G69" s="61">
        <f>IF(FT!B69&lt;&gt;"",FT!B69*100,"")</f>
        <v>37.844999999999999</v>
      </c>
      <c r="H69" s="61">
        <f t="shared" si="9"/>
        <v>1</v>
      </c>
      <c r="I69" t="str">
        <f>IF(FT!B69&lt;&gt;"",FT!E69,"")</f>
        <v>2 [27.255699]</v>
      </c>
      <c r="J69">
        <f>IF(FT!B69&lt;&gt;"",FT!C69,"")</f>
        <v>27.255700000000001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4.1919300000000002</v>
      </c>
      <c r="G70" s="61">
        <f>IF(FT!B70&lt;&gt;"",FT!B70*100,"")</f>
        <v>37.817700000000002</v>
      </c>
      <c r="H70" s="61">
        <f t="shared" si="9"/>
        <v>1</v>
      </c>
      <c r="I70" t="str">
        <f>IF(FT!B70&lt;&gt;"",FT!E70,"")</f>
        <v>2 [27.662634]</v>
      </c>
      <c r="J70">
        <f>IF(FT!B70&lt;&gt;"",FT!C70,"")</f>
        <v>27.662600000000001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4.2000500000000001</v>
      </c>
      <c r="G71" s="61">
        <f>IF(FT!B71&lt;&gt;"",FT!B71*100,"")</f>
        <v>37.695</v>
      </c>
      <c r="H71" s="61">
        <f t="shared" si="9"/>
        <v>1</v>
      </c>
      <c r="I71" t="str">
        <f>IF(FT!B71&lt;&gt;"",FT!E71,"")</f>
        <v>2 [28.064570]</v>
      </c>
      <c r="J71">
        <f>IF(FT!B71&lt;&gt;"",FT!C71,"")</f>
        <v>28.064599999999999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57478</v>
      </c>
      <c r="D72" s="61">
        <f>FH!B72*1</f>
        <v>57478</v>
      </c>
      <c r="E72">
        <f t="shared" si="11"/>
        <v>70</v>
      </c>
      <c r="F72" s="61">
        <f>IF(FT!A72&lt;&gt;"",FT!A72*10,"")</f>
        <v>4.2141599999999997</v>
      </c>
      <c r="G72" s="61">
        <f>IF(FT!B72&lt;&gt;"",FT!B72*100,"")</f>
        <v>37.672699999999999</v>
      </c>
      <c r="H72" s="61">
        <f t="shared" si="9"/>
        <v>1</v>
      </c>
      <c r="I72" t="str">
        <f>IF(FT!B72&lt;&gt;"",FT!E72,"")</f>
        <v>2 [28.471574]</v>
      </c>
      <c r="J72">
        <f>IF(FT!B72&lt;&gt;"",FT!C72,"")</f>
        <v>28.471599999999999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4.2229899999999994</v>
      </c>
      <c r="G73" s="61">
        <f>IF(FT!B73&lt;&gt;"",FT!B73*100,"")</f>
        <v>37.711600000000004</v>
      </c>
      <c r="H73" s="61">
        <f t="shared" si="9"/>
        <v>1</v>
      </c>
      <c r="I73" t="str">
        <f>IF(FT!B73&lt;&gt;"",FT!E73,"")</f>
        <v>2 [28.883208]</v>
      </c>
      <c r="J73">
        <f>IF(FT!B73&lt;&gt;"",FT!C73,"")</f>
        <v>28.883199999999999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4.2335200000000004</v>
      </c>
      <c r="G74" s="61">
        <f>IF(FT!B74&lt;&gt;"",FT!B74*100,"")</f>
        <v>37.667099999999998</v>
      </c>
      <c r="H74" s="61">
        <f t="shared" si="9"/>
        <v>1</v>
      </c>
      <c r="I74" t="str">
        <f>IF(FT!B74&lt;&gt;"",FT!E74,"")</f>
        <v>2 [29.286571]</v>
      </c>
      <c r="J74">
        <f>IF(FT!B74&lt;&gt;"",FT!C74,"")</f>
        <v>29.2866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54552</v>
      </c>
      <c r="D75" s="61">
        <f>FH!B75*1</f>
        <v>54552</v>
      </c>
      <c r="E75">
        <f t="shared" si="11"/>
        <v>73</v>
      </c>
      <c r="F75" s="61">
        <f>IF(FT!A75&lt;&gt;"",FT!A75*10,"")</f>
        <v>4.2480600000000006</v>
      </c>
      <c r="G75" s="61">
        <f>IF(FT!B75&lt;&gt;"",FT!B75*100,"")</f>
        <v>37.377200000000002</v>
      </c>
      <c r="H75" s="61">
        <f t="shared" si="9"/>
        <v>1</v>
      </c>
      <c r="I75" t="str">
        <f>IF(FT!B75&lt;&gt;"",FT!E75,"")</f>
        <v>2 [29.689899]</v>
      </c>
      <c r="J75">
        <f>IF(FT!B75&lt;&gt;"",FT!C75,"")</f>
        <v>29.689900000000002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4.27637</v>
      </c>
      <c r="G76" s="61">
        <f>IF(FT!B76&lt;&gt;"",FT!B76*100,"")</f>
        <v>37.098999999999997</v>
      </c>
      <c r="H76" s="61">
        <f t="shared" si="9"/>
        <v>1</v>
      </c>
      <c r="I76" t="str">
        <f>IF(FT!B76&lt;&gt;"",FT!E76,"")</f>
        <v>2 [30.097259]</v>
      </c>
      <c r="J76">
        <f>IF(FT!B76&lt;&gt;"",FT!C76,"")</f>
        <v>30.097300000000001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54059</v>
      </c>
      <c r="D77" s="61">
        <f>FH!B77*1</f>
        <v>54059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56894</v>
      </c>
      <c r="D80" s="61">
        <f>FH!B80*1</f>
        <v>56894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57609</v>
      </c>
      <c r="D82" s="61">
        <f>FH!B82*1</f>
        <v>57609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61252</v>
      </c>
      <c r="D85" s="61">
        <f>FH!B85*1</f>
        <v>61252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60658</v>
      </c>
      <c r="D88" s="61">
        <f>FH!B88*1</f>
        <v>60658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62497</v>
      </c>
      <c r="D90" s="61">
        <f>FH!B90*1</f>
        <v>62497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63384</v>
      </c>
      <c r="D93" s="61">
        <f>FH!B93*1</f>
        <v>63384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61843</v>
      </c>
      <c r="D95" s="61">
        <f>FH!B95*1</f>
        <v>61843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68725</v>
      </c>
      <c r="D98" s="61">
        <f>FH!B98*1</f>
        <v>68725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69205</v>
      </c>
      <c r="D100" s="61">
        <f>FH!B100*1</f>
        <v>69205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71475</v>
      </c>
      <c r="D103" s="61">
        <f>FH!B103*1</f>
        <v>71475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71459</v>
      </c>
      <c r="D106" s="61">
        <f>FH!B106*1</f>
        <v>71459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78076</v>
      </c>
      <c r="D108" s="61">
        <f>FH!B108*1</f>
        <v>78076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84315</v>
      </c>
      <c r="D111" s="61">
        <f>FH!B111*1</f>
        <v>84315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89014</v>
      </c>
      <c r="D113" s="61">
        <f>FH!B113*1</f>
        <v>89014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92171</v>
      </c>
      <c r="D116" s="61">
        <f>FH!B116*1</f>
        <v>92171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93505</v>
      </c>
      <c r="D118" s="61">
        <f>FH!B118*1</f>
        <v>93505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93131</v>
      </c>
      <c r="D121" s="61">
        <f>FH!B121*1</f>
        <v>93131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95251</v>
      </c>
      <c r="D124" s="61">
        <f>FH!B124*1</f>
        <v>95251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93852</v>
      </c>
      <c r="D126" s="61">
        <f>FH!B126*1</f>
        <v>93852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83831</v>
      </c>
      <c r="D129" s="61">
        <f>FH!B129*1</f>
        <v>83831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71605</v>
      </c>
      <c r="D131" s="61">
        <f>FH!B131*1</f>
        <v>71605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61939</v>
      </c>
      <c r="D134" s="61">
        <f>FH!B134*1</f>
        <v>61939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49682</v>
      </c>
      <c r="D136" s="61">
        <f>FH!B136*1</f>
        <v>49682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39180</v>
      </c>
      <c r="D139" s="61">
        <f>FH!B139*1</f>
        <v>39180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32934</v>
      </c>
      <c r="D142" s="61">
        <f>FH!B142*1</f>
        <v>32934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29548</v>
      </c>
      <c r="D144" s="61">
        <f>FH!B144*1</f>
        <v>29548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31388</v>
      </c>
      <c r="D147" s="61">
        <f>FH!B147*1</f>
        <v>31388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26332</v>
      </c>
      <c r="D149" s="61">
        <f>FH!B149*1</f>
        <v>26332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22075</v>
      </c>
      <c r="D152" s="61">
        <f>FH!B152*1</f>
        <v>22075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17953</v>
      </c>
      <c r="D154" s="61">
        <f>FH!B154*1</f>
        <v>17953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14278</v>
      </c>
      <c r="D157" s="61">
        <f>FH!B157*1</f>
        <v>14278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10251</v>
      </c>
      <c r="D160" s="61">
        <f>FH!B160*1</f>
        <v>10251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10683</v>
      </c>
      <c r="D162" s="61">
        <f>FH!B162*1</f>
        <v>10683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9536</v>
      </c>
      <c r="D165" s="61">
        <f>FH!B165*1</f>
        <v>9536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7497</v>
      </c>
      <c r="D167" s="61">
        <f>FH!B167*1</f>
        <v>7497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7839</v>
      </c>
      <c r="D170" s="61">
        <f>FH!B170*1</f>
        <v>7839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6983</v>
      </c>
      <c r="D173" s="61">
        <f>FH!B173*1</f>
        <v>6983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6420</v>
      </c>
      <c r="D175" s="61">
        <f>FH!B175*1</f>
        <v>6420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7224</v>
      </c>
      <c r="D178" s="61">
        <f>FH!B178*1</f>
        <v>7224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8167</v>
      </c>
      <c r="D180" s="61">
        <f>FH!B180*1</f>
        <v>8167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6815</v>
      </c>
      <c r="D183" s="61">
        <f>FH!B183*1</f>
        <v>6815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5658</v>
      </c>
      <c r="D185" s="61">
        <f>FH!B185*1</f>
        <v>5658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4377</v>
      </c>
      <c r="D188" s="61">
        <f>FH!B188*1</f>
        <v>4377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3179</v>
      </c>
      <c r="D191" s="61">
        <f>FH!B191*1</f>
        <v>3179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2628</v>
      </c>
      <c r="D193" s="61">
        <f>FH!B193*1</f>
        <v>2628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1583</v>
      </c>
      <c r="D196" s="61">
        <f>FH!B196*1</f>
        <v>1583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990</v>
      </c>
      <c r="D198" s="61">
        <f>FH!B198*1</f>
        <v>990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360</v>
      </c>
      <c r="D201" s="61">
        <f>FH!B201*1</f>
        <v>360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45.213000000000001</v>
      </c>
      <c r="C5" s="66">
        <v>13.043699999999999</v>
      </c>
      <c r="D5" s="66">
        <v>28.849499999999999</v>
      </c>
      <c r="E5" s="66">
        <v>20</v>
      </c>
      <c r="F5" s="66">
        <v>9.1627299999999998</v>
      </c>
      <c r="G5" s="66">
        <v>50</v>
      </c>
      <c r="H5" s="66">
        <v>52.036700000000003</v>
      </c>
    </row>
    <row r="6" spans="1:8">
      <c r="A6" s="58" t="s">
        <v>303</v>
      </c>
      <c r="B6" s="66">
        <v>29.084</v>
      </c>
      <c r="C6" s="66">
        <v>4.8735299999999997</v>
      </c>
      <c r="D6" s="66">
        <v>16.756699999999999</v>
      </c>
      <c r="E6" s="66">
        <v>20</v>
      </c>
      <c r="F6" s="66">
        <v>16.183700000000002</v>
      </c>
      <c r="G6" s="66">
        <v>40</v>
      </c>
      <c r="H6" s="66">
        <v>37.663499999999999</v>
      </c>
    </row>
    <row r="7" spans="1:8">
      <c r="A7" s="58" t="s">
        <v>304</v>
      </c>
      <c r="B7" s="66">
        <v>24.2986</v>
      </c>
      <c r="C7" s="66">
        <v>5.9902300000000004</v>
      </c>
      <c r="D7" s="66">
        <v>24.6525</v>
      </c>
      <c r="E7" s="66">
        <v>15</v>
      </c>
      <c r="F7" s="66">
        <v>11.316000000000001</v>
      </c>
      <c r="G7" s="66">
        <v>40</v>
      </c>
      <c r="H7" s="66">
        <v>42.009599999999999</v>
      </c>
    </row>
    <row r="8" spans="1:8">
      <c r="A8" s="58" t="s">
        <v>305</v>
      </c>
      <c r="B8" s="66">
        <v>31.8566</v>
      </c>
      <c r="C8" s="66">
        <v>6.0483599999999997</v>
      </c>
      <c r="D8" s="66">
        <v>18.9862</v>
      </c>
      <c r="E8" s="66">
        <v>20</v>
      </c>
      <c r="F8" s="66">
        <v>15.8368</v>
      </c>
      <c r="G8" s="66">
        <v>50</v>
      </c>
      <c r="H8" s="66">
        <v>38.3005</v>
      </c>
    </row>
    <row r="9" spans="1:8">
      <c r="A9" s="58" t="s">
        <v>306</v>
      </c>
      <c r="B9" s="66">
        <v>62.537700000000001</v>
      </c>
      <c r="C9" s="66">
        <v>9.7234800000000003</v>
      </c>
      <c r="D9" s="66">
        <v>15.5482</v>
      </c>
      <c r="E9" s="66">
        <v>50</v>
      </c>
      <c r="F9" s="66">
        <v>39.252899999999997</v>
      </c>
      <c r="G9" s="66">
        <v>100</v>
      </c>
      <c r="H9" s="66">
        <v>83.948499999999996</v>
      </c>
    </row>
    <row r="10" spans="1:8">
      <c r="A10" s="58" t="s">
        <v>307</v>
      </c>
      <c r="B10" s="66">
        <v>78.500200000000007</v>
      </c>
      <c r="C10" s="66">
        <v>7.2222</v>
      </c>
      <c r="D10" s="66">
        <v>9.2002199999999998</v>
      </c>
      <c r="E10" s="66">
        <v>40</v>
      </c>
      <c r="F10" s="66">
        <v>61.641300000000001</v>
      </c>
      <c r="G10" s="66">
        <v>100</v>
      </c>
      <c r="H10" s="66">
        <v>85.956699999999998</v>
      </c>
    </row>
    <row r="11" spans="1:8">
      <c r="A11" s="58" t="s">
        <v>308</v>
      </c>
      <c r="B11" s="66">
        <v>28.845800000000001</v>
      </c>
      <c r="C11" s="66">
        <v>7.2314999999999996</v>
      </c>
      <c r="D11" s="66">
        <v>25.069500000000001</v>
      </c>
      <c r="E11" s="66">
        <v>10</v>
      </c>
      <c r="F11" s="66">
        <v>9.7398799999999994</v>
      </c>
      <c r="G11" s="66">
        <v>50</v>
      </c>
      <c r="H11" s="66">
        <v>33.802500000000002</v>
      </c>
    </row>
    <row r="12" spans="1:8">
      <c r="A12" s="58" t="s">
        <v>309</v>
      </c>
      <c r="B12" s="66">
        <v>68.843299999999999</v>
      </c>
      <c r="C12" s="66">
        <v>7.5289400000000004</v>
      </c>
      <c r="D12" s="66">
        <v>10.936299999999999</v>
      </c>
      <c r="E12" s="66">
        <v>50</v>
      </c>
      <c r="F12" s="66">
        <v>54.5869</v>
      </c>
      <c r="G12" s="66">
        <v>100</v>
      </c>
      <c r="H12" s="66">
        <v>84.085400000000007</v>
      </c>
    </row>
    <row r="13" spans="1:8">
      <c r="A13" s="58" t="s">
        <v>310</v>
      </c>
      <c r="B13" s="66">
        <v>22.0458</v>
      </c>
      <c r="C13" s="66">
        <v>2.9133399999999998</v>
      </c>
      <c r="D13" s="66">
        <v>13.215</v>
      </c>
      <c r="E13" s="66">
        <v>10</v>
      </c>
      <c r="F13" s="66">
        <v>16.410599999999999</v>
      </c>
      <c r="G13" s="66">
        <v>25</v>
      </c>
      <c r="H13" s="66">
        <v>30.0488</v>
      </c>
    </row>
    <row r="14" spans="1:8">
      <c r="A14" s="58" t="s">
        <v>311</v>
      </c>
      <c r="B14" s="66">
        <v>29.133400000000002</v>
      </c>
      <c r="C14" s="66">
        <v>9.5716400000000004</v>
      </c>
      <c r="D14" s="66">
        <v>32.854500000000002</v>
      </c>
      <c r="E14" s="66">
        <v>10</v>
      </c>
      <c r="F14" s="66">
        <v>2.54541</v>
      </c>
      <c r="G14" s="66">
        <v>50</v>
      </c>
      <c r="H14" s="66">
        <v>38.285800000000002</v>
      </c>
    </row>
    <row r="15" spans="1:8">
      <c r="A15" s="58" t="s">
        <v>312</v>
      </c>
      <c r="B15" s="66">
        <v>0.13073899999999999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0.23058400000000001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19.6069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0.62830799999999998</v>
      </c>
      <c r="C18" s="66">
        <v>8.8875300000000004E-2</v>
      </c>
      <c r="D18" s="66">
        <v>0.14145199999999999</v>
      </c>
      <c r="E18" s="66">
        <v>0</v>
      </c>
      <c r="F18" s="66">
        <v>0.53943200000000002</v>
      </c>
      <c r="G18" s="66">
        <v>0</v>
      </c>
      <c r="H18" s="66">
        <v>0.71718300000000001</v>
      </c>
    </row>
    <row r="19" spans="1:8">
      <c r="A19" s="58" t="s">
        <v>316</v>
      </c>
      <c r="B19" s="66">
        <v>0.72181399999999996</v>
      </c>
      <c r="C19" s="66">
        <v>9.6812999999999996E-2</v>
      </c>
      <c r="D19" s="66">
        <v>0.13412499999999999</v>
      </c>
      <c r="E19" s="66">
        <v>0</v>
      </c>
      <c r="F19" s="66">
        <v>0.62500100000000003</v>
      </c>
      <c r="G19" s="66">
        <v>0</v>
      </c>
      <c r="H19" s="66">
        <v>0.81862699999999999</v>
      </c>
    </row>
    <row r="20" spans="1:8">
      <c r="A20" s="58" t="s">
        <v>317</v>
      </c>
      <c r="B20" s="66">
        <v>1.97262E-3</v>
      </c>
      <c r="C20" s="66">
        <v>2.3718199999999998E-2</v>
      </c>
      <c r="D20" s="66">
        <v>12.0237</v>
      </c>
      <c r="E20" s="66">
        <v>0</v>
      </c>
      <c r="F20" s="66">
        <v>0</v>
      </c>
      <c r="G20" s="66">
        <v>0</v>
      </c>
      <c r="H20" s="66">
        <v>0.27225100000000002</v>
      </c>
    </row>
    <row r="21" spans="1:8">
      <c r="A21" s="58" t="s">
        <v>318</v>
      </c>
      <c r="B21" s="66">
        <v>0.142045</v>
      </c>
      <c r="C21" s="66">
        <v>0.21875900000000001</v>
      </c>
      <c r="D21" s="66">
        <v>1.54006</v>
      </c>
      <c r="E21" s="66">
        <v>0</v>
      </c>
      <c r="F21" s="66">
        <v>8.005E-4</v>
      </c>
      <c r="G21" s="66">
        <v>0</v>
      </c>
      <c r="H21" s="66">
        <v>1.4381999999999999</v>
      </c>
    </row>
    <row r="22" spans="1:8">
      <c r="A22" s="58" t="s">
        <v>319</v>
      </c>
      <c r="B22" s="66">
        <v>46.319000000000003</v>
      </c>
      <c r="C22" s="66">
        <v>8.0404300000000006</v>
      </c>
      <c r="D22" s="66">
        <v>0.17358799999999999</v>
      </c>
      <c r="E22" s="66">
        <v>0</v>
      </c>
      <c r="F22" s="66">
        <v>29.29</v>
      </c>
      <c r="G22" s="66">
        <v>0</v>
      </c>
      <c r="H22" s="66">
        <v>75.142700000000005</v>
      </c>
    </row>
    <row r="23" spans="1:8">
      <c r="A23" s="58" t="s">
        <v>320</v>
      </c>
      <c r="B23" s="66">
        <v>21.654299999999999</v>
      </c>
      <c r="C23" s="66">
        <v>2.7826200000000001</v>
      </c>
      <c r="D23" s="66">
        <v>0.12850200000000001</v>
      </c>
      <c r="E23" s="66">
        <v>0</v>
      </c>
      <c r="F23" s="66">
        <v>15.2796</v>
      </c>
      <c r="G23" s="66">
        <v>0</v>
      </c>
      <c r="H23" s="66">
        <v>24.900500000000001</v>
      </c>
    </row>
    <row r="24" spans="1:8">
      <c r="A24" s="58" t="s">
        <v>321</v>
      </c>
      <c r="B24" s="66">
        <v>6.0099699999999999E-3</v>
      </c>
      <c r="C24" s="66">
        <v>1.3086800000000001E-2</v>
      </c>
      <c r="D24" s="66">
        <v>2.1775199999999999</v>
      </c>
      <c r="E24" s="66">
        <v>0</v>
      </c>
      <c r="F24" s="196">
        <v>3.0805600000000002E-5</v>
      </c>
      <c r="G24" s="66">
        <v>0</v>
      </c>
      <c r="H24" s="66">
        <v>9.9450800000000006E-2</v>
      </c>
    </row>
    <row r="25" spans="1:8">
      <c r="A25" s="58" t="s">
        <v>322</v>
      </c>
      <c r="B25" s="66">
        <v>0.20698</v>
      </c>
      <c r="C25" s="66">
        <v>0.16439200000000001</v>
      </c>
      <c r="D25" s="66">
        <v>0.79423999999999995</v>
      </c>
      <c r="E25" s="66">
        <v>0</v>
      </c>
      <c r="F25" s="66">
        <v>6.2248699999999997E-2</v>
      </c>
      <c r="G25" s="66">
        <v>0</v>
      </c>
      <c r="H25" s="66">
        <v>1.36713</v>
      </c>
    </row>
    <row r="26" spans="1:8">
      <c r="A26" s="58" t="s">
        <v>323</v>
      </c>
      <c r="B26" s="66">
        <v>4.7104800000000001E-4</v>
      </c>
      <c r="C26" s="66">
        <v>2.28327E-3</v>
      </c>
      <c r="D26" s="66">
        <v>4.8472200000000001</v>
      </c>
      <c r="E26" s="66">
        <v>0</v>
      </c>
      <c r="F26" s="66">
        <v>0</v>
      </c>
      <c r="G26" s="66">
        <v>0</v>
      </c>
      <c r="H26" s="66">
        <v>3.02423E-2</v>
      </c>
    </row>
    <row r="27" spans="1:8">
      <c r="A27" s="58" t="s">
        <v>324</v>
      </c>
      <c r="B27" s="196">
        <v>-3.2825599999999999E-6</v>
      </c>
      <c r="C27" s="66">
        <v>1.5345000000000001E-3</v>
      </c>
      <c r="D27" s="66">
        <v>-467.471</v>
      </c>
      <c r="E27" s="66">
        <v>0</v>
      </c>
      <c r="F27" s="66">
        <v>-1.1646500000000001E-2</v>
      </c>
      <c r="G27" s="66">
        <v>0</v>
      </c>
      <c r="H27" s="66">
        <v>1.7722600000000002E-2</v>
      </c>
    </row>
    <row r="28" spans="1:8">
      <c r="A28" s="58" t="s">
        <v>325</v>
      </c>
      <c r="B28" s="66">
        <v>1.65918E-2</v>
      </c>
      <c r="C28" s="66">
        <v>1.8568299999999999E-2</v>
      </c>
      <c r="D28" s="66">
        <v>1.11913</v>
      </c>
      <c r="E28" s="66">
        <v>0</v>
      </c>
      <c r="F28" s="66">
        <v>2.0182300000000001E-4</v>
      </c>
      <c r="G28" s="66">
        <v>0</v>
      </c>
      <c r="H28" s="66">
        <v>0.102578</v>
      </c>
    </row>
    <row r="29" spans="1:8">
      <c r="A29" s="58" t="s">
        <v>326</v>
      </c>
      <c r="B29" s="66">
        <v>75.167400000000001</v>
      </c>
      <c r="C29" s="66">
        <v>8.6288</v>
      </c>
      <c r="D29" s="66">
        <v>0.11479499999999999</v>
      </c>
      <c r="E29" s="66">
        <v>0</v>
      </c>
      <c r="F29" s="66">
        <v>56.1736</v>
      </c>
      <c r="G29" s="66">
        <v>0</v>
      </c>
      <c r="H29" s="66">
        <v>98.687799999999996</v>
      </c>
    </row>
    <row r="30" spans="1:8">
      <c r="A30" s="58" t="s">
        <v>327</v>
      </c>
      <c r="B30" s="66">
        <v>25.463200000000001</v>
      </c>
      <c r="C30" s="66">
        <v>6.6442500000000004</v>
      </c>
      <c r="D30" s="66">
        <v>0.26093499999999997</v>
      </c>
      <c r="E30" s="66">
        <v>0</v>
      </c>
      <c r="F30" s="66">
        <v>13.5663</v>
      </c>
      <c r="G30" s="66">
        <v>0</v>
      </c>
      <c r="H30" s="66">
        <v>34.0901</v>
      </c>
    </row>
    <row r="31" spans="1:8">
      <c r="A31" s="58" t="s">
        <v>328</v>
      </c>
      <c r="B31" s="66">
        <v>222.69200000000001</v>
      </c>
      <c r="C31" s="66">
        <v>61.796599999999998</v>
      </c>
      <c r="D31" s="66">
        <v>0.27749800000000002</v>
      </c>
      <c r="E31" s="66">
        <v>0</v>
      </c>
      <c r="F31" s="66">
        <v>60.822800000000001</v>
      </c>
      <c r="G31" s="66">
        <v>0</v>
      </c>
      <c r="H31" s="66">
        <v>266.024</v>
      </c>
    </row>
    <row r="32" spans="1:8">
      <c r="A32" s="58" t="s">
        <v>329</v>
      </c>
      <c r="B32" s="66">
        <v>0.24298600000000001</v>
      </c>
      <c r="C32" s="66">
        <v>5.9902299999999999E-2</v>
      </c>
      <c r="D32" s="66">
        <v>0.24652499999999999</v>
      </c>
      <c r="E32" s="66">
        <v>0.15</v>
      </c>
      <c r="F32" s="66">
        <v>0.11316</v>
      </c>
      <c r="G32" s="66">
        <v>0.4</v>
      </c>
      <c r="H32" s="66">
        <v>0.42009600000000002</v>
      </c>
    </row>
    <row r="33" spans="1:8">
      <c r="A33" s="58" t="s">
        <v>330</v>
      </c>
      <c r="B33" s="66">
        <v>0.25424099999999999</v>
      </c>
      <c r="C33" s="66">
        <v>9.00339E-2</v>
      </c>
      <c r="D33" s="66">
        <v>0.354128</v>
      </c>
      <c r="E33" s="66">
        <v>0</v>
      </c>
      <c r="F33" s="66">
        <v>0.20513500000000001</v>
      </c>
      <c r="G33" s="66">
        <v>0</v>
      </c>
      <c r="H33" s="66">
        <v>0.48504900000000001</v>
      </c>
    </row>
    <row r="34" spans="1:8">
      <c r="A34" s="58" t="s">
        <v>331</v>
      </c>
      <c r="B34" s="66">
        <v>0.22045799999999999</v>
      </c>
      <c r="C34" s="66">
        <v>2.91334E-2</v>
      </c>
      <c r="D34" s="66">
        <v>0.13214999999999999</v>
      </c>
      <c r="E34" s="66">
        <v>0.1</v>
      </c>
      <c r="F34" s="66">
        <v>0.164106</v>
      </c>
      <c r="G34" s="66">
        <v>0.25</v>
      </c>
      <c r="H34" s="66">
        <v>0.30048799999999998</v>
      </c>
    </row>
    <row r="35" spans="1:8">
      <c r="A35" s="58" t="s">
        <v>332</v>
      </c>
      <c r="B35" s="66">
        <v>0.10422099999999999</v>
      </c>
      <c r="C35" s="66">
        <v>2.5899599999999998E-2</v>
      </c>
      <c r="D35" s="66">
        <v>0.24850700000000001</v>
      </c>
      <c r="E35" s="66">
        <v>0</v>
      </c>
      <c r="F35" s="66">
        <v>4.0041599999999997E-2</v>
      </c>
      <c r="G35" s="66">
        <v>0</v>
      </c>
      <c r="H35" s="66">
        <v>0.16180700000000001</v>
      </c>
    </row>
    <row r="36" spans="1:8">
      <c r="A36" s="58" t="s">
        <v>333</v>
      </c>
      <c r="B36" s="66">
        <v>0.18951100000000001</v>
      </c>
      <c r="C36" s="66">
        <v>0.112525</v>
      </c>
      <c r="D36" s="66">
        <v>0.59376600000000002</v>
      </c>
      <c r="E36" s="66">
        <v>0</v>
      </c>
      <c r="F36" s="66">
        <v>3.9961799999999999E-2</v>
      </c>
      <c r="G36" s="66">
        <v>0</v>
      </c>
      <c r="H36" s="66">
        <v>0.59495699999999996</v>
      </c>
    </row>
    <row r="37" spans="1:8">
      <c r="A37" s="58" t="s">
        <v>334</v>
      </c>
      <c r="B37" s="66">
        <v>0.29133399999999998</v>
      </c>
      <c r="C37" s="66">
        <v>9.5716399999999993E-2</v>
      </c>
      <c r="D37" s="66">
        <v>0.32854499999999998</v>
      </c>
      <c r="E37" s="66">
        <v>0.1</v>
      </c>
      <c r="F37" s="66">
        <v>2.54541E-2</v>
      </c>
      <c r="G37" s="66">
        <v>0.5</v>
      </c>
      <c r="H37" s="66">
        <v>0.38285799999999998</v>
      </c>
    </row>
    <row r="38" spans="1:8">
      <c r="A38" s="58" t="s">
        <v>335</v>
      </c>
      <c r="B38" s="66">
        <v>-3.4676300000000002</v>
      </c>
      <c r="C38" s="66">
        <v>42.122500000000002</v>
      </c>
      <c r="D38" s="66">
        <v>-12.1473</v>
      </c>
      <c r="E38" s="66">
        <v>0</v>
      </c>
      <c r="F38" s="66">
        <v>-196.02500000000001</v>
      </c>
      <c r="G38" s="66">
        <v>0</v>
      </c>
      <c r="H38" s="66">
        <v>215.745</v>
      </c>
    </row>
    <row r="39" spans="1:8">
      <c r="A39" s="58" t="s">
        <v>336</v>
      </c>
      <c r="B39" s="66">
        <v>-2.7086299999999999</v>
      </c>
      <c r="C39" s="66">
        <v>3.89357</v>
      </c>
      <c r="D39" s="66">
        <v>-1.43747</v>
      </c>
      <c r="E39" s="66">
        <v>0</v>
      </c>
      <c r="F39" s="66">
        <v>-11.2159</v>
      </c>
      <c r="G39" s="66">
        <v>0</v>
      </c>
      <c r="H39" s="66">
        <v>8.6488499999999995</v>
      </c>
    </row>
    <row r="40" spans="1:8">
      <c r="A40" s="58" t="s">
        <v>337</v>
      </c>
      <c r="B40" s="66">
        <v>-1.4836199999999999</v>
      </c>
      <c r="C40" s="66">
        <v>0.34631299999999998</v>
      </c>
      <c r="D40" s="66">
        <v>-0.23342499999999999</v>
      </c>
      <c r="E40" s="66">
        <v>0</v>
      </c>
      <c r="F40" s="66">
        <v>-2.3696600000000001</v>
      </c>
      <c r="G40" s="66">
        <v>0</v>
      </c>
      <c r="H40" s="66">
        <v>-0.76671299999999998</v>
      </c>
    </row>
    <row r="41" spans="1:8">
      <c r="A41" s="58" t="s">
        <v>338</v>
      </c>
      <c r="B41" s="66">
        <v>-5.5438000000000001E-2</v>
      </c>
      <c r="C41" s="66">
        <v>0.22953799999999999</v>
      </c>
      <c r="D41" s="66">
        <v>-4.1404399999999999</v>
      </c>
      <c r="E41" s="66">
        <v>0</v>
      </c>
      <c r="F41" s="66">
        <v>-0.84126999999999996</v>
      </c>
      <c r="G41" s="66">
        <v>0</v>
      </c>
      <c r="H41" s="66">
        <v>1</v>
      </c>
    </row>
    <row r="42" spans="1:8">
      <c r="A42" s="58" t="s">
        <v>339</v>
      </c>
      <c r="B42" s="66">
        <v>-8.4090099999999997E-3</v>
      </c>
      <c r="C42" s="66">
        <v>7.6153200000000004E-2</v>
      </c>
      <c r="D42" s="66">
        <v>-9.0561399999999992</v>
      </c>
      <c r="E42" s="66">
        <v>0</v>
      </c>
      <c r="F42" s="66">
        <v>-0.166329</v>
      </c>
      <c r="G42" s="66">
        <v>0</v>
      </c>
      <c r="H42" s="66">
        <v>0.197994</v>
      </c>
    </row>
    <row r="43" spans="1:8">
      <c r="A43" s="58" t="s">
        <v>340</v>
      </c>
      <c r="B43" s="66">
        <v>3.9811699999999998E-2</v>
      </c>
      <c r="C43" s="66">
        <v>1.46705E-2</v>
      </c>
      <c r="D43" s="66">
        <v>0.36849799999999999</v>
      </c>
      <c r="E43" s="66">
        <v>0</v>
      </c>
      <c r="F43" s="66">
        <v>7.6223599999999999E-3</v>
      </c>
      <c r="G43" s="66">
        <v>0</v>
      </c>
      <c r="H43" s="66">
        <v>7.5584299999999993E-2</v>
      </c>
    </row>
    <row r="44" spans="1:8">
      <c r="A44" s="58" t="s">
        <v>341</v>
      </c>
      <c r="B44" s="66">
        <v>0.69586199999999998</v>
      </c>
      <c r="C44" s="66">
        <v>8.6495999999999995</v>
      </c>
      <c r="D44" s="66">
        <v>12.430099999999999</v>
      </c>
      <c r="E44" s="66">
        <v>0</v>
      </c>
      <c r="F44" s="66">
        <v>-16.073499999999999</v>
      </c>
      <c r="G44" s="66">
        <v>0</v>
      </c>
      <c r="H44" s="66">
        <v>21.917100000000001</v>
      </c>
    </row>
    <row r="45" spans="1:8">
      <c r="A45" s="58" t="s">
        <v>342</v>
      </c>
      <c r="B45" s="66">
        <v>53.555399999999999</v>
      </c>
      <c r="C45" s="66">
        <v>4.8036099999999999</v>
      </c>
      <c r="D45" s="66">
        <v>8.9694300000000005E-2</v>
      </c>
      <c r="E45" s="66">
        <v>0</v>
      </c>
      <c r="F45" s="66">
        <v>37.176900000000003</v>
      </c>
      <c r="G45" s="66">
        <v>0</v>
      </c>
      <c r="H45" s="66">
        <v>64.274000000000001</v>
      </c>
    </row>
    <row r="46" spans="1:8">
      <c r="A46" s="58" t="s">
        <v>343</v>
      </c>
      <c r="B46" s="66">
        <v>32.580500000000001</v>
      </c>
      <c r="C46" s="66">
        <v>11.048500000000001</v>
      </c>
      <c r="D46" s="66">
        <v>0.33911400000000003</v>
      </c>
      <c r="E46" s="66">
        <v>0</v>
      </c>
      <c r="F46" s="66">
        <v>4.3473300000000004</v>
      </c>
      <c r="G46" s="66">
        <v>0</v>
      </c>
      <c r="H46" s="66">
        <v>40.631300000000003</v>
      </c>
    </row>
    <row r="47" spans="1:8">
      <c r="A47" s="58" t="s">
        <v>344</v>
      </c>
      <c r="B47" s="66">
        <v>1.36215</v>
      </c>
      <c r="C47" s="66">
        <v>0.44409199999999999</v>
      </c>
      <c r="D47" s="66">
        <v>0.32602399999999998</v>
      </c>
      <c r="E47" s="66">
        <v>0</v>
      </c>
      <c r="F47" s="66">
        <v>0.60381099999999999</v>
      </c>
      <c r="G47" s="66">
        <v>0</v>
      </c>
      <c r="H47" s="66">
        <v>2.9441299999999999</v>
      </c>
    </row>
    <row r="48" spans="1:8">
      <c r="A48" s="58" t="s">
        <v>345</v>
      </c>
      <c r="B48" s="66">
        <v>1.14682</v>
      </c>
      <c r="C48" s="66">
        <v>0.14790600000000001</v>
      </c>
      <c r="D48" s="66">
        <v>0.12897</v>
      </c>
      <c r="E48" s="66">
        <v>0</v>
      </c>
      <c r="F48" s="66">
        <v>0.88898500000000003</v>
      </c>
      <c r="G48" s="66">
        <v>0</v>
      </c>
      <c r="H48" s="66">
        <v>1.5244200000000001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20.108800000000002</v>
      </c>
      <c r="C5" s="66">
        <f>'M2'!C5-'M1'!C5</f>
        <v>-9.2749199999999998</v>
      </c>
      <c r="D5" s="66">
        <f>'M2'!D5-'M1'!D5</f>
        <v>-34.881329999999998</v>
      </c>
      <c r="E5" s="66">
        <f>'M2'!E5-'M1'!E5</f>
        <v>0</v>
      </c>
      <c r="F5" s="66">
        <f>'M2'!F5-'M1'!F5</f>
        <v>35.709670000000003</v>
      </c>
      <c r="G5" s="66">
        <f>'M2'!G5-'M1'!G5</f>
        <v>0</v>
      </c>
      <c r="H5" s="66">
        <f>'M2'!H5-'M1'!H5</f>
        <v>6.8237000000000023</v>
      </c>
    </row>
    <row r="6" spans="1:8">
      <c r="A6" s="66" t="s">
        <v>244</v>
      </c>
      <c r="B6" s="66">
        <f>'M2'!B6-'M1'!B6</f>
        <v>4.968199999999996</v>
      </c>
      <c r="C6" s="66">
        <f>'M2'!C6-'M1'!C6</f>
        <v>-1.6594700000000002</v>
      </c>
      <c r="D6" s="66">
        <f>'M2'!D6-'M1'!D6</f>
        <v>-7.4988199999999994</v>
      </c>
      <c r="E6" s="66">
        <f>'M2'!E6-'M1'!E6</f>
        <v>0</v>
      </c>
      <c r="F6" s="66">
        <f>'M2'!F6-'M1'!F6</f>
        <v>12.177399999999999</v>
      </c>
      <c r="G6" s="66">
        <f>'M2'!G6-'M1'!G6</f>
        <v>0</v>
      </c>
      <c r="H6" s="66">
        <f>'M2'!H6-'M1'!H6</f>
        <v>7.9833999999999996</v>
      </c>
    </row>
    <row r="7" spans="1:8">
      <c r="A7" s="66" t="s">
        <v>245</v>
      </c>
      <c r="B7" s="66">
        <f>'M2'!B7-'M1'!B7</f>
        <v>-3.5855999999999995</v>
      </c>
      <c r="C7" s="66">
        <f>'M2'!C7-'M1'!C7</f>
        <v>-0.57316000000000056</v>
      </c>
      <c r="D7" s="66">
        <f>'M2'!D7-'M1'!D7</f>
        <v>0.77580000000000027</v>
      </c>
      <c r="E7" s="66">
        <f>'M2'!E7-'M1'!E7</f>
        <v>0</v>
      </c>
      <c r="F7" s="66">
        <f>'M2'!F7-'M1'!F7</f>
        <v>1.8250999999999991</v>
      </c>
      <c r="G7" s="66">
        <f>'M2'!G7-'M1'!G7</f>
        <v>0</v>
      </c>
      <c r="H7" s="66">
        <f>'M2'!H7-'M1'!H7</f>
        <v>-7.7749000000000024</v>
      </c>
    </row>
    <row r="8" spans="1:8">
      <c r="A8" s="66" t="s">
        <v>246</v>
      </c>
      <c r="B8" s="66">
        <f>'M2'!B8-'M1'!B8</f>
        <v>10.888900000000003</v>
      </c>
      <c r="C8" s="66">
        <f>'M2'!C8-'M1'!C8</f>
        <v>-3.3175999999999997</v>
      </c>
      <c r="D8" s="66">
        <f>'M2'!D8-'M1'!D8</f>
        <v>-16.585650000000001</v>
      </c>
      <c r="E8" s="66">
        <f>'M2'!E8-'M1'!E8</f>
        <v>0</v>
      </c>
      <c r="F8" s="66">
        <f>'M2'!F8-'M1'!F8</f>
        <v>13.805599999999998</v>
      </c>
      <c r="G8" s="66">
        <f>'M2'!G8-'M1'!G8</f>
        <v>0</v>
      </c>
      <c r="H8" s="66">
        <f>'M2'!H8-'M1'!H8</f>
        <v>4.5476000000000028</v>
      </c>
    </row>
    <row r="9" spans="1:8">
      <c r="A9" s="66" t="s">
        <v>247</v>
      </c>
      <c r="B9" s="66">
        <f>'M2'!B9-'M1'!B9</f>
        <v>-7.8339999999999961</v>
      </c>
      <c r="C9" s="66">
        <f>'M2'!C9-'M1'!C9</f>
        <v>1.5596699999999997</v>
      </c>
      <c r="D9" s="66">
        <f>'M2'!D9-'M1'!D9</f>
        <v>4.0984999999999996</v>
      </c>
      <c r="E9" s="66">
        <f>'M2'!E9-'M1'!E9</f>
        <v>0</v>
      </c>
      <c r="F9" s="66">
        <f>'M2'!F9-'M1'!F9</f>
        <v>-17.418000000000006</v>
      </c>
      <c r="G9" s="66">
        <f>'M2'!G9-'M1'!G9</f>
        <v>0</v>
      </c>
      <c r="H9" s="66">
        <f>'M2'!H9-'M1'!H9</f>
        <v>-15.616099999999989</v>
      </c>
    </row>
    <row r="10" spans="1:8">
      <c r="A10" s="66" t="s">
        <v>248</v>
      </c>
      <c r="B10" s="66">
        <f>'M2'!B10-'M1'!B10</f>
        <v>-13.2453</v>
      </c>
      <c r="C10" s="66">
        <f>'M2'!C10-'M1'!C10</f>
        <v>2.38157</v>
      </c>
      <c r="D10" s="66">
        <f>'M2'!D10-'M1'!D10</f>
        <v>3.9938400000000001</v>
      </c>
      <c r="E10" s="66">
        <f>'M2'!E10-'M1'!E10</f>
        <v>0</v>
      </c>
      <c r="F10" s="66">
        <f>'M2'!F10-'M1'!F10</f>
        <v>-16.665700000000001</v>
      </c>
      <c r="G10" s="66">
        <f>'M2'!G10-'M1'!G10</f>
        <v>0</v>
      </c>
      <c r="H10" s="66">
        <f>'M2'!H10-'M1'!H10</f>
        <v>-7.3708999999999918</v>
      </c>
    </row>
    <row r="11" spans="1:8">
      <c r="A11" s="66" t="s">
        <v>249</v>
      </c>
      <c r="B11" s="66">
        <f>'M2'!B11-'M1'!B11</f>
        <v>11.473700000000001</v>
      </c>
      <c r="C11" s="66">
        <f>'M2'!C11-'M1'!C11</f>
        <v>-4.2297700000000003</v>
      </c>
      <c r="D11" s="66">
        <f>'M2'!D11-'M1'!D11</f>
        <v>-24.19688</v>
      </c>
      <c r="E11" s="66">
        <f>'M2'!E11-'M1'!E11</f>
        <v>0</v>
      </c>
      <c r="F11" s="66">
        <f>'M2'!F11-'M1'!F11</f>
        <v>19.057220000000001</v>
      </c>
      <c r="G11" s="66">
        <f>'M2'!G11-'M1'!G11</f>
        <v>0</v>
      </c>
      <c r="H11" s="66">
        <f>'M2'!H11-'M1'!H11</f>
        <v>3.9355000000000011</v>
      </c>
    </row>
    <row r="12" spans="1:8">
      <c r="A12" s="66" t="s">
        <v>250</v>
      </c>
      <c r="B12" s="66">
        <f>'M2'!B12-'M1'!B12</f>
        <v>-10.314599999999999</v>
      </c>
      <c r="C12" s="66">
        <f>'M2'!C12-'M1'!C12</f>
        <v>-7.2210000000000107E-2</v>
      </c>
      <c r="D12" s="66">
        <f>'M2'!D12-'M1'!D12</f>
        <v>0.84510999999999914</v>
      </c>
      <c r="E12" s="66">
        <f>'M2'!E12-'M1'!E12</f>
        <v>0</v>
      </c>
      <c r="F12" s="66">
        <f>'M2'!F12-'M1'!F12</f>
        <v>-12.902000000000001</v>
      </c>
      <c r="G12" s="66">
        <f>'M2'!G12-'M1'!G12</f>
        <v>0</v>
      </c>
      <c r="H12" s="66">
        <f>'M2'!H12-'M1'!H12</f>
        <v>-14.632300000000001</v>
      </c>
    </row>
    <row r="13" spans="1:8">
      <c r="A13" s="66" t="s">
        <v>251</v>
      </c>
      <c r="B13" s="66">
        <f>'M2'!B13-'M1'!B13</f>
        <v>2.471899999999998</v>
      </c>
      <c r="C13" s="66">
        <f>'M2'!C13-'M1'!C13</f>
        <v>-0.59452000000000016</v>
      </c>
      <c r="D13" s="66">
        <f>'M2'!D13-'M1'!D13</f>
        <v>-4.0919999999999987</v>
      </c>
      <c r="E13" s="66">
        <f>'M2'!E13-'M1'!E13</f>
        <v>0</v>
      </c>
      <c r="F13" s="66">
        <f>'M2'!F13-'M1'!F13</f>
        <v>3.4650999999999996</v>
      </c>
      <c r="G13" s="66">
        <f>'M2'!G13-'M1'!G13</f>
        <v>0</v>
      </c>
      <c r="H13" s="66">
        <f>'M2'!H13-'M1'!H13</f>
        <v>1.0224000000000011</v>
      </c>
    </row>
    <row r="14" spans="1:8">
      <c r="A14" s="66" t="s">
        <v>252</v>
      </c>
      <c r="B14" s="66">
        <f>'M2'!B14-'M1'!B14</f>
        <v>-5.9451999999999998</v>
      </c>
      <c r="C14" s="66">
        <f>'M2'!C14-'M1'!C14</f>
        <v>1.447849999999999</v>
      </c>
      <c r="D14" s="66">
        <f>'M2'!D14-'M1'!D14</f>
        <v>13.429599999999997</v>
      </c>
      <c r="E14" s="66">
        <f>'M2'!E14-'M1'!E14</f>
        <v>0</v>
      </c>
      <c r="F14" s="66">
        <f>'M2'!F14-'M1'!F14</f>
        <v>2.0656900000000005</v>
      </c>
      <c r="G14" s="66">
        <f>'M2'!G14-'M1'!G14</f>
        <v>0</v>
      </c>
      <c r="H14" s="66">
        <f>'M2'!H14-'M1'!H14</f>
        <v>-5.1441000000000017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0.153584</v>
      </c>
      <c r="C18" s="66">
        <f>'M2'!C18-'M1'!C18</f>
        <v>8.8875300000000004E-2</v>
      </c>
      <c r="D18" s="66">
        <f>'M2'!D18-'M1'!D18</f>
        <v>0.14145199999999999</v>
      </c>
      <c r="E18" s="66">
        <f>'M2'!E18-'M1'!E18</f>
        <v>0</v>
      </c>
      <c r="F18" s="66">
        <f>'M2'!F18-'M1'!F18</f>
        <v>0.53943200000000002</v>
      </c>
      <c r="G18" s="66">
        <f>'M2'!G18-'M1'!G18</f>
        <v>0</v>
      </c>
      <c r="H18" s="66">
        <f>'M2'!H18-'M1'!H18</f>
        <v>0.71718300000000001</v>
      </c>
    </row>
    <row r="19" spans="1:8">
      <c r="A19" s="66" t="s">
        <v>256</v>
      </c>
      <c r="B19" s="66">
        <f>'M2'!B19-'M1'!B19</f>
        <v>0.26242299999999996</v>
      </c>
      <c r="C19" s="66">
        <f>'M2'!C19-'M1'!C19</f>
        <v>9.6812999999999996E-2</v>
      </c>
      <c r="D19" s="66">
        <f>'M2'!D19-'M1'!D19</f>
        <v>0.13412499999999999</v>
      </c>
      <c r="E19" s="66">
        <f>'M2'!E19-'M1'!E19</f>
        <v>0</v>
      </c>
      <c r="F19" s="66">
        <f>'M2'!F19-'M1'!F19</f>
        <v>0.62500100000000003</v>
      </c>
      <c r="G19" s="66">
        <f>'M2'!G19-'M1'!G19</f>
        <v>0</v>
      </c>
      <c r="H19" s="66">
        <f>'M2'!H19-'M1'!H19</f>
        <v>0.81862699999999999</v>
      </c>
    </row>
    <row r="20" spans="1:8">
      <c r="A20" s="66" t="s">
        <v>63</v>
      </c>
      <c r="B20" s="66">
        <f>'M2'!B20-'M1'!B20</f>
        <v>1.2218999999999997E-3</v>
      </c>
      <c r="C20" s="66">
        <f>'M2'!C20-'M1'!C20</f>
        <v>-7.1835999999999983E-3</v>
      </c>
      <c r="D20" s="66">
        <f>'M2'!D20-'M1'!D20</f>
        <v>-11.209090000000002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-0.13337000000000002</v>
      </c>
    </row>
    <row r="21" spans="1:8">
      <c r="A21" s="66" t="s">
        <v>64</v>
      </c>
      <c r="B21" s="66">
        <f>'M2'!B21-'M1'!B21</f>
        <v>3.2867000000000007E-2</v>
      </c>
      <c r="C21" s="66">
        <f>'M2'!C21-'M1'!C21</f>
        <v>-7.9849999999999921E-3</v>
      </c>
      <c r="D21" s="66">
        <f>'M2'!D21-'M1'!D21</f>
        <v>-0.41776000000000013</v>
      </c>
      <c r="E21" s="66">
        <f>'M2'!E21-'M1'!E21</f>
        <v>0</v>
      </c>
      <c r="F21" s="66">
        <f>'M2'!F21-'M1'!F21</f>
        <v>-4.6544000000000034E-5</v>
      </c>
      <c r="G21" s="66">
        <f>'M2'!G21-'M1'!G21</f>
        <v>0</v>
      </c>
      <c r="H21" s="66">
        <f>'M2'!H21-'M1'!H21</f>
        <v>-0.17130999999999985</v>
      </c>
    </row>
    <row r="22" spans="1:8">
      <c r="A22" s="66" t="s">
        <v>65</v>
      </c>
      <c r="B22" s="66">
        <f>'M2'!B22-'M1'!B22</f>
        <v>4.1274999999999977</v>
      </c>
      <c r="C22" s="66">
        <f>'M2'!C22-'M1'!C22</f>
        <v>-1.4567000000000005</v>
      </c>
      <c r="D22" s="66">
        <f>'M2'!D22-'M1'!D22</f>
        <v>-4.6594999999999998E-2</v>
      </c>
      <c r="E22" s="66">
        <f>'M2'!E22-'M1'!E22</f>
        <v>0</v>
      </c>
      <c r="F22" s="66">
        <f>'M2'!F22-'M1'!F22</f>
        <v>-1.3080999999999996</v>
      </c>
      <c r="G22" s="66">
        <f>'M2'!G22-'M1'!G22</f>
        <v>0</v>
      </c>
      <c r="H22" s="66">
        <f>'M2'!H22-'M1'!H22</f>
        <v>-16.399700000000003</v>
      </c>
    </row>
    <row r="23" spans="1:8">
      <c r="A23" s="66" t="s">
        <v>66</v>
      </c>
      <c r="B23" s="66">
        <f>'M2'!B23-'M1'!B23</f>
        <v>4.8581000000000003</v>
      </c>
      <c r="C23" s="66">
        <f>'M2'!C23-'M1'!C23</f>
        <v>-1.060718</v>
      </c>
      <c r="D23" s="66">
        <f>'M2'!D23-'M1'!D23</f>
        <v>-6.5381900000000007E-2</v>
      </c>
      <c r="E23" s="66">
        <f>'M2'!E23-'M1'!E23</f>
        <v>0</v>
      </c>
      <c r="F23" s="66">
        <f>'M2'!F23-'M1'!F23</f>
        <v>6.121599999999999</v>
      </c>
      <c r="G23" s="66">
        <f>'M2'!G23-'M1'!G23</f>
        <v>0</v>
      </c>
      <c r="H23" s="66">
        <f>'M2'!H23-'M1'!H23</f>
        <v>2.1233000000000004</v>
      </c>
    </row>
    <row r="24" spans="1:8">
      <c r="A24" s="66" t="s">
        <v>67</v>
      </c>
      <c r="B24" s="66">
        <f>'M2'!B24-'M1'!B24</f>
        <v>3.7651100000000003E-3</v>
      </c>
      <c r="C24" s="66">
        <f>'M2'!C24-'M1'!C24</f>
        <v>-4.0246000000000014E-3</v>
      </c>
      <c r="D24" s="66">
        <f>'M2'!D24-'M1'!D24</f>
        <v>-2.0232200000000002</v>
      </c>
      <c r="E24" s="66">
        <f>'M2'!E24-'M1'!E24</f>
        <v>0</v>
      </c>
      <c r="F24" s="66">
        <f>'M2'!F24-'M1'!F24</f>
        <v>-9.7816999999999948E-6</v>
      </c>
      <c r="G24" s="66">
        <f>'M2'!G24-'M1'!G24</f>
        <v>0</v>
      </c>
      <c r="H24" s="66">
        <f>'M2'!H24-'M1'!H24</f>
        <v>-3.8830000000000003E-2</v>
      </c>
    </row>
    <row r="25" spans="1:8">
      <c r="A25" s="66" t="s">
        <v>68</v>
      </c>
      <c r="B25" s="66">
        <f>'M2'!B25-'M1'!B25</f>
        <v>8.7371999999999977E-2</v>
      </c>
      <c r="C25" s="66">
        <f>'M2'!C25-'M1'!C25</f>
        <v>-0.10230199999999999</v>
      </c>
      <c r="D25" s="66">
        <f>'M2'!D25-'M1'!D25</f>
        <v>-0.85183500000000012</v>
      </c>
      <c r="E25" s="66">
        <f>'M2'!E25-'M1'!E25</f>
        <v>0</v>
      </c>
      <c r="F25" s="66">
        <f>'M2'!F25-'M1'!F25</f>
        <v>3.5399000000000055E-3</v>
      </c>
      <c r="G25" s="66">
        <f>'M2'!G25-'M1'!G25</f>
        <v>0</v>
      </c>
      <c r="H25" s="66">
        <f>'M2'!H25-'M1'!H25</f>
        <v>-0.94827099999999998</v>
      </c>
    </row>
    <row r="26" spans="1:8">
      <c r="A26" s="66" t="s">
        <v>69</v>
      </c>
      <c r="B26" s="66">
        <f>'M2'!B26-'M1'!B26</f>
        <v>2.9050700000000002E-4</v>
      </c>
      <c r="C26" s="66">
        <f>'M2'!C26-'M1'!C26</f>
        <v>-7.7705999999999977E-4</v>
      </c>
      <c r="D26" s="66">
        <f>'M2'!D26-'M1'!D26</f>
        <v>-4.9676399999999994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-1.71252E-2</v>
      </c>
    </row>
    <row r="27" spans="1:8">
      <c r="A27" s="66" t="s">
        <v>70</v>
      </c>
      <c r="B27" s="66">
        <f>'M2'!B27-'M1'!B27</f>
        <v>9.8476899999999999E-6</v>
      </c>
      <c r="C27" s="66">
        <f>'M2'!C27-'M1'!C27</f>
        <v>-4.6600000000000005E-4</v>
      </c>
      <c r="D27" s="66">
        <f>'M2'!D27-'M1'!D27</f>
        <v>658.38900000000001</v>
      </c>
      <c r="E27" s="66">
        <f>'M2'!E27-'M1'!E27</f>
        <v>0</v>
      </c>
      <c r="F27" s="66">
        <f>'M2'!F27-'M1'!F27</f>
        <v>5.3177200000000006E-3</v>
      </c>
      <c r="G27" s="66">
        <f>'M2'!G27-'M1'!G27</f>
        <v>0</v>
      </c>
      <c r="H27" s="66">
        <f>'M2'!H27-'M1'!H27</f>
        <v>-9.2010700000000022E-3</v>
      </c>
    </row>
    <row r="28" spans="1:8">
      <c r="A28" s="66" t="s">
        <v>71</v>
      </c>
      <c r="B28" s="66">
        <f>'M2'!B28-'M1'!B28</f>
        <v>5.3907E-3</v>
      </c>
      <c r="C28" s="66">
        <f>'M2'!C28-'M1'!C28</f>
        <v>1.6470000000000026E-4</v>
      </c>
      <c r="D28" s="66">
        <f>'M2'!D28-'M1'!D28</f>
        <v>-0.34942100000000009</v>
      </c>
      <c r="E28" s="66">
        <f>'M2'!E28-'M1'!E28</f>
        <v>0</v>
      </c>
      <c r="F28" s="66">
        <f>'M2'!F28-'M1'!F28</f>
        <v>3.9062E-5</v>
      </c>
      <c r="G28" s="66">
        <f>'M2'!G28-'M1'!G28</f>
        <v>0</v>
      </c>
      <c r="H28" s="66">
        <f>'M2'!H28-'M1'!H28</f>
        <v>-1.7640000000000017E-3</v>
      </c>
    </row>
    <row r="29" spans="1:8">
      <c r="A29" s="66" t="s">
        <v>72</v>
      </c>
      <c r="B29" s="66">
        <f>'M2'!B29-'M1'!B29</f>
        <v>5.6336999999999904</v>
      </c>
      <c r="C29" s="66">
        <f>'M2'!C29-'M1'!C29</f>
        <v>-0.2735599999999998</v>
      </c>
      <c r="D29" s="66">
        <f>'M2'!D29-'M1'!D29</f>
        <v>-1.2293999999999999E-2</v>
      </c>
      <c r="E29" s="66">
        <f>'M2'!E29-'M1'!E29</f>
        <v>0</v>
      </c>
      <c r="F29" s="66">
        <f>'M2'!F29-'M1'!F29</f>
        <v>-3.5529999999999973</v>
      </c>
      <c r="G29" s="66">
        <f>'M2'!G29-'M1'!G29</f>
        <v>0</v>
      </c>
      <c r="H29" s="66">
        <f>'M2'!H29-'M1'!H29</f>
        <v>-6.8168000000000006</v>
      </c>
    </row>
    <row r="30" spans="1:8">
      <c r="A30" s="66" t="s">
        <v>73</v>
      </c>
      <c r="B30" s="66">
        <f>'M2'!B30-'M1'!B30</f>
        <v>12.873900000000003</v>
      </c>
      <c r="C30" s="66">
        <f>'M2'!C30-'M1'!C30</f>
        <v>-0.5363500000000001</v>
      </c>
      <c r="D30" s="66">
        <f>'M2'!D30-'M1'!D30</f>
        <v>-8.0925000000000011E-2</v>
      </c>
      <c r="E30" s="66">
        <f>'M2'!E30-'M1'!E30</f>
        <v>0</v>
      </c>
      <c r="F30" s="66">
        <f>'M2'!F30-'M1'!F30</f>
        <v>11.9762</v>
      </c>
      <c r="G30" s="66">
        <f>'M2'!G30-'M1'!G30</f>
        <v>0</v>
      </c>
      <c r="H30" s="66">
        <f>'M2'!H30-'M1'!H30</f>
        <v>8.6268999999999991</v>
      </c>
    </row>
    <row r="31" spans="1:8">
      <c r="A31" s="66" t="s">
        <v>74</v>
      </c>
      <c r="B31" s="66">
        <f>'M2'!B31-'M1'!B31</f>
        <v>105.586</v>
      </c>
      <c r="C31" s="66">
        <f>'M2'!C31-'M1'!C31</f>
        <v>-34.540199999999999</v>
      </c>
      <c r="D31" s="66">
        <f>'M2'!D31-'M1'!D31</f>
        <v>-0.3111717</v>
      </c>
      <c r="E31" s="66">
        <f>'M2'!E31-'M1'!E31</f>
        <v>0</v>
      </c>
      <c r="F31" s="66">
        <f>'M2'!F31-'M1'!F31</f>
        <v>160.35820000000001</v>
      </c>
      <c r="G31" s="66">
        <f>'M2'!G31-'M1'!G31</f>
        <v>0</v>
      </c>
      <c r="H31" s="66">
        <f>'M2'!H31-'M1'!H31</f>
        <v>39.876000000000005</v>
      </c>
    </row>
    <row r="32" spans="1:8">
      <c r="A32" s="66" t="s">
        <v>75</v>
      </c>
      <c r="B32" s="66">
        <f>'M2'!B32-'M1'!B32</f>
        <v>-3.5855999999999999E-2</v>
      </c>
      <c r="C32" s="66">
        <f>'M2'!C32-'M1'!C32</f>
        <v>-5.7315999999999964E-3</v>
      </c>
      <c r="D32" s="66">
        <f>'M2'!D32-'M1'!D32</f>
        <v>7.7579999999999871E-3</v>
      </c>
      <c r="E32" s="66">
        <f>'M2'!E32-'M1'!E32</f>
        <v>0</v>
      </c>
      <c r="F32" s="66">
        <f>'M2'!F32-'M1'!F32</f>
        <v>1.8251000000000003E-2</v>
      </c>
      <c r="G32" s="66">
        <f>'M2'!G32-'M1'!G32</f>
        <v>0</v>
      </c>
      <c r="H32" s="66">
        <f>'M2'!H32-'M1'!H32</f>
        <v>-7.7749000000000013E-2</v>
      </c>
    </row>
    <row r="33" spans="1:8">
      <c r="A33" s="66" t="s">
        <v>76</v>
      </c>
      <c r="B33" s="66">
        <f>'M2'!B33-'M1'!B33</f>
        <v>4.9504999999999993E-2</v>
      </c>
      <c r="C33" s="66">
        <f>'M2'!C33-'M1'!C33</f>
        <v>8.0617400000000006E-2</v>
      </c>
      <c r="D33" s="66">
        <f>'M2'!D33-'M1'!D33</f>
        <v>0.28592450000000003</v>
      </c>
      <c r="E33" s="66">
        <f>'M2'!E33-'M1'!E33</f>
        <v>0</v>
      </c>
      <c r="F33" s="66">
        <f>'M2'!F33-'M1'!F33</f>
        <v>4.871700000000001E-2</v>
      </c>
      <c r="G33" s="66">
        <f>'M2'!G33-'M1'!G33</f>
        <v>0</v>
      </c>
      <c r="H33" s="66">
        <f>'M2'!H33-'M1'!H33</f>
        <v>0.21939799999999998</v>
      </c>
    </row>
    <row r="34" spans="1:8">
      <c r="A34" s="66" t="s">
        <v>77</v>
      </c>
      <c r="B34" s="66">
        <f>'M2'!B34-'M1'!B34</f>
        <v>2.4718999999999991E-2</v>
      </c>
      <c r="C34" s="66">
        <f>'M2'!C34-'M1'!C34</f>
        <v>-5.9451999999999977E-3</v>
      </c>
      <c r="D34" s="66">
        <f>'M2'!D34-'M1'!D34</f>
        <v>-4.0920000000000012E-2</v>
      </c>
      <c r="E34" s="66">
        <f>'M2'!E34-'M1'!E34</f>
        <v>0</v>
      </c>
      <c r="F34" s="66">
        <f>'M2'!F34-'M1'!F34</f>
        <v>3.4650999999999987E-2</v>
      </c>
      <c r="G34" s="66">
        <f>'M2'!G34-'M1'!G34</f>
        <v>0</v>
      </c>
      <c r="H34" s="66">
        <f>'M2'!H34-'M1'!H34</f>
        <v>1.0223999999999955E-2</v>
      </c>
    </row>
    <row r="35" spans="1:8">
      <c r="A35" s="66" t="s">
        <v>78</v>
      </c>
      <c r="B35" s="66">
        <f>'M2'!B35-'M1'!B35</f>
        <v>-8.9984000000000036E-3</v>
      </c>
      <c r="C35" s="66">
        <f>'M2'!C35-'M1'!C35</f>
        <v>4.9740000000000201E-4</v>
      </c>
      <c r="D35" s="66">
        <f>'M2'!D35-'M1'!D35</f>
        <v>2.6814000000000004E-2</v>
      </c>
      <c r="E35" s="66">
        <f>'M2'!E35-'M1'!E35</f>
        <v>0</v>
      </c>
      <c r="F35" s="66">
        <f>'M2'!F35-'M1'!F35</f>
        <v>1.5731400000000006E-2</v>
      </c>
      <c r="G35" s="66">
        <f>'M2'!G35-'M1'!G35</f>
        <v>0</v>
      </c>
      <c r="H35" s="66">
        <f>'M2'!H35-'M1'!H35</f>
        <v>-1.0440000000000005E-2</v>
      </c>
    </row>
    <row r="36" spans="1:8">
      <c r="A36" s="66" t="s">
        <v>79</v>
      </c>
      <c r="B36" s="66">
        <f>'M2'!B36-'M1'!B36</f>
        <v>1.9598000000000004E-2</v>
      </c>
      <c r="C36" s="66">
        <f>'M2'!C36-'M1'!C36</f>
        <v>-8.1620000000000026E-3</v>
      </c>
      <c r="D36" s="66">
        <f>'M2'!D36-'M1'!D36</f>
        <v>-0.10619400000000001</v>
      </c>
      <c r="E36" s="66">
        <f>'M2'!E36-'M1'!E36</f>
        <v>0</v>
      </c>
      <c r="F36" s="66">
        <f>'M2'!F36-'M1'!F36</f>
        <v>-5.1918999999999993E-3</v>
      </c>
      <c r="G36" s="66">
        <f>'M2'!G36-'M1'!G36</f>
        <v>0</v>
      </c>
      <c r="H36" s="66">
        <f>'M2'!H36-'M1'!H36</f>
        <v>-4.8393999999999937E-2</v>
      </c>
    </row>
    <row r="37" spans="1:8">
      <c r="A37" s="66" t="s">
        <v>80</v>
      </c>
      <c r="B37" s="66">
        <f>'M2'!B37-'M1'!B37</f>
        <v>-5.9451999999999977E-2</v>
      </c>
      <c r="C37" s="66">
        <f>'M2'!C37-'M1'!C37</f>
        <v>1.4478499999999991E-2</v>
      </c>
      <c r="D37" s="66">
        <f>'M2'!D37-'M1'!D37</f>
        <v>0.13429599999999997</v>
      </c>
      <c r="E37" s="66">
        <f>'M2'!E37-'M1'!E37</f>
        <v>0</v>
      </c>
      <c r="F37" s="66">
        <f>'M2'!F37-'M1'!F37</f>
        <v>2.0656899999999999E-2</v>
      </c>
      <c r="G37" s="66">
        <f>'M2'!G37-'M1'!G37</f>
        <v>0</v>
      </c>
      <c r="H37" s="66">
        <f>'M2'!H37-'M1'!H37</f>
        <v>-5.1440999999999959E-2</v>
      </c>
    </row>
    <row r="38" spans="1:8">
      <c r="A38" s="66" t="s">
        <v>81</v>
      </c>
      <c r="B38" s="66">
        <f>'M2'!B38-'M1'!B38</f>
        <v>5.5144440000000001</v>
      </c>
      <c r="C38" s="66">
        <f>'M2'!C38-'M1'!C38</f>
        <v>-6.3066999999999993</v>
      </c>
      <c r="D38" s="66">
        <f>'M2'!D38-'M1'!D38</f>
        <v>-59.157650000000004</v>
      </c>
      <c r="E38" s="66">
        <f>'M2'!E38-'M1'!E38</f>
        <v>0</v>
      </c>
      <c r="F38" s="66">
        <f>'M2'!F38-'M1'!F38</f>
        <v>-114.06490000000001</v>
      </c>
      <c r="G38" s="66">
        <f>'M2'!G38-'M1'!G38</f>
        <v>0</v>
      </c>
      <c r="H38" s="66">
        <f>'M2'!H38-'M1'!H38</f>
        <v>-73.706000000000017</v>
      </c>
    </row>
    <row r="39" spans="1:8">
      <c r="A39" s="66" t="s">
        <v>82</v>
      </c>
      <c r="B39" s="66">
        <f>'M2'!B39-'M1'!B39</f>
        <v>1.22295</v>
      </c>
      <c r="C39" s="66">
        <f>'M2'!C39-'M1'!C39</f>
        <v>-0.83417999999999992</v>
      </c>
      <c r="D39" s="66">
        <f>'M2'!D39-'M1'!D39</f>
        <v>-0.42901999999999996</v>
      </c>
      <c r="E39" s="66">
        <f>'M2'!E39-'M1'!E39</f>
        <v>0</v>
      </c>
      <c r="F39" s="66">
        <f>'M2'!F39-'M1'!F39</f>
        <v>3.5383999999999993</v>
      </c>
      <c r="G39" s="66">
        <f>'M2'!G39-'M1'!G39</f>
        <v>0</v>
      </c>
      <c r="H39" s="66">
        <f>'M2'!H39-'M1'!H39</f>
        <v>1.7189699999999997</v>
      </c>
    </row>
    <row r="40" spans="1:8">
      <c r="A40" s="66" t="s">
        <v>83</v>
      </c>
      <c r="B40" s="66">
        <f>'M2'!B40-'M1'!B40</f>
        <v>-0.18799999999999994</v>
      </c>
      <c r="C40" s="66">
        <f>'M2'!C40-'M1'!C40</f>
        <v>-3.4420000000000006E-3</v>
      </c>
      <c r="D40" s="66">
        <f>'M2'!D40-'M1'!D40</f>
        <v>3.0675000000000008E-2</v>
      </c>
      <c r="E40" s="66">
        <f>'M2'!E40-'M1'!E40</f>
        <v>0</v>
      </c>
      <c r="F40" s="66">
        <f>'M2'!F40-'M1'!F40</f>
        <v>-0.65084000000000009</v>
      </c>
      <c r="G40" s="66">
        <f>'M2'!G40-'M1'!G40</f>
        <v>0</v>
      </c>
      <c r="H40" s="66">
        <f>'M2'!H40-'M1'!H40</f>
        <v>-8.8090000000000002E-2</v>
      </c>
    </row>
    <row r="41" spans="1:8">
      <c r="A41" s="66" t="s">
        <v>84</v>
      </c>
      <c r="B41" s="66">
        <f>'M2'!B41-'M1'!B41</f>
        <v>-1.2401699999999995E-2</v>
      </c>
      <c r="C41" s="66">
        <f>'M2'!C41-'M1'!C41</f>
        <v>-6.3976000000000005E-2</v>
      </c>
      <c r="D41" s="66">
        <f>'M2'!D41-'M1'!D41</f>
        <v>2.3196399999999997</v>
      </c>
      <c r="E41" s="66">
        <f>'M2'!E41-'M1'!E41</f>
        <v>0</v>
      </c>
      <c r="F41" s="66">
        <f>'M2'!F41-'M1'!F41</f>
        <v>-0.31137300000000001</v>
      </c>
      <c r="G41" s="66">
        <f>'M2'!G41-'M1'!G41</f>
        <v>0</v>
      </c>
      <c r="H41" s="66">
        <f>'M2'!H41-'M1'!H41</f>
        <v>-0.48780500000000004</v>
      </c>
    </row>
    <row r="42" spans="1:8">
      <c r="A42" s="66" t="s">
        <v>85</v>
      </c>
      <c r="B42" s="66">
        <f>'M2'!B42-'M1'!B42</f>
        <v>5.75769E-2</v>
      </c>
      <c r="C42" s="66">
        <f>'M2'!C42-'M1'!C42</f>
        <v>-2.7023499999999999E-2</v>
      </c>
      <c r="D42" s="66">
        <f>'M2'!D42-'M1'!D42</f>
        <v>7.4581200000000001</v>
      </c>
      <c r="E42" s="66">
        <f>'M2'!E42-'M1'!E42</f>
        <v>0</v>
      </c>
      <c r="F42" s="66">
        <f>'M2'!F42-'M1'!F42</f>
        <v>4.2705999999999994E-2</v>
      </c>
      <c r="G42" s="66">
        <f>'M2'!G42-'M1'!G42</f>
        <v>0</v>
      </c>
      <c r="H42" s="66">
        <f>'M2'!H42-'M1'!H42</f>
        <v>-1.702999999999999E-2</v>
      </c>
    </row>
    <row r="43" spans="1:8">
      <c r="A43" s="66" t="s">
        <v>86</v>
      </c>
      <c r="B43" s="66">
        <f>'M2'!B43-'M1'!B43</f>
        <v>1.4880999999999998E-2</v>
      </c>
      <c r="C43" s="66">
        <f>'M2'!C43-'M1'!C43</f>
        <v>7.9260000000000094E-4</v>
      </c>
      <c r="D43" s="66">
        <f>'M2'!D43-'M1'!D43</f>
        <v>-0.17269000000000001</v>
      </c>
      <c r="E43" s="66">
        <f>'M2'!E43-'M1'!E43</f>
        <v>0</v>
      </c>
      <c r="F43" s="66">
        <f>'M2'!F43-'M1'!F43</f>
        <v>-1.5747740000000003E-2</v>
      </c>
      <c r="G43" s="66">
        <f>'M2'!G43-'M1'!G43</f>
        <v>0</v>
      </c>
      <c r="H43" s="66">
        <f>'M2'!H43-'M1'!H43</f>
        <v>2.0972599999999994E-2</v>
      </c>
    </row>
    <row r="44" spans="1:8">
      <c r="A44" s="66" t="s">
        <v>87</v>
      </c>
      <c r="B44" s="66">
        <f>'M2'!B44-'M1'!B44</f>
        <v>4.0853619999999999</v>
      </c>
      <c r="C44" s="66">
        <f>'M2'!C44-'M1'!C44</f>
        <v>5.6150799999999998</v>
      </c>
      <c r="D44" s="66">
        <f>'M2'!D44-'M1'!D44</f>
        <v>8.1297999999999995</v>
      </c>
      <c r="E44" s="66">
        <f>'M2'!E44-'M1'!E44</f>
        <v>0</v>
      </c>
      <c r="F44" s="66">
        <f>'M2'!F44-'M1'!F44</f>
        <v>2.1979999999999986</v>
      </c>
      <c r="G44" s="66">
        <f>'M2'!G44-'M1'!G44</f>
        <v>0</v>
      </c>
      <c r="H44" s="66">
        <f>'M2'!H44-'M1'!H44</f>
        <v>16.971020000000003</v>
      </c>
    </row>
    <row r="45" spans="1:8">
      <c r="A45" s="66" t="s">
        <v>88</v>
      </c>
      <c r="B45" s="66">
        <f>'M2'!B45-'M1'!B45</f>
        <v>-0.54820000000000135</v>
      </c>
      <c r="C45" s="66">
        <f>'M2'!C45-'M1'!C45</f>
        <v>-0.66173999999999999</v>
      </c>
      <c r="D45" s="66">
        <f>'M2'!D45-'M1'!D45</f>
        <v>-1.1467699999999997E-2</v>
      </c>
      <c r="E45" s="66">
        <f>'M2'!E45-'M1'!E45</f>
        <v>0</v>
      </c>
      <c r="F45" s="66">
        <f>'M2'!F45-'M1'!F45</f>
        <v>4.6812999999999931</v>
      </c>
      <c r="G45" s="66">
        <f>'M2'!G45-'M1'!G45</f>
        <v>0</v>
      </c>
      <c r="H45" s="66">
        <f>'M2'!H45-'M1'!H45</f>
        <v>2.1533999999999978</v>
      </c>
    </row>
    <row r="46" spans="1:8">
      <c r="A46" s="66" t="s">
        <v>89</v>
      </c>
      <c r="B46" s="66">
        <f>'M2'!B46-'M1'!B46</f>
        <v>17.699300000000001</v>
      </c>
      <c r="C46" s="66">
        <f>'M2'!C46-'M1'!C46</f>
        <v>-6.7696799999999993</v>
      </c>
      <c r="D46" s="66">
        <f>'M2'!D46-'M1'!D46</f>
        <v>-0.38838790000000001</v>
      </c>
      <c r="E46" s="66">
        <f>'M2'!E46-'M1'!E46</f>
        <v>0</v>
      </c>
      <c r="F46" s="66">
        <f>'M2'!F46-'M1'!F46</f>
        <v>28.356070000000003</v>
      </c>
      <c r="G46" s="66">
        <f>'M2'!G46-'M1'!G46</f>
        <v>0</v>
      </c>
      <c r="H46" s="66">
        <f>'M2'!H46-'M1'!H46</f>
        <v>8.0508000000000024</v>
      </c>
    </row>
    <row r="47" spans="1:8">
      <c r="A47" s="66" t="s">
        <v>90</v>
      </c>
      <c r="B47" s="66">
        <f>'M2'!B47-'M1'!B47</f>
        <v>0.31589</v>
      </c>
      <c r="C47" s="66">
        <f>'M2'!C47-'M1'!C47</f>
        <v>-1.9363000000000019E-2</v>
      </c>
      <c r="D47" s="66">
        <f>'M2'!D47-'M1'!D47</f>
        <v>-9.3544000000000016E-2</v>
      </c>
      <c r="E47" s="66">
        <f>'M2'!E47-'M1'!E47</f>
        <v>0</v>
      </c>
      <c r="F47" s="66">
        <f>'M2'!F47-'M1'!F47</f>
        <v>-0.15880000000000005</v>
      </c>
      <c r="G47" s="66">
        <f>'M2'!G47-'M1'!G47</f>
        <v>0</v>
      </c>
      <c r="H47" s="66">
        <f>'M2'!H47-'M1'!H47</f>
        <v>-0.32481999999999989</v>
      </c>
    </row>
    <row r="48" spans="1:8">
      <c r="A48" s="66" t="s">
        <v>91</v>
      </c>
      <c r="B48" s="66">
        <f>'M2'!B48-'M1'!B48</f>
        <v>-0.14023000000000008</v>
      </c>
      <c r="C48" s="66">
        <f>'M2'!C48-'M1'!C48</f>
        <v>-5.132500000000001E-2</v>
      </c>
      <c r="D48" s="66">
        <f>'M2'!D48-'M1'!D48</f>
        <v>-3.0241600000000007E-2</v>
      </c>
      <c r="E48" s="66">
        <f>'M2'!E48-'M1'!E48</f>
        <v>0</v>
      </c>
      <c r="F48" s="66">
        <f>'M2'!F48-'M1'!F48</f>
        <v>2.9536999999999924E-2</v>
      </c>
      <c r="G48" s="66">
        <f>'M2'!G48-'M1'!G48</f>
        <v>0</v>
      </c>
      <c r="H48" s="66">
        <f>'M2'!H48-'M1'!H48</f>
        <v>-0.15278000000000014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28.219200000000001</v>
      </c>
      <c r="C5" s="66">
        <v>10.6408</v>
      </c>
      <c r="D5" s="66">
        <v>37.707599999999999</v>
      </c>
      <c r="E5" s="66">
        <v>20</v>
      </c>
      <c r="F5" s="66">
        <v>9.1627299999999998</v>
      </c>
      <c r="G5" s="66">
        <v>50</v>
      </c>
      <c r="H5" s="66">
        <v>45.213000000000001</v>
      </c>
    </row>
    <row r="6" spans="1:8">
      <c r="A6" s="66" t="s">
        <v>358</v>
      </c>
      <c r="B6" s="66">
        <v>27.033200000000001</v>
      </c>
      <c r="C6" s="66">
        <v>4.0278600000000004</v>
      </c>
      <c r="D6" s="66">
        <v>14.899699999999999</v>
      </c>
      <c r="E6" s="66">
        <v>20</v>
      </c>
      <c r="F6" s="66">
        <v>16.183700000000002</v>
      </c>
      <c r="G6" s="66">
        <v>40</v>
      </c>
      <c r="H6" s="66">
        <v>29.680099999999999</v>
      </c>
    </row>
    <row r="7" spans="1:8">
      <c r="A7" s="66" t="s">
        <v>359</v>
      </c>
      <c r="B7" s="66">
        <v>27.322099999999999</v>
      </c>
      <c r="C7" s="66">
        <v>5.7704700000000004</v>
      </c>
      <c r="D7" s="66">
        <v>21.120100000000001</v>
      </c>
      <c r="E7" s="66">
        <v>15</v>
      </c>
      <c r="F7" s="66">
        <v>11.316000000000001</v>
      </c>
      <c r="G7" s="66">
        <v>40</v>
      </c>
      <c r="H7" s="66">
        <v>42.009599999999999</v>
      </c>
    </row>
    <row r="8" spans="1:8">
      <c r="A8" s="66" t="s">
        <v>360</v>
      </c>
      <c r="B8" s="66">
        <v>24.186299999999999</v>
      </c>
      <c r="C8" s="66">
        <v>5.5526099999999996</v>
      </c>
      <c r="D8" s="66">
        <v>22.957699999999999</v>
      </c>
      <c r="E8" s="66">
        <v>20</v>
      </c>
      <c r="F8" s="66">
        <v>15.8368</v>
      </c>
      <c r="G8" s="66">
        <v>50</v>
      </c>
      <c r="H8" s="66">
        <v>33.752899999999997</v>
      </c>
    </row>
    <row r="9" spans="1:8">
      <c r="A9" s="66" t="s">
        <v>361</v>
      </c>
      <c r="B9" s="66">
        <v>65.373099999999994</v>
      </c>
      <c r="C9" s="66">
        <v>6.6641199999999996</v>
      </c>
      <c r="D9" s="66">
        <v>10.194000000000001</v>
      </c>
      <c r="E9" s="66">
        <v>50</v>
      </c>
      <c r="F9" s="66">
        <v>56.670900000000003</v>
      </c>
      <c r="G9" s="66">
        <v>100</v>
      </c>
      <c r="H9" s="66">
        <v>83.948499999999996</v>
      </c>
    </row>
    <row r="10" spans="1:8">
      <c r="A10" s="66" t="s">
        <v>362</v>
      </c>
      <c r="B10" s="66">
        <v>82.293999999999997</v>
      </c>
      <c r="C10" s="66">
        <v>2.3368500000000001</v>
      </c>
      <c r="D10" s="66">
        <v>2.8396300000000001</v>
      </c>
      <c r="E10" s="66">
        <v>40</v>
      </c>
      <c r="F10" s="66">
        <v>78.307000000000002</v>
      </c>
      <c r="G10" s="66">
        <v>100</v>
      </c>
      <c r="H10" s="66">
        <v>85.956699999999998</v>
      </c>
    </row>
    <row r="11" spans="1:8">
      <c r="A11" s="66" t="s">
        <v>363</v>
      </c>
      <c r="B11" s="66">
        <v>19.608599999999999</v>
      </c>
      <c r="C11" s="66">
        <v>5.6246299999999998</v>
      </c>
      <c r="D11" s="66">
        <v>28.6845</v>
      </c>
      <c r="E11" s="66">
        <v>10</v>
      </c>
      <c r="F11" s="66">
        <v>9.7398799999999994</v>
      </c>
      <c r="G11" s="66">
        <v>50</v>
      </c>
      <c r="H11" s="66">
        <v>29.867000000000001</v>
      </c>
    </row>
    <row r="12" spans="1:8">
      <c r="A12" s="66" t="s">
        <v>364</v>
      </c>
      <c r="B12" s="66">
        <v>73.313800000000001</v>
      </c>
      <c r="C12" s="66">
        <v>4.2974899999999998</v>
      </c>
      <c r="D12" s="66">
        <v>5.8617800000000004</v>
      </c>
      <c r="E12" s="66">
        <v>50</v>
      </c>
      <c r="F12" s="66">
        <v>67.488900000000001</v>
      </c>
      <c r="G12" s="66">
        <v>100</v>
      </c>
      <c r="H12" s="66">
        <v>84.085400000000007</v>
      </c>
    </row>
    <row r="13" spans="1:8">
      <c r="A13" s="66" t="s">
        <v>365</v>
      </c>
      <c r="B13" s="66">
        <v>20.6508</v>
      </c>
      <c r="C13" s="66">
        <v>2.9380700000000002</v>
      </c>
      <c r="D13" s="66">
        <v>14.2273</v>
      </c>
      <c r="E13" s="66">
        <v>10</v>
      </c>
      <c r="F13" s="66">
        <v>16.410599999999999</v>
      </c>
      <c r="G13" s="66">
        <v>25</v>
      </c>
      <c r="H13" s="66">
        <v>29.026399999999999</v>
      </c>
    </row>
    <row r="14" spans="1:8">
      <c r="A14" s="66" t="s">
        <v>366</v>
      </c>
      <c r="B14" s="66">
        <v>29.380700000000001</v>
      </c>
      <c r="C14" s="66">
        <v>8.3985500000000002</v>
      </c>
      <c r="D14" s="66">
        <v>28.5853</v>
      </c>
      <c r="E14" s="66">
        <v>10</v>
      </c>
      <c r="F14" s="66">
        <v>2.54541</v>
      </c>
      <c r="G14" s="66">
        <v>50</v>
      </c>
      <c r="H14" s="66">
        <v>38.285800000000002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0.47472399999999998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0.45939099999999999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1.4512100000000001E-3</v>
      </c>
      <c r="C20" s="66">
        <v>2.7054499999999999E-2</v>
      </c>
      <c r="D20" s="66">
        <v>18.642700000000001</v>
      </c>
      <c r="E20" s="66">
        <v>0</v>
      </c>
      <c r="F20" s="66">
        <v>0</v>
      </c>
      <c r="G20" s="66">
        <v>0</v>
      </c>
      <c r="H20" s="66">
        <v>0.27225100000000002</v>
      </c>
    </row>
    <row r="21" spans="1:8">
      <c r="A21" s="66" t="s">
        <v>373</v>
      </c>
      <c r="B21" s="66">
        <v>0.125555</v>
      </c>
      <c r="C21" s="66">
        <v>0.22232299999999999</v>
      </c>
      <c r="D21" s="66">
        <v>1.7707200000000001</v>
      </c>
      <c r="E21" s="66">
        <v>0</v>
      </c>
      <c r="F21" s="66">
        <v>8.4704400000000003E-4</v>
      </c>
      <c r="G21" s="66">
        <v>0</v>
      </c>
      <c r="H21" s="66">
        <v>1.4381999999999999</v>
      </c>
    </row>
    <row r="22" spans="1:8">
      <c r="A22" s="66" t="s">
        <v>374</v>
      </c>
      <c r="B22" s="66">
        <v>44.418300000000002</v>
      </c>
      <c r="C22" s="66">
        <v>8.6661900000000003</v>
      </c>
      <c r="D22" s="66">
        <v>0.195104</v>
      </c>
      <c r="E22" s="66">
        <v>0</v>
      </c>
      <c r="F22" s="66">
        <v>30.598099999999999</v>
      </c>
      <c r="G22" s="66">
        <v>0</v>
      </c>
      <c r="H22" s="66">
        <v>75.142700000000005</v>
      </c>
    </row>
    <row r="23" spans="1:8">
      <c r="A23" s="66" t="s">
        <v>375</v>
      </c>
      <c r="B23" s="66">
        <v>18.757000000000001</v>
      </c>
      <c r="C23" s="66">
        <v>1.8659300000000001</v>
      </c>
      <c r="D23" s="66">
        <v>9.9479200000000004E-2</v>
      </c>
      <c r="E23" s="66">
        <v>0</v>
      </c>
      <c r="F23" s="66">
        <v>15.2796</v>
      </c>
      <c r="G23" s="66">
        <v>0</v>
      </c>
      <c r="H23" s="66">
        <v>22.766300000000001</v>
      </c>
    </row>
    <row r="24" spans="1:8">
      <c r="A24" s="66" t="s">
        <v>376</v>
      </c>
      <c r="B24" s="66">
        <v>4.4603000000000004E-3</v>
      </c>
      <c r="C24" s="66">
        <v>1.4946900000000001E-2</v>
      </c>
      <c r="D24" s="66">
        <v>3.3510900000000001</v>
      </c>
      <c r="E24" s="66">
        <v>0</v>
      </c>
      <c r="F24" s="196">
        <v>4.0587299999999997E-5</v>
      </c>
      <c r="G24" s="66">
        <v>0</v>
      </c>
      <c r="H24" s="66">
        <v>9.9450800000000006E-2</v>
      </c>
    </row>
    <row r="25" spans="1:8">
      <c r="A25" s="66" t="s">
        <v>377</v>
      </c>
      <c r="B25" s="66">
        <v>0.163019</v>
      </c>
      <c r="C25" s="66">
        <v>0.20708399999999999</v>
      </c>
      <c r="D25" s="66">
        <v>1.2703100000000001</v>
      </c>
      <c r="E25" s="66">
        <v>0</v>
      </c>
      <c r="F25" s="66">
        <v>6.2248699999999997E-2</v>
      </c>
      <c r="G25" s="66">
        <v>0</v>
      </c>
      <c r="H25" s="66">
        <v>1.36713</v>
      </c>
    </row>
    <row r="26" spans="1:8">
      <c r="A26" s="66" t="s">
        <v>378</v>
      </c>
      <c r="B26" s="66">
        <v>3.31539E-4</v>
      </c>
      <c r="C26" s="66">
        <v>2.6397399999999998E-3</v>
      </c>
      <c r="D26" s="66">
        <v>7.9620899999999999</v>
      </c>
      <c r="E26" s="66">
        <v>0</v>
      </c>
      <c r="F26" s="66">
        <v>0</v>
      </c>
      <c r="G26" s="66">
        <v>0</v>
      </c>
      <c r="H26" s="66">
        <v>3.02423E-2</v>
      </c>
    </row>
    <row r="27" spans="1:8">
      <c r="A27" s="66" t="s">
        <v>379</v>
      </c>
      <c r="B27" s="196">
        <v>-6.5651299999999996E-6</v>
      </c>
      <c r="C27" s="66">
        <v>1.75147E-3</v>
      </c>
      <c r="D27" s="66">
        <v>-266.78399999999999</v>
      </c>
      <c r="E27" s="66">
        <v>0</v>
      </c>
      <c r="F27" s="66">
        <v>-1.1646500000000001E-2</v>
      </c>
      <c r="G27" s="66">
        <v>0</v>
      </c>
      <c r="H27" s="66">
        <v>1.7722600000000002E-2</v>
      </c>
    </row>
    <row r="28" spans="1:8">
      <c r="A28" s="66" t="s">
        <v>380</v>
      </c>
      <c r="B28" s="66">
        <v>1.41764E-2</v>
      </c>
      <c r="C28" s="66">
        <v>1.8413599999999999E-2</v>
      </c>
      <c r="D28" s="66">
        <v>1.2988900000000001</v>
      </c>
      <c r="E28" s="66">
        <v>0</v>
      </c>
      <c r="F28" s="66">
        <v>2.0182300000000001E-4</v>
      </c>
      <c r="G28" s="66">
        <v>0</v>
      </c>
      <c r="H28" s="66">
        <v>0.102578</v>
      </c>
    </row>
    <row r="29" spans="1:8">
      <c r="A29" s="66" t="s">
        <v>381</v>
      </c>
      <c r="B29" s="66">
        <v>71.971100000000007</v>
      </c>
      <c r="C29" s="66">
        <v>8.69421</v>
      </c>
      <c r="D29" s="66">
        <v>0.12080100000000001</v>
      </c>
      <c r="E29" s="66">
        <v>0</v>
      </c>
      <c r="F29" s="66">
        <v>59.726599999999998</v>
      </c>
      <c r="G29" s="66">
        <v>0</v>
      </c>
      <c r="H29" s="66">
        <v>98.687799999999996</v>
      </c>
    </row>
    <row r="30" spans="1:8">
      <c r="A30" s="66" t="s">
        <v>382</v>
      </c>
      <c r="B30" s="66">
        <v>19.389900000000001</v>
      </c>
      <c r="C30" s="66">
        <v>3.1246499999999999</v>
      </c>
      <c r="D30" s="66">
        <v>0.16114800000000001</v>
      </c>
      <c r="E30" s="66">
        <v>0</v>
      </c>
      <c r="F30" s="66">
        <v>13.5663</v>
      </c>
      <c r="G30" s="66">
        <v>0</v>
      </c>
      <c r="H30" s="66">
        <v>25.463200000000001</v>
      </c>
    </row>
    <row r="31" spans="1:8">
      <c r="A31" s="66" t="s">
        <v>383</v>
      </c>
      <c r="B31" s="66">
        <v>127.944</v>
      </c>
      <c r="C31" s="66">
        <v>46.2014</v>
      </c>
      <c r="D31" s="66">
        <v>0.36110599999999998</v>
      </c>
      <c r="E31" s="66">
        <v>0</v>
      </c>
      <c r="F31" s="66">
        <v>60.822800000000001</v>
      </c>
      <c r="G31" s="66">
        <v>0</v>
      </c>
      <c r="H31" s="66">
        <v>226.148</v>
      </c>
    </row>
    <row r="32" spans="1:8">
      <c r="A32" s="66" t="s">
        <v>384</v>
      </c>
      <c r="B32" s="66">
        <v>0.27322099999999999</v>
      </c>
      <c r="C32" s="66">
        <v>5.7704699999999998E-2</v>
      </c>
      <c r="D32" s="66">
        <v>0.211201</v>
      </c>
      <c r="E32" s="66">
        <v>0.15</v>
      </c>
      <c r="F32" s="66">
        <v>0.11316</v>
      </c>
      <c r="G32" s="66">
        <v>0.4</v>
      </c>
      <c r="H32" s="66">
        <v>0.42009600000000002</v>
      </c>
    </row>
    <row r="33" spans="1:8">
      <c r="A33" s="66" t="s">
        <v>385</v>
      </c>
      <c r="B33" s="66">
        <v>0.22321199999999999</v>
      </c>
      <c r="C33" s="66">
        <v>1.19069E-2</v>
      </c>
      <c r="D33" s="66">
        <v>5.3343500000000002E-2</v>
      </c>
      <c r="E33" s="66">
        <v>0</v>
      </c>
      <c r="F33" s="66">
        <v>0.20513500000000001</v>
      </c>
      <c r="G33" s="66">
        <v>0</v>
      </c>
      <c r="H33" s="66">
        <v>0.26565100000000003</v>
      </c>
    </row>
    <row r="34" spans="1:8">
      <c r="A34" s="66" t="s">
        <v>386</v>
      </c>
      <c r="B34" s="66">
        <v>0.206508</v>
      </c>
      <c r="C34" s="66">
        <v>2.9380699999999999E-2</v>
      </c>
      <c r="D34" s="66">
        <v>0.14227300000000001</v>
      </c>
      <c r="E34" s="66">
        <v>0.1</v>
      </c>
      <c r="F34" s="66">
        <v>0.164106</v>
      </c>
      <c r="G34" s="66">
        <v>0.25</v>
      </c>
      <c r="H34" s="66">
        <v>0.29026400000000002</v>
      </c>
    </row>
    <row r="35" spans="1:8">
      <c r="A35" s="66" t="s">
        <v>387</v>
      </c>
      <c r="B35" s="66">
        <v>0.10723000000000001</v>
      </c>
      <c r="C35" s="66">
        <v>2.5459599999999999E-2</v>
      </c>
      <c r="D35" s="66">
        <v>0.237429</v>
      </c>
      <c r="E35" s="66">
        <v>0</v>
      </c>
      <c r="F35" s="66">
        <v>4.0041599999999997E-2</v>
      </c>
      <c r="G35" s="66">
        <v>0</v>
      </c>
      <c r="H35" s="66">
        <v>0.16180700000000001</v>
      </c>
    </row>
    <row r="36" spans="1:8">
      <c r="A36" s="66" t="s">
        <v>388</v>
      </c>
      <c r="B36" s="66">
        <v>0.177893</v>
      </c>
      <c r="C36" s="66">
        <v>0.116283</v>
      </c>
      <c r="D36" s="66">
        <v>0.653667</v>
      </c>
      <c r="E36" s="66">
        <v>0</v>
      </c>
      <c r="F36" s="66">
        <v>4.5153699999999998E-2</v>
      </c>
      <c r="G36" s="66">
        <v>0</v>
      </c>
      <c r="H36" s="66">
        <v>0.59495699999999996</v>
      </c>
    </row>
    <row r="37" spans="1:8">
      <c r="A37" s="66" t="s">
        <v>389</v>
      </c>
      <c r="B37" s="66">
        <v>0.29380699999999998</v>
      </c>
      <c r="C37" s="66">
        <v>8.3985500000000005E-2</v>
      </c>
      <c r="D37" s="66">
        <v>0.28585300000000002</v>
      </c>
      <c r="E37" s="66">
        <v>0.1</v>
      </c>
      <c r="F37" s="66">
        <v>2.54541E-2</v>
      </c>
      <c r="G37" s="66">
        <v>0.5</v>
      </c>
      <c r="H37" s="66">
        <v>0.38285799999999998</v>
      </c>
    </row>
    <row r="38" spans="1:8">
      <c r="A38" s="66" t="s">
        <v>390</v>
      </c>
      <c r="B38" s="66">
        <v>-6.0983299999999998</v>
      </c>
      <c r="C38" s="66">
        <v>45.173099999999998</v>
      </c>
      <c r="D38" s="66">
        <v>-7.4074499999999999</v>
      </c>
      <c r="E38" s="66">
        <v>0</v>
      </c>
      <c r="F38" s="66">
        <v>-81.960099999999997</v>
      </c>
      <c r="G38" s="66">
        <v>0</v>
      </c>
      <c r="H38" s="66">
        <v>215.745</v>
      </c>
    </row>
    <row r="39" spans="1:8">
      <c r="A39" s="66" t="s">
        <v>391</v>
      </c>
      <c r="B39" s="66">
        <v>-3.11971</v>
      </c>
      <c r="C39" s="66">
        <v>4.2038500000000001</v>
      </c>
      <c r="D39" s="66">
        <v>-1.3475200000000001</v>
      </c>
      <c r="E39" s="66">
        <v>0</v>
      </c>
      <c r="F39" s="66">
        <v>-11.2159</v>
      </c>
      <c r="G39" s="66">
        <v>0</v>
      </c>
      <c r="H39" s="66">
        <v>6.9298799999999998</v>
      </c>
    </row>
    <row r="40" spans="1:8">
      <c r="A40" s="66" t="s">
        <v>392</v>
      </c>
      <c r="B40" s="66">
        <v>-1.36917</v>
      </c>
      <c r="C40" s="66">
        <v>0.32280999999999999</v>
      </c>
      <c r="D40" s="66">
        <v>-0.23577000000000001</v>
      </c>
      <c r="E40" s="66">
        <v>0</v>
      </c>
      <c r="F40" s="66">
        <v>-1.71882</v>
      </c>
      <c r="G40" s="66">
        <v>0</v>
      </c>
      <c r="H40" s="66">
        <v>-0.76671299999999998</v>
      </c>
    </row>
    <row r="41" spans="1:8">
      <c r="A41" s="66" t="s">
        <v>393</v>
      </c>
      <c r="B41" s="66">
        <v>-4.5463000000000003E-2</v>
      </c>
      <c r="C41" s="66">
        <v>0.25752700000000001</v>
      </c>
      <c r="D41" s="66">
        <v>-5.6645399999999997</v>
      </c>
      <c r="E41" s="66">
        <v>0</v>
      </c>
      <c r="F41" s="66">
        <v>-0.52989699999999995</v>
      </c>
      <c r="G41" s="66">
        <v>0</v>
      </c>
      <c r="H41" s="66">
        <v>1</v>
      </c>
    </row>
    <row r="42" spans="1:8">
      <c r="A42" s="66" t="s">
        <v>394</v>
      </c>
      <c r="B42" s="66">
        <v>-4.7353300000000001E-2</v>
      </c>
      <c r="C42" s="66">
        <v>8.4934999999999997E-2</v>
      </c>
      <c r="D42" s="66">
        <v>-1.7936399999999999</v>
      </c>
      <c r="E42" s="66">
        <v>0</v>
      </c>
      <c r="F42" s="66">
        <v>-0.165932</v>
      </c>
      <c r="G42" s="66">
        <v>0</v>
      </c>
      <c r="H42" s="66">
        <v>0.197994</v>
      </c>
    </row>
    <row r="43" spans="1:8">
      <c r="A43" s="66" t="s">
        <v>395</v>
      </c>
      <c r="B43" s="66">
        <v>2.6525199999999999E-2</v>
      </c>
      <c r="C43" s="66">
        <v>1.41584E-2</v>
      </c>
      <c r="D43" s="66">
        <v>0.53377200000000002</v>
      </c>
      <c r="E43" s="66">
        <v>0</v>
      </c>
      <c r="F43" s="66">
        <v>2.3370100000000001E-2</v>
      </c>
      <c r="G43" s="66">
        <v>0</v>
      </c>
      <c r="H43" s="66">
        <v>5.4611699999999999E-2</v>
      </c>
    </row>
    <row r="44" spans="1:8">
      <c r="A44" s="66" t="s">
        <v>396</v>
      </c>
      <c r="B44" s="66">
        <v>-0.94882200000000005</v>
      </c>
      <c r="C44" s="66">
        <v>4.6181200000000002</v>
      </c>
      <c r="D44" s="66">
        <v>-4.8672199999999997</v>
      </c>
      <c r="E44" s="66">
        <v>0</v>
      </c>
      <c r="F44" s="66">
        <v>-16.073499999999999</v>
      </c>
      <c r="G44" s="66">
        <v>0</v>
      </c>
      <c r="H44" s="66">
        <v>4.9460800000000003</v>
      </c>
    </row>
    <row r="45" spans="1:8">
      <c r="A45" s="66" t="s">
        <v>397</v>
      </c>
      <c r="B45" s="66">
        <v>53.686900000000001</v>
      </c>
      <c r="C45" s="66">
        <v>5.1281699999999999</v>
      </c>
      <c r="D45" s="66">
        <v>9.5519999999999994E-2</v>
      </c>
      <c r="E45" s="66">
        <v>0</v>
      </c>
      <c r="F45" s="66">
        <v>37.176900000000003</v>
      </c>
      <c r="G45" s="66">
        <v>0</v>
      </c>
      <c r="H45" s="66">
        <v>62.120600000000003</v>
      </c>
    </row>
    <row r="46" spans="1:8">
      <c r="A46" s="66" t="s">
        <v>398</v>
      </c>
      <c r="B46" s="66">
        <v>19.589700000000001</v>
      </c>
      <c r="C46" s="66">
        <v>8.5366999999999997</v>
      </c>
      <c r="D46" s="66">
        <v>0.43577500000000002</v>
      </c>
      <c r="E46" s="66">
        <v>0</v>
      </c>
      <c r="F46" s="66">
        <v>4.3473300000000004</v>
      </c>
      <c r="G46" s="66">
        <v>0</v>
      </c>
      <c r="H46" s="66">
        <v>32.580500000000001</v>
      </c>
    </row>
    <row r="47" spans="1:8">
      <c r="A47" s="66" t="s">
        <v>399</v>
      </c>
      <c r="B47" s="66">
        <v>1.1809499999999999</v>
      </c>
      <c r="C47" s="66">
        <v>0.45108500000000001</v>
      </c>
      <c r="D47" s="66">
        <v>0.381967</v>
      </c>
      <c r="E47" s="66">
        <v>0</v>
      </c>
      <c r="F47" s="66">
        <v>0.76261100000000004</v>
      </c>
      <c r="G47" s="66">
        <v>0</v>
      </c>
      <c r="H47" s="66">
        <v>2.9441299999999999</v>
      </c>
    </row>
    <row r="48" spans="1:8">
      <c r="A48" s="66" t="s">
        <v>400</v>
      </c>
      <c r="B48" s="66">
        <v>1.24702</v>
      </c>
      <c r="C48" s="66">
        <v>0.15876000000000001</v>
      </c>
      <c r="D48" s="66">
        <v>0.12731100000000001</v>
      </c>
      <c r="E48" s="66">
        <v>0</v>
      </c>
      <c r="F48" s="66">
        <v>0.88898500000000003</v>
      </c>
      <c r="G48" s="66">
        <v>0</v>
      </c>
      <c r="H48" s="66">
        <v>1.5244200000000001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48.328000000000003</v>
      </c>
      <c r="C5" s="66">
        <v>1.36588</v>
      </c>
      <c r="D5" s="66">
        <v>2.8262700000000001</v>
      </c>
      <c r="E5" s="66">
        <v>20</v>
      </c>
      <c r="F5" s="66">
        <v>44.872399999999999</v>
      </c>
      <c r="G5" s="66">
        <v>50</v>
      </c>
      <c r="H5" s="66">
        <v>52.036700000000003</v>
      </c>
    </row>
    <row r="6" spans="1:8">
      <c r="A6" s="66" t="s">
        <v>358</v>
      </c>
      <c r="B6" s="66">
        <v>32.001399999999997</v>
      </c>
      <c r="C6" s="66">
        <v>2.3683900000000002</v>
      </c>
      <c r="D6" s="66">
        <v>7.4008799999999999</v>
      </c>
      <c r="E6" s="66">
        <v>20</v>
      </c>
      <c r="F6" s="66">
        <v>28.3611</v>
      </c>
      <c r="G6" s="66">
        <v>40</v>
      </c>
      <c r="H6" s="66">
        <v>37.663499999999999</v>
      </c>
    </row>
    <row r="7" spans="1:8">
      <c r="A7" s="66" t="s">
        <v>359</v>
      </c>
      <c r="B7" s="66">
        <v>23.736499999999999</v>
      </c>
      <c r="C7" s="66">
        <v>5.1973099999999999</v>
      </c>
      <c r="D7" s="66">
        <v>21.895900000000001</v>
      </c>
      <c r="E7" s="66">
        <v>15</v>
      </c>
      <c r="F7" s="66">
        <v>13.1411</v>
      </c>
      <c r="G7" s="66">
        <v>40</v>
      </c>
      <c r="H7" s="66">
        <v>34.234699999999997</v>
      </c>
    </row>
    <row r="8" spans="1:8">
      <c r="A8" s="66" t="s">
        <v>360</v>
      </c>
      <c r="B8" s="66">
        <v>35.075200000000002</v>
      </c>
      <c r="C8" s="66">
        <v>2.2350099999999999</v>
      </c>
      <c r="D8" s="66">
        <v>6.3720499999999998</v>
      </c>
      <c r="E8" s="66">
        <v>20</v>
      </c>
      <c r="F8" s="66">
        <v>29.642399999999999</v>
      </c>
      <c r="G8" s="66">
        <v>50</v>
      </c>
      <c r="H8" s="66">
        <v>38.3005</v>
      </c>
    </row>
    <row r="9" spans="1:8">
      <c r="A9" s="66" t="s">
        <v>361</v>
      </c>
      <c r="B9" s="66">
        <v>57.539099999999998</v>
      </c>
      <c r="C9" s="66">
        <v>8.2237899999999993</v>
      </c>
      <c r="D9" s="66">
        <v>14.2925</v>
      </c>
      <c r="E9" s="66">
        <v>50</v>
      </c>
      <c r="F9" s="66">
        <v>39.252899999999997</v>
      </c>
      <c r="G9" s="66">
        <v>100</v>
      </c>
      <c r="H9" s="66">
        <v>68.332400000000007</v>
      </c>
    </row>
    <row r="10" spans="1:8">
      <c r="A10" s="66" t="s">
        <v>362</v>
      </c>
      <c r="B10" s="66">
        <v>69.048699999999997</v>
      </c>
      <c r="C10" s="66">
        <v>4.7184200000000001</v>
      </c>
      <c r="D10" s="66">
        <v>6.8334700000000002</v>
      </c>
      <c r="E10" s="66">
        <v>40</v>
      </c>
      <c r="F10" s="66">
        <v>61.641300000000001</v>
      </c>
      <c r="G10" s="66">
        <v>100</v>
      </c>
      <c r="H10" s="66">
        <v>78.585800000000006</v>
      </c>
    </row>
    <row r="11" spans="1:8">
      <c r="A11" s="66" t="s">
        <v>363</v>
      </c>
      <c r="B11" s="66">
        <v>31.0823</v>
      </c>
      <c r="C11" s="66">
        <v>1.39486</v>
      </c>
      <c r="D11" s="66">
        <v>4.4876199999999997</v>
      </c>
      <c r="E11" s="66">
        <v>10</v>
      </c>
      <c r="F11" s="66">
        <v>28.7971</v>
      </c>
      <c r="G11" s="66">
        <v>50</v>
      </c>
      <c r="H11" s="66">
        <v>33.802500000000002</v>
      </c>
    </row>
    <row r="12" spans="1:8">
      <c r="A12" s="66" t="s">
        <v>364</v>
      </c>
      <c r="B12" s="66">
        <v>62.999200000000002</v>
      </c>
      <c r="C12" s="66">
        <v>4.2252799999999997</v>
      </c>
      <c r="D12" s="66">
        <v>6.7068899999999996</v>
      </c>
      <c r="E12" s="66">
        <v>50</v>
      </c>
      <c r="F12" s="66">
        <v>54.5869</v>
      </c>
      <c r="G12" s="66">
        <v>100</v>
      </c>
      <c r="H12" s="66">
        <v>69.453100000000006</v>
      </c>
    </row>
    <row r="13" spans="1:8">
      <c r="A13" s="66" t="s">
        <v>365</v>
      </c>
      <c r="B13" s="66">
        <v>23.122699999999998</v>
      </c>
      <c r="C13" s="66">
        <v>2.34355</v>
      </c>
      <c r="D13" s="66">
        <v>10.135300000000001</v>
      </c>
      <c r="E13" s="66">
        <v>10</v>
      </c>
      <c r="F13" s="66">
        <v>19.875699999999998</v>
      </c>
      <c r="G13" s="66">
        <v>25</v>
      </c>
      <c r="H13" s="66">
        <v>30.0488</v>
      </c>
    </row>
    <row r="14" spans="1:8">
      <c r="A14" s="66" t="s">
        <v>366</v>
      </c>
      <c r="B14" s="66">
        <v>23.435500000000001</v>
      </c>
      <c r="C14" s="66">
        <v>9.8463999999999992</v>
      </c>
      <c r="D14" s="66">
        <v>42.014899999999997</v>
      </c>
      <c r="E14" s="66">
        <v>10</v>
      </c>
      <c r="F14" s="66">
        <v>4.6111000000000004</v>
      </c>
      <c r="G14" s="66">
        <v>50</v>
      </c>
      <c r="H14" s="66">
        <v>33.1417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0.62830799999999998</v>
      </c>
      <c r="C18" s="66">
        <v>8.8875300000000004E-2</v>
      </c>
      <c r="D18" s="66">
        <v>0.14145199999999999</v>
      </c>
      <c r="E18" s="66">
        <v>0</v>
      </c>
      <c r="F18" s="66">
        <v>0.53943200000000002</v>
      </c>
      <c r="G18" s="66">
        <v>0</v>
      </c>
      <c r="H18" s="66">
        <v>0.71718300000000001</v>
      </c>
    </row>
    <row r="19" spans="1:8">
      <c r="A19" s="66" t="s">
        <v>371</v>
      </c>
      <c r="B19" s="66">
        <v>0.72181399999999996</v>
      </c>
      <c r="C19" s="66">
        <v>9.6812999999999996E-2</v>
      </c>
      <c r="D19" s="66">
        <v>0.13412499999999999</v>
      </c>
      <c r="E19" s="66">
        <v>0</v>
      </c>
      <c r="F19" s="66">
        <v>0.62500100000000003</v>
      </c>
      <c r="G19" s="66">
        <v>0</v>
      </c>
      <c r="H19" s="66">
        <v>0.81862699999999999</v>
      </c>
    </row>
    <row r="20" spans="1:8">
      <c r="A20" s="66" t="s">
        <v>372</v>
      </c>
      <c r="B20" s="66">
        <v>2.6731099999999998E-3</v>
      </c>
      <c r="C20" s="66">
        <v>1.98709E-2</v>
      </c>
      <c r="D20" s="66">
        <v>7.4336099999999998</v>
      </c>
      <c r="E20" s="66">
        <v>0</v>
      </c>
      <c r="F20" s="66">
        <v>0</v>
      </c>
      <c r="G20" s="66">
        <v>0</v>
      </c>
      <c r="H20" s="66">
        <v>0.138881</v>
      </c>
    </row>
    <row r="21" spans="1:8">
      <c r="A21" s="66" t="s">
        <v>373</v>
      </c>
      <c r="B21" s="66">
        <v>0.15842200000000001</v>
      </c>
      <c r="C21" s="66">
        <v>0.214338</v>
      </c>
      <c r="D21" s="66">
        <v>1.3529599999999999</v>
      </c>
      <c r="E21" s="66">
        <v>0</v>
      </c>
      <c r="F21" s="66">
        <v>8.005E-4</v>
      </c>
      <c r="G21" s="66">
        <v>0</v>
      </c>
      <c r="H21" s="66">
        <v>1.2668900000000001</v>
      </c>
    </row>
    <row r="22" spans="1:8">
      <c r="A22" s="66" t="s">
        <v>374</v>
      </c>
      <c r="B22" s="66">
        <v>48.5458</v>
      </c>
      <c r="C22" s="66">
        <v>7.2094899999999997</v>
      </c>
      <c r="D22" s="66">
        <v>0.148509</v>
      </c>
      <c r="E22" s="66">
        <v>0</v>
      </c>
      <c r="F22" s="66">
        <v>29.29</v>
      </c>
      <c r="G22" s="66">
        <v>0</v>
      </c>
      <c r="H22" s="66">
        <v>58.743000000000002</v>
      </c>
    </row>
    <row r="23" spans="1:8">
      <c r="A23" s="66" t="s">
        <v>375</v>
      </c>
      <c r="B23" s="66">
        <v>23.615100000000002</v>
      </c>
      <c r="C23" s="66">
        <v>0.80521200000000004</v>
      </c>
      <c r="D23" s="66">
        <v>3.4097299999999997E-2</v>
      </c>
      <c r="E23" s="66">
        <v>0</v>
      </c>
      <c r="F23" s="66">
        <v>21.401199999999999</v>
      </c>
      <c r="G23" s="66">
        <v>0</v>
      </c>
      <c r="H23" s="66">
        <v>24.889600000000002</v>
      </c>
    </row>
    <row r="24" spans="1:8">
      <c r="A24" s="66" t="s">
        <v>376</v>
      </c>
      <c r="B24" s="66">
        <v>8.2254100000000007E-3</v>
      </c>
      <c r="C24" s="66">
        <v>1.0922299999999999E-2</v>
      </c>
      <c r="D24" s="66">
        <v>1.3278700000000001</v>
      </c>
      <c r="E24" s="66">
        <v>0</v>
      </c>
      <c r="F24" s="196">
        <v>3.0805600000000002E-5</v>
      </c>
      <c r="G24" s="66">
        <v>0</v>
      </c>
      <c r="H24" s="66">
        <v>6.0620800000000002E-2</v>
      </c>
    </row>
    <row r="25" spans="1:8">
      <c r="A25" s="66" t="s">
        <v>377</v>
      </c>
      <c r="B25" s="66">
        <v>0.25039099999999997</v>
      </c>
      <c r="C25" s="66">
        <v>0.104782</v>
      </c>
      <c r="D25" s="66">
        <v>0.41847499999999999</v>
      </c>
      <c r="E25" s="66">
        <v>0</v>
      </c>
      <c r="F25" s="66">
        <v>6.5788600000000003E-2</v>
      </c>
      <c r="G25" s="66">
        <v>0</v>
      </c>
      <c r="H25" s="66">
        <v>0.41885899999999998</v>
      </c>
    </row>
    <row r="26" spans="1:8">
      <c r="A26" s="66" t="s">
        <v>378</v>
      </c>
      <c r="B26" s="66">
        <v>6.2204600000000001E-4</v>
      </c>
      <c r="C26" s="66">
        <v>1.86268E-3</v>
      </c>
      <c r="D26" s="66">
        <v>2.9944500000000001</v>
      </c>
      <c r="E26" s="66">
        <v>0</v>
      </c>
      <c r="F26" s="66">
        <v>0</v>
      </c>
      <c r="G26" s="66">
        <v>0</v>
      </c>
      <c r="H26" s="66">
        <v>1.31171E-2</v>
      </c>
    </row>
    <row r="27" spans="1:8">
      <c r="A27" s="66" t="s">
        <v>379</v>
      </c>
      <c r="B27" s="196">
        <v>3.2825599999999999E-6</v>
      </c>
      <c r="C27" s="66">
        <v>1.2854699999999999E-3</v>
      </c>
      <c r="D27" s="66">
        <v>391.60500000000002</v>
      </c>
      <c r="E27" s="66">
        <v>0</v>
      </c>
      <c r="F27" s="66">
        <v>-6.32878E-3</v>
      </c>
      <c r="G27" s="66">
        <v>0</v>
      </c>
      <c r="H27" s="66">
        <v>8.5215299999999994E-3</v>
      </c>
    </row>
    <row r="28" spans="1:8">
      <c r="A28" s="66" t="s">
        <v>380</v>
      </c>
      <c r="B28" s="66">
        <v>1.95671E-2</v>
      </c>
      <c r="C28" s="66">
        <v>1.8578299999999999E-2</v>
      </c>
      <c r="D28" s="66">
        <v>0.94946900000000001</v>
      </c>
      <c r="E28" s="66">
        <v>0</v>
      </c>
      <c r="F28" s="66">
        <v>2.4088500000000001E-4</v>
      </c>
      <c r="G28" s="66">
        <v>0</v>
      </c>
      <c r="H28" s="66">
        <v>0.100814</v>
      </c>
    </row>
    <row r="29" spans="1:8">
      <c r="A29" s="66" t="s">
        <v>381</v>
      </c>
      <c r="B29" s="66">
        <v>77.604799999999997</v>
      </c>
      <c r="C29" s="66">
        <v>8.4206500000000002</v>
      </c>
      <c r="D29" s="66">
        <v>0.10850700000000001</v>
      </c>
      <c r="E29" s="66">
        <v>0</v>
      </c>
      <c r="F29" s="66">
        <v>56.1736</v>
      </c>
      <c r="G29" s="66">
        <v>0</v>
      </c>
      <c r="H29" s="66">
        <v>91.870999999999995</v>
      </c>
    </row>
    <row r="30" spans="1:8">
      <c r="A30" s="66" t="s">
        <v>382</v>
      </c>
      <c r="B30" s="66">
        <v>32.263800000000003</v>
      </c>
      <c r="C30" s="66">
        <v>2.5882999999999998</v>
      </c>
      <c r="D30" s="66">
        <v>8.0223000000000003E-2</v>
      </c>
      <c r="E30" s="66">
        <v>0</v>
      </c>
      <c r="F30" s="66">
        <v>25.5425</v>
      </c>
      <c r="G30" s="66">
        <v>0</v>
      </c>
      <c r="H30" s="66">
        <v>34.0901</v>
      </c>
    </row>
    <row r="31" spans="1:8">
      <c r="A31" s="66" t="s">
        <v>383</v>
      </c>
      <c r="B31" s="66">
        <v>233.53</v>
      </c>
      <c r="C31" s="66">
        <v>11.661199999999999</v>
      </c>
      <c r="D31" s="66">
        <v>4.9934300000000001E-2</v>
      </c>
      <c r="E31" s="66">
        <v>0</v>
      </c>
      <c r="F31" s="66">
        <v>221.18100000000001</v>
      </c>
      <c r="G31" s="66">
        <v>0</v>
      </c>
      <c r="H31" s="66">
        <v>266.024</v>
      </c>
    </row>
    <row r="32" spans="1:8">
      <c r="A32" s="66" t="s">
        <v>384</v>
      </c>
      <c r="B32" s="66">
        <v>0.23736499999999999</v>
      </c>
      <c r="C32" s="66">
        <v>5.1973100000000001E-2</v>
      </c>
      <c r="D32" s="66">
        <v>0.21895899999999999</v>
      </c>
      <c r="E32" s="66">
        <v>0.15</v>
      </c>
      <c r="F32" s="66">
        <v>0.131411</v>
      </c>
      <c r="G32" s="66">
        <v>0.4</v>
      </c>
      <c r="H32" s="66">
        <v>0.34234700000000001</v>
      </c>
    </row>
    <row r="33" spans="1:8">
      <c r="A33" s="66" t="s">
        <v>385</v>
      </c>
      <c r="B33" s="66">
        <v>0.27271699999999999</v>
      </c>
      <c r="C33" s="66">
        <v>9.2524300000000004E-2</v>
      </c>
      <c r="D33" s="66">
        <v>0.33926800000000001</v>
      </c>
      <c r="E33" s="66">
        <v>0</v>
      </c>
      <c r="F33" s="66">
        <v>0.25385200000000002</v>
      </c>
      <c r="G33" s="66">
        <v>0</v>
      </c>
      <c r="H33" s="66">
        <v>0.48504900000000001</v>
      </c>
    </row>
    <row r="34" spans="1:8">
      <c r="A34" s="66" t="s">
        <v>386</v>
      </c>
      <c r="B34" s="66">
        <v>0.23122699999999999</v>
      </c>
      <c r="C34" s="66">
        <v>2.3435500000000001E-2</v>
      </c>
      <c r="D34" s="66">
        <v>0.101353</v>
      </c>
      <c r="E34" s="66">
        <v>0.1</v>
      </c>
      <c r="F34" s="66">
        <v>0.19875699999999999</v>
      </c>
      <c r="G34" s="66">
        <v>0.25</v>
      </c>
      <c r="H34" s="66">
        <v>0.30048799999999998</v>
      </c>
    </row>
    <row r="35" spans="1:8">
      <c r="A35" s="66" t="s">
        <v>387</v>
      </c>
      <c r="B35" s="66">
        <v>9.8231600000000002E-2</v>
      </c>
      <c r="C35" s="66">
        <v>2.5957000000000001E-2</v>
      </c>
      <c r="D35" s="66">
        <v>0.26424300000000001</v>
      </c>
      <c r="E35" s="66">
        <v>0</v>
      </c>
      <c r="F35" s="66">
        <v>5.5773000000000003E-2</v>
      </c>
      <c r="G35" s="66">
        <v>0</v>
      </c>
      <c r="H35" s="66">
        <v>0.151367</v>
      </c>
    </row>
    <row r="36" spans="1:8">
      <c r="A36" s="66" t="s">
        <v>388</v>
      </c>
      <c r="B36" s="66">
        <v>0.197491</v>
      </c>
      <c r="C36" s="66">
        <v>0.10812099999999999</v>
      </c>
      <c r="D36" s="66">
        <v>0.54747299999999999</v>
      </c>
      <c r="E36" s="66">
        <v>0</v>
      </c>
      <c r="F36" s="66">
        <v>3.9961799999999999E-2</v>
      </c>
      <c r="G36" s="66">
        <v>0</v>
      </c>
      <c r="H36" s="66">
        <v>0.54656300000000002</v>
      </c>
    </row>
    <row r="37" spans="1:8">
      <c r="A37" s="66" t="s">
        <v>389</v>
      </c>
      <c r="B37" s="66">
        <v>0.23435500000000001</v>
      </c>
      <c r="C37" s="66">
        <v>9.8463999999999996E-2</v>
      </c>
      <c r="D37" s="66">
        <v>0.42014899999999999</v>
      </c>
      <c r="E37" s="66">
        <v>0.1</v>
      </c>
      <c r="F37" s="66">
        <v>4.6110999999999999E-2</v>
      </c>
      <c r="G37" s="66">
        <v>0.5</v>
      </c>
      <c r="H37" s="66">
        <v>0.33141700000000002</v>
      </c>
    </row>
    <row r="38" spans="1:8">
      <c r="A38" s="66" t="s">
        <v>390</v>
      </c>
      <c r="B38" s="66">
        <v>-0.58388600000000002</v>
      </c>
      <c r="C38" s="66">
        <v>38.866399999999999</v>
      </c>
      <c r="D38" s="66">
        <v>-66.565100000000001</v>
      </c>
      <c r="E38" s="66">
        <v>0</v>
      </c>
      <c r="F38" s="66">
        <v>-196.02500000000001</v>
      </c>
      <c r="G38" s="66">
        <v>0</v>
      </c>
      <c r="H38" s="66">
        <v>142.03899999999999</v>
      </c>
    </row>
    <row r="39" spans="1:8">
      <c r="A39" s="66" t="s">
        <v>391</v>
      </c>
      <c r="B39" s="66">
        <v>-1.89676</v>
      </c>
      <c r="C39" s="66">
        <v>3.3696700000000002</v>
      </c>
      <c r="D39" s="66">
        <v>-1.77654</v>
      </c>
      <c r="E39" s="66">
        <v>0</v>
      </c>
      <c r="F39" s="66">
        <v>-7.6775000000000002</v>
      </c>
      <c r="G39" s="66">
        <v>0</v>
      </c>
      <c r="H39" s="66">
        <v>8.6488499999999995</v>
      </c>
    </row>
    <row r="40" spans="1:8">
      <c r="A40" s="66" t="s">
        <v>392</v>
      </c>
      <c r="B40" s="66">
        <v>-1.5571699999999999</v>
      </c>
      <c r="C40" s="66">
        <v>0.31936799999999999</v>
      </c>
      <c r="D40" s="66">
        <v>-0.205095</v>
      </c>
      <c r="E40" s="66">
        <v>0</v>
      </c>
      <c r="F40" s="66">
        <v>-2.3696600000000001</v>
      </c>
      <c r="G40" s="66">
        <v>0</v>
      </c>
      <c r="H40" s="66">
        <v>-0.85480299999999998</v>
      </c>
    </row>
    <row r="41" spans="1:8">
      <c r="A41" s="66" t="s">
        <v>393</v>
      </c>
      <c r="B41" s="66">
        <v>-5.7864699999999998E-2</v>
      </c>
      <c r="C41" s="66">
        <v>0.193551</v>
      </c>
      <c r="D41" s="66">
        <v>-3.3449</v>
      </c>
      <c r="E41" s="66">
        <v>0</v>
      </c>
      <c r="F41" s="66">
        <v>-0.84126999999999996</v>
      </c>
      <c r="G41" s="66">
        <v>0</v>
      </c>
      <c r="H41" s="66">
        <v>0.51219499999999996</v>
      </c>
    </row>
    <row r="42" spans="1:8">
      <c r="A42" s="66" t="s">
        <v>394</v>
      </c>
      <c r="B42" s="66">
        <v>1.0223599999999999E-2</v>
      </c>
      <c r="C42" s="66">
        <v>5.7911499999999998E-2</v>
      </c>
      <c r="D42" s="66">
        <v>5.6644800000000002</v>
      </c>
      <c r="E42" s="66">
        <v>0</v>
      </c>
      <c r="F42" s="66">
        <v>-0.123226</v>
      </c>
      <c r="G42" s="66">
        <v>0</v>
      </c>
      <c r="H42" s="66">
        <v>0.18096400000000001</v>
      </c>
    </row>
    <row r="43" spans="1:8">
      <c r="A43" s="66" t="s">
        <v>395</v>
      </c>
      <c r="B43" s="66">
        <v>4.1406199999999997E-2</v>
      </c>
      <c r="C43" s="66">
        <v>1.4951000000000001E-2</v>
      </c>
      <c r="D43" s="66">
        <v>0.36108200000000001</v>
      </c>
      <c r="E43" s="66">
        <v>0</v>
      </c>
      <c r="F43" s="66">
        <v>7.6223599999999999E-3</v>
      </c>
      <c r="G43" s="66">
        <v>0</v>
      </c>
      <c r="H43" s="66">
        <v>7.5584299999999993E-2</v>
      </c>
    </row>
    <row r="44" spans="1:8">
      <c r="A44" s="66" t="s">
        <v>396</v>
      </c>
      <c r="B44" s="66">
        <v>3.1365400000000001</v>
      </c>
      <c r="C44" s="66">
        <v>10.2332</v>
      </c>
      <c r="D44" s="66">
        <v>3.2625799999999998</v>
      </c>
      <c r="E44" s="66">
        <v>0</v>
      </c>
      <c r="F44" s="66">
        <v>-13.875500000000001</v>
      </c>
      <c r="G44" s="66">
        <v>0</v>
      </c>
      <c r="H44" s="66">
        <v>21.917100000000001</v>
      </c>
    </row>
    <row r="45" spans="1:8">
      <c r="A45" s="66" t="s">
        <v>397</v>
      </c>
      <c r="B45" s="66">
        <v>53.1387</v>
      </c>
      <c r="C45" s="66">
        <v>4.4664299999999999</v>
      </c>
      <c r="D45" s="66">
        <v>8.4052299999999996E-2</v>
      </c>
      <c r="E45" s="66">
        <v>0</v>
      </c>
      <c r="F45" s="66">
        <v>41.858199999999997</v>
      </c>
      <c r="G45" s="66">
        <v>0</v>
      </c>
      <c r="H45" s="66">
        <v>64.274000000000001</v>
      </c>
    </row>
    <row r="46" spans="1:8">
      <c r="A46" s="66" t="s">
        <v>398</v>
      </c>
      <c r="B46" s="66">
        <v>37.289000000000001</v>
      </c>
      <c r="C46" s="66">
        <v>1.76702</v>
      </c>
      <c r="D46" s="66">
        <v>4.7387100000000001E-2</v>
      </c>
      <c r="E46" s="66">
        <v>0</v>
      </c>
      <c r="F46" s="66">
        <v>32.703400000000002</v>
      </c>
      <c r="G46" s="66">
        <v>0</v>
      </c>
      <c r="H46" s="66">
        <v>40.631300000000003</v>
      </c>
    </row>
    <row r="47" spans="1:8">
      <c r="A47" s="66" t="s">
        <v>399</v>
      </c>
      <c r="B47" s="66">
        <v>1.4968399999999999</v>
      </c>
      <c r="C47" s="66">
        <v>0.43172199999999999</v>
      </c>
      <c r="D47" s="66">
        <v>0.28842299999999998</v>
      </c>
      <c r="E47" s="66">
        <v>0</v>
      </c>
      <c r="F47" s="66">
        <v>0.60381099999999999</v>
      </c>
      <c r="G47" s="66">
        <v>0</v>
      </c>
      <c r="H47" s="66">
        <v>2.61931</v>
      </c>
    </row>
    <row r="48" spans="1:8">
      <c r="A48" s="66" t="s">
        <v>400</v>
      </c>
      <c r="B48" s="66">
        <v>1.1067899999999999</v>
      </c>
      <c r="C48" s="66">
        <v>0.107435</v>
      </c>
      <c r="D48" s="66">
        <v>9.70694E-2</v>
      </c>
      <c r="E48" s="66">
        <v>0</v>
      </c>
      <c r="F48" s="66">
        <v>0.91852199999999995</v>
      </c>
      <c r="G48" s="66">
        <v>0</v>
      </c>
      <c r="H48" s="66">
        <v>1.37164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94.323782269045964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1.8201604779879994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0.70796322997013483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755</v>
      </c>
      <c r="B8" s="66">
        <v>755</v>
      </c>
      <c r="D8">
        <f t="shared" si="0"/>
        <v>7.9264259692811631E-3</v>
      </c>
      <c r="E8">
        <f t="shared" si="0"/>
        <v>7.9264259692811631E-3</v>
      </c>
      <c r="G8">
        <f t="shared" ca="1" si="1"/>
        <v>6</v>
      </c>
      <c r="H8">
        <f t="shared" ca="1" si="2"/>
        <v>4.7558555815686979E-2</v>
      </c>
      <c r="I8">
        <f t="shared" ca="1" si="3"/>
        <v>61.834766441338445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781</v>
      </c>
      <c r="B10" s="66">
        <v>781</v>
      </c>
      <c r="D10">
        <f t="shared" si="0"/>
        <v>8.1993889827928317E-3</v>
      </c>
      <c r="E10">
        <f t="shared" si="0"/>
        <v>8.1993889827928317E-3</v>
      </c>
      <c r="G10">
        <f t="shared" ca="1" si="1"/>
        <v>8</v>
      </c>
      <c r="H10">
        <f t="shared" ca="1" si="2"/>
        <v>6.5595111862342653E-2</v>
      </c>
      <c r="I10">
        <f t="shared" ca="1" si="3"/>
        <v>61.100168983711285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1354</v>
      </c>
      <c r="B13" s="66">
        <v>1354</v>
      </c>
      <c r="D13">
        <f t="shared" si="0"/>
        <v>1.421507385749231E-2</v>
      </c>
      <c r="E13">
        <f t="shared" si="0"/>
        <v>1.421507385749231E-2</v>
      </c>
      <c r="G13">
        <f t="shared" ca="1" si="1"/>
        <v>11</v>
      </c>
      <c r="H13">
        <f t="shared" ca="1" si="2"/>
        <v>0.1563658124324154</v>
      </c>
      <c r="I13">
        <f t="shared" ca="1" si="3"/>
        <v>98.693163793058744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2733</v>
      </c>
      <c r="B15" s="66">
        <v>2733</v>
      </c>
      <c r="D15">
        <f t="shared" si="0"/>
        <v>2.8692612151053534E-2</v>
      </c>
      <c r="E15">
        <f t="shared" si="0"/>
        <v>2.8692612151053534E-2</v>
      </c>
      <c r="G15">
        <f t="shared" ca="1" si="1"/>
        <v>13</v>
      </c>
      <c r="H15">
        <f t="shared" ca="1" si="2"/>
        <v>0.37300395796369595</v>
      </c>
      <c r="I15">
        <f t="shared" ca="1" si="3"/>
        <v>189.76024208071885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7661</v>
      </c>
      <c r="B18" s="66">
        <v>7661</v>
      </c>
      <c r="D18">
        <f t="shared" si="0"/>
        <v>8.0429601788957597E-2</v>
      </c>
      <c r="E18">
        <f t="shared" si="0"/>
        <v>8.0429601788957597E-2</v>
      </c>
      <c r="G18">
        <f t="shared" ca="1" si="1"/>
        <v>16</v>
      </c>
      <c r="H18">
        <f t="shared" ca="1" si="2"/>
        <v>1.2868736286233216</v>
      </c>
      <c r="I18">
        <f t="shared" ca="1" si="3"/>
        <v>493.40463103657129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10636</v>
      </c>
      <c r="B21" s="66">
        <v>10636</v>
      </c>
      <c r="D21">
        <f t="shared" si="0"/>
        <v>0.1116628696811582</v>
      </c>
      <c r="E21">
        <f t="shared" si="0"/>
        <v>0.1116628696811582</v>
      </c>
      <c r="G21">
        <f t="shared" ca="1" si="1"/>
        <v>19</v>
      </c>
      <c r="H21">
        <f t="shared" ca="1" si="2"/>
        <v>2.1215945239420058</v>
      </c>
      <c r="I21">
        <f t="shared" ca="1" si="3"/>
        <v>633.5385167257723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19187</v>
      </c>
      <c r="B23" s="66">
        <v>19187</v>
      </c>
      <c r="D23">
        <f t="shared" si="0"/>
        <v>0.20143620539416909</v>
      </c>
      <c r="E23">
        <f t="shared" si="0"/>
        <v>0.20143620539416909</v>
      </c>
      <c r="G23">
        <f t="shared" ca="1" si="1"/>
        <v>21</v>
      </c>
      <c r="H23">
        <f t="shared" ca="1" si="2"/>
        <v>4.2301603132775512</v>
      </c>
      <c r="I23">
        <f t="shared" ca="1" si="3"/>
        <v>1082.9969909625863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30601</v>
      </c>
      <c r="B26" s="66">
        <v>30601</v>
      </c>
      <c r="D26">
        <f t="shared" si="0"/>
        <v>0.32126696832579188</v>
      </c>
      <c r="E26">
        <f t="shared" si="0"/>
        <v>0.32126696832579188</v>
      </c>
      <c r="G26">
        <f t="shared" ca="1" si="1"/>
        <v>24</v>
      </c>
      <c r="H26">
        <f t="shared" ca="1" si="2"/>
        <v>7.7104072398190056</v>
      </c>
      <c r="I26">
        <f t="shared" ca="1" si="3"/>
        <v>1588.8047015217967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29524</v>
      </c>
      <c r="B28" s="66">
        <v>29524</v>
      </c>
      <c r="D28">
        <f t="shared" si="0"/>
        <v>0.30996000041994309</v>
      </c>
      <c r="E28">
        <f t="shared" si="0"/>
        <v>0.30996000041994309</v>
      </c>
      <c r="G28">
        <f t="shared" ca="1" si="1"/>
        <v>26</v>
      </c>
      <c r="H28">
        <f t="shared" ca="1" si="2"/>
        <v>8.0589600109185202</v>
      </c>
      <c r="I28">
        <f t="shared" ca="1" si="3"/>
        <v>1446.9364356912909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27692</v>
      </c>
      <c r="B31" s="66">
        <v>27692</v>
      </c>
      <c r="D31">
        <f t="shared" si="0"/>
        <v>0.29072660654481319</v>
      </c>
      <c r="E31">
        <f t="shared" si="0"/>
        <v>0.29072660654481319</v>
      </c>
      <c r="G31">
        <f t="shared" ca="1" si="1"/>
        <v>29</v>
      </c>
      <c r="H31">
        <f t="shared" ca="1" si="2"/>
        <v>8.4310715897995827</v>
      </c>
      <c r="I31">
        <f t="shared" ca="1" si="3"/>
        <v>1240.5875666074337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35126</v>
      </c>
      <c r="B33" s="66">
        <v>35126</v>
      </c>
      <c r="D33">
        <f t="shared" si="0"/>
        <v>0.36877303125426503</v>
      </c>
      <c r="E33">
        <f t="shared" si="0"/>
        <v>0.36877303125426503</v>
      </c>
      <c r="G33">
        <f t="shared" ca="1" si="1"/>
        <v>31</v>
      </c>
      <c r="H33">
        <f t="shared" ca="1" si="2"/>
        <v>11.431963968882215</v>
      </c>
      <c r="I33">
        <f t="shared" ca="1" si="3"/>
        <v>1478.7434946249587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39936</v>
      </c>
      <c r="B36" s="66">
        <v>39936</v>
      </c>
      <c r="D36">
        <f t="shared" si="0"/>
        <v>0.41927118875392383</v>
      </c>
      <c r="E36">
        <f t="shared" si="0"/>
        <v>0.41927118875392383</v>
      </c>
      <c r="G36">
        <f t="shared" ca="1" si="1"/>
        <v>34</v>
      </c>
      <c r="H36">
        <f t="shared" ca="1" si="2"/>
        <v>14.25522041763341</v>
      </c>
      <c r="I36">
        <f t="shared" ca="1" si="3"/>
        <v>1525.7105430123252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47346</v>
      </c>
      <c r="B39" s="66">
        <v>47346</v>
      </c>
      <c r="D39">
        <f t="shared" si="0"/>
        <v>0.49706564760474958</v>
      </c>
      <c r="E39">
        <f t="shared" si="0"/>
        <v>0.49706564760474958</v>
      </c>
      <c r="G39">
        <f t="shared" ca="1" si="1"/>
        <v>37</v>
      </c>
      <c r="H39">
        <f t="shared" ca="1" si="2"/>
        <v>18.391428961375734</v>
      </c>
      <c r="I39">
        <f t="shared" ca="1" si="3"/>
        <v>1633.3656778540708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43379</v>
      </c>
      <c r="B41" s="66">
        <v>43379</v>
      </c>
      <c r="D41">
        <f t="shared" si="0"/>
        <v>0.45541779088933448</v>
      </c>
      <c r="E41">
        <f t="shared" si="0"/>
        <v>0.45541779088933448</v>
      </c>
      <c r="G41">
        <f t="shared" ca="1" si="1"/>
        <v>39</v>
      </c>
      <c r="H41">
        <f t="shared" ca="1" si="2"/>
        <v>17.761293844684044</v>
      </c>
      <c r="I41">
        <f t="shared" ca="1" si="3"/>
        <v>1393.9067437718879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43122</v>
      </c>
      <c r="B44" s="66">
        <v>43122</v>
      </c>
      <c r="D44">
        <f t="shared" si="0"/>
        <v>0.45271965648654605</v>
      </c>
      <c r="E44">
        <f t="shared" si="0"/>
        <v>0.45271965648654605</v>
      </c>
      <c r="G44">
        <f t="shared" ca="1" si="1"/>
        <v>42</v>
      </c>
      <c r="H44">
        <f t="shared" ca="1" si="2"/>
        <v>19.014225572434935</v>
      </c>
      <c r="I44">
        <f t="shared" ca="1" si="3"/>
        <v>1239.4460021380482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38811</v>
      </c>
      <c r="B46" s="66">
        <v>38811</v>
      </c>
      <c r="D46">
        <f t="shared" si="0"/>
        <v>0.40746028913082277</v>
      </c>
      <c r="E46">
        <f t="shared" si="0"/>
        <v>0.40746028913082277</v>
      </c>
      <c r="G46">
        <f t="shared" ca="1" si="1"/>
        <v>44</v>
      </c>
      <c r="H46">
        <f t="shared" ca="1" si="2"/>
        <v>17.928252721756202</v>
      </c>
      <c r="I46">
        <f t="shared" ca="1" si="3"/>
        <v>1031.8862806053423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37015</v>
      </c>
      <c r="B49" s="66">
        <v>37015</v>
      </c>
      <c r="D49">
        <f t="shared" si="0"/>
        <v>0.3886048440436321</v>
      </c>
      <c r="E49">
        <f t="shared" si="0"/>
        <v>0.3886048440436321</v>
      </c>
      <c r="G49">
        <f t="shared" ca="1" si="1"/>
        <v>47</v>
      </c>
      <c r="H49">
        <f t="shared" ca="1" si="2"/>
        <v>18.264427670050708</v>
      </c>
      <c r="I49">
        <f t="shared" ca="1" si="3"/>
        <v>870.29623553245938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37248</v>
      </c>
      <c r="B51" s="66">
        <v>37248</v>
      </c>
      <c r="D51">
        <f t="shared" si="0"/>
        <v>0.39105101258779434</v>
      </c>
      <c r="E51">
        <f t="shared" si="0"/>
        <v>0.39105101258779434</v>
      </c>
      <c r="G51">
        <f t="shared" ca="1" si="1"/>
        <v>49</v>
      </c>
      <c r="H51">
        <f t="shared" ca="1" si="2"/>
        <v>19.161499616801922</v>
      </c>
      <c r="I51">
        <f t="shared" ca="1" si="3"/>
        <v>803.31468088182146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38791</v>
      </c>
      <c r="B54" s="66">
        <v>38791</v>
      </c>
      <c r="D54">
        <f t="shared" si="0"/>
        <v>0.40725031758196767</v>
      </c>
      <c r="E54">
        <f t="shared" si="0"/>
        <v>0.40725031758196767</v>
      </c>
      <c r="G54">
        <f t="shared" ca="1" si="1"/>
        <v>52</v>
      </c>
      <c r="H54">
        <f t="shared" ca="1" si="2"/>
        <v>21.17701651426232</v>
      </c>
      <c r="I54">
        <f t="shared" ca="1" si="3"/>
        <v>729.50853056372364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39219</v>
      </c>
      <c r="B57" s="66">
        <v>39219</v>
      </c>
      <c r="D57">
        <f t="shared" si="0"/>
        <v>0.41174370872746741</v>
      </c>
      <c r="E57">
        <f t="shared" si="0"/>
        <v>0.41174370872746741</v>
      </c>
      <c r="G57">
        <f t="shared" ca="1" si="1"/>
        <v>55</v>
      </c>
      <c r="H57">
        <f t="shared" ca="1" si="2"/>
        <v>22.645903980010708</v>
      </c>
      <c r="I57">
        <f t="shared" ca="1" si="3"/>
        <v>636.70394046640558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44066</v>
      </c>
      <c r="B59" s="66">
        <v>44066</v>
      </c>
      <c r="D59">
        <f t="shared" si="0"/>
        <v>0.46263031359250822</v>
      </c>
      <c r="E59">
        <f t="shared" si="0"/>
        <v>0.46263031359250822</v>
      </c>
      <c r="G59">
        <f t="shared" ca="1" si="1"/>
        <v>57</v>
      </c>
      <c r="H59">
        <f t="shared" ca="1" si="2"/>
        <v>26.369927874772969</v>
      </c>
      <c r="I59">
        <f t="shared" ca="1" si="3"/>
        <v>644.47396959469006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45181</v>
      </c>
      <c r="B62" s="66">
        <v>45181</v>
      </c>
      <c r="D62">
        <f t="shared" si="0"/>
        <v>0.4743362274411817</v>
      </c>
      <c r="E62">
        <f t="shared" si="0"/>
        <v>0.4743362274411817</v>
      </c>
      <c r="G62">
        <f t="shared" ca="1" si="1"/>
        <v>60</v>
      </c>
      <c r="H62">
        <f t="shared" ca="1" si="2"/>
        <v>28.460173646470903</v>
      </c>
      <c r="I62">
        <f t="shared" ca="1" si="3"/>
        <v>558.82595882115788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48863</v>
      </c>
      <c r="B64" s="66">
        <v>48863</v>
      </c>
      <c r="D64">
        <f t="shared" si="0"/>
        <v>0.51299198958541115</v>
      </c>
      <c r="E64">
        <f t="shared" si="0"/>
        <v>0.51299198958541115</v>
      </c>
      <c r="G64">
        <f t="shared" ca="1" si="1"/>
        <v>62</v>
      </c>
      <c r="H64">
        <f t="shared" ca="1" si="2"/>
        <v>31.805503354295492</v>
      </c>
      <c r="I64">
        <f t="shared" ca="1" si="3"/>
        <v>535.98783029399806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48143</v>
      </c>
      <c r="B67" s="66">
        <v>48143</v>
      </c>
      <c r="D67">
        <f t="shared" ref="D67:E130" si="4">IFERROR( A67/MAX(A$2:A$257), 0 )</f>
        <v>0.50543301382662653</v>
      </c>
      <c r="E67">
        <f t="shared" si="4"/>
        <v>0.50543301382662653</v>
      </c>
      <c r="G67">
        <f t="shared" ref="G67:G130" ca="1" si="5">CELL("row",D67)-2</f>
        <v>65</v>
      </c>
      <c r="H67">
        <f t="shared" ref="H67:H130" ca="1" si="6">D67*G67</f>
        <v>32.853145898730723</v>
      </c>
      <c r="I67">
        <f t="shared" ref="I67:I130" ca="1" si="7">D67*((G67-$L$1)^2)</f>
        <v>434.61386606475861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53396</v>
      </c>
      <c r="B69" s="66">
        <v>53396</v>
      </c>
      <c r="D69">
        <f t="shared" si="4"/>
        <v>0.56058204113342647</v>
      </c>
      <c r="E69">
        <f t="shared" si="4"/>
        <v>0.56058204113342647</v>
      </c>
      <c r="G69">
        <f t="shared" ca="1" si="5"/>
        <v>67</v>
      </c>
      <c r="H69">
        <f t="shared" ca="1" si="6"/>
        <v>37.558996755939575</v>
      </c>
      <c r="I69">
        <f t="shared" ca="1" si="7"/>
        <v>418.52442894515303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57478</v>
      </c>
      <c r="B72" s="66">
        <v>57478</v>
      </c>
      <c r="D72">
        <f t="shared" si="4"/>
        <v>0.60343723425475848</v>
      </c>
      <c r="E72">
        <f t="shared" si="4"/>
        <v>0.60343723425475848</v>
      </c>
      <c r="G72">
        <f t="shared" ca="1" si="5"/>
        <v>70</v>
      </c>
      <c r="H72">
        <f t="shared" ca="1" si="6"/>
        <v>42.240606397833091</v>
      </c>
      <c r="I72">
        <f t="shared" ca="1" si="7"/>
        <v>357.02145754052157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54552</v>
      </c>
      <c r="B75" s="66">
        <v>54552</v>
      </c>
      <c r="D75">
        <f t="shared" si="4"/>
        <v>0.57271839665725299</v>
      </c>
      <c r="E75">
        <f t="shared" si="4"/>
        <v>0.57271839665725299</v>
      </c>
      <c r="G75">
        <f t="shared" ca="1" si="5"/>
        <v>73</v>
      </c>
      <c r="H75">
        <f t="shared" ca="1" si="6"/>
        <v>41.808442955979466</v>
      </c>
      <c r="I75">
        <f t="shared" ca="1" si="7"/>
        <v>260.41716843851412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54059</v>
      </c>
      <c r="B77" s="66">
        <v>54059</v>
      </c>
      <c r="D77">
        <f t="shared" si="4"/>
        <v>0.56754259797797402</v>
      </c>
      <c r="E77">
        <f t="shared" si="4"/>
        <v>0.56754259797797402</v>
      </c>
      <c r="G77">
        <f t="shared" ca="1" si="5"/>
        <v>75</v>
      </c>
      <c r="H77">
        <f t="shared" ca="1" si="6"/>
        <v>42.565694848348052</v>
      </c>
      <c r="I77">
        <f t="shared" ca="1" si="7"/>
        <v>211.92526492016304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56894</v>
      </c>
      <c r="B80" s="66">
        <v>56894</v>
      </c>
      <c r="D80">
        <f t="shared" si="4"/>
        <v>0.59730606502818873</v>
      </c>
      <c r="E80">
        <f t="shared" si="4"/>
        <v>0.59730606502818873</v>
      </c>
      <c r="G80">
        <f t="shared" ca="1" si="5"/>
        <v>78</v>
      </c>
      <c r="H80">
        <f t="shared" ca="1" si="6"/>
        <v>46.589873072198721</v>
      </c>
      <c r="I80">
        <f t="shared" ca="1" si="7"/>
        <v>159.16167882089826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57609</v>
      </c>
      <c r="B82" s="66">
        <v>57609</v>
      </c>
      <c r="D82">
        <f t="shared" si="4"/>
        <v>0.60481254789975958</v>
      </c>
      <c r="E82">
        <f t="shared" si="4"/>
        <v>0.60481254789975958</v>
      </c>
      <c r="G82">
        <f t="shared" ca="1" si="5"/>
        <v>80</v>
      </c>
      <c r="H82">
        <f t="shared" ca="1" si="6"/>
        <v>48.385003831980768</v>
      </c>
      <c r="I82">
        <f t="shared" ca="1" si="7"/>
        <v>124.08983710123847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61252</v>
      </c>
      <c r="B85" s="66">
        <v>61252</v>
      </c>
      <c r="D85">
        <f t="shared" si="4"/>
        <v>0.64305886552372149</v>
      </c>
      <c r="E85">
        <f t="shared" si="4"/>
        <v>0.64305886552372149</v>
      </c>
      <c r="G85">
        <f t="shared" ca="1" si="5"/>
        <v>83</v>
      </c>
      <c r="H85">
        <f t="shared" ca="1" si="6"/>
        <v>53.373885838468887</v>
      </c>
      <c r="I85">
        <f t="shared" ca="1" si="7"/>
        <v>82.458181066773975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60658</v>
      </c>
      <c r="B88" s="66">
        <v>60658</v>
      </c>
      <c r="D88">
        <f t="shared" si="4"/>
        <v>0.63682271052272421</v>
      </c>
      <c r="E88">
        <f t="shared" si="4"/>
        <v>0.63682271052272421</v>
      </c>
      <c r="G88">
        <f t="shared" ca="1" si="5"/>
        <v>86</v>
      </c>
      <c r="H88">
        <f t="shared" ca="1" si="6"/>
        <v>54.766753104954283</v>
      </c>
      <c r="I88">
        <f t="shared" ca="1" si="7"/>
        <v>44.122485190494096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62497</v>
      </c>
      <c r="B90" s="66">
        <v>62497</v>
      </c>
      <c r="D90">
        <f t="shared" si="4"/>
        <v>0.65612959443995333</v>
      </c>
      <c r="E90">
        <f t="shared" si="4"/>
        <v>0.65612959443995333</v>
      </c>
      <c r="G90">
        <f t="shared" ca="1" si="5"/>
        <v>88</v>
      </c>
      <c r="H90">
        <f t="shared" ca="1" si="6"/>
        <v>57.739404310715891</v>
      </c>
      <c r="I90">
        <f t="shared" ca="1" si="7"/>
        <v>26.23876826466072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63384</v>
      </c>
      <c r="B93" s="66">
        <v>63384</v>
      </c>
      <c r="D93">
        <f t="shared" si="4"/>
        <v>0.66544183263167844</v>
      </c>
      <c r="E93">
        <f t="shared" si="4"/>
        <v>0.66544183263167844</v>
      </c>
      <c r="G93">
        <f t="shared" ca="1" si="5"/>
        <v>91</v>
      </c>
      <c r="H93">
        <f t="shared" ca="1" si="6"/>
        <v>60.555206769482737</v>
      </c>
      <c r="I93">
        <f t="shared" ca="1" si="7"/>
        <v>7.3514876590187033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61843</v>
      </c>
      <c r="B95" s="66">
        <v>61843</v>
      </c>
      <c r="D95">
        <f t="shared" si="4"/>
        <v>0.64926352479239058</v>
      </c>
      <c r="E95">
        <f t="shared" si="4"/>
        <v>0.64926352479239058</v>
      </c>
      <c r="G95">
        <f t="shared" ca="1" si="5"/>
        <v>93</v>
      </c>
      <c r="H95">
        <f t="shared" ca="1" si="6"/>
        <v>60.381507805692323</v>
      </c>
      <c r="I95">
        <f t="shared" ca="1" si="7"/>
        <v>1.1377690735137984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68725</v>
      </c>
      <c r="B98" s="66">
        <v>68725</v>
      </c>
      <c r="D98">
        <f t="shared" si="4"/>
        <v>0.72151473475344086</v>
      </c>
      <c r="E98">
        <f t="shared" si="4"/>
        <v>0.72151473475344086</v>
      </c>
      <c r="G98">
        <f t="shared" ca="1" si="5"/>
        <v>96</v>
      </c>
      <c r="H98">
        <f t="shared" ca="1" si="6"/>
        <v>69.265414536330326</v>
      </c>
      <c r="I98">
        <f t="shared" ca="1" si="7"/>
        <v>2.0272441938723356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69205</v>
      </c>
      <c r="B100" s="66">
        <v>69205</v>
      </c>
      <c r="D100">
        <f t="shared" si="4"/>
        <v>0.72655405192596401</v>
      </c>
      <c r="E100">
        <f t="shared" si="4"/>
        <v>0.72655405192596401</v>
      </c>
      <c r="G100">
        <f t="shared" ca="1" si="5"/>
        <v>98</v>
      </c>
      <c r="H100">
        <f t="shared" ca="1" si="6"/>
        <v>71.202297088744473</v>
      </c>
      <c r="I100">
        <f t="shared" ca="1" si="7"/>
        <v>9.8190705380141008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71475</v>
      </c>
      <c r="B103" s="66">
        <v>71475</v>
      </c>
      <c r="D103">
        <f t="shared" si="4"/>
        <v>0.75038582272102128</v>
      </c>
      <c r="E103">
        <f t="shared" si="4"/>
        <v>0.75038582272102128</v>
      </c>
      <c r="G103">
        <f t="shared" ca="1" si="5"/>
        <v>101</v>
      </c>
      <c r="H103">
        <f t="shared" ca="1" si="6"/>
        <v>75.788968094823147</v>
      </c>
      <c r="I103">
        <f t="shared" ca="1" si="7"/>
        <v>33.446109238582629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71459</v>
      </c>
      <c r="B106" s="66">
        <v>71459</v>
      </c>
      <c r="D106">
        <f t="shared" si="4"/>
        <v>0.75021784548193715</v>
      </c>
      <c r="E106">
        <f t="shared" si="4"/>
        <v>0.75021784548193715</v>
      </c>
      <c r="G106">
        <f t="shared" ca="1" si="5"/>
        <v>104</v>
      </c>
      <c r="H106">
        <f t="shared" ca="1" si="6"/>
        <v>78.022655930121459</v>
      </c>
      <c r="I106">
        <f t="shared" ca="1" si="7"/>
        <v>70.242288878548706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78076</v>
      </c>
      <c r="B108" s="66">
        <v>78076</v>
      </c>
      <c r="D108">
        <f t="shared" si="4"/>
        <v>0.81968693242065704</v>
      </c>
      <c r="E108">
        <f t="shared" si="4"/>
        <v>0.81968693242065704</v>
      </c>
      <c r="G108">
        <f t="shared" ca="1" si="5"/>
        <v>106</v>
      </c>
      <c r="H108">
        <f t="shared" ca="1" si="6"/>
        <v>86.88681483658965</v>
      </c>
      <c r="I108">
        <f t="shared" ca="1" si="7"/>
        <v>111.75124783622631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84315</v>
      </c>
      <c r="B111" s="66">
        <v>84315</v>
      </c>
      <c r="D111">
        <f t="shared" si="4"/>
        <v>0.88518755708601482</v>
      </c>
      <c r="E111">
        <f t="shared" si="4"/>
        <v>0.88518755708601482</v>
      </c>
      <c r="G111">
        <f t="shared" ca="1" si="5"/>
        <v>109</v>
      </c>
      <c r="H111">
        <f t="shared" ca="1" si="6"/>
        <v>96.485443722375621</v>
      </c>
      <c r="I111">
        <f t="shared" ca="1" si="7"/>
        <v>190.66175787156308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89014</v>
      </c>
      <c r="B113" s="66">
        <v>89014</v>
      </c>
      <c r="D113">
        <f t="shared" si="4"/>
        <v>0.93452037248952768</v>
      </c>
      <c r="E113">
        <f t="shared" si="4"/>
        <v>0.93452037248952768</v>
      </c>
      <c r="G113">
        <f t="shared" ca="1" si="5"/>
        <v>111</v>
      </c>
      <c r="H113">
        <f t="shared" ca="1" si="6"/>
        <v>103.73176134633758</v>
      </c>
      <c r="I113">
        <f t="shared" ca="1" si="7"/>
        <v>259.88659974631111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92171</v>
      </c>
      <c r="B116" s="66">
        <v>92171</v>
      </c>
      <c r="D116">
        <f t="shared" si="4"/>
        <v>0.96766438147630995</v>
      </c>
      <c r="E116">
        <f t="shared" si="4"/>
        <v>0.96766438147630995</v>
      </c>
      <c r="G116">
        <f t="shared" ca="1" si="5"/>
        <v>114</v>
      </c>
      <c r="H116">
        <f t="shared" ca="1" si="6"/>
        <v>110.31373948829933</v>
      </c>
      <c r="I116">
        <f t="shared" ca="1" si="7"/>
        <v>374.63469488069649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93505</v>
      </c>
      <c r="B118" s="66">
        <v>93505</v>
      </c>
      <c r="D118">
        <f t="shared" si="4"/>
        <v>0.98166948378494712</v>
      </c>
      <c r="E118">
        <f t="shared" si="4"/>
        <v>0.98166948378494712</v>
      </c>
      <c r="G118">
        <f t="shared" ca="1" si="5"/>
        <v>116</v>
      </c>
      <c r="H118">
        <f t="shared" ca="1" si="6"/>
        <v>113.87366011905387</v>
      </c>
      <c r="I118">
        <f t="shared" ca="1" si="7"/>
        <v>461.24566782259495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93131</v>
      </c>
      <c r="B121" s="66">
        <v>93131</v>
      </c>
      <c r="D121">
        <f t="shared" si="4"/>
        <v>0.97774301582135625</v>
      </c>
      <c r="E121">
        <f t="shared" si="4"/>
        <v>0.97774301582135625</v>
      </c>
      <c r="G121">
        <f t="shared" ca="1" si="5"/>
        <v>119</v>
      </c>
      <c r="H121">
        <f t="shared" ca="1" si="6"/>
        <v>116.3514188827414</v>
      </c>
      <c r="I121">
        <f t="shared" ca="1" si="7"/>
        <v>595.36309392577618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95251</v>
      </c>
      <c r="B124" s="66">
        <v>95251</v>
      </c>
      <c r="D124">
        <f t="shared" si="4"/>
        <v>1</v>
      </c>
      <c r="E124">
        <f t="shared" si="4"/>
        <v>1</v>
      </c>
      <c r="G124">
        <f t="shared" ca="1" si="5"/>
        <v>122</v>
      </c>
      <c r="H124">
        <f t="shared" ca="1" si="6"/>
        <v>122</v>
      </c>
      <c r="I124">
        <f t="shared" ca="1" si="7"/>
        <v>765.97302789117464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93852</v>
      </c>
      <c r="B126" s="66">
        <v>93852</v>
      </c>
      <c r="D126">
        <f t="shared" si="4"/>
        <v>0.9853124901575836</v>
      </c>
      <c r="E126">
        <f t="shared" si="4"/>
        <v>0.9853124901575836</v>
      </c>
      <c r="G126">
        <f t="shared" ca="1" si="5"/>
        <v>124</v>
      </c>
      <c r="H126">
        <f t="shared" ca="1" si="6"/>
        <v>122.17874877954037</v>
      </c>
      <c r="I126">
        <f t="shared" ca="1" si="7"/>
        <v>867.74293350814696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83831</v>
      </c>
      <c r="B129" s="66">
        <v>83831</v>
      </c>
      <c r="D129">
        <f t="shared" si="4"/>
        <v>0.88010624560372075</v>
      </c>
      <c r="E129">
        <f t="shared" si="4"/>
        <v>0.88010624560372075</v>
      </c>
      <c r="G129">
        <f t="shared" ca="1" si="5"/>
        <v>127</v>
      </c>
      <c r="H129">
        <f t="shared" ca="1" si="6"/>
        <v>111.77349319167253</v>
      </c>
      <c r="I129">
        <f t="shared" ca="1" si="7"/>
        <v>939.72042274811963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71605</v>
      </c>
      <c r="B131" s="66">
        <v>71605</v>
      </c>
      <c r="D131">
        <f t="shared" ref="D131:E194" si="8">IFERROR( A131/MAX(A$2:A$257), 0 )</f>
        <v>0.75175063778857965</v>
      </c>
      <c r="E131">
        <f t="shared" si="8"/>
        <v>0.75175063778857965</v>
      </c>
      <c r="G131">
        <f t="shared" ref="G131:G194" ca="1" si="9">CELL("row",D131)-2</f>
        <v>129</v>
      </c>
      <c r="H131">
        <f t="shared" ref="H131:H194" ca="1" si="10">D131*G131</f>
        <v>96.97583227472677</v>
      </c>
      <c r="I131">
        <f t="shared" ref="I131:I194" ca="1" si="11">D131*((G131-$L$1)^2)</f>
        <v>903.93509412916444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61939</v>
      </c>
      <c r="B134" s="66">
        <v>61939</v>
      </c>
      <c r="D134">
        <f t="shared" si="8"/>
        <v>0.65027138822689523</v>
      </c>
      <c r="E134">
        <f t="shared" si="8"/>
        <v>0.65027138822689523</v>
      </c>
      <c r="G134">
        <f t="shared" ca="1" si="9"/>
        <v>132</v>
      </c>
      <c r="H134">
        <f t="shared" ca="1" si="10"/>
        <v>85.835823245950166</v>
      </c>
      <c r="I134">
        <f t="shared" ca="1" si="11"/>
        <v>923.05853350938787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49682</v>
      </c>
      <c r="B136" s="66">
        <v>49682</v>
      </c>
      <c r="D136">
        <f t="shared" si="8"/>
        <v>0.52159032451102871</v>
      </c>
      <c r="E136">
        <f t="shared" si="8"/>
        <v>0.52159032451102871</v>
      </c>
      <c r="G136">
        <f t="shared" ca="1" si="9"/>
        <v>134</v>
      </c>
      <c r="H136">
        <f t="shared" ca="1" si="10"/>
        <v>69.893103484477848</v>
      </c>
      <c r="I136">
        <f t="shared" ca="1" si="11"/>
        <v>821.08866421467008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39180</v>
      </c>
      <c r="B139" s="66">
        <v>39180</v>
      </c>
      <c r="D139">
        <f t="shared" si="8"/>
        <v>0.41133426420719993</v>
      </c>
      <c r="E139">
        <f t="shared" si="8"/>
        <v>0.41133426420719993</v>
      </c>
      <c r="G139">
        <f t="shared" ca="1" si="9"/>
        <v>137</v>
      </c>
      <c r="H139">
        <f t="shared" ca="1" si="10"/>
        <v>56.352794196386391</v>
      </c>
      <c r="I139">
        <f t="shared" ca="1" si="11"/>
        <v>749.14646096880449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32934</v>
      </c>
      <c r="B142" s="66">
        <v>32934</v>
      </c>
      <c r="D142">
        <f t="shared" si="8"/>
        <v>0.34576014949974276</v>
      </c>
      <c r="E142">
        <f t="shared" si="8"/>
        <v>0.34576014949974276</v>
      </c>
      <c r="G142">
        <f t="shared" ca="1" si="9"/>
        <v>140</v>
      </c>
      <c r="H142">
        <f t="shared" ca="1" si="10"/>
        <v>48.406420929963986</v>
      </c>
      <c r="I142">
        <f t="shared" ca="1" si="11"/>
        <v>721.36523156305543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29548</v>
      </c>
      <c r="B144" s="66">
        <v>29548</v>
      </c>
      <c r="D144">
        <f t="shared" si="8"/>
        <v>0.31021196627856923</v>
      </c>
      <c r="E144">
        <f t="shared" si="8"/>
        <v>0.31021196627856923</v>
      </c>
      <c r="G144">
        <f t="shared" ca="1" si="9"/>
        <v>142</v>
      </c>
      <c r="H144">
        <f t="shared" ca="1" si="10"/>
        <v>44.050099211556834</v>
      </c>
      <c r="I144">
        <f t="shared" ca="1" si="11"/>
        <v>705.11854246882046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31388</v>
      </c>
      <c r="B147" s="66">
        <v>31388</v>
      </c>
      <c r="D147">
        <f t="shared" si="8"/>
        <v>0.32952934877324125</v>
      </c>
      <c r="E147">
        <f t="shared" si="8"/>
        <v>0.32952934877324125</v>
      </c>
      <c r="G147">
        <f t="shared" ca="1" si="9"/>
        <v>145</v>
      </c>
      <c r="H147">
        <f t="shared" ca="1" si="10"/>
        <v>47.781755572119984</v>
      </c>
      <c r="I147">
        <f t="shared" ca="1" si="11"/>
        <v>846.25741480772604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26332</v>
      </c>
      <c r="B149" s="66">
        <v>26332</v>
      </c>
      <c r="D149">
        <f t="shared" si="8"/>
        <v>0.27644854122266432</v>
      </c>
      <c r="E149">
        <f t="shared" si="8"/>
        <v>0.27644854122266432</v>
      </c>
      <c r="G149">
        <f t="shared" ca="1" si="9"/>
        <v>147</v>
      </c>
      <c r="H149">
        <f t="shared" ca="1" si="10"/>
        <v>40.637935559731659</v>
      </c>
      <c r="I149">
        <f t="shared" ca="1" si="11"/>
        <v>767.0849653547416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22075</v>
      </c>
      <c r="B152" s="66">
        <v>22075</v>
      </c>
      <c r="D152">
        <f t="shared" si="8"/>
        <v>0.23175609704884989</v>
      </c>
      <c r="E152">
        <f t="shared" si="8"/>
        <v>0.23175609704884989</v>
      </c>
      <c r="G152">
        <f t="shared" ca="1" si="9"/>
        <v>150</v>
      </c>
      <c r="H152">
        <f t="shared" ca="1" si="10"/>
        <v>34.763414557327486</v>
      </c>
      <c r="I152">
        <f t="shared" ca="1" si="11"/>
        <v>718.40710280945143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17953</v>
      </c>
      <c r="B154" s="66">
        <v>17953</v>
      </c>
      <c r="D154">
        <f t="shared" si="8"/>
        <v>0.18848096082980756</v>
      </c>
      <c r="E154">
        <f t="shared" si="8"/>
        <v>0.18848096082980756</v>
      </c>
      <c r="G154">
        <f t="shared" ca="1" si="9"/>
        <v>152</v>
      </c>
      <c r="H154">
        <f t="shared" ca="1" si="10"/>
        <v>28.649106046130751</v>
      </c>
      <c r="I154">
        <f t="shared" ca="1" si="11"/>
        <v>626.99060361738282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14278</v>
      </c>
      <c r="B157" s="66">
        <v>14278</v>
      </c>
      <c r="D157">
        <f t="shared" si="8"/>
        <v>0.14989868872767739</v>
      </c>
      <c r="E157">
        <f t="shared" si="8"/>
        <v>0.14989868872767739</v>
      </c>
      <c r="G157">
        <f t="shared" ca="1" si="9"/>
        <v>155</v>
      </c>
      <c r="H157">
        <f t="shared" ca="1" si="10"/>
        <v>23.234296752789994</v>
      </c>
      <c r="I157">
        <f t="shared" ca="1" si="11"/>
        <v>551.86752179566895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10251</v>
      </c>
      <c r="B160" s="66">
        <v>10251</v>
      </c>
      <c r="D160">
        <f t="shared" si="8"/>
        <v>0.10762091736569694</v>
      </c>
      <c r="E160">
        <f t="shared" si="8"/>
        <v>0.10762091736569694</v>
      </c>
      <c r="G160">
        <f t="shared" ca="1" si="9"/>
        <v>158</v>
      </c>
      <c r="H160">
        <f t="shared" ca="1" si="10"/>
        <v>17.004104943780117</v>
      </c>
      <c r="I160">
        <f t="shared" ca="1" si="11"/>
        <v>436.36630462707097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10683</v>
      </c>
      <c r="B162" s="66">
        <v>10683</v>
      </c>
      <c r="D162">
        <f t="shared" si="8"/>
        <v>0.11215630282096777</v>
      </c>
      <c r="E162">
        <f t="shared" si="8"/>
        <v>0.11215630282096777</v>
      </c>
      <c r="G162">
        <f t="shared" ca="1" si="9"/>
        <v>160</v>
      </c>
      <c r="H162">
        <f t="shared" ca="1" si="10"/>
        <v>17.945008451354841</v>
      </c>
      <c r="I162">
        <f t="shared" ca="1" si="11"/>
        <v>483.77113565699943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9536</v>
      </c>
      <c r="B165" s="66">
        <v>9536</v>
      </c>
      <c r="D165">
        <f t="shared" si="8"/>
        <v>0.10011443449412605</v>
      </c>
      <c r="E165">
        <f t="shared" si="8"/>
        <v>0.10011443449412605</v>
      </c>
      <c r="G165">
        <f t="shared" ca="1" si="9"/>
        <v>163</v>
      </c>
      <c r="H165">
        <f t="shared" ca="1" si="10"/>
        <v>16.318652822542546</v>
      </c>
      <c r="I165">
        <f t="shared" ca="1" si="11"/>
        <v>472.18200964950728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7497</v>
      </c>
      <c r="B167" s="66">
        <v>7497</v>
      </c>
      <c r="D167">
        <f t="shared" si="8"/>
        <v>7.8707835088345529E-2</v>
      </c>
      <c r="E167">
        <f t="shared" si="8"/>
        <v>7.8707835088345529E-2</v>
      </c>
      <c r="G167">
        <f t="shared" ca="1" si="9"/>
        <v>165</v>
      </c>
      <c r="H167">
        <f t="shared" ca="1" si="10"/>
        <v>12.986792789577013</v>
      </c>
      <c r="I167">
        <f t="shared" ca="1" si="11"/>
        <v>393.15569140891859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7839</v>
      </c>
      <c r="B170" s="66">
        <v>7839</v>
      </c>
      <c r="D170">
        <f t="shared" si="8"/>
        <v>8.2298348573768249E-2</v>
      </c>
      <c r="E170">
        <f t="shared" si="8"/>
        <v>8.2298348573768249E-2</v>
      </c>
      <c r="G170">
        <f t="shared" ca="1" si="9"/>
        <v>168</v>
      </c>
      <c r="H170">
        <f t="shared" ca="1" si="10"/>
        <v>13.826122560393065</v>
      </c>
      <c r="I170">
        <f t="shared" ca="1" si="11"/>
        <v>446.73066611993778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6983</v>
      </c>
      <c r="B173" s="66">
        <v>6983</v>
      </c>
      <c r="D173">
        <f t="shared" si="8"/>
        <v>7.3311566282768678E-2</v>
      </c>
      <c r="E173">
        <f t="shared" si="8"/>
        <v>7.3311566282768678E-2</v>
      </c>
      <c r="G173">
        <f t="shared" ca="1" si="9"/>
        <v>171</v>
      </c>
      <c r="H173">
        <f t="shared" ca="1" si="10"/>
        <v>12.536277834353443</v>
      </c>
      <c r="I173">
        <f t="shared" ca="1" si="11"/>
        <v>431.0164663726236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6420</v>
      </c>
      <c r="B175" s="66">
        <v>6420</v>
      </c>
      <c r="D175">
        <f t="shared" si="8"/>
        <v>6.7400867182496771E-2</v>
      </c>
      <c r="E175">
        <f t="shared" si="8"/>
        <v>6.7400867182496771E-2</v>
      </c>
      <c r="G175">
        <f t="shared" ca="1" si="9"/>
        <v>173</v>
      </c>
      <c r="H175">
        <f t="shared" ca="1" si="10"/>
        <v>11.660350022571942</v>
      </c>
      <c r="I175">
        <f t="shared" ca="1" si="11"/>
        <v>417.20781155052737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7224</v>
      </c>
      <c r="B178" s="66">
        <v>7224</v>
      </c>
      <c r="D178">
        <f t="shared" si="8"/>
        <v>7.5841723446472997E-2</v>
      </c>
      <c r="E178">
        <f t="shared" si="8"/>
        <v>7.5841723446472997E-2</v>
      </c>
      <c r="G178">
        <f t="shared" ca="1" si="9"/>
        <v>176</v>
      </c>
      <c r="H178">
        <f t="shared" ca="1" si="10"/>
        <v>13.348143326579248</v>
      </c>
      <c r="I178">
        <f t="shared" ca="1" si="11"/>
        <v>505.94048164779724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8167</v>
      </c>
      <c r="B180" s="66">
        <v>8167</v>
      </c>
      <c r="D180">
        <f t="shared" si="8"/>
        <v>8.5741881974992384E-2</v>
      </c>
      <c r="E180">
        <f t="shared" si="8"/>
        <v>8.5741881974992384E-2</v>
      </c>
      <c r="G180">
        <f t="shared" ca="1" si="9"/>
        <v>178</v>
      </c>
      <c r="H180">
        <f t="shared" ca="1" si="10"/>
        <v>15.262054991548645</v>
      </c>
      <c r="I180">
        <f t="shared" ca="1" si="11"/>
        <v>600.33974217763387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6815</v>
      </c>
      <c r="B183" s="66">
        <v>6815</v>
      </c>
      <c r="D183">
        <f t="shared" si="8"/>
        <v>7.1547805272385592E-2</v>
      </c>
      <c r="E183">
        <f t="shared" si="8"/>
        <v>7.1547805272385592E-2</v>
      </c>
      <c r="G183">
        <f t="shared" ca="1" si="9"/>
        <v>181</v>
      </c>
      <c r="H183">
        <f t="shared" ca="1" si="10"/>
        <v>12.950152754301792</v>
      </c>
      <c r="I183">
        <f t="shared" ca="1" si="11"/>
        <v>537.52197034970402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5658</v>
      </c>
      <c r="B185" s="66">
        <v>5658</v>
      </c>
      <c r="D185">
        <f t="shared" si="8"/>
        <v>5.9400951171116316E-2</v>
      </c>
      <c r="E185">
        <f t="shared" si="8"/>
        <v>5.9400951171116316E-2</v>
      </c>
      <c r="G185">
        <f t="shared" ca="1" si="9"/>
        <v>183</v>
      </c>
      <c r="H185">
        <f t="shared" ca="1" si="10"/>
        <v>10.870374064314285</v>
      </c>
      <c r="I185">
        <f t="shared" ca="1" si="11"/>
        <v>467.09769201646486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4377</v>
      </c>
      <c r="B188" s="66">
        <v>4377</v>
      </c>
      <c r="D188">
        <f t="shared" si="8"/>
        <v>4.5952273466945227E-2</v>
      </c>
      <c r="E188">
        <f t="shared" si="8"/>
        <v>4.5952273466945227E-2</v>
      </c>
      <c r="G188">
        <f t="shared" ca="1" si="9"/>
        <v>186</v>
      </c>
      <c r="H188">
        <f t="shared" ca="1" si="10"/>
        <v>8.5471228648518132</v>
      </c>
      <c r="I188">
        <f t="shared" ca="1" si="11"/>
        <v>386.20721025661726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3179</v>
      </c>
      <c r="B191" s="66">
        <v>3179</v>
      </c>
      <c r="D191">
        <f t="shared" si="8"/>
        <v>3.3374977690522938E-2</v>
      </c>
      <c r="E191">
        <f t="shared" si="8"/>
        <v>3.3374977690522938E-2</v>
      </c>
      <c r="G191">
        <f t="shared" ca="1" si="9"/>
        <v>189</v>
      </c>
      <c r="H191">
        <f t="shared" ca="1" si="10"/>
        <v>6.307870783508835</v>
      </c>
      <c r="I191">
        <f t="shared" ca="1" si="11"/>
        <v>299.1594895802063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2628</v>
      </c>
      <c r="B193" s="66">
        <v>2628</v>
      </c>
      <c r="D193">
        <f t="shared" si="8"/>
        <v>2.7590261519564098E-2</v>
      </c>
      <c r="E193">
        <f t="shared" si="8"/>
        <v>2.7590261519564098E-2</v>
      </c>
      <c r="G193">
        <f t="shared" ca="1" si="9"/>
        <v>191</v>
      </c>
      <c r="H193">
        <f t="shared" ca="1" si="10"/>
        <v>5.269739950236743</v>
      </c>
      <c r="I193">
        <f t="shared" ca="1" si="11"/>
        <v>257.86661499067435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1583</v>
      </c>
      <c r="B196" s="66">
        <v>1583</v>
      </c>
      <c r="D196">
        <f t="shared" si="12"/>
        <v>1.6619248091883549E-2</v>
      </c>
      <c r="E196">
        <f t="shared" si="12"/>
        <v>1.6619248091883549E-2</v>
      </c>
      <c r="G196">
        <f t="shared" ca="1" si="13"/>
        <v>194</v>
      </c>
      <c r="H196">
        <f t="shared" ca="1" si="14"/>
        <v>3.2241341298254085</v>
      </c>
      <c r="I196">
        <f t="shared" ca="1" si="15"/>
        <v>165.11801962560145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990</v>
      </c>
      <c r="B198" s="66">
        <v>990</v>
      </c>
      <c r="D198">
        <f t="shared" si="12"/>
        <v>1.0393591668328941E-2</v>
      </c>
      <c r="E198">
        <f t="shared" si="12"/>
        <v>1.0393591668328941E-2</v>
      </c>
      <c r="G198">
        <f t="shared" ca="1" si="13"/>
        <v>196</v>
      </c>
      <c r="H198">
        <f t="shared" ca="1" si="14"/>
        <v>2.0371439669924727</v>
      </c>
      <c r="I198">
        <f t="shared" ca="1" si="15"/>
        <v>107.44950414748033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360</v>
      </c>
      <c r="B201" s="66">
        <v>360</v>
      </c>
      <c r="D201">
        <f t="shared" si="12"/>
        <v>3.7794878793923421E-3</v>
      </c>
      <c r="E201">
        <f t="shared" si="12"/>
        <v>3.7794878793923421E-3</v>
      </c>
      <c r="G201">
        <f t="shared" ca="1" si="13"/>
        <v>199</v>
      </c>
      <c r="H201">
        <f t="shared" ca="1" si="14"/>
        <v>0.75211808799907609</v>
      </c>
      <c r="I201">
        <f t="shared" ca="1" si="15"/>
        <v>41.412266548854234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69.546694182735493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1.3420384666622363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0.55944063828765855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0</v>
      </c>
      <c r="B8" s="66">
        <v>0</v>
      </c>
      <c r="D8">
        <f t="shared" si="0"/>
        <v>0</v>
      </c>
      <c r="E8">
        <f t="shared" si="1"/>
        <v>0</v>
      </c>
      <c r="G8">
        <f t="shared" ca="1" si="2"/>
        <v>6</v>
      </c>
      <c r="H8">
        <f t="shared" ca="1" si="3"/>
        <v>0</v>
      </c>
      <c r="I8">
        <f t="shared" ca="1" si="4"/>
        <v>0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0</v>
      </c>
      <c r="B10" s="66">
        <v>0</v>
      </c>
      <c r="D10">
        <f t="shared" si="0"/>
        <v>0</v>
      </c>
      <c r="E10">
        <f t="shared" si="1"/>
        <v>0</v>
      </c>
      <c r="G10">
        <f t="shared" ca="1" si="2"/>
        <v>8</v>
      </c>
      <c r="H10">
        <f t="shared" ca="1" si="3"/>
        <v>0</v>
      </c>
      <c r="I10">
        <f t="shared" ca="1" si="4"/>
        <v>0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0</v>
      </c>
      <c r="B13" s="66">
        <v>0</v>
      </c>
      <c r="D13">
        <f t="shared" si="0"/>
        <v>0</v>
      </c>
      <c r="E13">
        <f t="shared" si="1"/>
        <v>0</v>
      </c>
      <c r="G13">
        <f t="shared" ca="1" si="2"/>
        <v>11</v>
      </c>
      <c r="H13">
        <f t="shared" ca="1" si="3"/>
        <v>0</v>
      </c>
      <c r="I13">
        <f t="shared" ca="1" si="4"/>
        <v>0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0</v>
      </c>
      <c r="B15" s="66">
        <v>0</v>
      </c>
      <c r="D15">
        <f t="shared" si="0"/>
        <v>0</v>
      </c>
      <c r="E15">
        <f t="shared" si="1"/>
        <v>0</v>
      </c>
      <c r="G15">
        <f t="shared" ca="1" si="2"/>
        <v>13</v>
      </c>
      <c r="H15">
        <f t="shared" ca="1" si="3"/>
        <v>0</v>
      </c>
      <c r="I15">
        <f t="shared" ca="1" si="4"/>
        <v>0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3893</v>
      </c>
      <c r="B18" s="66">
        <v>3893</v>
      </c>
      <c r="D18">
        <f t="shared" si="0"/>
        <v>9.5709895513214498</v>
      </c>
      <c r="E18">
        <f t="shared" si="1"/>
        <v>9.5709895513214498</v>
      </c>
      <c r="G18">
        <f t="shared" ca="1" si="2"/>
        <v>16</v>
      </c>
      <c r="H18">
        <f t="shared" ca="1" si="3"/>
        <v>153.1358328211432</v>
      </c>
      <c r="I18">
        <f t="shared" ca="1" si="4"/>
        <v>27442.405031597689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6291</v>
      </c>
      <c r="B21" s="66">
        <v>6291</v>
      </c>
      <c r="D21">
        <f t="shared" si="0"/>
        <v>15.466502765826675</v>
      </c>
      <c r="E21">
        <f t="shared" si="1"/>
        <v>15.466502765826675</v>
      </c>
      <c r="G21">
        <f t="shared" ca="1" si="2"/>
        <v>19</v>
      </c>
      <c r="H21">
        <f t="shared" ca="1" si="3"/>
        <v>293.8635525507068</v>
      </c>
      <c r="I21">
        <f t="shared" ca="1" si="4"/>
        <v>39516.424167236844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14301</v>
      </c>
      <c r="B23" s="66">
        <v>14301</v>
      </c>
      <c r="D23">
        <f t="shared" si="0"/>
        <v>35.159188690842043</v>
      </c>
      <c r="E23">
        <f t="shared" si="1"/>
        <v>35.159188690842043</v>
      </c>
      <c r="G23">
        <f t="shared" ca="1" si="2"/>
        <v>21</v>
      </c>
      <c r="H23">
        <f t="shared" ca="1" si="3"/>
        <v>738.34296250768296</v>
      </c>
      <c r="I23">
        <f t="shared" ca="1" si="4"/>
        <v>82862.526026665786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24708</v>
      </c>
      <c r="B26" s="66">
        <v>24708</v>
      </c>
      <c r="D26">
        <f t="shared" si="0"/>
        <v>60.744929317762754</v>
      </c>
      <c r="E26">
        <f t="shared" si="1"/>
        <v>60.744929317762754</v>
      </c>
      <c r="G26">
        <f t="shared" ca="1" si="2"/>
        <v>24</v>
      </c>
      <c r="H26">
        <f t="shared" ca="1" si="3"/>
        <v>1457.8783036263062</v>
      </c>
      <c r="I26">
        <f t="shared" ca="1" si="4"/>
        <v>126015.43793461806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22153</v>
      </c>
      <c r="B28" s="66">
        <v>22153</v>
      </c>
      <c r="D28">
        <f t="shared" si="0"/>
        <v>54.463429625076827</v>
      </c>
      <c r="E28">
        <f t="shared" si="1"/>
        <v>54.463429625076827</v>
      </c>
      <c r="G28">
        <f t="shared" ca="1" si="2"/>
        <v>26</v>
      </c>
      <c r="H28">
        <f t="shared" ca="1" si="3"/>
        <v>1416.0491702519976</v>
      </c>
      <c r="I28">
        <f t="shared" ca="1" si="4"/>
        <v>103279.79536138316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22742</v>
      </c>
      <c r="B31" s="66">
        <v>22742</v>
      </c>
      <c r="D31">
        <f t="shared" si="0"/>
        <v>55.911493546404422</v>
      </c>
      <c r="E31">
        <f t="shared" si="1"/>
        <v>55.911493546404422</v>
      </c>
      <c r="G31">
        <f t="shared" ca="1" si="2"/>
        <v>29</v>
      </c>
      <c r="H31">
        <f t="shared" ca="1" si="3"/>
        <v>1621.4333128457283</v>
      </c>
      <c r="I31">
        <f t="shared" ca="1" si="4"/>
        <v>91920.419257160655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29993</v>
      </c>
      <c r="B33" s="66">
        <v>29993</v>
      </c>
      <c r="D33">
        <f t="shared" si="0"/>
        <v>73.738168408113097</v>
      </c>
      <c r="E33">
        <f t="shared" si="1"/>
        <v>73.738168408113097</v>
      </c>
      <c r="G33">
        <f t="shared" ca="1" si="2"/>
        <v>31</v>
      </c>
      <c r="H33">
        <f t="shared" ca="1" si="3"/>
        <v>2285.8832206515062</v>
      </c>
      <c r="I33">
        <f t="shared" ca="1" si="4"/>
        <v>109563.68294798552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34079</v>
      </c>
      <c r="B36" s="66">
        <v>34079</v>
      </c>
      <c r="D36">
        <f t="shared" si="0"/>
        <v>83.783650891210812</v>
      </c>
      <c r="E36">
        <f t="shared" si="1"/>
        <v>83.783650891210812</v>
      </c>
      <c r="G36">
        <f t="shared" ca="1" si="2"/>
        <v>34</v>
      </c>
      <c r="H36">
        <f t="shared" ca="1" si="3"/>
        <v>2848.6441303011675</v>
      </c>
      <c r="I36">
        <f t="shared" ca="1" si="4"/>
        <v>105866.2955595075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40675</v>
      </c>
      <c r="B39" s="66">
        <v>40675</v>
      </c>
      <c r="D39">
        <f t="shared" si="0"/>
        <v>100</v>
      </c>
      <c r="E39">
        <f t="shared" si="1"/>
        <v>100</v>
      </c>
      <c r="G39">
        <f t="shared" ca="1" si="2"/>
        <v>37</v>
      </c>
      <c r="H39">
        <f t="shared" ca="1" si="3"/>
        <v>3700</v>
      </c>
      <c r="I39">
        <f t="shared" ca="1" si="4"/>
        <v>105928.73022245083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37091</v>
      </c>
      <c r="B41" s="66">
        <v>37091</v>
      </c>
      <c r="D41">
        <f t="shared" si="0"/>
        <v>91.188690842040572</v>
      </c>
      <c r="E41">
        <f t="shared" si="1"/>
        <v>91.188690842040572</v>
      </c>
      <c r="G41">
        <f t="shared" ca="1" si="2"/>
        <v>39</v>
      </c>
      <c r="H41">
        <f t="shared" ca="1" si="3"/>
        <v>3556.3589428395821</v>
      </c>
      <c r="I41">
        <f t="shared" ca="1" si="4"/>
        <v>85088.215343778415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35186</v>
      </c>
      <c r="B44" s="66">
        <v>35186</v>
      </c>
      <c r="D44">
        <f t="shared" si="0"/>
        <v>86.505224339274733</v>
      </c>
      <c r="E44">
        <f t="shared" si="1"/>
        <v>86.505224339274733</v>
      </c>
      <c r="G44">
        <f t="shared" ca="1" si="2"/>
        <v>42</v>
      </c>
      <c r="H44">
        <f t="shared" ca="1" si="3"/>
        <v>3633.2194222495386</v>
      </c>
      <c r="I44">
        <f t="shared" ca="1" si="4"/>
        <v>65641.925509365057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31880</v>
      </c>
      <c r="B46" s="66">
        <v>31880</v>
      </c>
      <c r="D46">
        <f t="shared" si="0"/>
        <v>78.377381684081129</v>
      </c>
      <c r="E46">
        <f t="shared" si="1"/>
        <v>78.377381684081129</v>
      </c>
      <c r="G46">
        <f t="shared" ca="1" si="2"/>
        <v>44</v>
      </c>
      <c r="H46">
        <f t="shared" ca="1" si="3"/>
        <v>3448.6047940995695</v>
      </c>
      <c r="I46">
        <f t="shared" ca="1" si="4"/>
        <v>51151.711486856359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31455</v>
      </c>
      <c r="B49" s="66">
        <v>31455</v>
      </c>
      <c r="D49">
        <f t="shared" si="0"/>
        <v>77.332513829133376</v>
      </c>
      <c r="E49">
        <f t="shared" si="1"/>
        <v>77.332513829133376</v>
      </c>
      <c r="G49">
        <f t="shared" ca="1" si="2"/>
        <v>47</v>
      </c>
      <c r="H49">
        <f t="shared" ca="1" si="3"/>
        <v>3634.6281499692686</v>
      </c>
      <c r="I49">
        <f t="shared" ca="1" si="4"/>
        <v>39312.247771636168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30860</v>
      </c>
      <c r="B51" s="66">
        <v>30860</v>
      </c>
      <c r="D51">
        <f t="shared" si="0"/>
        <v>75.86969883220651</v>
      </c>
      <c r="E51">
        <f t="shared" si="1"/>
        <v>75.86969883220651</v>
      </c>
      <c r="G51">
        <f t="shared" ca="1" si="2"/>
        <v>49</v>
      </c>
      <c r="H51">
        <f t="shared" ca="1" si="3"/>
        <v>3717.615242778119</v>
      </c>
      <c r="I51">
        <f t="shared" ca="1" si="4"/>
        <v>32029.65597331804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30966</v>
      </c>
      <c r="B54" s="66">
        <v>30966</v>
      </c>
      <c r="D54">
        <f t="shared" si="0"/>
        <v>76.13030116779349</v>
      </c>
      <c r="E54">
        <f t="shared" si="1"/>
        <v>76.13030116779349</v>
      </c>
      <c r="G54">
        <f t="shared" ca="1" si="2"/>
        <v>52</v>
      </c>
      <c r="H54">
        <f t="shared" ca="1" si="3"/>
        <v>3958.7756607252613</v>
      </c>
      <c r="I54">
        <f t="shared" ca="1" si="4"/>
        <v>23439.490199893073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30245</v>
      </c>
      <c r="B57" s="66">
        <v>30245</v>
      </c>
      <c r="D57">
        <f t="shared" si="0"/>
        <v>74.35771358328212</v>
      </c>
      <c r="E57">
        <f t="shared" si="1"/>
        <v>74.35771358328212</v>
      </c>
      <c r="G57">
        <f t="shared" ca="1" si="2"/>
        <v>55</v>
      </c>
      <c r="H57">
        <f t="shared" ca="1" si="3"/>
        <v>4089.6742470805166</v>
      </c>
      <c r="I57">
        <f t="shared" ca="1" si="4"/>
        <v>15734.561513790282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32950</v>
      </c>
      <c r="B59" s="66">
        <v>32950</v>
      </c>
      <c r="D59">
        <f t="shared" si="0"/>
        <v>81.007990165949607</v>
      </c>
      <c r="E59">
        <f t="shared" si="1"/>
        <v>81.007990165949607</v>
      </c>
      <c r="G59">
        <f t="shared" ca="1" si="2"/>
        <v>57</v>
      </c>
      <c r="H59">
        <f t="shared" ca="1" si="3"/>
        <v>4617.4554394591278</v>
      </c>
      <c r="I59">
        <f t="shared" ca="1" si="4"/>
        <v>12752.240136329863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33714</v>
      </c>
      <c r="B62" s="66">
        <v>33714</v>
      </c>
      <c r="D62">
        <f t="shared" si="0"/>
        <v>82.886293792255685</v>
      </c>
      <c r="E62">
        <f t="shared" si="1"/>
        <v>82.886293792255685</v>
      </c>
      <c r="G62">
        <f t="shared" ca="1" si="2"/>
        <v>60</v>
      </c>
      <c r="H62">
        <f t="shared" ca="1" si="3"/>
        <v>4973.1776275353413</v>
      </c>
      <c r="I62">
        <f t="shared" ca="1" si="4"/>
        <v>7554.2045828317951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32991</v>
      </c>
      <c r="B64" s="66">
        <v>32991</v>
      </c>
      <c r="D64">
        <f t="shared" si="0"/>
        <v>81.108789182544555</v>
      </c>
      <c r="E64">
        <f t="shared" si="1"/>
        <v>81.108789182544555</v>
      </c>
      <c r="G64">
        <f t="shared" ca="1" si="2"/>
        <v>62</v>
      </c>
      <c r="H64">
        <f t="shared" ca="1" si="3"/>
        <v>5028.7449293177624</v>
      </c>
      <c r="I64">
        <f t="shared" ca="1" si="4"/>
        <v>4619.3558661522393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32125</v>
      </c>
      <c r="B67" s="66">
        <v>32125</v>
      </c>
      <c r="D67">
        <f t="shared" ref="D67:D130" si="5">IFERROR( 100*A67/MAX(A$2:A$257), 0 )</f>
        <v>78.979717271051015</v>
      </c>
      <c r="E67">
        <f t="shared" ref="E67:E130" si="6">IFERROR( 100*B67/MAX(B$2:B$257), 0 )</f>
        <v>78.979717271051015</v>
      </c>
      <c r="G67">
        <f t="shared" ref="G67:G130" ca="1" si="7">CELL("row",D67)-2</f>
        <v>65</v>
      </c>
      <c r="H67">
        <f t="shared" ref="H67:H130" ca="1" si="8">D67*G67</f>
        <v>5133.6816226183164</v>
      </c>
      <c r="I67">
        <f t="shared" ref="I67:I130" ca="1" si="9">D67*((G67-$L$1)^2)</f>
        <v>1632.7025180606759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33957</v>
      </c>
      <c r="B69" s="66">
        <v>33957</v>
      </c>
      <c r="D69">
        <f t="shared" si="5"/>
        <v>83.483712354025812</v>
      </c>
      <c r="E69">
        <f t="shared" si="6"/>
        <v>83.483712354025812</v>
      </c>
      <c r="G69">
        <f t="shared" ca="1" si="7"/>
        <v>67</v>
      </c>
      <c r="H69">
        <f t="shared" ca="1" si="8"/>
        <v>5593.4087277197295</v>
      </c>
      <c r="I69">
        <f t="shared" ca="1" si="9"/>
        <v>541.44624424998869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38611</v>
      </c>
      <c r="B72" s="66">
        <v>38611</v>
      </c>
      <c r="D72">
        <f t="shared" si="5"/>
        <v>94.925629993853718</v>
      </c>
      <c r="E72">
        <f t="shared" si="6"/>
        <v>94.925629993853718</v>
      </c>
      <c r="G72">
        <f t="shared" ca="1" si="7"/>
        <v>70</v>
      </c>
      <c r="H72">
        <f t="shared" ca="1" si="8"/>
        <v>6644.79409956976</v>
      </c>
      <c r="I72">
        <f t="shared" ca="1" si="9"/>
        <v>19.505903569477933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36163</v>
      </c>
      <c r="B75" s="66">
        <v>36163</v>
      </c>
      <c r="D75">
        <f t="shared" si="5"/>
        <v>88.907191149354645</v>
      </c>
      <c r="E75">
        <f t="shared" si="6"/>
        <v>88.907191149354645</v>
      </c>
      <c r="G75">
        <f t="shared" ca="1" si="7"/>
        <v>73</v>
      </c>
      <c r="H75">
        <f t="shared" ca="1" si="8"/>
        <v>6490.224953902889</v>
      </c>
      <c r="I75">
        <f t="shared" ca="1" si="9"/>
        <v>1060.2467996703504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34916</v>
      </c>
      <c r="B77" s="66">
        <v>34916</v>
      </c>
      <c r="D77">
        <f t="shared" si="5"/>
        <v>85.841425937307932</v>
      </c>
      <c r="E77">
        <f t="shared" si="6"/>
        <v>85.841425937307932</v>
      </c>
      <c r="G77">
        <f t="shared" ca="1" si="7"/>
        <v>75</v>
      </c>
      <c r="H77">
        <f t="shared" ca="1" si="8"/>
        <v>6438.1069452980946</v>
      </c>
      <c r="I77">
        <f t="shared" ca="1" si="9"/>
        <v>2552.799051154534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34559</v>
      </c>
      <c r="B80" s="66">
        <v>34559</v>
      </c>
      <c r="D80">
        <f t="shared" si="5"/>
        <v>84.963736939151815</v>
      </c>
      <c r="E80">
        <f t="shared" si="6"/>
        <v>84.963736939151815</v>
      </c>
      <c r="G80">
        <f t="shared" ca="1" si="7"/>
        <v>78</v>
      </c>
      <c r="H80">
        <f t="shared" ca="1" si="8"/>
        <v>6627.1714812538412</v>
      </c>
      <c r="I80">
        <f t="shared" ca="1" si="9"/>
        <v>6071.3709358623264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33500</v>
      </c>
      <c r="B82" s="66">
        <v>33500</v>
      </c>
      <c r="D82">
        <f t="shared" si="5"/>
        <v>82.360172095881993</v>
      </c>
      <c r="E82">
        <f t="shared" si="6"/>
        <v>82.360172095881993</v>
      </c>
      <c r="G82">
        <f t="shared" ca="1" si="7"/>
        <v>80</v>
      </c>
      <c r="H82">
        <f t="shared" ca="1" si="8"/>
        <v>6588.8137676705592</v>
      </c>
      <c r="I82">
        <f t="shared" ca="1" si="9"/>
        <v>8999.6279878551341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34017</v>
      </c>
      <c r="B85" s="66">
        <v>34017</v>
      </c>
      <c r="D85">
        <f t="shared" si="5"/>
        <v>83.631223110018439</v>
      </c>
      <c r="E85">
        <f t="shared" si="6"/>
        <v>83.631223110018439</v>
      </c>
      <c r="G85">
        <f t="shared" ca="1" si="7"/>
        <v>83</v>
      </c>
      <c r="H85">
        <f t="shared" ca="1" si="8"/>
        <v>6941.3915181315306</v>
      </c>
      <c r="I85">
        <f t="shared" ca="1" si="9"/>
        <v>15136.535283276413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31678</v>
      </c>
      <c r="B88" s="66">
        <v>31678</v>
      </c>
      <c r="D88">
        <f t="shared" si="5"/>
        <v>77.880762138905965</v>
      </c>
      <c r="E88">
        <f t="shared" si="6"/>
        <v>77.880762138905965</v>
      </c>
      <c r="G88">
        <f t="shared" ca="1" si="7"/>
        <v>86</v>
      </c>
      <c r="H88">
        <f t="shared" ca="1" si="8"/>
        <v>6697.7455439459127</v>
      </c>
      <c r="I88">
        <f t="shared" ca="1" si="9"/>
        <v>21083.200207596488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31094</v>
      </c>
      <c r="B90" s="66">
        <v>31094</v>
      </c>
      <c r="D90">
        <f t="shared" si="5"/>
        <v>76.444990780577754</v>
      </c>
      <c r="E90">
        <f t="shared" si="6"/>
        <v>76.444990780577754</v>
      </c>
      <c r="G90">
        <f t="shared" ca="1" si="7"/>
        <v>88</v>
      </c>
      <c r="H90">
        <f t="shared" ca="1" si="8"/>
        <v>6727.1591886908427</v>
      </c>
      <c r="I90">
        <f t="shared" ca="1" si="9"/>
        <v>26031.391925593525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30931</v>
      </c>
      <c r="B93" s="66">
        <v>30931</v>
      </c>
      <c r="D93">
        <f t="shared" si="5"/>
        <v>76.044253226797792</v>
      </c>
      <c r="E93">
        <f t="shared" si="6"/>
        <v>76.044253226797792</v>
      </c>
      <c r="G93">
        <f t="shared" ca="1" si="7"/>
        <v>91</v>
      </c>
      <c r="H93">
        <f t="shared" ca="1" si="8"/>
        <v>6920.027043638599</v>
      </c>
      <c r="I93">
        <f t="shared" ca="1" si="9"/>
        <v>34998.936413909243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26380</v>
      </c>
      <c r="B95" s="66">
        <v>26380</v>
      </c>
      <c r="D95">
        <f t="shared" si="5"/>
        <v>64.855562384757221</v>
      </c>
      <c r="E95">
        <f t="shared" si="6"/>
        <v>64.855562384757221</v>
      </c>
      <c r="G95">
        <f t="shared" ca="1" si="7"/>
        <v>93</v>
      </c>
      <c r="H95">
        <f t="shared" ca="1" si="8"/>
        <v>6031.567301782422</v>
      </c>
      <c r="I95">
        <f t="shared" ca="1" si="9"/>
        <v>35674.291992967555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27750</v>
      </c>
      <c r="B98" s="66">
        <v>27750</v>
      </c>
      <c r="D98">
        <f t="shared" si="5"/>
        <v>68.223724646588821</v>
      </c>
      <c r="E98">
        <f t="shared" si="6"/>
        <v>68.223724646588821</v>
      </c>
      <c r="G98">
        <f t="shared" ca="1" si="7"/>
        <v>96</v>
      </c>
      <c r="H98">
        <f t="shared" ca="1" si="8"/>
        <v>6549.4775660725263</v>
      </c>
      <c r="I98">
        <f t="shared" ca="1" si="9"/>
        <v>47741.419877966167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25173</v>
      </c>
      <c r="B100" s="66">
        <v>25173</v>
      </c>
      <c r="D100">
        <f t="shared" si="5"/>
        <v>61.88813767670559</v>
      </c>
      <c r="E100">
        <f t="shared" si="6"/>
        <v>61.88813767670559</v>
      </c>
      <c r="G100">
        <f t="shared" ca="1" si="7"/>
        <v>98</v>
      </c>
      <c r="H100">
        <f t="shared" ca="1" si="8"/>
        <v>6065.0374923171476</v>
      </c>
      <c r="I100">
        <f t="shared" ca="1" si="9"/>
        <v>50104.055252940329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25346</v>
      </c>
      <c r="B103" s="66">
        <v>25346</v>
      </c>
      <c r="D103">
        <f t="shared" si="5"/>
        <v>62.313460356484327</v>
      </c>
      <c r="E103">
        <f t="shared" si="6"/>
        <v>62.313460356484327</v>
      </c>
      <c r="G103">
        <f t="shared" ca="1" si="7"/>
        <v>101</v>
      </c>
      <c r="H103">
        <f t="shared" ca="1" si="8"/>
        <v>6293.6594960049169</v>
      </c>
      <c r="I103">
        <f t="shared" ca="1" si="9"/>
        <v>61647.357309069019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24733</v>
      </c>
      <c r="B106" s="66">
        <v>24733</v>
      </c>
      <c r="D106">
        <f t="shared" si="5"/>
        <v>60.806392132759683</v>
      </c>
      <c r="E106">
        <f t="shared" si="6"/>
        <v>60.806392132759683</v>
      </c>
      <c r="G106">
        <f t="shared" ca="1" si="7"/>
        <v>104</v>
      </c>
      <c r="H106">
        <f t="shared" ca="1" si="8"/>
        <v>6323.8647818070067</v>
      </c>
      <c r="I106">
        <f t="shared" ca="1" si="9"/>
        <v>72179.028784818132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22305</v>
      </c>
      <c r="B108" s="66">
        <v>22305</v>
      </c>
      <c r="D108">
        <f t="shared" si="5"/>
        <v>54.837123540258141</v>
      </c>
      <c r="E108">
        <f t="shared" si="6"/>
        <v>54.837123540258141</v>
      </c>
      <c r="G108">
        <f t="shared" ca="1" si="7"/>
        <v>106</v>
      </c>
      <c r="H108">
        <f t="shared" ca="1" si="8"/>
        <v>5812.7350952673632</v>
      </c>
      <c r="I108">
        <f t="shared" ca="1" si="9"/>
        <v>72869.955449739064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22078</v>
      </c>
      <c r="B111" s="66">
        <v>22078</v>
      </c>
      <c r="D111">
        <f t="shared" si="5"/>
        <v>54.279041180086047</v>
      </c>
      <c r="E111">
        <f t="shared" si="6"/>
        <v>54.279041180086047</v>
      </c>
      <c r="G111">
        <f t="shared" ca="1" si="7"/>
        <v>109</v>
      </c>
      <c r="H111">
        <f t="shared" ca="1" si="8"/>
        <v>5916.4154886293791</v>
      </c>
      <c r="I111">
        <f t="shared" ca="1" si="9"/>
        <v>84488.765626419583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19630</v>
      </c>
      <c r="B113" s="66">
        <v>19630</v>
      </c>
      <c r="D113">
        <f t="shared" si="5"/>
        <v>48.260602335586967</v>
      </c>
      <c r="E113">
        <f t="shared" si="6"/>
        <v>48.260602335586967</v>
      </c>
      <c r="G113">
        <f t="shared" ca="1" si="7"/>
        <v>111</v>
      </c>
      <c r="H113">
        <f t="shared" ca="1" si="8"/>
        <v>5356.926859250153</v>
      </c>
      <c r="I113">
        <f t="shared" ca="1" si="9"/>
        <v>82929.887978405983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16594</v>
      </c>
      <c r="B116" s="66">
        <v>16594</v>
      </c>
      <c r="D116">
        <f t="shared" si="5"/>
        <v>40.796558082360171</v>
      </c>
      <c r="E116">
        <f t="shared" si="6"/>
        <v>40.796558082360171</v>
      </c>
      <c r="G116">
        <f t="shared" ca="1" si="7"/>
        <v>114</v>
      </c>
      <c r="H116">
        <f t="shared" ca="1" si="8"/>
        <v>4650.8076213890599</v>
      </c>
      <c r="I116">
        <f t="shared" ca="1" si="9"/>
        <v>80617.931480745727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15228</v>
      </c>
      <c r="B118" s="66">
        <v>15228</v>
      </c>
      <c r="D118">
        <f t="shared" si="5"/>
        <v>37.43822987092809</v>
      </c>
      <c r="E118">
        <f t="shared" si="6"/>
        <v>37.43822987092809</v>
      </c>
      <c r="G118">
        <f t="shared" ca="1" si="7"/>
        <v>116</v>
      </c>
      <c r="H118">
        <f t="shared" ca="1" si="8"/>
        <v>4342.834665027658</v>
      </c>
      <c r="I118">
        <f t="shared" ca="1" si="9"/>
        <v>80788.316444874814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13139</v>
      </c>
      <c r="B121" s="66">
        <v>13139</v>
      </c>
      <c r="D121">
        <f t="shared" si="5"/>
        <v>32.302397049784879</v>
      </c>
      <c r="E121">
        <f t="shared" si="6"/>
        <v>32.302397049784879</v>
      </c>
      <c r="G121">
        <f t="shared" ca="1" si="7"/>
        <v>119</v>
      </c>
      <c r="H121">
        <f t="shared" ca="1" si="8"/>
        <v>3843.9852489244008</v>
      </c>
      <c r="I121">
        <f t="shared" ca="1" si="9"/>
        <v>78999.693732627173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9922</v>
      </c>
      <c r="B124" s="66">
        <v>9922</v>
      </c>
      <c r="D124">
        <f t="shared" si="5"/>
        <v>24.393362015980333</v>
      </c>
      <c r="E124">
        <f t="shared" si="6"/>
        <v>24.393362015980333</v>
      </c>
      <c r="G124">
        <f t="shared" ca="1" si="7"/>
        <v>122</v>
      </c>
      <c r="H124">
        <f t="shared" ca="1" si="8"/>
        <v>2975.9901659496009</v>
      </c>
      <c r="I124">
        <f t="shared" ca="1" si="9"/>
        <v>67114.659291663935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7592</v>
      </c>
      <c r="B126" s="66">
        <v>7592</v>
      </c>
      <c r="D126">
        <f t="shared" si="5"/>
        <v>18.665027658266748</v>
      </c>
      <c r="E126">
        <f t="shared" si="6"/>
        <v>18.665027658266748</v>
      </c>
      <c r="G126">
        <f t="shared" ca="1" si="7"/>
        <v>124</v>
      </c>
      <c r="H126">
        <f t="shared" ca="1" si="8"/>
        <v>2314.463429625077</v>
      </c>
      <c r="I126">
        <f t="shared" ca="1" si="9"/>
        <v>55344.840343064338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6008</v>
      </c>
      <c r="B129" s="66">
        <v>6008</v>
      </c>
      <c r="D129">
        <f t="shared" si="5"/>
        <v>14.770743700061463</v>
      </c>
      <c r="E129">
        <f t="shared" si="6"/>
        <v>14.770743700061463</v>
      </c>
      <c r="G129">
        <f t="shared" ca="1" si="7"/>
        <v>127</v>
      </c>
      <c r="H129">
        <f t="shared" ca="1" si="8"/>
        <v>1875.8844499078057</v>
      </c>
      <c r="I129">
        <f t="shared" ca="1" si="9"/>
        <v>48756.487166041486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5189</v>
      </c>
      <c r="B131" s="66">
        <v>5189</v>
      </c>
      <c r="D131">
        <f t="shared" ref="D131:D194" si="10">IFERROR( 100*A131/MAX(A$2:A$257), 0 )</f>
        <v>12.757221880762138</v>
      </c>
      <c r="E131">
        <f t="shared" ref="E131:E194" si="11">IFERROR( 100*B131/MAX(B$2:B$257), 0 )</f>
        <v>12.757221880762138</v>
      </c>
      <c r="G131">
        <f t="shared" ref="G131:G194" ca="1" si="12">CELL("row",D131)-2</f>
        <v>129</v>
      </c>
      <c r="H131">
        <f t="shared" ref="H131:H194" ca="1" si="13">D131*G131</f>
        <v>1645.6816226183159</v>
      </c>
      <c r="I131">
        <f t="shared" ref="I131:I194" ca="1" si="14">D131*((G131-$L$1)^2)</f>
        <v>45092.895700620793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3721</v>
      </c>
      <c r="B134" s="66">
        <v>3721</v>
      </c>
      <c r="D134">
        <f t="shared" si="10"/>
        <v>9.1481253841425936</v>
      </c>
      <c r="E134">
        <f t="shared" si="11"/>
        <v>9.1481253841425936</v>
      </c>
      <c r="G134">
        <f t="shared" ca="1" si="12"/>
        <v>132</v>
      </c>
      <c r="H134">
        <f t="shared" ca="1" si="13"/>
        <v>1207.5525507068223</v>
      </c>
      <c r="I134">
        <f t="shared" ca="1" si="14"/>
        <v>35681.489198095216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2755</v>
      </c>
      <c r="B136" s="66">
        <v>2755</v>
      </c>
      <c r="D136">
        <f t="shared" si="10"/>
        <v>6.7732022126613396</v>
      </c>
      <c r="E136">
        <f t="shared" si="11"/>
        <v>6.7732022126613396</v>
      </c>
      <c r="G136">
        <f t="shared" ca="1" si="12"/>
        <v>134</v>
      </c>
      <c r="H136">
        <f t="shared" ca="1" si="13"/>
        <v>907.60909649661949</v>
      </c>
      <c r="I136">
        <f t="shared" ca="1" si="14"/>
        <v>28137.430553858347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2061</v>
      </c>
      <c r="B139" s="66">
        <v>2061</v>
      </c>
      <c r="D139">
        <f t="shared" si="10"/>
        <v>5.0669944683466506</v>
      </c>
      <c r="E139">
        <f t="shared" si="11"/>
        <v>5.0669944683466506</v>
      </c>
      <c r="G139">
        <f t="shared" ca="1" si="12"/>
        <v>137</v>
      </c>
      <c r="H139">
        <f t="shared" ca="1" si="13"/>
        <v>694.17824216349118</v>
      </c>
      <c r="I139">
        <f t="shared" ca="1" si="14"/>
        <v>23054.563706849764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1696</v>
      </c>
      <c r="B142" s="66">
        <v>1696</v>
      </c>
      <c r="D142">
        <f t="shared" si="10"/>
        <v>4.1696373693915181</v>
      </c>
      <c r="E142">
        <f t="shared" si="11"/>
        <v>4.1696373693915181</v>
      </c>
      <c r="G142">
        <f t="shared" ca="1" si="12"/>
        <v>140</v>
      </c>
      <c r="H142">
        <f t="shared" ca="1" si="13"/>
        <v>583.74923171481248</v>
      </c>
      <c r="I142">
        <f t="shared" ca="1" si="14"/>
        <v>20696.696835366613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1632</v>
      </c>
      <c r="B144" s="66">
        <v>1632</v>
      </c>
      <c r="D144">
        <f t="shared" si="10"/>
        <v>4.0122925629993853</v>
      </c>
      <c r="E144">
        <f t="shared" si="11"/>
        <v>4.0122925629993853</v>
      </c>
      <c r="G144">
        <f t="shared" ca="1" si="12"/>
        <v>142</v>
      </c>
      <c r="H144">
        <f t="shared" ca="1" si="13"/>
        <v>569.74554394591269</v>
      </c>
      <c r="I144">
        <f t="shared" ca="1" si="14"/>
        <v>21062.455677746257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1114</v>
      </c>
      <c r="B147" s="66">
        <v>1114</v>
      </c>
      <c r="D147">
        <f t="shared" si="10"/>
        <v>2.7387830362630607</v>
      </c>
      <c r="E147">
        <f t="shared" si="11"/>
        <v>2.7387830362630607</v>
      </c>
      <c r="G147">
        <f t="shared" ca="1" si="12"/>
        <v>145</v>
      </c>
      <c r="H147">
        <f t="shared" ca="1" si="13"/>
        <v>397.12354025814381</v>
      </c>
      <c r="I147">
        <f t="shared" ca="1" si="14"/>
        <v>15592.443303384283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1200</v>
      </c>
      <c r="B149" s="66">
        <v>1200</v>
      </c>
      <c r="D149">
        <f t="shared" si="10"/>
        <v>2.9502151198524893</v>
      </c>
      <c r="E149">
        <f t="shared" si="11"/>
        <v>2.9502151198524893</v>
      </c>
      <c r="G149">
        <f t="shared" ca="1" si="12"/>
        <v>147</v>
      </c>
      <c r="H149">
        <f t="shared" ca="1" si="13"/>
        <v>433.68162261831594</v>
      </c>
      <c r="I149">
        <f t="shared" ca="1" si="14"/>
        <v>17698.383524098932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1035</v>
      </c>
      <c r="B152" s="66">
        <v>1035</v>
      </c>
      <c r="D152">
        <f t="shared" si="10"/>
        <v>2.5445605408727721</v>
      </c>
      <c r="E152">
        <f t="shared" si="11"/>
        <v>2.5445605408727721</v>
      </c>
      <c r="G152">
        <f t="shared" ca="1" si="12"/>
        <v>150</v>
      </c>
      <c r="H152">
        <f t="shared" ca="1" si="13"/>
        <v>381.68408113091579</v>
      </c>
      <c r="I152">
        <f t="shared" ca="1" si="14"/>
        <v>16470.264588859758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763</v>
      </c>
      <c r="B154" s="66">
        <v>763</v>
      </c>
      <c r="D154">
        <f t="shared" si="10"/>
        <v>1.8758451137062078</v>
      </c>
      <c r="E154">
        <f t="shared" si="11"/>
        <v>1.8758451137062078</v>
      </c>
      <c r="G154">
        <f t="shared" ca="1" si="12"/>
        <v>152</v>
      </c>
      <c r="H154">
        <f t="shared" ca="1" si="13"/>
        <v>285.12845728334361</v>
      </c>
      <c r="I154">
        <f t="shared" ca="1" si="14"/>
        <v>12753.022371159306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680</v>
      </c>
      <c r="B157" s="66">
        <v>680</v>
      </c>
      <c r="D157">
        <f t="shared" si="10"/>
        <v>1.6717885679164106</v>
      </c>
      <c r="E157">
        <f t="shared" si="11"/>
        <v>1.6717885679164106</v>
      </c>
      <c r="G157">
        <f t="shared" ca="1" si="12"/>
        <v>155</v>
      </c>
      <c r="H157">
        <f t="shared" ca="1" si="13"/>
        <v>259.12722802704366</v>
      </c>
      <c r="I157">
        <f t="shared" ca="1" si="14"/>
        <v>12207.847284738227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397</v>
      </c>
      <c r="B160" s="66">
        <v>397</v>
      </c>
      <c r="D160">
        <f t="shared" si="10"/>
        <v>0.97602950215119855</v>
      </c>
      <c r="E160">
        <f t="shared" si="11"/>
        <v>0.97602950215119855</v>
      </c>
      <c r="G160">
        <f t="shared" ca="1" si="12"/>
        <v>158</v>
      </c>
      <c r="H160">
        <f t="shared" ca="1" si="13"/>
        <v>154.21266133988937</v>
      </c>
      <c r="I160">
        <f t="shared" ca="1" si="14"/>
        <v>7636.4424390190534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353</v>
      </c>
      <c r="B162" s="66">
        <v>353</v>
      </c>
      <c r="D162">
        <f t="shared" si="10"/>
        <v>0.86785494775660721</v>
      </c>
      <c r="E162">
        <f t="shared" si="11"/>
        <v>0.86785494775660721</v>
      </c>
      <c r="G162">
        <f t="shared" ca="1" si="12"/>
        <v>160</v>
      </c>
      <c r="H162">
        <f t="shared" ca="1" si="13"/>
        <v>138.85679164105716</v>
      </c>
      <c r="I162">
        <f t="shared" ca="1" si="14"/>
        <v>7100.6160743573855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362</v>
      </c>
      <c r="B165" s="66">
        <v>362</v>
      </c>
      <c r="D165">
        <f t="shared" si="10"/>
        <v>0.88998156115550087</v>
      </c>
      <c r="E165">
        <f t="shared" si="11"/>
        <v>0.88998156115550087</v>
      </c>
      <c r="G165">
        <f t="shared" ca="1" si="12"/>
        <v>163</v>
      </c>
      <c r="H165">
        <f t="shared" ca="1" si="13"/>
        <v>145.06699446834665</v>
      </c>
      <c r="I165">
        <f t="shared" ca="1" si="14"/>
        <v>7772.672091651898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158</v>
      </c>
      <c r="B167" s="66">
        <v>158</v>
      </c>
      <c r="D167">
        <f t="shared" si="10"/>
        <v>0.38844499078057776</v>
      </c>
      <c r="E167">
        <f t="shared" si="11"/>
        <v>0.38844499078057776</v>
      </c>
      <c r="G167">
        <f t="shared" ca="1" si="12"/>
        <v>165</v>
      </c>
      <c r="H167">
        <f t="shared" ca="1" si="13"/>
        <v>64.09342347879533</v>
      </c>
      <c r="I167">
        <f t="shared" ca="1" si="14"/>
        <v>3539.2518929273192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106</v>
      </c>
      <c r="B170" s="66">
        <v>106</v>
      </c>
      <c r="D170">
        <f t="shared" si="10"/>
        <v>0.26060233558696988</v>
      </c>
      <c r="E170">
        <f t="shared" si="11"/>
        <v>0.26060233558696988</v>
      </c>
      <c r="G170">
        <f t="shared" ca="1" si="12"/>
        <v>168</v>
      </c>
      <c r="H170">
        <f t="shared" ca="1" si="13"/>
        <v>43.781192378610939</v>
      </c>
      <c r="I170">
        <f t="shared" ca="1" si="14"/>
        <v>2526.0323618755201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110.46800494324842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2.1316945932719271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0.60673391487200035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755</v>
      </c>
      <c r="B8" s="66">
        <v>755</v>
      </c>
      <c r="D8">
        <f t="shared" si="0"/>
        <v>0.84101947155014922</v>
      </c>
      <c r="E8">
        <f t="shared" si="1"/>
        <v>0.84101947155014922</v>
      </c>
      <c r="G8">
        <f t="shared" ca="1" si="2"/>
        <v>6</v>
      </c>
      <c r="H8">
        <f t="shared" ca="1" si="3"/>
        <v>5.0461168293008951</v>
      </c>
      <c r="I8">
        <f t="shared" ca="1" si="4"/>
        <v>9178.519875797625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781</v>
      </c>
      <c r="B10" s="66">
        <v>781</v>
      </c>
      <c r="D10">
        <f t="shared" si="0"/>
        <v>0.86998173149757163</v>
      </c>
      <c r="E10">
        <f t="shared" si="1"/>
        <v>0.86998173149757163</v>
      </c>
      <c r="G10">
        <f t="shared" ca="1" si="2"/>
        <v>8</v>
      </c>
      <c r="H10">
        <f t="shared" ca="1" si="3"/>
        <v>6.959853851980573</v>
      </c>
      <c r="I10">
        <f t="shared" ca="1" si="4"/>
        <v>9134.5402585836619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1354</v>
      </c>
      <c r="B13" s="66">
        <v>1354</v>
      </c>
      <c r="D13">
        <f t="shared" si="0"/>
        <v>1.5082653834157644</v>
      </c>
      <c r="E13">
        <f t="shared" si="1"/>
        <v>1.5082653834157644</v>
      </c>
      <c r="G13">
        <f t="shared" ca="1" si="2"/>
        <v>11</v>
      </c>
      <c r="H13">
        <f t="shared" ca="1" si="3"/>
        <v>16.590919217573408</v>
      </c>
      <c r="I13">
        <f t="shared" ca="1" si="4"/>
        <v>14922.602755877317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2733</v>
      </c>
      <c r="B15" s="66">
        <v>2733</v>
      </c>
      <c r="D15">
        <f t="shared" si="0"/>
        <v>3.0443790937040505</v>
      </c>
      <c r="E15">
        <f t="shared" si="1"/>
        <v>3.0443790937040505</v>
      </c>
      <c r="G15">
        <f t="shared" ca="1" si="2"/>
        <v>13</v>
      </c>
      <c r="H15">
        <f t="shared" ca="1" si="3"/>
        <v>39.576928218152659</v>
      </c>
      <c r="I15">
        <f t="shared" ca="1" si="4"/>
        <v>28921.637885039356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3816</v>
      </c>
      <c r="B18" s="66">
        <v>3816</v>
      </c>
      <c r="D18">
        <f t="shared" si="0"/>
        <v>4.2507686138216814</v>
      </c>
      <c r="E18">
        <f t="shared" si="1"/>
        <v>4.2507686138216814</v>
      </c>
      <c r="G18">
        <f t="shared" ca="1" si="2"/>
        <v>16</v>
      </c>
      <c r="H18">
        <f t="shared" ca="1" si="3"/>
        <v>68.012297821146902</v>
      </c>
      <c r="I18">
        <f t="shared" ca="1" si="4"/>
        <v>37934.726087829418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4600</v>
      </c>
      <c r="B21" s="66">
        <v>4600</v>
      </c>
      <c r="D21">
        <f t="shared" si="0"/>
        <v>5.1240921445439556</v>
      </c>
      <c r="E21">
        <f t="shared" si="1"/>
        <v>5.1240921445439556</v>
      </c>
      <c r="G21">
        <f t="shared" ca="1" si="2"/>
        <v>19</v>
      </c>
      <c r="H21">
        <f t="shared" ca="1" si="3"/>
        <v>97.357750746335157</v>
      </c>
      <c r="I21">
        <f t="shared" ca="1" si="4"/>
        <v>42870.183654336914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5418</v>
      </c>
      <c r="B23" s="66">
        <v>5418</v>
      </c>
      <c r="D23">
        <f t="shared" si="0"/>
        <v>6.0352893998128589</v>
      </c>
      <c r="E23">
        <f t="shared" si="1"/>
        <v>6.0352893998128589</v>
      </c>
      <c r="G23">
        <f t="shared" ca="1" si="2"/>
        <v>21</v>
      </c>
      <c r="H23">
        <f t="shared" ca="1" si="3"/>
        <v>126.74107739607004</v>
      </c>
      <c r="I23">
        <f t="shared" ca="1" si="4"/>
        <v>48309.618295670269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6316</v>
      </c>
      <c r="B26" s="66">
        <v>6316</v>
      </c>
      <c r="D26">
        <f t="shared" si="0"/>
        <v>7.0356013010738314</v>
      </c>
      <c r="E26">
        <f t="shared" si="1"/>
        <v>7.0356013010738314</v>
      </c>
      <c r="G26">
        <f t="shared" ca="1" si="2"/>
        <v>24</v>
      </c>
      <c r="H26">
        <f t="shared" ca="1" si="3"/>
        <v>168.85443122577195</v>
      </c>
      <c r="I26">
        <f t="shared" ca="1" si="4"/>
        <v>52603.191965106416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8031</v>
      </c>
      <c r="B28" s="66">
        <v>8031</v>
      </c>
      <c r="D28">
        <f t="shared" si="0"/>
        <v>8.9459965245288071</v>
      </c>
      <c r="E28">
        <f t="shared" si="1"/>
        <v>8.9459965245288071</v>
      </c>
      <c r="G28">
        <f t="shared" ca="1" si="2"/>
        <v>26</v>
      </c>
      <c r="H28">
        <f t="shared" ca="1" si="3"/>
        <v>232.59590963774897</v>
      </c>
      <c r="I28">
        <f t="shared" ca="1" si="4"/>
        <v>63828.288366498447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5812</v>
      </c>
      <c r="B31" s="66">
        <v>5812</v>
      </c>
      <c r="D31">
        <f t="shared" si="0"/>
        <v>6.4741790313237981</v>
      </c>
      <c r="E31">
        <f t="shared" si="1"/>
        <v>6.4741790313237981</v>
      </c>
      <c r="G31">
        <f t="shared" ca="1" si="2"/>
        <v>29</v>
      </c>
      <c r="H31">
        <f t="shared" ca="1" si="3"/>
        <v>187.75119190839015</v>
      </c>
      <c r="I31">
        <f t="shared" ca="1" si="4"/>
        <v>42969.358197060843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6132</v>
      </c>
      <c r="B33" s="66">
        <v>6132</v>
      </c>
      <c r="D33">
        <f t="shared" si="0"/>
        <v>6.8306376152920736</v>
      </c>
      <c r="E33">
        <f t="shared" si="1"/>
        <v>6.8306376152920736</v>
      </c>
      <c r="G33">
        <f t="shared" ca="1" si="2"/>
        <v>31</v>
      </c>
      <c r="H33">
        <f t="shared" ca="1" si="3"/>
        <v>211.74976607405429</v>
      </c>
      <c r="I33">
        <f t="shared" ca="1" si="4"/>
        <v>43136.595464995844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6542</v>
      </c>
      <c r="B36" s="66">
        <v>6542</v>
      </c>
      <c r="D36">
        <f t="shared" si="0"/>
        <v>7.2873501760014259</v>
      </c>
      <c r="E36">
        <f t="shared" si="1"/>
        <v>7.2873501760014259</v>
      </c>
      <c r="G36">
        <f t="shared" ca="1" si="2"/>
        <v>34</v>
      </c>
      <c r="H36">
        <f t="shared" ca="1" si="3"/>
        <v>247.76990598404848</v>
      </c>
      <c r="I36">
        <f t="shared" ca="1" si="4"/>
        <v>42611.729172530802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7512</v>
      </c>
      <c r="B39" s="66">
        <v>7512</v>
      </c>
      <c r="D39">
        <f t="shared" si="0"/>
        <v>8.3678652586552609</v>
      </c>
      <c r="E39">
        <f t="shared" si="1"/>
        <v>8.3678652586552609</v>
      </c>
      <c r="G39">
        <f t="shared" ca="1" si="2"/>
        <v>37</v>
      </c>
      <c r="H39">
        <f t="shared" ca="1" si="3"/>
        <v>309.61101457024466</v>
      </c>
      <c r="I39">
        <f t="shared" ca="1" si="4"/>
        <v>45165.952302012767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6770</v>
      </c>
      <c r="B41" s="66">
        <v>6770</v>
      </c>
      <c r="D41">
        <f t="shared" si="0"/>
        <v>7.5413269170788215</v>
      </c>
      <c r="E41">
        <f t="shared" si="1"/>
        <v>7.5413269170788215</v>
      </c>
      <c r="G41">
        <f t="shared" ca="1" si="2"/>
        <v>39</v>
      </c>
      <c r="H41">
        <f t="shared" ca="1" si="3"/>
        <v>294.11174976607401</v>
      </c>
      <c r="I41">
        <f t="shared" ca="1" si="4"/>
        <v>38518.652470644054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8415</v>
      </c>
      <c r="B44" s="66">
        <v>8415</v>
      </c>
      <c r="D44">
        <f t="shared" si="0"/>
        <v>9.3737468252907359</v>
      </c>
      <c r="E44">
        <f t="shared" si="1"/>
        <v>9.3737468252907359</v>
      </c>
      <c r="G44">
        <f t="shared" ca="1" si="2"/>
        <v>42</v>
      </c>
      <c r="H44">
        <f t="shared" ca="1" si="3"/>
        <v>393.69736666221092</v>
      </c>
      <c r="I44">
        <f t="shared" ca="1" si="4"/>
        <v>43942.884978775808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7328</v>
      </c>
      <c r="B46" s="66">
        <v>7328</v>
      </c>
      <c r="D46">
        <f t="shared" si="0"/>
        <v>8.1629015728735013</v>
      </c>
      <c r="E46">
        <f t="shared" si="1"/>
        <v>8.1629015728735013</v>
      </c>
      <c r="G46">
        <f t="shared" ca="1" si="2"/>
        <v>44</v>
      </c>
      <c r="H46">
        <f t="shared" ca="1" si="3"/>
        <v>359.16766920643408</v>
      </c>
      <c r="I46">
        <f t="shared" ca="1" si="4"/>
        <v>36063.663894490906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5752</v>
      </c>
      <c r="B49" s="66">
        <v>5752</v>
      </c>
      <c r="D49">
        <f t="shared" si="0"/>
        <v>6.4073430468297463</v>
      </c>
      <c r="E49">
        <f t="shared" si="1"/>
        <v>6.4073430468297463</v>
      </c>
      <c r="G49">
        <f t="shared" ca="1" si="2"/>
        <v>47</v>
      </c>
      <c r="H49">
        <f t="shared" ca="1" si="3"/>
        <v>301.14512320099806</v>
      </c>
      <c r="I49">
        <f t="shared" ca="1" si="4"/>
        <v>25809.98014001151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6717</v>
      </c>
      <c r="B51" s="66">
        <v>6717</v>
      </c>
      <c r="D51">
        <f t="shared" si="0"/>
        <v>7.4822884641090761</v>
      </c>
      <c r="E51">
        <f t="shared" si="1"/>
        <v>7.4822884641090761</v>
      </c>
      <c r="G51">
        <f t="shared" ca="1" si="2"/>
        <v>49</v>
      </c>
      <c r="H51">
        <f t="shared" ca="1" si="3"/>
        <v>366.63213474134471</v>
      </c>
      <c r="I51">
        <f t="shared" ca="1" si="4"/>
        <v>28270.447464855937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8177</v>
      </c>
      <c r="B54" s="66">
        <v>8177</v>
      </c>
      <c r="D54">
        <f t="shared" si="0"/>
        <v>9.1086307534643325</v>
      </c>
      <c r="E54">
        <f t="shared" si="1"/>
        <v>9.1086307534643325</v>
      </c>
      <c r="G54">
        <f t="shared" ca="1" si="2"/>
        <v>52</v>
      </c>
      <c r="H54">
        <f t="shared" ca="1" si="3"/>
        <v>473.64879918014526</v>
      </c>
      <c r="I54">
        <f t="shared" ca="1" si="4"/>
        <v>31137.923474927051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9402</v>
      </c>
      <c r="B57" s="66">
        <v>9402</v>
      </c>
      <c r="D57">
        <f t="shared" si="0"/>
        <v>10.473198770217886</v>
      </c>
      <c r="E57">
        <f t="shared" si="1"/>
        <v>10.473198770217886</v>
      </c>
      <c r="G57">
        <f t="shared" ca="1" si="2"/>
        <v>55</v>
      </c>
      <c r="H57">
        <f t="shared" ca="1" si="3"/>
        <v>576.02593236198368</v>
      </c>
      <c r="I57">
        <f t="shared" ca="1" si="4"/>
        <v>32222.886177824421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11733</v>
      </c>
      <c r="B59" s="66">
        <v>11733</v>
      </c>
      <c r="D59">
        <f t="shared" si="0"/>
        <v>13.06977676781179</v>
      </c>
      <c r="E59">
        <f t="shared" si="1"/>
        <v>13.06977676781179</v>
      </c>
      <c r="G59">
        <f t="shared" ca="1" si="2"/>
        <v>57</v>
      </c>
      <c r="H59">
        <f t="shared" ca="1" si="3"/>
        <v>744.977275765272</v>
      </c>
      <c r="I59">
        <f t="shared" ca="1" si="4"/>
        <v>37364.237930298586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12260</v>
      </c>
      <c r="B62" s="66">
        <v>12260</v>
      </c>
      <c r="D62">
        <f t="shared" si="0"/>
        <v>13.656819498284543</v>
      </c>
      <c r="E62">
        <f t="shared" si="1"/>
        <v>13.656819498284543</v>
      </c>
      <c r="G62">
        <f t="shared" ca="1" si="2"/>
        <v>60</v>
      </c>
      <c r="H62">
        <f t="shared" ca="1" si="3"/>
        <v>819.40916989707262</v>
      </c>
      <c r="I62">
        <f t="shared" ca="1" si="4"/>
        <v>34784.185883558806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16734</v>
      </c>
      <c r="B64" s="66">
        <v>16734</v>
      </c>
      <c r="D64">
        <f t="shared" si="0"/>
        <v>18.64055607539099</v>
      </c>
      <c r="E64">
        <f t="shared" si="1"/>
        <v>18.64055607539099</v>
      </c>
      <c r="G64">
        <f t="shared" ca="1" si="2"/>
        <v>62</v>
      </c>
      <c r="H64">
        <f t="shared" ca="1" si="3"/>
        <v>1155.7144766742413</v>
      </c>
      <c r="I64">
        <f t="shared" ca="1" si="4"/>
        <v>43789.415762368284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16556</v>
      </c>
      <c r="B67" s="66">
        <v>16556</v>
      </c>
      <c r="D67">
        <f t="shared" ref="D67:D130" si="5">IFERROR(100*A67/MAX(A$2:A$257), 0 )</f>
        <v>18.442275988058636</v>
      </c>
      <c r="E67">
        <f t="shared" ref="E67:E130" si="6">IFERROR(100*B67/MAX(B$2:B$257), 0 )</f>
        <v>18.442275988058636</v>
      </c>
      <c r="G67">
        <f t="shared" ref="G67:G130" ca="1" si="7">CELL("row",D67)-2</f>
        <v>65</v>
      </c>
      <c r="H67">
        <f t="shared" ref="H67:H130" ca="1" si="8">D67*G67</f>
        <v>1198.7479392238113</v>
      </c>
      <c r="I67">
        <f t="shared" ref="I67:I130" ca="1" si="9">D67*((G67-$L$1)^2)</f>
        <v>38126.445131650078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20174</v>
      </c>
      <c r="B69" s="66">
        <v>20174</v>
      </c>
      <c r="D69">
        <f t="shared" si="5"/>
        <v>22.47248585304995</v>
      </c>
      <c r="E69">
        <f t="shared" si="6"/>
        <v>22.47248585304995</v>
      </c>
      <c r="G69">
        <f t="shared" ca="1" si="7"/>
        <v>67</v>
      </c>
      <c r="H69">
        <f t="shared" ca="1" si="8"/>
        <v>1505.6565521543466</v>
      </c>
      <c r="I69">
        <f t="shared" ca="1" si="9"/>
        <v>42461.030624111336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19948</v>
      </c>
      <c r="B72" s="66">
        <v>19948</v>
      </c>
      <c r="D72">
        <f t="shared" si="5"/>
        <v>22.220736978122353</v>
      </c>
      <c r="E72">
        <f t="shared" si="6"/>
        <v>22.220736978122353</v>
      </c>
      <c r="G72">
        <f t="shared" ca="1" si="7"/>
        <v>70</v>
      </c>
      <c r="H72">
        <f t="shared" ca="1" si="8"/>
        <v>1555.4515884685648</v>
      </c>
      <c r="I72">
        <f t="shared" ca="1" si="9"/>
        <v>36389.999322375632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19362</v>
      </c>
      <c r="B75" s="66">
        <v>19362</v>
      </c>
      <c r="D75">
        <f t="shared" si="5"/>
        <v>21.56797219623045</v>
      </c>
      <c r="E75">
        <f t="shared" si="6"/>
        <v>21.56797219623045</v>
      </c>
      <c r="G75">
        <f t="shared" ca="1" si="7"/>
        <v>73</v>
      </c>
      <c r="H75">
        <f t="shared" ca="1" si="8"/>
        <v>1574.4619703248229</v>
      </c>
      <c r="I75">
        <f t="shared" ca="1" si="9"/>
        <v>30278.227842647088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20537</v>
      </c>
      <c r="B77" s="66">
        <v>20537</v>
      </c>
      <c r="D77">
        <f t="shared" si="5"/>
        <v>22.87684355923896</v>
      </c>
      <c r="E77">
        <f t="shared" si="6"/>
        <v>22.87684355923896</v>
      </c>
      <c r="G77">
        <f t="shared" ca="1" si="7"/>
        <v>75</v>
      </c>
      <c r="H77">
        <f t="shared" ca="1" si="8"/>
        <v>1715.763266942922</v>
      </c>
      <c r="I77">
        <f t="shared" ca="1" si="9"/>
        <v>28778.597354715544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23934</v>
      </c>
      <c r="B80" s="66">
        <v>23934</v>
      </c>
      <c r="D80">
        <f t="shared" si="5"/>
        <v>26.660874214677182</v>
      </c>
      <c r="E80">
        <f t="shared" si="6"/>
        <v>26.660874214677182</v>
      </c>
      <c r="G80">
        <f t="shared" ca="1" si="7"/>
        <v>78</v>
      </c>
      <c r="H80">
        <f t="shared" ca="1" si="8"/>
        <v>2079.5481887448204</v>
      </c>
      <c r="I80">
        <f t="shared" ca="1" si="9"/>
        <v>28105.129629623523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25866</v>
      </c>
      <c r="B82" s="66">
        <v>25866</v>
      </c>
      <c r="D82">
        <f t="shared" si="5"/>
        <v>28.812992915385642</v>
      </c>
      <c r="E82">
        <f t="shared" si="6"/>
        <v>28.812992915385642</v>
      </c>
      <c r="G82">
        <f t="shared" ca="1" si="7"/>
        <v>80</v>
      </c>
      <c r="H82">
        <f t="shared" ca="1" si="8"/>
        <v>2305.0394332308515</v>
      </c>
      <c r="I82">
        <f t="shared" ca="1" si="9"/>
        <v>26747.081880973281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29459</v>
      </c>
      <c r="B85" s="66">
        <v>29459</v>
      </c>
      <c r="D85">
        <f t="shared" si="5"/>
        <v>32.815354453504433</v>
      </c>
      <c r="E85">
        <f t="shared" si="6"/>
        <v>32.815354453504433</v>
      </c>
      <c r="G85">
        <f t="shared" ca="1" si="7"/>
        <v>83</v>
      </c>
      <c r="H85">
        <f t="shared" ca="1" si="8"/>
        <v>2723.6744196408681</v>
      </c>
      <c r="I85">
        <f t="shared" ca="1" si="9"/>
        <v>24758.899295961292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31667</v>
      </c>
      <c r="B88" s="66">
        <v>31667</v>
      </c>
      <c r="D88">
        <f t="shared" si="5"/>
        <v>35.274918682885534</v>
      </c>
      <c r="E88">
        <f t="shared" si="6"/>
        <v>35.274918682885534</v>
      </c>
      <c r="G88">
        <f t="shared" ca="1" si="7"/>
        <v>86</v>
      </c>
      <c r="H88">
        <f t="shared" ca="1" si="8"/>
        <v>3033.6430067281558</v>
      </c>
      <c r="I88">
        <f t="shared" ca="1" si="9"/>
        <v>21118.503521526629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34279</v>
      </c>
      <c r="B90" s="66">
        <v>34279</v>
      </c>
      <c r="D90">
        <f t="shared" si="5"/>
        <v>38.184511874526578</v>
      </c>
      <c r="E90">
        <f t="shared" si="6"/>
        <v>38.184511874526578</v>
      </c>
      <c r="G90">
        <f t="shared" ca="1" si="7"/>
        <v>88</v>
      </c>
      <c r="H90">
        <f t="shared" ca="1" si="8"/>
        <v>3360.2370449583386</v>
      </c>
      <c r="I90">
        <f t="shared" ca="1" si="9"/>
        <v>19275.971022239253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35843</v>
      </c>
      <c r="B93" s="66">
        <v>35843</v>
      </c>
      <c r="D93">
        <f t="shared" si="5"/>
        <v>39.926703203671522</v>
      </c>
      <c r="E93">
        <f t="shared" si="6"/>
        <v>39.926703203671522</v>
      </c>
      <c r="G93">
        <f t="shared" ca="1" si="7"/>
        <v>91</v>
      </c>
      <c r="H93">
        <f t="shared" ca="1" si="8"/>
        <v>3633.3299915341086</v>
      </c>
      <c r="I93">
        <f t="shared" ca="1" si="9"/>
        <v>15132.348937248327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38884</v>
      </c>
      <c r="B95" s="66">
        <v>38884</v>
      </c>
      <c r="D95">
        <f t="shared" si="5"/>
        <v>43.314173684445038</v>
      </c>
      <c r="E95">
        <f t="shared" si="6"/>
        <v>43.314173684445038</v>
      </c>
      <c r="G95">
        <f t="shared" ca="1" si="7"/>
        <v>93</v>
      </c>
      <c r="H95">
        <f t="shared" ca="1" si="8"/>
        <v>4028.2181526533886</v>
      </c>
      <c r="I95">
        <f t="shared" ca="1" si="9"/>
        <v>13216.505650291629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44501</v>
      </c>
      <c r="B98" s="66">
        <v>44501</v>
      </c>
      <c r="D98">
        <f t="shared" si="5"/>
        <v>49.571135766163167</v>
      </c>
      <c r="E98">
        <f t="shared" si="6"/>
        <v>49.571135766163167</v>
      </c>
      <c r="G98">
        <f t="shared" ca="1" si="7"/>
        <v>96</v>
      </c>
      <c r="H98">
        <f t="shared" ca="1" si="8"/>
        <v>4758.829033551664</v>
      </c>
      <c r="I98">
        <f t="shared" ca="1" si="9"/>
        <v>10376.38713223704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47622</v>
      </c>
      <c r="B100" s="66">
        <v>47622</v>
      </c>
      <c r="D100">
        <f t="shared" si="5"/>
        <v>53.047720892928751</v>
      </c>
      <c r="E100">
        <f t="shared" si="6"/>
        <v>53.047720892928751</v>
      </c>
      <c r="G100">
        <f t="shared" ca="1" si="7"/>
        <v>98</v>
      </c>
      <c r="H100">
        <f t="shared" ca="1" si="8"/>
        <v>5198.6766475070181</v>
      </c>
      <c r="I100">
        <f t="shared" ca="1" si="9"/>
        <v>8246.329072592227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50052</v>
      </c>
      <c r="B103" s="66">
        <v>50052</v>
      </c>
      <c r="D103">
        <f t="shared" si="5"/>
        <v>55.754578264937841</v>
      </c>
      <c r="E103">
        <f t="shared" si="6"/>
        <v>55.754578264937841</v>
      </c>
      <c r="G103">
        <f t="shared" ca="1" si="7"/>
        <v>101</v>
      </c>
      <c r="H103">
        <f t="shared" ca="1" si="8"/>
        <v>5631.2124047587222</v>
      </c>
      <c r="I103">
        <f t="shared" ca="1" si="9"/>
        <v>4998.0142164419894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50931</v>
      </c>
      <c r="B106" s="66">
        <v>50931</v>
      </c>
      <c r="D106">
        <f t="shared" si="5"/>
        <v>56.733725437775696</v>
      </c>
      <c r="E106">
        <f t="shared" si="6"/>
        <v>56.733725437775696</v>
      </c>
      <c r="G106">
        <f t="shared" ca="1" si="7"/>
        <v>104</v>
      </c>
      <c r="H106">
        <f t="shared" ca="1" si="8"/>
        <v>5900.3074455286724</v>
      </c>
      <c r="I106">
        <f t="shared" ca="1" si="9"/>
        <v>2373.4603931870934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59667</v>
      </c>
      <c r="B108" s="66">
        <v>59667</v>
      </c>
      <c r="D108">
        <f t="shared" si="5"/>
        <v>66.465044780109608</v>
      </c>
      <c r="E108">
        <f t="shared" si="6"/>
        <v>66.465044780109608</v>
      </c>
      <c r="G108">
        <f t="shared" ca="1" si="7"/>
        <v>106</v>
      </c>
      <c r="H108">
        <f t="shared" ca="1" si="8"/>
        <v>7045.2947466916185</v>
      </c>
      <c r="I108">
        <f t="shared" ca="1" si="9"/>
        <v>1326.8462200596668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67035</v>
      </c>
      <c r="B111" s="66">
        <v>67035</v>
      </c>
      <c r="D111">
        <f t="shared" si="5"/>
        <v>74.672503675979144</v>
      </c>
      <c r="E111">
        <f t="shared" si="6"/>
        <v>74.672503675979144</v>
      </c>
      <c r="G111">
        <f t="shared" ca="1" si="7"/>
        <v>109</v>
      </c>
      <c r="H111">
        <f t="shared" ca="1" si="8"/>
        <v>8139.3029006817269</v>
      </c>
      <c r="I111">
        <f t="shared" ca="1" si="9"/>
        <v>160.9221213138716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74305</v>
      </c>
      <c r="B113" s="66">
        <v>74305</v>
      </c>
      <c r="D113">
        <f t="shared" si="5"/>
        <v>82.770797130508399</v>
      </c>
      <c r="E113">
        <f t="shared" si="6"/>
        <v>82.770797130508399</v>
      </c>
      <c r="G113">
        <f t="shared" ca="1" si="7"/>
        <v>111</v>
      </c>
      <c r="H113">
        <f t="shared" ca="1" si="8"/>
        <v>9187.5584814864324</v>
      </c>
      <c r="I113">
        <f t="shared" ca="1" si="9"/>
        <v>23.425686746452541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81280</v>
      </c>
      <c r="B116" s="66">
        <v>81280</v>
      </c>
      <c r="D116">
        <f t="shared" si="5"/>
        <v>90.540480327941893</v>
      </c>
      <c r="E116">
        <f t="shared" si="6"/>
        <v>90.540480327941893</v>
      </c>
      <c r="G116">
        <f t="shared" ca="1" si="7"/>
        <v>114</v>
      </c>
      <c r="H116">
        <f t="shared" ca="1" si="8"/>
        <v>10321.614757385376</v>
      </c>
      <c r="I116">
        <f t="shared" ca="1" si="9"/>
        <v>1129.4915034721116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83560</v>
      </c>
      <c r="B118" s="66">
        <v>83560</v>
      </c>
      <c r="D118">
        <f t="shared" si="5"/>
        <v>93.080247738715855</v>
      </c>
      <c r="E118">
        <f t="shared" si="6"/>
        <v>93.080247738715855</v>
      </c>
      <c r="G118">
        <f t="shared" ca="1" si="7"/>
        <v>116</v>
      </c>
      <c r="H118">
        <f t="shared" ca="1" si="8"/>
        <v>10797.308737691039</v>
      </c>
      <c r="I118">
        <f t="shared" ca="1" si="9"/>
        <v>2848.5319647218794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84730</v>
      </c>
      <c r="B121" s="66">
        <v>84730</v>
      </c>
      <c r="D121">
        <f t="shared" si="5"/>
        <v>94.383549436349867</v>
      </c>
      <c r="E121">
        <f t="shared" si="6"/>
        <v>94.383549436349867</v>
      </c>
      <c r="G121">
        <f t="shared" ca="1" si="7"/>
        <v>119</v>
      </c>
      <c r="H121">
        <f t="shared" ca="1" si="8"/>
        <v>11231.642382925635</v>
      </c>
      <c r="I121">
        <f t="shared" ca="1" si="9"/>
        <v>6870.6447850240238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89447</v>
      </c>
      <c r="B124" s="66">
        <v>89447</v>
      </c>
      <c r="D124">
        <f t="shared" si="5"/>
        <v>99.637971750657215</v>
      </c>
      <c r="E124">
        <f t="shared" si="6"/>
        <v>99.637971750657215</v>
      </c>
      <c r="G124">
        <f t="shared" ca="1" si="7"/>
        <v>122</v>
      </c>
      <c r="H124">
        <f t="shared" ca="1" si="8"/>
        <v>12155.83255358018</v>
      </c>
      <c r="I124">
        <f t="shared" ca="1" si="9"/>
        <v>13250.545980685492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89772</v>
      </c>
      <c r="B126" s="66">
        <v>89772</v>
      </c>
      <c r="D126">
        <f t="shared" si="5"/>
        <v>100</v>
      </c>
      <c r="E126">
        <f t="shared" si="6"/>
        <v>100</v>
      </c>
      <c r="G126">
        <f t="shared" ca="1" si="7"/>
        <v>124</v>
      </c>
      <c r="H126">
        <f t="shared" ca="1" si="8"/>
        <v>12400</v>
      </c>
      <c r="I126">
        <f t="shared" ca="1" si="9"/>
        <v>18311.489021594927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80871</v>
      </c>
      <c r="B129" s="66">
        <v>80871</v>
      </c>
      <c r="D129">
        <f t="shared" si="5"/>
        <v>90.084881700307449</v>
      </c>
      <c r="E129">
        <f t="shared" si="6"/>
        <v>90.084881700307449</v>
      </c>
      <c r="G129">
        <f t="shared" ca="1" si="7"/>
        <v>127</v>
      </c>
      <c r="H129">
        <f t="shared" ca="1" si="8"/>
        <v>11440.779975939045</v>
      </c>
      <c r="I129">
        <f t="shared" ca="1" si="9"/>
        <v>24620.816201111014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68812</v>
      </c>
      <c r="B131" s="66">
        <v>68812</v>
      </c>
      <c r="D131">
        <f t="shared" ref="D131:D194" si="10">IFERROR(100*A131/MAX(A$2:A$257), 0 )</f>
        <v>76.651962750077971</v>
      </c>
      <c r="E131">
        <f t="shared" ref="E131:E194" si="11">IFERROR(100*B131/MAX(B$2:B$257), 0 )</f>
        <v>76.651962750077971</v>
      </c>
      <c r="G131">
        <f t="shared" ref="G131:G194" ca="1" si="12">CELL("row",D131)-2</f>
        <v>129</v>
      </c>
      <c r="H131">
        <f t="shared" ref="H131:H194" ca="1" si="13">D131*G131</f>
        <v>9888.1031947600586</v>
      </c>
      <c r="I131">
        <f t="shared" ref="I131:I194" ca="1" si="14">D131*((G131-$L$1)^2)</f>
        <v>26324.954622813126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60248</v>
      </c>
      <c r="B134" s="66">
        <v>60248</v>
      </c>
      <c r="D134">
        <f t="shared" si="10"/>
        <v>67.112239896627017</v>
      </c>
      <c r="E134">
        <f t="shared" si="11"/>
        <v>67.112239896627017</v>
      </c>
      <c r="G134">
        <f t="shared" ca="1" si="12"/>
        <v>132</v>
      </c>
      <c r="H134">
        <f t="shared" ca="1" si="13"/>
        <v>8858.815666354767</v>
      </c>
      <c r="I134">
        <f t="shared" ca="1" si="14"/>
        <v>31115.033770660368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48291</v>
      </c>
      <c r="B136" s="66">
        <v>48291</v>
      </c>
      <c r="D136">
        <f t="shared" si="10"/>
        <v>53.792942120037431</v>
      </c>
      <c r="E136">
        <f t="shared" si="11"/>
        <v>53.792942120037431</v>
      </c>
      <c r="G136">
        <f t="shared" ca="1" si="12"/>
        <v>134</v>
      </c>
      <c r="H136">
        <f t="shared" ca="1" si="13"/>
        <v>7208.2542440850157</v>
      </c>
      <c r="I136">
        <f t="shared" ca="1" si="14"/>
        <v>29788.099439836718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38113</v>
      </c>
      <c r="B139" s="66">
        <v>38113</v>
      </c>
      <c r="D139">
        <f t="shared" si="10"/>
        <v>42.455331283696474</v>
      </c>
      <c r="E139">
        <f t="shared" si="11"/>
        <v>42.455331283696474</v>
      </c>
      <c r="G139">
        <f t="shared" ca="1" si="12"/>
        <v>137</v>
      </c>
      <c r="H139">
        <f t="shared" ca="1" si="13"/>
        <v>5816.3803858664169</v>
      </c>
      <c r="I139">
        <f t="shared" ca="1" si="14"/>
        <v>29886.29297369756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31989</v>
      </c>
      <c r="B142" s="66">
        <v>31989</v>
      </c>
      <c r="D142">
        <f t="shared" si="10"/>
        <v>35.633605133003606</v>
      </c>
      <c r="E142">
        <f t="shared" si="11"/>
        <v>35.633605133003606</v>
      </c>
      <c r="G142">
        <f t="shared" ca="1" si="12"/>
        <v>140</v>
      </c>
      <c r="H142">
        <f t="shared" ca="1" si="13"/>
        <v>4988.7047186205045</v>
      </c>
      <c r="I142">
        <f t="shared" ca="1" si="14"/>
        <v>31077.447198426729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28569</v>
      </c>
      <c r="B144" s="66">
        <v>28569</v>
      </c>
      <c r="D144">
        <f t="shared" si="10"/>
        <v>31.823954016842666</v>
      </c>
      <c r="E144">
        <f t="shared" si="11"/>
        <v>31.823954016842666</v>
      </c>
      <c r="G144">
        <f t="shared" ca="1" si="12"/>
        <v>142</v>
      </c>
      <c r="H144">
        <f t="shared" ca="1" si="13"/>
        <v>4519.0014703916586</v>
      </c>
      <c r="I144">
        <f t="shared" ca="1" si="14"/>
        <v>31641.498131407952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30885</v>
      </c>
      <c r="B147" s="66">
        <v>30885</v>
      </c>
      <c r="D147">
        <f t="shared" si="10"/>
        <v>34.403823018313062</v>
      </c>
      <c r="E147">
        <f t="shared" si="11"/>
        <v>34.403823018313062</v>
      </c>
      <c r="G147">
        <f t="shared" ca="1" si="12"/>
        <v>145</v>
      </c>
      <c r="H147">
        <f t="shared" ca="1" si="13"/>
        <v>4988.5543376553942</v>
      </c>
      <c r="I147">
        <f t="shared" ca="1" si="14"/>
        <v>41025.13747280449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25684</v>
      </c>
      <c r="B149" s="66">
        <v>25684</v>
      </c>
      <c r="D149">
        <f t="shared" si="10"/>
        <v>28.610257095753688</v>
      </c>
      <c r="E149">
        <f t="shared" si="11"/>
        <v>28.610257095753688</v>
      </c>
      <c r="G149">
        <f t="shared" ca="1" si="12"/>
        <v>147</v>
      </c>
      <c r="H149">
        <f t="shared" ca="1" si="13"/>
        <v>4205.7077930757923</v>
      </c>
      <c r="I149">
        <f t="shared" ca="1" si="14"/>
        <v>38182.86754003074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21600</v>
      </c>
      <c r="B152" s="66">
        <v>21600</v>
      </c>
      <c r="D152">
        <f t="shared" si="10"/>
        <v>24.060954417858575</v>
      </c>
      <c r="E152">
        <f t="shared" si="11"/>
        <v>24.060954417858575</v>
      </c>
      <c r="G152">
        <f t="shared" ca="1" si="12"/>
        <v>150</v>
      </c>
      <c r="H152">
        <f t="shared" ca="1" si="13"/>
        <v>3609.1431626787862</v>
      </c>
      <c r="I152">
        <f t="shared" ca="1" si="14"/>
        <v>37601.945457835274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17663</v>
      </c>
      <c r="B154" s="66">
        <v>17663</v>
      </c>
      <c r="D154">
        <f t="shared" si="10"/>
        <v>19.67539990197389</v>
      </c>
      <c r="E154">
        <f t="shared" si="11"/>
        <v>19.67539990197389</v>
      </c>
      <c r="G154">
        <f t="shared" ca="1" si="12"/>
        <v>152</v>
      </c>
      <c r="H154">
        <f t="shared" ca="1" si="13"/>
        <v>2990.6607851000313</v>
      </c>
      <c r="I154">
        <f t="shared" ca="1" si="14"/>
        <v>33938.227412087166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14137</v>
      </c>
      <c r="B157" s="66">
        <v>14137</v>
      </c>
      <c r="D157">
        <f t="shared" si="10"/>
        <v>15.747671879873458</v>
      </c>
      <c r="E157">
        <f t="shared" si="11"/>
        <v>15.747671879873458</v>
      </c>
      <c r="G157">
        <f t="shared" ca="1" si="12"/>
        <v>155</v>
      </c>
      <c r="H157">
        <f t="shared" ca="1" si="13"/>
        <v>2440.8891413803858</v>
      </c>
      <c r="I157">
        <f t="shared" ca="1" si="14"/>
        <v>31229.185802093412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10204</v>
      </c>
      <c r="B160" s="66">
        <v>10204</v>
      </c>
      <c r="D160">
        <f t="shared" si="10"/>
        <v>11.366573096288375</v>
      </c>
      <c r="E160">
        <f t="shared" si="11"/>
        <v>11.366573096288375</v>
      </c>
      <c r="G160">
        <f t="shared" ca="1" si="12"/>
        <v>158</v>
      </c>
      <c r="H160">
        <f t="shared" ca="1" si="13"/>
        <v>1795.9185492135632</v>
      </c>
      <c r="I160">
        <f t="shared" ca="1" si="14"/>
        <v>25680.391228648001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10683</v>
      </c>
      <c r="B162" s="66">
        <v>10683</v>
      </c>
      <c r="D162">
        <f t="shared" si="10"/>
        <v>11.900147039165887</v>
      </c>
      <c r="E162">
        <f t="shared" si="11"/>
        <v>11.900147039165887</v>
      </c>
      <c r="G162">
        <f t="shared" ca="1" si="12"/>
        <v>160</v>
      </c>
      <c r="H162">
        <f t="shared" ca="1" si="13"/>
        <v>1904.0235262665419</v>
      </c>
      <c r="I162">
        <f t="shared" ca="1" si="14"/>
        <v>29196.041306809406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9536</v>
      </c>
      <c r="B165" s="66">
        <v>9536</v>
      </c>
      <c r="D165">
        <f t="shared" si="10"/>
        <v>10.622465802254601</v>
      </c>
      <c r="E165">
        <f t="shared" si="11"/>
        <v>10.622465802254601</v>
      </c>
      <c r="G165">
        <f t="shared" ca="1" si="12"/>
        <v>163</v>
      </c>
      <c r="H165">
        <f t="shared" ca="1" si="13"/>
        <v>1731.4619257674999</v>
      </c>
      <c r="I165">
        <f t="shared" ca="1" si="14"/>
        <v>29313.86821310829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7497</v>
      </c>
      <c r="B167" s="66">
        <v>7497</v>
      </c>
      <c r="D167">
        <f t="shared" si="10"/>
        <v>8.351156262531747</v>
      </c>
      <c r="E167">
        <f t="shared" si="11"/>
        <v>8.351156262531747</v>
      </c>
      <c r="G167">
        <f t="shared" ca="1" si="12"/>
        <v>165</v>
      </c>
      <c r="H167">
        <f t="shared" ca="1" si="13"/>
        <v>1377.9407833177384</v>
      </c>
      <c r="I167">
        <f t="shared" ca="1" si="14"/>
        <v>24834.154771050256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7839</v>
      </c>
      <c r="B170" s="66">
        <v>7839</v>
      </c>
      <c r="D170">
        <f t="shared" si="10"/>
        <v>8.732121374147841</v>
      </c>
      <c r="E170">
        <f t="shared" si="11"/>
        <v>8.732121374147841</v>
      </c>
      <c r="G170">
        <f t="shared" ca="1" si="12"/>
        <v>168</v>
      </c>
      <c r="H170">
        <f t="shared" ca="1" si="13"/>
        <v>1466.9963908568373</v>
      </c>
      <c r="I170">
        <f t="shared" ca="1" si="14"/>
        <v>28902.714474882905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6983</v>
      </c>
      <c r="B173" s="66">
        <v>6983</v>
      </c>
      <c r="D173">
        <f t="shared" si="10"/>
        <v>7.7785946620327051</v>
      </c>
      <c r="E173">
        <f t="shared" si="11"/>
        <v>7.7785946620327051</v>
      </c>
      <c r="G173">
        <f t="shared" ca="1" si="12"/>
        <v>171</v>
      </c>
      <c r="H173">
        <f t="shared" ca="1" si="13"/>
        <v>1330.1396872075925</v>
      </c>
      <c r="I173">
        <f t="shared" ca="1" si="14"/>
        <v>28501.723140422211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6420</v>
      </c>
      <c r="B175" s="66">
        <v>6420</v>
      </c>
      <c r="D175">
        <f t="shared" si="10"/>
        <v>7.151450340863521</v>
      </c>
      <c r="E175">
        <f t="shared" si="11"/>
        <v>7.151450340863521</v>
      </c>
      <c r="G175">
        <f t="shared" ca="1" si="12"/>
        <v>173</v>
      </c>
      <c r="H175">
        <f t="shared" ca="1" si="13"/>
        <v>1237.200908969389</v>
      </c>
      <c r="I175">
        <f t="shared" ca="1" si="14"/>
        <v>27963.961597259971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7224</v>
      </c>
      <c r="B178" s="66">
        <v>7224</v>
      </c>
      <c r="D178">
        <f t="shared" si="10"/>
        <v>8.0470525330838125</v>
      </c>
      <c r="E178">
        <f t="shared" si="11"/>
        <v>8.0470525330838125</v>
      </c>
      <c r="G178">
        <f t="shared" ca="1" si="12"/>
        <v>176</v>
      </c>
      <c r="H178">
        <f t="shared" ca="1" si="13"/>
        <v>1416.2812458227511</v>
      </c>
      <c r="I178">
        <f t="shared" ca="1" si="14"/>
        <v>34557.603400923741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8167</v>
      </c>
      <c r="B180" s="66">
        <v>8167</v>
      </c>
      <c r="D180">
        <f t="shared" si="10"/>
        <v>9.0974914227153238</v>
      </c>
      <c r="E180">
        <f t="shared" si="11"/>
        <v>9.0974914227153238</v>
      </c>
      <c r="G180">
        <f t="shared" ca="1" si="12"/>
        <v>178</v>
      </c>
      <c r="H180">
        <f t="shared" ca="1" si="13"/>
        <v>1619.3534732433277</v>
      </c>
      <c r="I180">
        <f t="shared" ca="1" si="14"/>
        <v>41489.749699539505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6815</v>
      </c>
      <c r="B183" s="66">
        <v>6815</v>
      </c>
      <c r="D183">
        <f t="shared" si="10"/>
        <v>7.5914539054493604</v>
      </c>
      <c r="E183">
        <f t="shared" si="11"/>
        <v>7.5914539054493604</v>
      </c>
      <c r="G183">
        <f t="shared" ca="1" si="12"/>
        <v>181</v>
      </c>
      <c r="H183">
        <f t="shared" ca="1" si="13"/>
        <v>1374.0531568863341</v>
      </c>
      <c r="I183">
        <f t="shared" ca="1" si="14"/>
        <v>37765.678893599972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5658</v>
      </c>
      <c r="B185" s="66">
        <v>5658</v>
      </c>
      <c r="D185">
        <f t="shared" si="10"/>
        <v>6.3026333377890653</v>
      </c>
      <c r="E185">
        <f t="shared" si="11"/>
        <v>6.3026333377890653</v>
      </c>
      <c r="G185">
        <f t="shared" ca="1" si="12"/>
        <v>183</v>
      </c>
      <c r="H185">
        <f t="shared" ca="1" si="13"/>
        <v>1153.3819008153989</v>
      </c>
      <c r="I185">
        <f t="shared" ca="1" si="14"/>
        <v>33157.462634798932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4377</v>
      </c>
      <c r="B188" s="66">
        <v>4377</v>
      </c>
      <c r="D188">
        <f t="shared" si="10"/>
        <v>4.8756850688410642</v>
      </c>
      <c r="E188">
        <f t="shared" si="11"/>
        <v>4.8756850688410642</v>
      </c>
      <c r="G188">
        <f t="shared" ca="1" si="12"/>
        <v>186</v>
      </c>
      <c r="H188">
        <f t="shared" ca="1" si="13"/>
        <v>906.87742280443797</v>
      </c>
      <c r="I188">
        <f t="shared" ca="1" si="14"/>
        <v>27816.18447571294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3179</v>
      </c>
      <c r="B191" s="66">
        <v>3179</v>
      </c>
      <c r="D191">
        <f t="shared" si="10"/>
        <v>3.541193245109834</v>
      </c>
      <c r="E191">
        <f t="shared" si="11"/>
        <v>3.541193245109834</v>
      </c>
      <c r="G191">
        <f t="shared" ca="1" si="12"/>
        <v>189</v>
      </c>
      <c r="H191">
        <f t="shared" ca="1" si="13"/>
        <v>669.28552332575862</v>
      </c>
      <c r="I191">
        <f t="shared" ca="1" si="14"/>
        <v>21839.509906318483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2628</v>
      </c>
      <c r="B193" s="66">
        <v>2628</v>
      </c>
      <c r="D193">
        <f t="shared" si="10"/>
        <v>2.9274161208394598</v>
      </c>
      <c r="E193">
        <f t="shared" si="11"/>
        <v>2.9274161208394598</v>
      </c>
      <c r="G193">
        <f t="shared" ca="1" si="12"/>
        <v>191</v>
      </c>
      <c r="H193">
        <f t="shared" ca="1" si="13"/>
        <v>559.13647908033681</v>
      </c>
      <c r="I193">
        <f t="shared" ca="1" si="14"/>
        <v>18985.471031850349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1583</v>
      </c>
      <c r="B196" s="66">
        <v>1583</v>
      </c>
      <c r="D196">
        <f t="shared" si="15"/>
        <v>1.7633560575680614</v>
      </c>
      <c r="E196">
        <f t="shared" si="16"/>
        <v>1.7633560575680614</v>
      </c>
      <c r="G196">
        <f t="shared" ca="1" si="17"/>
        <v>194</v>
      </c>
      <c r="H196">
        <f t="shared" ca="1" si="18"/>
        <v>342.09107516820393</v>
      </c>
      <c r="I196">
        <f t="shared" ca="1" si="19"/>
        <v>12303.982996579261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990</v>
      </c>
      <c r="B198" s="66">
        <v>990</v>
      </c>
      <c r="D198">
        <f t="shared" si="15"/>
        <v>1.1027937441518514</v>
      </c>
      <c r="E198">
        <f t="shared" si="16"/>
        <v>1.1027937441518514</v>
      </c>
      <c r="G198">
        <f t="shared" ca="1" si="17"/>
        <v>196</v>
      </c>
      <c r="H198">
        <f t="shared" ca="1" si="18"/>
        <v>216.14757385376288</v>
      </c>
      <c r="I198">
        <f t="shared" ca="1" si="19"/>
        <v>8067.7326522794356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360</v>
      </c>
      <c r="B201" s="66">
        <v>360</v>
      </c>
      <c r="D201">
        <f t="shared" si="15"/>
        <v>0.40101590696430961</v>
      </c>
      <c r="E201">
        <f t="shared" si="16"/>
        <v>0.40101590696430961</v>
      </c>
      <c r="G201">
        <f t="shared" ca="1" si="17"/>
        <v>199</v>
      </c>
      <c r="H201">
        <f t="shared" ca="1" si="18"/>
        <v>79.802165485897618</v>
      </c>
      <c r="I201">
        <f t="shared" ca="1" si="19"/>
        <v>3143.1282510608289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0.21773999999999999</v>
      </c>
      <c r="B2" s="68">
        <v>0.59330799999999995</v>
      </c>
      <c r="C2" s="68">
        <v>0</v>
      </c>
      <c r="D2" s="68">
        <v>1</v>
      </c>
      <c r="E2" s="68" t="s">
        <v>408</v>
      </c>
    </row>
    <row r="3" spans="1:5">
      <c r="A3" s="68">
        <v>0.225415</v>
      </c>
      <c r="B3" s="68">
        <v>0.58419399999999999</v>
      </c>
      <c r="C3" s="68">
        <v>0.37961400000000001</v>
      </c>
      <c r="D3" s="89">
        <v>1</v>
      </c>
      <c r="E3" s="68" t="s">
        <v>409</v>
      </c>
    </row>
    <row r="4" spans="1:5">
      <c r="A4" s="68">
        <v>0.233321</v>
      </c>
      <c r="B4" s="68">
        <v>0.57407699999999995</v>
      </c>
      <c r="C4" s="68">
        <v>0.78556700000000002</v>
      </c>
      <c r="D4" s="89">
        <v>1</v>
      </c>
      <c r="E4" s="68" t="s">
        <v>410</v>
      </c>
    </row>
    <row r="5" spans="1:5">
      <c r="A5" s="89">
        <v>0.24094599999999999</v>
      </c>
      <c r="B5" s="89">
        <v>0.56510899999999997</v>
      </c>
      <c r="C5" s="89">
        <v>1.19303</v>
      </c>
      <c r="D5" s="89">
        <v>1</v>
      </c>
      <c r="E5" s="68" t="s">
        <v>411</v>
      </c>
    </row>
    <row r="6" spans="1:5">
      <c r="A6" s="68">
        <v>0.24831500000000001</v>
      </c>
      <c r="B6" s="68">
        <v>0.55743100000000001</v>
      </c>
      <c r="C6" s="68">
        <v>1.5993299999999999</v>
      </c>
      <c r="D6" s="68">
        <v>1</v>
      </c>
      <c r="E6" s="68" t="s">
        <v>412</v>
      </c>
    </row>
    <row r="7" spans="1:5">
      <c r="A7" s="68">
        <v>0.255467</v>
      </c>
      <c r="B7" s="68">
        <v>0.55086500000000005</v>
      </c>
      <c r="C7" s="68">
        <v>2.0042300000000002</v>
      </c>
      <c r="D7" s="68">
        <v>1</v>
      </c>
      <c r="E7" s="68" t="s">
        <v>413</v>
      </c>
    </row>
    <row r="8" spans="1:5">
      <c r="A8" s="68">
        <v>0.26301799999999997</v>
      </c>
      <c r="B8" s="68">
        <v>0.54316299999999995</v>
      </c>
      <c r="C8" s="68">
        <v>2.4111600000000002</v>
      </c>
      <c r="D8" s="68">
        <v>1</v>
      </c>
      <c r="E8" s="68" t="s">
        <v>414</v>
      </c>
    </row>
    <row r="9" spans="1:5">
      <c r="A9" s="68">
        <v>0.27107399999999998</v>
      </c>
      <c r="B9" s="68">
        <v>0.53377699999999995</v>
      </c>
      <c r="C9" s="68">
        <v>2.8171400000000002</v>
      </c>
      <c r="D9" s="68">
        <v>1</v>
      </c>
      <c r="E9" s="68" t="s">
        <v>415</v>
      </c>
    </row>
    <row r="10" spans="1:5">
      <c r="A10" s="68">
        <v>0.279109</v>
      </c>
      <c r="B10" s="68">
        <v>0.52466900000000005</v>
      </c>
      <c r="C10" s="68">
        <v>3.2219500000000001</v>
      </c>
      <c r="D10" s="68">
        <v>1</v>
      </c>
      <c r="E10" s="68" t="s">
        <v>416</v>
      </c>
    </row>
    <row r="11" spans="1:5">
      <c r="A11" s="68">
        <v>0.28697800000000001</v>
      </c>
      <c r="B11" s="68">
        <v>0.51523300000000005</v>
      </c>
      <c r="C11" s="68">
        <v>3.6298499999999998</v>
      </c>
      <c r="D11" s="68">
        <v>1</v>
      </c>
      <c r="E11" s="68" t="s">
        <v>417</v>
      </c>
    </row>
    <row r="12" spans="1:5">
      <c r="A12" s="68">
        <v>0.29464299999999999</v>
      </c>
      <c r="B12" s="68">
        <v>0.50727100000000003</v>
      </c>
      <c r="C12" s="68">
        <v>4.0345500000000003</v>
      </c>
      <c r="D12" s="68">
        <v>1</v>
      </c>
      <c r="E12" s="68" t="s">
        <v>418</v>
      </c>
    </row>
    <row r="13" spans="1:5">
      <c r="A13" s="68">
        <v>0.30224299999999998</v>
      </c>
      <c r="B13" s="68">
        <v>0.49867699999999998</v>
      </c>
      <c r="C13" s="68">
        <v>4.4429299999999996</v>
      </c>
      <c r="D13" s="68">
        <v>1</v>
      </c>
      <c r="E13" s="68" t="s">
        <v>419</v>
      </c>
    </row>
    <row r="14" spans="1:5">
      <c r="A14" s="68">
        <v>0.31037799999999999</v>
      </c>
      <c r="B14" s="68">
        <v>0.48872399999999999</v>
      </c>
      <c r="C14" s="68">
        <v>4.8496100000000002</v>
      </c>
      <c r="D14" s="68">
        <v>1</v>
      </c>
      <c r="E14" s="68" t="s">
        <v>420</v>
      </c>
    </row>
    <row r="15" spans="1:5">
      <c r="A15" s="68">
        <v>0.31635099999999999</v>
      </c>
      <c r="B15" s="68">
        <v>0.48458600000000002</v>
      </c>
      <c r="C15" s="68">
        <v>5.2515400000000003</v>
      </c>
      <c r="D15" s="68">
        <v>1</v>
      </c>
      <c r="E15" s="68" t="s">
        <v>421</v>
      </c>
    </row>
    <row r="16" spans="1:5">
      <c r="A16" s="68">
        <v>0.32468200000000003</v>
      </c>
      <c r="B16" s="68">
        <v>0.47362900000000002</v>
      </c>
      <c r="C16" s="68">
        <v>5.65787</v>
      </c>
      <c r="D16" s="68">
        <v>1</v>
      </c>
      <c r="E16" s="68" t="s">
        <v>422</v>
      </c>
    </row>
    <row r="17" spans="1:5">
      <c r="A17" s="68">
        <v>0.332928</v>
      </c>
      <c r="B17" s="68">
        <v>0.461254</v>
      </c>
      <c r="C17" s="68">
        <v>6.0684199999999997</v>
      </c>
      <c r="D17" s="68">
        <v>1</v>
      </c>
      <c r="E17" s="68" t="s">
        <v>423</v>
      </c>
    </row>
    <row r="18" spans="1:5">
      <c r="A18" s="68">
        <v>0.34132200000000001</v>
      </c>
      <c r="B18" s="68">
        <v>0.44880999999999999</v>
      </c>
      <c r="C18" s="68">
        <v>6.4753299999999996</v>
      </c>
      <c r="D18" s="68">
        <v>1</v>
      </c>
      <c r="E18" s="68" t="s">
        <v>424</v>
      </c>
    </row>
    <row r="19" spans="1:5">
      <c r="A19" s="68">
        <v>0.34974699999999997</v>
      </c>
      <c r="B19" s="68">
        <v>0.43630000000000002</v>
      </c>
      <c r="C19" s="68">
        <v>6.8791700000000002</v>
      </c>
      <c r="D19" s="68">
        <v>1</v>
      </c>
      <c r="E19" s="68" t="s">
        <v>425</v>
      </c>
    </row>
    <row r="20" spans="1:5">
      <c r="A20" s="68">
        <v>0.35826000000000002</v>
      </c>
      <c r="B20" s="68">
        <v>0.42241800000000002</v>
      </c>
      <c r="C20" s="68">
        <v>7.2851499999999998</v>
      </c>
      <c r="D20" s="68">
        <v>1</v>
      </c>
      <c r="E20" s="68" t="s">
        <v>426</v>
      </c>
    </row>
    <row r="21" spans="1:5">
      <c r="A21" s="68">
        <v>0.36663600000000002</v>
      </c>
      <c r="B21" s="68">
        <v>0.40940799999999999</v>
      </c>
      <c r="C21" s="68">
        <v>7.6912200000000004</v>
      </c>
      <c r="D21" s="68">
        <v>1</v>
      </c>
      <c r="E21" s="68" t="s">
        <v>427</v>
      </c>
    </row>
    <row r="22" spans="1:5">
      <c r="A22" s="68">
        <v>0.37425399999999998</v>
      </c>
      <c r="B22" s="68">
        <v>0.40044600000000002</v>
      </c>
      <c r="C22" s="68">
        <v>8.0990199999999994</v>
      </c>
      <c r="D22" s="68">
        <v>1</v>
      </c>
      <c r="E22" s="68" t="s">
        <v>428</v>
      </c>
    </row>
    <row r="23" spans="1:5">
      <c r="A23" s="68">
        <v>0.38145699999999999</v>
      </c>
      <c r="B23" s="68">
        <v>0.39391900000000002</v>
      </c>
      <c r="C23" s="68">
        <v>8.5069900000000001</v>
      </c>
      <c r="D23" s="68">
        <v>1</v>
      </c>
      <c r="E23" s="68" t="s">
        <v>429</v>
      </c>
    </row>
    <row r="24" spans="1:5">
      <c r="A24" s="68">
        <v>0.38761400000000001</v>
      </c>
      <c r="B24" s="68">
        <v>0.39025100000000001</v>
      </c>
      <c r="C24" s="68">
        <v>8.9107900000000004</v>
      </c>
      <c r="D24" s="68">
        <v>1</v>
      </c>
      <c r="E24" s="68" t="s">
        <v>430</v>
      </c>
    </row>
    <row r="25" spans="1:5">
      <c r="A25" s="68">
        <v>0.392959</v>
      </c>
      <c r="B25" s="68">
        <v>0.388378</v>
      </c>
      <c r="C25" s="68">
        <v>9.3147500000000001</v>
      </c>
      <c r="D25" s="68">
        <v>1</v>
      </c>
      <c r="E25" s="68" t="s">
        <v>431</v>
      </c>
    </row>
    <row r="26" spans="1:5">
      <c r="A26" s="68">
        <v>0.39773199999999997</v>
      </c>
      <c r="B26" s="68">
        <v>0.386986</v>
      </c>
      <c r="C26" s="68">
        <v>9.7216199999999997</v>
      </c>
      <c r="D26" s="68">
        <v>1</v>
      </c>
      <c r="E26" s="68" t="s">
        <v>432</v>
      </c>
    </row>
    <row r="27" spans="1:5">
      <c r="A27" s="68">
        <v>0.40242499999999998</v>
      </c>
      <c r="B27" s="68">
        <v>0.38583400000000001</v>
      </c>
      <c r="C27" s="68">
        <v>10.128500000000001</v>
      </c>
      <c r="D27" s="68">
        <v>1</v>
      </c>
      <c r="E27" s="68" t="s">
        <v>433</v>
      </c>
    </row>
    <row r="28" spans="1:5">
      <c r="A28" s="68">
        <v>0.407026</v>
      </c>
      <c r="B28" s="68">
        <v>0.38416099999999997</v>
      </c>
      <c r="C28" s="68">
        <v>10.5314</v>
      </c>
      <c r="D28" s="68">
        <v>1</v>
      </c>
      <c r="E28" s="68" t="s">
        <v>434</v>
      </c>
    </row>
    <row r="29" spans="1:5">
      <c r="A29" s="68">
        <v>0.41116399999999997</v>
      </c>
      <c r="B29" s="68">
        <v>0.38248300000000002</v>
      </c>
      <c r="C29" s="68">
        <v>10.939500000000001</v>
      </c>
      <c r="D29" s="68">
        <v>1</v>
      </c>
      <c r="E29" s="68" t="s">
        <v>435</v>
      </c>
    </row>
    <row r="30" spans="1:5">
      <c r="A30" s="68">
        <v>0.41504099999999999</v>
      </c>
      <c r="B30" s="68">
        <v>0.38250400000000001</v>
      </c>
      <c r="C30" s="68">
        <v>11.346299999999999</v>
      </c>
      <c r="D30" s="68">
        <v>1</v>
      </c>
      <c r="E30" s="68" t="s">
        <v>436</v>
      </c>
    </row>
    <row r="31" spans="1:5">
      <c r="A31" s="68">
        <v>0.41878399999999999</v>
      </c>
      <c r="B31" s="68">
        <v>0.383303</v>
      </c>
      <c r="C31" s="68">
        <v>11.7552</v>
      </c>
      <c r="D31" s="68">
        <v>1</v>
      </c>
      <c r="E31" s="68" t="s">
        <v>437</v>
      </c>
    </row>
    <row r="32" spans="1:5">
      <c r="A32" s="68">
        <v>0.42264499999999999</v>
      </c>
      <c r="B32" s="68">
        <v>0.38471499999999997</v>
      </c>
      <c r="C32" s="68">
        <v>12.1594</v>
      </c>
      <c r="D32" s="68">
        <v>1</v>
      </c>
      <c r="E32" s="68" t="s">
        <v>438</v>
      </c>
    </row>
    <row r="33" spans="1:5">
      <c r="A33" s="68">
        <v>0.426508</v>
      </c>
      <c r="B33" s="68">
        <v>0.38497399999999998</v>
      </c>
      <c r="C33" s="68">
        <v>12.566000000000001</v>
      </c>
      <c r="D33" s="68">
        <v>1</v>
      </c>
      <c r="E33" s="68" t="s">
        <v>439</v>
      </c>
    </row>
    <row r="34" spans="1:5">
      <c r="A34" s="68">
        <v>0.43003999999999998</v>
      </c>
      <c r="B34" s="68">
        <v>0.384019</v>
      </c>
      <c r="C34" s="68">
        <v>12.969099999999999</v>
      </c>
      <c r="D34" s="68">
        <v>1</v>
      </c>
      <c r="E34" s="68" t="s">
        <v>440</v>
      </c>
    </row>
    <row r="35" spans="1:5">
      <c r="A35" s="68">
        <v>0.43323400000000001</v>
      </c>
      <c r="B35" s="68">
        <v>0.38315100000000002</v>
      </c>
      <c r="C35" s="68">
        <v>13.3818</v>
      </c>
      <c r="D35" s="68">
        <v>1</v>
      </c>
      <c r="E35" s="68" t="s">
        <v>441</v>
      </c>
    </row>
    <row r="36" spans="1:5">
      <c r="A36" s="68">
        <v>0.43588900000000003</v>
      </c>
      <c r="B36" s="68">
        <v>0.38258900000000001</v>
      </c>
      <c r="C36" s="68">
        <v>13.781700000000001</v>
      </c>
      <c r="D36" s="68">
        <v>1</v>
      </c>
      <c r="E36" s="68" t="s">
        <v>442</v>
      </c>
    </row>
    <row r="37" spans="1:5">
      <c r="A37" s="68">
        <v>0.43840099999999999</v>
      </c>
      <c r="B37" s="68">
        <v>0.38224399999999997</v>
      </c>
      <c r="C37" s="68">
        <v>14.1929</v>
      </c>
      <c r="D37" s="68">
        <v>1</v>
      </c>
      <c r="E37" s="68" t="s">
        <v>443</v>
      </c>
    </row>
    <row r="38" spans="1:5">
      <c r="A38" s="68">
        <v>0.44035000000000002</v>
      </c>
      <c r="B38" s="68">
        <v>0.38221699999999997</v>
      </c>
      <c r="C38" s="68">
        <v>14.5975</v>
      </c>
      <c r="D38" s="68">
        <v>1</v>
      </c>
      <c r="E38" s="68" t="s">
        <v>444</v>
      </c>
    </row>
    <row r="39" spans="1:5">
      <c r="A39" s="68">
        <v>0.44171500000000002</v>
      </c>
      <c r="B39" s="68">
        <v>0.38149699999999998</v>
      </c>
      <c r="C39" s="68">
        <v>15.003500000000001</v>
      </c>
      <c r="D39" s="68">
        <v>1</v>
      </c>
      <c r="E39" s="68" t="s">
        <v>445</v>
      </c>
    </row>
    <row r="40" spans="1:5">
      <c r="A40" s="68">
        <v>0.44246600000000003</v>
      </c>
      <c r="B40" s="68">
        <v>0.38084899999999999</v>
      </c>
      <c r="C40" s="68">
        <v>15.5989</v>
      </c>
      <c r="D40" s="68">
        <v>2</v>
      </c>
      <c r="E40" s="68" t="s">
        <v>446</v>
      </c>
    </row>
    <row r="41" spans="1:5">
      <c r="A41" s="68">
        <v>0.44263599999999997</v>
      </c>
      <c r="B41" s="68">
        <v>0.37947399999999998</v>
      </c>
      <c r="C41" s="68">
        <v>15.9762</v>
      </c>
      <c r="D41" s="68">
        <v>2</v>
      </c>
      <c r="E41" s="68" t="s">
        <v>447</v>
      </c>
    </row>
    <row r="42" spans="1:5">
      <c r="A42" s="68">
        <v>0.44217899999999999</v>
      </c>
      <c r="B42" s="68">
        <v>0.37873899999999999</v>
      </c>
      <c r="C42" s="68">
        <v>16.349900000000002</v>
      </c>
      <c r="D42" s="68">
        <v>2</v>
      </c>
      <c r="E42" s="68" t="s">
        <v>448</v>
      </c>
    </row>
    <row r="43" spans="1:5">
      <c r="A43" s="68">
        <v>0.441386</v>
      </c>
      <c r="B43" s="68">
        <v>0.37832399999999999</v>
      </c>
      <c r="C43" s="68">
        <v>16.722899999999999</v>
      </c>
      <c r="D43" s="68">
        <v>2</v>
      </c>
      <c r="E43" s="68" t="s">
        <v>449</v>
      </c>
    </row>
    <row r="44" spans="1:5">
      <c r="A44" s="68">
        <v>0.440029</v>
      </c>
      <c r="B44" s="68">
        <v>0.37811899999999998</v>
      </c>
      <c r="C44" s="68">
        <v>17.097100000000001</v>
      </c>
      <c r="D44" s="68">
        <v>2</v>
      </c>
      <c r="E44" s="68" t="s">
        <v>450</v>
      </c>
    </row>
    <row r="45" spans="1:5">
      <c r="A45" s="68">
        <v>0.43819000000000002</v>
      </c>
      <c r="B45" s="68">
        <v>0.37844100000000003</v>
      </c>
      <c r="C45" s="68">
        <v>17.503799999999998</v>
      </c>
      <c r="D45" s="68">
        <v>2</v>
      </c>
      <c r="E45" s="68" t="s">
        <v>451</v>
      </c>
    </row>
    <row r="46" spans="1:5">
      <c r="A46" s="68">
        <v>0.43635400000000002</v>
      </c>
      <c r="B46" s="68">
        <v>0.379332</v>
      </c>
      <c r="C46" s="68">
        <v>17.910900000000002</v>
      </c>
      <c r="D46" s="68">
        <v>2</v>
      </c>
      <c r="E46" s="68" t="s">
        <v>452</v>
      </c>
    </row>
    <row r="47" spans="1:5">
      <c r="A47" s="68">
        <v>0.43458400000000003</v>
      </c>
      <c r="B47" s="68">
        <v>0.379965</v>
      </c>
      <c r="C47" s="68">
        <v>18.3186</v>
      </c>
      <c r="D47" s="68">
        <v>2</v>
      </c>
      <c r="E47" s="68" t="s">
        <v>453</v>
      </c>
    </row>
    <row r="48" spans="1:5">
      <c r="A48" s="68">
        <v>0.43345</v>
      </c>
      <c r="B48" s="68">
        <v>0.38079800000000003</v>
      </c>
      <c r="C48" s="68">
        <v>18.7225</v>
      </c>
      <c r="D48" s="68">
        <v>2</v>
      </c>
      <c r="E48" s="68" t="s">
        <v>454</v>
      </c>
    </row>
    <row r="49" spans="1:5">
      <c r="A49" s="68">
        <v>0.432869</v>
      </c>
      <c r="B49" s="68">
        <v>0.38162299999999999</v>
      </c>
      <c r="C49" s="68">
        <v>19.128699999999998</v>
      </c>
      <c r="D49" s="68">
        <v>2</v>
      </c>
      <c r="E49" s="68" t="s">
        <v>455</v>
      </c>
    </row>
    <row r="50" spans="1:5">
      <c r="A50" s="68">
        <v>0.43252299999999999</v>
      </c>
      <c r="B50" s="68">
        <v>0.38214900000000002</v>
      </c>
      <c r="C50" s="68">
        <v>19.534400000000002</v>
      </c>
      <c r="D50" s="68">
        <v>2</v>
      </c>
      <c r="E50" s="68" t="s">
        <v>456</v>
      </c>
    </row>
    <row r="51" spans="1:5">
      <c r="A51" s="68">
        <v>0.43235000000000001</v>
      </c>
      <c r="B51" s="68">
        <v>0.382274</v>
      </c>
      <c r="C51" s="68">
        <v>19.9453</v>
      </c>
      <c r="D51" s="68">
        <v>2</v>
      </c>
      <c r="E51" s="68" t="s">
        <v>457</v>
      </c>
    </row>
    <row r="52" spans="1:5">
      <c r="A52" s="68">
        <v>0.43217</v>
      </c>
      <c r="B52" s="68">
        <v>0.382967</v>
      </c>
      <c r="C52" s="68">
        <v>20.349299999999999</v>
      </c>
      <c r="D52" s="68">
        <v>2</v>
      </c>
      <c r="E52" s="68" t="s">
        <v>458</v>
      </c>
    </row>
    <row r="53" spans="1:5">
      <c r="A53" s="68">
        <v>0.43206299999999997</v>
      </c>
      <c r="B53" s="68">
        <v>0.38410699999999998</v>
      </c>
      <c r="C53" s="68">
        <v>20.7531</v>
      </c>
      <c r="D53" s="68">
        <v>2</v>
      </c>
      <c r="E53" s="68" t="s">
        <v>459</v>
      </c>
    </row>
    <row r="54" spans="1:5">
      <c r="A54" s="68">
        <v>0.431946</v>
      </c>
      <c r="B54" s="68">
        <v>0.384774</v>
      </c>
      <c r="C54" s="68">
        <v>21.160399999999999</v>
      </c>
      <c r="D54" s="68">
        <v>2</v>
      </c>
      <c r="E54" s="68" t="s">
        <v>460</v>
      </c>
    </row>
    <row r="55" spans="1:5">
      <c r="A55" s="68">
        <v>0.43183300000000002</v>
      </c>
      <c r="B55" s="68">
        <v>0.38448399999999999</v>
      </c>
      <c r="C55" s="68">
        <v>21.567900000000002</v>
      </c>
      <c r="D55" s="68">
        <v>2</v>
      </c>
      <c r="E55" s="68" t="s">
        <v>461</v>
      </c>
    </row>
    <row r="56" spans="1:5">
      <c r="A56" s="68">
        <v>0.431558</v>
      </c>
      <c r="B56" s="68">
        <v>0.38397999999999999</v>
      </c>
      <c r="C56" s="68">
        <v>21.974900000000002</v>
      </c>
      <c r="D56" s="68">
        <v>2</v>
      </c>
      <c r="E56" s="68" t="s">
        <v>462</v>
      </c>
    </row>
    <row r="57" spans="1:5">
      <c r="A57" s="68">
        <v>0.43097099999999999</v>
      </c>
      <c r="B57" s="68">
        <v>0.38337300000000002</v>
      </c>
      <c r="C57" s="68">
        <v>22.3782</v>
      </c>
      <c r="D57" s="68">
        <v>2</v>
      </c>
      <c r="E57" s="68" t="s">
        <v>463</v>
      </c>
    </row>
    <row r="58" spans="1:5">
      <c r="A58" s="68">
        <v>0.42983700000000002</v>
      </c>
      <c r="B58" s="68">
        <v>0.38340800000000003</v>
      </c>
      <c r="C58" s="68">
        <v>22.7837</v>
      </c>
      <c r="D58" s="68">
        <v>2</v>
      </c>
      <c r="E58" s="68" t="s">
        <v>464</v>
      </c>
    </row>
    <row r="59" spans="1:5">
      <c r="A59" s="68">
        <v>0.42833900000000003</v>
      </c>
      <c r="B59" s="68">
        <v>0.383961</v>
      </c>
      <c r="C59" s="68">
        <v>23.191600000000001</v>
      </c>
      <c r="D59" s="68">
        <v>2</v>
      </c>
      <c r="E59" s="68" t="s">
        <v>465</v>
      </c>
    </row>
    <row r="60" spans="1:5">
      <c r="A60" s="68">
        <v>0.427006</v>
      </c>
      <c r="B60" s="68">
        <v>0.384023</v>
      </c>
      <c r="C60" s="68">
        <v>23.5975</v>
      </c>
      <c r="D60" s="68">
        <v>2</v>
      </c>
      <c r="E60" s="68" t="s">
        <v>466</v>
      </c>
    </row>
    <row r="61" spans="1:5">
      <c r="A61" s="68">
        <v>0.42557800000000001</v>
      </c>
      <c r="B61" s="68">
        <v>0.38428899999999999</v>
      </c>
      <c r="C61" s="68">
        <v>24.000399999999999</v>
      </c>
      <c r="D61" s="68">
        <v>2</v>
      </c>
      <c r="E61" s="68" t="s">
        <v>467</v>
      </c>
    </row>
    <row r="62" spans="1:5">
      <c r="A62" s="68">
        <v>0.42418400000000001</v>
      </c>
      <c r="B62" s="68">
        <v>0.38411699999999999</v>
      </c>
      <c r="C62" s="68">
        <v>24.4085</v>
      </c>
      <c r="D62" s="68">
        <v>2</v>
      </c>
      <c r="E62" s="68" t="s">
        <v>468</v>
      </c>
    </row>
    <row r="63" spans="1:5">
      <c r="A63" s="68">
        <v>0.422989</v>
      </c>
      <c r="B63" s="68">
        <v>0.38363199999999997</v>
      </c>
      <c r="C63" s="68">
        <v>24.817299999999999</v>
      </c>
      <c r="D63" s="68">
        <v>2</v>
      </c>
      <c r="E63" s="68" t="s">
        <v>469</v>
      </c>
    </row>
    <row r="64" spans="1:5">
      <c r="A64" s="68">
        <v>0.42160599999999998</v>
      </c>
      <c r="B64" s="68">
        <v>0.383357</v>
      </c>
      <c r="C64" s="68">
        <v>25.223199999999999</v>
      </c>
      <c r="D64" s="68">
        <v>2</v>
      </c>
      <c r="E64" s="68" t="s">
        <v>470</v>
      </c>
    </row>
    <row r="65" spans="1:5">
      <c r="A65" s="68">
        <v>0.42035099999999997</v>
      </c>
      <c r="B65" s="68">
        <v>0.38274399999999997</v>
      </c>
      <c r="C65" s="68">
        <v>25.6311</v>
      </c>
      <c r="D65" s="68">
        <v>2</v>
      </c>
      <c r="E65" s="68" t="s">
        <v>471</v>
      </c>
    </row>
    <row r="66" spans="1:5">
      <c r="A66" s="68">
        <v>0.41939300000000002</v>
      </c>
      <c r="B66" s="68">
        <v>0.38258199999999998</v>
      </c>
      <c r="C66" s="68">
        <v>26.0351</v>
      </c>
      <c r="D66" s="68">
        <v>2</v>
      </c>
      <c r="E66" s="68" t="s">
        <v>472</v>
      </c>
    </row>
    <row r="67" spans="1:5">
      <c r="A67" s="68">
        <v>0.41917599999999999</v>
      </c>
      <c r="B67" s="68">
        <v>0.38106400000000001</v>
      </c>
      <c r="C67" s="68">
        <v>26.4422</v>
      </c>
      <c r="D67" s="68">
        <v>2</v>
      </c>
      <c r="E67" s="68" t="s">
        <v>473</v>
      </c>
    </row>
    <row r="68" spans="1:5">
      <c r="A68" s="68">
        <v>0.41875600000000002</v>
      </c>
      <c r="B68" s="68">
        <v>0.37972800000000001</v>
      </c>
      <c r="C68" s="68">
        <v>26.849900000000002</v>
      </c>
      <c r="D68" s="68">
        <v>2</v>
      </c>
      <c r="E68" s="68" t="s">
        <v>474</v>
      </c>
    </row>
    <row r="69" spans="1:5">
      <c r="A69" s="68">
        <v>0.41883399999999998</v>
      </c>
      <c r="B69" s="68">
        <v>0.37845000000000001</v>
      </c>
      <c r="C69" s="68">
        <v>27.255700000000001</v>
      </c>
      <c r="D69" s="68">
        <v>2</v>
      </c>
      <c r="E69" s="68" t="s">
        <v>475</v>
      </c>
    </row>
    <row r="70" spans="1:5">
      <c r="A70" s="68">
        <v>0.41919299999999998</v>
      </c>
      <c r="B70" s="68">
        <v>0.37817699999999999</v>
      </c>
      <c r="C70" s="68">
        <v>27.662600000000001</v>
      </c>
      <c r="D70" s="68">
        <v>2</v>
      </c>
      <c r="E70" s="68" t="s">
        <v>476</v>
      </c>
    </row>
    <row r="71" spans="1:5">
      <c r="A71" s="68">
        <v>0.42000500000000002</v>
      </c>
      <c r="B71" s="68">
        <v>0.37695000000000001</v>
      </c>
      <c r="C71" s="68">
        <v>28.064599999999999</v>
      </c>
      <c r="D71" s="68">
        <v>2</v>
      </c>
      <c r="E71" s="68" t="s">
        <v>477</v>
      </c>
    </row>
    <row r="72" spans="1:5">
      <c r="A72" s="68">
        <v>0.42141600000000001</v>
      </c>
      <c r="B72" s="68">
        <v>0.37672699999999998</v>
      </c>
      <c r="C72" s="68">
        <v>28.471599999999999</v>
      </c>
      <c r="D72" s="68">
        <v>2</v>
      </c>
      <c r="E72" s="68" t="s">
        <v>478</v>
      </c>
    </row>
    <row r="73" spans="1:5">
      <c r="A73" s="68">
        <v>0.42229899999999998</v>
      </c>
      <c r="B73" s="68">
        <v>0.37711600000000001</v>
      </c>
      <c r="C73" s="68">
        <v>28.883199999999999</v>
      </c>
      <c r="D73" s="68">
        <v>2</v>
      </c>
      <c r="E73" s="68" t="s">
        <v>479</v>
      </c>
    </row>
    <row r="74" spans="1:5">
      <c r="A74" s="68">
        <v>0.42335200000000001</v>
      </c>
      <c r="B74" s="68">
        <v>0.37667099999999998</v>
      </c>
      <c r="C74" s="68">
        <v>29.2866</v>
      </c>
      <c r="D74" s="68">
        <v>2</v>
      </c>
      <c r="E74" s="68" t="s">
        <v>480</v>
      </c>
    </row>
    <row r="75" spans="1:5">
      <c r="A75" s="68">
        <v>0.42480600000000002</v>
      </c>
      <c r="B75" s="68">
        <v>0.37377199999999999</v>
      </c>
      <c r="C75" s="68">
        <v>29.689900000000002</v>
      </c>
      <c r="D75" s="68">
        <v>2</v>
      </c>
      <c r="E75" s="68" t="s">
        <v>481</v>
      </c>
    </row>
    <row r="76" spans="1:5">
      <c r="A76" s="68">
        <v>0.42763699999999999</v>
      </c>
      <c r="B76" s="68">
        <v>0.37098999999999999</v>
      </c>
      <c r="C76" s="68">
        <v>30.097300000000001</v>
      </c>
      <c r="D76" s="68">
        <v>2</v>
      </c>
      <c r="E76" s="68" t="s">
        <v>482</v>
      </c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483</v>
      </c>
      <c r="C1" s="66" t="s">
        <v>485</v>
      </c>
      <c r="D1" s="66" t="s">
        <v>486</v>
      </c>
      <c r="E1" s="66" t="s">
        <v>487</v>
      </c>
      <c r="F1" s="66" t="s">
        <v>348</v>
      </c>
      <c r="G1" s="66" t="s">
        <v>349</v>
      </c>
      <c r="H1" s="66" t="s">
        <v>488</v>
      </c>
      <c r="I1" s="66" t="s">
        <v>489</v>
      </c>
      <c r="J1" s="66" t="s">
        <v>490</v>
      </c>
      <c r="K1" s="66" t="s">
        <v>491</v>
      </c>
      <c r="L1" s="66" t="s">
        <v>492</v>
      </c>
      <c r="M1" s="66" t="s">
        <v>493</v>
      </c>
      <c r="N1" s="66"/>
    </row>
    <row r="2" spans="1:14">
      <c r="A2" s="75">
        <v>43607.455000000002</v>
      </c>
      <c r="B2" s="66" t="s">
        <v>484</v>
      </c>
      <c r="C2" s="66"/>
      <c r="D2" s="66"/>
      <c r="E2" s="66">
        <v>4.9207200000000002</v>
      </c>
      <c r="F2" s="66">
        <v>2.1308500000000001</v>
      </c>
      <c r="G2" s="66">
        <v>0.60805900000000002</v>
      </c>
      <c r="H2" s="66">
        <v>0</v>
      </c>
      <c r="I2" s="66">
        <v>89772</v>
      </c>
      <c r="J2" s="66">
        <v>124</v>
      </c>
      <c r="K2" s="66">
        <v>124</v>
      </c>
      <c r="L2" s="66">
        <v>0</v>
      </c>
      <c r="M2" s="66" t="s">
        <v>494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2019-05-22T02:56:08Z</cp:lastPrinted>
  <dcterms:created xsi:type="dcterms:W3CDTF">2010-10-29T12:53:05Z</dcterms:created>
  <dcterms:modified xsi:type="dcterms:W3CDTF">2019-05-22T02:56:23Z</dcterms:modified>
</cp:coreProperties>
</file>