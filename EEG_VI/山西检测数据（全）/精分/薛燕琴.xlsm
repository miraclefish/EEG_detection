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<sst xmlns="http://schemas.openxmlformats.org/spreadsheetml/2006/main" count="702" uniqueCount="520">
  <si>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</si>
  <si>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</si>
  <si>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</si>
  <si>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</si>
  <si>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</si>
  <si>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</si>
  <si>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</si>
  <si>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</si>
  <si>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</si>
  <si>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</si>
  <si>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</si>
  <si>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</si>
  <si>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</si>
  <si>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</si>
  <si>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</si>
  <si>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</si>
  <si>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</si>
  <si>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</si>
  <si>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</si>
  <si>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</si>
  <si>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</si>
  <si>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</si>
  <si>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</si>
  <si>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</si>
  <si>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</si>
  <si>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</si>
  <si>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</si>
  <si>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</si>
  <si>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</si>
  <si>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</si>
  <si>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</si>
  <si>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</si>
  <si>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</si>
  <si>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</si>
  <si>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</si>
  <si>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</si>
  <si>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</si>
  <si>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</si>
  <si>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</si>
  <si>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</si>
  <si>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</si>
  <si>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</si>
  <si>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</si>
  <si>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</si>
  <si>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</si>
  <si>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</si>
  <si>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</si>
  <si>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</si>
  <si>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</si>
  <si>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</si>
  <si>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</si>
  <si>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</si>
  <si>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</si>
  <si>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</si>
  <si>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</si>
  <si>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</si>
  <si>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</si>
  <si>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</si>
  <si>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</si>
  <si>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</si>
  <si>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</si>
  <si>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</si>
  <si>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</si>
  <si>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</si>
  <si>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</si>
  <si>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</si>
  <si>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</si>
  <si>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</si>
  <si>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</si>
  <si>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</si>
  <si>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</si>
  <si>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</si>
  <si>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</si>
  <si>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</si>
  <si>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</si>
  <si>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</si>
  <si>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</si>
  <si>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</si>
  <si>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</si>
  <si>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</si>
  <si>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</si>
  <si>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</si>
  <si>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</si>
  <si>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</si>
  <si>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</si>
  <si>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</si>
  <si>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</si>
  <si>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</si>
  <si>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</si>
  <si>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</si>
  <si>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</si>
  <si>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</si>
  <si>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</si>
  <si>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</si>
  <si>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</si>
  <si>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</si>
  <si>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</si>
  <si>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</si>
  <si>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</si>
  <si>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</si>
  <si>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</si>
  <si>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</si>
  <si>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</si>
  <si>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</si>
  <si>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</si>
  <si>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</si>
  <si>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</si>
  <si>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</si>
  <si>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</si>
  <si>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</si>
  <si>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</si>
  <si>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</si>
  <si>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</si>
  <si>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</si>
  <si>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</si>
  <si>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</si>
  <si>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</si>
  <si>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</si>
  <si>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</si>
  <si>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</si>
  <si>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</si>
  <si>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</si>
  <si>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</si>
  <si>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</si>
  <si>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</si>
  <si>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</si>
  <si>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</si>
  <si>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</si>
  <si>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</si>
  <si>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</si>
  <si>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</si>
  <si>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</si>
  <si>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</si>
  <si>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</si>
  <si>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</si>
  <si>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</si>
  <si>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</si>
  <si>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</si>
  <si>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</si>
  <si>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</si>
  <si>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</si>
  <si>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</si>
  <si>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</si>
  <si>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</si>
  <si>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</si>
  <si>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</si>
  <si>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</si>
  <si>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</si>
  <si>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</si>
  <si>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</si>
  <si>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</si>
  <si>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</si>
  <si>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</si>
  <si>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</si>
  <si>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</si>
  <si>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</si>
  <si>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</si>
  <si>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</si>
  <si>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</si>
  <si>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</si>
  <si>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</si>
  <si>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</si>
  <si>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</si>
  <si>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</si>
  <si>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</si>
  <si>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</si>
  <si>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</si>
  <si>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</si>
  <si>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</si>
  <si>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</si>
  <si>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</si>
  <si>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</si>
  <si>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</si>
  <si>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</si>
  <si>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</si>
  <si>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</si>
  <si>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</si>
  <si>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</si>
  <si>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</si>
  <si>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</si>
  <si>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</si>
  <si>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</si>
  <si>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</si>
  <si>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</si>
  <si>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</si>
  <si>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</si>
  <si>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</si>
  <si>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</si>
  <si>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</si>
  <si>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</si>
  <si>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</si>
  <si>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</si>
  <si>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</si>
  <si>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</si>
  <si>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</si>
  <si>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</si>
  <si>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</si>
  <si>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</si>
  <si>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</si>
  <si>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</si>
  <si>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</si>
  <si>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</si>
  <si>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</si>
  <si>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</si>
  <si>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</si>
  <si>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</si>
  <si>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</si>
  <si>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</si>
  <si>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</si>
  <si>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</si>
  <si>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</si>
  <si>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</si>
  <si>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</si>
  <si>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</si>
  <si>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</si>
  <si>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</si>
  <si>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</si>
  <si>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</si>
  <si>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</si>
  <si>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</si>
  <si>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</si>
  <si>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</si>
  <si>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</si>
  <si>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</si>
  <si>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</si>
  <si>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</si>
  <si>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</si>
  <si>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</si>
  <si>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</si>
  <si>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</si>
  <si>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</si>
  <si>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</si>
  <si>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</si>
  <si>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</si>
  <si>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</si>
  <si>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</si>
  <si>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</si>
  <si>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</si>
  <si>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</si>
  <si>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</si>
  <si>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</si>
  <si>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</si>
  <si>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</si>
  <si>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</si>
  <si>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</si>
  <si>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</si>
  <si>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</si>
  <si>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</si>
  <si>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</si>
  <si>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</si>
  <si>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</si>
  <si>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</si>
  <si>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</si>
  <si>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</si>
  <si>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</si>
  <si>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</si>
  <si>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</si>
  <si>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</si>
  <si>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</si>
  <si>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</si>
  <si>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</si>
  <si>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</si>
  <si>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</si>
  <si>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</si>
  <si>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</si>
  <si>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</si>
  <si>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</si>
  <si>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</si>
  <si>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</si>
  <si>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</si>
  <si>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</si>
  <si>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</si>
  <si>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</si>
  <si>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</si>
  <si>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</si>
  <si>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</si>
  <si>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</si>
  <si>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</si>
  <si>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</si>
  <si>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</si>
  <si>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</si>
  <si>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</si>
  <si>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</si>
  <si>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</si>
  <si>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</si>
  <si>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</si>
  <si>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</si>
  <si>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</si>
  <si>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</si>
  <si>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</si>
  <si>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</si>
  <si>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</si>
  <si>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</si>
  <si>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</si>
  <si>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</si>
  <si>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</si>
  <si>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</si>
  <si>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</si>
  <si>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</si>
  <si>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</si>
  <si>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</si>
  <si>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</si>
  <si>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</si>
  <si>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</si>
  <si>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</si>
  <si>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</si>
  <si>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</si>
  <si>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</si>
  <si>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</si>
  <si>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</si>
  <si>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</si>
  <si>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</si>
  <si>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</si>
  <si>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</si>
  <si>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</si>
  <si>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</si>
  <si>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</si>
  <si>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</si>
  <si>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</si>
  <si>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</si>
  <si>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</si>
  <si>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</si>
  <si>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</si>
  <si>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</si>
  <si>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</si>
  <si>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</si>
  <si>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</si>
  <si>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</si>
  <si>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</si>
  <si>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</si>
  <si>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</si>
  <si>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</si>
  <si>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</si>
  <si>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</si>
  <si>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</si>
  <si>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</si>
  <si>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</si>
  <si>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</si>
  <si>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</si>
  <si>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</si>
  <si>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</si>
  <si>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</si>
  <si>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</si>
  <si>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</si>
  <si>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</si>
  <si>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</si>
  <si>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BMin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</si>
  <si>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</si>
  <si>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</si>
  <si>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</si>
  <si>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</si>
  <si>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</si>
  <si>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</si>
  <si>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</si>
  <si>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</si>
  <si>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</si>
  <si>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</si>
  <si>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[0.406897]</t>
  </si>
  <si>
    <t>1 [0.812811]</t>
  </si>
  <si>
    <t>1 [1.215593]</t>
  </si>
  <si>
    <t>1 [1.620547]</t>
  </si>
  <si>
    <t>1 [2.031453]</t>
  </si>
  <si>
    <t>1 [2.436370]</t>
  </si>
  <si>
    <t>1 [2.843656]</t>
  </si>
  <si>
    <t>1 [3.247180]</t>
  </si>
  <si>
    <t>1 [3.654253]</t>
  </si>
  <si>
    <t>1 [4.063091]</t>
  </si>
  <si>
    <t>1 [4.468902]</t>
  </si>
  <si>
    <t>1 [4.870813]</t>
  </si>
  <si>
    <t>1 [5.282846]</t>
  </si>
  <si>
    <t>1 [5.686727]</t>
  </si>
  <si>
    <t>1 [6.092889]</t>
  </si>
  <si>
    <t>1 [6.497533]</t>
  </si>
  <si>
    <t>1 [6.905536]</t>
  </si>
  <si>
    <t>1 [7.308390]</t>
  </si>
  <si>
    <t>1 [7.715281]</t>
  </si>
  <si>
    <t>1 [8.124153]</t>
  </si>
  <si>
    <t>1 [8.530099]</t>
  </si>
  <si>
    <t>1 [8.936151]</t>
  </si>
  <si>
    <t>1 [9.344049]</t>
  </si>
  <si>
    <t>1 [9.748825]</t>
  </si>
  <si>
    <t>1 [10.157735]</t>
  </si>
  <si>
    <t>1 [10.562699]</t>
  </si>
  <si>
    <t>1 [10.967847]</t>
  </si>
  <si>
    <t>1 [11.373483]</t>
  </si>
  <si>
    <t>1 [11.782412]</t>
  </si>
  <si>
    <t>1 [12.185378]</t>
  </si>
  <si>
    <t>1 [12.597165]</t>
  </si>
  <si>
    <t>1 [12.999152]</t>
  </si>
  <si>
    <t>1 [13.400836]</t>
  </si>
  <si>
    <t>1 [13.808944]</t>
  </si>
  <si>
    <t>1 [14.216973]</t>
  </si>
  <si>
    <t>1 [14.625757]</t>
  </si>
  <si>
    <t>1 [15.032797]</t>
  </si>
  <si>
    <t>1 [15.435573]</t>
  </si>
  <si>
    <t>1 [15.842739]</t>
  </si>
  <si>
    <t>1 [16.249490]</t>
  </si>
  <si>
    <t>1 [16.662504]</t>
  </si>
  <si>
    <t>1 [17.060403]</t>
  </si>
  <si>
    <t>1 [17.467140]</t>
  </si>
  <si>
    <t>1 [17.871110]</t>
  </si>
  <si>
    <t>1 [18.277083]</t>
  </si>
  <si>
    <t>1 [18.687906]</t>
  </si>
  <si>
    <t>1 [19.090881]</t>
  </si>
  <si>
    <t>1 [19.497851]</t>
  </si>
  <si>
    <t>1 [19.905670]</t>
  </si>
  <si>
    <t>1 [20.308121]</t>
  </si>
  <si>
    <t>1 [20.717511]</t>
  </si>
  <si>
    <t>1 [21.124561]</t>
  </si>
  <si>
    <t>1 [21.530423]</t>
  </si>
  <si>
    <t>1 [21.937288]</t>
  </si>
  <si>
    <t>1 [22.345295]</t>
  </si>
  <si>
    <t>1 [22.749140]</t>
  </si>
  <si>
    <t>1 [23.155060]</t>
  </si>
  <si>
    <t>1 [23.561035]</t>
  </si>
  <si>
    <t>1 [23.968833]</t>
  </si>
  <si>
    <t>1 [24.375688]</t>
  </si>
  <si>
    <t>1 [24.780677]</t>
  </si>
  <si>
    <t>1 [25.184521]</t>
  </si>
  <si>
    <t>1 [25.591643]</t>
  </si>
  <si>
    <t>1 [25.998444]</t>
  </si>
  <si>
    <t>1 [26.402239]</t>
  </si>
  <si>
    <t>1 [26.809477]</t>
  </si>
  <si>
    <t>1 [27.215939]</t>
  </si>
  <si>
    <t>1 [27.620850]</t>
  </si>
  <si>
    <t>1 [28.028984]</t>
  </si>
  <si>
    <t>1 [28.435866]</t>
  </si>
  <si>
    <t>1 [28.843143]</t>
  </si>
  <si>
    <t>1 [29.252757]</t>
  </si>
  <si>
    <t>1 [29.659913]</t>
  </si>
  <si>
    <t>1 [30.062595]</t>
  </si>
  <si>
    <t>2 [30.579193]</t>
  </si>
  <si>
    <t>2 [30.954158]</t>
  </si>
  <si>
    <t>2 [31.345089]</t>
  </si>
  <si>
    <t>2 [31.750032]</t>
  </si>
  <si>
    <t>2 [32.135078]</t>
  </si>
  <si>
    <t>2 [32.543388]</t>
  </si>
  <si>
    <t>2 [32.950165]</t>
  </si>
  <si>
    <t>2 [33.357727]</t>
  </si>
  <si>
    <t>2 [33.766638]</t>
  </si>
  <si>
    <t>2 [34.167602]</t>
  </si>
  <si>
    <t>2 [34.577468]</t>
  </si>
  <si>
    <t>2 [34.980390]</t>
  </si>
  <si>
    <t>2 [35.387358]</t>
  </si>
  <si>
    <t>2 [35.797177]</t>
  </si>
  <si>
    <t>2 [36.204049]</t>
  </si>
  <si>
    <t>2 [36.608013]</t>
  </si>
  <si>
    <t>2 [37.009479]</t>
  </si>
  <si>
    <t>2 [37.417971]</t>
  </si>
  <si>
    <t>2 [37.823150]</t>
  </si>
  <si>
    <t>2 [38.231704]</t>
  </si>
  <si>
    <t>2 [38.642754]</t>
  </si>
  <si>
    <t>2 [39.042535]</t>
  </si>
  <si>
    <t>2 [39.452531]</t>
  </si>
  <si>
    <t>2 [39.860987]</t>
  </si>
  <si>
    <t>2 [40.262528]</t>
  </si>
  <si>
    <t>2 [40.670218]</t>
  </si>
  <si>
    <t>2 [41.081039]</t>
  </si>
  <si>
    <t>2 [41.483945]</t>
  </si>
  <si>
    <t>2 [41.888882]</t>
  </si>
  <si>
    <t>2 [42.296001]</t>
  </si>
  <si>
    <t>2 [42.700801]</t>
  </si>
  <si>
    <t>2 [43.110131]</t>
  </si>
  <si>
    <t>2 [43.515614]</t>
  </si>
  <si>
    <t>2 [43.918541]</t>
  </si>
  <si>
    <t>2 [44.329523]</t>
  </si>
  <si>
    <t>2 [44.734308]</t>
  </si>
  <si>
    <t>2 [45.140277]</t>
  </si>
  <si>
    <t>2 [45.546119]</t>
  </si>
  <si>
    <t>2 [45.952062]</t>
  </si>
  <si>
    <t>2 [46.358982]</t>
  </si>
  <si>
    <t>2 [46.761881]</t>
  </si>
  <si>
    <t>2 [47.170801]</t>
  </si>
  <si>
    <t>2 [47.577914]</t>
  </si>
  <si>
    <t>2 [47.985560]</t>
  </si>
  <si>
    <t>2 [48.387506]</t>
  </si>
  <si>
    <t>2 [48.801395]</t>
  </si>
  <si>
    <t>2 [49.198494]</t>
  </si>
  <si>
    <t>2 [49.607532]</t>
  </si>
  <si>
    <t>2 [50.017139]</t>
  </si>
  <si>
    <t>2 [50.419090]</t>
  </si>
  <si>
    <t>2 [50.827148]</t>
  </si>
  <si>
    <t>2 [51.233929]</t>
  </si>
  <si>
    <t>2 [51.641212]</t>
  </si>
  <si>
    <t>2 [52.043945]</t>
  </si>
  <si>
    <t>2 [52.452850]</t>
  </si>
  <si>
    <t>2 [52.861594]</t>
  </si>
  <si>
    <t>2 [53.260850]</t>
  </si>
  <si>
    <t>2 [53.674109]</t>
  </si>
  <si>
    <t>2 [54.082661]</t>
  </si>
  <si>
    <t>2 [54.487535]</t>
  </si>
  <si>
    <t>2 [54.894311]</t>
  </si>
  <si>
    <t>2 [55.302214]</t>
  </si>
  <si>
    <t>2 [55.707450]</t>
  </si>
  <si>
    <t>2 [56.110577]</t>
  </si>
  <si>
    <t>2 [56.518177]</t>
  </si>
  <si>
    <t>2 [56.920984]</t>
  </si>
  <si>
    <t>2 [57.322856]</t>
  </si>
  <si>
    <t>2 [57.735568]</t>
  </si>
  <si>
    <t>2 [58.140475]</t>
  </si>
  <si>
    <t>2 [58.546412]</t>
  </si>
  <si>
    <t>2 [58.951487]</t>
  </si>
  <si>
    <t>2 [59.358192]</t>
  </si>
  <si>
    <t>2 [59.764173]</t>
  </si>
  <si>
    <t>2 [60.168028]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</si>
  <si>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</si>
  <si>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</si>
  <si>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</si>
  <si>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</si>
  <si>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</si>
  <si>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</si>
  <si>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</si>
  <si>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</si>
  <si>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</si>
  <si>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</si>
  <si>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</si>
  <si>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</si>
  <si>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</si>
  <si>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</si>
  <si>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薛燕琴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</si>
</sst>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39.305999999999997</c:v>
                </c:pt>
                <c:pt idx="1">
                  <c:v>31.809200000000001</c:v>
                </c:pt>
                <c:pt idx="2">
                  <c:v>27.608699999999999</c:v>
                </c:pt>
                <c:pt idx="3">
                  <c:v>32.238900000000001</c:v>
                </c:pt>
                <c:pt idx="4">
                  <c:v>61.688600000000001</c:v>
                </c:pt>
                <c:pt idx="5">
                  <c:v>78.637900000000002</c:v>
                </c:pt>
                <c:pt idx="6">
                  <c:v>22.599299999999999</c:v>
                </c:pt>
                <c:pt idx="7">
                  <c:v>69.275999999999996</c:v>
                </c:pt>
                <c:pt idx="8">
                  <c:v>15.434799999999999</c:v>
                </c:pt>
                <c:pt idx="9">
                  <c:v>33.915799999999997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0.50274733483189271</c:v>
                </c:pt>
                <c:pt idx="1">
                  <c:v>0.28355162906627857</c:v>
                </c:pt>
                <c:pt idx="2">
                  <c:v>0.2137010361018287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2818</c:v>
                </c:pt>
                <c:pt idx="7">
                  <c:v>0</c:v>
                </c:pt>
                <c:pt idx="8">
                  <c:v>5629</c:v>
                </c:pt>
                <c:pt idx="9">
                  <c:v>0</c:v>
                </c:pt>
                <c:pt idx="10">
                  <c:v>0</c:v>
                </c:pt>
                <c:pt idx="11">
                  <c:v>7233</c:v>
                </c:pt>
                <c:pt idx="12">
                  <c:v>0</c:v>
                </c:pt>
                <c:pt idx="13">
                  <c:v>10547</c:v>
                </c:pt>
                <c:pt idx="14">
                  <c:v>0</c:v>
                </c:pt>
                <c:pt idx="15">
                  <c:v>0</c:v>
                </c:pt>
                <c:pt idx="16">
                  <c:v>18177</c:v>
                </c:pt>
                <c:pt idx="17">
                  <c:v>0</c:v>
                </c:pt>
                <c:pt idx="18">
                  <c:v>0</c:v>
                </c:pt>
                <c:pt idx="19">
                  <c:v>26150</c:v>
                </c:pt>
                <c:pt idx="20">
                  <c:v>0</c:v>
                </c:pt>
                <c:pt idx="21">
                  <c:v>31574</c:v>
                </c:pt>
                <c:pt idx="22">
                  <c:v>0</c:v>
                </c:pt>
                <c:pt idx="23">
                  <c:v>0</c:v>
                </c:pt>
                <c:pt idx="24">
                  <c:v>40148</c:v>
                </c:pt>
                <c:pt idx="25">
                  <c:v>0</c:v>
                </c:pt>
                <c:pt idx="26">
                  <c:v>47866</c:v>
                </c:pt>
                <c:pt idx="27">
                  <c:v>0</c:v>
                </c:pt>
                <c:pt idx="28">
                  <c:v>0</c:v>
                </c:pt>
                <c:pt idx="29">
                  <c:v>59182</c:v>
                </c:pt>
                <c:pt idx="30">
                  <c:v>0</c:v>
                </c:pt>
                <c:pt idx="31">
                  <c:v>71116</c:v>
                </c:pt>
                <c:pt idx="32">
                  <c:v>0</c:v>
                </c:pt>
                <c:pt idx="33">
                  <c:v>0</c:v>
                </c:pt>
                <c:pt idx="34">
                  <c:v>91982</c:v>
                </c:pt>
                <c:pt idx="35">
                  <c:v>0</c:v>
                </c:pt>
                <c:pt idx="36">
                  <c:v>0</c:v>
                </c:pt>
                <c:pt idx="37">
                  <c:v>92825</c:v>
                </c:pt>
                <c:pt idx="38">
                  <c:v>0</c:v>
                </c:pt>
                <c:pt idx="39">
                  <c:v>89676</c:v>
                </c:pt>
                <c:pt idx="40">
                  <c:v>0</c:v>
                </c:pt>
                <c:pt idx="41">
                  <c:v>0</c:v>
                </c:pt>
                <c:pt idx="42">
                  <c:v>97139</c:v>
                </c:pt>
                <c:pt idx="43">
                  <c:v>0</c:v>
                </c:pt>
                <c:pt idx="44">
                  <c:v>112130</c:v>
                </c:pt>
                <c:pt idx="45">
                  <c:v>0</c:v>
                </c:pt>
                <c:pt idx="46">
                  <c:v>0</c:v>
                </c:pt>
                <c:pt idx="47">
                  <c:v>135812</c:v>
                </c:pt>
                <c:pt idx="48">
                  <c:v>0</c:v>
                </c:pt>
                <c:pt idx="49">
                  <c:v>139350</c:v>
                </c:pt>
                <c:pt idx="50">
                  <c:v>0</c:v>
                </c:pt>
                <c:pt idx="51">
                  <c:v>0</c:v>
                </c:pt>
                <c:pt idx="52">
                  <c:v>146954</c:v>
                </c:pt>
                <c:pt idx="53">
                  <c:v>0</c:v>
                </c:pt>
                <c:pt idx="54">
                  <c:v>0</c:v>
                </c:pt>
                <c:pt idx="55">
                  <c:v>148007</c:v>
                </c:pt>
                <c:pt idx="56">
                  <c:v>0</c:v>
                </c:pt>
                <c:pt idx="57">
                  <c:v>152060</c:v>
                </c:pt>
                <c:pt idx="58">
                  <c:v>0</c:v>
                </c:pt>
                <c:pt idx="59">
                  <c:v>0</c:v>
                </c:pt>
                <c:pt idx="60">
                  <c:v>152109</c:v>
                </c:pt>
                <c:pt idx="61">
                  <c:v>0</c:v>
                </c:pt>
                <c:pt idx="62">
                  <c:v>170947</c:v>
                </c:pt>
                <c:pt idx="63">
                  <c:v>0</c:v>
                </c:pt>
                <c:pt idx="64">
                  <c:v>0</c:v>
                </c:pt>
                <c:pt idx="65">
                  <c:v>142065</c:v>
                </c:pt>
                <c:pt idx="66">
                  <c:v>0</c:v>
                </c:pt>
                <c:pt idx="67">
                  <c:v>145995</c:v>
                </c:pt>
                <c:pt idx="68">
                  <c:v>0</c:v>
                </c:pt>
                <c:pt idx="69">
                  <c:v>0</c:v>
                </c:pt>
                <c:pt idx="70">
                  <c:v>152118</c:v>
                </c:pt>
                <c:pt idx="71">
                  <c:v>0</c:v>
                </c:pt>
                <c:pt idx="72">
                  <c:v>0</c:v>
                </c:pt>
                <c:pt idx="73">
                  <c:v>157793</c:v>
                </c:pt>
                <c:pt idx="74">
                  <c:v>0</c:v>
                </c:pt>
                <c:pt idx="75">
                  <c:v>164523</c:v>
                </c:pt>
                <c:pt idx="76">
                  <c:v>0</c:v>
                </c:pt>
                <c:pt idx="77">
                  <c:v>0</c:v>
                </c:pt>
                <c:pt idx="78">
                  <c:v>173529</c:v>
                </c:pt>
                <c:pt idx="79">
                  <c:v>0</c:v>
                </c:pt>
                <c:pt idx="80">
                  <c:v>163917</c:v>
                </c:pt>
                <c:pt idx="81">
                  <c:v>0</c:v>
                </c:pt>
                <c:pt idx="82">
                  <c:v>0</c:v>
                </c:pt>
                <c:pt idx="83">
                  <c:v>162023</c:v>
                </c:pt>
                <c:pt idx="84">
                  <c:v>0</c:v>
                </c:pt>
                <c:pt idx="85">
                  <c:v>0</c:v>
                </c:pt>
                <c:pt idx="86">
                  <c:v>164693</c:v>
                </c:pt>
                <c:pt idx="87">
                  <c:v>0</c:v>
                </c:pt>
                <c:pt idx="88">
                  <c:v>158241</c:v>
                </c:pt>
                <c:pt idx="89">
                  <c:v>0</c:v>
                </c:pt>
                <c:pt idx="90">
                  <c:v>0</c:v>
                </c:pt>
                <c:pt idx="91">
                  <c:v>161964</c:v>
                </c:pt>
                <c:pt idx="92">
                  <c:v>0</c:v>
                </c:pt>
                <c:pt idx="93">
                  <c:v>147573</c:v>
                </c:pt>
                <c:pt idx="94">
                  <c:v>0</c:v>
                </c:pt>
                <c:pt idx="95">
                  <c:v>0</c:v>
                </c:pt>
                <c:pt idx="96">
                  <c:v>147915</c:v>
                </c:pt>
                <c:pt idx="97">
                  <c:v>0</c:v>
                </c:pt>
                <c:pt idx="98">
                  <c:v>143208</c:v>
                </c:pt>
                <c:pt idx="99">
                  <c:v>0</c:v>
                </c:pt>
                <c:pt idx="100">
                  <c:v>0</c:v>
                </c:pt>
                <c:pt idx="101">
                  <c:v>139493</c:v>
                </c:pt>
                <c:pt idx="102">
                  <c:v>0</c:v>
                </c:pt>
                <c:pt idx="103">
                  <c:v>0</c:v>
                </c:pt>
                <c:pt idx="104">
                  <c:v>143308</c:v>
                </c:pt>
                <c:pt idx="105">
                  <c:v>0</c:v>
                </c:pt>
                <c:pt idx="106">
                  <c:v>142593</c:v>
                </c:pt>
                <c:pt idx="107">
                  <c:v>0</c:v>
                </c:pt>
                <c:pt idx="108">
                  <c:v>0</c:v>
                </c:pt>
                <c:pt idx="109">
                  <c:v>141609</c:v>
                </c:pt>
                <c:pt idx="110">
                  <c:v>0</c:v>
                </c:pt>
                <c:pt idx="111">
                  <c:v>135022</c:v>
                </c:pt>
                <c:pt idx="112">
                  <c:v>0</c:v>
                </c:pt>
                <c:pt idx="113">
                  <c:v>0</c:v>
                </c:pt>
                <c:pt idx="114">
                  <c:v>139180</c:v>
                </c:pt>
                <c:pt idx="115">
                  <c:v>0</c:v>
                </c:pt>
                <c:pt idx="116">
                  <c:v>133629</c:v>
                </c:pt>
                <c:pt idx="117">
                  <c:v>0</c:v>
                </c:pt>
                <c:pt idx="118">
                  <c:v>0</c:v>
                </c:pt>
                <c:pt idx="119">
                  <c:v>129813</c:v>
                </c:pt>
                <c:pt idx="120">
                  <c:v>0</c:v>
                </c:pt>
                <c:pt idx="121">
                  <c:v>0</c:v>
                </c:pt>
                <c:pt idx="122">
                  <c:v>113217</c:v>
                </c:pt>
                <c:pt idx="123">
                  <c:v>0</c:v>
                </c:pt>
                <c:pt idx="124">
                  <c:v>122586</c:v>
                </c:pt>
                <c:pt idx="125">
                  <c:v>0</c:v>
                </c:pt>
                <c:pt idx="126">
                  <c:v>0</c:v>
                </c:pt>
                <c:pt idx="127">
                  <c:v>115916</c:v>
                </c:pt>
                <c:pt idx="128">
                  <c:v>0</c:v>
                </c:pt>
                <c:pt idx="129">
                  <c:v>107793</c:v>
                </c:pt>
                <c:pt idx="130">
                  <c:v>0</c:v>
                </c:pt>
                <c:pt idx="131">
                  <c:v>0</c:v>
                </c:pt>
                <c:pt idx="132">
                  <c:v>99919</c:v>
                </c:pt>
                <c:pt idx="133">
                  <c:v>0</c:v>
                </c:pt>
                <c:pt idx="134">
                  <c:v>97451</c:v>
                </c:pt>
                <c:pt idx="135">
                  <c:v>0</c:v>
                </c:pt>
                <c:pt idx="136">
                  <c:v>0</c:v>
                </c:pt>
                <c:pt idx="137">
                  <c:v>91458</c:v>
                </c:pt>
                <c:pt idx="138">
                  <c:v>0</c:v>
                </c:pt>
                <c:pt idx="139">
                  <c:v>0</c:v>
                </c:pt>
                <c:pt idx="140">
                  <c:v>80541</c:v>
                </c:pt>
                <c:pt idx="141">
                  <c:v>0</c:v>
                </c:pt>
                <c:pt idx="142">
                  <c:v>66018</c:v>
                </c:pt>
                <c:pt idx="143">
                  <c:v>0</c:v>
                </c:pt>
                <c:pt idx="144">
                  <c:v>0</c:v>
                </c:pt>
                <c:pt idx="145">
                  <c:v>56887</c:v>
                </c:pt>
                <c:pt idx="146">
                  <c:v>0</c:v>
                </c:pt>
                <c:pt idx="147">
                  <c:v>52535</c:v>
                </c:pt>
                <c:pt idx="148">
                  <c:v>0</c:v>
                </c:pt>
                <c:pt idx="149">
                  <c:v>0</c:v>
                </c:pt>
                <c:pt idx="150">
                  <c:v>47943</c:v>
                </c:pt>
                <c:pt idx="151">
                  <c:v>0</c:v>
                </c:pt>
                <c:pt idx="152">
                  <c:v>42319</c:v>
                </c:pt>
                <c:pt idx="153">
                  <c:v>0</c:v>
                </c:pt>
                <c:pt idx="154">
                  <c:v>0</c:v>
                </c:pt>
                <c:pt idx="155">
                  <c:v>37807</c:v>
                </c:pt>
                <c:pt idx="156">
                  <c:v>0</c:v>
                </c:pt>
                <c:pt idx="157">
                  <c:v>0</c:v>
                </c:pt>
                <c:pt idx="158">
                  <c:v>35767</c:v>
                </c:pt>
                <c:pt idx="159">
                  <c:v>0</c:v>
                </c:pt>
                <c:pt idx="160">
                  <c:v>30621</c:v>
                </c:pt>
                <c:pt idx="161">
                  <c:v>0</c:v>
                </c:pt>
                <c:pt idx="162">
                  <c:v>0</c:v>
                </c:pt>
                <c:pt idx="163">
                  <c:v>23719</c:v>
                </c:pt>
                <c:pt idx="164">
                  <c:v>0</c:v>
                </c:pt>
                <c:pt idx="165">
                  <c:v>20062</c:v>
                </c:pt>
                <c:pt idx="166">
                  <c:v>0</c:v>
                </c:pt>
                <c:pt idx="167">
                  <c:v>0</c:v>
                </c:pt>
                <c:pt idx="168">
                  <c:v>13082</c:v>
                </c:pt>
                <c:pt idx="169">
                  <c:v>0</c:v>
                </c:pt>
                <c:pt idx="170">
                  <c:v>0</c:v>
                </c:pt>
                <c:pt idx="171">
                  <c:v>7283</c:v>
                </c:pt>
                <c:pt idx="172">
                  <c:v>0</c:v>
                </c:pt>
                <c:pt idx="173">
                  <c:v>4062</c:v>
                </c:pt>
                <c:pt idx="174">
                  <c:v>0</c:v>
                </c:pt>
                <c:pt idx="175">
                  <c:v>0</c:v>
                </c:pt>
                <c:pt idx="176">
                  <c:v>1896</c:v>
                </c:pt>
                <c:pt idx="177">
                  <c:v>0</c:v>
                </c:pt>
                <c:pt idx="178">
                  <c:v>592</c:v>
                </c:pt>
                <c:pt idx="179">
                  <c:v>0</c:v>
                </c:pt>
                <c:pt idx="180">
                  <c:v>0</c:v>
                </c:pt>
                <c:pt idx="181">
                  <c:v>274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  <c:pt idx="75">
                  <c:v>3.8980999999999999</c:v>
                </c:pt>
                <c:pt idx="76">
                  <c:v>3.88306</c:v>
                </c:pt>
                <c:pt idx="77">
                  <c:v>3.8604899999999995</c:v>
                </c:pt>
                <c:pt idx="78">
                  <c:v>3.8341399999999997</c:v>
                </c:pt>
                <c:pt idx="79">
                  <c:v>3.8033399999999999</c:v>
                </c:pt>
                <c:pt idx="80">
                  <c:v>3.7676400000000001</c:v>
                </c:pt>
                <c:pt idx="81">
                  <c:v>3.7263800000000002</c:v>
                </c:pt>
                <c:pt idx="82">
                  <c:v>3.6825600000000005</c:v>
                </c:pt>
                <c:pt idx="83">
                  <c:v>3.6357400000000002</c:v>
                </c:pt>
                <c:pt idx="84">
                  <c:v>3.5837699999999999</c:v>
                </c:pt>
                <c:pt idx="85">
                  <c:v>3.5299399999999999</c:v>
                </c:pt>
                <c:pt idx="86">
                  <c:v>3.4747899999999996</c:v>
                </c:pt>
                <c:pt idx="87">
                  <c:v>3.4179300000000001</c:v>
                </c:pt>
                <c:pt idx="88">
                  <c:v>3.3662900000000002</c:v>
                </c:pt>
                <c:pt idx="89">
                  <c:v>3.3217000000000003</c:v>
                </c:pt>
                <c:pt idx="90">
                  <c:v>3.2810499999999996</c:v>
                </c:pt>
                <c:pt idx="91">
                  <c:v>3.2445900000000001</c:v>
                </c:pt>
                <c:pt idx="92">
                  <c:v>3.2135699999999998</c:v>
                </c:pt>
                <c:pt idx="93">
                  <c:v>3.1882700000000002</c:v>
                </c:pt>
                <c:pt idx="94">
                  <c:v>3.1673499999999999</c:v>
                </c:pt>
                <c:pt idx="95">
                  <c:v>3.1507800000000001</c:v>
                </c:pt>
                <c:pt idx="96">
                  <c:v>3.1393900000000001</c:v>
                </c:pt>
                <c:pt idx="97">
                  <c:v>3.1297599999999997</c:v>
                </c:pt>
                <c:pt idx="98">
                  <c:v>3.1233699999999995</c:v>
                </c:pt>
                <c:pt idx="99">
                  <c:v>3.1215100000000002</c:v>
                </c:pt>
                <c:pt idx="100">
                  <c:v>3.12595</c:v>
                </c:pt>
                <c:pt idx="101">
                  <c:v>3.1336199999999996</c:v>
                </c:pt>
                <c:pt idx="102">
                  <c:v>3.149</c:v>
                </c:pt>
                <c:pt idx="103">
                  <c:v>3.1703299999999999</c:v>
                </c:pt>
                <c:pt idx="104">
                  <c:v>3.1952099999999999</c:v>
                </c:pt>
                <c:pt idx="105">
                  <c:v>3.2251000000000003</c:v>
                </c:pt>
                <c:pt idx="106">
                  <c:v>3.2565499999999998</c:v>
                </c:pt>
                <c:pt idx="107">
                  <c:v>3.2872699999999999</c:v>
                </c:pt>
                <c:pt idx="108">
                  <c:v>3.3199800000000002</c:v>
                </c:pt>
                <c:pt idx="109">
                  <c:v>3.3552999999999997</c:v>
                </c:pt>
                <c:pt idx="110">
                  <c:v>3.3900100000000002</c:v>
                </c:pt>
                <c:pt idx="111">
                  <c:v>3.4261499999999998</c:v>
                </c:pt>
                <c:pt idx="112">
                  <c:v>3.4636</c:v>
                </c:pt>
                <c:pt idx="113">
                  <c:v>3.4980899999999999</c:v>
                </c:pt>
                <c:pt idx="114">
                  <c:v>3.5257899999999998</c:v>
                </c:pt>
                <c:pt idx="115">
                  <c:v>3.54895</c:v>
                </c:pt>
                <c:pt idx="116">
                  <c:v>3.5708699999999998</c:v>
                </c:pt>
                <c:pt idx="117">
                  <c:v>3.5897600000000001</c:v>
                </c:pt>
                <c:pt idx="118">
                  <c:v>3.6040899999999998</c:v>
                </c:pt>
                <c:pt idx="119">
                  <c:v>3.6160799999999997</c:v>
                </c:pt>
                <c:pt idx="120">
                  <c:v>3.6288</c:v>
                </c:pt>
                <c:pt idx="121">
                  <c:v>3.6373899999999999</c:v>
                </c:pt>
                <c:pt idx="122">
                  <c:v>3.6433599999999999</c:v>
                </c:pt>
                <c:pt idx="123">
                  <c:v>3.6488800000000001</c:v>
                </c:pt>
                <c:pt idx="124">
                  <c:v>3.6555800000000001</c:v>
                </c:pt>
                <c:pt idx="125">
                  <c:v>3.66195</c:v>
                </c:pt>
                <c:pt idx="126">
                  <c:v>3.6670999999999996</c:v>
                </c:pt>
                <c:pt idx="127">
                  <c:v>3.6689100000000003</c:v>
                </c:pt>
                <c:pt idx="128">
                  <c:v>3.6675300000000002</c:v>
                </c:pt>
                <c:pt idx="129">
                  <c:v>3.6645100000000004</c:v>
                </c:pt>
                <c:pt idx="130">
                  <c:v>3.6591400000000003</c:v>
                </c:pt>
                <c:pt idx="131">
                  <c:v>3.65273</c:v>
                </c:pt>
                <c:pt idx="132">
                  <c:v>3.6454399999999998</c:v>
                </c:pt>
                <c:pt idx="133">
                  <c:v>3.6362499999999995</c:v>
                </c:pt>
                <c:pt idx="134">
                  <c:v>3.6270999999999995</c:v>
                </c:pt>
                <c:pt idx="135">
                  <c:v>3.6185899999999998</c:v>
                </c:pt>
                <c:pt idx="136">
                  <c:v>3.60582</c:v>
                </c:pt>
                <c:pt idx="137">
                  <c:v>3.5886</c:v>
                </c:pt>
                <c:pt idx="138">
                  <c:v>3.5698000000000003</c:v>
                </c:pt>
                <c:pt idx="139">
                  <c:v>3.5576999999999996</c:v>
                </c:pt>
                <c:pt idx="140">
                  <c:v>3.5521799999999999</c:v>
                </c:pt>
                <c:pt idx="141">
                  <c:v>3.5461100000000001</c:v>
                </c:pt>
                <c:pt idx="142">
                  <c:v>3.5409899999999999</c:v>
                </c:pt>
                <c:pt idx="143">
                  <c:v>3.5392000000000001</c:v>
                </c:pt>
                <c:pt idx="144">
                  <c:v>3.5381299999999998</c:v>
                </c:pt>
                <c:pt idx="145">
                  <c:v>3.5224899999999999</c:v>
                </c:pt>
                <c:pt idx="146">
                  <c:v>3.5125600000000001</c:v>
                </c:pt>
                <c:pt idx="147">
                  <c:v>3.5243600000000002</c:v>
                </c:pt>
                <c:pt idx="148">
                  <c:v>3.5434100000000002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  <c:pt idx="75">
                  <c:v>37.525700000000001</c:v>
                </c:pt>
                <c:pt idx="76">
                  <c:v>37.432000000000002</c:v>
                </c:pt>
                <c:pt idx="77">
                  <c:v>37.320799999999998</c:v>
                </c:pt>
                <c:pt idx="78">
                  <c:v>37.229600000000005</c:v>
                </c:pt>
                <c:pt idx="79">
                  <c:v>37.111400000000003</c:v>
                </c:pt>
                <c:pt idx="80">
                  <c:v>36.9542</c:v>
                </c:pt>
                <c:pt idx="81">
                  <c:v>36.863600000000005</c:v>
                </c:pt>
                <c:pt idx="82">
                  <c:v>36.846699999999998</c:v>
                </c:pt>
                <c:pt idx="83">
                  <c:v>36.855600000000003</c:v>
                </c:pt>
                <c:pt idx="84">
                  <c:v>36.927</c:v>
                </c:pt>
                <c:pt idx="85">
                  <c:v>37.047600000000003</c:v>
                </c:pt>
                <c:pt idx="86">
                  <c:v>37.274700000000003</c:v>
                </c:pt>
                <c:pt idx="87">
                  <c:v>37.582900000000002</c:v>
                </c:pt>
                <c:pt idx="88">
                  <c:v>37.811499999999995</c:v>
                </c:pt>
                <c:pt idx="89">
                  <c:v>38.032700000000006</c:v>
                </c:pt>
                <c:pt idx="90">
                  <c:v>38.294800000000002</c:v>
                </c:pt>
                <c:pt idx="91">
                  <c:v>38.6113</c:v>
                </c:pt>
                <c:pt idx="92">
                  <c:v>38.906400000000005</c:v>
                </c:pt>
                <c:pt idx="93">
                  <c:v>39.171900000000001</c:v>
                </c:pt>
                <c:pt idx="94">
                  <c:v>39.420200000000001</c:v>
                </c:pt>
                <c:pt idx="95">
                  <c:v>39.637599999999999</c:v>
                </c:pt>
                <c:pt idx="96">
                  <c:v>39.766800000000003</c:v>
                </c:pt>
                <c:pt idx="97">
                  <c:v>39.859099999999998</c:v>
                </c:pt>
                <c:pt idx="98">
                  <c:v>39.932699999999997</c:v>
                </c:pt>
                <c:pt idx="99">
                  <c:v>39.940999999999995</c:v>
                </c:pt>
                <c:pt idx="100">
                  <c:v>39.778799999999997</c:v>
                </c:pt>
                <c:pt idx="101">
                  <c:v>39.532499999999999</c:v>
                </c:pt>
                <c:pt idx="102">
                  <c:v>39.143299999999996</c:v>
                </c:pt>
                <c:pt idx="103">
                  <c:v>38.596200000000003</c:v>
                </c:pt>
                <c:pt idx="104">
                  <c:v>38.04</c:v>
                </c:pt>
                <c:pt idx="105">
                  <c:v>37.576300000000003</c:v>
                </c:pt>
                <c:pt idx="106">
                  <c:v>37.255400000000002</c:v>
                </c:pt>
                <c:pt idx="107">
                  <c:v>37.019000000000005</c:v>
                </c:pt>
                <c:pt idx="108">
                  <c:v>36.834299999999999</c:v>
                </c:pt>
                <c:pt idx="109">
                  <c:v>36.759399999999999</c:v>
                </c:pt>
                <c:pt idx="110">
                  <c:v>36.782800000000002</c:v>
                </c:pt>
                <c:pt idx="111">
                  <c:v>36.786200000000001</c:v>
                </c:pt>
                <c:pt idx="112">
                  <c:v>36.815300000000001</c:v>
                </c:pt>
                <c:pt idx="113">
                  <c:v>36.908900000000003</c:v>
                </c:pt>
                <c:pt idx="114">
                  <c:v>37.0471</c:v>
                </c:pt>
                <c:pt idx="115">
                  <c:v>37.248599999999996</c:v>
                </c:pt>
                <c:pt idx="116">
                  <c:v>37.450000000000003</c:v>
                </c:pt>
                <c:pt idx="117">
                  <c:v>37.675899999999999</c:v>
                </c:pt>
                <c:pt idx="118">
                  <c:v>37.894299999999994</c:v>
                </c:pt>
                <c:pt idx="119">
                  <c:v>38.044200000000004</c:v>
                </c:pt>
                <c:pt idx="120">
                  <c:v>38.135300000000001</c:v>
                </c:pt>
                <c:pt idx="121">
                  <c:v>38.234699999999997</c:v>
                </c:pt>
                <c:pt idx="122">
                  <c:v>38.375</c:v>
                </c:pt>
                <c:pt idx="123">
                  <c:v>38.457999999999998</c:v>
                </c:pt>
                <c:pt idx="124">
                  <c:v>38.446799999999996</c:v>
                </c:pt>
                <c:pt idx="125">
                  <c:v>38.399499999999996</c:v>
                </c:pt>
                <c:pt idx="126">
                  <c:v>38.371400000000001</c:v>
                </c:pt>
                <c:pt idx="127">
                  <c:v>38.337900000000005</c:v>
                </c:pt>
                <c:pt idx="128">
                  <c:v>38.362299999999998</c:v>
                </c:pt>
                <c:pt idx="129">
                  <c:v>38.418999999999997</c:v>
                </c:pt>
                <c:pt idx="130">
                  <c:v>38.476500000000001</c:v>
                </c:pt>
                <c:pt idx="131">
                  <c:v>38.492399999999996</c:v>
                </c:pt>
                <c:pt idx="132">
                  <c:v>38.492199999999997</c:v>
                </c:pt>
                <c:pt idx="133">
                  <c:v>38.521300000000004</c:v>
                </c:pt>
                <c:pt idx="134">
                  <c:v>38.560899999999997</c:v>
                </c:pt>
                <c:pt idx="135">
                  <c:v>38.5899</c:v>
                </c:pt>
                <c:pt idx="136">
                  <c:v>38.728200000000001</c:v>
                </c:pt>
                <c:pt idx="137">
                  <c:v>38.9876</c:v>
                </c:pt>
                <c:pt idx="138">
                  <c:v>39.298699999999997</c:v>
                </c:pt>
                <c:pt idx="139">
                  <c:v>39.562399999999997</c:v>
                </c:pt>
                <c:pt idx="140">
                  <c:v>39.785499999999999</c:v>
                </c:pt>
                <c:pt idx="141">
                  <c:v>39.92</c:v>
                </c:pt>
                <c:pt idx="142">
                  <c:v>39.972099999999998</c:v>
                </c:pt>
                <c:pt idx="143">
                  <c:v>39.944099999999999</c:v>
                </c:pt>
                <c:pt idx="144">
                  <c:v>40.003999999999998</c:v>
                </c:pt>
                <c:pt idx="145">
                  <c:v>40.340399999999995</c:v>
                </c:pt>
                <c:pt idx="146">
                  <c:v>40.724199999999996</c:v>
                </c:pt>
                <c:pt idx="147">
                  <c:v>40.566800000000001</c:v>
                </c:pt>
                <c:pt idx="148">
                  <c:v>40.185600000000001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3.9187899999999996</c:v>
                </c:pt>
                <c:pt idx="1">
                  <c:v>3.8980999999999999</c:v>
                </c:pt>
                <c:pt idx="2">
                  <c:v>3.88306</c:v>
                </c:pt>
                <c:pt idx="3">
                  <c:v>3.8604899999999995</c:v>
                </c:pt>
                <c:pt idx="4">
                  <c:v>3.8341399999999997</c:v>
                </c:pt>
                <c:pt idx="5">
                  <c:v>3.8033399999999999</c:v>
                </c:pt>
                <c:pt idx="6">
                  <c:v>3.7676400000000001</c:v>
                </c:pt>
                <c:pt idx="7">
                  <c:v>3.7263800000000002</c:v>
                </c:pt>
                <c:pt idx="8">
                  <c:v>3.6825600000000005</c:v>
                </c:pt>
                <c:pt idx="9">
                  <c:v>3.6357400000000002</c:v>
                </c:pt>
                <c:pt idx="10">
                  <c:v>3.5837699999999999</c:v>
                </c:pt>
                <c:pt idx="11">
                  <c:v>3.5299399999999999</c:v>
                </c:pt>
                <c:pt idx="12">
                  <c:v>3.4747899999999996</c:v>
                </c:pt>
                <c:pt idx="13">
                  <c:v>3.4179300000000001</c:v>
                </c:pt>
                <c:pt idx="14">
                  <c:v>3.3662900000000002</c:v>
                </c:pt>
                <c:pt idx="15">
                  <c:v>3.3217000000000003</c:v>
                </c:pt>
                <c:pt idx="16">
                  <c:v>3.2810499999999996</c:v>
                </c:pt>
                <c:pt idx="17">
                  <c:v>3.2445900000000001</c:v>
                </c:pt>
                <c:pt idx="18">
                  <c:v>3.2135699999999998</c:v>
                </c:pt>
                <c:pt idx="19">
                  <c:v>3.1882700000000002</c:v>
                </c:pt>
                <c:pt idx="20">
                  <c:v>3.1673499999999999</c:v>
                </c:pt>
                <c:pt idx="21">
                  <c:v>3.1507800000000001</c:v>
                </c:pt>
                <c:pt idx="22">
                  <c:v>3.1393900000000001</c:v>
                </c:pt>
                <c:pt idx="23">
                  <c:v>3.1297599999999997</c:v>
                </c:pt>
                <c:pt idx="24">
                  <c:v>3.1233699999999995</c:v>
                </c:pt>
                <c:pt idx="25">
                  <c:v>3.1215100000000002</c:v>
                </c:pt>
                <c:pt idx="26">
                  <c:v>3.12595</c:v>
                </c:pt>
                <c:pt idx="27">
                  <c:v>3.1336199999999996</c:v>
                </c:pt>
                <c:pt idx="28">
                  <c:v>3.149</c:v>
                </c:pt>
                <c:pt idx="29">
                  <c:v>3.1703299999999999</c:v>
                </c:pt>
                <c:pt idx="30">
                  <c:v>3.1952099999999999</c:v>
                </c:pt>
                <c:pt idx="31">
                  <c:v>3.2251000000000003</c:v>
                </c:pt>
                <c:pt idx="32">
                  <c:v>3.2565499999999998</c:v>
                </c:pt>
                <c:pt idx="33">
                  <c:v>3.2872699999999999</c:v>
                </c:pt>
                <c:pt idx="34">
                  <c:v>3.3199800000000002</c:v>
                </c:pt>
                <c:pt idx="35">
                  <c:v>3.3552999999999997</c:v>
                </c:pt>
                <c:pt idx="36">
                  <c:v>3.3900100000000002</c:v>
                </c:pt>
                <c:pt idx="37">
                  <c:v>3.4261499999999998</c:v>
                </c:pt>
                <c:pt idx="38">
                  <c:v>3.4636</c:v>
                </c:pt>
                <c:pt idx="39">
                  <c:v>3.4980899999999999</c:v>
                </c:pt>
                <c:pt idx="40">
                  <c:v>3.5257899999999998</c:v>
                </c:pt>
                <c:pt idx="41">
                  <c:v>3.54895</c:v>
                </c:pt>
                <c:pt idx="42">
                  <c:v>3.5708699999999998</c:v>
                </c:pt>
                <c:pt idx="43">
                  <c:v>3.5897600000000001</c:v>
                </c:pt>
                <c:pt idx="44">
                  <c:v>3.6040899999999998</c:v>
                </c:pt>
                <c:pt idx="45">
                  <c:v>3.6160799999999997</c:v>
                </c:pt>
                <c:pt idx="46">
                  <c:v>3.6288</c:v>
                </c:pt>
                <c:pt idx="47">
                  <c:v>3.6373899999999999</c:v>
                </c:pt>
                <c:pt idx="48">
                  <c:v>3.6433599999999999</c:v>
                </c:pt>
                <c:pt idx="49">
                  <c:v>3.6488800000000001</c:v>
                </c:pt>
                <c:pt idx="50">
                  <c:v>3.6555800000000001</c:v>
                </c:pt>
                <c:pt idx="51">
                  <c:v>3.66195</c:v>
                </c:pt>
                <c:pt idx="52">
                  <c:v>3.6670999999999996</c:v>
                </c:pt>
                <c:pt idx="53">
                  <c:v>3.6689100000000003</c:v>
                </c:pt>
                <c:pt idx="54">
                  <c:v>3.6675300000000002</c:v>
                </c:pt>
                <c:pt idx="55">
                  <c:v>3.6645100000000004</c:v>
                </c:pt>
                <c:pt idx="56">
                  <c:v>3.6591400000000003</c:v>
                </c:pt>
                <c:pt idx="57">
                  <c:v>3.65273</c:v>
                </c:pt>
                <c:pt idx="58">
                  <c:v>3.6454399999999998</c:v>
                </c:pt>
                <c:pt idx="59">
                  <c:v>3.6362499999999995</c:v>
                </c:pt>
                <c:pt idx="60">
                  <c:v>3.6270999999999995</c:v>
                </c:pt>
                <c:pt idx="61">
                  <c:v>3.6185899999999998</c:v>
                </c:pt>
                <c:pt idx="62">
                  <c:v>3.60582</c:v>
                </c:pt>
                <c:pt idx="63">
                  <c:v>3.5886</c:v>
                </c:pt>
                <c:pt idx="64">
                  <c:v>3.5698000000000003</c:v>
                </c:pt>
                <c:pt idx="65">
                  <c:v>3.5576999999999996</c:v>
                </c:pt>
                <c:pt idx="66">
                  <c:v>3.5521799999999999</c:v>
                </c:pt>
                <c:pt idx="67">
                  <c:v>3.5461100000000001</c:v>
                </c:pt>
                <c:pt idx="68">
                  <c:v>3.5409899999999999</c:v>
                </c:pt>
                <c:pt idx="69">
                  <c:v>3.5392000000000001</c:v>
                </c:pt>
                <c:pt idx="70">
                  <c:v>3.5381299999999998</c:v>
                </c:pt>
                <c:pt idx="71">
                  <c:v>3.5224899999999999</c:v>
                </c:pt>
                <c:pt idx="72">
                  <c:v>3.5125600000000001</c:v>
                </c:pt>
                <c:pt idx="73">
                  <c:v>3.5243600000000002</c:v>
                </c:pt>
                <c:pt idx="74">
                  <c:v>3.5434100000000002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37.618699999999997</c:v>
                </c:pt>
                <c:pt idx="1">
                  <c:v>37.525700000000001</c:v>
                </c:pt>
                <c:pt idx="2">
                  <c:v>37.432000000000002</c:v>
                </c:pt>
                <c:pt idx="3">
                  <c:v>37.320799999999998</c:v>
                </c:pt>
                <c:pt idx="4">
                  <c:v>37.229600000000005</c:v>
                </c:pt>
                <c:pt idx="5">
                  <c:v>37.111400000000003</c:v>
                </c:pt>
                <c:pt idx="6">
                  <c:v>36.9542</c:v>
                </c:pt>
                <c:pt idx="7">
                  <c:v>36.863600000000005</c:v>
                </c:pt>
                <c:pt idx="8">
                  <c:v>36.846699999999998</c:v>
                </c:pt>
                <c:pt idx="9">
                  <c:v>36.855600000000003</c:v>
                </c:pt>
                <c:pt idx="10">
                  <c:v>36.927</c:v>
                </c:pt>
                <c:pt idx="11">
                  <c:v>37.047600000000003</c:v>
                </c:pt>
                <c:pt idx="12">
                  <c:v>37.274700000000003</c:v>
                </c:pt>
                <c:pt idx="13">
                  <c:v>37.582900000000002</c:v>
                </c:pt>
                <c:pt idx="14">
                  <c:v>37.811499999999995</c:v>
                </c:pt>
                <c:pt idx="15">
                  <c:v>38.032700000000006</c:v>
                </c:pt>
                <c:pt idx="16">
                  <c:v>38.294800000000002</c:v>
                </c:pt>
                <c:pt idx="17">
                  <c:v>38.6113</c:v>
                </c:pt>
                <c:pt idx="18">
                  <c:v>38.906400000000005</c:v>
                </c:pt>
                <c:pt idx="19">
                  <c:v>39.171900000000001</c:v>
                </c:pt>
                <c:pt idx="20">
                  <c:v>39.420200000000001</c:v>
                </c:pt>
                <c:pt idx="21">
                  <c:v>39.637599999999999</c:v>
                </c:pt>
                <c:pt idx="22">
                  <c:v>39.766800000000003</c:v>
                </c:pt>
                <c:pt idx="23">
                  <c:v>39.859099999999998</c:v>
                </c:pt>
                <c:pt idx="24">
                  <c:v>39.932699999999997</c:v>
                </c:pt>
                <c:pt idx="25">
                  <c:v>39.940999999999995</c:v>
                </c:pt>
                <c:pt idx="26">
                  <c:v>39.778799999999997</c:v>
                </c:pt>
                <c:pt idx="27">
                  <c:v>39.532499999999999</c:v>
                </c:pt>
                <c:pt idx="28">
                  <c:v>39.143299999999996</c:v>
                </c:pt>
                <c:pt idx="29">
                  <c:v>38.596200000000003</c:v>
                </c:pt>
                <c:pt idx="30">
                  <c:v>38.04</c:v>
                </c:pt>
                <c:pt idx="31">
                  <c:v>37.576300000000003</c:v>
                </c:pt>
                <c:pt idx="32">
                  <c:v>37.255400000000002</c:v>
                </c:pt>
                <c:pt idx="33">
                  <c:v>37.019000000000005</c:v>
                </c:pt>
                <c:pt idx="34">
                  <c:v>36.834299999999999</c:v>
                </c:pt>
                <c:pt idx="35">
                  <c:v>36.759399999999999</c:v>
                </c:pt>
                <c:pt idx="36">
                  <c:v>36.782800000000002</c:v>
                </c:pt>
                <c:pt idx="37">
                  <c:v>36.786200000000001</c:v>
                </c:pt>
                <c:pt idx="38">
                  <c:v>36.815300000000001</c:v>
                </c:pt>
                <c:pt idx="39">
                  <c:v>36.908900000000003</c:v>
                </c:pt>
                <c:pt idx="40">
                  <c:v>37.0471</c:v>
                </c:pt>
                <c:pt idx="41">
                  <c:v>37.248599999999996</c:v>
                </c:pt>
                <c:pt idx="42">
                  <c:v>37.450000000000003</c:v>
                </c:pt>
                <c:pt idx="43">
                  <c:v>37.675899999999999</c:v>
                </c:pt>
                <c:pt idx="44">
                  <c:v>37.894299999999994</c:v>
                </c:pt>
                <c:pt idx="45">
                  <c:v>38.044200000000004</c:v>
                </c:pt>
                <c:pt idx="46">
                  <c:v>38.135300000000001</c:v>
                </c:pt>
                <c:pt idx="47">
                  <c:v>38.234699999999997</c:v>
                </c:pt>
                <c:pt idx="48">
                  <c:v>38.375</c:v>
                </c:pt>
                <c:pt idx="49">
                  <c:v>38.457999999999998</c:v>
                </c:pt>
                <c:pt idx="50">
                  <c:v>38.446799999999996</c:v>
                </c:pt>
                <c:pt idx="51">
                  <c:v>38.399499999999996</c:v>
                </c:pt>
                <c:pt idx="52">
                  <c:v>38.371400000000001</c:v>
                </c:pt>
                <c:pt idx="53">
                  <c:v>38.337900000000005</c:v>
                </c:pt>
                <c:pt idx="54">
                  <c:v>38.362299999999998</c:v>
                </c:pt>
                <c:pt idx="55">
                  <c:v>38.418999999999997</c:v>
                </c:pt>
                <c:pt idx="56">
                  <c:v>38.476500000000001</c:v>
                </c:pt>
                <c:pt idx="57">
                  <c:v>38.492399999999996</c:v>
                </c:pt>
                <c:pt idx="58">
                  <c:v>38.492199999999997</c:v>
                </c:pt>
                <c:pt idx="59">
                  <c:v>38.521300000000004</c:v>
                </c:pt>
                <c:pt idx="60">
                  <c:v>38.560899999999997</c:v>
                </c:pt>
                <c:pt idx="61">
                  <c:v>38.5899</c:v>
                </c:pt>
                <c:pt idx="62">
                  <c:v>38.728200000000001</c:v>
                </c:pt>
                <c:pt idx="63">
                  <c:v>38.9876</c:v>
                </c:pt>
                <c:pt idx="64">
                  <c:v>39.298699999999997</c:v>
                </c:pt>
                <c:pt idx="65">
                  <c:v>39.562399999999997</c:v>
                </c:pt>
                <c:pt idx="66">
                  <c:v>39.785499999999999</c:v>
                </c:pt>
                <c:pt idx="67">
                  <c:v>39.92</c:v>
                </c:pt>
                <c:pt idx="68">
                  <c:v>39.972099999999998</c:v>
                </c:pt>
                <c:pt idx="69">
                  <c:v>39.944099999999999</c:v>
                </c:pt>
                <c:pt idx="70">
                  <c:v>40.003999999999998</c:v>
                </c:pt>
                <c:pt idx="71">
                  <c:v>40.340399999999995</c:v>
                </c:pt>
                <c:pt idx="72">
                  <c:v>40.724199999999996</c:v>
                </c:pt>
                <c:pt idx="73">
                  <c:v>40.566800000000001</c:v>
                </c:pt>
                <c:pt idx="74">
                  <c:v>40.185600000000001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3.3114394594594598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38.534404054054036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3.4986108108108112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38.319893243243236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3.4986108108108112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38.319893243243236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0.18240931185901327</c:v>
                </c:pt>
                <c:pt idx="1">
                  <c:v>0.31629096734308954</c:v>
                </c:pt>
                <c:pt idx="2">
                  <c:v>0.5012997207978972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  <c:pt idx="75">
                  <c:v>30.5792</c:v>
                </c:pt>
                <c:pt idx="76">
                  <c:v>30.9542</c:v>
                </c:pt>
                <c:pt idx="77">
                  <c:v>31.345099999999999</c:v>
                </c:pt>
                <c:pt idx="78">
                  <c:v>31.75</c:v>
                </c:pt>
                <c:pt idx="79">
                  <c:v>32.135100000000001</c:v>
                </c:pt>
                <c:pt idx="80">
                  <c:v>32.543399999999998</c:v>
                </c:pt>
                <c:pt idx="81">
                  <c:v>32.950200000000002</c:v>
                </c:pt>
                <c:pt idx="82">
                  <c:v>33.357700000000001</c:v>
                </c:pt>
                <c:pt idx="83">
                  <c:v>33.766599999999997</c:v>
                </c:pt>
                <c:pt idx="84">
                  <c:v>34.1676</c:v>
                </c:pt>
                <c:pt idx="85">
                  <c:v>34.577500000000001</c:v>
                </c:pt>
                <c:pt idx="86">
                  <c:v>34.980400000000003</c:v>
                </c:pt>
                <c:pt idx="87">
                  <c:v>35.3874</c:v>
                </c:pt>
                <c:pt idx="88">
                  <c:v>35.797199999999997</c:v>
                </c:pt>
                <c:pt idx="89">
                  <c:v>36.204000000000001</c:v>
                </c:pt>
                <c:pt idx="90">
                  <c:v>36.607999999999997</c:v>
                </c:pt>
                <c:pt idx="91">
                  <c:v>37.009500000000003</c:v>
                </c:pt>
                <c:pt idx="92">
                  <c:v>37.417999999999999</c:v>
                </c:pt>
                <c:pt idx="93">
                  <c:v>37.823099999999997</c:v>
                </c:pt>
                <c:pt idx="94">
                  <c:v>38.231699999999996</c:v>
                </c:pt>
                <c:pt idx="95">
                  <c:v>38.642800000000001</c:v>
                </c:pt>
                <c:pt idx="96">
                  <c:v>39.042499999999997</c:v>
                </c:pt>
                <c:pt idx="97">
                  <c:v>39.452500000000001</c:v>
                </c:pt>
                <c:pt idx="98">
                  <c:v>39.860999999999997</c:v>
                </c:pt>
                <c:pt idx="99">
                  <c:v>40.262500000000003</c:v>
                </c:pt>
                <c:pt idx="100">
                  <c:v>40.670200000000001</c:v>
                </c:pt>
                <c:pt idx="101">
                  <c:v>41.081000000000003</c:v>
                </c:pt>
                <c:pt idx="102">
                  <c:v>41.483899999999998</c:v>
                </c:pt>
                <c:pt idx="103">
                  <c:v>41.8889</c:v>
                </c:pt>
                <c:pt idx="104">
                  <c:v>42.295999999999999</c:v>
                </c:pt>
                <c:pt idx="105">
                  <c:v>42.700800000000001</c:v>
                </c:pt>
                <c:pt idx="106">
                  <c:v>43.110100000000003</c:v>
                </c:pt>
                <c:pt idx="107">
                  <c:v>43.515599999999999</c:v>
                </c:pt>
                <c:pt idx="108">
                  <c:v>43.918500000000002</c:v>
                </c:pt>
                <c:pt idx="109">
                  <c:v>44.329500000000003</c:v>
                </c:pt>
                <c:pt idx="110">
                  <c:v>44.734299999999998</c:v>
                </c:pt>
                <c:pt idx="111">
                  <c:v>45.140300000000003</c:v>
                </c:pt>
                <c:pt idx="112">
                  <c:v>45.546100000000003</c:v>
                </c:pt>
                <c:pt idx="113">
                  <c:v>45.952100000000002</c:v>
                </c:pt>
                <c:pt idx="114">
                  <c:v>46.359000000000002</c:v>
                </c:pt>
                <c:pt idx="115">
                  <c:v>46.761899999999997</c:v>
                </c:pt>
                <c:pt idx="116">
                  <c:v>47.1708</c:v>
                </c:pt>
                <c:pt idx="117">
                  <c:v>47.5779</c:v>
                </c:pt>
                <c:pt idx="118">
                  <c:v>47.985599999999998</c:v>
                </c:pt>
                <c:pt idx="119">
                  <c:v>48.387500000000003</c:v>
                </c:pt>
                <c:pt idx="120">
                  <c:v>48.801400000000001</c:v>
                </c:pt>
                <c:pt idx="121">
                  <c:v>49.198500000000003</c:v>
                </c:pt>
                <c:pt idx="122">
                  <c:v>49.607500000000002</c:v>
                </c:pt>
                <c:pt idx="123">
                  <c:v>50.017099999999999</c:v>
                </c:pt>
                <c:pt idx="124">
                  <c:v>50.4191</c:v>
                </c:pt>
                <c:pt idx="125">
                  <c:v>50.827100000000002</c:v>
                </c:pt>
                <c:pt idx="126">
                  <c:v>51.233899999999998</c:v>
                </c:pt>
                <c:pt idx="127">
                  <c:v>51.641199999999998</c:v>
                </c:pt>
                <c:pt idx="128">
                  <c:v>52.043900000000001</c:v>
                </c:pt>
                <c:pt idx="129">
                  <c:v>52.4529</c:v>
                </c:pt>
                <c:pt idx="130">
                  <c:v>52.861600000000003</c:v>
                </c:pt>
                <c:pt idx="131">
                  <c:v>53.260800000000003</c:v>
                </c:pt>
                <c:pt idx="132">
                  <c:v>53.674100000000003</c:v>
                </c:pt>
                <c:pt idx="133">
                  <c:v>54.082700000000003</c:v>
                </c:pt>
                <c:pt idx="134">
                  <c:v>54.487499999999997</c:v>
                </c:pt>
                <c:pt idx="135">
                  <c:v>54.894300000000001</c:v>
                </c:pt>
                <c:pt idx="136">
                  <c:v>55.302199999999999</c:v>
                </c:pt>
                <c:pt idx="137">
                  <c:v>55.7074</c:v>
                </c:pt>
                <c:pt idx="138">
                  <c:v>56.110599999999998</c:v>
                </c:pt>
                <c:pt idx="139">
                  <c:v>56.5182</c:v>
                </c:pt>
                <c:pt idx="140">
                  <c:v>56.920999999999999</c:v>
                </c:pt>
                <c:pt idx="141">
                  <c:v>57.322899999999997</c:v>
                </c:pt>
                <c:pt idx="142">
                  <c:v>57.735599999999998</c:v>
                </c:pt>
                <c:pt idx="143">
                  <c:v>58.140500000000003</c:v>
                </c:pt>
                <c:pt idx="144">
                  <c:v>58.546399999999998</c:v>
                </c:pt>
                <c:pt idx="145">
                  <c:v>58.951500000000003</c:v>
                </c:pt>
                <c:pt idx="146">
                  <c:v>59.358199999999997</c:v>
                </c:pt>
                <c:pt idx="147">
                  <c:v>59.764200000000002</c:v>
                </c:pt>
                <c:pt idx="148">
                  <c:v>60.167999999999999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  <c:pt idx="75">
                  <c:v>3.8980999999999999</c:v>
                </c:pt>
                <c:pt idx="76">
                  <c:v>3.88306</c:v>
                </c:pt>
                <c:pt idx="77">
                  <c:v>3.8604899999999995</c:v>
                </c:pt>
                <c:pt idx="78">
                  <c:v>3.8341399999999997</c:v>
                </c:pt>
                <c:pt idx="79">
                  <c:v>3.8033399999999999</c:v>
                </c:pt>
                <c:pt idx="80">
                  <c:v>3.7676400000000001</c:v>
                </c:pt>
                <c:pt idx="81">
                  <c:v>3.7263800000000002</c:v>
                </c:pt>
                <c:pt idx="82">
                  <c:v>3.6825600000000005</c:v>
                </c:pt>
                <c:pt idx="83">
                  <c:v>3.6357400000000002</c:v>
                </c:pt>
                <c:pt idx="84">
                  <c:v>3.5837699999999999</c:v>
                </c:pt>
                <c:pt idx="85">
                  <c:v>3.5299399999999999</c:v>
                </c:pt>
                <c:pt idx="86">
                  <c:v>3.4747899999999996</c:v>
                </c:pt>
                <c:pt idx="87">
                  <c:v>3.4179300000000001</c:v>
                </c:pt>
                <c:pt idx="88">
                  <c:v>3.3662900000000002</c:v>
                </c:pt>
                <c:pt idx="89">
                  <c:v>3.3217000000000003</c:v>
                </c:pt>
                <c:pt idx="90">
                  <c:v>3.2810499999999996</c:v>
                </c:pt>
                <c:pt idx="91">
                  <c:v>3.2445900000000001</c:v>
                </c:pt>
                <c:pt idx="92">
                  <c:v>3.2135699999999998</c:v>
                </c:pt>
                <c:pt idx="93">
                  <c:v>3.1882700000000002</c:v>
                </c:pt>
                <c:pt idx="94">
                  <c:v>3.1673499999999999</c:v>
                </c:pt>
                <c:pt idx="95">
                  <c:v>3.1507800000000001</c:v>
                </c:pt>
                <c:pt idx="96">
                  <c:v>3.1393900000000001</c:v>
                </c:pt>
                <c:pt idx="97">
                  <c:v>3.1297599999999997</c:v>
                </c:pt>
                <c:pt idx="98">
                  <c:v>3.1233699999999995</c:v>
                </c:pt>
                <c:pt idx="99">
                  <c:v>3.1215100000000002</c:v>
                </c:pt>
                <c:pt idx="100">
                  <c:v>3.12595</c:v>
                </c:pt>
                <c:pt idx="101">
                  <c:v>3.1336199999999996</c:v>
                </c:pt>
                <c:pt idx="102">
                  <c:v>3.149</c:v>
                </c:pt>
                <c:pt idx="103">
                  <c:v>3.1703299999999999</c:v>
                </c:pt>
                <c:pt idx="104">
                  <c:v>3.1952099999999999</c:v>
                </c:pt>
                <c:pt idx="105">
                  <c:v>3.2251000000000003</c:v>
                </c:pt>
                <c:pt idx="106">
                  <c:v>3.2565499999999998</c:v>
                </c:pt>
                <c:pt idx="107">
                  <c:v>3.2872699999999999</c:v>
                </c:pt>
                <c:pt idx="108">
                  <c:v>3.3199800000000002</c:v>
                </c:pt>
                <c:pt idx="109">
                  <c:v>3.3552999999999997</c:v>
                </c:pt>
                <c:pt idx="110">
                  <c:v>3.3900100000000002</c:v>
                </c:pt>
                <c:pt idx="111">
                  <c:v>3.4261499999999998</c:v>
                </c:pt>
                <c:pt idx="112">
                  <c:v>3.4636</c:v>
                </c:pt>
                <c:pt idx="113">
                  <c:v>3.4980899999999999</c:v>
                </c:pt>
                <c:pt idx="114">
                  <c:v>3.5257899999999998</c:v>
                </c:pt>
                <c:pt idx="115">
                  <c:v>3.54895</c:v>
                </c:pt>
                <c:pt idx="116">
                  <c:v>3.5708699999999998</c:v>
                </c:pt>
                <c:pt idx="117">
                  <c:v>3.5897600000000001</c:v>
                </c:pt>
                <c:pt idx="118">
                  <c:v>3.6040899999999998</c:v>
                </c:pt>
                <c:pt idx="119">
                  <c:v>3.6160799999999997</c:v>
                </c:pt>
                <c:pt idx="120">
                  <c:v>3.6288</c:v>
                </c:pt>
                <c:pt idx="121">
                  <c:v>3.6373899999999999</c:v>
                </c:pt>
                <c:pt idx="122">
                  <c:v>3.6433599999999999</c:v>
                </c:pt>
                <c:pt idx="123">
                  <c:v>3.6488800000000001</c:v>
                </c:pt>
                <c:pt idx="124">
                  <c:v>3.6555800000000001</c:v>
                </c:pt>
                <c:pt idx="125">
                  <c:v>3.66195</c:v>
                </c:pt>
                <c:pt idx="126">
                  <c:v>3.6670999999999996</c:v>
                </c:pt>
                <c:pt idx="127">
                  <c:v>3.6689100000000003</c:v>
                </c:pt>
                <c:pt idx="128">
                  <c:v>3.6675300000000002</c:v>
                </c:pt>
                <c:pt idx="129">
                  <c:v>3.6645100000000004</c:v>
                </c:pt>
                <c:pt idx="130">
                  <c:v>3.6591400000000003</c:v>
                </c:pt>
                <c:pt idx="131">
                  <c:v>3.65273</c:v>
                </c:pt>
                <c:pt idx="132">
                  <c:v>3.6454399999999998</c:v>
                </c:pt>
                <c:pt idx="133">
                  <c:v>3.6362499999999995</c:v>
                </c:pt>
                <c:pt idx="134">
                  <c:v>3.6270999999999995</c:v>
                </c:pt>
                <c:pt idx="135">
                  <c:v>3.6185899999999998</c:v>
                </c:pt>
                <c:pt idx="136">
                  <c:v>3.60582</c:v>
                </c:pt>
                <c:pt idx="137">
                  <c:v>3.5886</c:v>
                </c:pt>
                <c:pt idx="138">
                  <c:v>3.5698000000000003</c:v>
                </c:pt>
                <c:pt idx="139">
                  <c:v>3.5576999999999996</c:v>
                </c:pt>
                <c:pt idx="140">
                  <c:v>3.5521799999999999</c:v>
                </c:pt>
                <c:pt idx="141">
                  <c:v>3.5461100000000001</c:v>
                </c:pt>
                <c:pt idx="142">
                  <c:v>3.5409899999999999</c:v>
                </c:pt>
                <c:pt idx="143">
                  <c:v>3.5392000000000001</c:v>
                </c:pt>
                <c:pt idx="144">
                  <c:v>3.5381299999999998</c:v>
                </c:pt>
                <c:pt idx="145">
                  <c:v>3.5224899999999999</c:v>
                </c:pt>
                <c:pt idx="146">
                  <c:v>3.5125600000000001</c:v>
                </c:pt>
                <c:pt idx="147">
                  <c:v>3.5243600000000002</c:v>
                </c:pt>
                <c:pt idx="148">
                  <c:v>3.5434100000000002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30.0626</c:v>
                </c:pt>
                <c:pt idx="1">
                  <c:v>30.5792</c:v>
                </c:pt>
                <c:pt idx="2">
                  <c:v>30.9542</c:v>
                </c:pt>
                <c:pt idx="3">
                  <c:v>31.345099999999999</c:v>
                </c:pt>
                <c:pt idx="4">
                  <c:v>31.75</c:v>
                </c:pt>
                <c:pt idx="5">
                  <c:v>32.135100000000001</c:v>
                </c:pt>
                <c:pt idx="6">
                  <c:v>32.543399999999998</c:v>
                </c:pt>
                <c:pt idx="7">
                  <c:v>32.950200000000002</c:v>
                </c:pt>
                <c:pt idx="8">
                  <c:v>33.357700000000001</c:v>
                </c:pt>
                <c:pt idx="9">
                  <c:v>33.766599999999997</c:v>
                </c:pt>
                <c:pt idx="10">
                  <c:v>34.1676</c:v>
                </c:pt>
                <c:pt idx="11">
                  <c:v>34.577500000000001</c:v>
                </c:pt>
                <c:pt idx="12">
                  <c:v>34.980400000000003</c:v>
                </c:pt>
                <c:pt idx="13">
                  <c:v>35.3874</c:v>
                </c:pt>
                <c:pt idx="14">
                  <c:v>35.797199999999997</c:v>
                </c:pt>
                <c:pt idx="15">
                  <c:v>36.204000000000001</c:v>
                </c:pt>
                <c:pt idx="16">
                  <c:v>36.607999999999997</c:v>
                </c:pt>
                <c:pt idx="17">
                  <c:v>37.009500000000003</c:v>
                </c:pt>
                <c:pt idx="18">
                  <c:v>37.417999999999999</c:v>
                </c:pt>
                <c:pt idx="19">
                  <c:v>37.823099999999997</c:v>
                </c:pt>
                <c:pt idx="20">
                  <c:v>38.231699999999996</c:v>
                </c:pt>
                <c:pt idx="21">
                  <c:v>38.642800000000001</c:v>
                </c:pt>
                <c:pt idx="22">
                  <c:v>39.042499999999997</c:v>
                </c:pt>
                <c:pt idx="23">
                  <c:v>39.452500000000001</c:v>
                </c:pt>
                <c:pt idx="24">
                  <c:v>39.860999999999997</c:v>
                </c:pt>
                <c:pt idx="25">
                  <c:v>40.262500000000003</c:v>
                </c:pt>
                <c:pt idx="26">
                  <c:v>40.670200000000001</c:v>
                </c:pt>
                <c:pt idx="27">
                  <c:v>41.081000000000003</c:v>
                </c:pt>
                <c:pt idx="28">
                  <c:v>41.483899999999998</c:v>
                </c:pt>
                <c:pt idx="29">
                  <c:v>41.8889</c:v>
                </c:pt>
                <c:pt idx="30">
                  <c:v>42.295999999999999</c:v>
                </c:pt>
                <c:pt idx="31">
                  <c:v>42.700800000000001</c:v>
                </c:pt>
                <c:pt idx="32">
                  <c:v>43.110100000000003</c:v>
                </c:pt>
                <c:pt idx="33">
                  <c:v>43.515599999999999</c:v>
                </c:pt>
                <c:pt idx="34">
                  <c:v>43.918500000000002</c:v>
                </c:pt>
                <c:pt idx="35">
                  <c:v>44.329500000000003</c:v>
                </c:pt>
                <c:pt idx="36">
                  <c:v>44.734299999999998</c:v>
                </c:pt>
                <c:pt idx="37">
                  <c:v>45.140300000000003</c:v>
                </c:pt>
                <c:pt idx="38">
                  <c:v>45.546100000000003</c:v>
                </c:pt>
                <c:pt idx="39">
                  <c:v>45.952100000000002</c:v>
                </c:pt>
                <c:pt idx="40">
                  <c:v>46.359000000000002</c:v>
                </c:pt>
                <c:pt idx="41">
                  <c:v>46.761899999999997</c:v>
                </c:pt>
                <c:pt idx="42">
                  <c:v>47.1708</c:v>
                </c:pt>
                <c:pt idx="43">
                  <c:v>47.5779</c:v>
                </c:pt>
                <c:pt idx="44">
                  <c:v>47.985599999999998</c:v>
                </c:pt>
                <c:pt idx="45">
                  <c:v>48.387500000000003</c:v>
                </c:pt>
                <c:pt idx="46">
                  <c:v>48.801400000000001</c:v>
                </c:pt>
                <c:pt idx="47">
                  <c:v>49.198500000000003</c:v>
                </c:pt>
                <c:pt idx="48">
                  <c:v>49.607500000000002</c:v>
                </c:pt>
                <c:pt idx="49">
                  <c:v>50.017099999999999</c:v>
                </c:pt>
                <c:pt idx="50">
                  <c:v>50.4191</c:v>
                </c:pt>
                <c:pt idx="51">
                  <c:v>50.827100000000002</c:v>
                </c:pt>
                <c:pt idx="52">
                  <c:v>51.233899999999998</c:v>
                </c:pt>
                <c:pt idx="53">
                  <c:v>51.641199999999998</c:v>
                </c:pt>
                <c:pt idx="54">
                  <c:v>52.043900000000001</c:v>
                </c:pt>
                <c:pt idx="55">
                  <c:v>52.4529</c:v>
                </c:pt>
                <c:pt idx="56">
                  <c:v>52.861600000000003</c:v>
                </c:pt>
                <c:pt idx="57">
                  <c:v>53.260800000000003</c:v>
                </c:pt>
                <c:pt idx="58">
                  <c:v>53.674100000000003</c:v>
                </c:pt>
                <c:pt idx="59">
                  <c:v>54.082700000000003</c:v>
                </c:pt>
                <c:pt idx="60">
                  <c:v>54.487499999999997</c:v>
                </c:pt>
                <c:pt idx="61">
                  <c:v>54.894300000000001</c:v>
                </c:pt>
                <c:pt idx="62">
                  <c:v>55.302199999999999</c:v>
                </c:pt>
                <c:pt idx="63">
                  <c:v>55.7074</c:v>
                </c:pt>
                <c:pt idx="64">
                  <c:v>56.110599999999998</c:v>
                </c:pt>
                <c:pt idx="65">
                  <c:v>56.5182</c:v>
                </c:pt>
                <c:pt idx="66">
                  <c:v>56.920999999999999</c:v>
                </c:pt>
                <c:pt idx="67">
                  <c:v>57.322899999999997</c:v>
                </c:pt>
                <c:pt idx="68">
                  <c:v>57.735599999999998</c:v>
                </c:pt>
                <c:pt idx="69">
                  <c:v>58.140500000000003</c:v>
                </c:pt>
                <c:pt idx="70">
                  <c:v>58.546399999999998</c:v>
                </c:pt>
                <c:pt idx="71">
                  <c:v>58.951500000000003</c:v>
                </c:pt>
                <c:pt idx="72">
                  <c:v>59.358199999999997</c:v>
                </c:pt>
                <c:pt idx="73">
                  <c:v>59.764200000000002</c:v>
                </c:pt>
                <c:pt idx="74">
                  <c:v>60.167999999999999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3.9187899999999996</c:v>
                </c:pt>
                <c:pt idx="1">
                  <c:v>3.8980999999999999</c:v>
                </c:pt>
                <c:pt idx="2">
                  <c:v>3.88306</c:v>
                </c:pt>
                <c:pt idx="3">
                  <c:v>3.8604899999999995</c:v>
                </c:pt>
                <c:pt idx="4">
                  <c:v>3.8341399999999997</c:v>
                </c:pt>
                <c:pt idx="5">
                  <c:v>3.8033399999999999</c:v>
                </c:pt>
                <c:pt idx="6">
                  <c:v>3.7676400000000001</c:v>
                </c:pt>
                <c:pt idx="7">
                  <c:v>3.7263800000000002</c:v>
                </c:pt>
                <c:pt idx="8">
                  <c:v>3.6825600000000005</c:v>
                </c:pt>
                <c:pt idx="9">
                  <c:v>3.6357400000000002</c:v>
                </c:pt>
                <c:pt idx="10">
                  <c:v>3.5837699999999999</c:v>
                </c:pt>
                <c:pt idx="11">
                  <c:v>3.5299399999999999</c:v>
                </c:pt>
                <c:pt idx="12">
                  <c:v>3.4747899999999996</c:v>
                </c:pt>
                <c:pt idx="13">
                  <c:v>3.4179300000000001</c:v>
                </c:pt>
                <c:pt idx="14">
                  <c:v>3.3662900000000002</c:v>
                </c:pt>
                <c:pt idx="15">
                  <c:v>3.3217000000000003</c:v>
                </c:pt>
                <c:pt idx="16">
                  <c:v>3.2810499999999996</c:v>
                </c:pt>
                <c:pt idx="17">
                  <c:v>3.2445900000000001</c:v>
                </c:pt>
                <c:pt idx="18">
                  <c:v>3.2135699999999998</c:v>
                </c:pt>
                <c:pt idx="19">
                  <c:v>3.1882700000000002</c:v>
                </c:pt>
                <c:pt idx="20">
                  <c:v>3.1673499999999999</c:v>
                </c:pt>
                <c:pt idx="21">
                  <c:v>3.1507800000000001</c:v>
                </c:pt>
                <c:pt idx="22">
                  <c:v>3.1393900000000001</c:v>
                </c:pt>
                <c:pt idx="23">
                  <c:v>3.1297599999999997</c:v>
                </c:pt>
                <c:pt idx="24">
                  <c:v>3.1233699999999995</c:v>
                </c:pt>
                <c:pt idx="25">
                  <c:v>3.1215100000000002</c:v>
                </c:pt>
                <c:pt idx="26">
                  <c:v>3.12595</c:v>
                </c:pt>
                <c:pt idx="27">
                  <c:v>3.1336199999999996</c:v>
                </c:pt>
                <c:pt idx="28">
                  <c:v>3.149</c:v>
                </c:pt>
                <c:pt idx="29">
                  <c:v>3.1703299999999999</c:v>
                </c:pt>
                <c:pt idx="30">
                  <c:v>3.1952099999999999</c:v>
                </c:pt>
                <c:pt idx="31">
                  <c:v>3.2251000000000003</c:v>
                </c:pt>
                <c:pt idx="32">
                  <c:v>3.2565499999999998</c:v>
                </c:pt>
                <c:pt idx="33">
                  <c:v>3.2872699999999999</c:v>
                </c:pt>
                <c:pt idx="34">
                  <c:v>3.3199800000000002</c:v>
                </c:pt>
                <c:pt idx="35">
                  <c:v>3.3552999999999997</c:v>
                </c:pt>
                <c:pt idx="36">
                  <c:v>3.3900100000000002</c:v>
                </c:pt>
                <c:pt idx="37">
                  <c:v>3.4261499999999998</c:v>
                </c:pt>
                <c:pt idx="38">
                  <c:v>3.4636</c:v>
                </c:pt>
                <c:pt idx="39">
                  <c:v>3.4980899999999999</c:v>
                </c:pt>
                <c:pt idx="40">
                  <c:v>3.5257899999999998</c:v>
                </c:pt>
                <c:pt idx="41">
                  <c:v>3.54895</c:v>
                </c:pt>
                <c:pt idx="42">
                  <c:v>3.5708699999999998</c:v>
                </c:pt>
                <c:pt idx="43">
                  <c:v>3.5897600000000001</c:v>
                </c:pt>
                <c:pt idx="44">
                  <c:v>3.6040899999999998</c:v>
                </c:pt>
                <c:pt idx="45">
                  <c:v>3.6160799999999997</c:v>
                </c:pt>
                <c:pt idx="46">
                  <c:v>3.6288</c:v>
                </c:pt>
                <c:pt idx="47">
                  <c:v>3.6373899999999999</c:v>
                </c:pt>
                <c:pt idx="48">
                  <c:v>3.6433599999999999</c:v>
                </c:pt>
                <c:pt idx="49">
                  <c:v>3.6488800000000001</c:v>
                </c:pt>
                <c:pt idx="50">
                  <c:v>3.6555800000000001</c:v>
                </c:pt>
                <c:pt idx="51">
                  <c:v>3.66195</c:v>
                </c:pt>
                <c:pt idx="52">
                  <c:v>3.6670999999999996</c:v>
                </c:pt>
                <c:pt idx="53">
                  <c:v>3.6689100000000003</c:v>
                </c:pt>
                <c:pt idx="54">
                  <c:v>3.6675300000000002</c:v>
                </c:pt>
                <c:pt idx="55">
                  <c:v>3.6645100000000004</c:v>
                </c:pt>
                <c:pt idx="56">
                  <c:v>3.6591400000000003</c:v>
                </c:pt>
                <c:pt idx="57">
                  <c:v>3.65273</c:v>
                </c:pt>
                <c:pt idx="58">
                  <c:v>3.6454399999999998</c:v>
                </c:pt>
                <c:pt idx="59">
                  <c:v>3.6362499999999995</c:v>
                </c:pt>
                <c:pt idx="60">
                  <c:v>3.6270999999999995</c:v>
                </c:pt>
                <c:pt idx="61">
                  <c:v>3.6185899999999998</c:v>
                </c:pt>
                <c:pt idx="62">
                  <c:v>3.60582</c:v>
                </c:pt>
                <c:pt idx="63">
                  <c:v>3.5886</c:v>
                </c:pt>
                <c:pt idx="64">
                  <c:v>3.5698000000000003</c:v>
                </c:pt>
                <c:pt idx="65">
                  <c:v>3.5576999999999996</c:v>
                </c:pt>
                <c:pt idx="66">
                  <c:v>3.5521799999999999</c:v>
                </c:pt>
                <c:pt idx="67">
                  <c:v>3.5461100000000001</c:v>
                </c:pt>
                <c:pt idx="68">
                  <c:v>3.5409899999999999</c:v>
                </c:pt>
                <c:pt idx="69">
                  <c:v>3.5392000000000001</c:v>
                </c:pt>
                <c:pt idx="70">
                  <c:v>3.5381299999999998</c:v>
                </c:pt>
                <c:pt idx="71">
                  <c:v>3.5224899999999999</c:v>
                </c:pt>
                <c:pt idx="72">
                  <c:v>3.5125600000000001</c:v>
                </c:pt>
                <c:pt idx="73">
                  <c:v>3.5243600000000002</c:v>
                </c:pt>
                <c:pt idx="74">
                  <c:v>3.5434100000000002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</c:v>
                </c:pt>
                <c:pt idx="1">
                  <c:v>45.125999999999998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3.3114394594594598</c:v>
                </c:pt>
                <c:pt idx="1">
                  <c:v>3.4986108108108112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  <c:pt idx="75">
                  <c:v>30.5792</c:v>
                </c:pt>
                <c:pt idx="76">
                  <c:v>30.9542</c:v>
                </c:pt>
                <c:pt idx="77">
                  <c:v>31.345099999999999</c:v>
                </c:pt>
                <c:pt idx="78">
                  <c:v>31.75</c:v>
                </c:pt>
                <c:pt idx="79">
                  <c:v>32.135100000000001</c:v>
                </c:pt>
                <c:pt idx="80">
                  <c:v>32.543399999999998</c:v>
                </c:pt>
                <c:pt idx="81">
                  <c:v>32.950200000000002</c:v>
                </c:pt>
                <c:pt idx="82">
                  <c:v>33.357700000000001</c:v>
                </c:pt>
                <c:pt idx="83">
                  <c:v>33.766599999999997</c:v>
                </c:pt>
                <c:pt idx="84">
                  <c:v>34.1676</c:v>
                </c:pt>
                <c:pt idx="85">
                  <c:v>34.577500000000001</c:v>
                </c:pt>
                <c:pt idx="86">
                  <c:v>34.980400000000003</c:v>
                </c:pt>
                <c:pt idx="87">
                  <c:v>35.3874</c:v>
                </c:pt>
                <c:pt idx="88">
                  <c:v>35.797199999999997</c:v>
                </c:pt>
                <c:pt idx="89">
                  <c:v>36.204000000000001</c:v>
                </c:pt>
                <c:pt idx="90">
                  <c:v>36.607999999999997</c:v>
                </c:pt>
                <c:pt idx="91">
                  <c:v>37.009500000000003</c:v>
                </c:pt>
                <c:pt idx="92">
                  <c:v>37.417999999999999</c:v>
                </c:pt>
                <c:pt idx="93">
                  <c:v>37.823099999999997</c:v>
                </c:pt>
                <c:pt idx="94">
                  <c:v>38.231699999999996</c:v>
                </c:pt>
                <c:pt idx="95">
                  <c:v>38.642800000000001</c:v>
                </c:pt>
                <c:pt idx="96">
                  <c:v>39.042499999999997</c:v>
                </c:pt>
                <c:pt idx="97">
                  <c:v>39.452500000000001</c:v>
                </c:pt>
                <c:pt idx="98">
                  <c:v>39.860999999999997</c:v>
                </c:pt>
                <c:pt idx="99">
                  <c:v>40.262500000000003</c:v>
                </c:pt>
                <c:pt idx="100">
                  <c:v>40.670200000000001</c:v>
                </c:pt>
                <c:pt idx="101">
                  <c:v>41.081000000000003</c:v>
                </c:pt>
                <c:pt idx="102">
                  <c:v>41.483899999999998</c:v>
                </c:pt>
                <c:pt idx="103">
                  <c:v>41.8889</c:v>
                </c:pt>
                <c:pt idx="104">
                  <c:v>42.295999999999999</c:v>
                </c:pt>
                <c:pt idx="105">
                  <c:v>42.700800000000001</c:v>
                </c:pt>
                <c:pt idx="106">
                  <c:v>43.110100000000003</c:v>
                </c:pt>
                <c:pt idx="107">
                  <c:v>43.515599999999999</c:v>
                </c:pt>
                <c:pt idx="108">
                  <c:v>43.918500000000002</c:v>
                </c:pt>
                <c:pt idx="109">
                  <c:v>44.329500000000003</c:v>
                </c:pt>
                <c:pt idx="110">
                  <c:v>44.734299999999998</c:v>
                </c:pt>
                <c:pt idx="111">
                  <c:v>45.140300000000003</c:v>
                </c:pt>
                <c:pt idx="112">
                  <c:v>45.546100000000003</c:v>
                </c:pt>
                <c:pt idx="113">
                  <c:v>45.952100000000002</c:v>
                </c:pt>
                <c:pt idx="114">
                  <c:v>46.359000000000002</c:v>
                </c:pt>
                <c:pt idx="115">
                  <c:v>46.761899999999997</c:v>
                </c:pt>
                <c:pt idx="116">
                  <c:v>47.1708</c:v>
                </c:pt>
                <c:pt idx="117">
                  <c:v>47.5779</c:v>
                </c:pt>
                <c:pt idx="118">
                  <c:v>47.985599999999998</c:v>
                </c:pt>
                <c:pt idx="119">
                  <c:v>48.387500000000003</c:v>
                </c:pt>
                <c:pt idx="120">
                  <c:v>48.801400000000001</c:v>
                </c:pt>
                <c:pt idx="121">
                  <c:v>49.198500000000003</c:v>
                </c:pt>
                <c:pt idx="122">
                  <c:v>49.607500000000002</c:v>
                </c:pt>
                <c:pt idx="123">
                  <c:v>50.017099999999999</c:v>
                </c:pt>
                <c:pt idx="124">
                  <c:v>50.4191</c:v>
                </c:pt>
                <c:pt idx="125">
                  <c:v>50.827100000000002</c:v>
                </c:pt>
                <c:pt idx="126">
                  <c:v>51.233899999999998</c:v>
                </c:pt>
                <c:pt idx="127">
                  <c:v>51.641199999999998</c:v>
                </c:pt>
                <c:pt idx="128">
                  <c:v>52.043900000000001</c:v>
                </c:pt>
                <c:pt idx="129">
                  <c:v>52.4529</c:v>
                </c:pt>
                <c:pt idx="130">
                  <c:v>52.861600000000003</c:v>
                </c:pt>
                <c:pt idx="131">
                  <c:v>53.260800000000003</c:v>
                </c:pt>
                <c:pt idx="132">
                  <c:v>53.674100000000003</c:v>
                </c:pt>
                <c:pt idx="133">
                  <c:v>54.082700000000003</c:v>
                </c:pt>
                <c:pt idx="134">
                  <c:v>54.487499999999997</c:v>
                </c:pt>
                <c:pt idx="135">
                  <c:v>54.894300000000001</c:v>
                </c:pt>
                <c:pt idx="136">
                  <c:v>55.302199999999999</c:v>
                </c:pt>
                <c:pt idx="137">
                  <c:v>55.7074</c:v>
                </c:pt>
                <c:pt idx="138">
                  <c:v>56.110599999999998</c:v>
                </c:pt>
                <c:pt idx="139">
                  <c:v>56.5182</c:v>
                </c:pt>
                <c:pt idx="140">
                  <c:v>56.920999999999999</c:v>
                </c:pt>
                <c:pt idx="141">
                  <c:v>57.322899999999997</c:v>
                </c:pt>
                <c:pt idx="142">
                  <c:v>57.735599999999998</c:v>
                </c:pt>
                <c:pt idx="143">
                  <c:v>58.140500000000003</c:v>
                </c:pt>
                <c:pt idx="144">
                  <c:v>58.546399999999998</c:v>
                </c:pt>
                <c:pt idx="145">
                  <c:v>58.951500000000003</c:v>
                </c:pt>
                <c:pt idx="146">
                  <c:v>59.358199999999997</c:v>
                </c:pt>
                <c:pt idx="147">
                  <c:v>59.764200000000002</c:v>
                </c:pt>
                <c:pt idx="148">
                  <c:v>60.167999999999999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  <c:pt idx="75">
                  <c:v>37.525700000000001</c:v>
                </c:pt>
                <c:pt idx="76">
                  <c:v>37.432000000000002</c:v>
                </c:pt>
                <c:pt idx="77">
                  <c:v>37.320799999999998</c:v>
                </c:pt>
                <c:pt idx="78">
                  <c:v>37.229600000000005</c:v>
                </c:pt>
                <c:pt idx="79">
                  <c:v>37.111400000000003</c:v>
                </c:pt>
                <c:pt idx="80">
                  <c:v>36.9542</c:v>
                </c:pt>
                <c:pt idx="81">
                  <c:v>36.863600000000005</c:v>
                </c:pt>
                <c:pt idx="82">
                  <c:v>36.846699999999998</c:v>
                </c:pt>
                <c:pt idx="83">
                  <c:v>36.855600000000003</c:v>
                </c:pt>
                <c:pt idx="84">
                  <c:v>36.927</c:v>
                </c:pt>
                <c:pt idx="85">
                  <c:v>37.047600000000003</c:v>
                </c:pt>
                <c:pt idx="86">
                  <c:v>37.274700000000003</c:v>
                </c:pt>
                <c:pt idx="87">
                  <c:v>37.582900000000002</c:v>
                </c:pt>
                <c:pt idx="88">
                  <c:v>37.811499999999995</c:v>
                </c:pt>
                <c:pt idx="89">
                  <c:v>38.032700000000006</c:v>
                </c:pt>
                <c:pt idx="90">
                  <c:v>38.294800000000002</c:v>
                </c:pt>
                <c:pt idx="91">
                  <c:v>38.6113</c:v>
                </c:pt>
                <c:pt idx="92">
                  <c:v>38.906400000000005</c:v>
                </c:pt>
                <c:pt idx="93">
                  <c:v>39.171900000000001</c:v>
                </c:pt>
                <c:pt idx="94">
                  <c:v>39.420200000000001</c:v>
                </c:pt>
                <c:pt idx="95">
                  <c:v>39.637599999999999</c:v>
                </c:pt>
                <c:pt idx="96">
                  <c:v>39.766800000000003</c:v>
                </c:pt>
                <c:pt idx="97">
                  <c:v>39.859099999999998</c:v>
                </c:pt>
                <c:pt idx="98">
                  <c:v>39.932699999999997</c:v>
                </c:pt>
                <c:pt idx="99">
                  <c:v>39.940999999999995</c:v>
                </c:pt>
                <c:pt idx="100">
                  <c:v>39.778799999999997</c:v>
                </c:pt>
                <c:pt idx="101">
                  <c:v>39.532499999999999</c:v>
                </c:pt>
                <c:pt idx="102">
                  <c:v>39.143299999999996</c:v>
                </c:pt>
                <c:pt idx="103">
                  <c:v>38.596200000000003</c:v>
                </c:pt>
                <c:pt idx="104">
                  <c:v>38.04</c:v>
                </c:pt>
                <c:pt idx="105">
                  <c:v>37.576300000000003</c:v>
                </c:pt>
                <c:pt idx="106">
                  <c:v>37.255400000000002</c:v>
                </c:pt>
                <c:pt idx="107">
                  <c:v>37.019000000000005</c:v>
                </c:pt>
                <c:pt idx="108">
                  <c:v>36.834299999999999</c:v>
                </c:pt>
                <c:pt idx="109">
                  <c:v>36.759399999999999</c:v>
                </c:pt>
                <c:pt idx="110">
                  <c:v>36.782800000000002</c:v>
                </c:pt>
                <c:pt idx="111">
                  <c:v>36.786200000000001</c:v>
                </c:pt>
                <c:pt idx="112">
                  <c:v>36.815300000000001</c:v>
                </c:pt>
                <c:pt idx="113">
                  <c:v>36.908900000000003</c:v>
                </c:pt>
                <c:pt idx="114">
                  <c:v>37.0471</c:v>
                </c:pt>
                <c:pt idx="115">
                  <c:v>37.248599999999996</c:v>
                </c:pt>
                <c:pt idx="116">
                  <c:v>37.450000000000003</c:v>
                </c:pt>
                <c:pt idx="117">
                  <c:v>37.675899999999999</c:v>
                </c:pt>
                <c:pt idx="118">
                  <c:v>37.894299999999994</c:v>
                </c:pt>
                <c:pt idx="119">
                  <c:v>38.044200000000004</c:v>
                </c:pt>
                <c:pt idx="120">
                  <c:v>38.135300000000001</c:v>
                </c:pt>
                <c:pt idx="121">
                  <c:v>38.234699999999997</c:v>
                </c:pt>
                <c:pt idx="122">
                  <c:v>38.375</c:v>
                </c:pt>
                <c:pt idx="123">
                  <c:v>38.457999999999998</c:v>
                </c:pt>
                <c:pt idx="124">
                  <c:v>38.446799999999996</c:v>
                </c:pt>
                <c:pt idx="125">
                  <c:v>38.399499999999996</c:v>
                </c:pt>
                <c:pt idx="126">
                  <c:v>38.371400000000001</c:v>
                </c:pt>
                <c:pt idx="127">
                  <c:v>38.337900000000005</c:v>
                </c:pt>
                <c:pt idx="128">
                  <c:v>38.362299999999998</c:v>
                </c:pt>
                <c:pt idx="129">
                  <c:v>38.418999999999997</c:v>
                </c:pt>
                <c:pt idx="130">
                  <c:v>38.476500000000001</c:v>
                </c:pt>
                <c:pt idx="131">
                  <c:v>38.492399999999996</c:v>
                </c:pt>
                <c:pt idx="132">
                  <c:v>38.492199999999997</c:v>
                </c:pt>
                <c:pt idx="133">
                  <c:v>38.521300000000004</c:v>
                </c:pt>
                <c:pt idx="134">
                  <c:v>38.560899999999997</c:v>
                </c:pt>
                <c:pt idx="135">
                  <c:v>38.5899</c:v>
                </c:pt>
                <c:pt idx="136">
                  <c:v>38.728200000000001</c:v>
                </c:pt>
                <c:pt idx="137">
                  <c:v>38.9876</c:v>
                </c:pt>
                <c:pt idx="138">
                  <c:v>39.298699999999997</c:v>
                </c:pt>
                <c:pt idx="139">
                  <c:v>39.562399999999997</c:v>
                </c:pt>
                <c:pt idx="140">
                  <c:v>39.785499999999999</c:v>
                </c:pt>
                <c:pt idx="141">
                  <c:v>39.92</c:v>
                </c:pt>
                <c:pt idx="142">
                  <c:v>39.972099999999998</c:v>
                </c:pt>
                <c:pt idx="143">
                  <c:v>39.944099999999999</c:v>
                </c:pt>
                <c:pt idx="144">
                  <c:v>40.003999999999998</c:v>
                </c:pt>
                <c:pt idx="145">
                  <c:v>40.340399999999995</c:v>
                </c:pt>
                <c:pt idx="146">
                  <c:v>40.724199999999996</c:v>
                </c:pt>
                <c:pt idx="147">
                  <c:v>40.566800000000001</c:v>
                </c:pt>
                <c:pt idx="148">
                  <c:v>40.185600000000001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30.0626</c:v>
                </c:pt>
                <c:pt idx="1">
                  <c:v>30.5792</c:v>
                </c:pt>
                <c:pt idx="2">
                  <c:v>30.9542</c:v>
                </c:pt>
                <c:pt idx="3">
                  <c:v>31.345099999999999</c:v>
                </c:pt>
                <c:pt idx="4">
                  <c:v>31.75</c:v>
                </c:pt>
                <c:pt idx="5">
                  <c:v>32.135100000000001</c:v>
                </c:pt>
                <c:pt idx="6">
                  <c:v>32.543399999999998</c:v>
                </c:pt>
                <c:pt idx="7">
                  <c:v>32.950200000000002</c:v>
                </c:pt>
                <c:pt idx="8">
                  <c:v>33.357700000000001</c:v>
                </c:pt>
                <c:pt idx="9">
                  <c:v>33.766599999999997</c:v>
                </c:pt>
                <c:pt idx="10">
                  <c:v>34.1676</c:v>
                </c:pt>
                <c:pt idx="11">
                  <c:v>34.577500000000001</c:v>
                </c:pt>
                <c:pt idx="12">
                  <c:v>34.980400000000003</c:v>
                </c:pt>
                <c:pt idx="13">
                  <c:v>35.3874</c:v>
                </c:pt>
                <c:pt idx="14">
                  <c:v>35.797199999999997</c:v>
                </c:pt>
                <c:pt idx="15">
                  <c:v>36.204000000000001</c:v>
                </c:pt>
                <c:pt idx="16">
                  <c:v>36.607999999999997</c:v>
                </c:pt>
                <c:pt idx="17">
                  <c:v>37.009500000000003</c:v>
                </c:pt>
                <c:pt idx="18">
                  <c:v>37.417999999999999</c:v>
                </c:pt>
                <c:pt idx="19">
                  <c:v>37.823099999999997</c:v>
                </c:pt>
                <c:pt idx="20">
                  <c:v>38.231699999999996</c:v>
                </c:pt>
                <c:pt idx="21">
                  <c:v>38.642800000000001</c:v>
                </c:pt>
                <c:pt idx="22">
                  <c:v>39.042499999999997</c:v>
                </c:pt>
                <c:pt idx="23">
                  <c:v>39.452500000000001</c:v>
                </c:pt>
                <c:pt idx="24">
                  <c:v>39.860999999999997</c:v>
                </c:pt>
                <c:pt idx="25">
                  <c:v>40.262500000000003</c:v>
                </c:pt>
                <c:pt idx="26">
                  <c:v>40.670200000000001</c:v>
                </c:pt>
                <c:pt idx="27">
                  <c:v>41.081000000000003</c:v>
                </c:pt>
                <c:pt idx="28">
                  <c:v>41.483899999999998</c:v>
                </c:pt>
                <c:pt idx="29">
                  <c:v>41.8889</c:v>
                </c:pt>
                <c:pt idx="30">
                  <c:v>42.295999999999999</c:v>
                </c:pt>
                <c:pt idx="31">
                  <c:v>42.700800000000001</c:v>
                </c:pt>
                <c:pt idx="32">
                  <c:v>43.110100000000003</c:v>
                </c:pt>
                <c:pt idx="33">
                  <c:v>43.515599999999999</c:v>
                </c:pt>
                <c:pt idx="34">
                  <c:v>43.918500000000002</c:v>
                </c:pt>
                <c:pt idx="35">
                  <c:v>44.329500000000003</c:v>
                </c:pt>
                <c:pt idx="36">
                  <c:v>44.734299999999998</c:v>
                </c:pt>
                <c:pt idx="37">
                  <c:v>45.140300000000003</c:v>
                </c:pt>
                <c:pt idx="38">
                  <c:v>45.546100000000003</c:v>
                </c:pt>
                <c:pt idx="39">
                  <c:v>45.952100000000002</c:v>
                </c:pt>
                <c:pt idx="40">
                  <c:v>46.359000000000002</c:v>
                </c:pt>
                <c:pt idx="41">
                  <c:v>46.761899999999997</c:v>
                </c:pt>
                <c:pt idx="42">
                  <c:v>47.1708</c:v>
                </c:pt>
                <c:pt idx="43">
                  <c:v>47.5779</c:v>
                </c:pt>
                <c:pt idx="44">
                  <c:v>47.985599999999998</c:v>
                </c:pt>
                <c:pt idx="45">
                  <c:v>48.387500000000003</c:v>
                </c:pt>
                <c:pt idx="46">
                  <c:v>48.801400000000001</c:v>
                </c:pt>
                <c:pt idx="47">
                  <c:v>49.198500000000003</c:v>
                </c:pt>
                <c:pt idx="48">
                  <c:v>49.607500000000002</c:v>
                </c:pt>
                <c:pt idx="49">
                  <c:v>50.017099999999999</c:v>
                </c:pt>
                <c:pt idx="50">
                  <c:v>50.4191</c:v>
                </c:pt>
                <c:pt idx="51">
                  <c:v>50.827100000000002</c:v>
                </c:pt>
                <c:pt idx="52">
                  <c:v>51.233899999999998</c:v>
                </c:pt>
                <c:pt idx="53">
                  <c:v>51.641199999999998</c:v>
                </c:pt>
                <c:pt idx="54">
                  <c:v>52.043900000000001</c:v>
                </c:pt>
                <c:pt idx="55">
                  <c:v>52.4529</c:v>
                </c:pt>
                <c:pt idx="56">
                  <c:v>52.861600000000003</c:v>
                </c:pt>
                <c:pt idx="57">
                  <c:v>53.260800000000003</c:v>
                </c:pt>
                <c:pt idx="58">
                  <c:v>53.674100000000003</c:v>
                </c:pt>
                <c:pt idx="59">
                  <c:v>54.082700000000003</c:v>
                </c:pt>
                <c:pt idx="60">
                  <c:v>54.487499999999997</c:v>
                </c:pt>
                <c:pt idx="61">
                  <c:v>54.894300000000001</c:v>
                </c:pt>
                <c:pt idx="62">
                  <c:v>55.302199999999999</c:v>
                </c:pt>
                <c:pt idx="63">
                  <c:v>55.7074</c:v>
                </c:pt>
                <c:pt idx="64">
                  <c:v>56.110599999999998</c:v>
                </c:pt>
                <c:pt idx="65">
                  <c:v>56.5182</c:v>
                </c:pt>
                <c:pt idx="66">
                  <c:v>56.920999999999999</c:v>
                </c:pt>
                <c:pt idx="67">
                  <c:v>57.322899999999997</c:v>
                </c:pt>
                <c:pt idx="68">
                  <c:v>57.735599999999998</c:v>
                </c:pt>
                <c:pt idx="69">
                  <c:v>58.140500000000003</c:v>
                </c:pt>
                <c:pt idx="70">
                  <c:v>58.546399999999998</c:v>
                </c:pt>
                <c:pt idx="71">
                  <c:v>58.951500000000003</c:v>
                </c:pt>
                <c:pt idx="72">
                  <c:v>59.358199999999997</c:v>
                </c:pt>
                <c:pt idx="73">
                  <c:v>59.764200000000002</c:v>
                </c:pt>
                <c:pt idx="74">
                  <c:v>60.167999999999999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37.618699999999997</c:v>
                </c:pt>
                <c:pt idx="1">
                  <c:v>37.525700000000001</c:v>
                </c:pt>
                <c:pt idx="2">
                  <c:v>37.432000000000002</c:v>
                </c:pt>
                <c:pt idx="3">
                  <c:v>37.320799999999998</c:v>
                </c:pt>
                <c:pt idx="4">
                  <c:v>37.229600000000005</c:v>
                </c:pt>
                <c:pt idx="5">
                  <c:v>37.111400000000003</c:v>
                </c:pt>
                <c:pt idx="6">
                  <c:v>36.9542</c:v>
                </c:pt>
                <c:pt idx="7">
                  <c:v>36.863600000000005</c:v>
                </c:pt>
                <c:pt idx="8">
                  <c:v>36.846699999999998</c:v>
                </c:pt>
                <c:pt idx="9">
                  <c:v>36.855600000000003</c:v>
                </c:pt>
                <c:pt idx="10">
                  <c:v>36.927</c:v>
                </c:pt>
                <c:pt idx="11">
                  <c:v>37.047600000000003</c:v>
                </c:pt>
                <c:pt idx="12">
                  <c:v>37.274700000000003</c:v>
                </c:pt>
                <c:pt idx="13">
                  <c:v>37.582900000000002</c:v>
                </c:pt>
                <c:pt idx="14">
                  <c:v>37.811499999999995</c:v>
                </c:pt>
                <c:pt idx="15">
                  <c:v>38.032700000000006</c:v>
                </c:pt>
                <c:pt idx="16">
                  <c:v>38.294800000000002</c:v>
                </c:pt>
                <c:pt idx="17">
                  <c:v>38.6113</c:v>
                </c:pt>
                <c:pt idx="18">
                  <c:v>38.906400000000005</c:v>
                </c:pt>
                <c:pt idx="19">
                  <c:v>39.171900000000001</c:v>
                </c:pt>
                <c:pt idx="20">
                  <c:v>39.420200000000001</c:v>
                </c:pt>
                <c:pt idx="21">
                  <c:v>39.637599999999999</c:v>
                </c:pt>
                <c:pt idx="22">
                  <c:v>39.766800000000003</c:v>
                </c:pt>
                <c:pt idx="23">
                  <c:v>39.859099999999998</c:v>
                </c:pt>
                <c:pt idx="24">
                  <c:v>39.932699999999997</c:v>
                </c:pt>
                <c:pt idx="25">
                  <c:v>39.940999999999995</c:v>
                </c:pt>
                <c:pt idx="26">
                  <c:v>39.778799999999997</c:v>
                </c:pt>
                <c:pt idx="27">
                  <c:v>39.532499999999999</c:v>
                </c:pt>
                <c:pt idx="28">
                  <c:v>39.143299999999996</c:v>
                </c:pt>
                <c:pt idx="29">
                  <c:v>38.596200000000003</c:v>
                </c:pt>
                <c:pt idx="30">
                  <c:v>38.04</c:v>
                </c:pt>
                <c:pt idx="31">
                  <c:v>37.576300000000003</c:v>
                </c:pt>
                <c:pt idx="32">
                  <c:v>37.255400000000002</c:v>
                </c:pt>
                <c:pt idx="33">
                  <c:v>37.019000000000005</c:v>
                </c:pt>
                <c:pt idx="34">
                  <c:v>36.834299999999999</c:v>
                </c:pt>
                <c:pt idx="35">
                  <c:v>36.759399999999999</c:v>
                </c:pt>
                <c:pt idx="36">
                  <c:v>36.782800000000002</c:v>
                </c:pt>
                <c:pt idx="37">
                  <c:v>36.786200000000001</c:v>
                </c:pt>
                <c:pt idx="38">
                  <c:v>36.815300000000001</c:v>
                </c:pt>
                <c:pt idx="39">
                  <c:v>36.908900000000003</c:v>
                </c:pt>
                <c:pt idx="40">
                  <c:v>37.0471</c:v>
                </c:pt>
                <c:pt idx="41">
                  <c:v>37.248599999999996</c:v>
                </c:pt>
                <c:pt idx="42">
                  <c:v>37.450000000000003</c:v>
                </c:pt>
                <c:pt idx="43">
                  <c:v>37.675899999999999</c:v>
                </c:pt>
                <c:pt idx="44">
                  <c:v>37.894299999999994</c:v>
                </c:pt>
                <c:pt idx="45">
                  <c:v>38.044200000000004</c:v>
                </c:pt>
                <c:pt idx="46">
                  <c:v>38.135300000000001</c:v>
                </c:pt>
                <c:pt idx="47">
                  <c:v>38.234699999999997</c:v>
                </c:pt>
                <c:pt idx="48">
                  <c:v>38.375</c:v>
                </c:pt>
                <c:pt idx="49">
                  <c:v>38.457999999999998</c:v>
                </c:pt>
                <c:pt idx="50">
                  <c:v>38.446799999999996</c:v>
                </c:pt>
                <c:pt idx="51">
                  <c:v>38.399499999999996</c:v>
                </c:pt>
                <c:pt idx="52">
                  <c:v>38.371400000000001</c:v>
                </c:pt>
                <c:pt idx="53">
                  <c:v>38.337900000000005</c:v>
                </c:pt>
                <c:pt idx="54">
                  <c:v>38.362299999999998</c:v>
                </c:pt>
                <c:pt idx="55">
                  <c:v>38.418999999999997</c:v>
                </c:pt>
                <c:pt idx="56">
                  <c:v>38.476500000000001</c:v>
                </c:pt>
                <c:pt idx="57">
                  <c:v>38.492399999999996</c:v>
                </c:pt>
                <c:pt idx="58">
                  <c:v>38.492199999999997</c:v>
                </c:pt>
                <c:pt idx="59">
                  <c:v>38.521300000000004</c:v>
                </c:pt>
                <c:pt idx="60">
                  <c:v>38.560899999999997</c:v>
                </c:pt>
                <c:pt idx="61">
                  <c:v>38.5899</c:v>
                </c:pt>
                <c:pt idx="62">
                  <c:v>38.728200000000001</c:v>
                </c:pt>
                <c:pt idx="63">
                  <c:v>38.9876</c:v>
                </c:pt>
                <c:pt idx="64">
                  <c:v>39.298699999999997</c:v>
                </c:pt>
                <c:pt idx="65">
                  <c:v>39.562399999999997</c:v>
                </c:pt>
                <c:pt idx="66">
                  <c:v>39.785499999999999</c:v>
                </c:pt>
                <c:pt idx="67">
                  <c:v>39.92</c:v>
                </c:pt>
                <c:pt idx="68">
                  <c:v>39.972099999999998</c:v>
                </c:pt>
                <c:pt idx="69">
                  <c:v>39.944099999999999</c:v>
                </c:pt>
                <c:pt idx="70">
                  <c:v>40.003999999999998</c:v>
                </c:pt>
                <c:pt idx="71">
                  <c:v>40.340399999999995</c:v>
                </c:pt>
                <c:pt idx="72">
                  <c:v>40.724199999999996</c:v>
                </c:pt>
                <c:pt idx="73">
                  <c:v>40.566800000000001</c:v>
                </c:pt>
                <c:pt idx="74">
                  <c:v>40.185600000000001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</c:v>
                </c:pt>
                <c:pt idx="1">
                  <c:v>45.125999999999998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38.534404054054036</c:v>
                </c:pt>
                <c:pt idx="1">
                  <c:v>38.319893243243236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37.735300000000002</c:v>
                </c:pt>
                <c:pt idx="1">
                  <c:v>28.966999999999999</c:v>
                </c:pt>
                <c:pt idx="2">
                  <c:v>20.928899999999999</c:v>
                </c:pt>
                <c:pt idx="3">
                  <c:v>29.152000000000001</c:v>
                </c:pt>
                <c:pt idx="4">
                  <c:v>59.7727</c:v>
                </c:pt>
                <c:pt idx="5">
                  <c:v>80.170100000000005</c:v>
                </c:pt>
                <c:pt idx="6">
                  <c:v>16.921900000000001</c:v>
                </c:pt>
                <c:pt idx="7">
                  <c:v>69.749700000000004</c:v>
                </c:pt>
                <c:pt idx="8">
                  <c:v>16.635300000000001</c:v>
                </c:pt>
                <c:pt idx="9">
                  <c:v>38.700099999999999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40.483400000000003</c:v>
                </c:pt>
                <c:pt idx="1">
                  <c:v>36.989800000000002</c:v>
                </c:pt>
                <c:pt idx="2">
                  <c:v>32</c:v>
                </c:pt>
                <c:pt idx="3">
                  <c:v>34.460900000000002</c:v>
                </c:pt>
                <c:pt idx="4">
                  <c:v>65.721000000000004</c:v>
                </c:pt>
                <c:pt idx="5">
                  <c:v>71.3172</c:v>
                </c:pt>
                <c:pt idx="6">
                  <c:v>23.595500000000001</c:v>
                </c:pt>
                <c:pt idx="7">
                  <c:v>68.783799999999999</c:v>
                </c:pt>
                <c:pt idx="8">
                  <c:v>14.115399999999999</c:v>
                </c:pt>
                <c:pt idx="9">
                  <c:v>14.3576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0.49907546968694583</c:v>
                </c:pt>
                <c:pt idx="1">
                  <c:v>0.25719296916499806</c:v>
                </c:pt>
                <c:pt idx="2">
                  <c:v>0.24373156114805611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1538</c:v>
                </c:pt>
                <c:pt idx="7">
                  <c:v>0</c:v>
                </c:pt>
                <c:pt idx="8">
                  <c:v>3931</c:v>
                </c:pt>
                <c:pt idx="9">
                  <c:v>0</c:v>
                </c:pt>
                <c:pt idx="10">
                  <c:v>0</c:v>
                </c:pt>
                <c:pt idx="11">
                  <c:v>4581</c:v>
                </c:pt>
                <c:pt idx="12">
                  <c:v>0</c:v>
                </c:pt>
                <c:pt idx="13">
                  <c:v>5911</c:v>
                </c:pt>
                <c:pt idx="14">
                  <c:v>0</c:v>
                </c:pt>
                <c:pt idx="15">
                  <c:v>0</c:v>
                </c:pt>
                <c:pt idx="16">
                  <c:v>10815</c:v>
                </c:pt>
                <c:pt idx="17">
                  <c:v>0</c:v>
                </c:pt>
                <c:pt idx="18">
                  <c:v>0</c:v>
                </c:pt>
                <c:pt idx="19">
                  <c:v>14916</c:v>
                </c:pt>
                <c:pt idx="20">
                  <c:v>0</c:v>
                </c:pt>
                <c:pt idx="21">
                  <c:v>18061</c:v>
                </c:pt>
                <c:pt idx="22">
                  <c:v>0</c:v>
                </c:pt>
                <c:pt idx="23">
                  <c:v>0</c:v>
                </c:pt>
                <c:pt idx="24">
                  <c:v>22379</c:v>
                </c:pt>
                <c:pt idx="25">
                  <c:v>0</c:v>
                </c:pt>
                <c:pt idx="26">
                  <c:v>30127</c:v>
                </c:pt>
                <c:pt idx="27">
                  <c:v>0</c:v>
                </c:pt>
                <c:pt idx="28">
                  <c:v>0</c:v>
                </c:pt>
                <c:pt idx="29">
                  <c:v>40507</c:v>
                </c:pt>
                <c:pt idx="30">
                  <c:v>0</c:v>
                </c:pt>
                <c:pt idx="31">
                  <c:v>48166</c:v>
                </c:pt>
                <c:pt idx="32">
                  <c:v>0</c:v>
                </c:pt>
                <c:pt idx="33">
                  <c:v>0</c:v>
                </c:pt>
                <c:pt idx="34">
                  <c:v>66156</c:v>
                </c:pt>
                <c:pt idx="35">
                  <c:v>0</c:v>
                </c:pt>
                <c:pt idx="36">
                  <c:v>0</c:v>
                </c:pt>
                <c:pt idx="37">
                  <c:v>67781</c:v>
                </c:pt>
                <c:pt idx="38">
                  <c:v>0</c:v>
                </c:pt>
                <c:pt idx="39">
                  <c:v>63068</c:v>
                </c:pt>
                <c:pt idx="40">
                  <c:v>0</c:v>
                </c:pt>
                <c:pt idx="41">
                  <c:v>0</c:v>
                </c:pt>
                <c:pt idx="42">
                  <c:v>64779</c:v>
                </c:pt>
                <c:pt idx="43">
                  <c:v>0</c:v>
                </c:pt>
                <c:pt idx="44">
                  <c:v>79931</c:v>
                </c:pt>
                <c:pt idx="45">
                  <c:v>0</c:v>
                </c:pt>
                <c:pt idx="46">
                  <c:v>0</c:v>
                </c:pt>
                <c:pt idx="47">
                  <c:v>95859</c:v>
                </c:pt>
                <c:pt idx="48">
                  <c:v>0</c:v>
                </c:pt>
                <c:pt idx="49">
                  <c:v>96864</c:v>
                </c:pt>
                <c:pt idx="50">
                  <c:v>0</c:v>
                </c:pt>
                <c:pt idx="51">
                  <c:v>0</c:v>
                </c:pt>
                <c:pt idx="52">
                  <c:v>96205</c:v>
                </c:pt>
                <c:pt idx="53">
                  <c:v>0</c:v>
                </c:pt>
                <c:pt idx="54">
                  <c:v>0</c:v>
                </c:pt>
                <c:pt idx="55">
                  <c:v>92875</c:v>
                </c:pt>
                <c:pt idx="56">
                  <c:v>0</c:v>
                </c:pt>
                <c:pt idx="57">
                  <c:v>84285</c:v>
                </c:pt>
                <c:pt idx="58">
                  <c:v>0</c:v>
                </c:pt>
                <c:pt idx="59">
                  <c:v>0</c:v>
                </c:pt>
                <c:pt idx="60">
                  <c:v>86060</c:v>
                </c:pt>
                <c:pt idx="61">
                  <c:v>0</c:v>
                </c:pt>
                <c:pt idx="62">
                  <c:v>90510</c:v>
                </c:pt>
                <c:pt idx="63">
                  <c:v>0</c:v>
                </c:pt>
                <c:pt idx="64">
                  <c:v>0</c:v>
                </c:pt>
                <c:pt idx="65">
                  <c:v>66335</c:v>
                </c:pt>
                <c:pt idx="66">
                  <c:v>0</c:v>
                </c:pt>
                <c:pt idx="67">
                  <c:v>66797</c:v>
                </c:pt>
                <c:pt idx="68">
                  <c:v>0</c:v>
                </c:pt>
                <c:pt idx="69">
                  <c:v>0</c:v>
                </c:pt>
                <c:pt idx="70">
                  <c:v>69379</c:v>
                </c:pt>
                <c:pt idx="71">
                  <c:v>0</c:v>
                </c:pt>
                <c:pt idx="72">
                  <c:v>0</c:v>
                </c:pt>
                <c:pt idx="73">
                  <c:v>68191</c:v>
                </c:pt>
                <c:pt idx="74">
                  <c:v>0</c:v>
                </c:pt>
                <c:pt idx="75">
                  <c:v>70825</c:v>
                </c:pt>
                <c:pt idx="76">
                  <c:v>0</c:v>
                </c:pt>
                <c:pt idx="77">
                  <c:v>0</c:v>
                </c:pt>
                <c:pt idx="78">
                  <c:v>74099</c:v>
                </c:pt>
                <c:pt idx="79">
                  <c:v>0</c:v>
                </c:pt>
                <c:pt idx="80">
                  <c:v>67743</c:v>
                </c:pt>
                <c:pt idx="81">
                  <c:v>0</c:v>
                </c:pt>
                <c:pt idx="82">
                  <c:v>0</c:v>
                </c:pt>
                <c:pt idx="83">
                  <c:v>67221</c:v>
                </c:pt>
                <c:pt idx="84">
                  <c:v>0</c:v>
                </c:pt>
                <c:pt idx="85">
                  <c:v>0</c:v>
                </c:pt>
                <c:pt idx="86">
                  <c:v>67125</c:v>
                </c:pt>
                <c:pt idx="87">
                  <c:v>0</c:v>
                </c:pt>
                <c:pt idx="88">
                  <c:v>61158</c:v>
                </c:pt>
                <c:pt idx="89">
                  <c:v>0</c:v>
                </c:pt>
                <c:pt idx="90">
                  <c:v>0</c:v>
                </c:pt>
                <c:pt idx="91">
                  <c:v>69944</c:v>
                </c:pt>
                <c:pt idx="92">
                  <c:v>0</c:v>
                </c:pt>
                <c:pt idx="93">
                  <c:v>59483</c:v>
                </c:pt>
                <c:pt idx="94">
                  <c:v>0</c:v>
                </c:pt>
                <c:pt idx="95">
                  <c:v>0</c:v>
                </c:pt>
                <c:pt idx="96">
                  <c:v>56076</c:v>
                </c:pt>
                <c:pt idx="97">
                  <c:v>0</c:v>
                </c:pt>
                <c:pt idx="98">
                  <c:v>53012</c:v>
                </c:pt>
                <c:pt idx="99">
                  <c:v>0</c:v>
                </c:pt>
                <c:pt idx="100">
                  <c:v>0</c:v>
                </c:pt>
                <c:pt idx="101">
                  <c:v>56232</c:v>
                </c:pt>
                <c:pt idx="102">
                  <c:v>0</c:v>
                </c:pt>
                <c:pt idx="103">
                  <c:v>0</c:v>
                </c:pt>
                <c:pt idx="104">
                  <c:v>59236</c:v>
                </c:pt>
                <c:pt idx="105">
                  <c:v>0</c:v>
                </c:pt>
                <c:pt idx="106">
                  <c:v>60820</c:v>
                </c:pt>
                <c:pt idx="107">
                  <c:v>0</c:v>
                </c:pt>
                <c:pt idx="108">
                  <c:v>0</c:v>
                </c:pt>
                <c:pt idx="109">
                  <c:v>61465</c:v>
                </c:pt>
                <c:pt idx="110">
                  <c:v>0</c:v>
                </c:pt>
                <c:pt idx="111">
                  <c:v>60637</c:v>
                </c:pt>
                <c:pt idx="112">
                  <c:v>0</c:v>
                </c:pt>
                <c:pt idx="113">
                  <c:v>0</c:v>
                </c:pt>
                <c:pt idx="114">
                  <c:v>65573</c:v>
                </c:pt>
                <c:pt idx="115">
                  <c:v>0</c:v>
                </c:pt>
                <c:pt idx="116">
                  <c:v>61334</c:v>
                </c:pt>
                <c:pt idx="117">
                  <c:v>0</c:v>
                </c:pt>
                <c:pt idx="118">
                  <c:v>0</c:v>
                </c:pt>
                <c:pt idx="119">
                  <c:v>56965</c:v>
                </c:pt>
                <c:pt idx="120">
                  <c:v>0</c:v>
                </c:pt>
                <c:pt idx="121">
                  <c:v>0</c:v>
                </c:pt>
                <c:pt idx="122">
                  <c:v>48552</c:v>
                </c:pt>
                <c:pt idx="123">
                  <c:v>0</c:v>
                </c:pt>
                <c:pt idx="124">
                  <c:v>50846</c:v>
                </c:pt>
                <c:pt idx="125">
                  <c:v>0</c:v>
                </c:pt>
                <c:pt idx="126">
                  <c:v>0</c:v>
                </c:pt>
                <c:pt idx="127">
                  <c:v>46885</c:v>
                </c:pt>
                <c:pt idx="128">
                  <c:v>0</c:v>
                </c:pt>
                <c:pt idx="129">
                  <c:v>43410</c:v>
                </c:pt>
                <c:pt idx="130">
                  <c:v>0</c:v>
                </c:pt>
                <c:pt idx="131">
                  <c:v>0</c:v>
                </c:pt>
                <c:pt idx="132">
                  <c:v>38063</c:v>
                </c:pt>
                <c:pt idx="133">
                  <c:v>0</c:v>
                </c:pt>
                <c:pt idx="134">
                  <c:v>36875</c:v>
                </c:pt>
                <c:pt idx="135">
                  <c:v>0</c:v>
                </c:pt>
                <c:pt idx="136">
                  <c:v>0</c:v>
                </c:pt>
                <c:pt idx="137">
                  <c:v>37330</c:v>
                </c:pt>
                <c:pt idx="138">
                  <c:v>0</c:v>
                </c:pt>
                <c:pt idx="139">
                  <c:v>0</c:v>
                </c:pt>
                <c:pt idx="140">
                  <c:v>34013</c:v>
                </c:pt>
                <c:pt idx="141">
                  <c:v>0</c:v>
                </c:pt>
                <c:pt idx="142">
                  <c:v>32608</c:v>
                </c:pt>
                <c:pt idx="143">
                  <c:v>0</c:v>
                </c:pt>
                <c:pt idx="144">
                  <c:v>0</c:v>
                </c:pt>
                <c:pt idx="145">
                  <c:v>26178</c:v>
                </c:pt>
                <c:pt idx="146">
                  <c:v>0</c:v>
                </c:pt>
                <c:pt idx="147">
                  <c:v>24828</c:v>
                </c:pt>
                <c:pt idx="148">
                  <c:v>0</c:v>
                </c:pt>
                <c:pt idx="149">
                  <c:v>0</c:v>
                </c:pt>
                <c:pt idx="150">
                  <c:v>25146</c:v>
                </c:pt>
                <c:pt idx="151">
                  <c:v>0</c:v>
                </c:pt>
                <c:pt idx="152">
                  <c:v>23076</c:v>
                </c:pt>
                <c:pt idx="153">
                  <c:v>0</c:v>
                </c:pt>
                <c:pt idx="154">
                  <c:v>0</c:v>
                </c:pt>
                <c:pt idx="155">
                  <c:v>22745</c:v>
                </c:pt>
                <c:pt idx="156">
                  <c:v>0</c:v>
                </c:pt>
                <c:pt idx="157">
                  <c:v>0</c:v>
                </c:pt>
                <c:pt idx="158">
                  <c:v>21665</c:v>
                </c:pt>
                <c:pt idx="159">
                  <c:v>0</c:v>
                </c:pt>
                <c:pt idx="160">
                  <c:v>20274</c:v>
                </c:pt>
                <c:pt idx="161">
                  <c:v>0</c:v>
                </c:pt>
                <c:pt idx="162">
                  <c:v>0</c:v>
                </c:pt>
                <c:pt idx="163">
                  <c:v>16501</c:v>
                </c:pt>
                <c:pt idx="164">
                  <c:v>0</c:v>
                </c:pt>
                <c:pt idx="165">
                  <c:v>11677</c:v>
                </c:pt>
                <c:pt idx="166">
                  <c:v>0</c:v>
                </c:pt>
                <c:pt idx="167">
                  <c:v>0</c:v>
                </c:pt>
                <c:pt idx="168">
                  <c:v>7325</c:v>
                </c:pt>
                <c:pt idx="169">
                  <c:v>0</c:v>
                </c:pt>
                <c:pt idx="170">
                  <c:v>0</c:v>
                </c:pt>
                <c:pt idx="171">
                  <c:v>5165</c:v>
                </c:pt>
                <c:pt idx="172">
                  <c:v>0</c:v>
                </c:pt>
                <c:pt idx="173">
                  <c:v>2721</c:v>
                </c:pt>
                <c:pt idx="174">
                  <c:v>0</c:v>
                </c:pt>
                <c:pt idx="175">
                  <c:v>0</c:v>
                </c:pt>
                <c:pt idx="176">
                  <c:v>749</c:v>
                </c:pt>
                <c:pt idx="177">
                  <c:v>0</c:v>
                </c:pt>
                <c:pt idx="178">
                  <c:v>190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1280</c:v>
                </c:pt>
                <c:pt idx="7">
                  <c:v>0</c:v>
                </c:pt>
                <c:pt idx="8">
                  <c:v>1698</c:v>
                </c:pt>
                <c:pt idx="9">
                  <c:v>0</c:v>
                </c:pt>
                <c:pt idx="10">
                  <c:v>0</c:v>
                </c:pt>
                <c:pt idx="11">
                  <c:v>2652</c:v>
                </c:pt>
                <c:pt idx="12">
                  <c:v>0</c:v>
                </c:pt>
                <c:pt idx="13">
                  <c:v>4660</c:v>
                </c:pt>
                <c:pt idx="14">
                  <c:v>0</c:v>
                </c:pt>
                <c:pt idx="15">
                  <c:v>0</c:v>
                </c:pt>
                <c:pt idx="16">
                  <c:v>7362</c:v>
                </c:pt>
                <c:pt idx="17">
                  <c:v>0</c:v>
                </c:pt>
                <c:pt idx="18">
                  <c:v>0</c:v>
                </c:pt>
                <c:pt idx="19">
                  <c:v>11248</c:v>
                </c:pt>
                <c:pt idx="20">
                  <c:v>0</c:v>
                </c:pt>
                <c:pt idx="21">
                  <c:v>13617</c:v>
                </c:pt>
                <c:pt idx="22">
                  <c:v>0</c:v>
                </c:pt>
                <c:pt idx="23">
                  <c:v>0</c:v>
                </c:pt>
                <c:pt idx="24">
                  <c:v>17838</c:v>
                </c:pt>
                <c:pt idx="25">
                  <c:v>0</c:v>
                </c:pt>
                <c:pt idx="26">
                  <c:v>17754</c:v>
                </c:pt>
                <c:pt idx="27">
                  <c:v>0</c:v>
                </c:pt>
                <c:pt idx="28">
                  <c:v>0</c:v>
                </c:pt>
                <c:pt idx="29">
                  <c:v>18691</c:v>
                </c:pt>
                <c:pt idx="30">
                  <c:v>0</c:v>
                </c:pt>
                <c:pt idx="31">
                  <c:v>23034</c:v>
                </c:pt>
                <c:pt idx="32">
                  <c:v>0</c:v>
                </c:pt>
                <c:pt idx="33">
                  <c:v>0</c:v>
                </c:pt>
                <c:pt idx="34">
                  <c:v>26075</c:v>
                </c:pt>
                <c:pt idx="35">
                  <c:v>0</c:v>
                </c:pt>
                <c:pt idx="36">
                  <c:v>0</c:v>
                </c:pt>
                <c:pt idx="37">
                  <c:v>25585</c:v>
                </c:pt>
                <c:pt idx="38">
                  <c:v>0</c:v>
                </c:pt>
                <c:pt idx="39">
                  <c:v>26967</c:v>
                </c:pt>
                <c:pt idx="40">
                  <c:v>0</c:v>
                </c:pt>
                <c:pt idx="41">
                  <c:v>0</c:v>
                </c:pt>
                <c:pt idx="42">
                  <c:v>32581</c:v>
                </c:pt>
                <c:pt idx="43">
                  <c:v>0</c:v>
                </c:pt>
                <c:pt idx="44">
                  <c:v>32621</c:v>
                </c:pt>
                <c:pt idx="45">
                  <c:v>0</c:v>
                </c:pt>
                <c:pt idx="46">
                  <c:v>0</c:v>
                </c:pt>
                <c:pt idx="47">
                  <c:v>40673</c:v>
                </c:pt>
                <c:pt idx="48">
                  <c:v>0</c:v>
                </c:pt>
                <c:pt idx="49">
                  <c:v>43291</c:v>
                </c:pt>
                <c:pt idx="50">
                  <c:v>0</c:v>
                </c:pt>
                <c:pt idx="51">
                  <c:v>0</c:v>
                </c:pt>
                <c:pt idx="52">
                  <c:v>51508</c:v>
                </c:pt>
                <c:pt idx="53">
                  <c:v>0</c:v>
                </c:pt>
                <c:pt idx="54">
                  <c:v>0</c:v>
                </c:pt>
                <c:pt idx="55">
                  <c:v>56287</c:v>
                </c:pt>
                <c:pt idx="56">
                  <c:v>0</c:v>
                </c:pt>
                <c:pt idx="57">
                  <c:v>68745</c:v>
                </c:pt>
                <c:pt idx="58">
                  <c:v>0</c:v>
                </c:pt>
                <c:pt idx="59">
                  <c:v>0</c:v>
                </c:pt>
                <c:pt idx="60">
                  <c:v>67325</c:v>
                </c:pt>
                <c:pt idx="61">
                  <c:v>0</c:v>
                </c:pt>
                <c:pt idx="62">
                  <c:v>83755</c:v>
                </c:pt>
                <c:pt idx="63">
                  <c:v>0</c:v>
                </c:pt>
                <c:pt idx="64">
                  <c:v>0</c:v>
                </c:pt>
                <c:pt idx="65">
                  <c:v>77955</c:v>
                </c:pt>
                <c:pt idx="66">
                  <c:v>0</c:v>
                </c:pt>
                <c:pt idx="67">
                  <c:v>81787</c:v>
                </c:pt>
                <c:pt idx="68">
                  <c:v>0</c:v>
                </c:pt>
                <c:pt idx="69">
                  <c:v>0</c:v>
                </c:pt>
                <c:pt idx="70">
                  <c:v>86709</c:v>
                </c:pt>
                <c:pt idx="71">
                  <c:v>0</c:v>
                </c:pt>
                <c:pt idx="72">
                  <c:v>0</c:v>
                </c:pt>
                <c:pt idx="73">
                  <c:v>93682</c:v>
                </c:pt>
                <c:pt idx="74">
                  <c:v>0</c:v>
                </c:pt>
                <c:pt idx="75">
                  <c:v>96750</c:v>
                </c:pt>
                <c:pt idx="76">
                  <c:v>0</c:v>
                </c:pt>
                <c:pt idx="77">
                  <c:v>0</c:v>
                </c:pt>
                <c:pt idx="78">
                  <c:v>102823</c:v>
                </c:pt>
                <c:pt idx="79">
                  <c:v>0</c:v>
                </c:pt>
                <c:pt idx="80">
                  <c:v>98311</c:v>
                </c:pt>
                <c:pt idx="81">
                  <c:v>0</c:v>
                </c:pt>
                <c:pt idx="82">
                  <c:v>0</c:v>
                </c:pt>
                <c:pt idx="83">
                  <c:v>96904</c:v>
                </c:pt>
                <c:pt idx="84">
                  <c:v>0</c:v>
                </c:pt>
                <c:pt idx="85">
                  <c:v>0</c:v>
                </c:pt>
                <c:pt idx="86">
                  <c:v>100595</c:v>
                </c:pt>
                <c:pt idx="87">
                  <c:v>0</c:v>
                </c:pt>
                <c:pt idx="88">
                  <c:v>99633</c:v>
                </c:pt>
                <c:pt idx="89">
                  <c:v>0</c:v>
                </c:pt>
                <c:pt idx="90">
                  <c:v>0</c:v>
                </c:pt>
                <c:pt idx="91">
                  <c:v>94017</c:v>
                </c:pt>
                <c:pt idx="92">
                  <c:v>0</c:v>
                </c:pt>
                <c:pt idx="93">
                  <c:v>90493</c:v>
                </c:pt>
                <c:pt idx="94">
                  <c:v>0</c:v>
                </c:pt>
                <c:pt idx="95">
                  <c:v>0</c:v>
                </c:pt>
                <c:pt idx="96">
                  <c:v>94183</c:v>
                </c:pt>
                <c:pt idx="97">
                  <c:v>0</c:v>
                </c:pt>
                <c:pt idx="98">
                  <c:v>92027</c:v>
                </c:pt>
                <c:pt idx="99">
                  <c:v>0</c:v>
                </c:pt>
                <c:pt idx="100">
                  <c:v>0</c:v>
                </c:pt>
                <c:pt idx="101">
                  <c:v>85093</c:v>
                </c:pt>
                <c:pt idx="102">
                  <c:v>0</c:v>
                </c:pt>
                <c:pt idx="103">
                  <c:v>0</c:v>
                </c:pt>
                <c:pt idx="104">
                  <c:v>85586</c:v>
                </c:pt>
                <c:pt idx="105">
                  <c:v>0</c:v>
                </c:pt>
                <c:pt idx="106">
                  <c:v>82925</c:v>
                </c:pt>
                <c:pt idx="107">
                  <c:v>0</c:v>
                </c:pt>
                <c:pt idx="108">
                  <c:v>0</c:v>
                </c:pt>
                <c:pt idx="109">
                  <c:v>80930</c:v>
                </c:pt>
                <c:pt idx="110">
                  <c:v>0</c:v>
                </c:pt>
                <c:pt idx="111">
                  <c:v>75624</c:v>
                </c:pt>
                <c:pt idx="112">
                  <c:v>0</c:v>
                </c:pt>
                <c:pt idx="113">
                  <c:v>0</c:v>
                </c:pt>
                <c:pt idx="114">
                  <c:v>75087</c:v>
                </c:pt>
                <c:pt idx="115">
                  <c:v>0</c:v>
                </c:pt>
                <c:pt idx="116">
                  <c:v>73529</c:v>
                </c:pt>
                <c:pt idx="117">
                  <c:v>0</c:v>
                </c:pt>
                <c:pt idx="118">
                  <c:v>0</c:v>
                </c:pt>
                <c:pt idx="119">
                  <c:v>75302</c:v>
                </c:pt>
                <c:pt idx="120">
                  <c:v>0</c:v>
                </c:pt>
                <c:pt idx="121">
                  <c:v>0</c:v>
                </c:pt>
                <c:pt idx="122">
                  <c:v>67082</c:v>
                </c:pt>
                <c:pt idx="123">
                  <c:v>0</c:v>
                </c:pt>
                <c:pt idx="124">
                  <c:v>74414</c:v>
                </c:pt>
                <c:pt idx="125">
                  <c:v>0</c:v>
                </c:pt>
                <c:pt idx="126">
                  <c:v>0</c:v>
                </c:pt>
                <c:pt idx="127">
                  <c:v>71706</c:v>
                </c:pt>
                <c:pt idx="128">
                  <c:v>0</c:v>
                </c:pt>
                <c:pt idx="129">
                  <c:v>66956</c:v>
                </c:pt>
                <c:pt idx="130">
                  <c:v>0</c:v>
                </c:pt>
                <c:pt idx="131">
                  <c:v>0</c:v>
                </c:pt>
                <c:pt idx="132">
                  <c:v>64584</c:v>
                </c:pt>
                <c:pt idx="133">
                  <c:v>0</c:v>
                </c:pt>
                <c:pt idx="134">
                  <c:v>62602</c:v>
                </c:pt>
                <c:pt idx="135">
                  <c:v>0</c:v>
                </c:pt>
                <c:pt idx="136">
                  <c:v>0</c:v>
                </c:pt>
                <c:pt idx="137">
                  <c:v>56333</c:v>
                </c:pt>
                <c:pt idx="138">
                  <c:v>0</c:v>
                </c:pt>
                <c:pt idx="139">
                  <c:v>0</c:v>
                </c:pt>
                <c:pt idx="140">
                  <c:v>47827</c:v>
                </c:pt>
                <c:pt idx="141">
                  <c:v>0</c:v>
                </c:pt>
                <c:pt idx="142">
                  <c:v>34600</c:v>
                </c:pt>
                <c:pt idx="143">
                  <c:v>0</c:v>
                </c:pt>
                <c:pt idx="144">
                  <c:v>0</c:v>
                </c:pt>
                <c:pt idx="145">
                  <c:v>31680</c:v>
                </c:pt>
                <c:pt idx="146">
                  <c:v>0</c:v>
                </c:pt>
                <c:pt idx="147">
                  <c:v>28782</c:v>
                </c:pt>
                <c:pt idx="148">
                  <c:v>0</c:v>
                </c:pt>
                <c:pt idx="149">
                  <c:v>0</c:v>
                </c:pt>
                <c:pt idx="150">
                  <c:v>23794</c:v>
                </c:pt>
                <c:pt idx="151">
                  <c:v>0</c:v>
                </c:pt>
                <c:pt idx="152">
                  <c:v>20537</c:v>
                </c:pt>
                <c:pt idx="153">
                  <c:v>0</c:v>
                </c:pt>
                <c:pt idx="154">
                  <c:v>0</c:v>
                </c:pt>
                <c:pt idx="155">
                  <c:v>15527</c:v>
                </c:pt>
                <c:pt idx="156">
                  <c:v>0</c:v>
                </c:pt>
                <c:pt idx="157">
                  <c:v>0</c:v>
                </c:pt>
                <c:pt idx="158">
                  <c:v>14424</c:v>
                </c:pt>
                <c:pt idx="159">
                  <c:v>0</c:v>
                </c:pt>
                <c:pt idx="160">
                  <c:v>11004</c:v>
                </c:pt>
                <c:pt idx="161">
                  <c:v>0</c:v>
                </c:pt>
                <c:pt idx="162">
                  <c:v>0</c:v>
                </c:pt>
                <c:pt idx="163">
                  <c:v>7455</c:v>
                </c:pt>
                <c:pt idx="164">
                  <c:v>0</c:v>
                </c:pt>
                <c:pt idx="165">
                  <c:v>9084</c:v>
                </c:pt>
                <c:pt idx="166">
                  <c:v>0</c:v>
                </c:pt>
                <c:pt idx="167">
                  <c:v>0</c:v>
                </c:pt>
                <c:pt idx="168">
                  <c:v>5842</c:v>
                </c:pt>
                <c:pt idx="169">
                  <c:v>0</c:v>
                </c:pt>
                <c:pt idx="170">
                  <c:v>0</c:v>
                </c:pt>
                <c:pt idx="171">
                  <c:v>2204</c:v>
                </c:pt>
                <c:pt idx="172">
                  <c:v>0</c:v>
                </c:pt>
                <c:pt idx="173">
                  <c:v>1341</c:v>
                </c:pt>
                <c:pt idx="174">
                  <c:v>0</c:v>
                </c:pt>
                <c:pt idx="175">
                  <c:v>0</c:v>
                </c:pt>
                <c:pt idx="176">
                  <c:v>1353</c:v>
                </c:pt>
                <c:pt idx="177">
                  <c:v>0</c:v>
                </c:pt>
                <c:pt idx="178">
                  <c:v>402</c:v>
                </c:pt>
                <c:pt idx="179">
                  <c:v>0</c:v>
                </c:pt>
                <c:pt idx="180">
                  <c:v>0</c:v>
                </c:pt>
                <c:pt idx="181">
                  <c:v>274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0.20776979278964741</c:v>
                </c:pt>
                <c:pt idx="1">
                  <c:v>0.34010606924023434</c:v>
                </c:pt>
                <c:pt idx="2">
                  <c:v>0.45212413797011836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0.53316007340036298</c:v>
                </c:pt>
                <c:pt idx="1">
                  <c:v>0.33449896071927893</c:v>
                </c:pt>
                <c:pt idx="2">
                  <c:v>0.13234096588035815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9.4173225000000009</c:v>
                </c:pt>
                <c:pt idx="1">
                  <c:v>11.4975325</c:v>
                </c:pt>
                <c:pt idx="2">
                  <c:v>58.391799999999996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  <c:pt idx="75">
                  <c:v>30.5792</c:v>
                </c:pt>
                <c:pt idx="76">
                  <c:v>30.9542</c:v>
                </c:pt>
                <c:pt idx="77">
                  <c:v>31.345099999999999</c:v>
                </c:pt>
                <c:pt idx="78">
                  <c:v>31.75</c:v>
                </c:pt>
                <c:pt idx="79">
                  <c:v>32.135100000000001</c:v>
                </c:pt>
                <c:pt idx="80">
                  <c:v>32.543399999999998</c:v>
                </c:pt>
                <c:pt idx="81">
                  <c:v>32.950200000000002</c:v>
                </c:pt>
                <c:pt idx="82">
                  <c:v>33.357700000000001</c:v>
                </c:pt>
                <c:pt idx="83">
                  <c:v>33.766599999999997</c:v>
                </c:pt>
                <c:pt idx="84">
                  <c:v>34.1676</c:v>
                </c:pt>
                <c:pt idx="85">
                  <c:v>34.577500000000001</c:v>
                </c:pt>
                <c:pt idx="86">
                  <c:v>34.980400000000003</c:v>
                </c:pt>
                <c:pt idx="87">
                  <c:v>35.3874</c:v>
                </c:pt>
                <c:pt idx="88">
                  <c:v>35.797199999999997</c:v>
                </c:pt>
                <c:pt idx="89">
                  <c:v>36.204000000000001</c:v>
                </c:pt>
                <c:pt idx="90">
                  <c:v>36.607999999999997</c:v>
                </c:pt>
                <c:pt idx="91">
                  <c:v>37.009500000000003</c:v>
                </c:pt>
                <c:pt idx="92">
                  <c:v>37.417999999999999</c:v>
                </c:pt>
                <c:pt idx="93">
                  <c:v>37.823099999999997</c:v>
                </c:pt>
                <c:pt idx="94">
                  <c:v>38.231699999999996</c:v>
                </c:pt>
                <c:pt idx="95">
                  <c:v>38.642800000000001</c:v>
                </c:pt>
                <c:pt idx="96">
                  <c:v>39.042499999999997</c:v>
                </c:pt>
                <c:pt idx="97">
                  <c:v>39.452500000000001</c:v>
                </c:pt>
                <c:pt idx="98">
                  <c:v>39.860999999999997</c:v>
                </c:pt>
                <c:pt idx="99">
                  <c:v>40.262500000000003</c:v>
                </c:pt>
                <c:pt idx="100">
                  <c:v>40.670200000000001</c:v>
                </c:pt>
                <c:pt idx="101">
                  <c:v>41.081000000000003</c:v>
                </c:pt>
                <c:pt idx="102">
                  <c:v>41.483899999999998</c:v>
                </c:pt>
                <c:pt idx="103">
                  <c:v>41.8889</c:v>
                </c:pt>
                <c:pt idx="104">
                  <c:v>42.295999999999999</c:v>
                </c:pt>
                <c:pt idx="105">
                  <c:v>42.700800000000001</c:v>
                </c:pt>
                <c:pt idx="106">
                  <c:v>43.110100000000003</c:v>
                </c:pt>
                <c:pt idx="107">
                  <c:v>43.515599999999999</c:v>
                </c:pt>
                <c:pt idx="108">
                  <c:v>43.918500000000002</c:v>
                </c:pt>
                <c:pt idx="109">
                  <c:v>44.329500000000003</c:v>
                </c:pt>
                <c:pt idx="110">
                  <c:v>44.734299999999998</c:v>
                </c:pt>
                <c:pt idx="111">
                  <c:v>45.140300000000003</c:v>
                </c:pt>
                <c:pt idx="112">
                  <c:v>45.546100000000003</c:v>
                </c:pt>
                <c:pt idx="113">
                  <c:v>45.952100000000002</c:v>
                </c:pt>
                <c:pt idx="114">
                  <c:v>46.359000000000002</c:v>
                </c:pt>
                <c:pt idx="115">
                  <c:v>46.761899999999997</c:v>
                </c:pt>
                <c:pt idx="116">
                  <c:v>47.1708</c:v>
                </c:pt>
                <c:pt idx="117">
                  <c:v>47.5779</c:v>
                </c:pt>
                <c:pt idx="118">
                  <c:v>47.985599999999998</c:v>
                </c:pt>
                <c:pt idx="119">
                  <c:v>48.387500000000003</c:v>
                </c:pt>
                <c:pt idx="120">
                  <c:v>48.801400000000001</c:v>
                </c:pt>
                <c:pt idx="121">
                  <c:v>49.198500000000003</c:v>
                </c:pt>
                <c:pt idx="122">
                  <c:v>49.607500000000002</c:v>
                </c:pt>
                <c:pt idx="123">
                  <c:v>50.017099999999999</c:v>
                </c:pt>
                <c:pt idx="124">
                  <c:v>50.4191</c:v>
                </c:pt>
                <c:pt idx="125">
                  <c:v>50.827100000000002</c:v>
                </c:pt>
                <c:pt idx="126">
                  <c:v>51.233899999999998</c:v>
                </c:pt>
                <c:pt idx="127">
                  <c:v>51.641199999999998</c:v>
                </c:pt>
                <c:pt idx="128">
                  <c:v>52.043900000000001</c:v>
                </c:pt>
                <c:pt idx="129">
                  <c:v>52.4529</c:v>
                </c:pt>
                <c:pt idx="130">
                  <c:v>52.861600000000003</c:v>
                </c:pt>
                <c:pt idx="131">
                  <c:v>53.260800000000003</c:v>
                </c:pt>
                <c:pt idx="132">
                  <c:v>53.674100000000003</c:v>
                </c:pt>
                <c:pt idx="133">
                  <c:v>54.082700000000003</c:v>
                </c:pt>
                <c:pt idx="134">
                  <c:v>54.487499999999997</c:v>
                </c:pt>
                <c:pt idx="135">
                  <c:v>54.894300000000001</c:v>
                </c:pt>
                <c:pt idx="136">
                  <c:v>55.302199999999999</c:v>
                </c:pt>
                <c:pt idx="137">
                  <c:v>55.7074</c:v>
                </c:pt>
                <c:pt idx="138">
                  <c:v>56.110599999999998</c:v>
                </c:pt>
                <c:pt idx="139">
                  <c:v>56.5182</c:v>
                </c:pt>
                <c:pt idx="140">
                  <c:v>56.920999999999999</c:v>
                </c:pt>
                <c:pt idx="141">
                  <c:v>57.322899999999997</c:v>
                </c:pt>
                <c:pt idx="142">
                  <c:v>57.735599999999998</c:v>
                </c:pt>
                <c:pt idx="143">
                  <c:v>58.140500000000003</c:v>
                </c:pt>
                <c:pt idx="144">
                  <c:v>58.546399999999998</c:v>
                </c:pt>
                <c:pt idx="145">
                  <c:v>58.951500000000003</c:v>
                </c:pt>
                <c:pt idx="146">
                  <c:v>59.358199999999997</c:v>
                </c:pt>
                <c:pt idx="147">
                  <c:v>59.764200000000002</c:v>
                </c:pt>
                <c:pt idx="148">
                  <c:v>60.167999999999999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  <c:pt idx="75">
                  <c:v>3.8980999999999999</c:v>
                </c:pt>
                <c:pt idx="76">
                  <c:v>3.88306</c:v>
                </c:pt>
                <c:pt idx="77">
                  <c:v>3.8604899999999995</c:v>
                </c:pt>
                <c:pt idx="78">
                  <c:v>3.8341399999999997</c:v>
                </c:pt>
                <c:pt idx="79">
                  <c:v>3.8033399999999999</c:v>
                </c:pt>
                <c:pt idx="80">
                  <c:v>3.7676400000000001</c:v>
                </c:pt>
                <c:pt idx="81">
                  <c:v>3.7263800000000002</c:v>
                </c:pt>
                <c:pt idx="82">
                  <c:v>3.6825600000000005</c:v>
                </c:pt>
                <c:pt idx="83">
                  <c:v>3.6357400000000002</c:v>
                </c:pt>
                <c:pt idx="84">
                  <c:v>3.5837699999999999</c:v>
                </c:pt>
                <c:pt idx="85">
                  <c:v>3.5299399999999999</c:v>
                </c:pt>
                <c:pt idx="86">
                  <c:v>3.4747899999999996</c:v>
                </c:pt>
                <c:pt idx="87">
                  <c:v>3.4179300000000001</c:v>
                </c:pt>
                <c:pt idx="88">
                  <c:v>3.3662900000000002</c:v>
                </c:pt>
                <c:pt idx="89">
                  <c:v>3.3217000000000003</c:v>
                </c:pt>
                <c:pt idx="90">
                  <c:v>3.2810499999999996</c:v>
                </c:pt>
                <c:pt idx="91">
                  <c:v>3.2445900000000001</c:v>
                </c:pt>
                <c:pt idx="92">
                  <c:v>3.2135699999999998</c:v>
                </c:pt>
                <c:pt idx="93">
                  <c:v>3.1882700000000002</c:v>
                </c:pt>
                <c:pt idx="94">
                  <c:v>3.1673499999999999</c:v>
                </c:pt>
                <c:pt idx="95">
                  <c:v>3.1507800000000001</c:v>
                </c:pt>
                <c:pt idx="96">
                  <c:v>3.1393900000000001</c:v>
                </c:pt>
                <c:pt idx="97">
                  <c:v>3.1297599999999997</c:v>
                </c:pt>
                <c:pt idx="98">
                  <c:v>3.1233699999999995</c:v>
                </c:pt>
                <c:pt idx="99">
                  <c:v>3.1215100000000002</c:v>
                </c:pt>
                <c:pt idx="100">
                  <c:v>3.12595</c:v>
                </c:pt>
                <c:pt idx="101">
                  <c:v>3.1336199999999996</c:v>
                </c:pt>
                <c:pt idx="102">
                  <c:v>3.149</c:v>
                </c:pt>
                <c:pt idx="103">
                  <c:v>3.1703299999999999</c:v>
                </c:pt>
                <c:pt idx="104">
                  <c:v>3.1952099999999999</c:v>
                </c:pt>
                <c:pt idx="105">
                  <c:v>3.2251000000000003</c:v>
                </c:pt>
                <c:pt idx="106">
                  <c:v>3.2565499999999998</c:v>
                </c:pt>
                <c:pt idx="107">
                  <c:v>3.2872699999999999</c:v>
                </c:pt>
                <c:pt idx="108">
                  <c:v>3.3199800000000002</c:v>
                </c:pt>
                <c:pt idx="109">
                  <c:v>3.3552999999999997</c:v>
                </c:pt>
                <c:pt idx="110">
                  <c:v>3.3900100000000002</c:v>
                </c:pt>
                <c:pt idx="111">
                  <c:v>3.4261499999999998</c:v>
                </c:pt>
                <c:pt idx="112">
                  <c:v>3.4636</c:v>
                </c:pt>
                <c:pt idx="113">
                  <c:v>3.4980899999999999</c:v>
                </c:pt>
                <c:pt idx="114">
                  <c:v>3.5257899999999998</c:v>
                </c:pt>
                <c:pt idx="115">
                  <c:v>3.54895</c:v>
                </c:pt>
                <c:pt idx="116">
                  <c:v>3.5708699999999998</c:v>
                </c:pt>
                <c:pt idx="117">
                  <c:v>3.5897600000000001</c:v>
                </c:pt>
                <c:pt idx="118">
                  <c:v>3.6040899999999998</c:v>
                </c:pt>
                <c:pt idx="119">
                  <c:v>3.6160799999999997</c:v>
                </c:pt>
                <c:pt idx="120">
                  <c:v>3.6288</c:v>
                </c:pt>
                <c:pt idx="121">
                  <c:v>3.6373899999999999</c:v>
                </c:pt>
                <c:pt idx="122">
                  <c:v>3.6433599999999999</c:v>
                </c:pt>
                <c:pt idx="123">
                  <c:v>3.6488800000000001</c:v>
                </c:pt>
                <c:pt idx="124">
                  <c:v>3.6555800000000001</c:v>
                </c:pt>
                <c:pt idx="125">
                  <c:v>3.66195</c:v>
                </c:pt>
                <c:pt idx="126">
                  <c:v>3.6670999999999996</c:v>
                </c:pt>
                <c:pt idx="127">
                  <c:v>3.6689100000000003</c:v>
                </c:pt>
                <c:pt idx="128">
                  <c:v>3.6675300000000002</c:v>
                </c:pt>
                <c:pt idx="129">
                  <c:v>3.6645100000000004</c:v>
                </c:pt>
                <c:pt idx="130">
                  <c:v>3.6591400000000003</c:v>
                </c:pt>
                <c:pt idx="131">
                  <c:v>3.65273</c:v>
                </c:pt>
                <c:pt idx="132">
                  <c:v>3.6454399999999998</c:v>
                </c:pt>
                <c:pt idx="133">
                  <c:v>3.6362499999999995</c:v>
                </c:pt>
                <c:pt idx="134">
                  <c:v>3.6270999999999995</c:v>
                </c:pt>
                <c:pt idx="135">
                  <c:v>3.6185899999999998</c:v>
                </c:pt>
                <c:pt idx="136">
                  <c:v>3.60582</c:v>
                </c:pt>
                <c:pt idx="137">
                  <c:v>3.5886</c:v>
                </c:pt>
                <c:pt idx="138">
                  <c:v>3.5698000000000003</c:v>
                </c:pt>
                <c:pt idx="139">
                  <c:v>3.5576999999999996</c:v>
                </c:pt>
                <c:pt idx="140">
                  <c:v>3.5521799999999999</c:v>
                </c:pt>
                <c:pt idx="141">
                  <c:v>3.5461100000000001</c:v>
                </c:pt>
                <c:pt idx="142">
                  <c:v>3.5409899999999999</c:v>
                </c:pt>
                <c:pt idx="143">
                  <c:v>3.5392000000000001</c:v>
                </c:pt>
                <c:pt idx="144">
                  <c:v>3.5381299999999998</c:v>
                </c:pt>
                <c:pt idx="145">
                  <c:v>3.5224899999999999</c:v>
                </c:pt>
                <c:pt idx="146">
                  <c:v>3.5125600000000001</c:v>
                </c:pt>
                <c:pt idx="147">
                  <c:v>3.5243600000000002</c:v>
                </c:pt>
                <c:pt idx="148">
                  <c:v>3.5434100000000002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30.0626</c:v>
                </c:pt>
                <c:pt idx="1">
                  <c:v>30.5792</c:v>
                </c:pt>
                <c:pt idx="2">
                  <c:v>30.9542</c:v>
                </c:pt>
                <c:pt idx="3">
                  <c:v>31.345099999999999</c:v>
                </c:pt>
                <c:pt idx="4">
                  <c:v>31.75</c:v>
                </c:pt>
                <c:pt idx="5">
                  <c:v>32.135100000000001</c:v>
                </c:pt>
                <c:pt idx="6">
                  <c:v>32.543399999999998</c:v>
                </c:pt>
                <c:pt idx="7">
                  <c:v>32.950200000000002</c:v>
                </c:pt>
                <c:pt idx="8">
                  <c:v>33.357700000000001</c:v>
                </c:pt>
                <c:pt idx="9">
                  <c:v>33.766599999999997</c:v>
                </c:pt>
                <c:pt idx="10">
                  <c:v>34.1676</c:v>
                </c:pt>
                <c:pt idx="11">
                  <c:v>34.577500000000001</c:v>
                </c:pt>
                <c:pt idx="12">
                  <c:v>34.980400000000003</c:v>
                </c:pt>
                <c:pt idx="13">
                  <c:v>35.3874</c:v>
                </c:pt>
                <c:pt idx="14">
                  <c:v>35.797199999999997</c:v>
                </c:pt>
                <c:pt idx="15">
                  <c:v>36.204000000000001</c:v>
                </c:pt>
                <c:pt idx="16">
                  <c:v>36.607999999999997</c:v>
                </c:pt>
                <c:pt idx="17">
                  <c:v>37.009500000000003</c:v>
                </c:pt>
                <c:pt idx="18">
                  <c:v>37.417999999999999</c:v>
                </c:pt>
                <c:pt idx="19">
                  <c:v>37.823099999999997</c:v>
                </c:pt>
                <c:pt idx="20">
                  <c:v>38.231699999999996</c:v>
                </c:pt>
                <c:pt idx="21">
                  <c:v>38.642800000000001</c:v>
                </c:pt>
                <c:pt idx="22">
                  <c:v>39.042499999999997</c:v>
                </c:pt>
                <c:pt idx="23">
                  <c:v>39.452500000000001</c:v>
                </c:pt>
                <c:pt idx="24">
                  <c:v>39.860999999999997</c:v>
                </c:pt>
                <c:pt idx="25">
                  <c:v>40.262500000000003</c:v>
                </c:pt>
                <c:pt idx="26">
                  <c:v>40.670200000000001</c:v>
                </c:pt>
                <c:pt idx="27">
                  <c:v>41.081000000000003</c:v>
                </c:pt>
                <c:pt idx="28">
                  <c:v>41.483899999999998</c:v>
                </c:pt>
                <c:pt idx="29">
                  <c:v>41.8889</c:v>
                </c:pt>
                <c:pt idx="30">
                  <c:v>42.295999999999999</c:v>
                </c:pt>
                <c:pt idx="31">
                  <c:v>42.700800000000001</c:v>
                </c:pt>
                <c:pt idx="32">
                  <c:v>43.110100000000003</c:v>
                </c:pt>
                <c:pt idx="33">
                  <c:v>43.515599999999999</c:v>
                </c:pt>
                <c:pt idx="34">
                  <c:v>43.918500000000002</c:v>
                </c:pt>
                <c:pt idx="35">
                  <c:v>44.329500000000003</c:v>
                </c:pt>
                <c:pt idx="36">
                  <c:v>44.734299999999998</c:v>
                </c:pt>
                <c:pt idx="37">
                  <c:v>45.140300000000003</c:v>
                </c:pt>
                <c:pt idx="38">
                  <c:v>45.546100000000003</c:v>
                </c:pt>
                <c:pt idx="39">
                  <c:v>45.952100000000002</c:v>
                </c:pt>
                <c:pt idx="40">
                  <c:v>46.359000000000002</c:v>
                </c:pt>
                <c:pt idx="41">
                  <c:v>46.761899999999997</c:v>
                </c:pt>
                <c:pt idx="42">
                  <c:v>47.1708</c:v>
                </c:pt>
                <c:pt idx="43">
                  <c:v>47.5779</c:v>
                </c:pt>
                <c:pt idx="44">
                  <c:v>47.985599999999998</c:v>
                </c:pt>
                <c:pt idx="45">
                  <c:v>48.387500000000003</c:v>
                </c:pt>
                <c:pt idx="46">
                  <c:v>48.801400000000001</c:v>
                </c:pt>
                <c:pt idx="47">
                  <c:v>49.198500000000003</c:v>
                </c:pt>
                <c:pt idx="48">
                  <c:v>49.607500000000002</c:v>
                </c:pt>
                <c:pt idx="49">
                  <c:v>50.017099999999999</c:v>
                </c:pt>
                <c:pt idx="50">
                  <c:v>50.4191</c:v>
                </c:pt>
                <c:pt idx="51">
                  <c:v>50.827100000000002</c:v>
                </c:pt>
                <c:pt idx="52">
                  <c:v>51.233899999999998</c:v>
                </c:pt>
                <c:pt idx="53">
                  <c:v>51.641199999999998</c:v>
                </c:pt>
                <c:pt idx="54">
                  <c:v>52.043900000000001</c:v>
                </c:pt>
                <c:pt idx="55">
                  <c:v>52.4529</c:v>
                </c:pt>
                <c:pt idx="56">
                  <c:v>52.861600000000003</c:v>
                </c:pt>
                <c:pt idx="57">
                  <c:v>53.260800000000003</c:v>
                </c:pt>
                <c:pt idx="58">
                  <c:v>53.674100000000003</c:v>
                </c:pt>
                <c:pt idx="59">
                  <c:v>54.082700000000003</c:v>
                </c:pt>
                <c:pt idx="60">
                  <c:v>54.487499999999997</c:v>
                </c:pt>
                <c:pt idx="61">
                  <c:v>54.894300000000001</c:v>
                </c:pt>
                <c:pt idx="62">
                  <c:v>55.302199999999999</c:v>
                </c:pt>
                <c:pt idx="63">
                  <c:v>55.7074</c:v>
                </c:pt>
                <c:pt idx="64">
                  <c:v>56.110599999999998</c:v>
                </c:pt>
                <c:pt idx="65">
                  <c:v>56.5182</c:v>
                </c:pt>
                <c:pt idx="66">
                  <c:v>56.920999999999999</c:v>
                </c:pt>
                <c:pt idx="67">
                  <c:v>57.322899999999997</c:v>
                </c:pt>
                <c:pt idx="68">
                  <c:v>57.735599999999998</c:v>
                </c:pt>
                <c:pt idx="69">
                  <c:v>58.140500000000003</c:v>
                </c:pt>
                <c:pt idx="70">
                  <c:v>58.546399999999998</c:v>
                </c:pt>
                <c:pt idx="71">
                  <c:v>58.951500000000003</c:v>
                </c:pt>
                <c:pt idx="72">
                  <c:v>59.358199999999997</c:v>
                </c:pt>
                <c:pt idx="73">
                  <c:v>59.764200000000002</c:v>
                </c:pt>
                <c:pt idx="74">
                  <c:v>60.167999999999999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3.9187899999999996</c:v>
                </c:pt>
                <c:pt idx="1">
                  <c:v>3.8980999999999999</c:v>
                </c:pt>
                <c:pt idx="2">
                  <c:v>3.88306</c:v>
                </c:pt>
                <c:pt idx="3">
                  <c:v>3.8604899999999995</c:v>
                </c:pt>
                <c:pt idx="4">
                  <c:v>3.8341399999999997</c:v>
                </c:pt>
                <c:pt idx="5">
                  <c:v>3.8033399999999999</c:v>
                </c:pt>
                <c:pt idx="6">
                  <c:v>3.7676400000000001</c:v>
                </c:pt>
                <c:pt idx="7">
                  <c:v>3.7263800000000002</c:v>
                </c:pt>
                <c:pt idx="8">
                  <c:v>3.6825600000000005</c:v>
                </c:pt>
                <c:pt idx="9">
                  <c:v>3.6357400000000002</c:v>
                </c:pt>
                <c:pt idx="10">
                  <c:v>3.5837699999999999</c:v>
                </c:pt>
                <c:pt idx="11">
                  <c:v>3.5299399999999999</c:v>
                </c:pt>
                <c:pt idx="12">
                  <c:v>3.4747899999999996</c:v>
                </c:pt>
                <c:pt idx="13">
                  <c:v>3.4179300000000001</c:v>
                </c:pt>
                <c:pt idx="14">
                  <c:v>3.3662900000000002</c:v>
                </c:pt>
                <c:pt idx="15">
                  <c:v>3.3217000000000003</c:v>
                </c:pt>
                <c:pt idx="16">
                  <c:v>3.2810499999999996</c:v>
                </c:pt>
                <c:pt idx="17">
                  <c:v>3.2445900000000001</c:v>
                </c:pt>
                <c:pt idx="18">
                  <c:v>3.2135699999999998</c:v>
                </c:pt>
                <c:pt idx="19">
                  <c:v>3.1882700000000002</c:v>
                </c:pt>
                <c:pt idx="20">
                  <c:v>3.1673499999999999</c:v>
                </c:pt>
                <c:pt idx="21">
                  <c:v>3.1507800000000001</c:v>
                </c:pt>
                <c:pt idx="22">
                  <c:v>3.1393900000000001</c:v>
                </c:pt>
                <c:pt idx="23">
                  <c:v>3.1297599999999997</c:v>
                </c:pt>
                <c:pt idx="24">
                  <c:v>3.1233699999999995</c:v>
                </c:pt>
                <c:pt idx="25">
                  <c:v>3.1215100000000002</c:v>
                </c:pt>
                <c:pt idx="26">
                  <c:v>3.12595</c:v>
                </c:pt>
                <c:pt idx="27">
                  <c:v>3.1336199999999996</c:v>
                </c:pt>
                <c:pt idx="28">
                  <c:v>3.149</c:v>
                </c:pt>
                <c:pt idx="29">
                  <c:v>3.1703299999999999</c:v>
                </c:pt>
                <c:pt idx="30">
                  <c:v>3.1952099999999999</c:v>
                </c:pt>
                <c:pt idx="31">
                  <c:v>3.2251000000000003</c:v>
                </c:pt>
                <c:pt idx="32">
                  <c:v>3.2565499999999998</c:v>
                </c:pt>
                <c:pt idx="33">
                  <c:v>3.2872699999999999</c:v>
                </c:pt>
                <c:pt idx="34">
                  <c:v>3.3199800000000002</c:v>
                </c:pt>
                <c:pt idx="35">
                  <c:v>3.3552999999999997</c:v>
                </c:pt>
                <c:pt idx="36">
                  <c:v>3.3900100000000002</c:v>
                </c:pt>
                <c:pt idx="37">
                  <c:v>3.4261499999999998</c:v>
                </c:pt>
                <c:pt idx="38">
                  <c:v>3.4636</c:v>
                </c:pt>
                <c:pt idx="39">
                  <c:v>3.4980899999999999</c:v>
                </c:pt>
                <c:pt idx="40">
                  <c:v>3.5257899999999998</c:v>
                </c:pt>
                <c:pt idx="41">
                  <c:v>3.54895</c:v>
                </c:pt>
                <c:pt idx="42">
                  <c:v>3.5708699999999998</c:v>
                </c:pt>
                <c:pt idx="43">
                  <c:v>3.5897600000000001</c:v>
                </c:pt>
                <c:pt idx="44">
                  <c:v>3.6040899999999998</c:v>
                </c:pt>
                <c:pt idx="45">
                  <c:v>3.6160799999999997</c:v>
                </c:pt>
                <c:pt idx="46">
                  <c:v>3.6288</c:v>
                </c:pt>
                <c:pt idx="47">
                  <c:v>3.6373899999999999</c:v>
                </c:pt>
                <c:pt idx="48">
                  <c:v>3.6433599999999999</c:v>
                </c:pt>
                <c:pt idx="49">
                  <c:v>3.6488800000000001</c:v>
                </c:pt>
                <c:pt idx="50">
                  <c:v>3.6555800000000001</c:v>
                </c:pt>
                <c:pt idx="51">
                  <c:v>3.66195</c:v>
                </c:pt>
                <c:pt idx="52">
                  <c:v>3.6670999999999996</c:v>
                </c:pt>
                <c:pt idx="53">
                  <c:v>3.6689100000000003</c:v>
                </c:pt>
                <c:pt idx="54">
                  <c:v>3.6675300000000002</c:v>
                </c:pt>
                <c:pt idx="55">
                  <c:v>3.6645100000000004</c:v>
                </c:pt>
                <c:pt idx="56">
                  <c:v>3.6591400000000003</c:v>
                </c:pt>
                <c:pt idx="57">
                  <c:v>3.65273</c:v>
                </c:pt>
                <c:pt idx="58">
                  <c:v>3.6454399999999998</c:v>
                </c:pt>
                <c:pt idx="59">
                  <c:v>3.6362499999999995</c:v>
                </c:pt>
                <c:pt idx="60">
                  <c:v>3.6270999999999995</c:v>
                </c:pt>
                <c:pt idx="61">
                  <c:v>3.6185899999999998</c:v>
                </c:pt>
                <c:pt idx="62">
                  <c:v>3.60582</c:v>
                </c:pt>
                <c:pt idx="63">
                  <c:v>3.5886</c:v>
                </c:pt>
                <c:pt idx="64">
                  <c:v>3.5698000000000003</c:v>
                </c:pt>
                <c:pt idx="65">
                  <c:v>3.5576999999999996</c:v>
                </c:pt>
                <c:pt idx="66">
                  <c:v>3.5521799999999999</c:v>
                </c:pt>
                <c:pt idx="67">
                  <c:v>3.5461100000000001</c:v>
                </c:pt>
                <c:pt idx="68">
                  <c:v>3.5409899999999999</c:v>
                </c:pt>
                <c:pt idx="69">
                  <c:v>3.5392000000000001</c:v>
                </c:pt>
                <c:pt idx="70">
                  <c:v>3.5381299999999998</c:v>
                </c:pt>
                <c:pt idx="71">
                  <c:v>3.5224899999999999</c:v>
                </c:pt>
                <c:pt idx="72">
                  <c:v>3.5125600000000001</c:v>
                </c:pt>
                <c:pt idx="73">
                  <c:v>3.5243600000000002</c:v>
                </c:pt>
                <c:pt idx="74">
                  <c:v>3.5434100000000002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</c:v>
                </c:pt>
                <c:pt idx="1">
                  <c:v>45.125999999999998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3.3114394594594598</c:v>
                </c:pt>
                <c:pt idx="1">
                  <c:v>3.4986108108108112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  <c:pt idx="75">
                  <c:v>30.5792</c:v>
                </c:pt>
                <c:pt idx="76">
                  <c:v>30.9542</c:v>
                </c:pt>
                <c:pt idx="77">
                  <c:v>31.345099999999999</c:v>
                </c:pt>
                <c:pt idx="78">
                  <c:v>31.75</c:v>
                </c:pt>
                <c:pt idx="79">
                  <c:v>32.135100000000001</c:v>
                </c:pt>
                <c:pt idx="80">
                  <c:v>32.543399999999998</c:v>
                </c:pt>
                <c:pt idx="81">
                  <c:v>32.950200000000002</c:v>
                </c:pt>
                <c:pt idx="82">
                  <c:v>33.357700000000001</c:v>
                </c:pt>
                <c:pt idx="83">
                  <c:v>33.766599999999997</c:v>
                </c:pt>
                <c:pt idx="84">
                  <c:v>34.1676</c:v>
                </c:pt>
                <c:pt idx="85">
                  <c:v>34.577500000000001</c:v>
                </c:pt>
                <c:pt idx="86">
                  <c:v>34.980400000000003</c:v>
                </c:pt>
                <c:pt idx="87">
                  <c:v>35.3874</c:v>
                </c:pt>
                <c:pt idx="88">
                  <c:v>35.797199999999997</c:v>
                </c:pt>
                <c:pt idx="89">
                  <c:v>36.204000000000001</c:v>
                </c:pt>
                <c:pt idx="90">
                  <c:v>36.607999999999997</c:v>
                </c:pt>
                <c:pt idx="91">
                  <c:v>37.009500000000003</c:v>
                </c:pt>
                <c:pt idx="92">
                  <c:v>37.417999999999999</c:v>
                </c:pt>
                <c:pt idx="93">
                  <c:v>37.823099999999997</c:v>
                </c:pt>
                <c:pt idx="94">
                  <c:v>38.231699999999996</c:v>
                </c:pt>
                <c:pt idx="95">
                  <c:v>38.642800000000001</c:v>
                </c:pt>
                <c:pt idx="96">
                  <c:v>39.042499999999997</c:v>
                </c:pt>
                <c:pt idx="97">
                  <c:v>39.452500000000001</c:v>
                </c:pt>
                <c:pt idx="98">
                  <c:v>39.860999999999997</c:v>
                </c:pt>
                <c:pt idx="99">
                  <c:v>40.262500000000003</c:v>
                </c:pt>
                <c:pt idx="100">
                  <c:v>40.670200000000001</c:v>
                </c:pt>
                <c:pt idx="101">
                  <c:v>41.081000000000003</c:v>
                </c:pt>
                <c:pt idx="102">
                  <c:v>41.483899999999998</c:v>
                </c:pt>
                <c:pt idx="103">
                  <c:v>41.8889</c:v>
                </c:pt>
                <c:pt idx="104">
                  <c:v>42.295999999999999</c:v>
                </c:pt>
                <c:pt idx="105">
                  <c:v>42.700800000000001</c:v>
                </c:pt>
                <c:pt idx="106">
                  <c:v>43.110100000000003</c:v>
                </c:pt>
                <c:pt idx="107">
                  <c:v>43.515599999999999</c:v>
                </c:pt>
                <c:pt idx="108">
                  <c:v>43.918500000000002</c:v>
                </c:pt>
                <c:pt idx="109">
                  <c:v>44.329500000000003</c:v>
                </c:pt>
                <c:pt idx="110">
                  <c:v>44.734299999999998</c:v>
                </c:pt>
                <c:pt idx="111">
                  <c:v>45.140300000000003</c:v>
                </c:pt>
                <c:pt idx="112">
                  <c:v>45.546100000000003</c:v>
                </c:pt>
                <c:pt idx="113">
                  <c:v>45.952100000000002</c:v>
                </c:pt>
                <c:pt idx="114">
                  <c:v>46.359000000000002</c:v>
                </c:pt>
                <c:pt idx="115">
                  <c:v>46.761899999999997</c:v>
                </c:pt>
                <c:pt idx="116">
                  <c:v>47.1708</c:v>
                </c:pt>
                <c:pt idx="117">
                  <c:v>47.5779</c:v>
                </c:pt>
                <c:pt idx="118">
                  <c:v>47.985599999999998</c:v>
                </c:pt>
                <c:pt idx="119">
                  <c:v>48.387500000000003</c:v>
                </c:pt>
                <c:pt idx="120">
                  <c:v>48.801400000000001</c:v>
                </c:pt>
                <c:pt idx="121">
                  <c:v>49.198500000000003</c:v>
                </c:pt>
                <c:pt idx="122">
                  <c:v>49.607500000000002</c:v>
                </c:pt>
                <c:pt idx="123">
                  <c:v>50.017099999999999</c:v>
                </c:pt>
                <c:pt idx="124">
                  <c:v>50.4191</c:v>
                </c:pt>
                <c:pt idx="125">
                  <c:v>50.827100000000002</c:v>
                </c:pt>
                <c:pt idx="126">
                  <c:v>51.233899999999998</c:v>
                </c:pt>
                <c:pt idx="127">
                  <c:v>51.641199999999998</c:v>
                </c:pt>
                <c:pt idx="128">
                  <c:v>52.043900000000001</c:v>
                </c:pt>
                <c:pt idx="129">
                  <c:v>52.4529</c:v>
                </c:pt>
                <c:pt idx="130">
                  <c:v>52.861600000000003</c:v>
                </c:pt>
                <c:pt idx="131">
                  <c:v>53.260800000000003</c:v>
                </c:pt>
                <c:pt idx="132">
                  <c:v>53.674100000000003</c:v>
                </c:pt>
                <c:pt idx="133">
                  <c:v>54.082700000000003</c:v>
                </c:pt>
                <c:pt idx="134">
                  <c:v>54.487499999999997</c:v>
                </c:pt>
                <c:pt idx="135">
                  <c:v>54.894300000000001</c:v>
                </c:pt>
                <c:pt idx="136">
                  <c:v>55.302199999999999</c:v>
                </c:pt>
                <c:pt idx="137">
                  <c:v>55.7074</c:v>
                </c:pt>
                <c:pt idx="138">
                  <c:v>56.110599999999998</c:v>
                </c:pt>
                <c:pt idx="139">
                  <c:v>56.5182</c:v>
                </c:pt>
                <c:pt idx="140">
                  <c:v>56.920999999999999</c:v>
                </c:pt>
                <c:pt idx="141">
                  <c:v>57.322899999999997</c:v>
                </c:pt>
                <c:pt idx="142">
                  <c:v>57.735599999999998</c:v>
                </c:pt>
                <c:pt idx="143">
                  <c:v>58.140500000000003</c:v>
                </c:pt>
                <c:pt idx="144">
                  <c:v>58.546399999999998</c:v>
                </c:pt>
                <c:pt idx="145">
                  <c:v>58.951500000000003</c:v>
                </c:pt>
                <c:pt idx="146">
                  <c:v>59.358199999999997</c:v>
                </c:pt>
                <c:pt idx="147">
                  <c:v>59.764200000000002</c:v>
                </c:pt>
                <c:pt idx="148">
                  <c:v>60.167999999999999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  <c:pt idx="75">
                  <c:v>37.525700000000001</c:v>
                </c:pt>
                <c:pt idx="76">
                  <c:v>37.432000000000002</c:v>
                </c:pt>
                <c:pt idx="77">
                  <c:v>37.320799999999998</c:v>
                </c:pt>
                <c:pt idx="78">
                  <c:v>37.229600000000005</c:v>
                </c:pt>
                <c:pt idx="79">
                  <c:v>37.111400000000003</c:v>
                </c:pt>
                <c:pt idx="80">
                  <c:v>36.9542</c:v>
                </c:pt>
                <c:pt idx="81">
                  <c:v>36.863600000000005</c:v>
                </c:pt>
                <c:pt idx="82">
                  <c:v>36.846699999999998</c:v>
                </c:pt>
                <c:pt idx="83">
                  <c:v>36.855600000000003</c:v>
                </c:pt>
                <c:pt idx="84">
                  <c:v>36.927</c:v>
                </c:pt>
                <c:pt idx="85">
                  <c:v>37.047600000000003</c:v>
                </c:pt>
                <c:pt idx="86">
                  <c:v>37.274700000000003</c:v>
                </c:pt>
                <c:pt idx="87">
                  <c:v>37.582900000000002</c:v>
                </c:pt>
                <c:pt idx="88">
                  <c:v>37.811499999999995</c:v>
                </c:pt>
                <c:pt idx="89">
                  <c:v>38.032700000000006</c:v>
                </c:pt>
                <c:pt idx="90">
                  <c:v>38.294800000000002</c:v>
                </c:pt>
                <c:pt idx="91">
                  <c:v>38.6113</c:v>
                </c:pt>
                <c:pt idx="92">
                  <c:v>38.906400000000005</c:v>
                </c:pt>
                <c:pt idx="93">
                  <c:v>39.171900000000001</c:v>
                </c:pt>
                <c:pt idx="94">
                  <c:v>39.420200000000001</c:v>
                </c:pt>
                <c:pt idx="95">
                  <c:v>39.637599999999999</c:v>
                </c:pt>
                <c:pt idx="96">
                  <c:v>39.766800000000003</c:v>
                </c:pt>
                <c:pt idx="97">
                  <c:v>39.859099999999998</c:v>
                </c:pt>
                <c:pt idx="98">
                  <c:v>39.932699999999997</c:v>
                </c:pt>
                <c:pt idx="99">
                  <c:v>39.940999999999995</c:v>
                </c:pt>
                <c:pt idx="100">
                  <c:v>39.778799999999997</c:v>
                </c:pt>
                <c:pt idx="101">
                  <c:v>39.532499999999999</c:v>
                </c:pt>
                <c:pt idx="102">
                  <c:v>39.143299999999996</c:v>
                </c:pt>
                <c:pt idx="103">
                  <c:v>38.596200000000003</c:v>
                </c:pt>
                <c:pt idx="104">
                  <c:v>38.04</c:v>
                </c:pt>
                <c:pt idx="105">
                  <c:v>37.576300000000003</c:v>
                </c:pt>
                <c:pt idx="106">
                  <c:v>37.255400000000002</c:v>
                </c:pt>
                <c:pt idx="107">
                  <c:v>37.019000000000005</c:v>
                </c:pt>
                <c:pt idx="108">
                  <c:v>36.834299999999999</c:v>
                </c:pt>
                <c:pt idx="109">
                  <c:v>36.759399999999999</c:v>
                </c:pt>
                <c:pt idx="110">
                  <c:v>36.782800000000002</c:v>
                </c:pt>
                <c:pt idx="111">
                  <c:v>36.786200000000001</c:v>
                </c:pt>
                <c:pt idx="112">
                  <c:v>36.815300000000001</c:v>
                </c:pt>
                <c:pt idx="113">
                  <c:v>36.908900000000003</c:v>
                </c:pt>
                <c:pt idx="114">
                  <c:v>37.0471</c:v>
                </c:pt>
                <c:pt idx="115">
                  <c:v>37.248599999999996</c:v>
                </c:pt>
                <c:pt idx="116">
                  <c:v>37.450000000000003</c:v>
                </c:pt>
                <c:pt idx="117">
                  <c:v>37.675899999999999</c:v>
                </c:pt>
                <c:pt idx="118">
                  <c:v>37.894299999999994</c:v>
                </c:pt>
                <c:pt idx="119">
                  <c:v>38.044200000000004</c:v>
                </c:pt>
                <c:pt idx="120">
                  <c:v>38.135300000000001</c:v>
                </c:pt>
                <c:pt idx="121">
                  <c:v>38.234699999999997</c:v>
                </c:pt>
                <c:pt idx="122">
                  <c:v>38.375</c:v>
                </c:pt>
                <c:pt idx="123">
                  <c:v>38.457999999999998</c:v>
                </c:pt>
                <c:pt idx="124">
                  <c:v>38.446799999999996</c:v>
                </c:pt>
                <c:pt idx="125">
                  <c:v>38.399499999999996</c:v>
                </c:pt>
                <c:pt idx="126">
                  <c:v>38.371400000000001</c:v>
                </c:pt>
                <c:pt idx="127">
                  <c:v>38.337900000000005</c:v>
                </c:pt>
                <c:pt idx="128">
                  <c:v>38.362299999999998</c:v>
                </c:pt>
                <c:pt idx="129">
                  <c:v>38.418999999999997</c:v>
                </c:pt>
                <c:pt idx="130">
                  <c:v>38.476500000000001</c:v>
                </c:pt>
                <c:pt idx="131">
                  <c:v>38.492399999999996</c:v>
                </c:pt>
                <c:pt idx="132">
                  <c:v>38.492199999999997</c:v>
                </c:pt>
                <c:pt idx="133">
                  <c:v>38.521300000000004</c:v>
                </c:pt>
                <c:pt idx="134">
                  <c:v>38.560899999999997</c:v>
                </c:pt>
                <c:pt idx="135">
                  <c:v>38.5899</c:v>
                </c:pt>
                <c:pt idx="136">
                  <c:v>38.728200000000001</c:v>
                </c:pt>
                <c:pt idx="137">
                  <c:v>38.9876</c:v>
                </c:pt>
                <c:pt idx="138">
                  <c:v>39.298699999999997</c:v>
                </c:pt>
                <c:pt idx="139">
                  <c:v>39.562399999999997</c:v>
                </c:pt>
                <c:pt idx="140">
                  <c:v>39.785499999999999</c:v>
                </c:pt>
                <c:pt idx="141">
                  <c:v>39.92</c:v>
                </c:pt>
                <c:pt idx="142">
                  <c:v>39.972099999999998</c:v>
                </c:pt>
                <c:pt idx="143">
                  <c:v>39.944099999999999</c:v>
                </c:pt>
                <c:pt idx="144">
                  <c:v>40.003999999999998</c:v>
                </c:pt>
                <c:pt idx="145">
                  <c:v>40.340399999999995</c:v>
                </c:pt>
                <c:pt idx="146">
                  <c:v>40.724199999999996</c:v>
                </c:pt>
                <c:pt idx="147">
                  <c:v>40.566800000000001</c:v>
                </c:pt>
                <c:pt idx="148">
                  <c:v>40.185600000000001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0.40689700000000001</c:v>
                </c:pt>
                <c:pt idx="2">
                  <c:v>0.81281099999999995</c:v>
                </c:pt>
                <c:pt idx="3">
                  <c:v>1.2155899999999999</c:v>
                </c:pt>
                <c:pt idx="4">
                  <c:v>1.6205499999999999</c:v>
                </c:pt>
                <c:pt idx="5">
                  <c:v>2.03145</c:v>
                </c:pt>
                <c:pt idx="6">
                  <c:v>2.4363700000000001</c:v>
                </c:pt>
                <c:pt idx="7">
                  <c:v>2.8436599999999999</c:v>
                </c:pt>
                <c:pt idx="8">
                  <c:v>3.2471800000000002</c:v>
                </c:pt>
                <c:pt idx="9">
                  <c:v>3.6542500000000002</c:v>
                </c:pt>
                <c:pt idx="10">
                  <c:v>4.0630899999999999</c:v>
                </c:pt>
                <c:pt idx="11">
                  <c:v>4.4688999999999997</c:v>
                </c:pt>
                <c:pt idx="12">
                  <c:v>4.8708099999999996</c:v>
                </c:pt>
                <c:pt idx="13">
                  <c:v>5.2828499999999998</c:v>
                </c:pt>
                <c:pt idx="14">
                  <c:v>5.6867299999999998</c:v>
                </c:pt>
                <c:pt idx="15">
                  <c:v>6.0928899999999997</c:v>
                </c:pt>
                <c:pt idx="16">
                  <c:v>6.4975300000000002</c:v>
                </c:pt>
                <c:pt idx="17">
                  <c:v>6.9055400000000002</c:v>
                </c:pt>
                <c:pt idx="18">
                  <c:v>7.3083900000000002</c:v>
                </c:pt>
                <c:pt idx="19">
                  <c:v>7.7152799999999999</c:v>
                </c:pt>
                <c:pt idx="20">
                  <c:v>8.1241500000000002</c:v>
                </c:pt>
                <c:pt idx="21">
                  <c:v>8.5300999999999991</c:v>
                </c:pt>
                <c:pt idx="22">
                  <c:v>8.9361499999999996</c:v>
                </c:pt>
                <c:pt idx="23">
                  <c:v>9.3440499999999993</c:v>
                </c:pt>
                <c:pt idx="24">
                  <c:v>9.7488200000000003</c:v>
                </c:pt>
                <c:pt idx="25">
                  <c:v>10.1577</c:v>
                </c:pt>
                <c:pt idx="26">
                  <c:v>10.5627</c:v>
                </c:pt>
                <c:pt idx="27">
                  <c:v>10.9678</c:v>
                </c:pt>
                <c:pt idx="28">
                  <c:v>11.3735</c:v>
                </c:pt>
                <c:pt idx="29">
                  <c:v>11.782400000000001</c:v>
                </c:pt>
                <c:pt idx="30">
                  <c:v>12.1854</c:v>
                </c:pt>
                <c:pt idx="31">
                  <c:v>12.597200000000001</c:v>
                </c:pt>
                <c:pt idx="32">
                  <c:v>12.9992</c:v>
                </c:pt>
                <c:pt idx="33">
                  <c:v>13.4008</c:v>
                </c:pt>
                <c:pt idx="34">
                  <c:v>13.8089</c:v>
                </c:pt>
                <c:pt idx="35">
                  <c:v>14.217000000000001</c:v>
                </c:pt>
                <c:pt idx="36">
                  <c:v>14.6258</c:v>
                </c:pt>
                <c:pt idx="37">
                  <c:v>15.0328</c:v>
                </c:pt>
                <c:pt idx="38">
                  <c:v>15.435600000000001</c:v>
                </c:pt>
                <c:pt idx="39">
                  <c:v>15.842700000000001</c:v>
                </c:pt>
                <c:pt idx="40">
                  <c:v>16.249500000000001</c:v>
                </c:pt>
                <c:pt idx="41">
                  <c:v>16.662500000000001</c:v>
                </c:pt>
                <c:pt idx="42">
                  <c:v>17.060400000000001</c:v>
                </c:pt>
                <c:pt idx="43">
                  <c:v>17.467099999999999</c:v>
                </c:pt>
                <c:pt idx="44">
                  <c:v>17.871099999999998</c:v>
                </c:pt>
                <c:pt idx="45">
                  <c:v>18.277100000000001</c:v>
                </c:pt>
                <c:pt idx="46">
                  <c:v>18.687899999999999</c:v>
                </c:pt>
                <c:pt idx="47">
                  <c:v>19.090900000000001</c:v>
                </c:pt>
                <c:pt idx="48">
                  <c:v>19.497900000000001</c:v>
                </c:pt>
                <c:pt idx="49">
                  <c:v>19.9057</c:v>
                </c:pt>
                <c:pt idx="50">
                  <c:v>20.3081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21.5304</c:v>
                </c:pt>
                <c:pt idx="54">
                  <c:v>21.9373</c:v>
                </c:pt>
                <c:pt idx="55">
                  <c:v>22.345300000000002</c:v>
                </c:pt>
                <c:pt idx="56">
                  <c:v>22.749099999999999</c:v>
                </c:pt>
                <c:pt idx="57">
                  <c:v>23.155100000000001</c:v>
                </c:pt>
                <c:pt idx="58">
                  <c:v>23.561</c:v>
                </c:pt>
                <c:pt idx="59">
                  <c:v>23.968800000000002</c:v>
                </c:pt>
                <c:pt idx="60">
                  <c:v>24.375699999999998</c:v>
                </c:pt>
                <c:pt idx="61">
                  <c:v>24.7807</c:v>
                </c:pt>
                <c:pt idx="62">
                  <c:v>25.1845</c:v>
                </c:pt>
                <c:pt idx="63">
                  <c:v>25.5916</c:v>
                </c:pt>
                <c:pt idx="64">
                  <c:v>25.9984</c:v>
                </c:pt>
                <c:pt idx="65">
                  <c:v>26.402200000000001</c:v>
                </c:pt>
                <c:pt idx="66">
                  <c:v>26.8095</c:v>
                </c:pt>
                <c:pt idx="67">
                  <c:v>27.215900000000001</c:v>
                </c:pt>
                <c:pt idx="68">
                  <c:v>27.620799999999999</c:v>
                </c:pt>
                <c:pt idx="69">
                  <c:v>28.029</c:v>
                </c:pt>
                <c:pt idx="70">
                  <c:v>28.4359</c:v>
                </c:pt>
                <c:pt idx="71">
                  <c:v>28.8431</c:v>
                </c:pt>
                <c:pt idx="72">
                  <c:v>29.252800000000001</c:v>
                </c:pt>
                <c:pt idx="73">
                  <c:v>29.6599</c:v>
                </c:pt>
                <c:pt idx="74">
                  <c:v>30.0626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30.0626</c:v>
                </c:pt>
                <c:pt idx="1">
                  <c:v>30.5792</c:v>
                </c:pt>
                <c:pt idx="2">
                  <c:v>30.9542</c:v>
                </c:pt>
                <c:pt idx="3">
                  <c:v>31.345099999999999</c:v>
                </c:pt>
                <c:pt idx="4">
                  <c:v>31.75</c:v>
                </c:pt>
                <c:pt idx="5">
                  <c:v>32.135100000000001</c:v>
                </c:pt>
                <c:pt idx="6">
                  <c:v>32.543399999999998</c:v>
                </c:pt>
                <c:pt idx="7">
                  <c:v>32.950200000000002</c:v>
                </c:pt>
                <c:pt idx="8">
                  <c:v>33.357700000000001</c:v>
                </c:pt>
                <c:pt idx="9">
                  <c:v>33.766599999999997</c:v>
                </c:pt>
                <c:pt idx="10">
                  <c:v>34.1676</c:v>
                </c:pt>
                <c:pt idx="11">
                  <c:v>34.577500000000001</c:v>
                </c:pt>
                <c:pt idx="12">
                  <c:v>34.980400000000003</c:v>
                </c:pt>
                <c:pt idx="13">
                  <c:v>35.3874</c:v>
                </c:pt>
                <c:pt idx="14">
                  <c:v>35.797199999999997</c:v>
                </c:pt>
                <c:pt idx="15">
                  <c:v>36.204000000000001</c:v>
                </c:pt>
                <c:pt idx="16">
                  <c:v>36.607999999999997</c:v>
                </c:pt>
                <c:pt idx="17">
                  <c:v>37.009500000000003</c:v>
                </c:pt>
                <c:pt idx="18">
                  <c:v>37.417999999999999</c:v>
                </c:pt>
                <c:pt idx="19">
                  <c:v>37.823099999999997</c:v>
                </c:pt>
                <c:pt idx="20">
                  <c:v>38.231699999999996</c:v>
                </c:pt>
                <c:pt idx="21">
                  <c:v>38.642800000000001</c:v>
                </c:pt>
                <c:pt idx="22">
                  <c:v>39.042499999999997</c:v>
                </c:pt>
                <c:pt idx="23">
                  <c:v>39.452500000000001</c:v>
                </c:pt>
                <c:pt idx="24">
                  <c:v>39.860999999999997</c:v>
                </c:pt>
                <c:pt idx="25">
                  <c:v>40.262500000000003</c:v>
                </c:pt>
                <c:pt idx="26">
                  <c:v>40.670200000000001</c:v>
                </c:pt>
                <c:pt idx="27">
                  <c:v>41.081000000000003</c:v>
                </c:pt>
                <c:pt idx="28">
                  <c:v>41.483899999999998</c:v>
                </c:pt>
                <c:pt idx="29">
                  <c:v>41.8889</c:v>
                </c:pt>
                <c:pt idx="30">
                  <c:v>42.295999999999999</c:v>
                </c:pt>
                <c:pt idx="31">
                  <c:v>42.700800000000001</c:v>
                </c:pt>
                <c:pt idx="32">
                  <c:v>43.110100000000003</c:v>
                </c:pt>
                <c:pt idx="33">
                  <c:v>43.515599999999999</c:v>
                </c:pt>
                <c:pt idx="34">
                  <c:v>43.918500000000002</c:v>
                </c:pt>
                <c:pt idx="35">
                  <c:v>44.329500000000003</c:v>
                </c:pt>
                <c:pt idx="36">
                  <c:v>44.734299999999998</c:v>
                </c:pt>
                <c:pt idx="37">
                  <c:v>45.140300000000003</c:v>
                </c:pt>
                <c:pt idx="38">
                  <c:v>45.546100000000003</c:v>
                </c:pt>
                <c:pt idx="39">
                  <c:v>45.952100000000002</c:v>
                </c:pt>
                <c:pt idx="40">
                  <c:v>46.359000000000002</c:v>
                </c:pt>
                <c:pt idx="41">
                  <c:v>46.761899999999997</c:v>
                </c:pt>
                <c:pt idx="42">
                  <c:v>47.1708</c:v>
                </c:pt>
                <c:pt idx="43">
                  <c:v>47.5779</c:v>
                </c:pt>
                <c:pt idx="44">
                  <c:v>47.985599999999998</c:v>
                </c:pt>
                <c:pt idx="45">
                  <c:v>48.387500000000003</c:v>
                </c:pt>
                <c:pt idx="46">
                  <c:v>48.801400000000001</c:v>
                </c:pt>
                <c:pt idx="47">
                  <c:v>49.198500000000003</c:v>
                </c:pt>
                <c:pt idx="48">
                  <c:v>49.607500000000002</c:v>
                </c:pt>
                <c:pt idx="49">
                  <c:v>50.017099999999999</c:v>
                </c:pt>
                <c:pt idx="50">
                  <c:v>50.4191</c:v>
                </c:pt>
                <c:pt idx="51">
                  <c:v>50.827100000000002</c:v>
                </c:pt>
                <c:pt idx="52">
                  <c:v>51.233899999999998</c:v>
                </c:pt>
                <c:pt idx="53">
                  <c:v>51.641199999999998</c:v>
                </c:pt>
                <c:pt idx="54">
                  <c:v>52.043900000000001</c:v>
                </c:pt>
                <c:pt idx="55">
                  <c:v>52.4529</c:v>
                </c:pt>
                <c:pt idx="56">
                  <c:v>52.861600000000003</c:v>
                </c:pt>
                <c:pt idx="57">
                  <c:v>53.260800000000003</c:v>
                </c:pt>
                <c:pt idx="58">
                  <c:v>53.674100000000003</c:v>
                </c:pt>
                <c:pt idx="59">
                  <c:v>54.082700000000003</c:v>
                </c:pt>
                <c:pt idx="60">
                  <c:v>54.487499999999997</c:v>
                </c:pt>
                <c:pt idx="61">
                  <c:v>54.894300000000001</c:v>
                </c:pt>
                <c:pt idx="62">
                  <c:v>55.302199999999999</c:v>
                </c:pt>
                <c:pt idx="63">
                  <c:v>55.7074</c:v>
                </c:pt>
                <c:pt idx="64">
                  <c:v>56.110599999999998</c:v>
                </c:pt>
                <c:pt idx="65">
                  <c:v>56.5182</c:v>
                </c:pt>
                <c:pt idx="66">
                  <c:v>56.920999999999999</c:v>
                </c:pt>
                <c:pt idx="67">
                  <c:v>57.322899999999997</c:v>
                </c:pt>
                <c:pt idx="68">
                  <c:v>57.735599999999998</c:v>
                </c:pt>
                <c:pt idx="69">
                  <c:v>58.140500000000003</c:v>
                </c:pt>
                <c:pt idx="70">
                  <c:v>58.546399999999998</c:v>
                </c:pt>
                <c:pt idx="71">
                  <c:v>58.951500000000003</c:v>
                </c:pt>
                <c:pt idx="72">
                  <c:v>59.358199999999997</c:v>
                </c:pt>
                <c:pt idx="73">
                  <c:v>59.764200000000002</c:v>
                </c:pt>
                <c:pt idx="74">
                  <c:v>60.167999999999999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37.618699999999997</c:v>
                </c:pt>
                <c:pt idx="1">
                  <c:v>37.525700000000001</c:v>
                </c:pt>
                <c:pt idx="2">
                  <c:v>37.432000000000002</c:v>
                </c:pt>
                <c:pt idx="3">
                  <c:v>37.320799999999998</c:v>
                </c:pt>
                <c:pt idx="4">
                  <c:v>37.229600000000005</c:v>
                </c:pt>
                <c:pt idx="5">
                  <c:v>37.111400000000003</c:v>
                </c:pt>
                <c:pt idx="6">
                  <c:v>36.9542</c:v>
                </c:pt>
                <c:pt idx="7">
                  <c:v>36.863600000000005</c:v>
                </c:pt>
                <c:pt idx="8">
                  <c:v>36.846699999999998</c:v>
                </c:pt>
                <c:pt idx="9">
                  <c:v>36.855600000000003</c:v>
                </c:pt>
                <c:pt idx="10">
                  <c:v>36.927</c:v>
                </c:pt>
                <c:pt idx="11">
                  <c:v>37.047600000000003</c:v>
                </c:pt>
                <c:pt idx="12">
                  <c:v>37.274700000000003</c:v>
                </c:pt>
                <c:pt idx="13">
                  <c:v>37.582900000000002</c:v>
                </c:pt>
                <c:pt idx="14">
                  <c:v>37.811499999999995</c:v>
                </c:pt>
                <c:pt idx="15">
                  <c:v>38.032700000000006</c:v>
                </c:pt>
                <c:pt idx="16">
                  <c:v>38.294800000000002</c:v>
                </c:pt>
                <c:pt idx="17">
                  <c:v>38.6113</c:v>
                </c:pt>
                <c:pt idx="18">
                  <c:v>38.906400000000005</c:v>
                </c:pt>
                <c:pt idx="19">
                  <c:v>39.171900000000001</c:v>
                </c:pt>
                <c:pt idx="20">
                  <c:v>39.420200000000001</c:v>
                </c:pt>
                <c:pt idx="21">
                  <c:v>39.637599999999999</c:v>
                </c:pt>
                <c:pt idx="22">
                  <c:v>39.766800000000003</c:v>
                </c:pt>
                <c:pt idx="23">
                  <c:v>39.859099999999998</c:v>
                </c:pt>
                <c:pt idx="24">
                  <c:v>39.932699999999997</c:v>
                </c:pt>
                <c:pt idx="25">
                  <c:v>39.940999999999995</c:v>
                </c:pt>
                <c:pt idx="26">
                  <c:v>39.778799999999997</c:v>
                </c:pt>
                <c:pt idx="27">
                  <c:v>39.532499999999999</c:v>
                </c:pt>
                <c:pt idx="28">
                  <c:v>39.143299999999996</c:v>
                </c:pt>
                <c:pt idx="29">
                  <c:v>38.596200000000003</c:v>
                </c:pt>
                <c:pt idx="30">
                  <c:v>38.04</c:v>
                </c:pt>
                <c:pt idx="31">
                  <c:v>37.576300000000003</c:v>
                </c:pt>
                <c:pt idx="32">
                  <c:v>37.255400000000002</c:v>
                </c:pt>
                <c:pt idx="33">
                  <c:v>37.019000000000005</c:v>
                </c:pt>
                <c:pt idx="34">
                  <c:v>36.834299999999999</c:v>
                </c:pt>
                <c:pt idx="35">
                  <c:v>36.759399999999999</c:v>
                </c:pt>
                <c:pt idx="36">
                  <c:v>36.782800000000002</c:v>
                </c:pt>
                <c:pt idx="37">
                  <c:v>36.786200000000001</c:v>
                </c:pt>
                <c:pt idx="38">
                  <c:v>36.815300000000001</c:v>
                </c:pt>
                <c:pt idx="39">
                  <c:v>36.908900000000003</c:v>
                </c:pt>
                <c:pt idx="40">
                  <c:v>37.0471</c:v>
                </c:pt>
                <c:pt idx="41">
                  <c:v>37.248599999999996</c:v>
                </c:pt>
                <c:pt idx="42">
                  <c:v>37.450000000000003</c:v>
                </c:pt>
                <c:pt idx="43">
                  <c:v>37.675899999999999</c:v>
                </c:pt>
                <c:pt idx="44">
                  <c:v>37.894299999999994</c:v>
                </c:pt>
                <c:pt idx="45">
                  <c:v>38.044200000000004</c:v>
                </c:pt>
                <c:pt idx="46">
                  <c:v>38.135300000000001</c:v>
                </c:pt>
                <c:pt idx="47">
                  <c:v>38.234699999999997</c:v>
                </c:pt>
                <c:pt idx="48">
                  <c:v>38.375</c:v>
                </c:pt>
                <c:pt idx="49">
                  <c:v>38.457999999999998</c:v>
                </c:pt>
                <c:pt idx="50">
                  <c:v>38.446799999999996</c:v>
                </c:pt>
                <c:pt idx="51">
                  <c:v>38.399499999999996</c:v>
                </c:pt>
                <c:pt idx="52">
                  <c:v>38.371400000000001</c:v>
                </c:pt>
                <c:pt idx="53">
                  <c:v>38.337900000000005</c:v>
                </c:pt>
                <c:pt idx="54">
                  <c:v>38.362299999999998</c:v>
                </c:pt>
                <c:pt idx="55">
                  <c:v>38.418999999999997</c:v>
                </c:pt>
                <c:pt idx="56">
                  <c:v>38.476500000000001</c:v>
                </c:pt>
                <c:pt idx="57">
                  <c:v>38.492399999999996</c:v>
                </c:pt>
                <c:pt idx="58">
                  <c:v>38.492199999999997</c:v>
                </c:pt>
                <c:pt idx="59">
                  <c:v>38.521300000000004</c:v>
                </c:pt>
                <c:pt idx="60">
                  <c:v>38.560899999999997</c:v>
                </c:pt>
                <c:pt idx="61">
                  <c:v>38.5899</c:v>
                </c:pt>
                <c:pt idx="62">
                  <c:v>38.728200000000001</c:v>
                </c:pt>
                <c:pt idx="63">
                  <c:v>38.9876</c:v>
                </c:pt>
                <c:pt idx="64">
                  <c:v>39.298699999999997</c:v>
                </c:pt>
                <c:pt idx="65">
                  <c:v>39.562399999999997</c:v>
                </c:pt>
                <c:pt idx="66">
                  <c:v>39.785499999999999</c:v>
                </c:pt>
                <c:pt idx="67">
                  <c:v>39.92</c:v>
                </c:pt>
                <c:pt idx="68">
                  <c:v>39.972099999999998</c:v>
                </c:pt>
                <c:pt idx="69">
                  <c:v>39.944099999999999</c:v>
                </c:pt>
                <c:pt idx="70">
                  <c:v>40.003999999999998</c:v>
                </c:pt>
                <c:pt idx="71">
                  <c:v>40.340399999999995</c:v>
                </c:pt>
                <c:pt idx="72">
                  <c:v>40.724199999999996</c:v>
                </c:pt>
                <c:pt idx="73">
                  <c:v>40.566800000000001</c:v>
                </c:pt>
                <c:pt idx="74">
                  <c:v>40.185600000000001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</c:v>
                </c:pt>
                <c:pt idx="1">
                  <c:v>45.125999999999998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38.534404054054036</c:v>
                </c:pt>
                <c:pt idx="1">
                  <c:v>38.319893243243236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  <c:pt idx="75">
                  <c:v>3.8980999999999999</c:v>
                </c:pt>
                <c:pt idx="76">
                  <c:v>3.88306</c:v>
                </c:pt>
                <c:pt idx="77">
                  <c:v>3.8604899999999995</c:v>
                </c:pt>
                <c:pt idx="78">
                  <c:v>3.8341399999999997</c:v>
                </c:pt>
                <c:pt idx="79">
                  <c:v>3.8033399999999999</c:v>
                </c:pt>
                <c:pt idx="80">
                  <c:v>3.7676400000000001</c:v>
                </c:pt>
                <c:pt idx="81">
                  <c:v>3.7263800000000002</c:v>
                </c:pt>
                <c:pt idx="82">
                  <c:v>3.6825600000000005</c:v>
                </c:pt>
                <c:pt idx="83">
                  <c:v>3.6357400000000002</c:v>
                </c:pt>
                <c:pt idx="84">
                  <c:v>3.5837699999999999</c:v>
                </c:pt>
                <c:pt idx="85">
                  <c:v>3.5299399999999999</c:v>
                </c:pt>
                <c:pt idx="86">
                  <c:v>3.4747899999999996</c:v>
                </c:pt>
                <c:pt idx="87">
                  <c:v>3.4179300000000001</c:v>
                </c:pt>
                <c:pt idx="88">
                  <c:v>3.3662900000000002</c:v>
                </c:pt>
                <c:pt idx="89">
                  <c:v>3.3217000000000003</c:v>
                </c:pt>
                <c:pt idx="90">
                  <c:v>3.2810499999999996</c:v>
                </c:pt>
                <c:pt idx="91">
                  <c:v>3.2445900000000001</c:v>
                </c:pt>
                <c:pt idx="92">
                  <c:v>3.2135699999999998</c:v>
                </c:pt>
                <c:pt idx="93">
                  <c:v>3.1882700000000002</c:v>
                </c:pt>
                <c:pt idx="94">
                  <c:v>3.1673499999999999</c:v>
                </c:pt>
                <c:pt idx="95">
                  <c:v>3.1507800000000001</c:v>
                </c:pt>
                <c:pt idx="96">
                  <c:v>3.1393900000000001</c:v>
                </c:pt>
                <c:pt idx="97">
                  <c:v>3.1297599999999997</c:v>
                </c:pt>
                <c:pt idx="98">
                  <c:v>3.1233699999999995</c:v>
                </c:pt>
                <c:pt idx="99">
                  <c:v>3.1215100000000002</c:v>
                </c:pt>
                <c:pt idx="100">
                  <c:v>3.12595</c:v>
                </c:pt>
                <c:pt idx="101">
                  <c:v>3.1336199999999996</c:v>
                </c:pt>
                <c:pt idx="102">
                  <c:v>3.149</c:v>
                </c:pt>
                <c:pt idx="103">
                  <c:v>3.1703299999999999</c:v>
                </c:pt>
                <c:pt idx="104">
                  <c:v>3.1952099999999999</c:v>
                </c:pt>
                <c:pt idx="105">
                  <c:v>3.2251000000000003</c:v>
                </c:pt>
                <c:pt idx="106">
                  <c:v>3.2565499999999998</c:v>
                </c:pt>
                <c:pt idx="107">
                  <c:v>3.2872699999999999</c:v>
                </c:pt>
                <c:pt idx="108">
                  <c:v>3.3199800000000002</c:v>
                </c:pt>
                <c:pt idx="109">
                  <c:v>3.3552999999999997</c:v>
                </c:pt>
                <c:pt idx="110">
                  <c:v>3.3900100000000002</c:v>
                </c:pt>
                <c:pt idx="111">
                  <c:v>3.4261499999999998</c:v>
                </c:pt>
                <c:pt idx="112">
                  <c:v>3.4636</c:v>
                </c:pt>
                <c:pt idx="113">
                  <c:v>3.4980899999999999</c:v>
                </c:pt>
                <c:pt idx="114">
                  <c:v>3.5257899999999998</c:v>
                </c:pt>
                <c:pt idx="115">
                  <c:v>3.54895</c:v>
                </c:pt>
                <c:pt idx="116">
                  <c:v>3.5708699999999998</c:v>
                </c:pt>
                <c:pt idx="117">
                  <c:v>3.5897600000000001</c:v>
                </c:pt>
                <c:pt idx="118">
                  <c:v>3.6040899999999998</c:v>
                </c:pt>
                <c:pt idx="119">
                  <c:v>3.6160799999999997</c:v>
                </c:pt>
                <c:pt idx="120">
                  <c:v>3.6288</c:v>
                </c:pt>
                <c:pt idx="121">
                  <c:v>3.6373899999999999</c:v>
                </c:pt>
                <c:pt idx="122">
                  <c:v>3.6433599999999999</c:v>
                </c:pt>
                <c:pt idx="123">
                  <c:v>3.6488800000000001</c:v>
                </c:pt>
                <c:pt idx="124">
                  <c:v>3.6555800000000001</c:v>
                </c:pt>
                <c:pt idx="125">
                  <c:v>3.66195</c:v>
                </c:pt>
                <c:pt idx="126">
                  <c:v>3.6670999999999996</c:v>
                </c:pt>
                <c:pt idx="127">
                  <c:v>3.6689100000000003</c:v>
                </c:pt>
                <c:pt idx="128">
                  <c:v>3.6675300000000002</c:v>
                </c:pt>
                <c:pt idx="129">
                  <c:v>3.6645100000000004</c:v>
                </c:pt>
                <c:pt idx="130">
                  <c:v>3.6591400000000003</c:v>
                </c:pt>
                <c:pt idx="131">
                  <c:v>3.65273</c:v>
                </c:pt>
                <c:pt idx="132">
                  <c:v>3.6454399999999998</c:v>
                </c:pt>
                <c:pt idx="133">
                  <c:v>3.6362499999999995</c:v>
                </c:pt>
                <c:pt idx="134">
                  <c:v>3.6270999999999995</c:v>
                </c:pt>
                <c:pt idx="135">
                  <c:v>3.6185899999999998</c:v>
                </c:pt>
                <c:pt idx="136">
                  <c:v>3.60582</c:v>
                </c:pt>
                <c:pt idx="137">
                  <c:v>3.5886</c:v>
                </c:pt>
                <c:pt idx="138">
                  <c:v>3.5698000000000003</c:v>
                </c:pt>
                <c:pt idx="139">
                  <c:v>3.5576999999999996</c:v>
                </c:pt>
                <c:pt idx="140">
                  <c:v>3.5521799999999999</c:v>
                </c:pt>
                <c:pt idx="141">
                  <c:v>3.5461100000000001</c:v>
                </c:pt>
                <c:pt idx="142">
                  <c:v>3.5409899999999999</c:v>
                </c:pt>
                <c:pt idx="143">
                  <c:v>3.5392000000000001</c:v>
                </c:pt>
                <c:pt idx="144">
                  <c:v>3.5381299999999998</c:v>
                </c:pt>
                <c:pt idx="145">
                  <c:v>3.5224899999999999</c:v>
                </c:pt>
                <c:pt idx="146">
                  <c:v>3.5125600000000001</c:v>
                </c:pt>
                <c:pt idx="147">
                  <c:v>3.5243600000000002</c:v>
                </c:pt>
                <c:pt idx="148">
                  <c:v>3.5434100000000002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  <c:pt idx="75">
                  <c:v>37.525700000000001</c:v>
                </c:pt>
                <c:pt idx="76">
                  <c:v>37.432000000000002</c:v>
                </c:pt>
                <c:pt idx="77">
                  <c:v>37.320799999999998</c:v>
                </c:pt>
                <c:pt idx="78">
                  <c:v>37.229600000000005</c:v>
                </c:pt>
                <c:pt idx="79">
                  <c:v>37.111400000000003</c:v>
                </c:pt>
                <c:pt idx="80">
                  <c:v>36.9542</c:v>
                </c:pt>
                <c:pt idx="81">
                  <c:v>36.863600000000005</c:v>
                </c:pt>
                <c:pt idx="82">
                  <c:v>36.846699999999998</c:v>
                </c:pt>
                <c:pt idx="83">
                  <c:v>36.855600000000003</c:v>
                </c:pt>
                <c:pt idx="84">
                  <c:v>36.927</c:v>
                </c:pt>
                <c:pt idx="85">
                  <c:v>37.047600000000003</c:v>
                </c:pt>
                <c:pt idx="86">
                  <c:v>37.274700000000003</c:v>
                </c:pt>
                <c:pt idx="87">
                  <c:v>37.582900000000002</c:v>
                </c:pt>
                <c:pt idx="88">
                  <c:v>37.811499999999995</c:v>
                </c:pt>
                <c:pt idx="89">
                  <c:v>38.032700000000006</c:v>
                </c:pt>
                <c:pt idx="90">
                  <c:v>38.294800000000002</c:v>
                </c:pt>
                <c:pt idx="91">
                  <c:v>38.6113</c:v>
                </c:pt>
                <c:pt idx="92">
                  <c:v>38.906400000000005</c:v>
                </c:pt>
                <c:pt idx="93">
                  <c:v>39.171900000000001</c:v>
                </c:pt>
                <c:pt idx="94">
                  <c:v>39.420200000000001</c:v>
                </c:pt>
                <c:pt idx="95">
                  <c:v>39.637599999999999</c:v>
                </c:pt>
                <c:pt idx="96">
                  <c:v>39.766800000000003</c:v>
                </c:pt>
                <c:pt idx="97">
                  <c:v>39.859099999999998</c:v>
                </c:pt>
                <c:pt idx="98">
                  <c:v>39.932699999999997</c:v>
                </c:pt>
                <c:pt idx="99">
                  <c:v>39.940999999999995</c:v>
                </c:pt>
                <c:pt idx="100">
                  <c:v>39.778799999999997</c:v>
                </c:pt>
                <c:pt idx="101">
                  <c:v>39.532499999999999</c:v>
                </c:pt>
                <c:pt idx="102">
                  <c:v>39.143299999999996</c:v>
                </c:pt>
                <c:pt idx="103">
                  <c:v>38.596200000000003</c:v>
                </c:pt>
                <c:pt idx="104">
                  <c:v>38.04</c:v>
                </c:pt>
                <c:pt idx="105">
                  <c:v>37.576300000000003</c:v>
                </c:pt>
                <c:pt idx="106">
                  <c:v>37.255400000000002</c:v>
                </c:pt>
                <c:pt idx="107">
                  <c:v>37.019000000000005</c:v>
                </c:pt>
                <c:pt idx="108">
                  <c:v>36.834299999999999</c:v>
                </c:pt>
                <c:pt idx="109">
                  <c:v>36.759399999999999</c:v>
                </c:pt>
                <c:pt idx="110">
                  <c:v>36.782800000000002</c:v>
                </c:pt>
                <c:pt idx="111">
                  <c:v>36.786200000000001</c:v>
                </c:pt>
                <c:pt idx="112">
                  <c:v>36.815300000000001</c:v>
                </c:pt>
                <c:pt idx="113">
                  <c:v>36.908900000000003</c:v>
                </c:pt>
                <c:pt idx="114">
                  <c:v>37.0471</c:v>
                </c:pt>
                <c:pt idx="115">
                  <c:v>37.248599999999996</c:v>
                </c:pt>
                <c:pt idx="116">
                  <c:v>37.450000000000003</c:v>
                </c:pt>
                <c:pt idx="117">
                  <c:v>37.675899999999999</c:v>
                </c:pt>
                <c:pt idx="118">
                  <c:v>37.894299999999994</c:v>
                </c:pt>
                <c:pt idx="119">
                  <c:v>38.044200000000004</c:v>
                </c:pt>
                <c:pt idx="120">
                  <c:v>38.135300000000001</c:v>
                </c:pt>
                <c:pt idx="121">
                  <c:v>38.234699999999997</c:v>
                </c:pt>
                <c:pt idx="122">
                  <c:v>38.375</c:v>
                </c:pt>
                <c:pt idx="123">
                  <c:v>38.457999999999998</c:v>
                </c:pt>
                <c:pt idx="124">
                  <c:v>38.446799999999996</c:v>
                </c:pt>
                <c:pt idx="125">
                  <c:v>38.399499999999996</c:v>
                </c:pt>
                <c:pt idx="126">
                  <c:v>38.371400000000001</c:v>
                </c:pt>
                <c:pt idx="127">
                  <c:v>38.337900000000005</c:v>
                </c:pt>
                <c:pt idx="128">
                  <c:v>38.362299999999998</c:v>
                </c:pt>
                <c:pt idx="129">
                  <c:v>38.418999999999997</c:v>
                </c:pt>
                <c:pt idx="130">
                  <c:v>38.476500000000001</c:v>
                </c:pt>
                <c:pt idx="131">
                  <c:v>38.492399999999996</c:v>
                </c:pt>
                <c:pt idx="132">
                  <c:v>38.492199999999997</c:v>
                </c:pt>
                <c:pt idx="133">
                  <c:v>38.521300000000004</c:v>
                </c:pt>
                <c:pt idx="134">
                  <c:v>38.560899999999997</c:v>
                </c:pt>
                <c:pt idx="135">
                  <c:v>38.5899</c:v>
                </c:pt>
                <c:pt idx="136">
                  <c:v>38.728200000000001</c:v>
                </c:pt>
                <c:pt idx="137">
                  <c:v>38.9876</c:v>
                </c:pt>
                <c:pt idx="138">
                  <c:v>39.298699999999997</c:v>
                </c:pt>
                <c:pt idx="139">
                  <c:v>39.562399999999997</c:v>
                </c:pt>
                <c:pt idx="140">
                  <c:v>39.785499999999999</c:v>
                </c:pt>
                <c:pt idx="141">
                  <c:v>39.92</c:v>
                </c:pt>
                <c:pt idx="142">
                  <c:v>39.972099999999998</c:v>
                </c:pt>
                <c:pt idx="143">
                  <c:v>39.944099999999999</c:v>
                </c:pt>
                <c:pt idx="144">
                  <c:v>40.003999999999998</c:v>
                </c:pt>
                <c:pt idx="145">
                  <c:v>40.340399999999995</c:v>
                </c:pt>
                <c:pt idx="146">
                  <c:v>40.724199999999996</c:v>
                </c:pt>
                <c:pt idx="147">
                  <c:v>40.566800000000001</c:v>
                </c:pt>
                <c:pt idx="148">
                  <c:v>40.185600000000001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1.7924000000000002</c:v>
                </c:pt>
                <c:pt idx="1">
                  <c:v>1.8521399999999999</c:v>
                </c:pt>
                <c:pt idx="2">
                  <c:v>1.9107499999999999</c:v>
                </c:pt>
                <c:pt idx="3">
                  <c:v>1.9676499999999999</c:v>
                </c:pt>
                <c:pt idx="4">
                  <c:v>2.02319</c:v>
                </c:pt>
                <c:pt idx="5">
                  <c:v>2.0798100000000002</c:v>
                </c:pt>
                <c:pt idx="6">
                  <c:v>2.1334499999999998</c:v>
                </c:pt>
                <c:pt idx="7">
                  <c:v>2.1868499999999997</c:v>
                </c:pt>
                <c:pt idx="8">
                  <c:v>2.2407900000000001</c:v>
                </c:pt>
                <c:pt idx="9">
                  <c:v>2.2932199999999998</c:v>
                </c:pt>
                <c:pt idx="10">
                  <c:v>2.3436599999999999</c:v>
                </c:pt>
                <c:pt idx="11">
                  <c:v>2.3935300000000002</c:v>
                </c:pt>
                <c:pt idx="12">
                  <c:v>2.4417800000000001</c:v>
                </c:pt>
                <c:pt idx="13">
                  <c:v>2.4922800000000001</c:v>
                </c:pt>
                <c:pt idx="14">
                  <c:v>2.5478299999999998</c:v>
                </c:pt>
                <c:pt idx="15">
                  <c:v>2.6088899999999997</c:v>
                </c:pt>
                <c:pt idx="16">
                  <c:v>2.6722400000000004</c:v>
                </c:pt>
                <c:pt idx="17">
                  <c:v>2.7413500000000002</c:v>
                </c:pt>
                <c:pt idx="18">
                  <c:v>2.8090299999999999</c:v>
                </c:pt>
                <c:pt idx="19">
                  <c:v>2.8725699999999996</c:v>
                </c:pt>
                <c:pt idx="20">
                  <c:v>2.9309400000000001</c:v>
                </c:pt>
                <c:pt idx="21">
                  <c:v>2.9861900000000001</c:v>
                </c:pt>
                <c:pt idx="22">
                  <c:v>3.0405700000000002</c:v>
                </c:pt>
                <c:pt idx="23">
                  <c:v>3.0926300000000002</c:v>
                </c:pt>
                <c:pt idx="24">
                  <c:v>3.1408999999999998</c:v>
                </c:pt>
                <c:pt idx="25">
                  <c:v>3.18859</c:v>
                </c:pt>
                <c:pt idx="26">
                  <c:v>3.2363</c:v>
                </c:pt>
                <c:pt idx="27">
                  <c:v>3.2818199999999997</c:v>
                </c:pt>
                <c:pt idx="28">
                  <c:v>3.3273000000000001</c:v>
                </c:pt>
                <c:pt idx="29">
                  <c:v>3.3717599999999996</c:v>
                </c:pt>
                <c:pt idx="30">
                  <c:v>3.4142399999999999</c:v>
                </c:pt>
                <c:pt idx="31">
                  <c:v>3.4537</c:v>
                </c:pt>
                <c:pt idx="32">
                  <c:v>3.4906600000000001</c:v>
                </c:pt>
                <c:pt idx="33">
                  <c:v>3.5241699999999998</c:v>
                </c:pt>
                <c:pt idx="34">
                  <c:v>3.5569099999999998</c:v>
                </c:pt>
                <c:pt idx="35">
                  <c:v>3.5875600000000003</c:v>
                </c:pt>
                <c:pt idx="36">
                  <c:v>3.6155900000000001</c:v>
                </c:pt>
                <c:pt idx="37">
                  <c:v>3.6439700000000004</c:v>
                </c:pt>
                <c:pt idx="38">
                  <c:v>3.6704699999999999</c:v>
                </c:pt>
                <c:pt idx="39">
                  <c:v>3.6934699999999996</c:v>
                </c:pt>
                <c:pt idx="40">
                  <c:v>3.71157</c:v>
                </c:pt>
                <c:pt idx="41">
                  <c:v>3.7270599999999998</c:v>
                </c:pt>
                <c:pt idx="42">
                  <c:v>3.7406000000000001</c:v>
                </c:pt>
                <c:pt idx="43">
                  <c:v>3.7532399999999999</c:v>
                </c:pt>
                <c:pt idx="44">
                  <c:v>3.76579</c:v>
                </c:pt>
                <c:pt idx="45">
                  <c:v>3.7773000000000003</c:v>
                </c:pt>
                <c:pt idx="46">
                  <c:v>3.7876799999999999</c:v>
                </c:pt>
                <c:pt idx="47">
                  <c:v>3.7953599999999996</c:v>
                </c:pt>
                <c:pt idx="48">
                  <c:v>3.8039399999999999</c:v>
                </c:pt>
                <c:pt idx="49">
                  <c:v>3.8124899999999999</c:v>
                </c:pt>
                <c:pt idx="50">
                  <c:v>3.8181599999999998</c:v>
                </c:pt>
                <c:pt idx="51">
                  <c:v>3.8226800000000001</c:v>
                </c:pt>
                <c:pt idx="52">
                  <c:v>3.8280099999999999</c:v>
                </c:pt>
                <c:pt idx="53">
                  <c:v>3.8332600000000001</c:v>
                </c:pt>
                <c:pt idx="54">
                  <c:v>3.8385599999999998</c:v>
                </c:pt>
                <c:pt idx="55">
                  <c:v>3.8481500000000004</c:v>
                </c:pt>
                <c:pt idx="56">
                  <c:v>3.8591100000000003</c:v>
                </c:pt>
                <c:pt idx="57">
                  <c:v>3.8666099999999997</c:v>
                </c:pt>
                <c:pt idx="58">
                  <c:v>3.8848400000000001</c:v>
                </c:pt>
                <c:pt idx="59">
                  <c:v>3.8929900000000002</c:v>
                </c:pt>
                <c:pt idx="60">
                  <c:v>3.9111400000000001</c:v>
                </c:pt>
                <c:pt idx="61">
                  <c:v>3.9205800000000002</c:v>
                </c:pt>
                <c:pt idx="62">
                  <c:v>3.9329799999999997</c:v>
                </c:pt>
                <c:pt idx="63">
                  <c:v>3.9434499999999999</c:v>
                </c:pt>
                <c:pt idx="64">
                  <c:v>3.9513799999999999</c:v>
                </c:pt>
                <c:pt idx="65">
                  <c:v>3.9575800000000001</c:v>
                </c:pt>
                <c:pt idx="66">
                  <c:v>3.9631300000000005</c:v>
                </c:pt>
                <c:pt idx="67">
                  <c:v>3.9648699999999999</c:v>
                </c:pt>
                <c:pt idx="68">
                  <c:v>3.9643800000000002</c:v>
                </c:pt>
                <c:pt idx="69">
                  <c:v>3.9617300000000002</c:v>
                </c:pt>
                <c:pt idx="70">
                  <c:v>3.9507300000000001</c:v>
                </c:pt>
                <c:pt idx="71">
                  <c:v>3.94868</c:v>
                </c:pt>
                <c:pt idx="72">
                  <c:v>3.9341699999999999</c:v>
                </c:pt>
                <c:pt idx="73">
                  <c:v>3.9231700000000003</c:v>
                </c:pt>
                <c:pt idx="74">
                  <c:v>3.9187899999999996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61.217699999999994</c:v>
                </c:pt>
                <c:pt idx="1">
                  <c:v>60.148999999999994</c:v>
                </c:pt>
                <c:pt idx="2">
                  <c:v>59.048900000000003</c:v>
                </c:pt>
                <c:pt idx="3">
                  <c:v>57.966700000000003</c:v>
                </c:pt>
                <c:pt idx="4">
                  <c:v>56.816500000000005</c:v>
                </c:pt>
                <c:pt idx="5">
                  <c:v>55.621900000000004</c:v>
                </c:pt>
                <c:pt idx="6">
                  <c:v>54.451499999999996</c:v>
                </c:pt>
                <c:pt idx="7">
                  <c:v>53.244899999999994</c:v>
                </c:pt>
                <c:pt idx="8">
                  <c:v>52.008600000000001</c:v>
                </c:pt>
                <c:pt idx="9">
                  <c:v>50.856699999999996</c:v>
                </c:pt>
                <c:pt idx="10">
                  <c:v>49.743200000000002</c:v>
                </c:pt>
                <c:pt idx="11">
                  <c:v>48.605599999999995</c:v>
                </c:pt>
                <c:pt idx="12">
                  <c:v>47.572800000000001</c:v>
                </c:pt>
                <c:pt idx="13">
                  <c:v>46.5017</c:v>
                </c:pt>
                <c:pt idx="14">
                  <c:v>45.2761</c:v>
                </c:pt>
                <c:pt idx="15">
                  <c:v>43.9465</c:v>
                </c:pt>
                <c:pt idx="16">
                  <c:v>42.577799999999996</c:v>
                </c:pt>
                <c:pt idx="17">
                  <c:v>41.123399999999997</c:v>
                </c:pt>
                <c:pt idx="18">
                  <c:v>39.815300000000001</c:v>
                </c:pt>
                <c:pt idx="19">
                  <c:v>38.7258</c:v>
                </c:pt>
                <c:pt idx="20">
                  <c:v>37.789899999999996</c:v>
                </c:pt>
                <c:pt idx="21">
                  <c:v>36.963700000000003</c:v>
                </c:pt>
                <c:pt idx="22">
                  <c:v>36.092999999999996</c:v>
                </c:pt>
                <c:pt idx="23">
                  <c:v>35.2256</c:v>
                </c:pt>
                <c:pt idx="24">
                  <c:v>34.471600000000002</c:v>
                </c:pt>
                <c:pt idx="25">
                  <c:v>33.742400000000004</c:v>
                </c:pt>
                <c:pt idx="26">
                  <c:v>33.0749</c:v>
                </c:pt>
                <c:pt idx="27">
                  <c:v>32.543299999999995</c:v>
                </c:pt>
                <c:pt idx="28">
                  <c:v>32.0458</c:v>
                </c:pt>
                <c:pt idx="29">
                  <c:v>31.630200000000002</c:v>
                </c:pt>
                <c:pt idx="30">
                  <c:v>31.3079</c:v>
                </c:pt>
                <c:pt idx="31">
                  <c:v>31.102699999999999</c:v>
                </c:pt>
                <c:pt idx="32">
                  <c:v>30.957099999999997</c:v>
                </c:pt>
                <c:pt idx="33">
                  <c:v>30.880299999999998</c:v>
                </c:pt>
                <c:pt idx="34">
                  <c:v>30.8232</c:v>
                </c:pt>
                <c:pt idx="35">
                  <c:v>30.847999999999999</c:v>
                </c:pt>
                <c:pt idx="36">
                  <c:v>30.9848</c:v>
                </c:pt>
                <c:pt idx="37">
                  <c:v>31.125900000000001</c:v>
                </c:pt>
                <c:pt idx="38">
                  <c:v>31.279600000000002</c:v>
                </c:pt>
                <c:pt idx="39">
                  <c:v>31.442999999999998</c:v>
                </c:pt>
                <c:pt idx="40">
                  <c:v>31.601700000000001</c:v>
                </c:pt>
                <c:pt idx="41">
                  <c:v>31.776199999999999</c:v>
                </c:pt>
                <c:pt idx="42">
                  <c:v>31.923500000000001</c:v>
                </c:pt>
                <c:pt idx="43">
                  <c:v>32.051499999999997</c:v>
                </c:pt>
                <c:pt idx="44">
                  <c:v>32.176300000000005</c:v>
                </c:pt>
                <c:pt idx="45">
                  <c:v>32.290500000000002</c:v>
                </c:pt>
                <c:pt idx="46">
                  <c:v>32.436999999999998</c:v>
                </c:pt>
                <c:pt idx="47">
                  <c:v>32.661000000000001</c:v>
                </c:pt>
                <c:pt idx="48">
                  <c:v>32.930700000000002</c:v>
                </c:pt>
                <c:pt idx="49">
                  <c:v>33.255600000000001</c:v>
                </c:pt>
                <c:pt idx="50">
                  <c:v>33.523399999999995</c:v>
                </c:pt>
                <c:pt idx="51">
                  <c:v>33.900700000000001</c:v>
                </c:pt>
                <c:pt idx="52">
                  <c:v>34.235399999999998</c:v>
                </c:pt>
                <c:pt idx="53">
                  <c:v>34.5593</c:v>
                </c:pt>
                <c:pt idx="54">
                  <c:v>34.873199999999997</c:v>
                </c:pt>
                <c:pt idx="55">
                  <c:v>35.200900000000004</c:v>
                </c:pt>
                <c:pt idx="56">
                  <c:v>35.394300000000001</c:v>
                </c:pt>
                <c:pt idx="57">
                  <c:v>35.577199999999998</c:v>
                </c:pt>
                <c:pt idx="58">
                  <c:v>35.778100000000002</c:v>
                </c:pt>
                <c:pt idx="59">
                  <c:v>35.968499999999999</c:v>
                </c:pt>
                <c:pt idx="60">
                  <c:v>36.118200000000002</c:v>
                </c:pt>
                <c:pt idx="61">
                  <c:v>36.242699999999999</c:v>
                </c:pt>
                <c:pt idx="62">
                  <c:v>36.391300000000001</c:v>
                </c:pt>
                <c:pt idx="63">
                  <c:v>36.585000000000001</c:v>
                </c:pt>
                <c:pt idx="64">
                  <c:v>36.831299999999999</c:v>
                </c:pt>
                <c:pt idx="65">
                  <c:v>37.036799999999999</c:v>
                </c:pt>
                <c:pt idx="66">
                  <c:v>37.208500000000001</c:v>
                </c:pt>
                <c:pt idx="67">
                  <c:v>37.363600000000005</c:v>
                </c:pt>
                <c:pt idx="68">
                  <c:v>37.525300000000001</c:v>
                </c:pt>
                <c:pt idx="69">
                  <c:v>37.661899999999996</c:v>
                </c:pt>
                <c:pt idx="70">
                  <c:v>37.734699999999997</c:v>
                </c:pt>
                <c:pt idx="71">
                  <c:v>37.768099999999997</c:v>
                </c:pt>
                <c:pt idx="72">
                  <c:v>37.696300000000001</c:v>
                </c:pt>
                <c:pt idx="73">
                  <c:v>37.663699999999999</c:v>
                </c:pt>
                <c:pt idx="74">
                  <c:v>37.618699999999997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3.9187899999999996</c:v>
                </c:pt>
                <c:pt idx="1">
                  <c:v>3.8980999999999999</c:v>
                </c:pt>
                <c:pt idx="2">
                  <c:v>3.88306</c:v>
                </c:pt>
                <c:pt idx="3">
                  <c:v>3.8604899999999995</c:v>
                </c:pt>
                <c:pt idx="4">
                  <c:v>3.8341399999999997</c:v>
                </c:pt>
                <c:pt idx="5">
                  <c:v>3.8033399999999999</c:v>
                </c:pt>
                <c:pt idx="6">
                  <c:v>3.7676400000000001</c:v>
                </c:pt>
                <c:pt idx="7">
                  <c:v>3.7263800000000002</c:v>
                </c:pt>
                <c:pt idx="8">
                  <c:v>3.6825600000000005</c:v>
                </c:pt>
                <c:pt idx="9">
                  <c:v>3.6357400000000002</c:v>
                </c:pt>
                <c:pt idx="10">
                  <c:v>3.5837699999999999</c:v>
                </c:pt>
                <c:pt idx="11">
                  <c:v>3.5299399999999999</c:v>
                </c:pt>
                <c:pt idx="12">
                  <c:v>3.4747899999999996</c:v>
                </c:pt>
                <c:pt idx="13">
                  <c:v>3.4179300000000001</c:v>
                </c:pt>
                <c:pt idx="14">
                  <c:v>3.3662900000000002</c:v>
                </c:pt>
                <c:pt idx="15">
                  <c:v>3.3217000000000003</c:v>
                </c:pt>
                <c:pt idx="16">
                  <c:v>3.2810499999999996</c:v>
                </c:pt>
                <c:pt idx="17">
                  <c:v>3.2445900000000001</c:v>
                </c:pt>
                <c:pt idx="18">
                  <c:v>3.2135699999999998</c:v>
                </c:pt>
                <c:pt idx="19">
                  <c:v>3.1882700000000002</c:v>
                </c:pt>
                <c:pt idx="20">
                  <c:v>3.1673499999999999</c:v>
                </c:pt>
                <c:pt idx="21">
                  <c:v>3.1507800000000001</c:v>
                </c:pt>
                <c:pt idx="22">
                  <c:v>3.1393900000000001</c:v>
                </c:pt>
                <c:pt idx="23">
                  <c:v>3.1297599999999997</c:v>
                </c:pt>
                <c:pt idx="24">
                  <c:v>3.1233699999999995</c:v>
                </c:pt>
                <c:pt idx="25">
                  <c:v>3.1215100000000002</c:v>
                </c:pt>
                <c:pt idx="26">
                  <c:v>3.12595</c:v>
                </c:pt>
                <c:pt idx="27">
                  <c:v>3.1336199999999996</c:v>
                </c:pt>
                <c:pt idx="28">
                  <c:v>3.149</c:v>
                </c:pt>
                <c:pt idx="29">
                  <c:v>3.1703299999999999</c:v>
                </c:pt>
                <c:pt idx="30">
                  <c:v>3.1952099999999999</c:v>
                </c:pt>
                <c:pt idx="31">
                  <c:v>3.2251000000000003</c:v>
                </c:pt>
                <c:pt idx="32">
                  <c:v>3.2565499999999998</c:v>
                </c:pt>
                <c:pt idx="33">
                  <c:v>3.2872699999999999</c:v>
                </c:pt>
                <c:pt idx="34">
                  <c:v>3.3199800000000002</c:v>
                </c:pt>
                <c:pt idx="35">
                  <c:v>3.3552999999999997</c:v>
                </c:pt>
                <c:pt idx="36">
                  <c:v>3.3900100000000002</c:v>
                </c:pt>
                <c:pt idx="37">
                  <c:v>3.4261499999999998</c:v>
                </c:pt>
                <c:pt idx="38">
                  <c:v>3.4636</c:v>
                </c:pt>
                <c:pt idx="39">
                  <c:v>3.4980899999999999</c:v>
                </c:pt>
                <c:pt idx="40">
                  <c:v>3.5257899999999998</c:v>
                </c:pt>
                <c:pt idx="41">
                  <c:v>3.54895</c:v>
                </c:pt>
                <c:pt idx="42">
                  <c:v>3.5708699999999998</c:v>
                </c:pt>
                <c:pt idx="43">
                  <c:v>3.5897600000000001</c:v>
                </c:pt>
                <c:pt idx="44">
                  <c:v>3.6040899999999998</c:v>
                </c:pt>
                <c:pt idx="45">
                  <c:v>3.6160799999999997</c:v>
                </c:pt>
                <c:pt idx="46">
                  <c:v>3.6288</c:v>
                </c:pt>
                <c:pt idx="47">
                  <c:v>3.6373899999999999</c:v>
                </c:pt>
                <c:pt idx="48">
                  <c:v>3.6433599999999999</c:v>
                </c:pt>
                <c:pt idx="49">
                  <c:v>3.6488800000000001</c:v>
                </c:pt>
                <c:pt idx="50">
                  <c:v>3.6555800000000001</c:v>
                </c:pt>
                <c:pt idx="51">
                  <c:v>3.66195</c:v>
                </c:pt>
                <c:pt idx="52">
                  <c:v>3.6670999999999996</c:v>
                </c:pt>
                <c:pt idx="53">
                  <c:v>3.6689100000000003</c:v>
                </c:pt>
                <c:pt idx="54">
                  <c:v>3.6675300000000002</c:v>
                </c:pt>
                <c:pt idx="55">
                  <c:v>3.6645100000000004</c:v>
                </c:pt>
                <c:pt idx="56">
                  <c:v>3.6591400000000003</c:v>
                </c:pt>
                <c:pt idx="57">
                  <c:v>3.65273</c:v>
                </c:pt>
                <c:pt idx="58">
                  <c:v>3.6454399999999998</c:v>
                </c:pt>
                <c:pt idx="59">
                  <c:v>3.6362499999999995</c:v>
                </c:pt>
                <c:pt idx="60">
                  <c:v>3.6270999999999995</c:v>
                </c:pt>
                <c:pt idx="61">
                  <c:v>3.6185899999999998</c:v>
                </c:pt>
                <c:pt idx="62">
                  <c:v>3.60582</c:v>
                </c:pt>
                <c:pt idx="63">
                  <c:v>3.5886</c:v>
                </c:pt>
                <c:pt idx="64">
                  <c:v>3.5698000000000003</c:v>
                </c:pt>
                <c:pt idx="65">
                  <c:v>3.5576999999999996</c:v>
                </c:pt>
                <c:pt idx="66">
                  <c:v>3.5521799999999999</c:v>
                </c:pt>
                <c:pt idx="67">
                  <c:v>3.5461100000000001</c:v>
                </c:pt>
                <c:pt idx="68">
                  <c:v>3.5409899999999999</c:v>
                </c:pt>
                <c:pt idx="69">
                  <c:v>3.5392000000000001</c:v>
                </c:pt>
                <c:pt idx="70">
                  <c:v>3.5381299999999998</c:v>
                </c:pt>
                <c:pt idx="71">
                  <c:v>3.5224899999999999</c:v>
                </c:pt>
                <c:pt idx="72">
                  <c:v>3.5125600000000001</c:v>
                </c:pt>
                <c:pt idx="73">
                  <c:v>3.5243600000000002</c:v>
                </c:pt>
                <c:pt idx="74">
                  <c:v>3.5434100000000002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37.618699999999997</c:v>
                </c:pt>
                <c:pt idx="1">
                  <c:v>37.525700000000001</c:v>
                </c:pt>
                <c:pt idx="2">
                  <c:v>37.432000000000002</c:v>
                </c:pt>
                <c:pt idx="3">
                  <c:v>37.320799999999998</c:v>
                </c:pt>
                <c:pt idx="4">
                  <c:v>37.229600000000005</c:v>
                </c:pt>
                <c:pt idx="5">
                  <c:v>37.111400000000003</c:v>
                </c:pt>
                <c:pt idx="6">
                  <c:v>36.9542</c:v>
                </c:pt>
                <c:pt idx="7">
                  <c:v>36.863600000000005</c:v>
                </c:pt>
                <c:pt idx="8">
                  <c:v>36.846699999999998</c:v>
                </c:pt>
                <c:pt idx="9">
                  <c:v>36.855600000000003</c:v>
                </c:pt>
                <c:pt idx="10">
                  <c:v>36.927</c:v>
                </c:pt>
                <c:pt idx="11">
                  <c:v>37.047600000000003</c:v>
                </c:pt>
                <c:pt idx="12">
                  <c:v>37.274700000000003</c:v>
                </c:pt>
                <c:pt idx="13">
                  <c:v>37.582900000000002</c:v>
                </c:pt>
                <c:pt idx="14">
                  <c:v>37.811499999999995</c:v>
                </c:pt>
                <c:pt idx="15">
                  <c:v>38.032700000000006</c:v>
                </c:pt>
                <c:pt idx="16">
                  <c:v>38.294800000000002</c:v>
                </c:pt>
                <c:pt idx="17">
                  <c:v>38.6113</c:v>
                </c:pt>
                <c:pt idx="18">
                  <c:v>38.906400000000005</c:v>
                </c:pt>
                <c:pt idx="19">
                  <c:v>39.171900000000001</c:v>
                </c:pt>
                <c:pt idx="20">
                  <c:v>39.420200000000001</c:v>
                </c:pt>
                <c:pt idx="21">
                  <c:v>39.637599999999999</c:v>
                </c:pt>
                <c:pt idx="22">
                  <c:v>39.766800000000003</c:v>
                </c:pt>
                <c:pt idx="23">
                  <c:v>39.859099999999998</c:v>
                </c:pt>
                <c:pt idx="24">
                  <c:v>39.932699999999997</c:v>
                </c:pt>
                <c:pt idx="25">
                  <c:v>39.940999999999995</c:v>
                </c:pt>
                <c:pt idx="26">
                  <c:v>39.778799999999997</c:v>
                </c:pt>
                <c:pt idx="27">
                  <c:v>39.532499999999999</c:v>
                </c:pt>
                <c:pt idx="28">
                  <c:v>39.143299999999996</c:v>
                </c:pt>
                <c:pt idx="29">
                  <c:v>38.596200000000003</c:v>
                </c:pt>
                <c:pt idx="30">
                  <c:v>38.04</c:v>
                </c:pt>
                <c:pt idx="31">
                  <c:v>37.576300000000003</c:v>
                </c:pt>
                <c:pt idx="32">
                  <c:v>37.255400000000002</c:v>
                </c:pt>
                <c:pt idx="33">
                  <c:v>37.019000000000005</c:v>
                </c:pt>
                <c:pt idx="34">
                  <c:v>36.834299999999999</c:v>
                </c:pt>
                <c:pt idx="35">
                  <c:v>36.759399999999999</c:v>
                </c:pt>
                <c:pt idx="36">
                  <c:v>36.782800000000002</c:v>
                </c:pt>
                <c:pt idx="37">
                  <c:v>36.786200000000001</c:v>
                </c:pt>
                <c:pt idx="38">
                  <c:v>36.815300000000001</c:v>
                </c:pt>
                <c:pt idx="39">
                  <c:v>36.908900000000003</c:v>
                </c:pt>
                <c:pt idx="40">
                  <c:v>37.0471</c:v>
                </c:pt>
                <c:pt idx="41">
                  <c:v>37.248599999999996</c:v>
                </c:pt>
                <c:pt idx="42">
                  <c:v>37.450000000000003</c:v>
                </c:pt>
                <c:pt idx="43">
                  <c:v>37.675899999999999</c:v>
                </c:pt>
                <c:pt idx="44">
                  <c:v>37.894299999999994</c:v>
                </c:pt>
                <c:pt idx="45">
                  <c:v>38.044200000000004</c:v>
                </c:pt>
                <c:pt idx="46">
                  <c:v>38.135300000000001</c:v>
                </c:pt>
                <c:pt idx="47">
                  <c:v>38.234699999999997</c:v>
                </c:pt>
                <c:pt idx="48">
                  <c:v>38.375</c:v>
                </c:pt>
                <c:pt idx="49">
                  <c:v>38.457999999999998</c:v>
                </c:pt>
                <c:pt idx="50">
                  <c:v>38.446799999999996</c:v>
                </c:pt>
                <c:pt idx="51">
                  <c:v>38.399499999999996</c:v>
                </c:pt>
                <c:pt idx="52">
                  <c:v>38.371400000000001</c:v>
                </c:pt>
                <c:pt idx="53">
                  <c:v>38.337900000000005</c:v>
                </c:pt>
                <c:pt idx="54">
                  <c:v>38.362299999999998</c:v>
                </c:pt>
                <c:pt idx="55">
                  <c:v>38.418999999999997</c:v>
                </c:pt>
                <c:pt idx="56">
                  <c:v>38.476500000000001</c:v>
                </c:pt>
                <c:pt idx="57">
                  <c:v>38.492399999999996</c:v>
                </c:pt>
                <c:pt idx="58">
                  <c:v>38.492199999999997</c:v>
                </c:pt>
                <c:pt idx="59">
                  <c:v>38.521300000000004</c:v>
                </c:pt>
                <c:pt idx="60">
                  <c:v>38.560899999999997</c:v>
                </c:pt>
                <c:pt idx="61">
                  <c:v>38.5899</c:v>
                </c:pt>
                <c:pt idx="62">
                  <c:v>38.728200000000001</c:v>
                </c:pt>
                <c:pt idx="63">
                  <c:v>38.9876</c:v>
                </c:pt>
                <c:pt idx="64">
                  <c:v>39.298699999999997</c:v>
                </c:pt>
                <c:pt idx="65">
                  <c:v>39.562399999999997</c:v>
                </c:pt>
                <c:pt idx="66">
                  <c:v>39.785499999999999</c:v>
                </c:pt>
                <c:pt idx="67">
                  <c:v>39.92</c:v>
                </c:pt>
                <c:pt idx="68">
                  <c:v>39.972099999999998</c:v>
                </c:pt>
                <c:pt idx="69">
                  <c:v>39.944099999999999</c:v>
                </c:pt>
                <c:pt idx="70">
                  <c:v>40.003999999999998</c:v>
                </c:pt>
                <c:pt idx="71">
                  <c:v>40.340399999999995</c:v>
                </c:pt>
                <c:pt idx="72">
                  <c:v>40.724199999999996</c:v>
                </c:pt>
                <c:pt idx="73">
                  <c:v>40.566800000000001</c:v>
                </c:pt>
                <c:pt idx="74">
                  <c:v>40.185600000000001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1.7924000000000002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61.217699999999994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3.3114394594594598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38.534404054054036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3.4986108108108112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38.319893243243236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3.4986108108108112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38.319893243243236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H5" sqref="H5:K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519</v>
      </c>
      <c r="D5" s="151"/>
      <c r="E5" s="151"/>
      <c r="F5" s="152"/>
      <c r="G5" s="48" t="str">
        <f>lang!B27</f>
        <v>编号</v>
      </c>
      <c r="H5" s="150">
        <v>43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518</v>
      </c>
      <c r="D6" s="188"/>
      <c r="E6" s="188"/>
      <c r="F6" s="189"/>
      <c r="G6" s="49" t="str">
        <f>lang!B28</f>
        <v xml:space="preserve"> 日期</v>
      </c>
      <c r="H6" s="172">
        <f>FH_info!A2</f>
        <v>43607.618738425925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29</v>
      </c>
      <c r="D7" s="191"/>
      <c r="E7" s="191"/>
      <c r="F7" s="192"/>
      <c r="G7" s="50" t="str">
        <f>lang!B29</f>
        <v>误差率（%）</v>
      </c>
      <c r="H7" s="175">
        <f>M!B17*1</f>
        <v>19.6813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39.305999999999997</v>
      </c>
      <c r="O8" s="59">
        <f>M!C5*1</f>
        <v>9.6197300000000006</v>
      </c>
      <c r="P8" s="59">
        <f>M!D5*1</f>
        <v>24.4739</v>
      </c>
      <c r="Q8" s="59">
        <f>M!E5*1</f>
        <v>20</v>
      </c>
      <c r="R8" s="59">
        <f>M!F5*1</f>
        <v>8.8247099999999996</v>
      </c>
      <c r="S8" s="59">
        <f>M!G5*1</f>
        <v>50</v>
      </c>
      <c r="T8" s="59">
        <f>M!H5*1</f>
        <v>51.837000000000003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31.809200000000001</v>
      </c>
      <c r="O9" s="59">
        <f>M!C6*1</f>
        <v>4.61477</v>
      </c>
      <c r="P9" s="59">
        <f>M!D6*1</f>
        <v>14.5077</v>
      </c>
      <c r="Q9" s="59">
        <f>M!E6*1</f>
        <v>20</v>
      </c>
      <c r="R9" s="59">
        <f>M!F6*1</f>
        <v>25.650400000000001</v>
      </c>
      <c r="S9" s="59">
        <f>M!G6*1</f>
        <v>40</v>
      </c>
      <c r="T9" s="59">
        <f>M!H6*1</f>
        <v>42.804600000000001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8.8247099999999996</v>
      </c>
      <c r="D10" s="99">
        <f>N8</f>
        <v>39.305999999999997</v>
      </c>
      <c r="E10" s="100">
        <f>T8</f>
        <v>51.837000000000003</v>
      </c>
      <c r="F10" s="91">
        <f>P8</f>
        <v>24.4739</v>
      </c>
      <c r="G10" s="81" t="str">
        <f>CONCATENATE(M9,"
(20 ~ 40)")</f>
        <v>压力
(20 ~ 40)</v>
      </c>
      <c r="H10" s="98">
        <f>R9</f>
        <v>25.650400000000001</v>
      </c>
      <c r="I10" s="108">
        <f>N9</f>
        <v>31.809200000000001</v>
      </c>
      <c r="J10" s="98">
        <f>T9</f>
        <v>42.804600000000001</v>
      </c>
      <c r="K10" s="92">
        <f>P9</f>
        <v>14.5077</v>
      </c>
      <c r="L10" s="6"/>
      <c r="M10" s="27" t="str">
        <f>lang!B16</f>
        <v>焦虑</v>
      </c>
      <c r="N10" s="59">
        <f>M!B7*1</f>
        <v>27.608699999999999</v>
      </c>
      <c r="O10" s="59">
        <f>M!C7*1</f>
        <v>7.8019800000000004</v>
      </c>
      <c r="P10" s="59">
        <f>M!D7*1</f>
        <v>28.2591</v>
      </c>
      <c r="Q10" s="59">
        <f>M!E7*1</f>
        <v>15</v>
      </c>
      <c r="R10" s="59">
        <f>M!F7*1</f>
        <v>7.6490499999999999</v>
      </c>
      <c r="S10" s="59">
        <f>M!G7*1</f>
        <v>40</v>
      </c>
      <c r="T10" s="59">
        <f>M!H7*1</f>
        <v>42.176699999999997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7.6490499999999999</v>
      </c>
      <c r="D11" s="102">
        <f>N10</f>
        <v>27.608699999999999</v>
      </c>
      <c r="E11" s="103">
        <f>T10</f>
        <v>42.176699999999997</v>
      </c>
      <c r="F11" s="94">
        <f>P10</f>
        <v>28.2591</v>
      </c>
      <c r="G11" s="52" t="str">
        <f>CONCATENATE(M11,"
(20 ~ 50)")</f>
        <v>可疑
(20 ~ 50)</v>
      </c>
      <c r="H11" s="101">
        <f>R11</f>
        <v>17.798300000000001</v>
      </c>
      <c r="I11" s="104">
        <f>N11</f>
        <v>32.238900000000001</v>
      </c>
      <c r="J11" s="101">
        <f>T11</f>
        <v>41.317100000000003</v>
      </c>
      <c r="K11" s="95">
        <f>P11</f>
        <v>15.8315</v>
      </c>
      <c r="L11" s="4"/>
      <c r="M11" s="27" t="str">
        <f>lang!B17</f>
        <v>可疑</v>
      </c>
      <c r="N11" s="59">
        <f>M!B8*1</f>
        <v>32.238900000000001</v>
      </c>
      <c r="O11" s="59">
        <f>M!C8*1</f>
        <v>5.1039099999999999</v>
      </c>
      <c r="P11" s="59">
        <f>M!D8*1</f>
        <v>15.8315</v>
      </c>
      <c r="Q11" s="59">
        <f>M!E8*1</f>
        <v>20</v>
      </c>
      <c r="R11" s="59">
        <f>M!F8*1</f>
        <v>17.798300000000001</v>
      </c>
      <c r="S11" s="59">
        <f>M!G8*1</f>
        <v>50</v>
      </c>
      <c r="T11" s="59">
        <f>M!H8*1</f>
        <v>41.317100000000003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50.003399999999999</v>
      </c>
      <c r="D12" s="104">
        <f>N12</f>
        <v>61.688600000000001</v>
      </c>
      <c r="E12" s="101">
        <f>T12</f>
        <v>82.535399999999996</v>
      </c>
      <c r="F12" s="93">
        <f>P12</f>
        <v>11.713800000000001</v>
      </c>
      <c r="G12" s="52" t="str">
        <f>CONCATENATE(M13,"
(40 ~ 100)")</f>
        <v>自信
(40 ~ 100)</v>
      </c>
      <c r="H12" s="101">
        <f>R13</f>
        <v>62.662199999999999</v>
      </c>
      <c r="I12" s="104">
        <f>N13</f>
        <v>78.637900000000002</v>
      </c>
      <c r="J12" s="101">
        <f>T13</f>
        <v>83.608500000000006</v>
      </c>
      <c r="K12" s="95">
        <f>P13</f>
        <v>6.84856</v>
      </c>
      <c r="L12" s="4"/>
      <c r="M12" s="27" t="str">
        <f>lang!B18</f>
        <v>平衡</v>
      </c>
      <c r="N12" s="59">
        <f>M!B9*1</f>
        <v>61.688600000000001</v>
      </c>
      <c r="O12" s="59">
        <f>M!C9*1</f>
        <v>7.2260799999999996</v>
      </c>
      <c r="P12" s="59">
        <f>M!D9*1</f>
        <v>11.713800000000001</v>
      </c>
      <c r="Q12" s="59">
        <f>M!E9*1</f>
        <v>50</v>
      </c>
      <c r="R12" s="59">
        <f>M!F9*1</f>
        <v>50.003399999999999</v>
      </c>
      <c r="S12" s="59">
        <f>M!G9*1</f>
        <v>100</v>
      </c>
      <c r="T12" s="59">
        <f>M!H9*1</f>
        <v>82.535399999999996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6.3423999999999996</v>
      </c>
      <c r="D13" s="102">
        <f>N14</f>
        <v>22.599299999999999</v>
      </c>
      <c r="E13" s="103">
        <f>T14</f>
        <v>28.927700000000002</v>
      </c>
      <c r="F13" s="94">
        <f>P14</f>
        <v>24.0611</v>
      </c>
      <c r="G13" s="52" t="str">
        <f>CONCATENATE(M15,"
(50 ~ 100)")</f>
        <v>自我调节
(50 ~ 100)</v>
      </c>
      <c r="H13" s="101">
        <f>R15</f>
        <v>61.253500000000003</v>
      </c>
      <c r="I13" s="104">
        <f>N15</f>
        <v>69.275999999999996</v>
      </c>
      <c r="J13" s="101">
        <f>T15</f>
        <v>82.725899999999996</v>
      </c>
      <c r="K13" s="95">
        <f>P15</f>
        <v>5.2854099999999997</v>
      </c>
      <c r="L13" s="4"/>
      <c r="M13" s="27" t="str">
        <f>lang!B19</f>
        <v>自信</v>
      </c>
      <c r="N13" s="59">
        <f>M!B10*1</f>
        <v>78.637900000000002</v>
      </c>
      <c r="O13" s="59">
        <f>M!C10*1</f>
        <v>5.3855599999999999</v>
      </c>
      <c r="P13" s="59">
        <f>M!D10*1</f>
        <v>6.84856</v>
      </c>
      <c r="Q13" s="59">
        <f>M!E10*1</f>
        <v>40</v>
      </c>
      <c r="R13" s="59">
        <f>M!F10*1</f>
        <v>62.662199999999999</v>
      </c>
      <c r="S13" s="59">
        <f>M!G10*1</f>
        <v>100</v>
      </c>
      <c r="T13" s="59">
        <f>M!H10*1</f>
        <v>83.608500000000006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11.888299999999999</v>
      </c>
      <c r="D14" s="106">
        <f>N16</f>
        <v>15.434799999999999</v>
      </c>
      <c r="E14" s="107">
        <f>T16</f>
        <v>33.286799999999999</v>
      </c>
      <c r="F14" s="96">
        <f>P16</f>
        <v>21.973500000000001</v>
      </c>
      <c r="G14" s="112" t="str">
        <f>CONCATENATE(M17,"
(10 ~ 50)")</f>
        <v>神经质
(10 ~ 50)</v>
      </c>
      <c r="H14" s="105">
        <f>R17</f>
        <v>0.350885</v>
      </c>
      <c r="I14" s="106">
        <f>N17</f>
        <v>33.915799999999997</v>
      </c>
      <c r="J14" s="107">
        <f>T17</f>
        <v>47.830800000000004</v>
      </c>
      <c r="K14" s="97">
        <f>P17</f>
        <v>43.858400000000003</v>
      </c>
      <c r="M14" s="27" t="str">
        <f>lang!B20</f>
        <v>活力</v>
      </c>
      <c r="N14" s="59">
        <f>M!B11*1</f>
        <v>22.599299999999999</v>
      </c>
      <c r="O14" s="59">
        <f>M!C11*1</f>
        <v>5.43764</v>
      </c>
      <c r="P14" s="59">
        <f>M!D11*1</f>
        <v>24.0611</v>
      </c>
      <c r="Q14" s="59">
        <f>M!E11*1</f>
        <v>10</v>
      </c>
      <c r="R14" s="59">
        <f>M!F11*1</f>
        <v>6.3423999999999996</v>
      </c>
      <c r="S14" s="59">
        <f>M!G11*1</f>
        <v>50</v>
      </c>
      <c r="T14" s="59">
        <f>M!H11*1</f>
        <v>28.927700000000002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69.275999999999996</v>
      </c>
      <c r="O15" s="59">
        <f>M!C12*1</f>
        <v>3.6615199999999999</v>
      </c>
      <c r="P15" s="59">
        <f>M!D12*1</f>
        <v>5.2854099999999997</v>
      </c>
      <c r="Q15" s="59">
        <f>M!E12*1</f>
        <v>50</v>
      </c>
      <c r="R15" s="59">
        <f>M!F12*1</f>
        <v>61.253500000000003</v>
      </c>
      <c r="S15" s="59">
        <f>M!G12*1</f>
        <v>100</v>
      </c>
      <c r="T15" s="59">
        <f>M!H12*1</f>
        <v>82.725899999999996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15.434799999999999</v>
      </c>
      <c r="O16" s="59">
        <f>M!C13*1</f>
        <v>3.3915799999999998</v>
      </c>
      <c r="P16" s="59">
        <f>M!D13*1</f>
        <v>21.973500000000001</v>
      </c>
      <c r="Q16" s="59">
        <f>M!E13*1</f>
        <v>10</v>
      </c>
      <c r="R16" s="59">
        <f>M!F13*1</f>
        <v>11.888299999999999</v>
      </c>
      <c r="S16" s="59">
        <f>M!G13*1</f>
        <v>25</v>
      </c>
      <c r="T16" s="59">
        <f>M!H13*1</f>
        <v>33.286799999999999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33.915799999999997</v>
      </c>
      <c r="O17" s="59">
        <f>M!C14*1</f>
        <v>14.8749</v>
      </c>
      <c r="P17" s="59">
        <f>M!D14*1</f>
        <v>43.858400000000003</v>
      </c>
      <c r="Q17" s="59">
        <f>M!E14*1</f>
        <v>10</v>
      </c>
      <c r="R17" s="59">
        <f>M!F14*1</f>
        <v>0.350885</v>
      </c>
      <c r="S17" s="59">
        <f>M!G14*1</f>
        <v>50</v>
      </c>
      <c r="T17" s="59">
        <f>M!H14*1</f>
        <v>47.830800000000004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58.050449999999998</v>
      </c>
      <c r="O18" s="22">
        <f>N18/(N18+N19+N20)</f>
        <v>0.50274733483189271</v>
      </c>
      <c r="P18" s="65">
        <f>SUM(P12:P15)/4</f>
        <v>11.9772175</v>
      </c>
      <c r="Q18" s="22">
        <f>P18/(P18+P19+P20)</f>
        <v>0.18240931185901327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32.740700000000004</v>
      </c>
      <c r="O19" s="22">
        <f>N19/(N18+N19+N20)</f>
        <v>0.28355162906627857</v>
      </c>
      <c r="P19" s="18">
        <f>SUM(P8:P11)/4</f>
        <v>20.768050000000002</v>
      </c>
      <c r="Q19" s="22">
        <f>P19/(P18+P19+P20)</f>
        <v>0.31629096734308954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24.6753</v>
      </c>
      <c r="O20" s="22">
        <f>N20/(N18+N19+N20)</f>
        <v>0.2137010361018287</v>
      </c>
      <c r="P20" s="18">
        <f>(P16+P17)/2</f>
        <v>32.915950000000002</v>
      </c>
      <c r="Q20" s="22">
        <f>P20/(P18+P19+P20)</f>
        <v>0.5012997207978972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-2.086224324324315E-2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1.6837753719446058</v>
      </c>
      <c r="D25" s="44" t="str">
        <f>lang!B11</f>
        <v>频率方差</v>
      </c>
      <c r="E25" s="142">
        <f ca="1">FH!L3</f>
        <v>0.67528554034076849</v>
      </c>
      <c r="F25" s="143"/>
      <c r="G25" s="134" t="str">
        <f>lang!B12</f>
        <v>生理变化率</v>
      </c>
      <c r="H25" s="135"/>
      <c r="I25" s="62" t="str">
        <f ca="1">CONCATENATE(info!M7,"-",info!M8)</f>
        <v>30.8-61.2</v>
      </c>
      <c r="J25" s="42" t="str">
        <f>lang!B13</f>
        <v>千卡l/分钟</v>
      </c>
      <c r="K25" s="41" t="str">
        <f ca="1">CONCATENATE(info!M5,"-",info!M6)</f>
        <v>1.8-4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41.2502</v>
      </c>
      <c r="F28" s="164"/>
      <c r="G28" s="178" t="str">
        <f>lang!B33</f>
        <v>稳定性</v>
      </c>
      <c r="H28" s="179"/>
      <c r="I28" s="180"/>
      <c r="J28" s="181">
        <f>M!B19*100</f>
        <v>67.373000000000005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43607.618738425925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2.7481000000000009</v>
      </c>
      <c r="O7" s="59">
        <f t="shared" ref="O7:T7" si="2">AG7-X7</f>
        <v>-8.4641000000000002</v>
      </c>
      <c r="P7" s="59">
        <f t="shared" si="2"/>
        <v>-23.1343</v>
      </c>
      <c r="Q7" s="59">
        <f t="shared" si="2"/>
        <v>0</v>
      </c>
      <c r="R7" s="59">
        <f t="shared" si="2"/>
        <v>25.868590000000001</v>
      </c>
      <c r="S7" s="59">
        <f t="shared" si="2"/>
        <v>0</v>
      </c>
      <c r="T7" s="59">
        <f t="shared" si="2"/>
        <v>1.6549000000000049</v>
      </c>
      <c r="U7" s="14"/>
      <c r="V7" s="27" t="str">
        <f>M7</f>
        <v>攻击性</v>
      </c>
      <c r="W7" s="59">
        <f>'M1'!B5*1</f>
        <v>37.735300000000002</v>
      </c>
      <c r="X7" s="59">
        <f>'M1'!C5*1</f>
        <v>12.378</v>
      </c>
      <c r="Y7" s="59">
        <f>'M1'!D5*1</f>
        <v>32.802199999999999</v>
      </c>
      <c r="Z7" s="59">
        <f>'M1'!E5*1</f>
        <v>20</v>
      </c>
      <c r="AA7" s="59">
        <f>'M1'!F5*1</f>
        <v>8.8247099999999996</v>
      </c>
      <c r="AB7" s="59">
        <f>'M1'!G5*1</f>
        <v>50</v>
      </c>
      <c r="AC7" s="59">
        <f>'M1'!H5*1</f>
        <v>50.182099999999998</v>
      </c>
      <c r="AE7" s="27" t="str">
        <f>V7</f>
        <v>攻击性</v>
      </c>
      <c r="AF7" s="59">
        <f>'M2'!B5*1</f>
        <v>40.483400000000003</v>
      </c>
      <c r="AG7" s="59">
        <f>'M2'!C5*1</f>
        <v>3.9138999999999999</v>
      </c>
      <c r="AH7" s="59">
        <f>'M2'!D5*1</f>
        <v>9.6678999999999995</v>
      </c>
      <c r="AI7" s="59">
        <f>'M2'!E5*1</f>
        <v>20</v>
      </c>
      <c r="AJ7" s="59">
        <f>'M2'!F5*1</f>
        <v>34.693300000000001</v>
      </c>
      <c r="AK7" s="59">
        <f>'M2'!G5*1</f>
        <v>50</v>
      </c>
      <c r="AL7" s="59">
        <f>'M2'!H5*1</f>
        <v>51.837000000000003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8.0228000000000037</v>
      </c>
      <c r="O8" s="59">
        <f t="shared" ref="O8:O16" si="5">AG8-X8</f>
        <v>2.0631100000000004</v>
      </c>
      <c r="P8" s="59">
        <f t="shared" ref="P8:P16" si="6">AH8-Y8</f>
        <v>3.4291600000000013</v>
      </c>
      <c r="Q8" s="59">
        <f t="shared" ref="Q8:Q16" si="7">AI8-Z8</f>
        <v>0</v>
      </c>
      <c r="R8" s="59">
        <f t="shared" ref="R8:R16" si="8">AJ8-AA8</f>
        <v>-0.16379999999999839</v>
      </c>
      <c r="S8" s="59">
        <f t="shared" ref="S8:S16" si="9">AK8-AB8</f>
        <v>0</v>
      </c>
      <c r="T8" s="59">
        <f t="shared" ref="T8:T16" si="10">AL8-AC8</f>
        <v>8.2310999999999979</v>
      </c>
      <c r="U8" s="15"/>
      <c r="V8" s="27" t="str">
        <f t="shared" ref="V8:V16" si="11">M8</f>
        <v>压力</v>
      </c>
      <c r="W8" s="59">
        <f>'M1'!B6*1</f>
        <v>28.966999999999999</v>
      </c>
      <c r="X8" s="59">
        <f>'M1'!C6*1</f>
        <v>2.8692199999999999</v>
      </c>
      <c r="Y8" s="59">
        <f>'M1'!D6*1</f>
        <v>9.9051399999999994</v>
      </c>
      <c r="Z8" s="59">
        <f>'M1'!E6*1</f>
        <v>20</v>
      </c>
      <c r="AA8" s="59">
        <f>'M1'!F6*1</f>
        <v>25.8142</v>
      </c>
      <c r="AB8" s="59">
        <f>'M1'!G6*1</f>
        <v>40</v>
      </c>
      <c r="AC8" s="59">
        <f>'M1'!H6*1</f>
        <v>34.564100000000003</v>
      </c>
      <c r="AE8" s="27" t="str">
        <f t="shared" ref="AE8:AE16" si="12">V8</f>
        <v>压力</v>
      </c>
      <c r="AF8" s="59">
        <f>'M2'!B6*1</f>
        <v>36.989800000000002</v>
      </c>
      <c r="AG8" s="59">
        <f>'M2'!C6*1</f>
        <v>4.9323300000000003</v>
      </c>
      <c r="AH8" s="59">
        <f>'M2'!D6*1</f>
        <v>13.334300000000001</v>
      </c>
      <c r="AI8" s="59">
        <f>'M2'!E6*1</f>
        <v>20</v>
      </c>
      <c r="AJ8" s="59">
        <f>'M2'!F6*1</f>
        <v>25.650400000000001</v>
      </c>
      <c r="AK8" s="59">
        <f>'M2'!G6*1</f>
        <v>40</v>
      </c>
      <c r="AL8" s="59">
        <f>'M2'!H6*1</f>
        <v>42.795200000000001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25.868590000000001</v>
      </c>
      <c r="D9" s="78">
        <f>N7</f>
        <v>2.7481000000000009</v>
      </c>
      <c r="E9" s="79">
        <f>T7</f>
        <v>1.6549000000000049</v>
      </c>
      <c r="F9" s="79">
        <f>P7</f>
        <v>-23.1343</v>
      </c>
      <c r="G9" s="80" t="str">
        <f>CONCATENATE(M8,"
(20 ~ 40)")</f>
        <v>压力
(20 ~ 40)</v>
      </c>
      <c r="H9" s="77">
        <f>R8</f>
        <v>-0.16379999999999839</v>
      </c>
      <c r="I9" s="81">
        <f>N8</f>
        <v>8.0228000000000037</v>
      </c>
      <c r="J9" s="77">
        <f>T8</f>
        <v>8.2310999999999979</v>
      </c>
      <c r="K9" s="82">
        <f>P8</f>
        <v>3.4291600000000013</v>
      </c>
      <c r="L9" s="6"/>
      <c r="M9" s="27" t="str">
        <f>lang!B16</f>
        <v>焦虑</v>
      </c>
      <c r="N9" s="59">
        <f t="shared" si="4"/>
        <v>11.071100000000001</v>
      </c>
      <c r="O9" s="59">
        <f t="shared" si="5"/>
        <v>-2.3857699999999999</v>
      </c>
      <c r="P9" s="59">
        <f t="shared" si="6"/>
        <v>-18.595400000000001</v>
      </c>
      <c r="Q9" s="59">
        <f t="shared" si="7"/>
        <v>0</v>
      </c>
      <c r="R9" s="59">
        <f t="shared" si="8"/>
        <v>12.996950000000002</v>
      </c>
      <c r="S9" s="59">
        <f t="shared" si="9"/>
        <v>0</v>
      </c>
      <c r="T9" s="59">
        <f t="shared" si="10"/>
        <v>8.080299999999994</v>
      </c>
      <c r="U9" s="14"/>
      <c r="V9" s="27" t="str">
        <f t="shared" si="11"/>
        <v>焦虑</v>
      </c>
      <c r="W9" s="59">
        <f>'M1'!B7*1</f>
        <v>20.928899999999999</v>
      </c>
      <c r="X9" s="59">
        <f>'M1'!C7*1</f>
        <v>6.7388899999999996</v>
      </c>
      <c r="Y9" s="59">
        <f>'M1'!D7*1</f>
        <v>32.198900000000002</v>
      </c>
      <c r="Z9" s="59">
        <f>'M1'!E7*1</f>
        <v>15</v>
      </c>
      <c r="AA9" s="59">
        <f>'M1'!F7*1</f>
        <v>7.6490499999999999</v>
      </c>
      <c r="AB9" s="59">
        <f>'M1'!G7*1</f>
        <v>40</v>
      </c>
      <c r="AC9" s="59">
        <f>'M1'!H7*1</f>
        <v>34.096400000000003</v>
      </c>
      <c r="AE9" s="27" t="str">
        <f t="shared" si="12"/>
        <v>焦虑</v>
      </c>
      <c r="AF9" s="59">
        <f>'M2'!B7*1</f>
        <v>32</v>
      </c>
      <c r="AG9" s="59">
        <f>'M2'!C7*1</f>
        <v>4.3531199999999997</v>
      </c>
      <c r="AH9" s="59">
        <f>'M2'!D7*1</f>
        <v>13.6035</v>
      </c>
      <c r="AI9" s="59">
        <f>'M2'!E7*1</f>
        <v>15</v>
      </c>
      <c r="AJ9" s="59">
        <f>'M2'!F7*1</f>
        <v>20.646000000000001</v>
      </c>
      <c r="AK9" s="59">
        <f>'M2'!G7*1</f>
        <v>40</v>
      </c>
      <c r="AL9" s="59">
        <f>'M2'!H7*1</f>
        <v>42.176699999999997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12.996950000000002</v>
      </c>
      <c r="D10" s="51">
        <f>N9</f>
        <v>11.071100000000001</v>
      </c>
      <c r="E10" s="53">
        <f>T9</f>
        <v>8.080299999999994</v>
      </c>
      <c r="F10" s="53">
        <f>P9</f>
        <v>-18.595400000000001</v>
      </c>
      <c r="G10" s="73" t="str">
        <f>CONCATENATE(M10,"
(20 ~ 50)")</f>
        <v>可疑
(20 ~ 50)</v>
      </c>
      <c r="H10" s="24">
        <f>R10</f>
        <v>13.268899999999999</v>
      </c>
      <c r="I10" s="52">
        <f>N10</f>
        <v>5.3089000000000013</v>
      </c>
      <c r="J10" s="24">
        <f>T10</f>
        <v>5.2891000000000048</v>
      </c>
      <c r="K10" s="25">
        <f>P10</f>
        <v>-4.5293700000000001</v>
      </c>
      <c r="L10" s="4"/>
      <c r="M10" s="27" t="str">
        <f>lang!B17</f>
        <v>可疑</v>
      </c>
      <c r="N10" s="59">
        <f t="shared" si="4"/>
        <v>5.3089000000000013</v>
      </c>
      <c r="O10" s="59">
        <f t="shared" si="5"/>
        <v>-0.82220000000000004</v>
      </c>
      <c r="P10" s="59">
        <f t="shared" si="6"/>
        <v>-4.5293700000000001</v>
      </c>
      <c r="Q10" s="59">
        <f t="shared" si="7"/>
        <v>0</v>
      </c>
      <c r="R10" s="59">
        <f t="shared" si="8"/>
        <v>13.268899999999999</v>
      </c>
      <c r="S10" s="59">
        <f t="shared" si="9"/>
        <v>0</v>
      </c>
      <c r="T10" s="59">
        <f t="shared" si="10"/>
        <v>5.2891000000000048</v>
      </c>
      <c r="U10" s="14"/>
      <c r="V10" s="27" t="str">
        <f t="shared" si="11"/>
        <v>可疑</v>
      </c>
      <c r="W10" s="59">
        <f>'M1'!B8*1</f>
        <v>29.152000000000001</v>
      </c>
      <c r="X10" s="59">
        <f>'M1'!C8*1</f>
        <v>4.0561600000000002</v>
      </c>
      <c r="Y10" s="59">
        <f>'M1'!D8*1</f>
        <v>13.9138</v>
      </c>
      <c r="Z10" s="59">
        <f>'M1'!E8*1</f>
        <v>20</v>
      </c>
      <c r="AA10" s="59">
        <f>'M1'!F8*1</f>
        <v>17.798300000000001</v>
      </c>
      <c r="AB10" s="59">
        <f>'M1'!G8*1</f>
        <v>50</v>
      </c>
      <c r="AC10" s="59">
        <f>'M1'!H8*1</f>
        <v>36.027999999999999</v>
      </c>
      <c r="AE10" s="27" t="str">
        <f t="shared" si="12"/>
        <v>可疑</v>
      </c>
      <c r="AF10" s="59">
        <f>'M2'!B8*1</f>
        <v>34.460900000000002</v>
      </c>
      <c r="AG10" s="59">
        <f>'M2'!C8*1</f>
        <v>3.2339600000000002</v>
      </c>
      <c r="AH10" s="59">
        <f>'M2'!D8*1</f>
        <v>9.38443</v>
      </c>
      <c r="AI10" s="59">
        <f>'M2'!E8*1</f>
        <v>20</v>
      </c>
      <c r="AJ10" s="59">
        <f>'M2'!F8*1</f>
        <v>31.0672</v>
      </c>
      <c r="AK10" s="59">
        <f>'M2'!G8*1</f>
        <v>50</v>
      </c>
      <c r="AL10" s="59">
        <f>'M2'!H8*1</f>
        <v>41.317100000000003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1.0592000000000041</v>
      </c>
      <c r="D11" s="52">
        <f>N11</f>
        <v>5.9483000000000033</v>
      </c>
      <c r="E11" s="24">
        <f>T11</f>
        <v>-2.8469999999999942</v>
      </c>
      <c r="F11" s="24">
        <f>P11</f>
        <v>-1.6677</v>
      </c>
      <c r="G11" s="73" t="str">
        <f>CONCATENATE(M12,"
(40 ~ 100)")</f>
        <v>自信
(40 ~ 100)</v>
      </c>
      <c r="H11" s="24">
        <f>R12</f>
        <v>-14.529600000000002</v>
      </c>
      <c r="I11" s="52">
        <f>N12</f>
        <v>-8.8529000000000053</v>
      </c>
      <c r="J11" s="24">
        <f>T12</f>
        <v>-2.1348000000000127</v>
      </c>
      <c r="K11" s="25">
        <f>P12</f>
        <v>6.1442999999999994</v>
      </c>
      <c r="L11" s="4"/>
      <c r="M11" s="27" t="str">
        <f>lang!B18</f>
        <v>平衡</v>
      </c>
      <c r="N11" s="59">
        <f t="shared" si="4"/>
        <v>5.9483000000000033</v>
      </c>
      <c r="O11" s="59">
        <f t="shared" si="5"/>
        <v>-0.37833000000000006</v>
      </c>
      <c r="P11" s="59">
        <f t="shared" si="6"/>
        <v>-1.6677</v>
      </c>
      <c r="Q11" s="59">
        <f t="shared" si="7"/>
        <v>0</v>
      </c>
      <c r="R11" s="59">
        <f t="shared" si="8"/>
        <v>1.0592000000000041</v>
      </c>
      <c r="S11" s="59">
        <f t="shared" si="9"/>
        <v>0</v>
      </c>
      <c r="T11" s="59">
        <f t="shared" si="10"/>
        <v>-2.8469999999999942</v>
      </c>
      <c r="U11" s="14"/>
      <c r="V11" s="27" t="str">
        <f t="shared" si="11"/>
        <v>平衡</v>
      </c>
      <c r="W11" s="59">
        <f>'M1'!B9*1</f>
        <v>59.7727</v>
      </c>
      <c r="X11" s="59">
        <f>'M1'!C9*1</f>
        <v>7.2121899999999997</v>
      </c>
      <c r="Y11" s="59">
        <f>'M1'!D9*1</f>
        <v>12.066000000000001</v>
      </c>
      <c r="Z11" s="59">
        <f>'M1'!E9*1</f>
        <v>50</v>
      </c>
      <c r="AA11" s="59">
        <f>'M1'!F9*1</f>
        <v>50.003399999999999</v>
      </c>
      <c r="AB11" s="59">
        <f>'M1'!G9*1</f>
        <v>100</v>
      </c>
      <c r="AC11" s="59">
        <f>'M1'!H9*1</f>
        <v>82.535399999999996</v>
      </c>
      <c r="AE11" s="27" t="str">
        <f t="shared" si="12"/>
        <v>平衡</v>
      </c>
      <c r="AF11" s="59">
        <f>'M2'!B9*1</f>
        <v>65.721000000000004</v>
      </c>
      <c r="AG11" s="59">
        <f>'M2'!C9*1</f>
        <v>6.8338599999999996</v>
      </c>
      <c r="AH11" s="59">
        <f>'M2'!D9*1</f>
        <v>10.398300000000001</v>
      </c>
      <c r="AI11" s="59">
        <f>'M2'!E9*1</f>
        <v>50</v>
      </c>
      <c r="AJ11" s="59">
        <f>'M2'!F9*1</f>
        <v>51.062600000000003</v>
      </c>
      <c r="AK11" s="59">
        <f>'M2'!G9*1</f>
        <v>100</v>
      </c>
      <c r="AL11" s="59">
        <f>'M2'!H9*1</f>
        <v>79.688400000000001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10.094500000000002</v>
      </c>
      <c r="D12" s="51">
        <f>N13</f>
        <v>6.6736000000000004</v>
      </c>
      <c r="E12" s="53">
        <f>T13</f>
        <v>2.7268000000000008</v>
      </c>
      <c r="F12" s="53">
        <f>P13</f>
        <v>-19.806800000000003</v>
      </c>
      <c r="G12" s="73" t="str">
        <f>CONCATENATE(M14,"
(50 ~ 100)")</f>
        <v>自我调节
(50 ~ 100)</v>
      </c>
      <c r="H12" s="24">
        <f>R14</f>
        <v>-2.9492999999999938</v>
      </c>
      <c r="I12" s="52">
        <f>N14</f>
        <v>-0.96590000000000487</v>
      </c>
      <c r="J12" s="24">
        <f>T14</f>
        <v>-6.4159999999999968</v>
      </c>
      <c r="K12" s="25">
        <f>P14</f>
        <v>-1.2604100000000003</v>
      </c>
      <c r="L12" s="4"/>
      <c r="M12" s="27" t="str">
        <f>lang!B19</f>
        <v>自信</v>
      </c>
      <c r="N12" s="59">
        <f t="shared" si="4"/>
        <v>-8.8529000000000053</v>
      </c>
      <c r="O12" s="59">
        <f t="shared" si="5"/>
        <v>4.2131699999999999</v>
      </c>
      <c r="P12" s="59">
        <f t="shared" si="6"/>
        <v>6.1442999999999994</v>
      </c>
      <c r="Q12" s="59">
        <f t="shared" si="7"/>
        <v>0</v>
      </c>
      <c r="R12" s="59">
        <f t="shared" si="8"/>
        <v>-14.529600000000002</v>
      </c>
      <c r="S12" s="59">
        <f t="shared" si="9"/>
        <v>0</v>
      </c>
      <c r="T12" s="59">
        <f t="shared" si="10"/>
        <v>-2.1348000000000127</v>
      </c>
      <c r="U12" s="15"/>
      <c r="V12" s="27" t="str">
        <f t="shared" si="11"/>
        <v>自信</v>
      </c>
      <c r="W12" s="59">
        <f>'M1'!B10*1</f>
        <v>80.170100000000005</v>
      </c>
      <c r="X12" s="59">
        <f>'M1'!C10*1</f>
        <v>1.5283599999999999</v>
      </c>
      <c r="Y12" s="59">
        <f>'M1'!D10*1</f>
        <v>1.90639</v>
      </c>
      <c r="Z12" s="59">
        <f>'M1'!E10*1</f>
        <v>40</v>
      </c>
      <c r="AA12" s="59">
        <f>'M1'!F10*1</f>
        <v>77.191800000000001</v>
      </c>
      <c r="AB12" s="59">
        <f>'M1'!G10*1</f>
        <v>100</v>
      </c>
      <c r="AC12" s="59">
        <f>'M1'!H10*1</f>
        <v>83.608500000000006</v>
      </c>
      <c r="AE12" s="27" t="str">
        <f t="shared" si="12"/>
        <v>自信</v>
      </c>
      <c r="AF12" s="59">
        <f>'M2'!B10*1</f>
        <v>71.3172</v>
      </c>
      <c r="AG12" s="59">
        <f>'M2'!C10*1</f>
        <v>5.74153</v>
      </c>
      <c r="AH12" s="59">
        <f>'M2'!D10*1</f>
        <v>8.0506899999999995</v>
      </c>
      <c r="AI12" s="59">
        <f>'M2'!E10*1</f>
        <v>40</v>
      </c>
      <c r="AJ12" s="59">
        <f>'M2'!F10*1</f>
        <v>62.662199999999999</v>
      </c>
      <c r="AK12" s="59">
        <f>'M2'!G10*1</f>
        <v>100</v>
      </c>
      <c r="AL12" s="59">
        <f>'M2'!H10*1</f>
        <v>81.473699999999994</v>
      </c>
    </row>
    <row r="13" spans="2:38" ht="25.5" customHeight="1" thickBot="1">
      <c r="B13" s="72" t="str">
        <f>CONCATENATE(M15,"
(10 ~ 25)")</f>
        <v>抑郁
(10 ~ 25)</v>
      </c>
      <c r="C13" s="54">
        <f>R15</f>
        <v>-2.0523000000000007</v>
      </c>
      <c r="D13" s="55">
        <f>N15</f>
        <v>-2.5199000000000016</v>
      </c>
      <c r="E13" s="56">
        <f>T15</f>
        <v>-14.6995</v>
      </c>
      <c r="F13" s="56">
        <f>P15</f>
        <v>-13.0923</v>
      </c>
      <c r="G13" s="74" t="str">
        <f>CONCATENATE(M16,"
(10 ~ 50)")</f>
        <v>神经质
(10 ~ 50)</v>
      </c>
      <c r="H13" s="54">
        <f>R16</f>
        <v>1.4396849999999999</v>
      </c>
      <c r="I13" s="55">
        <f>N16</f>
        <v>-24.342500000000001</v>
      </c>
      <c r="J13" s="56">
        <f>T16</f>
        <v>-9.1839000000000013</v>
      </c>
      <c r="K13" s="57">
        <f>P16</f>
        <v>70.838899999999995</v>
      </c>
      <c r="M13" s="27" t="str">
        <f>lang!B20</f>
        <v>活力</v>
      </c>
      <c r="N13" s="59">
        <f t="shared" si="4"/>
        <v>6.6736000000000004</v>
      </c>
      <c r="O13" s="59">
        <f t="shared" si="5"/>
        <v>-2.3678599999999999</v>
      </c>
      <c r="P13" s="59">
        <f t="shared" si="6"/>
        <v>-19.806800000000003</v>
      </c>
      <c r="Q13" s="59">
        <f t="shared" si="7"/>
        <v>0</v>
      </c>
      <c r="R13" s="59">
        <f t="shared" si="8"/>
        <v>10.094500000000002</v>
      </c>
      <c r="S13" s="59">
        <f t="shared" si="9"/>
        <v>0</v>
      </c>
      <c r="T13" s="59">
        <f t="shared" si="10"/>
        <v>2.7268000000000008</v>
      </c>
      <c r="U13" s="14"/>
      <c r="V13" s="27" t="str">
        <f t="shared" si="11"/>
        <v>活力</v>
      </c>
      <c r="W13" s="59">
        <f>'M1'!B11*1</f>
        <v>16.921900000000001</v>
      </c>
      <c r="X13" s="59">
        <f>'M1'!C11*1</f>
        <v>5.84633</v>
      </c>
      <c r="Y13" s="59">
        <f>'M1'!D11*1</f>
        <v>34.548900000000003</v>
      </c>
      <c r="Z13" s="59">
        <f>'M1'!E11*1</f>
        <v>10</v>
      </c>
      <c r="AA13" s="59">
        <f>'M1'!F11*1</f>
        <v>6.3423999999999996</v>
      </c>
      <c r="AB13" s="59">
        <f>'M1'!G11*1</f>
        <v>50</v>
      </c>
      <c r="AC13" s="59">
        <f>'M1'!H11*1</f>
        <v>26.200900000000001</v>
      </c>
      <c r="AE13" s="27" t="str">
        <f t="shared" si="12"/>
        <v>活力</v>
      </c>
      <c r="AF13" s="59">
        <f>'M2'!B11*1</f>
        <v>23.595500000000001</v>
      </c>
      <c r="AG13" s="59">
        <f>'M2'!C11*1</f>
        <v>3.4784700000000002</v>
      </c>
      <c r="AH13" s="59">
        <f>'M2'!D11*1</f>
        <v>14.742100000000001</v>
      </c>
      <c r="AI13" s="59">
        <f>'M2'!E11*1</f>
        <v>10</v>
      </c>
      <c r="AJ13" s="59">
        <f>'M2'!F11*1</f>
        <v>16.436900000000001</v>
      </c>
      <c r="AK13" s="59">
        <f>'M2'!G11*1</f>
        <v>50</v>
      </c>
      <c r="AL13" s="59">
        <f>'M2'!H11*1</f>
        <v>28.927700000000002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-0.96590000000000487</v>
      </c>
      <c r="O14" s="59">
        <f t="shared" si="5"/>
        <v>-0.92239000000000004</v>
      </c>
      <c r="P14" s="59">
        <f t="shared" si="6"/>
        <v>-1.2604100000000003</v>
      </c>
      <c r="Q14" s="59">
        <f t="shared" si="7"/>
        <v>0</v>
      </c>
      <c r="R14" s="59">
        <f t="shared" si="8"/>
        <v>-2.9492999999999938</v>
      </c>
      <c r="S14" s="59">
        <f t="shared" si="9"/>
        <v>0</v>
      </c>
      <c r="T14" s="59">
        <f t="shared" si="10"/>
        <v>-6.4159999999999968</v>
      </c>
      <c r="U14" s="14"/>
      <c r="V14" s="27" t="str">
        <f t="shared" si="11"/>
        <v>自我调节</v>
      </c>
      <c r="W14" s="59">
        <f>'M1'!B12*1</f>
        <v>69.749700000000004</v>
      </c>
      <c r="X14" s="59">
        <f>'M1'!C12*1</f>
        <v>4.0026700000000002</v>
      </c>
      <c r="Y14" s="59">
        <f>'M1'!D12*1</f>
        <v>5.7386100000000004</v>
      </c>
      <c r="Z14" s="59">
        <f>'M1'!E12*1</f>
        <v>50</v>
      </c>
      <c r="AA14" s="59">
        <f>'M1'!F12*1</f>
        <v>64.202799999999996</v>
      </c>
      <c r="AB14" s="59">
        <f>'M1'!G12*1</f>
        <v>100</v>
      </c>
      <c r="AC14" s="59">
        <f>'M1'!H12*1</f>
        <v>82.725899999999996</v>
      </c>
      <c r="AE14" s="27" t="str">
        <f t="shared" si="12"/>
        <v>自我调节</v>
      </c>
      <c r="AF14" s="59">
        <f>'M2'!B12*1</f>
        <v>68.783799999999999</v>
      </c>
      <c r="AG14" s="59">
        <f>'M2'!C12*1</f>
        <v>3.0802800000000001</v>
      </c>
      <c r="AH14" s="59">
        <f>'M2'!D12*1</f>
        <v>4.4782000000000002</v>
      </c>
      <c r="AI14" s="59">
        <f>'M2'!E12*1</f>
        <v>50</v>
      </c>
      <c r="AJ14" s="59">
        <f>'M2'!F12*1</f>
        <v>61.253500000000003</v>
      </c>
      <c r="AK14" s="59">
        <f>'M2'!G12*1</f>
        <v>100</v>
      </c>
      <c r="AL14" s="59">
        <f>'M2'!H12*1</f>
        <v>76.309899999999999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-2.5199000000000016</v>
      </c>
      <c r="O15" s="59">
        <f t="shared" si="5"/>
        <v>-2.4342500000000005</v>
      </c>
      <c r="P15" s="59">
        <f t="shared" si="6"/>
        <v>-13.0923</v>
      </c>
      <c r="Q15" s="59">
        <f t="shared" si="7"/>
        <v>0</v>
      </c>
      <c r="R15" s="59">
        <f t="shared" si="8"/>
        <v>-2.0523000000000007</v>
      </c>
      <c r="S15" s="59">
        <f t="shared" si="9"/>
        <v>0</v>
      </c>
      <c r="T15" s="59">
        <f t="shared" si="10"/>
        <v>-14.6995</v>
      </c>
      <c r="U15" s="14"/>
      <c r="V15" s="27" t="str">
        <f t="shared" si="11"/>
        <v>抑郁</v>
      </c>
      <c r="W15" s="59">
        <f>'M1'!B13*1</f>
        <v>16.635300000000001</v>
      </c>
      <c r="X15" s="59">
        <f>'M1'!C13*1</f>
        <v>3.8700100000000002</v>
      </c>
      <c r="Y15" s="59">
        <f>'M1'!D13*1</f>
        <v>23.2639</v>
      </c>
      <c r="Z15" s="59">
        <f>'M1'!E13*1</f>
        <v>10</v>
      </c>
      <c r="AA15" s="59">
        <f>'M1'!F13*1</f>
        <v>13.9406</v>
      </c>
      <c r="AB15" s="59">
        <f>'M1'!G13*1</f>
        <v>25</v>
      </c>
      <c r="AC15" s="59">
        <f>'M1'!H13*1</f>
        <v>33.286799999999999</v>
      </c>
      <c r="AE15" s="27" t="str">
        <f t="shared" si="12"/>
        <v>抑郁</v>
      </c>
      <c r="AF15" s="59">
        <f>'M2'!B13*1</f>
        <v>14.115399999999999</v>
      </c>
      <c r="AG15" s="59">
        <f>'M2'!C13*1</f>
        <v>1.4357599999999999</v>
      </c>
      <c r="AH15" s="59">
        <f>'M2'!D13*1</f>
        <v>10.1716</v>
      </c>
      <c r="AI15" s="59">
        <f>'M2'!E13*1</f>
        <v>10</v>
      </c>
      <c r="AJ15" s="59">
        <f>'M2'!F13*1</f>
        <v>11.888299999999999</v>
      </c>
      <c r="AK15" s="59">
        <f>'M2'!G13*1</f>
        <v>25</v>
      </c>
      <c r="AL15" s="59">
        <f>'M2'!H13*1</f>
        <v>18.587299999999999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-24.342500000000001</v>
      </c>
      <c r="O16" s="59">
        <f t="shared" si="5"/>
        <v>1.4626999999999999</v>
      </c>
      <c r="P16" s="59">
        <f t="shared" si="6"/>
        <v>70.838899999999995</v>
      </c>
      <c r="Q16" s="59">
        <f t="shared" si="7"/>
        <v>0</v>
      </c>
      <c r="R16" s="59">
        <f t="shared" si="8"/>
        <v>1.4396849999999999</v>
      </c>
      <c r="S16" s="59">
        <f t="shared" si="9"/>
        <v>0</v>
      </c>
      <c r="T16" s="59">
        <f t="shared" si="10"/>
        <v>-9.1839000000000013</v>
      </c>
      <c r="U16" s="15"/>
      <c r="V16" s="27" t="str">
        <f t="shared" si="11"/>
        <v>神经质</v>
      </c>
      <c r="W16" s="59">
        <f>'M1'!B14*1</f>
        <v>38.700099999999999</v>
      </c>
      <c r="X16" s="59">
        <f>'M1'!C14*1</f>
        <v>13.844200000000001</v>
      </c>
      <c r="Y16" s="59">
        <f>'M1'!D14*1</f>
        <v>35.773099999999999</v>
      </c>
      <c r="Z16" s="59">
        <f>'M1'!E14*1</f>
        <v>10</v>
      </c>
      <c r="AA16" s="59">
        <f>'M1'!F14*1</f>
        <v>0.350885</v>
      </c>
      <c r="AB16" s="59">
        <f>'M1'!G14*1</f>
        <v>50</v>
      </c>
      <c r="AC16" s="59">
        <f>'M1'!H14*1</f>
        <v>47.830800000000004</v>
      </c>
      <c r="AE16" s="27" t="str">
        <f t="shared" si="12"/>
        <v>神经质</v>
      </c>
      <c r="AF16" s="59">
        <f>'M2'!B14*1</f>
        <v>14.3576</v>
      </c>
      <c r="AG16" s="59">
        <f>'M2'!C14*1</f>
        <v>15.306900000000001</v>
      </c>
      <c r="AH16" s="59">
        <f>'M2'!D14*1</f>
        <v>106.61199999999999</v>
      </c>
      <c r="AI16" s="59">
        <f>'M2'!E14*1</f>
        <v>10</v>
      </c>
      <c r="AJ16" s="59">
        <f>'M2'!F14*1</f>
        <v>1.79057</v>
      </c>
      <c r="AK16" s="59">
        <f>'M2'!G14*1</f>
        <v>50</v>
      </c>
      <c r="AL16" s="59">
        <f>'M2'!H14*1</f>
        <v>38.646900000000002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0.70077499999999837</v>
      </c>
      <c r="O17" s="22">
        <f>N17/(N17+N18+N19)</f>
        <v>-0.11792198832180631</v>
      </c>
      <c r="P17" s="65">
        <f>SUM(P11:P14)/4</f>
        <v>-4.1476525000000013</v>
      </c>
      <c r="Q17" s="22">
        <f>P17/(P17+P18+P19)</f>
        <v>-0.29587688692603975</v>
      </c>
      <c r="R17" s="14"/>
      <c r="S17" s="14"/>
      <c r="T17" s="14"/>
      <c r="U17" s="14"/>
      <c r="V17" s="21" t="str">
        <f>M17</f>
        <v>Positive</v>
      </c>
      <c r="W17" s="65">
        <f>SUM(W11:W14)/4</f>
        <v>56.653599999999997</v>
      </c>
      <c r="X17" s="22">
        <f>W17/(W17+W18+W19)</f>
        <v>0.49907546968694583</v>
      </c>
      <c r="Y17" s="65">
        <f>SUM(Y11:Y14)/4</f>
        <v>13.564975000000002</v>
      </c>
      <c r="Z17" s="22">
        <f>Y17/(Y17+Y18+Y19)</f>
        <v>0.20776979278964741</v>
      </c>
      <c r="AA17" s="14"/>
      <c r="AB17" s="14"/>
      <c r="AC17" s="14"/>
      <c r="AE17" s="21" t="str">
        <f>V17</f>
        <v>Positive</v>
      </c>
      <c r="AF17" s="65">
        <f>SUM(AF11:AF14)/4</f>
        <v>57.354375000000005</v>
      </c>
      <c r="AG17" s="22">
        <f>AF17/(AF17+AF18+AF19)</f>
        <v>0.53316007340036298</v>
      </c>
      <c r="AH17" s="65">
        <f>SUM(AH11:AH14)/4</f>
        <v>9.4173225000000009</v>
      </c>
      <c r="AI17" s="22">
        <f>AH17/(AH17+AH18+AH19)</f>
        <v>0.11874567777445663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6.7877250000000018</v>
      </c>
      <c r="O18" s="22">
        <f>N18/(N17+N18+N19)</f>
        <v>-1.1421954667070526</v>
      </c>
      <c r="P18" s="18">
        <f>SUM(P7:P10)/4</f>
        <v>-10.7074775</v>
      </c>
      <c r="Q18" s="22">
        <f>P18/(P17+P18+P19)</f>
        <v>-0.76382848117835656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29.195800000000002</v>
      </c>
      <c r="X18" s="22">
        <f>W18/(W17+W18+W19)</f>
        <v>0.25719296916499806</v>
      </c>
      <c r="Y18" s="18">
        <f>SUM(Y7:Y10)/4</f>
        <v>22.205009999999998</v>
      </c>
      <c r="Z18" s="22">
        <f>Y18/(Y17+Y18+Y19)</f>
        <v>0.34010606924023434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35.983525</v>
      </c>
      <c r="AG18" s="22">
        <f>AF18/(AF17+AF18+AF19)</f>
        <v>0.33449896071927893</v>
      </c>
      <c r="AH18" s="18">
        <f>SUM(AH7:AH10)/4</f>
        <v>11.4975325</v>
      </c>
      <c r="AI18" s="22">
        <f>AH18/(AH17+AH18+AH19)</f>
        <v>0.14497563287721565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-13.4312</v>
      </c>
      <c r="O19" s="22">
        <f>N19/(N17+N18+N19)</f>
        <v>2.2601174550288587</v>
      </c>
      <c r="P19" s="18">
        <f>(P15+P16)/2</f>
        <v>28.873299999999997</v>
      </c>
      <c r="Q19" s="22">
        <f>P19/(P17+P18+P19)</f>
        <v>2.0597053681043964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27.6677</v>
      </c>
      <c r="X19" s="22">
        <f>W19/(W17+W18+W19)</f>
        <v>0.24373156114805611</v>
      </c>
      <c r="Y19" s="18">
        <f>(Y15+Y16)/2</f>
        <v>29.5185</v>
      </c>
      <c r="Z19" s="22">
        <f>Y19/(Y17+Y18+Y19)</f>
        <v>0.45212413797011836</v>
      </c>
      <c r="AA19" s="14"/>
      <c r="AB19" s="14"/>
      <c r="AC19" s="14"/>
      <c r="AE19" s="21" t="str">
        <f t="shared" si="14"/>
        <v>Physiological</v>
      </c>
      <c r="AF19" s="18">
        <f>(AF15+AF16)/2</f>
        <v>14.236499999999999</v>
      </c>
      <c r="AG19" s="22">
        <f>AF19/(AF17+AF18+AF19)</f>
        <v>0.13234096588035815</v>
      </c>
      <c r="AH19" s="18">
        <f>(AH15+AH16)/2</f>
        <v>58.391799999999996</v>
      </c>
      <c r="AI19" s="22">
        <f>AH19/(AH17+AH18+AH19)</f>
        <v>0.73627868934832763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1.6/1.77</v>
      </c>
      <c r="D24" s="44" t="str">
        <f>lang!B11</f>
        <v>频率方差</v>
      </c>
      <c r="E24" s="142" t="str">
        <f ca="1">CONCATENATE(ROUND('FH1'!L3,2),"/",ROUND('FH2'!L3,2))</f>
        <v>0.71/0.62</v>
      </c>
      <c r="F24" s="143"/>
      <c r="G24" s="134" t="str">
        <f>lang!B12</f>
        <v>生理变化率</v>
      </c>
      <c r="H24" s="135"/>
      <c r="I24" s="62" t="str">
        <f ca="1">CONCATENATE(info!M7,"-",info!M8)</f>
        <v>30.8-61.2</v>
      </c>
      <c r="J24" s="42" t="str">
        <f>lang!B13</f>
        <v>千卡l/分钟</v>
      </c>
      <c r="K24" s="41" t="str">
        <f ca="1">CONCATENATE(info!M5,"-",info!M6)</f>
        <v>1.8-4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-6.6696000000000035</v>
      </c>
      <c r="F27" s="164"/>
      <c r="G27" s="178" t="str">
        <f>lang!B33</f>
        <v>稳定性</v>
      </c>
      <c r="H27" s="179"/>
      <c r="I27" s="180"/>
      <c r="J27" s="181">
        <f>dM!B19*100</f>
        <v>11.182800000000004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-0.85452324570187055</v>
      </c>
      <c r="C2">
        <f t="array" aca="1" ref="C2" ca="1">CORREL(FT_E02,FT_PH02)</f>
        <v>-0.32188886077676648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1.7924000000000002</v>
      </c>
      <c r="G2" s="61">
        <f>IF(FT!B2&lt;&gt;"",FT!B2*100,"")</f>
        <v>61.217699999999994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1.8521399999999999</v>
      </c>
      <c r="G3" s="61">
        <f>IF(FT!B3&lt;&gt;"",FT!B3*100,"")</f>
        <v>60.148999999999994</v>
      </c>
      <c r="H3" s="61">
        <f t="shared" ref="H3:H66" si="1">(IF(F3&lt;&gt;"",1,""))</f>
        <v>1</v>
      </c>
      <c r="I3" t="str">
        <f>IF(FT!B3&lt;&gt;"",FT!E3,"")</f>
        <v>1 [0.406897]</v>
      </c>
      <c r="J3">
        <f>IF(FT!B3&lt;&gt;"",FT!C3,"")</f>
        <v>0.40689700000000001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0.38534404054054039</v>
      </c>
      <c r="V3">
        <f ca="1">AVERAGE(OFFSET(FT!B2,info!$L$3/2,0,info!$L$3/2,1))</f>
        <v>0.38319893243243236</v>
      </c>
      <c r="W3">
        <f ca="1">AVERAGE(OFFSET(FT!A2,0,0,info!$L$3/2,1))</f>
        <v>0.33114394594594598</v>
      </c>
      <c r="X3">
        <f ca="1">AVERAGE(OFFSET(FT!A2,info!$L$3/2,0,info!$L$3/2,1))</f>
        <v>0.3498610810810811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1.9107499999999999</v>
      </c>
      <c r="G4" s="61">
        <f>IF(FT!B4&lt;&gt;"",FT!B4*100,"")</f>
        <v>59.048900000000003</v>
      </c>
      <c r="H4" s="61">
        <f t="shared" si="1"/>
        <v>1</v>
      </c>
      <c r="I4" t="str">
        <f>IF(FT!B4&lt;&gt;"",FT!E4,"")</f>
        <v>1 [0.812811]</v>
      </c>
      <c r="J4">
        <f>IF(FT!B4&lt;&gt;"",FT!C4,"")</f>
        <v>0.81281099999999995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15.042</v>
      </c>
      <c r="V4">
        <f>U4*3</f>
        <v>45.125999999999998</v>
      </c>
      <c r="W4">
        <f>U4</f>
        <v>15.042</v>
      </c>
      <c r="X4">
        <f>V4</f>
        <v>45.125999999999998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1.9676499999999999</v>
      </c>
      <c r="G5" s="61">
        <f>IF(FT!B5&lt;&gt;"",FT!B5*100,"")</f>
        <v>57.966700000000003</v>
      </c>
      <c r="H5" s="61">
        <f t="shared" si="1"/>
        <v>1</v>
      </c>
      <c r="I5" t="str">
        <f>IF(FT!B5&lt;&gt;"",FT!E5,"")</f>
        <v>1 [1.215593]</v>
      </c>
      <c r="J5">
        <f>IF(FT!B5&lt;&gt;"",FT!C5,"")</f>
        <v>1.2155899999999999</v>
      </c>
      <c r="K5" t="s">
        <v>53</v>
      </c>
      <c r="L5" s="63">
        <f ca="1">MIN(FT_E)</f>
        <v>1.7924000000000002</v>
      </c>
      <c r="M5" s="63">
        <f ca="1">ROUND(L5,1)</f>
        <v>1.8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38.534404054054036</v>
      </c>
      <c r="V5">
        <f ca="1">V3*100</f>
        <v>38.319893243243236</v>
      </c>
      <c r="W5">
        <f ca="1">W3*10</f>
        <v>3.3114394594594598</v>
      </c>
      <c r="X5">
        <f ca="1">X3*10</f>
        <v>3.4986108108108112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2.02319</v>
      </c>
      <c r="G6" s="61">
        <f>IF(FT!B6&lt;&gt;"",FT!B6*100,"")</f>
        <v>56.816500000000005</v>
      </c>
      <c r="H6" s="61">
        <f t="shared" si="1"/>
        <v>1</v>
      </c>
      <c r="I6" t="str">
        <f>IF(FT!B6&lt;&gt;"",FT!E6,"")</f>
        <v>1 [1.620547]</v>
      </c>
      <c r="J6">
        <f>IF(FT!B6&lt;&gt;"",FT!C6,"")</f>
        <v>1.6205499999999999</v>
      </c>
      <c r="K6" t="s">
        <v>54</v>
      </c>
      <c r="L6" s="63">
        <f ca="1">MAX(FT_E)</f>
        <v>3.9648699999999999</v>
      </c>
      <c r="M6" s="63">
        <f ca="1">ROUND(L6,1)</f>
        <v>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2.0798100000000002</v>
      </c>
      <c r="G7" s="61">
        <f>IF(FT!B7&lt;&gt;"",FT!B7*100,"")</f>
        <v>55.621900000000004</v>
      </c>
      <c r="H7" s="61">
        <f t="shared" si="1"/>
        <v>1</v>
      </c>
      <c r="I7" t="str">
        <f>IF(FT!B7&lt;&gt;"",FT!E7,"")</f>
        <v>1 [2.031453]</v>
      </c>
      <c r="J7">
        <f>IF(FT!B7&lt;&gt;"",FT!C7,"")</f>
        <v>2.03145</v>
      </c>
      <c r="K7" t="s">
        <v>55</v>
      </c>
      <c r="L7" s="63">
        <f ca="1">MIN(FT_PH)</f>
        <v>30.8232</v>
      </c>
      <c r="M7" s="63">
        <f ca="1">ROUND(L7,1)</f>
        <v>30.8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2818</v>
      </c>
      <c r="D8" s="61">
        <f>FH!B8*1</f>
        <v>2818</v>
      </c>
      <c r="E8">
        <f t="shared" si="3"/>
        <v>6</v>
      </c>
      <c r="F8" s="61">
        <f>IF(FT!A8&lt;&gt;"",FT!A8*10,"")</f>
        <v>2.1334499999999998</v>
      </c>
      <c r="G8" s="61">
        <f>IF(FT!B8&lt;&gt;"",FT!B8*100,"")</f>
        <v>54.451499999999996</v>
      </c>
      <c r="H8" s="61">
        <f t="shared" si="1"/>
        <v>1</v>
      </c>
      <c r="I8" t="str">
        <f>IF(FT!B8&lt;&gt;"",FT!E8,"")</f>
        <v>1 [2.436370]</v>
      </c>
      <c r="J8">
        <f>IF(FT!B8&lt;&gt;"",FT!C8,"")</f>
        <v>2.4363700000000001</v>
      </c>
      <c r="K8" t="s">
        <v>56</v>
      </c>
      <c r="L8" s="63">
        <f ca="1">MAX(FT_PH)</f>
        <v>61.217699999999994</v>
      </c>
      <c r="M8" s="63">
        <f ca="1">ROUND(L8,1)</f>
        <v>61.2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2.1868499999999997</v>
      </c>
      <c r="G9" s="61">
        <f>IF(FT!B9&lt;&gt;"",FT!B9*100,"")</f>
        <v>53.244899999999994</v>
      </c>
      <c r="H9" s="61">
        <f t="shared" si="1"/>
        <v>1</v>
      </c>
      <c r="I9" t="str">
        <f>IF(FT!B9&lt;&gt;"",FT!E9,"")</f>
        <v>1 [2.843656]</v>
      </c>
      <c r="J9">
        <f>IF(FT!B9&lt;&gt;"",FT!C9,"")</f>
        <v>2.8436599999999999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5629</v>
      </c>
      <c r="D10" s="61">
        <f>FH!B10*1</f>
        <v>5629</v>
      </c>
      <c r="E10">
        <f t="shared" si="3"/>
        <v>8</v>
      </c>
      <c r="F10" s="61">
        <f>IF(FT!A10&lt;&gt;"",FT!A10*10,"")</f>
        <v>2.2407900000000001</v>
      </c>
      <c r="G10" s="61">
        <f>IF(FT!B10&lt;&gt;"",FT!B10*100,"")</f>
        <v>52.008600000000001</v>
      </c>
      <c r="H10" s="61">
        <f t="shared" si="1"/>
        <v>1</v>
      </c>
      <c r="I10" t="str">
        <f>IF(FT!B10&lt;&gt;"",FT!E10,"")</f>
        <v>1 [3.247180]</v>
      </c>
      <c r="J10">
        <f>IF(FT!B10&lt;&gt;"",FT!C10,"")</f>
        <v>3.2471800000000002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2.2932199999999998</v>
      </c>
      <c r="G11" s="61">
        <f>IF(FT!B11&lt;&gt;"",FT!B11*100,"")</f>
        <v>50.856699999999996</v>
      </c>
      <c r="H11" s="61">
        <f t="shared" si="1"/>
        <v>1</v>
      </c>
      <c r="I11" t="str">
        <f>IF(FT!B11&lt;&gt;"",FT!E11,"")</f>
        <v>1 [3.654253]</v>
      </c>
      <c r="J11">
        <f>IF(FT!B11&lt;&gt;"",FT!C11,"")</f>
        <v>3.6542500000000002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2.3436599999999999</v>
      </c>
      <c r="G12" s="61">
        <f>IF(FT!B12&lt;&gt;"",FT!B12*100,"")</f>
        <v>49.743200000000002</v>
      </c>
      <c r="H12" s="61">
        <f t="shared" si="1"/>
        <v>1</v>
      </c>
      <c r="I12" t="str">
        <f>IF(FT!B12&lt;&gt;"",FT!E12,"")</f>
        <v>1 [4.063091]</v>
      </c>
      <c r="J12">
        <f>IF(FT!B12&lt;&gt;"",FT!C12,"")</f>
        <v>4.0630899999999999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7233</v>
      </c>
      <c r="D13" s="61">
        <f>FH!B13*1</f>
        <v>7233</v>
      </c>
      <c r="E13">
        <f t="shared" si="3"/>
        <v>11</v>
      </c>
      <c r="F13" s="61">
        <f>IF(FT!A13&lt;&gt;"",FT!A13*10,"")</f>
        <v>2.3935300000000002</v>
      </c>
      <c r="G13" s="61">
        <f>IF(FT!B13&lt;&gt;"",FT!B13*100,"")</f>
        <v>48.605599999999995</v>
      </c>
      <c r="H13" s="61">
        <f t="shared" si="1"/>
        <v>1</v>
      </c>
      <c r="I13" t="str">
        <f>IF(FT!B13&lt;&gt;"",FT!E13,"")</f>
        <v>1 [4.468902]</v>
      </c>
      <c r="J13">
        <f>IF(FT!B13&lt;&gt;"",FT!C13,"")</f>
        <v>4.4688999999999997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2.4417800000000001</v>
      </c>
      <c r="G14" s="61">
        <f>IF(FT!B14&lt;&gt;"",FT!B14*100,"")</f>
        <v>47.572800000000001</v>
      </c>
      <c r="H14" s="61">
        <f t="shared" si="1"/>
        <v>1</v>
      </c>
      <c r="I14" t="str">
        <f>IF(FT!B14&lt;&gt;"",FT!E14,"")</f>
        <v>1 [4.870813]</v>
      </c>
      <c r="J14">
        <f>IF(FT!B14&lt;&gt;"",FT!C14,"")</f>
        <v>4.8708099999999996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10547</v>
      </c>
      <c r="D15" s="61">
        <f>FH!B15*1</f>
        <v>10547</v>
      </c>
      <c r="E15">
        <f t="shared" si="3"/>
        <v>13</v>
      </c>
      <c r="F15" s="61">
        <f>IF(FT!A15&lt;&gt;"",FT!A15*10,"")</f>
        <v>2.4922800000000001</v>
      </c>
      <c r="G15" s="61">
        <f>IF(FT!B15&lt;&gt;"",FT!B15*100,"")</f>
        <v>46.5017</v>
      </c>
      <c r="H15" s="61">
        <f t="shared" si="1"/>
        <v>1</v>
      </c>
      <c r="I15" t="str">
        <f>IF(FT!B15&lt;&gt;"",FT!E15,"")</f>
        <v>1 [5.282846]</v>
      </c>
      <c r="J15">
        <f>IF(FT!B15&lt;&gt;"",FT!C15,"")</f>
        <v>5.2828499999999998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2.5478299999999998</v>
      </c>
      <c r="G16" s="61">
        <f>IF(FT!B16&lt;&gt;"",FT!B16*100,"")</f>
        <v>45.2761</v>
      </c>
      <c r="H16" s="61">
        <f t="shared" si="1"/>
        <v>1</v>
      </c>
      <c r="I16" t="str">
        <f>IF(FT!B16&lt;&gt;"",FT!E16,"")</f>
        <v>1 [5.686727]</v>
      </c>
      <c r="J16">
        <f>IF(FT!B16&lt;&gt;"",FT!C16,"")</f>
        <v>5.6867299999999998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2.6088899999999997</v>
      </c>
      <c r="G17" s="61">
        <f>IF(FT!B17&lt;&gt;"",FT!B17*100,"")</f>
        <v>43.9465</v>
      </c>
      <c r="H17" s="61">
        <f t="shared" si="1"/>
        <v>1</v>
      </c>
      <c r="I17" t="str">
        <f>IF(FT!B17&lt;&gt;"",FT!E17,"")</f>
        <v>1 [6.092889]</v>
      </c>
      <c r="J17">
        <f>IF(FT!B17&lt;&gt;"",FT!C17,"")</f>
        <v>6.0928899999999997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18177</v>
      </c>
      <c r="D18" s="61">
        <f>FH!B18*1</f>
        <v>18177</v>
      </c>
      <c r="E18">
        <f t="shared" si="3"/>
        <v>16</v>
      </c>
      <c r="F18" s="61">
        <f>IF(FT!A18&lt;&gt;"",FT!A18*10,"")</f>
        <v>2.6722400000000004</v>
      </c>
      <c r="G18" s="61">
        <f>IF(FT!B18&lt;&gt;"",FT!B18*100,"")</f>
        <v>42.577799999999996</v>
      </c>
      <c r="H18" s="61">
        <f t="shared" si="1"/>
        <v>1</v>
      </c>
      <c r="I18" t="str">
        <f>IF(FT!B18&lt;&gt;"",FT!E18,"")</f>
        <v>1 [6.497533]</v>
      </c>
      <c r="J18">
        <f>IF(FT!B18&lt;&gt;"",FT!C18,"")</f>
        <v>6.4975300000000002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2.7413500000000002</v>
      </c>
      <c r="G19" s="61">
        <f>IF(FT!B19&lt;&gt;"",FT!B19*100,"")</f>
        <v>41.123399999999997</v>
      </c>
      <c r="H19" s="61">
        <f t="shared" si="1"/>
        <v>1</v>
      </c>
      <c r="I19" t="str">
        <f>IF(FT!B19&lt;&gt;"",FT!E19,"")</f>
        <v>1 [6.905536]</v>
      </c>
      <c r="J19">
        <f>IF(FT!B19&lt;&gt;"",FT!C19,"")</f>
        <v>6.9055400000000002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2.8090299999999999</v>
      </c>
      <c r="G20" s="61">
        <f>IF(FT!B20&lt;&gt;"",FT!B20*100,"")</f>
        <v>39.815300000000001</v>
      </c>
      <c r="H20" s="61">
        <f t="shared" si="1"/>
        <v>1</v>
      </c>
      <c r="I20" t="str">
        <f>IF(FT!B20&lt;&gt;"",FT!E20,"")</f>
        <v>1 [7.308390]</v>
      </c>
      <c r="J20">
        <f>IF(FT!B20&lt;&gt;"",FT!C20,"")</f>
        <v>7.3083900000000002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26150</v>
      </c>
      <c r="D21" s="61">
        <f>FH!B21*1</f>
        <v>26150</v>
      </c>
      <c r="E21">
        <f t="shared" si="3"/>
        <v>19</v>
      </c>
      <c r="F21" s="61">
        <f>IF(FT!A21&lt;&gt;"",FT!A21*10,"")</f>
        <v>2.8725699999999996</v>
      </c>
      <c r="G21" s="61">
        <f>IF(FT!B21&lt;&gt;"",FT!B21*100,"")</f>
        <v>38.7258</v>
      </c>
      <c r="H21" s="61">
        <f t="shared" si="1"/>
        <v>1</v>
      </c>
      <c r="I21" t="str">
        <f>IF(FT!B21&lt;&gt;"",FT!E21,"")</f>
        <v>1 [7.715281]</v>
      </c>
      <c r="J21">
        <f>IF(FT!B21&lt;&gt;"",FT!C21,"")</f>
        <v>7.7152799999999999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2.9309400000000001</v>
      </c>
      <c r="G22" s="61">
        <f>IF(FT!B22&lt;&gt;"",FT!B22*100,"")</f>
        <v>37.789899999999996</v>
      </c>
      <c r="H22" s="61">
        <f t="shared" si="1"/>
        <v>1</v>
      </c>
      <c r="I22" t="str">
        <f>IF(FT!B22&lt;&gt;"",FT!E22,"")</f>
        <v>1 [8.124153]</v>
      </c>
      <c r="J22">
        <f>IF(FT!B22&lt;&gt;"",FT!C22,"")</f>
        <v>8.1241500000000002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31574</v>
      </c>
      <c r="D23" s="61">
        <f>FH!B23*1</f>
        <v>31574</v>
      </c>
      <c r="E23">
        <f t="shared" si="3"/>
        <v>21</v>
      </c>
      <c r="F23" s="61">
        <f>IF(FT!A23&lt;&gt;"",FT!A23*10,"")</f>
        <v>2.9861900000000001</v>
      </c>
      <c r="G23" s="61">
        <f>IF(FT!B23&lt;&gt;"",FT!B23*100,"")</f>
        <v>36.963700000000003</v>
      </c>
      <c r="H23" s="61">
        <f t="shared" si="1"/>
        <v>1</v>
      </c>
      <c r="I23" t="str">
        <f>IF(FT!B23&lt;&gt;"",FT!E23,"")</f>
        <v>1 [8.530099]</v>
      </c>
      <c r="J23">
        <f>IF(FT!B23&lt;&gt;"",FT!C23,"")</f>
        <v>8.5300999999999991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3.0405700000000002</v>
      </c>
      <c r="G24" s="61">
        <f>IF(FT!B24&lt;&gt;"",FT!B24*100,"")</f>
        <v>36.092999999999996</v>
      </c>
      <c r="H24" s="61">
        <f t="shared" si="1"/>
        <v>1</v>
      </c>
      <c r="I24" t="str">
        <f>IF(FT!B24&lt;&gt;"",FT!E24,"")</f>
        <v>1 [8.936151]</v>
      </c>
      <c r="J24">
        <f>IF(FT!B24&lt;&gt;"",FT!C24,"")</f>
        <v>8.9361499999999996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3.0926300000000002</v>
      </c>
      <c r="G25" s="61">
        <f>IF(FT!B25&lt;&gt;"",FT!B25*100,"")</f>
        <v>35.2256</v>
      </c>
      <c r="H25" s="61">
        <f t="shared" si="1"/>
        <v>1</v>
      </c>
      <c r="I25" t="str">
        <f>IF(FT!B25&lt;&gt;"",FT!E25,"")</f>
        <v>1 [9.344049]</v>
      </c>
      <c r="J25">
        <f>IF(FT!B25&lt;&gt;"",FT!C25,"")</f>
        <v>9.3440499999999993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40148</v>
      </c>
      <c r="D26" s="61">
        <f>FH!B26*1</f>
        <v>40148</v>
      </c>
      <c r="E26">
        <f t="shared" si="3"/>
        <v>24</v>
      </c>
      <c r="F26" s="61">
        <f>IF(FT!A26&lt;&gt;"",FT!A26*10,"")</f>
        <v>3.1408999999999998</v>
      </c>
      <c r="G26" s="61">
        <f>IF(FT!B26&lt;&gt;"",FT!B26*100,"")</f>
        <v>34.471600000000002</v>
      </c>
      <c r="H26" s="61">
        <f t="shared" si="1"/>
        <v>1</v>
      </c>
      <c r="I26" t="str">
        <f>IF(FT!B26&lt;&gt;"",FT!E26,"")</f>
        <v>1 [9.748825]</v>
      </c>
      <c r="J26">
        <f>IF(FT!B26&lt;&gt;"",FT!C26,"")</f>
        <v>9.7488200000000003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3.18859</v>
      </c>
      <c r="G27" s="61">
        <f>IF(FT!B27&lt;&gt;"",FT!B27*100,"")</f>
        <v>33.742400000000004</v>
      </c>
      <c r="H27" s="61">
        <f t="shared" si="1"/>
        <v>1</v>
      </c>
      <c r="I27" t="str">
        <f>IF(FT!B27&lt;&gt;"",FT!E27,"")</f>
        <v>1 [10.157735]</v>
      </c>
      <c r="J27">
        <f>IF(FT!B27&lt;&gt;"",FT!C27,"")</f>
        <v>10.1577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47866</v>
      </c>
      <c r="D28" s="61">
        <f>FH!B28*1</f>
        <v>47866</v>
      </c>
      <c r="E28">
        <f t="shared" si="3"/>
        <v>26</v>
      </c>
      <c r="F28" s="61">
        <f>IF(FT!A28&lt;&gt;"",FT!A28*10,"")</f>
        <v>3.2363</v>
      </c>
      <c r="G28" s="61">
        <f>IF(FT!B28&lt;&gt;"",FT!B28*100,"")</f>
        <v>33.0749</v>
      </c>
      <c r="H28" s="61">
        <f t="shared" si="1"/>
        <v>1</v>
      </c>
      <c r="I28" t="str">
        <f>IF(FT!B28&lt;&gt;"",FT!E28,"")</f>
        <v>1 [10.562699]</v>
      </c>
      <c r="J28">
        <f>IF(FT!B28&lt;&gt;"",FT!C28,"")</f>
        <v>10.5627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3.2818199999999997</v>
      </c>
      <c r="G29" s="61">
        <f>IF(FT!B29&lt;&gt;"",FT!B29*100,"")</f>
        <v>32.543299999999995</v>
      </c>
      <c r="H29" s="61">
        <f t="shared" si="1"/>
        <v>1</v>
      </c>
      <c r="I29" t="str">
        <f>IF(FT!B29&lt;&gt;"",FT!E29,"")</f>
        <v>1 [10.967847]</v>
      </c>
      <c r="J29">
        <f>IF(FT!B29&lt;&gt;"",FT!C29,"")</f>
        <v>10.9678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3.3273000000000001</v>
      </c>
      <c r="G30" s="61">
        <f>IF(FT!B30&lt;&gt;"",FT!B30*100,"")</f>
        <v>32.0458</v>
      </c>
      <c r="H30" s="61">
        <f t="shared" si="1"/>
        <v>1</v>
      </c>
      <c r="I30" t="str">
        <f>IF(FT!B30&lt;&gt;"",FT!E30,"")</f>
        <v>1 [11.373483]</v>
      </c>
      <c r="J30">
        <f>IF(FT!B30&lt;&gt;"",FT!C30,"")</f>
        <v>11.3735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59182</v>
      </c>
      <c r="D31" s="61">
        <f>FH!B31*1</f>
        <v>59182</v>
      </c>
      <c r="E31">
        <f t="shared" si="3"/>
        <v>29</v>
      </c>
      <c r="F31" s="61">
        <f>IF(FT!A31&lt;&gt;"",FT!A31*10,"")</f>
        <v>3.3717599999999996</v>
      </c>
      <c r="G31" s="61">
        <f>IF(FT!B31&lt;&gt;"",FT!B31*100,"")</f>
        <v>31.630200000000002</v>
      </c>
      <c r="H31" s="61">
        <f t="shared" si="1"/>
        <v>1</v>
      </c>
      <c r="I31" t="str">
        <f>IF(FT!B31&lt;&gt;"",FT!E31,"")</f>
        <v>1 [11.782412]</v>
      </c>
      <c r="J31">
        <f>IF(FT!B31&lt;&gt;"",FT!C31,"")</f>
        <v>11.782400000000001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3.4142399999999999</v>
      </c>
      <c r="G32" s="61">
        <f>IF(FT!B32&lt;&gt;"",FT!B32*100,"")</f>
        <v>31.3079</v>
      </c>
      <c r="H32" s="61">
        <f t="shared" si="1"/>
        <v>1</v>
      </c>
      <c r="I32" t="str">
        <f>IF(FT!B32&lt;&gt;"",FT!E32,"")</f>
        <v>1 [12.185378]</v>
      </c>
      <c r="J32">
        <f>IF(FT!B32&lt;&gt;"",FT!C32,"")</f>
        <v>12.1854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71116</v>
      </c>
      <c r="D33" s="61">
        <f>FH!B33*1</f>
        <v>71116</v>
      </c>
      <c r="E33">
        <f t="shared" si="3"/>
        <v>31</v>
      </c>
      <c r="F33" s="61">
        <f>IF(FT!A33&lt;&gt;"",FT!A33*10,"")</f>
        <v>3.4537</v>
      </c>
      <c r="G33" s="61">
        <f>IF(FT!B33&lt;&gt;"",FT!B33*100,"")</f>
        <v>31.102699999999999</v>
      </c>
      <c r="H33" s="61">
        <f t="shared" si="1"/>
        <v>1</v>
      </c>
      <c r="I33" t="str">
        <f>IF(FT!B33&lt;&gt;"",FT!E33,"")</f>
        <v>1 [12.597165]</v>
      </c>
      <c r="J33">
        <f>IF(FT!B33&lt;&gt;"",FT!C33,"")</f>
        <v>12.597200000000001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3.4906600000000001</v>
      </c>
      <c r="G34" s="61">
        <f>IF(FT!B34&lt;&gt;"",FT!B34*100,"")</f>
        <v>30.957099999999997</v>
      </c>
      <c r="H34" s="61">
        <f t="shared" si="1"/>
        <v>1</v>
      </c>
      <c r="I34" t="str">
        <f>IF(FT!B34&lt;&gt;"",FT!E34,"")</f>
        <v>1 [12.999152]</v>
      </c>
      <c r="J34">
        <f>IF(FT!B34&lt;&gt;"",FT!C34,"")</f>
        <v>12.9992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3.5241699999999998</v>
      </c>
      <c r="G35" s="61">
        <f>IF(FT!B35&lt;&gt;"",FT!B35*100,"")</f>
        <v>30.880299999999998</v>
      </c>
      <c r="H35" s="61">
        <f t="shared" si="1"/>
        <v>1</v>
      </c>
      <c r="I35" t="str">
        <f>IF(FT!B35&lt;&gt;"",FT!E35,"")</f>
        <v>1 [13.400836]</v>
      </c>
      <c r="J35">
        <f>IF(FT!B35&lt;&gt;"",FT!C35,"")</f>
        <v>13.4008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91982</v>
      </c>
      <c r="D36" s="61">
        <f>FH!B36*1</f>
        <v>91982</v>
      </c>
      <c r="E36">
        <f t="shared" si="3"/>
        <v>34</v>
      </c>
      <c r="F36" s="61">
        <f>IF(FT!A36&lt;&gt;"",FT!A36*10,"")</f>
        <v>3.5569099999999998</v>
      </c>
      <c r="G36" s="61">
        <f>IF(FT!B36&lt;&gt;"",FT!B36*100,"")</f>
        <v>30.8232</v>
      </c>
      <c r="H36" s="61">
        <f t="shared" si="1"/>
        <v>1</v>
      </c>
      <c r="I36" t="str">
        <f>IF(FT!B36&lt;&gt;"",FT!E36,"")</f>
        <v>1 [13.808944]</v>
      </c>
      <c r="J36">
        <f>IF(FT!B36&lt;&gt;"",FT!C36,"")</f>
        <v>13.8089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3.5875600000000003</v>
      </c>
      <c r="G37" s="61">
        <f>IF(FT!B37&lt;&gt;"",FT!B37*100,"")</f>
        <v>30.847999999999999</v>
      </c>
      <c r="H37" s="61">
        <f t="shared" si="1"/>
        <v>1</v>
      </c>
      <c r="I37" t="str">
        <f>IF(FT!B37&lt;&gt;"",FT!E37,"")</f>
        <v>1 [14.216973]</v>
      </c>
      <c r="J37">
        <f>IF(FT!B37&lt;&gt;"",FT!C37,"")</f>
        <v>14.217000000000001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3.6155900000000001</v>
      </c>
      <c r="G38" s="61">
        <f>IF(FT!B38&lt;&gt;"",FT!B38*100,"")</f>
        <v>30.9848</v>
      </c>
      <c r="H38" s="61">
        <f t="shared" si="1"/>
        <v>1</v>
      </c>
      <c r="I38" t="str">
        <f>IF(FT!B38&lt;&gt;"",FT!E38,"")</f>
        <v>1 [14.625757]</v>
      </c>
      <c r="J38">
        <f>IF(FT!B38&lt;&gt;"",FT!C38,"")</f>
        <v>14.6258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92825</v>
      </c>
      <c r="D39" s="61">
        <f>FH!B39*1</f>
        <v>92825</v>
      </c>
      <c r="E39">
        <f t="shared" si="3"/>
        <v>37</v>
      </c>
      <c r="F39" s="61">
        <f>IF(FT!A39&lt;&gt;"",FT!A39*10,"")</f>
        <v>3.6439700000000004</v>
      </c>
      <c r="G39" s="61">
        <f>IF(FT!B39&lt;&gt;"",FT!B39*100,"")</f>
        <v>31.125900000000001</v>
      </c>
      <c r="H39" s="61">
        <f t="shared" si="1"/>
        <v>1</v>
      </c>
      <c r="I39" t="str">
        <f>IF(FT!B39&lt;&gt;"",FT!E39,"")</f>
        <v>1 [15.032797]</v>
      </c>
      <c r="J39">
        <f>IF(FT!B39&lt;&gt;"",FT!C39,"")</f>
        <v>15.0328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3.6704699999999999</v>
      </c>
      <c r="G40" s="61">
        <f>IF(FT!B40&lt;&gt;"",FT!B40*100,"")</f>
        <v>31.279600000000002</v>
      </c>
      <c r="H40" s="61">
        <f t="shared" si="1"/>
        <v>1</v>
      </c>
      <c r="I40" t="str">
        <f>IF(FT!B40&lt;&gt;"",FT!E40,"")</f>
        <v>1 [15.435573]</v>
      </c>
      <c r="J40">
        <f>IF(FT!B40&lt;&gt;"",FT!C40,"")</f>
        <v>15.435600000000001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89676</v>
      </c>
      <c r="D41" s="61">
        <f>FH!B41*1</f>
        <v>89676</v>
      </c>
      <c r="E41">
        <f t="shared" si="3"/>
        <v>39</v>
      </c>
      <c r="F41" s="61">
        <f>IF(FT!A41&lt;&gt;"",FT!A41*10,"")</f>
        <v>3.6934699999999996</v>
      </c>
      <c r="G41" s="61">
        <f>IF(FT!B41&lt;&gt;"",FT!B41*100,"")</f>
        <v>31.442999999999998</v>
      </c>
      <c r="H41" s="61">
        <f t="shared" si="1"/>
        <v>1</v>
      </c>
      <c r="I41" t="str">
        <f>IF(FT!B41&lt;&gt;"",FT!E41,"")</f>
        <v>1 [15.842739]</v>
      </c>
      <c r="J41">
        <f>IF(FT!B41&lt;&gt;"",FT!C41,"")</f>
        <v>15.842700000000001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3.71157</v>
      </c>
      <c r="G42" s="61">
        <f>IF(FT!B42&lt;&gt;"",FT!B42*100,"")</f>
        <v>31.601700000000001</v>
      </c>
      <c r="H42" s="61">
        <f t="shared" si="1"/>
        <v>1</v>
      </c>
      <c r="I42" t="str">
        <f>IF(FT!B42&lt;&gt;"",FT!E42,"")</f>
        <v>1 [16.249490]</v>
      </c>
      <c r="J42">
        <f>IF(FT!B42&lt;&gt;"",FT!C42,"")</f>
        <v>16.249500000000001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3.7270599999999998</v>
      </c>
      <c r="G43" s="61">
        <f>IF(FT!B43&lt;&gt;"",FT!B43*100,"")</f>
        <v>31.776199999999999</v>
      </c>
      <c r="H43" s="61">
        <f t="shared" si="1"/>
        <v>1</v>
      </c>
      <c r="I43" t="str">
        <f>IF(FT!B43&lt;&gt;"",FT!E43,"")</f>
        <v>1 [16.662504]</v>
      </c>
      <c r="J43">
        <f>IF(FT!B43&lt;&gt;"",FT!C43,"")</f>
        <v>16.662500000000001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97139</v>
      </c>
      <c r="D44" s="61">
        <f>FH!B44*1</f>
        <v>97139</v>
      </c>
      <c r="E44">
        <f t="shared" si="3"/>
        <v>42</v>
      </c>
      <c r="F44" s="61">
        <f>IF(FT!A44&lt;&gt;"",FT!A44*10,"")</f>
        <v>3.7406000000000001</v>
      </c>
      <c r="G44" s="61">
        <f>IF(FT!B44&lt;&gt;"",FT!B44*100,"")</f>
        <v>31.923500000000001</v>
      </c>
      <c r="H44" s="61">
        <f t="shared" si="1"/>
        <v>1</v>
      </c>
      <c r="I44" t="str">
        <f>IF(FT!B44&lt;&gt;"",FT!E44,"")</f>
        <v>1 [17.060403]</v>
      </c>
      <c r="J44">
        <f>IF(FT!B44&lt;&gt;"",FT!C44,"")</f>
        <v>17.060400000000001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3.7532399999999999</v>
      </c>
      <c r="G45" s="61">
        <f>IF(FT!B45&lt;&gt;"",FT!B45*100,"")</f>
        <v>32.051499999999997</v>
      </c>
      <c r="H45" s="61">
        <f t="shared" si="1"/>
        <v>1</v>
      </c>
      <c r="I45" t="str">
        <f>IF(FT!B45&lt;&gt;"",FT!E45,"")</f>
        <v>1 [17.467140]</v>
      </c>
      <c r="J45">
        <f>IF(FT!B45&lt;&gt;"",FT!C45,"")</f>
        <v>17.467099999999999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112130</v>
      </c>
      <c r="D46" s="61">
        <f>FH!B46*1</f>
        <v>112130</v>
      </c>
      <c r="E46">
        <f t="shared" si="3"/>
        <v>44</v>
      </c>
      <c r="F46" s="61">
        <f>IF(FT!A46&lt;&gt;"",FT!A46*10,"")</f>
        <v>3.76579</v>
      </c>
      <c r="G46" s="61">
        <f>IF(FT!B46&lt;&gt;"",FT!B46*100,"")</f>
        <v>32.176300000000005</v>
      </c>
      <c r="H46" s="61">
        <f t="shared" si="1"/>
        <v>1</v>
      </c>
      <c r="I46" t="str">
        <f>IF(FT!B46&lt;&gt;"",FT!E46,"")</f>
        <v>1 [17.871110]</v>
      </c>
      <c r="J46">
        <f>IF(FT!B46&lt;&gt;"",FT!C46,"")</f>
        <v>17.871099999999998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3.7773000000000003</v>
      </c>
      <c r="G47" s="61">
        <f>IF(FT!B47&lt;&gt;"",FT!B47*100,"")</f>
        <v>32.290500000000002</v>
      </c>
      <c r="H47" s="61">
        <f t="shared" si="1"/>
        <v>1</v>
      </c>
      <c r="I47" t="str">
        <f>IF(FT!B47&lt;&gt;"",FT!E47,"")</f>
        <v>1 [18.277083]</v>
      </c>
      <c r="J47">
        <f>IF(FT!B47&lt;&gt;"",FT!C47,"")</f>
        <v>18.277100000000001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3.7876799999999999</v>
      </c>
      <c r="G48" s="61">
        <f>IF(FT!B48&lt;&gt;"",FT!B48*100,"")</f>
        <v>32.436999999999998</v>
      </c>
      <c r="H48" s="61">
        <f t="shared" si="1"/>
        <v>1</v>
      </c>
      <c r="I48" t="str">
        <f>IF(FT!B48&lt;&gt;"",FT!E48,"")</f>
        <v>1 [18.687906]</v>
      </c>
      <c r="J48">
        <f>IF(FT!B48&lt;&gt;"",FT!C48,"")</f>
        <v>18.687899999999999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135812</v>
      </c>
      <c r="D49" s="61">
        <f>FH!B49*1</f>
        <v>135812</v>
      </c>
      <c r="E49">
        <f t="shared" si="3"/>
        <v>47</v>
      </c>
      <c r="F49" s="61">
        <f>IF(FT!A49&lt;&gt;"",FT!A49*10,"")</f>
        <v>3.7953599999999996</v>
      </c>
      <c r="G49" s="61">
        <f>IF(FT!B49&lt;&gt;"",FT!B49*100,"")</f>
        <v>32.661000000000001</v>
      </c>
      <c r="H49" s="61">
        <f t="shared" si="1"/>
        <v>1</v>
      </c>
      <c r="I49" t="str">
        <f>IF(FT!B49&lt;&gt;"",FT!E49,"")</f>
        <v>1 [19.090881]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3.8039399999999999</v>
      </c>
      <c r="G50" s="61">
        <f>IF(FT!B50&lt;&gt;"",FT!B50*100,"")</f>
        <v>32.930700000000002</v>
      </c>
      <c r="H50" s="61">
        <f t="shared" si="1"/>
        <v>1</v>
      </c>
      <c r="I50" t="str">
        <f>IF(FT!B50&lt;&gt;"",FT!E50,"")</f>
        <v>1 [19.497851]</v>
      </c>
      <c r="J50">
        <f>IF(FT!B50&lt;&gt;"",FT!C50,"")</f>
        <v>19.497900000000001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139350</v>
      </c>
      <c r="D51" s="61">
        <f>FH!B51*1</f>
        <v>139350</v>
      </c>
      <c r="E51">
        <f t="shared" si="3"/>
        <v>49</v>
      </c>
      <c r="F51" s="61">
        <f>IF(FT!A51&lt;&gt;"",FT!A51*10,"")</f>
        <v>3.8124899999999999</v>
      </c>
      <c r="G51" s="61">
        <f>IF(FT!B51&lt;&gt;"",FT!B51*100,"")</f>
        <v>33.255600000000001</v>
      </c>
      <c r="H51" s="61">
        <f t="shared" si="1"/>
        <v>1</v>
      </c>
      <c r="I51" t="str">
        <f>IF(FT!B51&lt;&gt;"",FT!E51,"")</f>
        <v>1 [19.905670]</v>
      </c>
      <c r="J51">
        <f>IF(FT!B51&lt;&gt;"",FT!C51,"")</f>
        <v>19.9057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3.8181599999999998</v>
      </c>
      <c r="G52" s="61">
        <f>IF(FT!B52&lt;&gt;"",FT!B52*100,"")</f>
        <v>33.523399999999995</v>
      </c>
      <c r="H52" s="61">
        <f t="shared" si="1"/>
        <v>1</v>
      </c>
      <c r="I52" t="str">
        <f>IF(FT!B52&lt;&gt;"",FT!E52,"")</f>
        <v>1 [20.308121]</v>
      </c>
      <c r="J52">
        <f>IF(FT!B52&lt;&gt;"",FT!C52,"")</f>
        <v>20.3081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3.8226800000000001</v>
      </c>
      <c r="G53" s="61">
        <f>IF(FT!B53&lt;&gt;"",FT!B53*100,"")</f>
        <v>33.900700000000001</v>
      </c>
      <c r="H53" s="61">
        <f t="shared" si="1"/>
        <v>1</v>
      </c>
      <c r="I53" t="str">
        <f>IF(FT!B53&lt;&gt;"",FT!E53,"")</f>
        <v>1 [20.717511]</v>
      </c>
      <c r="J53">
        <f>IF(FT!B53&lt;&gt;"",FT!C53,"")</f>
        <v>20.717500000000001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146954</v>
      </c>
      <c r="D54" s="61">
        <f>FH!B54*1</f>
        <v>146954</v>
      </c>
      <c r="E54">
        <f t="shared" si="3"/>
        <v>52</v>
      </c>
      <c r="F54" s="61">
        <f>IF(FT!A54&lt;&gt;"",FT!A54*10,"")</f>
        <v>3.8280099999999999</v>
      </c>
      <c r="G54" s="61">
        <f>IF(FT!B54&lt;&gt;"",FT!B54*100,"")</f>
        <v>34.235399999999998</v>
      </c>
      <c r="H54" s="61">
        <f t="shared" si="1"/>
        <v>1</v>
      </c>
      <c r="I54" t="str">
        <f>IF(FT!B54&lt;&gt;"",FT!E54,"")</f>
        <v>1 [21.124561]</v>
      </c>
      <c r="J54">
        <f>IF(FT!B54&lt;&gt;"",FT!C54,"")</f>
        <v>21.124600000000001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3.8332600000000001</v>
      </c>
      <c r="G55" s="61">
        <f>IF(FT!B55&lt;&gt;"",FT!B55*100,"")</f>
        <v>34.5593</v>
      </c>
      <c r="H55" s="61">
        <f t="shared" si="1"/>
        <v>1</v>
      </c>
      <c r="I55" t="str">
        <f>IF(FT!B55&lt;&gt;"",FT!E55,"")</f>
        <v>1 [21.530423]</v>
      </c>
      <c r="J55">
        <f>IF(FT!B55&lt;&gt;"",FT!C55,"")</f>
        <v>21.5304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3.8385599999999998</v>
      </c>
      <c r="G56" s="61">
        <f>IF(FT!B56&lt;&gt;"",FT!B56*100,"")</f>
        <v>34.873199999999997</v>
      </c>
      <c r="H56" s="61">
        <f t="shared" si="1"/>
        <v>1</v>
      </c>
      <c r="I56" t="str">
        <f>IF(FT!B56&lt;&gt;"",FT!E56,"")</f>
        <v>1 [21.937288]</v>
      </c>
      <c r="J56">
        <f>IF(FT!B56&lt;&gt;"",FT!C56,"")</f>
        <v>21.9373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148007</v>
      </c>
      <c r="D57" s="61">
        <f>FH!B57*1</f>
        <v>148007</v>
      </c>
      <c r="E57">
        <f t="shared" si="3"/>
        <v>55</v>
      </c>
      <c r="F57" s="61">
        <f>IF(FT!A57&lt;&gt;"",FT!A57*10,"")</f>
        <v>3.8481500000000004</v>
      </c>
      <c r="G57" s="61">
        <f>IF(FT!B57&lt;&gt;"",FT!B57*100,"")</f>
        <v>35.200900000000004</v>
      </c>
      <c r="H57" s="61">
        <f t="shared" si="1"/>
        <v>1</v>
      </c>
      <c r="I57" t="str">
        <f>IF(FT!B57&lt;&gt;"",FT!E57,"")</f>
        <v>1 [22.345295]</v>
      </c>
      <c r="J57">
        <f>IF(FT!B57&lt;&gt;"",FT!C57,"")</f>
        <v>22.345300000000002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3.8591100000000003</v>
      </c>
      <c r="G58" s="61">
        <f>IF(FT!B58&lt;&gt;"",FT!B58*100,"")</f>
        <v>35.394300000000001</v>
      </c>
      <c r="H58" s="61">
        <f t="shared" si="1"/>
        <v>1</v>
      </c>
      <c r="I58" t="str">
        <f>IF(FT!B58&lt;&gt;"",FT!E58,"")</f>
        <v>1 [22.749140]</v>
      </c>
      <c r="J58">
        <f>IF(FT!B58&lt;&gt;"",FT!C58,"")</f>
        <v>22.749099999999999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152060</v>
      </c>
      <c r="D59" s="61">
        <f>FH!B59*1</f>
        <v>152060</v>
      </c>
      <c r="E59">
        <f t="shared" si="3"/>
        <v>57</v>
      </c>
      <c r="F59" s="61">
        <f>IF(FT!A59&lt;&gt;"",FT!A59*10,"")</f>
        <v>3.8666099999999997</v>
      </c>
      <c r="G59" s="61">
        <f>IF(FT!B59&lt;&gt;"",FT!B59*100,"")</f>
        <v>35.577199999999998</v>
      </c>
      <c r="H59" s="61">
        <f t="shared" si="1"/>
        <v>1</v>
      </c>
      <c r="I59" t="str">
        <f>IF(FT!B59&lt;&gt;"",FT!E59,"")</f>
        <v>1 [23.155060]</v>
      </c>
      <c r="J59">
        <f>IF(FT!B59&lt;&gt;"",FT!C59,"")</f>
        <v>23.155100000000001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3.8848400000000001</v>
      </c>
      <c r="G60" s="61">
        <f>IF(FT!B60&lt;&gt;"",FT!B60*100,"")</f>
        <v>35.778100000000002</v>
      </c>
      <c r="H60" s="61">
        <f t="shared" si="1"/>
        <v>1</v>
      </c>
      <c r="I60" t="str">
        <f>IF(FT!B60&lt;&gt;"",FT!E60,"")</f>
        <v>1 [23.561035]</v>
      </c>
      <c r="J60">
        <f>IF(FT!B60&lt;&gt;"",FT!C60,"")</f>
        <v>23.561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3.8929900000000002</v>
      </c>
      <c r="G61" s="61">
        <f>IF(FT!B61&lt;&gt;"",FT!B61*100,"")</f>
        <v>35.968499999999999</v>
      </c>
      <c r="H61" s="61">
        <f t="shared" si="1"/>
        <v>1</v>
      </c>
      <c r="I61" t="str">
        <f>IF(FT!B61&lt;&gt;"",FT!E61,"")</f>
        <v>1 [23.968833]</v>
      </c>
      <c r="J61">
        <f>IF(FT!B61&lt;&gt;"",FT!C61,"")</f>
        <v>23.968800000000002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152109</v>
      </c>
      <c r="D62" s="61">
        <f>FH!B62*1</f>
        <v>152109</v>
      </c>
      <c r="E62">
        <f t="shared" si="3"/>
        <v>60</v>
      </c>
      <c r="F62" s="61">
        <f>IF(FT!A62&lt;&gt;"",FT!A62*10,"")</f>
        <v>3.9111400000000001</v>
      </c>
      <c r="G62" s="61">
        <f>IF(FT!B62&lt;&gt;"",FT!B62*100,"")</f>
        <v>36.118200000000002</v>
      </c>
      <c r="H62" s="61">
        <f t="shared" si="1"/>
        <v>1</v>
      </c>
      <c r="I62" t="str">
        <f>IF(FT!B62&lt;&gt;"",FT!E62,"")</f>
        <v>1 [24.375688]</v>
      </c>
      <c r="J62">
        <f>IF(FT!B62&lt;&gt;"",FT!C62,"")</f>
        <v>24.375699999999998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3.9205800000000002</v>
      </c>
      <c r="G63" s="61">
        <f>IF(FT!B63&lt;&gt;"",FT!B63*100,"")</f>
        <v>36.242699999999999</v>
      </c>
      <c r="H63" s="61">
        <f t="shared" si="1"/>
        <v>1</v>
      </c>
      <c r="I63" t="str">
        <f>IF(FT!B63&lt;&gt;"",FT!E63,"")</f>
        <v>1 [24.780677]</v>
      </c>
      <c r="J63">
        <f>IF(FT!B63&lt;&gt;"",FT!C63,"")</f>
        <v>24.7807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170947</v>
      </c>
      <c r="D64" s="61">
        <f>FH!B64*1</f>
        <v>170947</v>
      </c>
      <c r="E64">
        <f t="shared" si="3"/>
        <v>62</v>
      </c>
      <c r="F64" s="61">
        <f>IF(FT!A64&lt;&gt;"",FT!A64*10,"")</f>
        <v>3.9329799999999997</v>
      </c>
      <c r="G64" s="61">
        <f>IF(FT!B64&lt;&gt;"",FT!B64*100,"")</f>
        <v>36.391300000000001</v>
      </c>
      <c r="H64" s="61">
        <f t="shared" si="1"/>
        <v>1</v>
      </c>
      <c r="I64" t="str">
        <f>IF(FT!B64&lt;&gt;"",FT!E64,"")</f>
        <v>1 [25.184521]</v>
      </c>
      <c r="J64">
        <f>IF(FT!B64&lt;&gt;"",FT!C64,"")</f>
        <v>25.1845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3.9434499999999999</v>
      </c>
      <c r="G65" s="61">
        <f>IF(FT!B65&lt;&gt;"",FT!B65*100,"")</f>
        <v>36.585000000000001</v>
      </c>
      <c r="H65" s="61">
        <f t="shared" si="1"/>
        <v>1</v>
      </c>
      <c r="I65" t="str">
        <f>IF(FT!B65&lt;&gt;"",FT!E65,"")</f>
        <v>1 [25.591643]</v>
      </c>
      <c r="J65">
        <f>IF(FT!B65&lt;&gt;"",FT!C65,"")</f>
        <v>25.5916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3.9513799999999999</v>
      </c>
      <c r="G66" s="61">
        <f>IF(FT!B66&lt;&gt;"",FT!B66*100,"")</f>
        <v>36.831299999999999</v>
      </c>
      <c r="H66" s="61">
        <f t="shared" si="1"/>
        <v>1</v>
      </c>
      <c r="I66" t="str">
        <f>IF(FT!B66&lt;&gt;"",FT!E66,"")</f>
        <v>1 [25.998444]</v>
      </c>
      <c r="J66">
        <f>IF(FT!B66&lt;&gt;"",FT!C66,"")</f>
        <v>25.9984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142065</v>
      </c>
      <c r="D67" s="61">
        <f>FH!B67*1</f>
        <v>142065</v>
      </c>
      <c r="E67">
        <f t="shared" si="3"/>
        <v>65</v>
      </c>
      <c r="F67" s="61">
        <f>IF(FT!A67&lt;&gt;"",FT!A67*10,"")</f>
        <v>3.9575800000000001</v>
      </c>
      <c r="G67" s="61">
        <f>IF(FT!B67&lt;&gt;"",FT!B67*100,"")</f>
        <v>37.036799999999999</v>
      </c>
      <c r="H67" s="61">
        <f t="shared" ref="H67:H130" si="9">(IF(F67&lt;&gt;"",1,""))</f>
        <v>1</v>
      </c>
      <c r="I67" t="str">
        <f>IF(FT!B67&lt;&gt;"",FT!E67,"")</f>
        <v>1 [26.402239]</v>
      </c>
      <c r="J67">
        <f>IF(FT!B67&lt;&gt;"",FT!C67,"")</f>
        <v>26.402200000000001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3.9631300000000005</v>
      </c>
      <c r="G68" s="61">
        <f>IF(FT!B68&lt;&gt;"",FT!B68*100,"")</f>
        <v>37.208500000000001</v>
      </c>
      <c r="H68" s="61">
        <f t="shared" si="9"/>
        <v>1</v>
      </c>
      <c r="I68" t="str">
        <f>IF(FT!B68&lt;&gt;"",FT!E68,"")</f>
        <v>1 [26.809477]</v>
      </c>
      <c r="J68">
        <f>IF(FT!B68&lt;&gt;"",FT!C68,"")</f>
        <v>26.8095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145995</v>
      </c>
      <c r="D69" s="61">
        <f>FH!B69*1</f>
        <v>145995</v>
      </c>
      <c r="E69">
        <f t="shared" si="11"/>
        <v>67</v>
      </c>
      <c r="F69" s="61">
        <f>IF(FT!A69&lt;&gt;"",FT!A69*10,"")</f>
        <v>3.9648699999999999</v>
      </c>
      <c r="G69" s="61">
        <f>IF(FT!B69&lt;&gt;"",FT!B69*100,"")</f>
        <v>37.363600000000005</v>
      </c>
      <c r="H69" s="61">
        <f t="shared" si="9"/>
        <v>1</v>
      </c>
      <c r="I69" t="str">
        <f>IF(FT!B69&lt;&gt;"",FT!E69,"")</f>
        <v>1 [27.215939]</v>
      </c>
      <c r="J69">
        <f>IF(FT!B69&lt;&gt;"",FT!C69,"")</f>
        <v>27.215900000000001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3.9643800000000002</v>
      </c>
      <c r="G70" s="61">
        <f>IF(FT!B70&lt;&gt;"",FT!B70*100,"")</f>
        <v>37.525300000000001</v>
      </c>
      <c r="H70" s="61">
        <f t="shared" si="9"/>
        <v>1</v>
      </c>
      <c r="I70" t="str">
        <f>IF(FT!B70&lt;&gt;"",FT!E70,"")</f>
        <v>1 [27.620850]</v>
      </c>
      <c r="J70">
        <f>IF(FT!B70&lt;&gt;"",FT!C70,"")</f>
        <v>27.620799999999999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3.9617300000000002</v>
      </c>
      <c r="G71" s="61">
        <f>IF(FT!B71&lt;&gt;"",FT!B71*100,"")</f>
        <v>37.661899999999996</v>
      </c>
      <c r="H71" s="61">
        <f t="shared" si="9"/>
        <v>1</v>
      </c>
      <c r="I71" t="str">
        <f>IF(FT!B71&lt;&gt;"",FT!E71,"")</f>
        <v>1 [28.028984]</v>
      </c>
      <c r="J71">
        <f>IF(FT!B71&lt;&gt;"",FT!C71,"")</f>
        <v>28.029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152118</v>
      </c>
      <c r="D72" s="61">
        <f>FH!B72*1</f>
        <v>152118</v>
      </c>
      <c r="E72">
        <f t="shared" si="11"/>
        <v>70</v>
      </c>
      <c r="F72" s="61">
        <f>IF(FT!A72&lt;&gt;"",FT!A72*10,"")</f>
        <v>3.9507300000000001</v>
      </c>
      <c r="G72" s="61">
        <f>IF(FT!B72&lt;&gt;"",FT!B72*100,"")</f>
        <v>37.734699999999997</v>
      </c>
      <c r="H72" s="61">
        <f t="shared" si="9"/>
        <v>1</v>
      </c>
      <c r="I72" t="str">
        <f>IF(FT!B72&lt;&gt;"",FT!E72,"")</f>
        <v>1 [28.435866]</v>
      </c>
      <c r="J72">
        <f>IF(FT!B72&lt;&gt;"",FT!C72,"")</f>
        <v>28.4359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3.94868</v>
      </c>
      <c r="G73" s="61">
        <f>IF(FT!B73&lt;&gt;"",FT!B73*100,"")</f>
        <v>37.768099999999997</v>
      </c>
      <c r="H73" s="61">
        <f t="shared" si="9"/>
        <v>1</v>
      </c>
      <c r="I73" t="str">
        <f>IF(FT!B73&lt;&gt;"",FT!E73,"")</f>
        <v>1 [28.843143]</v>
      </c>
      <c r="J73">
        <f>IF(FT!B73&lt;&gt;"",FT!C73,"")</f>
        <v>28.8431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3.9341699999999999</v>
      </c>
      <c r="G74" s="61">
        <f>IF(FT!B74&lt;&gt;"",FT!B74*100,"")</f>
        <v>37.696300000000001</v>
      </c>
      <c r="H74" s="61">
        <f t="shared" si="9"/>
        <v>1</v>
      </c>
      <c r="I74" t="str">
        <f>IF(FT!B74&lt;&gt;"",FT!E74,"")</f>
        <v>1 [29.252757]</v>
      </c>
      <c r="J74">
        <f>IF(FT!B74&lt;&gt;"",FT!C74,"")</f>
        <v>29.252800000000001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157793</v>
      </c>
      <c r="D75" s="61">
        <f>FH!B75*1</f>
        <v>157793</v>
      </c>
      <c r="E75">
        <f t="shared" si="11"/>
        <v>73</v>
      </c>
      <c r="F75" s="61">
        <f>IF(FT!A75&lt;&gt;"",FT!A75*10,"")</f>
        <v>3.9231700000000003</v>
      </c>
      <c r="G75" s="61">
        <f>IF(FT!B75&lt;&gt;"",FT!B75*100,"")</f>
        <v>37.663699999999999</v>
      </c>
      <c r="H75" s="61">
        <f t="shared" si="9"/>
        <v>1</v>
      </c>
      <c r="I75" t="str">
        <f>IF(FT!B75&lt;&gt;"",FT!E75,"")</f>
        <v>1 [29.659913]</v>
      </c>
      <c r="J75">
        <f>IF(FT!B75&lt;&gt;"",FT!C75,"")</f>
        <v>29.6599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3.9187899999999996</v>
      </c>
      <c r="G76" s="61">
        <f>IF(FT!B76&lt;&gt;"",FT!B76*100,"")</f>
        <v>37.618699999999997</v>
      </c>
      <c r="H76" s="61">
        <f t="shared" si="9"/>
        <v>1</v>
      </c>
      <c r="I76" t="str">
        <f>IF(FT!B76&lt;&gt;"",FT!E76,"")</f>
        <v>1 [30.062595]</v>
      </c>
      <c r="J76">
        <f>IF(FT!B76&lt;&gt;"",FT!C76,"")</f>
        <v>30.0626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164523</v>
      </c>
      <c r="D77" s="61">
        <f>FH!B77*1</f>
        <v>164523</v>
      </c>
      <c r="E77">
        <f t="shared" si="11"/>
        <v>75</v>
      </c>
      <c r="F77" s="61">
        <f>IF(FT!A77&lt;&gt;"",FT!A77*10,"")</f>
        <v>3.8980999999999999</v>
      </c>
      <c r="G77" s="61">
        <f>IF(FT!B77&lt;&gt;"",FT!B77*100,"")</f>
        <v>37.525700000000001</v>
      </c>
      <c r="H77" s="61">
        <f t="shared" si="9"/>
        <v>1</v>
      </c>
      <c r="I77" t="str">
        <f>IF(FT!B77&lt;&gt;"",FT!E77,"")</f>
        <v>2 [30.579193]</v>
      </c>
      <c r="J77">
        <f>IF(FT!B77&lt;&gt;"",FT!C77,"")</f>
        <v>30.5792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3.88306</v>
      </c>
      <c r="G78" s="61">
        <f>IF(FT!B78&lt;&gt;"",FT!B78*100,"")</f>
        <v>37.432000000000002</v>
      </c>
      <c r="H78" s="61">
        <f t="shared" si="9"/>
        <v>1</v>
      </c>
      <c r="I78" t="str">
        <f>IF(FT!B78&lt;&gt;"",FT!E78,"")</f>
        <v>2 [30.954158]</v>
      </c>
      <c r="J78">
        <f>IF(FT!B78&lt;&gt;"",FT!C78,"")</f>
        <v>30.9542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3.8604899999999995</v>
      </c>
      <c r="G79" s="61">
        <f>IF(FT!B79&lt;&gt;"",FT!B79*100,"")</f>
        <v>37.320799999999998</v>
      </c>
      <c r="H79" s="61">
        <f t="shared" si="9"/>
        <v>1</v>
      </c>
      <c r="I79" t="str">
        <f>IF(FT!B79&lt;&gt;"",FT!E79,"")</f>
        <v>2 [31.345089]</v>
      </c>
      <c r="J79">
        <f>IF(FT!B79&lt;&gt;"",FT!C79,"")</f>
        <v>31.345099999999999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173529</v>
      </c>
      <c r="D80" s="61">
        <f>FH!B80*1</f>
        <v>173529</v>
      </c>
      <c r="E80">
        <f t="shared" si="11"/>
        <v>78</v>
      </c>
      <c r="F80" s="61">
        <f>IF(FT!A80&lt;&gt;"",FT!A80*10,"")</f>
        <v>3.8341399999999997</v>
      </c>
      <c r="G80" s="61">
        <f>IF(FT!B80&lt;&gt;"",FT!B80*100,"")</f>
        <v>37.229600000000005</v>
      </c>
      <c r="H80" s="61">
        <f t="shared" si="9"/>
        <v>1</v>
      </c>
      <c r="I80" t="str">
        <f>IF(FT!B80&lt;&gt;"",FT!E80,"")</f>
        <v>2 [31.750032]</v>
      </c>
      <c r="J80">
        <f>IF(FT!B80&lt;&gt;"",FT!C80,"")</f>
        <v>31.75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3.8033399999999999</v>
      </c>
      <c r="G81" s="61">
        <f>IF(FT!B81&lt;&gt;"",FT!B81*100,"")</f>
        <v>37.111400000000003</v>
      </c>
      <c r="H81" s="61">
        <f t="shared" si="9"/>
        <v>1</v>
      </c>
      <c r="I81" t="str">
        <f>IF(FT!B81&lt;&gt;"",FT!E81,"")</f>
        <v>2 [32.135078]</v>
      </c>
      <c r="J81">
        <f>IF(FT!B81&lt;&gt;"",FT!C81,"")</f>
        <v>32.135100000000001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163917</v>
      </c>
      <c r="D82" s="61">
        <f>FH!B82*1</f>
        <v>163917</v>
      </c>
      <c r="E82">
        <f t="shared" si="11"/>
        <v>80</v>
      </c>
      <c r="F82" s="61">
        <f>IF(FT!A82&lt;&gt;"",FT!A82*10,"")</f>
        <v>3.7676400000000001</v>
      </c>
      <c r="G82" s="61">
        <f>IF(FT!B82&lt;&gt;"",FT!B82*100,"")</f>
        <v>36.9542</v>
      </c>
      <c r="H82" s="61">
        <f t="shared" si="9"/>
        <v>1</v>
      </c>
      <c r="I82" t="str">
        <f>IF(FT!B82&lt;&gt;"",FT!E82,"")</f>
        <v>2 [32.543388]</v>
      </c>
      <c r="J82">
        <f>IF(FT!B82&lt;&gt;"",FT!C82,"")</f>
        <v>32.543399999999998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3.7263800000000002</v>
      </c>
      <c r="G83" s="61">
        <f>IF(FT!B83&lt;&gt;"",FT!B83*100,"")</f>
        <v>36.863600000000005</v>
      </c>
      <c r="H83" s="61">
        <f t="shared" si="9"/>
        <v>1</v>
      </c>
      <c r="I83" t="str">
        <f>IF(FT!B83&lt;&gt;"",FT!E83,"")</f>
        <v>2 [32.950165]</v>
      </c>
      <c r="J83">
        <f>IF(FT!B83&lt;&gt;"",FT!C83,"")</f>
        <v>32.950200000000002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3.6825600000000005</v>
      </c>
      <c r="G84" s="61">
        <f>IF(FT!B84&lt;&gt;"",FT!B84*100,"")</f>
        <v>36.846699999999998</v>
      </c>
      <c r="H84" s="61">
        <f t="shared" si="9"/>
        <v>1</v>
      </c>
      <c r="I84" t="str">
        <f>IF(FT!B84&lt;&gt;"",FT!E84,"")</f>
        <v>2 [33.357727]</v>
      </c>
      <c r="J84">
        <f>IF(FT!B84&lt;&gt;"",FT!C84,"")</f>
        <v>33.357700000000001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162023</v>
      </c>
      <c r="D85" s="61">
        <f>FH!B85*1</f>
        <v>162023</v>
      </c>
      <c r="E85">
        <f t="shared" si="11"/>
        <v>83</v>
      </c>
      <c r="F85" s="61">
        <f>IF(FT!A85&lt;&gt;"",FT!A85*10,"")</f>
        <v>3.6357400000000002</v>
      </c>
      <c r="G85" s="61">
        <f>IF(FT!B85&lt;&gt;"",FT!B85*100,"")</f>
        <v>36.855600000000003</v>
      </c>
      <c r="H85" s="61">
        <f t="shared" si="9"/>
        <v>1</v>
      </c>
      <c r="I85" t="str">
        <f>IF(FT!B85&lt;&gt;"",FT!E85,"")</f>
        <v>2 [33.766638]</v>
      </c>
      <c r="J85">
        <f>IF(FT!B85&lt;&gt;"",FT!C85,"")</f>
        <v>33.766599999999997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3.5837699999999999</v>
      </c>
      <c r="G86" s="61">
        <f>IF(FT!B86&lt;&gt;"",FT!B86*100,"")</f>
        <v>36.927</v>
      </c>
      <c r="H86" s="61">
        <f t="shared" si="9"/>
        <v>1</v>
      </c>
      <c r="I86" t="str">
        <f>IF(FT!B86&lt;&gt;"",FT!E86,"")</f>
        <v>2 [34.167602]</v>
      </c>
      <c r="J86">
        <f>IF(FT!B86&lt;&gt;"",FT!C86,"")</f>
        <v>34.1676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3.5299399999999999</v>
      </c>
      <c r="G87" s="61">
        <f>IF(FT!B87&lt;&gt;"",FT!B87*100,"")</f>
        <v>37.047600000000003</v>
      </c>
      <c r="H87" s="61">
        <f t="shared" si="9"/>
        <v>1</v>
      </c>
      <c r="I87" t="str">
        <f>IF(FT!B87&lt;&gt;"",FT!E87,"")</f>
        <v>2 [34.577468]</v>
      </c>
      <c r="J87">
        <f>IF(FT!B87&lt;&gt;"",FT!C87,"")</f>
        <v>34.577500000000001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164693</v>
      </c>
      <c r="D88" s="61">
        <f>FH!B88*1</f>
        <v>164693</v>
      </c>
      <c r="E88">
        <f t="shared" si="11"/>
        <v>86</v>
      </c>
      <c r="F88" s="61">
        <f>IF(FT!A88&lt;&gt;"",FT!A88*10,"")</f>
        <v>3.4747899999999996</v>
      </c>
      <c r="G88" s="61">
        <f>IF(FT!B88&lt;&gt;"",FT!B88*100,"")</f>
        <v>37.274700000000003</v>
      </c>
      <c r="H88" s="61">
        <f t="shared" si="9"/>
        <v>1</v>
      </c>
      <c r="I88" t="str">
        <f>IF(FT!B88&lt;&gt;"",FT!E88,"")</f>
        <v>2 [34.980390]</v>
      </c>
      <c r="J88">
        <f>IF(FT!B88&lt;&gt;"",FT!C88,"")</f>
        <v>34.980400000000003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3.4179300000000001</v>
      </c>
      <c r="G89" s="61">
        <f>IF(FT!B89&lt;&gt;"",FT!B89*100,"")</f>
        <v>37.582900000000002</v>
      </c>
      <c r="H89" s="61">
        <f t="shared" si="9"/>
        <v>1</v>
      </c>
      <c r="I89" t="str">
        <f>IF(FT!B89&lt;&gt;"",FT!E89,"")</f>
        <v>2 [35.387358]</v>
      </c>
      <c r="J89">
        <f>IF(FT!B89&lt;&gt;"",FT!C89,"")</f>
        <v>35.3874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158241</v>
      </c>
      <c r="D90" s="61">
        <f>FH!B90*1</f>
        <v>158241</v>
      </c>
      <c r="E90">
        <f t="shared" si="11"/>
        <v>88</v>
      </c>
      <c r="F90" s="61">
        <f>IF(FT!A90&lt;&gt;"",FT!A90*10,"")</f>
        <v>3.3662900000000002</v>
      </c>
      <c r="G90" s="61">
        <f>IF(FT!B90&lt;&gt;"",FT!B90*100,"")</f>
        <v>37.811499999999995</v>
      </c>
      <c r="H90" s="61">
        <f t="shared" si="9"/>
        <v>1</v>
      </c>
      <c r="I90" t="str">
        <f>IF(FT!B90&lt;&gt;"",FT!E90,"")</f>
        <v>2 [35.797177]</v>
      </c>
      <c r="J90">
        <f>IF(FT!B90&lt;&gt;"",FT!C90,"")</f>
        <v>35.797199999999997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3.3217000000000003</v>
      </c>
      <c r="G91" s="61">
        <f>IF(FT!B91&lt;&gt;"",FT!B91*100,"")</f>
        <v>38.032700000000006</v>
      </c>
      <c r="H91" s="61">
        <f t="shared" si="9"/>
        <v>1</v>
      </c>
      <c r="I91" t="str">
        <f>IF(FT!B91&lt;&gt;"",FT!E91,"")</f>
        <v>2 [36.204049]</v>
      </c>
      <c r="J91">
        <f>IF(FT!B91&lt;&gt;"",FT!C91,"")</f>
        <v>36.204000000000001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3.2810499999999996</v>
      </c>
      <c r="G92" s="61">
        <f>IF(FT!B92&lt;&gt;"",FT!B92*100,"")</f>
        <v>38.294800000000002</v>
      </c>
      <c r="H92" s="61">
        <f t="shared" si="9"/>
        <v>1</v>
      </c>
      <c r="I92" t="str">
        <f>IF(FT!B92&lt;&gt;"",FT!E92,"")</f>
        <v>2 [36.608013]</v>
      </c>
      <c r="J92">
        <f>IF(FT!B92&lt;&gt;"",FT!C92,"")</f>
        <v>36.607999999999997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161964</v>
      </c>
      <c r="D93" s="61">
        <f>FH!B93*1</f>
        <v>161964</v>
      </c>
      <c r="E93">
        <f t="shared" si="11"/>
        <v>91</v>
      </c>
      <c r="F93" s="61">
        <f>IF(FT!A93&lt;&gt;"",FT!A93*10,"")</f>
        <v>3.2445900000000001</v>
      </c>
      <c r="G93" s="61">
        <f>IF(FT!B93&lt;&gt;"",FT!B93*100,"")</f>
        <v>38.6113</v>
      </c>
      <c r="H93" s="61">
        <f t="shared" si="9"/>
        <v>1</v>
      </c>
      <c r="I93" t="str">
        <f>IF(FT!B93&lt;&gt;"",FT!E93,"")</f>
        <v>2 [37.009479]</v>
      </c>
      <c r="J93">
        <f>IF(FT!B93&lt;&gt;"",FT!C93,"")</f>
        <v>37.009500000000003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3.2135699999999998</v>
      </c>
      <c r="G94" s="61">
        <f>IF(FT!B94&lt;&gt;"",FT!B94*100,"")</f>
        <v>38.906400000000005</v>
      </c>
      <c r="H94" s="61">
        <f t="shared" si="9"/>
        <v>1</v>
      </c>
      <c r="I94" t="str">
        <f>IF(FT!B94&lt;&gt;"",FT!E94,"")</f>
        <v>2 [37.417971]</v>
      </c>
      <c r="J94">
        <f>IF(FT!B94&lt;&gt;"",FT!C94,"")</f>
        <v>37.417999999999999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147573</v>
      </c>
      <c r="D95" s="61">
        <f>FH!B95*1</f>
        <v>147573</v>
      </c>
      <c r="E95">
        <f t="shared" si="11"/>
        <v>93</v>
      </c>
      <c r="F95" s="61">
        <f>IF(FT!A95&lt;&gt;"",FT!A95*10,"")</f>
        <v>3.1882700000000002</v>
      </c>
      <c r="G95" s="61">
        <f>IF(FT!B95&lt;&gt;"",FT!B95*100,"")</f>
        <v>39.171900000000001</v>
      </c>
      <c r="H95" s="61">
        <f t="shared" si="9"/>
        <v>1</v>
      </c>
      <c r="I95" t="str">
        <f>IF(FT!B95&lt;&gt;"",FT!E95,"")</f>
        <v>2 [37.823150]</v>
      </c>
      <c r="J95">
        <f>IF(FT!B95&lt;&gt;"",FT!C95,"")</f>
        <v>37.823099999999997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3.1673499999999999</v>
      </c>
      <c r="G96" s="61">
        <f>IF(FT!B96&lt;&gt;"",FT!B96*100,"")</f>
        <v>39.420200000000001</v>
      </c>
      <c r="H96" s="61">
        <f t="shared" si="9"/>
        <v>1</v>
      </c>
      <c r="I96" t="str">
        <f>IF(FT!B96&lt;&gt;"",FT!E96,"")</f>
        <v>2 [38.231704]</v>
      </c>
      <c r="J96">
        <f>IF(FT!B96&lt;&gt;"",FT!C96,"")</f>
        <v>38.231699999999996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3.1507800000000001</v>
      </c>
      <c r="G97" s="61">
        <f>IF(FT!B97&lt;&gt;"",FT!B97*100,"")</f>
        <v>39.637599999999999</v>
      </c>
      <c r="H97" s="61">
        <f t="shared" si="9"/>
        <v>1</v>
      </c>
      <c r="I97" t="str">
        <f>IF(FT!B97&lt;&gt;"",FT!E97,"")</f>
        <v>2 [38.642754]</v>
      </c>
      <c r="J97">
        <f>IF(FT!B97&lt;&gt;"",FT!C97,"")</f>
        <v>38.642800000000001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147915</v>
      </c>
      <c r="D98" s="61">
        <f>FH!B98*1</f>
        <v>147915</v>
      </c>
      <c r="E98">
        <f t="shared" si="11"/>
        <v>96</v>
      </c>
      <c r="F98" s="61">
        <f>IF(FT!A98&lt;&gt;"",FT!A98*10,"")</f>
        <v>3.1393900000000001</v>
      </c>
      <c r="G98" s="61">
        <f>IF(FT!B98&lt;&gt;"",FT!B98*100,"")</f>
        <v>39.766800000000003</v>
      </c>
      <c r="H98" s="61">
        <f t="shared" si="9"/>
        <v>1</v>
      </c>
      <c r="I98" t="str">
        <f>IF(FT!B98&lt;&gt;"",FT!E98,"")</f>
        <v>2 [39.042535]</v>
      </c>
      <c r="J98">
        <f>IF(FT!B98&lt;&gt;"",FT!C98,"")</f>
        <v>39.042499999999997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3.1297599999999997</v>
      </c>
      <c r="G99" s="61">
        <f>IF(FT!B99&lt;&gt;"",FT!B99*100,"")</f>
        <v>39.859099999999998</v>
      </c>
      <c r="H99" s="61">
        <f t="shared" si="9"/>
        <v>1</v>
      </c>
      <c r="I99" t="str">
        <f>IF(FT!B99&lt;&gt;"",FT!E99,"")</f>
        <v>2 [39.452531]</v>
      </c>
      <c r="J99">
        <f>IF(FT!B99&lt;&gt;"",FT!C99,"")</f>
        <v>39.452500000000001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143208</v>
      </c>
      <c r="D100" s="61">
        <f>FH!B100*1</f>
        <v>143208</v>
      </c>
      <c r="E100">
        <f t="shared" si="11"/>
        <v>98</v>
      </c>
      <c r="F100" s="61">
        <f>IF(FT!A100&lt;&gt;"",FT!A100*10,"")</f>
        <v>3.1233699999999995</v>
      </c>
      <c r="G100" s="61">
        <f>IF(FT!B100&lt;&gt;"",FT!B100*100,"")</f>
        <v>39.932699999999997</v>
      </c>
      <c r="H100" s="61">
        <f t="shared" si="9"/>
        <v>1</v>
      </c>
      <c r="I100" t="str">
        <f>IF(FT!B100&lt;&gt;"",FT!E100,"")</f>
        <v>2 [39.860987]</v>
      </c>
      <c r="J100">
        <f>IF(FT!B100&lt;&gt;"",FT!C100,"")</f>
        <v>39.860999999999997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3.1215100000000002</v>
      </c>
      <c r="G101" s="61">
        <f>IF(FT!B101&lt;&gt;"",FT!B101*100,"")</f>
        <v>39.940999999999995</v>
      </c>
      <c r="H101" s="61">
        <f t="shared" si="9"/>
        <v>1</v>
      </c>
      <c r="I101" t="str">
        <f>IF(FT!B101&lt;&gt;"",FT!E101,"")</f>
        <v>2 [40.262528]</v>
      </c>
      <c r="J101">
        <f>IF(FT!B101&lt;&gt;"",FT!C101,"")</f>
        <v>40.262500000000003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3.12595</v>
      </c>
      <c r="G102" s="61">
        <f>IF(FT!B102&lt;&gt;"",FT!B102*100,"")</f>
        <v>39.778799999999997</v>
      </c>
      <c r="H102" s="61">
        <f t="shared" si="9"/>
        <v>1</v>
      </c>
      <c r="I102" t="str">
        <f>IF(FT!B102&lt;&gt;"",FT!E102,"")</f>
        <v>2 [40.670218]</v>
      </c>
      <c r="J102">
        <f>IF(FT!B102&lt;&gt;"",FT!C102,"")</f>
        <v>40.670200000000001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139493</v>
      </c>
      <c r="D103" s="61">
        <f>FH!B103*1</f>
        <v>139493</v>
      </c>
      <c r="E103">
        <f t="shared" si="11"/>
        <v>101</v>
      </c>
      <c r="F103" s="61">
        <f>IF(FT!A103&lt;&gt;"",FT!A103*10,"")</f>
        <v>3.1336199999999996</v>
      </c>
      <c r="G103" s="61">
        <f>IF(FT!B103&lt;&gt;"",FT!B103*100,"")</f>
        <v>39.532499999999999</v>
      </c>
      <c r="H103" s="61">
        <f t="shared" si="9"/>
        <v>1</v>
      </c>
      <c r="I103" t="str">
        <f>IF(FT!B103&lt;&gt;"",FT!E103,"")</f>
        <v>2 [41.081039]</v>
      </c>
      <c r="J103">
        <f>IF(FT!B103&lt;&gt;"",FT!C103,"")</f>
        <v>41.081000000000003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3.149</v>
      </c>
      <c r="G104" s="61">
        <f>IF(FT!B104&lt;&gt;"",FT!B104*100,"")</f>
        <v>39.143299999999996</v>
      </c>
      <c r="H104" s="61">
        <f t="shared" si="9"/>
        <v>1</v>
      </c>
      <c r="I104" t="str">
        <f>IF(FT!B104&lt;&gt;"",FT!E104,"")</f>
        <v>2 [41.483945]</v>
      </c>
      <c r="J104">
        <f>IF(FT!B104&lt;&gt;"",FT!C104,"")</f>
        <v>41.483899999999998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3.1703299999999999</v>
      </c>
      <c r="G105" s="61">
        <f>IF(FT!B105&lt;&gt;"",FT!B105*100,"")</f>
        <v>38.596200000000003</v>
      </c>
      <c r="H105" s="61">
        <f t="shared" si="9"/>
        <v>1</v>
      </c>
      <c r="I105" t="str">
        <f>IF(FT!B105&lt;&gt;"",FT!E105,"")</f>
        <v>2 [41.888882]</v>
      </c>
      <c r="J105">
        <f>IF(FT!B105&lt;&gt;"",FT!C105,"")</f>
        <v>41.8889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143308</v>
      </c>
      <c r="D106" s="61">
        <f>FH!B106*1</f>
        <v>143308</v>
      </c>
      <c r="E106">
        <f t="shared" si="11"/>
        <v>104</v>
      </c>
      <c r="F106" s="61">
        <f>IF(FT!A106&lt;&gt;"",FT!A106*10,"")</f>
        <v>3.1952099999999999</v>
      </c>
      <c r="G106" s="61">
        <f>IF(FT!B106&lt;&gt;"",FT!B106*100,"")</f>
        <v>38.04</v>
      </c>
      <c r="H106" s="61">
        <f t="shared" si="9"/>
        <v>1</v>
      </c>
      <c r="I106" t="str">
        <f>IF(FT!B106&lt;&gt;"",FT!E106,"")</f>
        <v>2 [42.296001]</v>
      </c>
      <c r="J106">
        <f>IF(FT!B106&lt;&gt;"",FT!C106,"")</f>
        <v>42.295999999999999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3.2251000000000003</v>
      </c>
      <c r="G107" s="61">
        <f>IF(FT!B107&lt;&gt;"",FT!B107*100,"")</f>
        <v>37.576300000000003</v>
      </c>
      <c r="H107" s="61">
        <f t="shared" si="9"/>
        <v>1</v>
      </c>
      <c r="I107" t="str">
        <f>IF(FT!B107&lt;&gt;"",FT!E107,"")</f>
        <v>2 [42.700801]</v>
      </c>
      <c r="J107">
        <f>IF(FT!B107&lt;&gt;"",FT!C107,"")</f>
        <v>42.700800000000001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142593</v>
      </c>
      <c r="D108" s="61">
        <f>FH!B108*1</f>
        <v>142593</v>
      </c>
      <c r="E108">
        <f t="shared" si="11"/>
        <v>106</v>
      </c>
      <c r="F108" s="61">
        <f>IF(FT!A108&lt;&gt;"",FT!A108*10,"")</f>
        <v>3.2565499999999998</v>
      </c>
      <c r="G108" s="61">
        <f>IF(FT!B108&lt;&gt;"",FT!B108*100,"")</f>
        <v>37.255400000000002</v>
      </c>
      <c r="H108" s="61">
        <f t="shared" si="9"/>
        <v>1</v>
      </c>
      <c r="I108" t="str">
        <f>IF(FT!B108&lt;&gt;"",FT!E108,"")</f>
        <v>2 [43.110131]</v>
      </c>
      <c r="J108">
        <f>IF(FT!B108&lt;&gt;"",FT!C108,"")</f>
        <v>43.110100000000003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3.2872699999999999</v>
      </c>
      <c r="G109" s="61">
        <f>IF(FT!B109&lt;&gt;"",FT!B109*100,"")</f>
        <v>37.019000000000005</v>
      </c>
      <c r="H109" s="61">
        <f t="shared" si="9"/>
        <v>1</v>
      </c>
      <c r="I109" t="str">
        <f>IF(FT!B109&lt;&gt;"",FT!E109,"")</f>
        <v>2 [43.515614]</v>
      </c>
      <c r="J109">
        <f>IF(FT!B109&lt;&gt;"",FT!C109,"")</f>
        <v>43.515599999999999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3.3199800000000002</v>
      </c>
      <c r="G110" s="61">
        <f>IF(FT!B110&lt;&gt;"",FT!B110*100,"")</f>
        <v>36.834299999999999</v>
      </c>
      <c r="H110" s="61">
        <f t="shared" si="9"/>
        <v>1</v>
      </c>
      <c r="I110" t="str">
        <f>IF(FT!B110&lt;&gt;"",FT!E110,"")</f>
        <v>2 [43.918541]</v>
      </c>
      <c r="J110">
        <f>IF(FT!B110&lt;&gt;"",FT!C110,"")</f>
        <v>43.918500000000002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141609</v>
      </c>
      <c r="D111" s="61">
        <f>FH!B111*1</f>
        <v>141609</v>
      </c>
      <c r="E111">
        <f t="shared" si="11"/>
        <v>109</v>
      </c>
      <c r="F111" s="61">
        <f>IF(FT!A111&lt;&gt;"",FT!A111*10,"")</f>
        <v>3.3552999999999997</v>
      </c>
      <c r="G111" s="61">
        <f>IF(FT!B111&lt;&gt;"",FT!B111*100,"")</f>
        <v>36.759399999999999</v>
      </c>
      <c r="H111" s="61">
        <f t="shared" si="9"/>
        <v>1</v>
      </c>
      <c r="I111" t="str">
        <f>IF(FT!B111&lt;&gt;"",FT!E111,"")</f>
        <v>2 [44.329523]</v>
      </c>
      <c r="J111">
        <f>IF(FT!B111&lt;&gt;"",FT!C111,"")</f>
        <v>44.329500000000003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3.3900100000000002</v>
      </c>
      <c r="G112" s="61">
        <f>IF(FT!B112&lt;&gt;"",FT!B112*100,"")</f>
        <v>36.782800000000002</v>
      </c>
      <c r="H112" s="61">
        <f t="shared" si="9"/>
        <v>1</v>
      </c>
      <c r="I112" t="str">
        <f>IF(FT!B112&lt;&gt;"",FT!E112,"")</f>
        <v>2 [44.734308]</v>
      </c>
      <c r="J112">
        <f>IF(FT!B112&lt;&gt;"",FT!C112,"")</f>
        <v>44.734299999999998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135022</v>
      </c>
      <c r="D113" s="61">
        <f>FH!B113*1</f>
        <v>135022</v>
      </c>
      <c r="E113">
        <f t="shared" si="11"/>
        <v>111</v>
      </c>
      <c r="F113" s="61">
        <f>IF(FT!A113&lt;&gt;"",FT!A113*10,"")</f>
        <v>3.4261499999999998</v>
      </c>
      <c r="G113" s="61">
        <f>IF(FT!B113&lt;&gt;"",FT!B113*100,"")</f>
        <v>36.786200000000001</v>
      </c>
      <c r="H113" s="61">
        <f t="shared" si="9"/>
        <v>1</v>
      </c>
      <c r="I113" t="str">
        <f>IF(FT!B113&lt;&gt;"",FT!E113,"")</f>
        <v>2 [45.140277]</v>
      </c>
      <c r="J113">
        <f>IF(FT!B113&lt;&gt;"",FT!C113,"")</f>
        <v>45.140300000000003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3.4636</v>
      </c>
      <c r="G114" s="61">
        <f>IF(FT!B114&lt;&gt;"",FT!B114*100,"")</f>
        <v>36.815300000000001</v>
      </c>
      <c r="H114" s="61">
        <f t="shared" si="9"/>
        <v>1</v>
      </c>
      <c r="I114" t="str">
        <f>IF(FT!B114&lt;&gt;"",FT!E114,"")</f>
        <v>2 [45.546119]</v>
      </c>
      <c r="J114">
        <f>IF(FT!B114&lt;&gt;"",FT!C114,"")</f>
        <v>45.546100000000003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3.4980899999999999</v>
      </c>
      <c r="G115" s="61">
        <f>IF(FT!B115&lt;&gt;"",FT!B115*100,"")</f>
        <v>36.908900000000003</v>
      </c>
      <c r="H115" s="61">
        <f t="shared" si="9"/>
        <v>1</v>
      </c>
      <c r="I115" t="str">
        <f>IF(FT!B115&lt;&gt;"",FT!E115,"")</f>
        <v>2 [45.952062]</v>
      </c>
      <c r="J115">
        <f>IF(FT!B115&lt;&gt;"",FT!C115,"")</f>
        <v>45.952100000000002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139180</v>
      </c>
      <c r="D116" s="61">
        <f>FH!B116*1</f>
        <v>139180</v>
      </c>
      <c r="E116">
        <f t="shared" si="11"/>
        <v>114</v>
      </c>
      <c r="F116" s="61">
        <f>IF(FT!A116&lt;&gt;"",FT!A116*10,"")</f>
        <v>3.5257899999999998</v>
      </c>
      <c r="G116" s="61">
        <f>IF(FT!B116&lt;&gt;"",FT!B116*100,"")</f>
        <v>37.0471</v>
      </c>
      <c r="H116" s="61">
        <f t="shared" si="9"/>
        <v>1</v>
      </c>
      <c r="I116" t="str">
        <f>IF(FT!B116&lt;&gt;"",FT!E116,"")</f>
        <v>2 [46.358982]</v>
      </c>
      <c r="J116">
        <f>IF(FT!B116&lt;&gt;"",FT!C116,"")</f>
        <v>46.359000000000002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3.54895</v>
      </c>
      <c r="G117" s="61">
        <f>IF(FT!B117&lt;&gt;"",FT!B117*100,"")</f>
        <v>37.248599999999996</v>
      </c>
      <c r="H117" s="61">
        <f t="shared" si="9"/>
        <v>1</v>
      </c>
      <c r="I117" t="str">
        <f>IF(FT!B117&lt;&gt;"",FT!E117,"")</f>
        <v>2 [46.761881]</v>
      </c>
      <c r="J117">
        <f>IF(FT!B117&lt;&gt;"",FT!C117,"")</f>
        <v>46.761899999999997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133629</v>
      </c>
      <c r="D118" s="61">
        <f>FH!B118*1</f>
        <v>133629</v>
      </c>
      <c r="E118">
        <f t="shared" si="11"/>
        <v>116</v>
      </c>
      <c r="F118" s="61">
        <f>IF(FT!A118&lt;&gt;"",FT!A118*10,"")</f>
        <v>3.5708699999999998</v>
      </c>
      <c r="G118" s="61">
        <f>IF(FT!B118&lt;&gt;"",FT!B118*100,"")</f>
        <v>37.450000000000003</v>
      </c>
      <c r="H118" s="61">
        <f t="shared" si="9"/>
        <v>1</v>
      </c>
      <c r="I118" t="str">
        <f>IF(FT!B118&lt;&gt;"",FT!E118,"")</f>
        <v>2 [47.170801]</v>
      </c>
      <c r="J118">
        <f>IF(FT!B118&lt;&gt;"",FT!C118,"")</f>
        <v>47.1708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3.5897600000000001</v>
      </c>
      <c r="G119" s="61">
        <f>IF(FT!B119&lt;&gt;"",FT!B119*100,"")</f>
        <v>37.675899999999999</v>
      </c>
      <c r="H119" s="61">
        <f t="shared" si="9"/>
        <v>1</v>
      </c>
      <c r="I119" t="str">
        <f>IF(FT!B119&lt;&gt;"",FT!E119,"")</f>
        <v>2 [47.577914]</v>
      </c>
      <c r="J119">
        <f>IF(FT!B119&lt;&gt;"",FT!C119,"")</f>
        <v>47.5779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3.6040899999999998</v>
      </c>
      <c r="G120" s="61">
        <f>IF(FT!B120&lt;&gt;"",FT!B120*100,"")</f>
        <v>37.894299999999994</v>
      </c>
      <c r="H120" s="61">
        <f t="shared" si="9"/>
        <v>1</v>
      </c>
      <c r="I120" t="str">
        <f>IF(FT!B120&lt;&gt;"",FT!E120,"")</f>
        <v>2 [47.985560]</v>
      </c>
      <c r="J120">
        <f>IF(FT!B120&lt;&gt;"",FT!C120,"")</f>
        <v>47.985599999999998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129813</v>
      </c>
      <c r="D121" s="61">
        <f>FH!B121*1</f>
        <v>129813</v>
      </c>
      <c r="E121">
        <f t="shared" si="11"/>
        <v>119</v>
      </c>
      <c r="F121" s="61">
        <f>IF(FT!A121&lt;&gt;"",FT!A121*10,"")</f>
        <v>3.6160799999999997</v>
      </c>
      <c r="G121" s="61">
        <f>IF(FT!B121&lt;&gt;"",FT!B121*100,"")</f>
        <v>38.044200000000004</v>
      </c>
      <c r="H121" s="61">
        <f t="shared" si="9"/>
        <v>1</v>
      </c>
      <c r="I121" t="str">
        <f>IF(FT!B121&lt;&gt;"",FT!E121,"")</f>
        <v>2 [48.387506]</v>
      </c>
      <c r="J121">
        <f>IF(FT!B121&lt;&gt;"",FT!C121,"")</f>
        <v>48.387500000000003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3.6288</v>
      </c>
      <c r="G122" s="61">
        <f>IF(FT!B122&lt;&gt;"",FT!B122*100,"")</f>
        <v>38.135300000000001</v>
      </c>
      <c r="H122" s="61">
        <f t="shared" si="9"/>
        <v>1</v>
      </c>
      <c r="I122" t="str">
        <f>IF(FT!B122&lt;&gt;"",FT!E122,"")</f>
        <v>2 [48.801395]</v>
      </c>
      <c r="J122">
        <f>IF(FT!B122&lt;&gt;"",FT!C122,"")</f>
        <v>48.801400000000001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3.6373899999999999</v>
      </c>
      <c r="G123" s="61">
        <f>IF(FT!B123&lt;&gt;"",FT!B123*100,"")</f>
        <v>38.234699999999997</v>
      </c>
      <c r="H123" s="61">
        <f t="shared" si="9"/>
        <v>1</v>
      </c>
      <c r="I123" t="str">
        <f>IF(FT!B123&lt;&gt;"",FT!E123,"")</f>
        <v>2 [49.198494]</v>
      </c>
      <c r="J123">
        <f>IF(FT!B123&lt;&gt;"",FT!C123,"")</f>
        <v>49.198500000000003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113217</v>
      </c>
      <c r="D124" s="61">
        <f>FH!B124*1</f>
        <v>113217</v>
      </c>
      <c r="E124">
        <f t="shared" si="11"/>
        <v>122</v>
      </c>
      <c r="F124" s="61">
        <f>IF(FT!A124&lt;&gt;"",FT!A124*10,"")</f>
        <v>3.6433599999999999</v>
      </c>
      <c r="G124" s="61">
        <f>IF(FT!B124&lt;&gt;"",FT!B124*100,"")</f>
        <v>38.375</v>
      </c>
      <c r="H124" s="61">
        <f t="shared" si="9"/>
        <v>1</v>
      </c>
      <c r="I124" t="str">
        <f>IF(FT!B124&lt;&gt;"",FT!E124,"")</f>
        <v>2 [49.607532]</v>
      </c>
      <c r="J124">
        <f>IF(FT!B124&lt;&gt;"",FT!C124,"")</f>
        <v>49.607500000000002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3.6488800000000001</v>
      </c>
      <c r="G125" s="61">
        <f>IF(FT!B125&lt;&gt;"",FT!B125*100,"")</f>
        <v>38.457999999999998</v>
      </c>
      <c r="H125" s="61">
        <f t="shared" si="9"/>
        <v>1</v>
      </c>
      <c r="I125" t="str">
        <f>IF(FT!B125&lt;&gt;"",FT!E125,"")</f>
        <v>2 [50.017139]</v>
      </c>
      <c r="J125">
        <f>IF(FT!B125&lt;&gt;"",FT!C125,"")</f>
        <v>50.017099999999999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122586</v>
      </c>
      <c r="D126" s="61">
        <f>FH!B126*1</f>
        <v>122586</v>
      </c>
      <c r="E126">
        <f t="shared" si="11"/>
        <v>124</v>
      </c>
      <c r="F126" s="61">
        <f>IF(FT!A126&lt;&gt;"",FT!A126*10,"")</f>
        <v>3.6555800000000001</v>
      </c>
      <c r="G126" s="61">
        <f>IF(FT!B126&lt;&gt;"",FT!B126*100,"")</f>
        <v>38.446799999999996</v>
      </c>
      <c r="H126" s="61">
        <f t="shared" si="9"/>
        <v>1</v>
      </c>
      <c r="I126" t="str">
        <f>IF(FT!B126&lt;&gt;"",FT!E126,"")</f>
        <v>2 [50.419090]</v>
      </c>
      <c r="J126">
        <f>IF(FT!B126&lt;&gt;"",FT!C126,"")</f>
        <v>50.4191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3.66195</v>
      </c>
      <c r="G127" s="61">
        <f>IF(FT!B127&lt;&gt;"",FT!B127*100,"")</f>
        <v>38.399499999999996</v>
      </c>
      <c r="H127" s="61">
        <f t="shared" si="9"/>
        <v>1</v>
      </c>
      <c r="I127" t="str">
        <f>IF(FT!B127&lt;&gt;"",FT!E127,"")</f>
        <v>2 [50.827148]</v>
      </c>
      <c r="J127">
        <f>IF(FT!B127&lt;&gt;"",FT!C127,"")</f>
        <v>50.827100000000002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3.6670999999999996</v>
      </c>
      <c r="G128" s="61">
        <f>IF(FT!B128&lt;&gt;"",FT!B128*100,"")</f>
        <v>38.371400000000001</v>
      </c>
      <c r="H128" s="61">
        <f t="shared" si="9"/>
        <v>1</v>
      </c>
      <c r="I128" t="str">
        <f>IF(FT!B128&lt;&gt;"",FT!E128,"")</f>
        <v>2 [51.233929]</v>
      </c>
      <c r="J128">
        <f>IF(FT!B128&lt;&gt;"",FT!C128,"")</f>
        <v>51.233899999999998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115916</v>
      </c>
      <c r="D129" s="61">
        <f>FH!B129*1</f>
        <v>115916</v>
      </c>
      <c r="E129">
        <f t="shared" si="11"/>
        <v>127</v>
      </c>
      <c r="F129" s="61">
        <f>IF(FT!A129&lt;&gt;"",FT!A129*10,"")</f>
        <v>3.6689100000000003</v>
      </c>
      <c r="G129" s="61">
        <f>IF(FT!B129&lt;&gt;"",FT!B129*100,"")</f>
        <v>38.337900000000005</v>
      </c>
      <c r="H129" s="61">
        <f t="shared" si="9"/>
        <v>1</v>
      </c>
      <c r="I129" t="str">
        <f>IF(FT!B129&lt;&gt;"",FT!E129,"")</f>
        <v>2 [51.641212]</v>
      </c>
      <c r="J129">
        <f>IF(FT!B129&lt;&gt;"",FT!C129,"")</f>
        <v>51.641199999999998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3.6675300000000002</v>
      </c>
      <c r="G130" s="61">
        <f>IF(FT!B130&lt;&gt;"",FT!B130*100,"")</f>
        <v>38.362299999999998</v>
      </c>
      <c r="H130" s="61">
        <f t="shared" si="9"/>
        <v>1</v>
      </c>
      <c r="I130" t="str">
        <f>IF(FT!B130&lt;&gt;"",FT!E130,"")</f>
        <v>2 [52.043945]</v>
      </c>
      <c r="J130">
        <f>IF(FT!B130&lt;&gt;"",FT!C130,"")</f>
        <v>52.043900000000001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107793</v>
      </c>
      <c r="D131" s="61">
        <f>FH!B131*1</f>
        <v>107793</v>
      </c>
      <c r="E131">
        <f t="shared" si="11"/>
        <v>129</v>
      </c>
      <c r="F131" s="61">
        <f>IF(FT!A131&lt;&gt;"",FT!A131*10,"")</f>
        <v>3.6645100000000004</v>
      </c>
      <c r="G131" s="61">
        <f>IF(FT!B131&lt;&gt;"",FT!B131*100,"")</f>
        <v>38.418999999999997</v>
      </c>
      <c r="H131" s="61">
        <f t="shared" ref="H131:H194" si="13">(IF(F131&lt;&gt;"",1,""))</f>
        <v>1</v>
      </c>
      <c r="I131" t="str">
        <f>IF(FT!B131&lt;&gt;"",FT!E131,"")</f>
        <v>2 [52.452850]</v>
      </c>
      <c r="J131">
        <f>IF(FT!B131&lt;&gt;"",FT!C131,"")</f>
        <v>52.4529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3.6591400000000003</v>
      </c>
      <c r="G132" s="61">
        <f>IF(FT!B132&lt;&gt;"",FT!B132*100,"")</f>
        <v>38.476500000000001</v>
      </c>
      <c r="H132" s="61">
        <f t="shared" si="13"/>
        <v>1</v>
      </c>
      <c r="I132" t="str">
        <f>IF(FT!B132&lt;&gt;"",FT!E132,"")</f>
        <v>2 [52.861594]</v>
      </c>
      <c r="J132">
        <f>IF(FT!B132&lt;&gt;"",FT!C132,"")</f>
        <v>52.861600000000003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3.65273</v>
      </c>
      <c r="G133" s="61">
        <f>IF(FT!B133&lt;&gt;"",FT!B133*100,"")</f>
        <v>38.492399999999996</v>
      </c>
      <c r="H133" s="61">
        <f t="shared" si="13"/>
        <v>1</v>
      </c>
      <c r="I133" t="str">
        <f>IF(FT!B133&lt;&gt;"",FT!E133,"")</f>
        <v>2 [53.260850]</v>
      </c>
      <c r="J133">
        <f>IF(FT!B133&lt;&gt;"",FT!C133,"")</f>
        <v>53.260800000000003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99919</v>
      </c>
      <c r="D134" s="61">
        <f>FH!B134*1</f>
        <v>99919</v>
      </c>
      <c r="E134">
        <f t="shared" si="15"/>
        <v>132</v>
      </c>
      <c r="F134" s="61">
        <f>IF(FT!A134&lt;&gt;"",FT!A134*10,"")</f>
        <v>3.6454399999999998</v>
      </c>
      <c r="G134" s="61">
        <f>IF(FT!B134&lt;&gt;"",FT!B134*100,"")</f>
        <v>38.492199999999997</v>
      </c>
      <c r="H134" s="61">
        <f t="shared" si="13"/>
        <v>1</v>
      </c>
      <c r="I134" t="str">
        <f>IF(FT!B134&lt;&gt;"",FT!E134,"")</f>
        <v>2 [53.674109]</v>
      </c>
      <c r="J134">
        <f>IF(FT!B134&lt;&gt;"",FT!C134,"")</f>
        <v>53.674100000000003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3.6362499999999995</v>
      </c>
      <c r="G135" s="61">
        <f>IF(FT!B135&lt;&gt;"",FT!B135*100,"")</f>
        <v>38.521300000000004</v>
      </c>
      <c r="H135" s="61">
        <f t="shared" si="13"/>
        <v>1</v>
      </c>
      <c r="I135" t="str">
        <f>IF(FT!B135&lt;&gt;"",FT!E135,"")</f>
        <v>2 [54.082661]</v>
      </c>
      <c r="J135">
        <f>IF(FT!B135&lt;&gt;"",FT!C135,"")</f>
        <v>54.082700000000003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97451</v>
      </c>
      <c r="D136" s="61">
        <f>FH!B136*1</f>
        <v>97451</v>
      </c>
      <c r="E136">
        <f t="shared" si="15"/>
        <v>134</v>
      </c>
      <c r="F136" s="61">
        <f>IF(FT!A136&lt;&gt;"",FT!A136*10,"")</f>
        <v>3.6270999999999995</v>
      </c>
      <c r="G136" s="61">
        <f>IF(FT!B136&lt;&gt;"",FT!B136*100,"")</f>
        <v>38.560899999999997</v>
      </c>
      <c r="H136" s="61">
        <f t="shared" si="13"/>
        <v>1</v>
      </c>
      <c r="I136" t="str">
        <f>IF(FT!B136&lt;&gt;"",FT!E136,"")</f>
        <v>2 [54.487535]</v>
      </c>
      <c r="J136">
        <f>IF(FT!B136&lt;&gt;"",FT!C136,"")</f>
        <v>54.487499999999997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3.6185899999999998</v>
      </c>
      <c r="G137" s="61">
        <f>IF(FT!B137&lt;&gt;"",FT!B137*100,"")</f>
        <v>38.5899</v>
      </c>
      <c r="H137" s="61">
        <f t="shared" si="13"/>
        <v>1</v>
      </c>
      <c r="I137" t="str">
        <f>IF(FT!B137&lt;&gt;"",FT!E137,"")</f>
        <v>2 [54.894311]</v>
      </c>
      <c r="J137">
        <f>IF(FT!B137&lt;&gt;"",FT!C137,"")</f>
        <v>54.894300000000001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3.60582</v>
      </c>
      <c r="G138" s="61">
        <f>IF(FT!B138&lt;&gt;"",FT!B138*100,"")</f>
        <v>38.728200000000001</v>
      </c>
      <c r="H138" s="61">
        <f t="shared" si="13"/>
        <v>1</v>
      </c>
      <c r="I138" t="str">
        <f>IF(FT!B138&lt;&gt;"",FT!E138,"")</f>
        <v>2 [55.302214]</v>
      </c>
      <c r="J138">
        <f>IF(FT!B138&lt;&gt;"",FT!C138,"")</f>
        <v>55.302199999999999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91458</v>
      </c>
      <c r="D139" s="61">
        <f>FH!B139*1</f>
        <v>91458</v>
      </c>
      <c r="E139">
        <f t="shared" si="15"/>
        <v>137</v>
      </c>
      <c r="F139" s="61">
        <f>IF(FT!A139&lt;&gt;"",FT!A139*10,"")</f>
        <v>3.5886</v>
      </c>
      <c r="G139" s="61">
        <f>IF(FT!B139&lt;&gt;"",FT!B139*100,"")</f>
        <v>38.9876</v>
      </c>
      <c r="H139" s="61">
        <f t="shared" si="13"/>
        <v>1</v>
      </c>
      <c r="I139" t="str">
        <f>IF(FT!B139&lt;&gt;"",FT!E139,"")</f>
        <v>2 [55.707450]</v>
      </c>
      <c r="J139">
        <f>IF(FT!B139&lt;&gt;"",FT!C139,"")</f>
        <v>55.7074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3.5698000000000003</v>
      </c>
      <c r="G140" s="61">
        <f>IF(FT!B140&lt;&gt;"",FT!B140*100,"")</f>
        <v>39.298699999999997</v>
      </c>
      <c r="H140" s="61">
        <f t="shared" si="13"/>
        <v>1</v>
      </c>
      <c r="I140" t="str">
        <f>IF(FT!B140&lt;&gt;"",FT!E140,"")</f>
        <v>2 [56.110577]</v>
      </c>
      <c r="J140">
        <f>IF(FT!B140&lt;&gt;"",FT!C140,"")</f>
        <v>56.110599999999998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3.5576999999999996</v>
      </c>
      <c r="G141" s="61">
        <f>IF(FT!B141&lt;&gt;"",FT!B141*100,"")</f>
        <v>39.562399999999997</v>
      </c>
      <c r="H141" s="61">
        <f t="shared" si="13"/>
        <v>1</v>
      </c>
      <c r="I141" t="str">
        <f>IF(FT!B141&lt;&gt;"",FT!E141,"")</f>
        <v>2 [56.518177]</v>
      </c>
      <c r="J141">
        <f>IF(FT!B141&lt;&gt;"",FT!C141,"")</f>
        <v>56.5182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80541</v>
      </c>
      <c r="D142" s="61">
        <f>FH!B142*1</f>
        <v>80541</v>
      </c>
      <c r="E142">
        <f t="shared" si="15"/>
        <v>140</v>
      </c>
      <c r="F142" s="61">
        <f>IF(FT!A142&lt;&gt;"",FT!A142*10,"")</f>
        <v>3.5521799999999999</v>
      </c>
      <c r="G142" s="61">
        <f>IF(FT!B142&lt;&gt;"",FT!B142*100,"")</f>
        <v>39.785499999999999</v>
      </c>
      <c r="H142" s="61">
        <f t="shared" si="13"/>
        <v>1</v>
      </c>
      <c r="I142" t="str">
        <f>IF(FT!B142&lt;&gt;"",FT!E142,"")</f>
        <v>2 [56.920984]</v>
      </c>
      <c r="J142">
        <f>IF(FT!B142&lt;&gt;"",FT!C142,"")</f>
        <v>56.920999999999999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3.5461100000000001</v>
      </c>
      <c r="G143" s="61">
        <f>IF(FT!B143&lt;&gt;"",FT!B143*100,"")</f>
        <v>39.92</v>
      </c>
      <c r="H143" s="61">
        <f t="shared" si="13"/>
        <v>1</v>
      </c>
      <c r="I143" t="str">
        <f>IF(FT!B143&lt;&gt;"",FT!E143,"")</f>
        <v>2 [57.322856]</v>
      </c>
      <c r="J143">
        <f>IF(FT!B143&lt;&gt;"",FT!C143,"")</f>
        <v>57.322899999999997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66018</v>
      </c>
      <c r="D144" s="61">
        <f>FH!B144*1</f>
        <v>66018</v>
      </c>
      <c r="E144">
        <f t="shared" si="15"/>
        <v>142</v>
      </c>
      <c r="F144" s="61">
        <f>IF(FT!A144&lt;&gt;"",FT!A144*10,"")</f>
        <v>3.5409899999999999</v>
      </c>
      <c r="G144" s="61">
        <f>IF(FT!B144&lt;&gt;"",FT!B144*100,"")</f>
        <v>39.972099999999998</v>
      </c>
      <c r="H144" s="61">
        <f t="shared" si="13"/>
        <v>1</v>
      </c>
      <c r="I144" t="str">
        <f>IF(FT!B144&lt;&gt;"",FT!E144,"")</f>
        <v>2 [57.735568]</v>
      </c>
      <c r="J144">
        <f>IF(FT!B144&lt;&gt;"",FT!C144,"")</f>
        <v>57.735599999999998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3.5392000000000001</v>
      </c>
      <c r="G145" s="61">
        <f>IF(FT!B145&lt;&gt;"",FT!B145*100,"")</f>
        <v>39.944099999999999</v>
      </c>
      <c r="H145" s="61">
        <f t="shared" si="13"/>
        <v>1</v>
      </c>
      <c r="I145" t="str">
        <f>IF(FT!B145&lt;&gt;"",FT!E145,"")</f>
        <v>2 [58.140475]</v>
      </c>
      <c r="J145">
        <f>IF(FT!B145&lt;&gt;"",FT!C145,"")</f>
        <v>58.140500000000003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3.5381299999999998</v>
      </c>
      <c r="G146" s="61">
        <f>IF(FT!B146&lt;&gt;"",FT!B146*100,"")</f>
        <v>40.003999999999998</v>
      </c>
      <c r="H146" s="61">
        <f t="shared" si="13"/>
        <v>1</v>
      </c>
      <c r="I146" t="str">
        <f>IF(FT!B146&lt;&gt;"",FT!E146,"")</f>
        <v>2 [58.546412]</v>
      </c>
      <c r="J146">
        <f>IF(FT!B146&lt;&gt;"",FT!C146,"")</f>
        <v>58.546399999999998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56887</v>
      </c>
      <c r="D147" s="61">
        <f>FH!B147*1</f>
        <v>56887</v>
      </c>
      <c r="E147">
        <f t="shared" si="15"/>
        <v>145</v>
      </c>
      <c r="F147" s="61">
        <f>IF(FT!A147&lt;&gt;"",FT!A147*10,"")</f>
        <v>3.5224899999999999</v>
      </c>
      <c r="G147" s="61">
        <f>IF(FT!B147&lt;&gt;"",FT!B147*100,"")</f>
        <v>40.340399999999995</v>
      </c>
      <c r="H147" s="61">
        <f t="shared" si="13"/>
        <v>1</v>
      </c>
      <c r="I147" t="str">
        <f>IF(FT!B147&lt;&gt;"",FT!E147,"")</f>
        <v>2 [58.951487]</v>
      </c>
      <c r="J147">
        <f>IF(FT!B147&lt;&gt;"",FT!C147,"")</f>
        <v>58.951500000000003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3.5125600000000001</v>
      </c>
      <c r="G148" s="61">
        <f>IF(FT!B148&lt;&gt;"",FT!B148*100,"")</f>
        <v>40.724199999999996</v>
      </c>
      <c r="H148" s="61">
        <f t="shared" si="13"/>
        <v>1</v>
      </c>
      <c r="I148" t="str">
        <f>IF(FT!B148&lt;&gt;"",FT!E148,"")</f>
        <v>2 [59.358192]</v>
      </c>
      <c r="J148">
        <f>IF(FT!B148&lt;&gt;"",FT!C148,"")</f>
        <v>59.358199999999997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52535</v>
      </c>
      <c r="D149" s="61">
        <f>FH!B149*1</f>
        <v>52535</v>
      </c>
      <c r="E149">
        <f t="shared" si="15"/>
        <v>147</v>
      </c>
      <c r="F149" s="61">
        <f>IF(FT!A149&lt;&gt;"",FT!A149*10,"")</f>
        <v>3.5243600000000002</v>
      </c>
      <c r="G149" s="61">
        <f>IF(FT!B149&lt;&gt;"",FT!B149*100,"")</f>
        <v>40.566800000000001</v>
      </c>
      <c r="H149" s="61">
        <f t="shared" si="13"/>
        <v>1</v>
      </c>
      <c r="I149" t="str">
        <f>IF(FT!B149&lt;&gt;"",FT!E149,"")</f>
        <v>2 [59.764173]</v>
      </c>
      <c r="J149">
        <f>IF(FT!B149&lt;&gt;"",FT!C149,"")</f>
        <v>59.764200000000002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3.5434100000000002</v>
      </c>
      <c r="G150" s="61">
        <f>IF(FT!B150&lt;&gt;"",FT!B150*100,"")</f>
        <v>40.185600000000001</v>
      </c>
      <c r="H150" s="61">
        <f t="shared" si="13"/>
        <v>1</v>
      </c>
      <c r="I150" t="str">
        <f>IF(FT!B150&lt;&gt;"",FT!E150,"")</f>
        <v>2 [60.168028]</v>
      </c>
      <c r="J150">
        <f>IF(FT!B150&lt;&gt;"",FT!C150,"")</f>
        <v>60.167999999999999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47943</v>
      </c>
      <c r="D152" s="61">
        <f>FH!B152*1</f>
        <v>47943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42319</v>
      </c>
      <c r="D154" s="61">
        <f>FH!B154*1</f>
        <v>42319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37807</v>
      </c>
      <c r="D157" s="61">
        <f>FH!B157*1</f>
        <v>37807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35767</v>
      </c>
      <c r="D160" s="61">
        <f>FH!B160*1</f>
        <v>35767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30621</v>
      </c>
      <c r="D162" s="61">
        <f>FH!B162*1</f>
        <v>30621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23719</v>
      </c>
      <c r="D165" s="61">
        <f>FH!B165*1</f>
        <v>23719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20062</v>
      </c>
      <c r="D167" s="61">
        <f>FH!B167*1</f>
        <v>20062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13082</v>
      </c>
      <c r="D170" s="61">
        <f>FH!B170*1</f>
        <v>13082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7283</v>
      </c>
      <c r="D173" s="61">
        <f>FH!B173*1</f>
        <v>7283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4062</v>
      </c>
      <c r="D175" s="61">
        <f>FH!B175*1</f>
        <v>4062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1896</v>
      </c>
      <c r="D178" s="61">
        <f>FH!B178*1</f>
        <v>1896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592</v>
      </c>
      <c r="D180" s="61">
        <f>FH!B180*1</f>
        <v>592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274</v>
      </c>
      <c r="D183" s="61">
        <f>FH!B183*1</f>
        <v>274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39.305999999999997</v>
      </c>
      <c r="C5" s="66">
        <v>9.6197300000000006</v>
      </c>
      <c r="D5" s="66">
        <v>24.4739</v>
      </c>
      <c r="E5" s="66">
        <v>20</v>
      </c>
      <c r="F5" s="66">
        <v>8.8247099999999996</v>
      </c>
      <c r="G5" s="66">
        <v>50</v>
      </c>
      <c r="H5" s="66">
        <v>51.837000000000003</v>
      </c>
    </row>
    <row r="6" spans="1:8">
      <c r="A6" s="58" t="s">
        <v>303</v>
      </c>
      <c r="B6" s="66">
        <v>31.809200000000001</v>
      </c>
      <c r="C6" s="66">
        <v>4.61477</v>
      </c>
      <c r="D6" s="66">
        <v>14.5077</v>
      </c>
      <c r="E6" s="66">
        <v>20</v>
      </c>
      <c r="F6" s="66">
        <v>25.650400000000001</v>
      </c>
      <c r="G6" s="66">
        <v>40</v>
      </c>
      <c r="H6" s="66">
        <v>42.804600000000001</v>
      </c>
    </row>
    <row r="7" spans="1:8">
      <c r="A7" s="58" t="s">
        <v>304</v>
      </c>
      <c r="B7" s="66">
        <v>27.608699999999999</v>
      </c>
      <c r="C7" s="66">
        <v>7.8019800000000004</v>
      </c>
      <c r="D7" s="66">
        <v>28.2591</v>
      </c>
      <c r="E7" s="66">
        <v>15</v>
      </c>
      <c r="F7" s="66">
        <v>7.6490499999999999</v>
      </c>
      <c r="G7" s="66">
        <v>40</v>
      </c>
      <c r="H7" s="66">
        <v>42.176699999999997</v>
      </c>
    </row>
    <row r="8" spans="1:8">
      <c r="A8" s="58" t="s">
        <v>305</v>
      </c>
      <c r="B8" s="66">
        <v>32.238900000000001</v>
      </c>
      <c r="C8" s="66">
        <v>5.1039099999999999</v>
      </c>
      <c r="D8" s="66">
        <v>15.8315</v>
      </c>
      <c r="E8" s="66">
        <v>20</v>
      </c>
      <c r="F8" s="66">
        <v>17.798300000000001</v>
      </c>
      <c r="G8" s="66">
        <v>50</v>
      </c>
      <c r="H8" s="66">
        <v>41.317100000000003</v>
      </c>
    </row>
    <row r="9" spans="1:8">
      <c r="A9" s="58" t="s">
        <v>306</v>
      </c>
      <c r="B9" s="66">
        <v>61.688600000000001</v>
      </c>
      <c r="C9" s="66">
        <v>7.2260799999999996</v>
      </c>
      <c r="D9" s="66">
        <v>11.713800000000001</v>
      </c>
      <c r="E9" s="66">
        <v>50</v>
      </c>
      <c r="F9" s="66">
        <v>50.003399999999999</v>
      </c>
      <c r="G9" s="66">
        <v>100</v>
      </c>
      <c r="H9" s="66">
        <v>82.535399999999996</v>
      </c>
    </row>
    <row r="10" spans="1:8">
      <c r="A10" s="58" t="s">
        <v>307</v>
      </c>
      <c r="B10" s="66">
        <v>78.637900000000002</v>
      </c>
      <c r="C10" s="66">
        <v>5.3855599999999999</v>
      </c>
      <c r="D10" s="66">
        <v>6.84856</v>
      </c>
      <c r="E10" s="66">
        <v>40</v>
      </c>
      <c r="F10" s="66">
        <v>62.662199999999999</v>
      </c>
      <c r="G10" s="66">
        <v>100</v>
      </c>
      <c r="H10" s="66">
        <v>83.608500000000006</v>
      </c>
    </row>
    <row r="11" spans="1:8">
      <c r="A11" s="58" t="s">
        <v>308</v>
      </c>
      <c r="B11" s="66">
        <v>22.599299999999999</v>
      </c>
      <c r="C11" s="66">
        <v>5.43764</v>
      </c>
      <c r="D11" s="66">
        <v>24.0611</v>
      </c>
      <c r="E11" s="66">
        <v>10</v>
      </c>
      <c r="F11" s="66">
        <v>6.3423999999999996</v>
      </c>
      <c r="G11" s="66">
        <v>50</v>
      </c>
      <c r="H11" s="66">
        <v>28.927700000000002</v>
      </c>
    </row>
    <row r="12" spans="1:8">
      <c r="A12" s="58" t="s">
        <v>309</v>
      </c>
      <c r="B12" s="66">
        <v>69.275999999999996</v>
      </c>
      <c r="C12" s="66">
        <v>3.6615199999999999</v>
      </c>
      <c r="D12" s="66">
        <v>5.2854099999999997</v>
      </c>
      <c r="E12" s="66">
        <v>50</v>
      </c>
      <c r="F12" s="66">
        <v>61.253500000000003</v>
      </c>
      <c r="G12" s="66">
        <v>100</v>
      </c>
      <c r="H12" s="66">
        <v>82.725899999999996</v>
      </c>
    </row>
    <row r="13" spans="1:8">
      <c r="A13" s="58" t="s">
        <v>310</v>
      </c>
      <c r="B13" s="66">
        <v>15.434799999999999</v>
      </c>
      <c r="C13" s="66">
        <v>3.3915799999999998</v>
      </c>
      <c r="D13" s="66">
        <v>21.973500000000001</v>
      </c>
      <c r="E13" s="66">
        <v>10</v>
      </c>
      <c r="F13" s="66">
        <v>11.888299999999999</v>
      </c>
      <c r="G13" s="66">
        <v>25</v>
      </c>
      <c r="H13" s="66">
        <v>33.286799999999999</v>
      </c>
    </row>
    <row r="14" spans="1:8">
      <c r="A14" s="58" t="s">
        <v>311</v>
      </c>
      <c r="B14" s="66">
        <v>33.915799999999997</v>
      </c>
      <c r="C14" s="66">
        <v>14.8749</v>
      </c>
      <c r="D14" s="66">
        <v>43.858400000000003</v>
      </c>
      <c r="E14" s="66">
        <v>10</v>
      </c>
      <c r="F14" s="66">
        <v>0.350885</v>
      </c>
      <c r="G14" s="66">
        <v>50</v>
      </c>
      <c r="H14" s="66">
        <v>47.830800000000004</v>
      </c>
    </row>
    <row r="15" spans="1:8">
      <c r="A15" s="58" t="s">
        <v>312</v>
      </c>
      <c r="B15" s="66">
        <v>7.5214199999999995E-2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0.104604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19.6813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0.41250199999999998</v>
      </c>
      <c r="C18" s="66">
        <v>6.7509E-2</v>
      </c>
      <c r="D18" s="66">
        <v>0.163657</v>
      </c>
      <c r="E18" s="66">
        <v>0</v>
      </c>
      <c r="F18" s="66">
        <v>0.34499299999999999</v>
      </c>
      <c r="G18" s="66">
        <v>0</v>
      </c>
      <c r="H18" s="66">
        <v>0.48001100000000002</v>
      </c>
    </row>
    <row r="19" spans="1:8">
      <c r="A19" s="58" t="s">
        <v>316</v>
      </c>
      <c r="B19" s="66">
        <v>0.67373000000000005</v>
      </c>
      <c r="C19" s="66">
        <v>8.6074399999999995E-2</v>
      </c>
      <c r="D19" s="66">
        <v>0.12775800000000001</v>
      </c>
      <c r="E19" s="66">
        <v>0</v>
      </c>
      <c r="F19" s="66">
        <v>0.58765500000000004</v>
      </c>
      <c r="G19" s="66">
        <v>0</v>
      </c>
      <c r="H19" s="66">
        <v>0.75980400000000003</v>
      </c>
    </row>
    <row r="20" spans="1:8">
      <c r="A20" s="58" t="s">
        <v>317</v>
      </c>
      <c r="B20" s="66">
        <v>2.8077900000000001E-3</v>
      </c>
      <c r="C20" s="66">
        <v>0.14710799999999999</v>
      </c>
      <c r="D20" s="66">
        <v>52.392899999999997</v>
      </c>
      <c r="E20" s="66">
        <v>0</v>
      </c>
      <c r="F20" s="196">
        <v>7.0066600000000004E-5</v>
      </c>
      <c r="G20" s="66">
        <v>0</v>
      </c>
      <c r="H20" s="66">
        <v>1.6501600000000001</v>
      </c>
    </row>
    <row r="21" spans="1:8">
      <c r="A21" s="58" t="s">
        <v>318</v>
      </c>
      <c r="B21" s="66">
        <v>8.0542699999999995E-2</v>
      </c>
      <c r="C21" s="66">
        <v>1.3818699999999999</v>
      </c>
      <c r="D21" s="66">
        <v>17.157</v>
      </c>
      <c r="E21" s="66">
        <v>0</v>
      </c>
      <c r="F21" s="66">
        <v>2.9462800000000001E-4</v>
      </c>
      <c r="G21" s="66">
        <v>0</v>
      </c>
      <c r="H21" s="66">
        <v>11.8786</v>
      </c>
    </row>
    <row r="22" spans="1:8">
      <c r="A22" s="58" t="s">
        <v>319</v>
      </c>
      <c r="B22" s="66">
        <v>32.184699999999999</v>
      </c>
      <c r="C22" s="66">
        <v>39.5321</v>
      </c>
      <c r="D22" s="66">
        <v>1.2282900000000001</v>
      </c>
      <c r="E22" s="66">
        <v>0</v>
      </c>
      <c r="F22" s="66">
        <v>16.637899999999998</v>
      </c>
      <c r="G22" s="66">
        <v>0</v>
      </c>
      <c r="H22" s="66">
        <v>258.88299999999998</v>
      </c>
    </row>
    <row r="23" spans="1:8">
      <c r="A23" s="58" t="s">
        <v>320</v>
      </c>
      <c r="B23" s="66">
        <v>13.560600000000001</v>
      </c>
      <c r="C23" s="66">
        <v>15.867000000000001</v>
      </c>
      <c r="D23" s="66">
        <v>1.17008</v>
      </c>
      <c r="E23" s="66">
        <v>0</v>
      </c>
      <c r="F23" s="66">
        <v>6.6414799999999996</v>
      </c>
      <c r="G23" s="66">
        <v>0</v>
      </c>
      <c r="H23" s="66">
        <v>49.897399999999998</v>
      </c>
    </row>
    <row r="24" spans="1:8">
      <c r="A24" s="58" t="s">
        <v>321</v>
      </c>
      <c r="B24" s="66">
        <v>3.3394900000000001E-3</v>
      </c>
      <c r="C24" s="66">
        <v>0.13559299999999999</v>
      </c>
      <c r="D24" s="66">
        <v>40.602899999999998</v>
      </c>
      <c r="E24" s="66">
        <v>0</v>
      </c>
      <c r="F24" s="66">
        <v>7.5164199999999996E-4</v>
      </c>
      <c r="G24" s="66">
        <v>0</v>
      </c>
      <c r="H24" s="66">
        <v>1.4849300000000001</v>
      </c>
    </row>
    <row r="25" spans="1:8">
      <c r="A25" s="58" t="s">
        <v>322</v>
      </c>
      <c r="B25" s="66">
        <v>9.9335199999999998E-2</v>
      </c>
      <c r="C25" s="66">
        <v>1.09724</v>
      </c>
      <c r="D25" s="66">
        <v>11.0458</v>
      </c>
      <c r="E25" s="66">
        <v>0</v>
      </c>
      <c r="F25" s="66">
        <v>2.3923300000000002E-2</v>
      </c>
      <c r="G25" s="66">
        <v>0</v>
      </c>
      <c r="H25" s="66">
        <v>6.3516599999999999</v>
      </c>
    </row>
    <row r="26" spans="1:8">
      <c r="A26" s="58" t="s">
        <v>323</v>
      </c>
      <c r="B26" s="66">
        <v>1.27692E-3</v>
      </c>
      <c r="C26" s="66">
        <v>1.14048E-2</v>
      </c>
      <c r="D26" s="66">
        <v>8.9314999999999998</v>
      </c>
      <c r="E26" s="66">
        <v>0</v>
      </c>
      <c r="F26" s="196">
        <v>2.9543099999999998E-5</v>
      </c>
      <c r="G26" s="66">
        <v>0</v>
      </c>
      <c r="H26" s="66">
        <v>9.7101499999999993E-2</v>
      </c>
    </row>
    <row r="27" spans="1:8">
      <c r="A27" s="58" t="s">
        <v>324</v>
      </c>
      <c r="B27" s="196">
        <v>-5.2521000000000001E-5</v>
      </c>
      <c r="C27" s="66">
        <v>2.34585E-3</v>
      </c>
      <c r="D27" s="66">
        <v>-44.664999999999999</v>
      </c>
      <c r="E27" s="66">
        <v>0</v>
      </c>
      <c r="F27" s="66">
        <v>-1.9442600000000001E-2</v>
      </c>
      <c r="G27" s="66">
        <v>0</v>
      </c>
      <c r="H27" s="66">
        <v>1.90093E-2</v>
      </c>
    </row>
    <row r="28" spans="1:8">
      <c r="A28" s="58" t="s">
        <v>325</v>
      </c>
      <c r="B28" s="66">
        <v>1.6396500000000001E-2</v>
      </c>
      <c r="C28" s="66">
        <v>4.2797000000000002E-2</v>
      </c>
      <c r="D28" s="66">
        <v>2.6101299999999998</v>
      </c>
      <c r="E28" s="66">
        <v>0</v>
      </c>
      <c r="F28" s="66">
        <v>1.3671899999999999E-4</v>
      </c>
      <c r="G28" s="66">
        <v>0</v>
      </c>
      <c r="H28" s="66">
        <v>0.28679399999999999</v>
      </c>
    </row>
    <row r="29" spans="1:8">
      <c r="A29" s="58" t="s">
        <v>326</v>
      </c>
      <c r="B29" s="66">
        <v>71.814099999999996</v>
      </c>
      <c r="C29" s="66">
        <v>9.9640599999999999</v>
      </c>
      <c r="D29" s="66">
        <v>0.13874800000000001</v>
      </c>
      <c r="E29" s="66">
        <v>0</v>
      </c>
      <c r="F29" s="66">
        <v>43.713700000000003</v>
      </c>
      <c r="G29" s="66">
        <v>0</v>
      </c>
      <c r="H29" s="66">
        <v>119.252</v>
      </c>
    </row>
    <row r="30" spans="1:8">
      <c r="A30" s="58" t="s">
        <v>327</v>
      </c>
      <c r="B30" s="66">
        <v>23.234300000000001</v>
      </c>
      <c r="C30" s="66">
        <v>7.8526600000000002</v>
      </c>
      <c r="D30" s="66">
        <v>0.33797700000000003</v>
      </c>
      <c r="E30" s="66">
        <v>0</v>
      </c>
      <c r="F30" s="66">
        <v>8.7882599999999993</v>
      </c>
      <c r="G30" s="66">
        <v>0</v>
      </c>
      <c r="H30" s="66">
        <v>38.577800000000003</v>
      </c>
    </row>
    <row r="31" spans="1:8">
      <c r="A31" s="58" t="s">
        <v>328</v>
      </c>
      <c r="B31" s="66">
        <v>154.96799999999999</v>
      </c>
      <c r="C31" s="66">
        <v>61.785499999999999</v>
      </c>
      <c r="D31" s="66">
        <v>0.398698</v>
      </c>
      <c r="E31" s="66">
        <v>0</v>
      </c>
      <c r="F31" s="66">
        <v>36.318600000000004</v>
      </c>
      <c r="G31" s="66">
        <v>0</v>
      </c>
      <c r="H31" s="66">
        <v>264.66199999999998</v>
      </c>
    </row>
    <row r="32" spans="1:8">
      <c r="A32" s="58" t="s">
        <v>329</v>
      </c>
      <c r="B32" s="66">
        <v>0.27608700000000003</v>
      </c>
      <c r="C32" s="66">
        <v>7.80198E-2</v>
      </c>
      <c r="D32" s="66">
        <v>0.28259099999999998</v>
      </c>
      <c r="E32" s="66">
        <v>0.15</v>
      </c>
      <c r="F32" s="66">
        <v>7.6490500000000003E-2</v>
      </c>
      <c r="G32" s="66">
        <v>0.4</v>
      </c>
      <c r="H32" s="66">
        <v>0.421767</v>
      </c>
    </row>
    <row r="33" spans="1:8">
      <c r="A33" s="58" t="s">
        <v>330</v>
      </c>
      <c r="B33" s="66">
        <v>0.25824900000000001</v>
      </c>
      <c r="C33" s="66">
        <v>3.8333800000000001E-2</v>
      </c>
      <c r="D33" s="66">
        <v>0.14843700000000001</v>
      </c>
      <c r="E33" s="66">
        <v>0</v>
      </c>
      <c r="F33" s="66">
        <v>0.17910000000000001</v>
      </c>
      <c r="G33" s="66">
        <v>0</v>
      </c>
      <c r="H33" s="66">
        <v>0.40387699999999999</v>
      </c>
    </row>
    <row r="34" spans="1:8">
      <c r="A34" s="58" t="s">
        <v>331</v>
      </c>
      <c r="B34" s="66">
        <v>0.15434800000000001</v>
      </c>
      <c r="C34" s="66">
        <v>3.3915800000000003E-2</v>
      </c>
      <c r="D34" s="66">
        <v>0.21973500000000001</v>
      </c>
      <c r="E34" s="66">
        <v>0.1</v>
      </c>
      <c r="F34" s="66">
        <v>0.118883</v>
      </c>
      <c r="G34" s="66">
        <v>0.25</v>
      </c>
      <c r="H34" s="66">
        <v>0.332868</v>
      </c>
    </row>
    <row r="35" spans="1:8">
      <c r="A35" s="58" t="s">
        <v>332</v>
      </c>
      <c r="B35" s="66">
        <v>5.0878100000000002E-2</v>
      </c>
      <c r="C35" s="66">
        <v>2.11976E-2</v>
      </c>
      <c r="D35" s="66">
        <v>0.41663499999999998</v>
      </c>
      <c r="E35" s="66">
        <v>0</v>
      </c>
      <c r="F35" s="66">
        <v>2.5218399999999998E-2</v>
      </c>
      <c r="G35" s="66">
        <v>0</v>
      </c>
      <c r="H35" s="66">
        <v>0.15726000000000001</v>
      </c>
    </row>
    <row r="36" spans="1:8">
      <c r="A36" s="58" t="s">
        <v>333</v>
      </c>
      <c r="B36" s="66">
        <v>0.15582599999999999</v>
      </c>
      <c r="C36" s="66">
        <v>7.11146E-2</v>
      </c>
      <c r="D36" s="66">
        <v>0.45637100000000003</v>
      </c>
      <c r="E36" s="66">
        <v>0</v>
      </c>
      <c r="F36" s="66">
        <v>3.5247100000000003E-2</v>
      </c>
      <c r="G36" s="66">
        <v>0</v>
      </c>
      <c r="H36" s="66">
        <v>0.52622800000000003</v>
      </c>
    </row>
    <row r="37" spans="1:8">
      <c r="A37" s="58" t="s">
        <v>334</v>
      </c>
      <c r="B37" s="66">
        <v>0.33915800000000002</v>
      </c>
      <c r="C37" s="66">
        <v>0.14874899999999999</v>
      </c>
      <c r="D37" s="66">
        <v>0.43858399999999997</v>
      </c>
      <c r="E37" s="66">
        <v>0.1</v>
      </c>
      <c r="F37" s="66">
        <v>3.50885E-3</v>
      </c>
      <c r="G37" s="66">
        <v>0.5</v>
      </c>
      <c r="H37" s="66">
        <v>0.47830800000000001</v>
      </c>
    </row>
    <row r="38" spans="1:8">
      <c r="A38" s="58" t="s">
        <v>335</v>
      </c>
      <c r="B38" s="66">
        <v>-9.1097300000000008</v>
      </c>
      <c r="C38" s="66">
        <v>73.853399999999993</v>
      </c>
      <c r="D38" s="66">
        <v>-8.1070899999999995</v>
      </c>
      <c r="E38" s="66">
        <v>0</v>
      </c>
      <c r="F38" s="66">
        <v>-230.703</v>
      </c>
      <c r="G38" s="66">
        <v>0</v>
      </c>
      <c r="H38" s="66">
        <v>385.90800000000002</v>
      </c>
    </row>
    <row r="39" spans="1:8">
      <c r="A39" s="58" t="s">
        <v>336</v>
      </c>
      <c r="B39" s="66">
        <v>-5.4648599999999998</v>
      </c>
      <c r="C39" s="66">
        <v>12.845599999999999</v>
      </c>
      <c r="D39" s="66">
        <v>-2.35059</v>
      </c>
      <c r="E39" s="66">
        <v>0</v>
      </c>
      <c r="F39" s="66">
        <v>-21.987300000000001</v>
      </c>
      <c r="G39" s="66">
        <v>0</v>
      </c>
      <c r="H39" s="66">
        <v>54.993699999999997</v>
      </c>
    </row>
    <row r="40" spans="1:8">
      <c r="A40" s="58" t="s">
        <v>337</v>
      </c>
      <c r="B40" s="66">
        <v>1.27105</v>
      </c>
      <c r="C40" s="66">
        <v>3.7140499999999999</v>
      </c>
      <c r="D40" s="66">
        <v>2.9220299999999999</v>
      </c>
      <c r="E40" s="66">
        <v>0</v>
      </c>
      <c r="F40" s="66">
        <v>-3.68215</v>
      </c>
      <c r="G40" s="66">
        <v>0</v>
      </c>
      <c r="H40" s="66">
        <v>7.8776200000000003</v>
      </c>
    </row>
    <row r="41" spans="1:8">
      <c r="A41" s="58" t="s">
        <v>338</v>
      </c>
      <c r="B41" s="66">
        <v>1.0687E-2</v>
      </c>
      <c r="C41" s="66">
        <v>0.30552499999999999</v>
      </c>
      <c r="D41" s="66">
        <v>28.5884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-8.5414599999999993E-2</v>
      </c>
      <c r="C42" s="66">
        <v>0.103867</v>
      </c>
      <c r="D42" s="66">
        <v>-1.2160299999999999</v>
      </c>
      <c r="E42" s="66">
        <v>0</v>
      </c>
      <c r="F42" s="66">
        <v>-0.40632400000000002</v>
      </c>
      <c r="G42" s="66">
        <v>0</v>
      </c>
      <c r="H42" s="66">
        <v>0.26613900000000001</v>
      </c>
    </row>
    <row r="43" spans="1:8">
      <c r="A43" s="58" t="s">
        <v>340</v>
      </c>
      <c r="B43" s="66">
        <v>2.63479E-2</v>
      </c>
      <c r="C43" s="66">
        <v>8.2036999999999999E-2</v>
      </c>
      <c r="D43" s="66">
        <v>3.11361</v>
      </c>
      <c r="E43" s="66">
        <v>0</v>
      </c>
      <c r="F43" s="66">
        <v>-0.13899800000000001</v>
      </c>
      <c r="G43" s="66">
        <v>0</v>
      </c>
      <c r="H43" s="66">
        <v>0.15034800000000001</v>
      </c>
    </row>
    <row r="44" spans="1:8">
      <c r="A44" s="58" t="s">
        <v>341</v>
      </c>
      <c r="B44" s="66">
        <v>-5.6578299999999997</v>
      </c>
      <c r="C44" s="66">
        <v>8.3986599999999996</v>
      </c>
      <c r="D44" s="66">
        <v>-1.4844299999999999</v>
      </c>
      <c r="E44" s="66">
        <v>0</v>
      </c>
      <c r="F44" s="66">
        <v>-22.1388</v>
      </c>
      <c r="G44" s="66">
        <v>0</v>
      </c>
      <c r="H44" s="66">
        <v>17.7682</v>
      </c>
    </row>
    <row r="45" spans="1:8">
      <c r="A45" s="58" t="s">
        <v>342</v>
      </c>
      <c r="B45" s="66">
        <v>53.860399999999998</v>
      </c>
      <c r="C45" s="66">
        <v>8.0038800000000005</v>
      </c>
      <c r="D45" s="66">
        <v>0.14860400000000001</v>
      </c>
      <c r="E45" s="66">
        <v>0</v>
      </c>
      <c r="F45" s="66">
        <v>34.596499999999999</v>
      </c>
      <c r="G45" s="66">
        <v>0</v>
      </c>
      <c r="H45" s="66">
        <v>78.136499999999998</v>
      </c>
    </row>
    <row r="46" spans="1:8">
      <c r="A46" s="58" t="s">
        <v>343</v>
      </c>
      <c r="B46" s="66">
        <v>31.237100000000002</v>
      </c>
      <c r="C46" s="66">
        <v>7.4367700000000001</v>
      </c>
      <c r="D46" s="66">
        <v>0.23807500000000001</v>
      </c>
      <c r="E46" s="66">
        <v>0</v>
      </c>
      <c r="F46" s="66">
        <v>7.1754100000000003</v>
      </c>
      <c r="G46" s="66">
        <v>0</v>
      </c>
      <c r="H46" s="66">
        <v>38.506500000000003</v>
      </c>
    </row>
    <row r="47" spans="1:8">
      <c r="A47" s="58" t="s">
        <v>344</v>
      </c>
      <c r="B47" s="66">
        <v>0.95609900000000003</v>
      </c>
      <c r="C47" s="66">
        <v>0.68508500000000006</v>
      </c>
      <c r="D47" s="66">
        <v>0.71654200000000001</v>
      </c>
      <c r="E47" s="66">
        <v>0</v>
      </c>
      <c r="F47" s="66">
        <v>0.34806799999999999</v>
      </c>
      <c r="G47" s="66">
        <v>0</v>
      </c>
      <c r="H47" s="66">
        <v>4.4345400000000001</v>
      </c>
    </row>
    <row r="48" spans="1:8">
      <c r="A48" s="58" t="s">
        <v>345</v>
      </c>
      <c r="B48" s="66">
        <v>0.93864199999999998</v>
      </c>
      <c r="C48" s="66">
        <v>0.143874</v>
      </c>
      <c r="D48" s="66">
        <v>0.153279</v>
      </c>
      <c r="E48" s="66">
        <v>0</v>
      </c>
      <c r="F48" s="66">
        <v>0.68689900000000004</v>
      </c>
      <c r="G48" s="66">
        <v>0</v>
      </c>
      <c r="H48" s="66">
        <v>1.23017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2.7481000000000009</v>
      </c>
      <c r="C5" s="66">
        <f>'M2'!C5-'M1'!C5</f>
        <v>-8.4641000000000002</v>
      </c>
      <c r="D5" s="66">
        <f>'M2'!D5-'M1'!D5</f>
        <v>-23.1343</v>
      </c>
      <c r="E5" s="66">
        <f>'M2'!E5-'M1'!E5</f>
        <v>0</v>
      </c>
      <c r="F5" s="66">
        <f>'M2'!F5-'M1'!F5</f>
        <v>25.868590000000001</v>
      </c>
      <c r="G5" s="66">
        <f>'M2'!G5-'M1'!G5</f>
        <v>0</v>
      </c>
      <c r="H5" s="66">
        <f>'M2'!H5-'M1'!H5</f>
        <v>1.6549000000000049</v>
      </c>
    </row>
    <row r="6" spans="1:8">
      <c r="A6" s="66" t="s">
        <v>244</v>
      </c>
      <c r="B6" s="66">
        <f>'M2'!B6-'M1'!B6</f>
        <v>8.0228000000000037</v>
      </c>
      <c r="C6" s="66">
        <f>'M2'!C6-'M1'!C6</f>
        <v>2.0631100000000004</v>
      </c>
      <c r="D6" s="66">
        <f>'M2'!D6-'M1'!D6</f>
        <v>3.4291600000000013</v>
      </c>
      <c r="E6" s="66">
        <f>'M2'!E6-'M1'!E6</f>
        <v>0</v>
      </c>
      <c r="F6" s="66">
        <f>'M2'!F6-'M1'!F6</f>
        <v>-0.16379999999999839</v>
      </c>
      <c r="G6" s="66">
        <f>'M2'!G6-'M1'!G6</f>
        <v>0</v>
      </c>
      <c r="H6" s="66">
        <f>'M2'!H6-'M1'!H6</f>
        <v>8.2310999999999979</v>
      </c>
    </row>
    <row r="7" spans="1:8">
      <c r="A7" s="66" t="s">
        <v>245</v>
      </c>
      <c r="B7" s="66">
        <f>'M2'!B7-'M1'!B7</f>
        <v>11.071100000000001</v>
      </c>
      <c r="C7" s="66">
        <f>'M2'!C7-'M1'!C7</f>
        <v>-2.3857699999999999</v>
      </c>
      <c r="D7" s="66">
        <f>'M2'!D7-'M1'!D7</f>
        <v>-18.595400000000001</v>
      </c>
      <c r="E7" s="66">
        <f>'M2'!E7-'M1'!E7</f>
        <v>0</v>
      </c>
      <c r="F7" s="66">
        <f>'M2'!F7-'M1'!F7</f>
        <v>12.996950000000002</v>
      </c>
      <c r="G7" s="66">
        <f>'M2'!G7-'M1'!G7</f>
        <v>0</v>
      </c>
      <c r="H7" s="66">
        <f>'M2'!H7-'M1'!H7</f>
        <v>8.080299999999994</v>
      </c>
    </row>
    <row r="8" spans="1:8">
      <c r="A8" s="66" t="s">
        <v>246</v>
      </c>
      <c r="B8" s="66">
        <f>'M2'!B8-'M1'!B8</f>
        <v>5.3089000000000013</v>
      </c>
      <c r="C8" s="66">
        <f>'M2'!C8-'M1'!C8</f>
        <v>-0.82220000000000004</v>
      </c>
      <c r="D8" s="66">
        <f>'M2'!D8-'M1'!D8</f>
        <v>-4.5293700000000001</v>
      </c>
      <c r="E8" s="66">
        <f>'M2'!E8-'M1'!E8</f>
        <v>0</v>
      </c>
      <c r="F8" s="66">
        <f>'M2'!F8-'M1'!F8</f>
        <v>13.268899999999999</v>
      </c>
      <c r="G8" s="66">
        <f>'M2'!G8-'M1'!G8</f>
        <v>0</v>
      </c>
      <c r="H8" s="66">
        <f>'M2'!H8-'M1'!H8</f>
        <v>5.2891000000000048</v>
      </c>
    </row>
    <row r="9" spans="1:8">
      <c r="A9" s="66" t="s">
        <v>247</v>
      </c>
      <c r="B9" s="66">
        <f>'M2'!B9-'M1'!B9</f>
        <v>5.9483000000000033</v>
      </c>
      <c r="C9" s="66">
        <f>'M2'!C9-'M1'!C9</f>
        <v>-0.37833000000000006</v>
      </c>
      <c r="D9" s="66">
        <f>'M2'!D9-'M1'!D9</f>
        <v>-1.6677</v>
      </c>
      <c r="E9" s="66">
        <f>'M2'!E9-'M1'!E9</f>
        <v>0</v>
      </c>
      <c r="F9" s="66">
        <f>'M2'!F9-'M1'!F9</f>
        <v>1.0592000000000041</v>
      </c>
      <c r="G9" s="66">
        <f>'M2'!G9-'M1'!G9</f>
        <v>0</v>
      </c>
      <c r="H9" s="66">
        <f>'M2'!H9-'M1'!H9</f>
        <v>-2.8469999999999942</v>
      </c>
    </row>
    <row r="10" spans="1:8">
      <c r="A10" s="66" t="s">
        <v>248</v>
      </c>
      <c r="B10" s="66">
        <f>'M2'!B10-'M1'!B10</f>
        <v>-8.8529000000000053</v>
      </c>
      <c r="C10" s="66">
        <f>'M2'!C10-'M1'!C10</f>
        <v>4.2131699999999999</v>
      </c>
      <c r="D10" s="66">
        <f>'M2'!D10-'M1'!D10</f>
        <v>6.1442999999999994</v>
      </c>
      <c r="E10" s="66">
        <f>'M2'!E10-'M1'!E10</f>
        <v>0</v>
      </c>
      <c r="F10" s="66">
        <f>'M2'!F10-'M1'!F10</f>
        <v>-14.529600000000002</v>
      </c>
      <c r="G10" s="66">
        <f>'M2'!G10-'M1'!G10</f>
        <v>0</v>
      </c>
      <c r="H10" s="66">
        <f>'M2'!H10-'M1'!H10</f>
        <v>-2.1348000000000127</v>
      </c>
    </row>
    <row r="11" spans="1:8">
      <c r="A11" s="66" t="s">
        <v>249</v>
      </c>
      <c r="B11" s="66">
        <f>'M2'!B11-'M1'!B11</f>
        <v>6.6736000000000004</v>
      </c>
      <c r="C11" s="66">
        <f>'M2'!C11-'M1'!C11</f>
        <v>-2.3678599999999999</v>
      </c>
      <c r="D11" s="66">
        <f>'M2'!D11-'M1'!D11</f>
        <v>-19.806800000000003</v>
      </c>
      <c r="E11" s="66">
        <f>'M2'!E11-'M1'!E11</f>
        <v>0</v>
      </c>
      <c r="F11" s="66">
        <f>'M2'!F11-'M1'!F11</f>
        <v>10.094500000000002</v>
      </c>
      <c r="G11" s="66">
        <f>'M2'!G11-'M1'!G11</f>
        <v>0</v>
      </c>
      <c r="H11" s="66">
        <f>'M2'!H11-'M1'!H11</f>
        <v>2.7268000000000008</v>
      </c>
    </row>
    <row r="12" spans="1:8">
      <c r="A12" s="66" t="s">
        <v>250</v>
      </c>
      <c r="B12" s="66">
        <f>'M2'!B12-'M1'!B12</f>
        <v>-0.96590000000000487</v>
      </c>
      <c r="C12" s="66">
        <f>'M2'!C12-'M1'!C12</f>
        <v>-0.92239000000000004</v>
      </c>
      <c r="D12" s="66">
        <f>'M2'!D12-'M1'!D12</f>
        <v>-1.2604100000000003</v>
      </c>
      <c r="E12" s="66">
        <f>'M2'!E12-'M1'!E12</f>
        <v>0</v>
      </c>
      <c r="F12" s="66">
        <f>'M2'!F12-'M1'!F12</f>
        <v>-2.9492999999999938</v>
      </c>
      <c r="G12" s="66">
        <f>'M2'!G12-'M1'!G12</f>
        <v>0</v>
      </c>
      <c r="H12" s="66">
        <f>'M2'!H12-'M1'!H12</f>
        <v>-6.4159999999999968</v>
      </c>
    </row>
    <row r="13" spans="1:8">
      <c r="A13" s="66" t="s">
        <v>251</v>
      </c>
      <c r="B13" s="66">
        <f>'M2'!B13-'M1'!B13</f>
        <v>-2.5199000000000016</v>
      </c>
      <c r="C13" s="66">
        <f>'M2'!C13-'M1'!C13</f>
        <v>-2.4342500000000005</v>
      </c>
      <c r="D13" s="66">
        <f>'M2'!D13-'M1'!D13</f>
        <v>-13.0923</v>
      </c>
      <c r="E13" s="66">
        <f>'M2'!E13-'M1'!E13</f>
        <v>0</v>
      </c>
      <c r="F13" s="66">
        <f>'M2'!F13-'M1'!F13</f>
        <v>-2.0523000000000007</v>
      </c>
      <c r="G13" s="66">
        <f>'M2'!G13-'M1'!G13</f>
        <v>0</v>
      </c>
      <c r="H13" s="66">
        <f>'M2'!H13-'M1'!H13</f>
        <v>-14.6995</v>
      </c>
    </row>
    <row r="14" spans="1:8">
      <c r="A14" s="66" t="s">
        <v>252</v>
      </c>
      <c r="B14" s="66">
        <f>'M2'!B14-'M1'!B14</f>
        <v>-24.342500000000001</v>
      </c>
      <c r="C14" s="66">
        <f>'M2'!C14-'M1'!C14</f>
        <v>1.4626999999999999</v>
      </c>
      <c r="D14" s="66">
        <f>'M2'!D14-'M1'!D14</f>
        <v>70.838899999999995</v>
      </c>
      <c r="E14" s="66">
        <f>'M2'!E14-'M1'!E14</f>
        <v>0</v>
      </c>
      <c r="F14" s="66">
        <f>'M2'!F14-'M1'!F14</f>
        <v>1.4396849999999999</v>
      </c>
      <c r="G14" s="66">
        <f>'M2'!G14-'M1'!G14</f>
        <v>0</v>
      </c>
      <c r="H14" s="66">
        <f>'M2'!H14-'M1'!H14</f>
        <v>-9.1839000000000013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-6.6696000000000033E-2</v>
      </c>
      <c r="C18" s="66">
        <f>'M2'!C18-'M1'!C18</f>
        <v>6.7509E-2</v>
      </c>
      <c r="D18" s="66">
        <f>'M2'!D18-'M1'!D18</f>
        <v>0.163657</v>
      </c>
      <c r="E18" s="66">
        <f>'M2'!E18-'M1'!E18</f>
        <v>0</v>
      </c>
      <c r="F18" s="66">
        <f>'M2'!F18-'M1'!F18</f>
        <v>0.34499299999999999</v>
      </c>
      <c r="G18" s="66">
        <f>'M2'!G18-'M1'!G18</f>
        <v>0</v>
      </c>
      <c r="H18" s="66">
        <f>'M2'!H18-'M1'!H18</f>
        <v>0.48001100000000002</v>
      </c>
    </row>
    <row r="19" spans="1:8">
      <c r="A19" s="66" t="s">
        <v>256</v>
      </c>
      <c r="B19" s="66">
        <f>'M2'!B19-'M1'!B19</f>
        <v>0.11182800000000004</v>
      </c>
      <c r="C19" s="66">
        <f>'M2'!C19-'M1'!C19</f>
        <v>8.6074399999999995E-2</v>
      </c>
      <c r="D19" s="66">
        <f>'M2'!D19-'M1'!D19</f>
        <v>0.12775800000000001</v>
      </c>
      <c r="E19" s="66">
        <f>'M2'!E19-'M1'!E19</f>
        <v>0</v>
      </c>
      <c r="F19" s="66">
        <f>'M2'!F19-'M1'!F19</f>
        <v>0.58765500000000004</v>
      </c>
      <c r="G19" s="66">
        <f>'M2'!G19-'M1'!G19</f>
        <v>0</v>
      </c>
      <c r="H19" s="66">
        <f>'M2'!H19-'M1'!H19</f>
        <v>0.75980400000000003</v>
      </c>
    </row>
    <row r="20" spans="1:8">
      <c r="A20" s="66" t="s">
        <v>63</v>
      </c>
      <c r="B20" s="66">
        <f>'M2'!B20-'M1'!B20</f>
        <v>-6.07684E-3</v>
      </c>
      <c r="C20" s="66">
        <f>'M2'!C20-'M1'!C20</f>
        <v>-0.1909305</v>
      </c>
      <c r="D20" s="66">
        <f>'M2'!D20-'M1'!D20</f>
        <v>-19.228430000000003</v>
      </c>
      <c r="E20" s="66">
        <f>'M2'!E20-'M1'!E20</f>
        <v>0</v>
      </c>
      <c r="F20" s="66">
        <f>'M2'!F20-'M1'!F20</f>
        <v>3.8888399999999999E-5</v>
      </c>
      <c r="G20" s="66">
        <f>'M2'!G20-'M1'!G20</f>
        <v>0</v>
      </c>
      <c r="H20" s="66">
        <f>'M2'!H20-'M1'!H20</f>
        <v>-1.5251000000000001</v>
      </c>
    </row>
    <row r="21" spans="1:8">
      <c r="A21" s="66" t="s">
        <v>64</v>
      </c>
      <c r="B21" s="66">
        <f>'M2'!B21-'M1'!B21</f>
        <v>-0.14759699999999998</v>
      </c>
      <c r="C21" s="66">
        <f>'M2'!C21-'M1'!C21</f>
        <v>-1.7723302000000001</v>
      </c>
      <c r="D21" s="66">
        <f>'M2'!D21-'M1'!D21</f>
        <v>-7.6590600000000002</v>
      </c>
      <c r="E21" s="66">
        <f>'M2'!E21-'M1'!E21</f>
        <v>0</v>
      </c>
      <c r="F21" s="66">
        <f>'M2'!F21-'M1'!F21</f>
        <v>-1.9846320000000001E-3</v>
      </c>
      <c r="G21" s="66">
        <f>'M2'!G21-'M1'!G21</f>
        <v>0</v>
      </c>
      <c r="H21" s="66">
        <f>'M2'!H21-'M1'!H21</f>
        <v>-11.231867000000001</v>
      </c>
    </row>
    <row r="22" spans="1:8">
      <c r="A22" s="66" t="s">
        <v>65</v>
      </c>
      <c r="B22" s="66">
        <f>'M2'!B22-'M1'!B22</f>
        <v>-17.138200000000001</v>
      </c>
      <c r="C22" s="66">
        <f>'M2'!C22-'M1'!C22</f>
        <v>-42.829389999999997</v>
      </c>
      <c r="D22" s="66">
        <f>'M2'!D22-'M1'!D22</f>
        <v>-0.92076000000000002</v>
      </c>
      <c r="E22" s="66">
        <f>'M2'!E22-'M1'!E22</f>
        <v>0</v>
      </c>
      <c r="F22" s="66">
        <f>'M2'!F22-'M1'!F22</f>
        <v>-9.441200000000002</v>
      </c>
      <c r="G22" s="66">
        <f>'M2'!G22-'M1'!G22</f>
        <v>0</v>
      </c>
      <c r="H22" s="66">
        <f>'M2'!H22-'M1'!H22</f>
        <v>-211.78169999999997</v>
      </c>
    </row>
    <row r="23" spans="1:8">
      <c r="A23" s="66" t="s">
        <v>66</v>
      </c>
      <c r="B23" s="66">
        <f>'M2'!B23-'M1'!B23</f>
        <v>-1.4448000000000008</v>
      </c>
      <c r="C23" s="66">
        <f>'M2'!C23-'M1'!C23</f>
        <v>-5.1026000000000007</v>
      </c>
      <c r="D23" s="66">
        <f>'M2'!D23-'M1'!D23</f>
        <v>-0.25411699999999993</v>
      </c>
      <c r="E23" s="66">
        <f>'M2'!E23-'M1'!E23</f>
        <v>0</v>
      </c>
      <c r="F23" s="66">
        <f>'M2'!F23-'M1'!F23</f>
        <v>5.2597199999999997</v>
      </c>
      <c r="G23" s="66">
        <f>'M2'!G23-'M1'!G23</f>
        <v>0</v>
      </c>
      <c r="H23" s="66">
        <f>'M2'!H23-'M1'!H23</f>
        <v>-3.8044999999999973</v>
      </c>
    </row>
    <row r="24" spans="1:8">
      <c r="A24" s="66" t="s">
        <v>67</v>
      </c>
      <c r="B24" s="66">
        <f>'M2'!B24-'M1'!B24</f>
        <v>-1.172687E-2</v>
      </c>
      <c r="C24" s="66">
        <f>'M2'!C24-'M1'!C24</f>
        <v>-0.17816144</v>
      </c>
      <c r="D24" s="66">
        <f>'M2'!D24-'M1'!D24</f>
        <v>-9.6950699999999994</v>
      </c>
      <c r="E24" s="66">
        <f>'M2'!E24-'M1'!E24</f>
        <v>0</v>
      </c>
      <c r="F24" s="66">
        <f>'M2'!F24-'M1'!F24</f>
        <v>-2.3986799999999996E-4</v>
      </c>
      <c r="G24" s="66">
        <f>'M2'!G24-'M1'!G24</f>
        <v>0</v>
      </c>
      <c r="H24" s="66">
        <f>'M2'!H24-'M1'!H24</f>
        <v>-1.4424211</v>
      </c>
    </row>
    <row r="25" spans="1:8">
      <c r="A25" s="66" t="s">
        <v>68</v>
      </c>
      <c r="B25" s="66">
        <f>'M2'!B25-'M1'!B25</f>
        <v>-0.16876550000000001</v>
      </c>
      <c r="C25" s="66">
        <f>'M2'!C25-'M1'!C25</f>
        <v>-1.3845566</v>
      </c>
      <c r="D25" s="66">
        <f>'M2'!D25-'M1'!D25</f>
        <v>-5.5842000000000001</v>
      </c>
      <c r="E25" s="66">
        <f>'M2'!E25-'M1'!E25</f>
        <v>0</v>
      </c>
      <c r="F25" s="66">
        <f>'M2'!F25-'M1'!F25</f>
        <v>-3.9650100000000001E-2</v>
      </c>
      <c r="G25" s="66">
        <f>'M2'!G25-'M1'!G25</f>
        <v>0</v>
      </c>
      <c r="H25" s="66">
        <f>'M2'!H25-'M1'!H25</f>
        <v>-6.0980609999999995</v>
      </c>
    </row>
    <row r="26" spans="1:8">
      <c r="A26" s="66" t="s">
        <v>69</v>
      </c>
      <c r="B26" s="66">
        <f>'M2'!B26-'M1'!B26</f>
        <v>-1.8136180000000003E-3</v>
      </c>
      <c r="C26" s="66">
        <f>'M2'!C26-'M1'!C26</f>
        <v>-1.386895E-2</v>
      </c>
      <c r="D26" s="66">
        <f>'M2'!D26-'M1'!D26</f>
        <v>-4.1595899999999997</v>
      </c>
      <c r="E26" s="66">
        <f>'M2'!E26-'M1'!E26</f>
        <v>0</v>
      </c>
      <c r="F26" s="66">
        <f>'M2'!F26-'M1'!F26</f>
        <v>1.64128E-5</v>
      </c>
      <c r="G26" s="66">
        <f>'M2'!G26-'M1'!G26</f>
        <v>0</v>
      </c>
      <c r="H26" s="66">
        <f>'M2'!H26-'M1'!H26</f>
        <v>-8.7345719999999988E-2</v>
      </c>
    </row>
    <row r="27" spans="1:8">
      <c r="A27" s="66" t="s">
        <v>70</v>
      </c>
      <c r="B27" s="66">
        <f>'M2'!B27-'M1'!B27</f>
        <v>7.2216400000000002E-5</v>
      </c>
      <c r="C27" s="66">
        <f>'M2'!C27-'M1'!C27</f>
        <v>-2.02163E-3</v>
      </c>
      <c r="D27" s="66">
        <f>'M2'!D27-'M1'!D27</f>
        <v>-10.459000000000003</v>
      </c>
      <c r="E27" s="66">
        <f>'M2'!E27-'M1'!E27</f>
        <v>0</v>
      </c>
      <c r="F27" s="66">
        <f>'M2'!F27-'M1'!F27</f>
        <v>1.398042E-2</v>
      </c>
      <c r="G27" s="66">
        <f>'M2'!G27-'M1'!G27</f>
        <v>0</v>
      </c>
      <c r="H27" s="66">
        <f>'M2'!H27-'M1'!H27</f>
        <v>-1.2900450000000001E-2</v>
      </c>
    </row>
    <row r="28" spans="1:8">
      <c r="A28" s="66" t="s">
        <v>71</v>
      </c>
      <c r="B28" s="66">
        <f>'M2'!B28-'M1'!B28</f>
        <v>-1.5644499999999999E-2</v>
      </c>
      <c r="C28" s="66">
        <f>'M2'!C28-'M1'!C28</f>
        <v>-4.4017210000000001E-2</v>
      </c>
      <c r="D28" s="66">
        <f>'M2'!D28-'M1'!D28</f>
        <v>-1.1240389999999998</v>
      </c>
      <c r="E28" s="66">
        <f>'M2'!E28-'M1'!E28</f>
        <v>0</v>
      </c>
      <c r="F28" s="66">
        <f>'M2'!F28-'M1'!F28</f>
        <v>-6.6731700000000006E-4</v>
      </c>
      <c r="G28" s="66">
        <f>'M2'!G28-'M1'!G28</f>
        <v>0</v>
      </c>
      <c r="H28" s="66">
        <f>'M2'!H28-'M1'!H28</f>
        <v>-0.2213676</v>
      </c>
    </row>
    <row r="29" spans="1:8">
      <c r="A29" s="66" t="s">
        <v>72</v>
      </c>
      <c r="B29" s="66">
        <f>'M2'!B29-'M1'!B29</f>
        <v>-8.2120000000000033</v>
      </c>
      <c r="C29" s="66">
        <f>'M2'!C29-'M1'!C29</f>
        <v>-3.0088900000000001</v>
      </c>
      <c r="D29" s="66">
        <f>'M2'!D29-'M1'!D29</f>
        <v>-2.7823000000000001E-2</v>
      </c>
      <c r="E29" s="66">
        <f>'M2'!E29-'M1'!E29</f>
        <v>0</v>
      </c>
      <c r="F29" s="66">
        <f>'M2'!F29-'M1'!F29</f>
        <v>3.4795999999999978</v>
      </c>
      <c r="G29" s="66">
        <f>'M2'!G29-'M1'!G29</f>
        <v>0</v>
      </c>
      <c r="H29" s="66">
        <f>'M2'!H29-'M1'!H29</f>
        <v>-31.811999999999998</v>
      </c>
    </row>
    <row r="30" spans="1:8">
      <c r="A30" s="66" t="s">
        <v>73</v>
      </c>
      <c r="B30" s="66">
        <f>'M2'!B30-'M1'!B30</f>
        <v>1.3393000000000015</v>
      </c>
      <c r="C30" s="66">
        <f>'M2'!C30-'M1'!C30</f>
        <v>-6.3881000000000006</v>
      </c>
      <c r="D30" s="66">
        <f>'M2'!D30-'M1'!D30</f>
        <v>-0.30194500000000002</v>
      </c>
      <c r="E30" s="66">
        <f>'M2'!E30-'M1'!E30</f>
        <v>0</v>
      </c>
      <c r="F30" s="66">
        <f>'M2'!F30-'M1'!F30</f>
        <v>12.230639999999999</v>
      </c>
      <c r="G30" s="66">
        <f>'M2'!G30-'M1'!G30</f>
        <v>0</v>
      </c>
      <c r="H30" s="66">
        <f>'M2'!H30-'M1'!H30</f>
        <v>-4.9089000000000027</v>
      </c>
    </row>
    <row r="31" spans="1:8">
      <c r="A31" s="66" t="s">
        <v>74</v>
      </c>
      <c r="B31" s="66">
        <f>'M2'!B31-'M1'!B31</f>
        <v>-72.884</v>
      </c>
      <c r="C31" s="66">
        <f>'M2'!C31-'M1'!C31</f>
        <v>-16.521599999999999</v>
      </c>
      <c r="D31" s="66">
        <f>'M2'!D31-'M1'!D31</f>
        <v>7.5577000000000005E-2</v>
      </c>
      <c r="E31" s="66">
        <f>'M2'!E31-'M1'!E31</f>
        <v>0</v>
      </c>
      <c r="F31" s="66">
        <f>'M2'!F31-'M1'!F31</f>
        <v>46.8446</v>
      </c>
      <c r="G31" s="66">
        <f>'M2'!G31-'M1'!G31</f>
        <v>0</v>
      </c>
      <c r="H31" s="66">
        <f>'M2'!H31-'M1'!H31</f>
        <v>-27.251999999999981</v>
      </c>
    </row>
    <row r="32" spans="1:8">
      <c r="A32" s="66" t="s">
        <v>75</v>
      </c>
      <c r="B32" s="66">
        <f>'M2'!B32-'M1'!B32</f>
        <v>0.110711</v>
      </c>
      <c r="C32" s="66">
        <f>'M2'!C32-'M1'!C32</f>
        <v>-2.3857700000000003E-2</v>
      </c>
      <c r="D32" s="66">
        <f>'M2'!D32-'M1'!D32</f>
        <v>-0.18595400000000004</v>
      </c>
      <c r="E32" s="66">
        <f>'M2'!E32-'M1'!E32</f>
        <v>0</v>
      </c>
      <c r="F32" s="66">
        <f>'M2'!F32-'M1'!F32</f>
        <v>0.12996950000000002</v>
      </c>
      <c r="G32" s="66">
        <f>'M2'!G32-'M1'!G32</f>
        <v>0</v>
      </c>
      <c r="H32" s="66">
        <f>'M2'!H32-'M1'!H32</f>
        <v>8.0803000000000014E-2</v>
      </c>
    </row>
    <row r="33" spans="1:8">
      <c r="A33" s="66" t="s">
        <v>76</v>
      </c>
      <c r="B33" s="66">
        <f>'M2'!B33-'M1'!B33</f>
        <v>6.1776000000000025E-2</v>
      </c>
      <c r="C33" s="66">
        <f>'M2'!C33-'M1'!C33</f>
        <v>1.7830500000000003E-2</v>
      </c>
      <c r="D33" s="66">
        <f>'M2'!D33-'M1'!D33</f>
        <v>4.3733899999999992E-2</v>
      </c>
      <c r="E33" s="66">
        <f>'M2'!E33-'M1'!E33</f>
        <v>0</v>
      </c>
      <c r="F33" s="66">
        <f>'M2'!F33-'M1'!F33</f>
        <v>6.7144999999999982E-2</v>
      </c>
      <c r="G33" s="66">
        <f>'M2'!G33-'M1'!G33</f>
        <v>0</v>
      </c>
      <c r="H33" s="66">
        <f>'M2'!H33-'M1'!H33</f>
        <v>9.4420000000000004E-2</v>
      </c>
    </row>
    <row r="34" spans="1:8">
      <c r="A34" s="66" t="s">
        <v>77</v>
      </c>
      <c r="B34" s="66">
        <f>'M2'!B34-'M1'!B34</f>
        <v>-2.5198999999999999E-2</v>
      </c>
      <c r="C34" s="66">
        <f>'M2'!C34-'M1'!C34</f>
        <v>-2.4342500000000003E-2</v>
      </c>
      <c r="D34" s="66">
        <f>'M2'!D34-'M1'!D34</f>
        <v>-0.13092300000000001</v>
      </c>
      <c r="E34" s="66">
        <f>'M2'!E34-'M1'!E34</f>
        <v>0</v>
      </c>
      <c r="F34" s="66">
        <f>'M2'!F34-'M1'!F34</f>
        <v>-2.0523E-2</v>
      </c>
      <c r="G34" s="66">
        <f>'M2'!G34-'M1'!G34</f>
        <v>0</v>
      </c>
      <c r="H34" s="66">
        <f>'M2'!H34-'M1'!H34</f>
        <v>-0.14699499999999999</v>
      </c>
    </row>
    <row r="35" spans="1:8">
      <c r="A35" s="66" t="s">
        <v>78</v>
      </c>
      <c r="B35" s="66">
        <f>'M2'!B35-'M1'!B35</f>
        <v>-1.0278799999999998E-2</v>
      </c>
      <c r="C35" s="66">
        <f>'M2'!C35-'M1'!C35</f>
        <v>-2.023637E-2</v>
      </c>
      <c r="D35" s="66">
        <f>'M2'!D35-'M1'!D35</f>
        <v>-0.315029</v>
      </c>
      <c r="E35" s="66">
        <f>'M2'!E35-'M1'!E35</f>
        <v>0</v>
      </c>
      <c r="F35" s="66">
        <f>'M2'!F35-'M1'!F35</f>
        <v>2.1638000000000004E-3</v>
      </c>
      <c r="G35" s="66">
        <f>'M2'!G35-'M1'!G35</f>
        <v>0</v>
      </c>
      <c r="H35" s="66">
        <f>'M2'!H35-'M1'!H35</f>
        <v>-8.9339700000000008E-2</v>
      </c>
    </row>
    <row r="36" spans="1:8">
      <c r="A36" s="66" t="s">
        <v>79</v>
      </c>
      <c r="B36" s="66">
        <f>'M2'!B36-'M1'!B36</f>
        <v>-2.3715000000000014E-2</v>
      </c>
      <c r="C36" s="66">
        <f>'M2'!C36-'M1'!C36</f>
        <v>-2.7629100000000004E-2</v>
      </c>
      <c r="D36" s="66">
        <f>'M2'!D36-'M1'!D36</f>
        <v>-0.11012000000000005</v>
      </c>
      <c r="E36" s="66">
        <f>'M2'!E36-'M1'!E36</f>
        <v>0</v>
      </c>
      <c r="F36" s="66">
        <f>'M2'!F36-'M1'!F36</f>
        <v>-4.9574999999999966E-3</v>
      </c>
      <c r="G36" s="66">
        <f>'M2'!G36-'M1'!G36</f>
        <v>0</v>
      </c>
      <c r="H36" s="66">
        <f>'M2'!H36-'M1'!H36</f>
        <v>-0.21659200000000001</v>
      </c>
    </row>
    <row r="37" spans="1:8">
      <c r="A37" s="66" t="s">
        <v>80</v>
      </c>
      <c r="B37" s="66">
        <f>'M2'!B37-'M1'!B37</f>
        <v>-0.24342499999999997</v>
      </c>
      <c r="C37" s="66">
        <f>'M2'!C37-'M1'!C37</f>
        <v>1.4627000000000001E-2</v>
      </c>
      <c r="D37" s="66">
        <f>'M2'!D37-'M1'!D37</f>
        <v>0.70838899999999994</v>
      </c>
      <c r="E37" s="66">
        <f>'M2'!E37-'M1'!E37</f>
        <v>0</v>
      </c>
      <c r="F37" s="66">
        <f>'M2'!F37-'M1'!F37</f>
        <v>1.4396849999999999E-2</v>
      </c>
      <c r="G37" s="66">
        <f>'M2'!G37-'M1'!G37</f>
        <v>0</v>
      </c>
      <c r="H37" s="66">
        <f>'M2'!H37-'M1'!H37</f>
        <v>-9.1839000000000004E-2</v>
      </c>
    </row>
    <row r="38" spans="1:8">
      <c r="A38" s="66" t="s">
        <v>81</v>
      </c>
      <c r="B38" s="66">
        <f>'M2'!B38-'M1'!B38</f>
        <v>3.2626999999999997</v>
      </c>
      <c r="C38" s="66">
        <f>'M2'!C38-'M1'!C38</f>
        <v>-52.081499999999998</v>
      </c>
      <c r="D38" s="66">
        <f>'M2'!D38-'M1'!D38</f>
        <v>3.1214499999999994</v>
      </c>
      <c r="E38" s="66">
        <f>'M2'!E38-'M1'!E38</f>
        <v>0</v>
      </c>
      <c r="F38" s="66">
        <f>'M2'!F38-'M1'!F38</f>
        <v>-8.813999999999993</v>
      </c>
      <c r="G38" s="66">
        <f>'M2'!G38-'M1'!G38</f>
        <v>0</v>
      </c>
      <c r="H38" s="66">
        <f>'M2'!H38-'M1'!H38</f>
        <v>-304.38170000000002</v>
      </c>
    </row>
    <row r="39" spans="1:8">
      <c r="A39" s="66" t="s">
        <v>82</v>
      </c>
      <c r="B39" s="66">
        <f>'M2'!B39-'M1'!B39</f>
        <v>1.59213</v>
      </c>
      <c r="C39" s="66">
        <f>'M2'!C39-'M1'!C39</f>
        <v>-13.889950000000001</v>
      </c>
      <c r="D39" s="66">
        <f>'M2'!D39-'M1'!D39</f>
        <v>1.9928110000000001</v>
      </c>
      <c r="E39" s="66">
        <f>'M2'!E39-'M1'!E39</f>
        <v>0</v>
      </c>
      <c r="F39" s="66">
        <f>'M2'!F39-'M1'!F39</f>
        <v>-2.0617000000000019</v>
      </c>
      <c r="G39" s="66">
        <f>'M2'!G39-'M1'!G39</f>
        <v>0</v>
      </c>
      <c r="H39" s="66">
        <f>'M2'!H39-'M1'!H39</f>
        <v>-50.83614</v>
      </c>
    </row>
    <row r="40" spans="1:8">
      <c r="A40" s="66" t="s">
        <v>83</v>
      </c>
      <c r="B40" s="66">
        <f>'M2'!B40-'M1'!B40</f>
        <v>-4.0132300000000001</v>
      </c>
      <c r="C40" s="66">
        <f>'M2'!C40-'M1'!C40</f>
        <v>0.57799000000000023</v>
      </c>
      <c r="D40" s="66">
        <f>'M2'!D40-'M1'!D40</f>
        <v>-3.0907299999999998</v>
      </c>
      <c r="E40" s="66">
        <f>'M2'!E40-'M1'!E40</f>
        <v>0</v>
      </c>
      <c r="F40" s="66">
        <f>'M2'!F40-'M1'!F40</f>
        <v>-3.4544740000000003</v>
      </c>
      <c r="G40" s="66">
        <f>'M2'!G40-'M1'!G40</f>
        <v>0</v>
      </c>
      <c r="H40" s="66">
        <f>'M2'!H40-'M1'!H40</f>
        <v>-1.82498</v>
      </c>
    </row>
    <row r="41" spans="1:8">
      <c r="A41" s="66" t="s">
        <v>84</v>
      </c>
      <c r="B41" s="66">
        <f>'M2'!B41-'M1'!B41</f>
        <v>-3.1308200000000012E-3</v>
      </c>
      <c r="C41" s="66">
        <f>'M2'!C41-'M1'!C41</f>
        <v>1.8108000000000013E-2</v>
      </c>
      <c r="D41" s="66">
        <f>'M2'!D41-'M1'!D41</f>
        <v>10.507899999999999</v>
      </c>
      <c r="E41" s="66">
        <f>'M2'!E41-'M1'!E41</f>
        <v>0</v>
      </c>
      <c r="F41" s="66">
        <f>'M2'!F41-'M1'!F41</f>
        <v>-0.40724199999999999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-4.3608800000000003E-2</v>
      </c>
      <c r="C42" s="66">
        <f>'M2'!C42-'M1'!C42</f>
        <v>-1.6609100000000002E-2</v>
      </c>
      <c r="D42" s="66">
        <f>'M2'!D42-'M1'!D42</f>
        <v>1.0815430000000001</v>
      </c>
      <c r="E42" s="66">
        <f>'M2'!E42-'M1'!E42</f>
        <v>0</v>
      </c>
      <c r="F42" s="66">
        <f>'M2'!F42-'M1'!F42</f>
        <v>-0.15605400000000003</v>
      </c>
      <c r="G42" s="66">
        <f>'M2'!G42-'M1'!G42</f>
        <v>0</v>
      </c>
      <c r="H42" s="66">
        <f>'M2'!H42-'M1'!H42</f>
        <v>5.3497000000000017E-2</v>
      </c>
    </row>
    <row r="43" spans="1:8">
      <c r="A43" s="66" t="s">
        <v>86</v>
      </c>
      <c r="B43" s="66">
        <f>'M2'!B43-'M1'!B43</f>
        <v>-0.13741890000000001</v>
      </c>
      <c r="C43" s="66">
        <f>'M2'!C43-'M1'!C43</f>
        <v>8.1215000000000037E-3</v>
      </c>
      <c r="D43" s="66">
        <f>'M2'!D43-'M1'!D43</f>
        <v>-1.4437820000000001</v>
      </c>
      <c r="E43" s="66">
        <f>'M2'!E43-'M1'!E43</f>
        <v>0</v>
      </c>
      <c r="F43" s="66">
        <f>'M2'!F43-'M1'!F43</f>
        <v>-0.13109764000000002</v>
      </c>
      <c r="G43" s="66">
        <f>'M2'!G43-'M1'!G43</f>
        <v>0</v>
      </c>
      <c r="H43" s="66">
        <f>'M2'!H43-'M1'!H43</f>
        <v>-0.10372960000000001</v>
      </c>
    </row>
    <row r="44" spans="1:8">
      <c r="A44" s="66" t="s">
        <v>87</v>
      </c>
      <c r="B44" s="66">
        <f>'M2'!B44-'M1'!B44</f>
        <v>6.5210299999999997</v>
      </c>
      <c r="C44" s="66">
        <f>'M2'!C44-'M1'!C44</f>
        <v>2.8273200000000003</v>
      </c>
      <c r="D44" s="66">
        <f>'M2'!D44-'M1'!D44</f>
        <v>-3.6208069999999997</v>
      </c>
      <c r="E44" s="66">
        <f>'M2'!E44-'M1'!E44</f>
        <v>0</v>
      </c>
      <c r="F44" s="66">
        <f>'M2'!F44-'M1'!F44</f>
        <v>6.7280999999999995</v>
      </c>
      <c r="G44" s="66">
        <f>'M2'!G44-'M1'!G44</f>
        <v>0</v>
      </c>
      <c r="H44" s="66">
        <f>'M2'!H44-'M1'!H44</f>
        <v>13.61055</v>
      </c>
    </row>
    <row r="45" spans="1:8">
      <c r="A45" s="66" t="s">
        <v>88</v>
      </c>
      <c r="B45" s="66">
        <f>'M2'!B45-'M1'!B45</f>
        <v>6.7254000000000005</v>
      </c>
      <c r="C45" s="66">
        <f>'M2'!C45-'M1'!C45</f>
        <v>1.1662500000000007</v>
      </c>
      <c r="D45" s="66">
        <f>'M2'!D45-'M1'!D45</f>
        <v>4.5789999999999997E-3</v>
      </c>
      <c r="E45" s="66">
        <f>'M2'!E45-'M1'!E45</f>
        <v>0</v>
      </c>
      <c r="F45" s="66">
        <f>'M2'!F45-'M1'!F45</f>
        <v>-2.8995999999999995</v>
      </c>
      <c r="G45" s="66">
        <f>'M2'!G45-'M1'!G45</f>
        <v>0</v>
      </c>
      <c r="H45" s="66">
        <f>'M2'!H45-'M1'!H45</f>
        <v>-4.1064999999999969</v>
      </c>
    </row>
    <row r="46" spans="1:8">
      <c r="A46" s="66" t="s">
        <v>89</v>
      </c>
      <c r="B46" s="66">
        <f>'M2'!B46-'M1'!B46</f>
        <v>2.1125000000000007</v>
      </c>
      <c r="C46" s="66">
        <f>'M2'!C46-'M1'!C46</f>
        <v>-5.5184700000000007</v>
      </c>
      <c r="D46" s="66">
        <f>'M2'!D46-'M1'!D46</f>
        <v>-0.1936947</v>
      </c>
      <c r="E46" s="66">
        <f>'M2'!E46-'M1'!E46</f>
        <v>0</v>
      </c>
      <c r="F46" s="66">
        <f>'M2'!F46-'M1'!F46</f>
        <v>22.151289999999999</v>
      </c>
      <c r="G46" s="66">
        <f>'M2'!G46-'M1'!G46</f>
        <v>0</v>
      </c>
      <c r="H46" s="66">
        <f>'M2'!H46-'M1'!H46</f>
        <v>3.0546000000000006</v>
      </c>
    </row>
    <row r="47" spans="1:8">
      <c r="A47" s="66" t="s">
        <v>90</v>
      </c>
      <c r="B47" s="66">
        <f>'M2'!B47-'M1'!B47</f>
        <v>-0.48804899999999996</v>
      </c>
      <c r="C47" s="66">
        <f>'M2'!C47-'M1'!C47</f>
        <v>-0.51089899999999999</v>
      </c>
      <c r="D47" s="66">
        <f>'M2'!D47-'M1'!D47</f>
        <v>-0.27249600000000002</v>
      </c>
      <c r="E47" s="66">
        <f>'M2'!E47-'M1'!E47</f>
        <v>0</v>
      </c>
      <c r="F47" s="66">
        <f>'M2'!F47-'M1'!F47</f>
        <v>-0.23923699999999998</v>
      </c>
      <c r="G47" s="66">
        <f>'M2'!G47-'M1'!G47</f>
        <v>0</v>
      </c>
      <c r="H47" s="66">
        <f>'M2'!H47-'M1'!H47</f>
        <v>-2.4937800000000001</v>
      </c>
    </row>
    <row r="48" spans="1:8">
      <c r="A48" s="66" t="s">
        <v>91</v>
      </c>
      <c r="B48" s="66">
        <f>'M2'!B48-'M1'!B48</f>
        <v>6.9464999999999999E-2</v>
      </c>
      <c r="C48" s="66">
        <f>'M2'!C48-'M1'!C48</f>
        <v>9.5990000000000242E-3</v>
      </c>
      <c r="D48" s="66">
        <f>'M2'!D48-'M1'!D48</f>
        <v>-8.859999999999979E-4</v>
      </c>
      <c r="E48" s="66">
        <f>'M2'!E48-'M1'!E48</f>
        <v>0</v>
      </c>
      <c r="F48" s="66">
        <f>'M2'!F48-'M1'!F48</f>
        <v>4.2149999999999688E-3</v>
      </c>
      <c r="G48" s="66">
        <f>'M2'!G48-'M1'!G48</f>
        <v>0</v>
      </c>
      <c r="H48" s="66">
        <f>'M2'!H48-'M1'!H48</f>
        <v>-3.3499999999999641E-3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346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37.735300000000002</v>
      </c>
      <c r="C5" s="66">
        <v>12.378</v>
      </c>
      <c r="D5" s="66">
        <v>32.802199999999999</v>
      </c>
      <c r="E5" s="66">
        <v>20</v>
      </c>
      <c r="F5" s="66">
        <v>8.8247099999999996</v>
      </c>
      <c r="G5" s="66">
        <v>50</v>
      </c>
      <c r="H5" s="66">
        <v>50.182099999999998</v>
      </c>
    </row>
    <row r="6" spans="1:8">
      <c r="A6" s="66" t="s">
        <v>303</v>
      </c>
      <c r="B6" s="66">
        <v>28.966999999999999</v>
      </c>
      <c r="C6" s="66">
        <v>2.8692199999999999</v>
      </c>
      <c r="D6" s="66">
        <v>9.9051399999999994</v>
      </c>
      <c r="E6" s="66">
        <v>20</v>
      </c>
      <c r="F6" s="66">
        <v>25.8142</v>
      </c>
      <c r="G6" s="66">
        <v>40</v>
      </c>
      <c r="H6" s="66">
        <v>34.564100000000003</v>
      </c>
    </row>
    <row r="7" spans="1:8">
      <c r="A7" s="66" t="s">
        <v>304</v>
      </c>
      <c r="B7" s="66">
        <v>20.928899999999999</v>
      </c>
      <c r="C7" s="66">
        <v>6.7388899999999996</v>
      </c>
      <c r="D7" s="66">
        <v>32.198900000000002</v>
      </c>
      <c r="E7" s="66">
        <v>15</v>
      </c>
      <c r="F7" s="66">
        <v>7.6490499999999999</v>
      </c>
      <c r="G7" s="66">
        <v>40</v>
      </c>
      <c r="H7" s="66">
        <v>34.096400000000003</v>
      </c>
    </row>
    <row r="8" spans="1:8">
      <c r="A8" s="66" t="s">
        <v>305</v>
      </c>
      <c r="B8" s="66">
        <v>29.152000000000001</v>
      </c>
      <c r="C8" s="66">
        <v>4.0561600000000002</v>
      </c>
      <c r="D8" s="66">
        <v>13.9138</v>
      </c>
      <c r="E8" s="66">
        <v>20</v>
      </c>
      <c r="F8" s="66">
        <v>17.798300000000001</v>
      </c>
      <c r="G8" s="66">
        <v>50</v>
      </c>
      <c r="H8" s="66">
        <v>36.027999999999999</v>
      </c>
    </row>
    <row r="9" spans="1:8">
      <c r="A9" s="66" t="s">
        <v>306</v>
      </c>
      <c r="B9" s="66">
        <v>59.7727</v>
      </c>
      <c r="C9" s="66">
        <v>7.2121899999999997</v>
      </c>
      <c r="D9" s="66">
        <v>12.066000000000001</v>
      </c>
      <c r="E9" s="66">
        <v>50</v>
      </c>
      <c r="F9" s="66">
        <v>50.003399999999999</v>
      </c>
      <c r="G9" s="66">
        <v>100</v>
      </c>
      <c r="H9" s="66">
        <v>82.535399999999996</v>
      </c>
    </row>
    <row r="10" spans="1:8">
      <c r="A10" s="66" t="s">
        <v>307</v>
      </c>
      <c r="B10" s="66">
        <v>80.170100000000005</v>
      </c>
      <c r="C10" s="66">
        <v>1.5283599999999999</v>
      </c>
      <c r="D10" s="66">
        <v>1.90639</v>
      </c>
      <c r="E10" s="66">
        <v>40</v>
      </c>
      <c r="F10" s="66">
        <v>77.191800000000001</v>
      </c>
      <c r="G10" s="66">
        <v>100</v>
      </c>
      <c r="H10" s="66">
        <v>83.608500000000006</v>
      </c>
    </row>
    <row r="11" spans="1:8">
      <c r="A11" s="66" t="s">
        <v>308</v>
      </c>
      <c r="B11" s="66">
        <v>16.921900000000001</v>
      </c>
      <c r="C11" s="66">
        <v>5.84633</v>
      </c>
      <c r="D11" s="66">
        <v>34.548900000000003</v>
      </c>
      <c r="E11" s="66">
        <v>10</v>
      </c>
      <c r="F11" s="66">
        <v>6.3423999999999996</v>
      </c>
      <c r="G11" s="66">
        <v>50</v>
      </c>
      <c r="H11" s="66">
        <v>26.200900000000001</v>
      </c>
    </row>
    <row r="12" spans="1:8">
      <c r="A12" s="66" t="s">
        <v>309</v>
      </c>
      <c r="B12" s="66">
        <v>69.749700000000004</v>
      </c>
      <c r="C12" s="66">
        <v>4.0026700000000002</v>
      </c>
      <c r="D12" s="66">
        <v>5.7386100000000004</v>
      </c>
      <c r="E12" s="66">
        <v>50</v>
      </c>
      <c r="F12" s="66">
        <v>64.202799999999996</v>
      </c>
      <c r="G12" s="66">
        <v>100</v>
      </c>
      <c r="H12" s="66">
        <v>82.725899999999996</v>
      </c>
    </row>
    <row r="13" spans="1:8">
      <c r="A13" s="66" t="s">
        <v>310</v>
      </c>
      <c r="B13" s="66">
        <v>16.635300000000001</v>
      </c>
      <c r="C13" s="66">
        <v>3.8700100000000002</v>
      </c>
      <c r="D13" s="66">
        <v>23.2639</v>
      </c>
      <c r="E13" s="66">
        <v>10</v>
      </c>
      <c r="F13" s="66">
        <v>13.9406</v>
      </c>
      <c r="G13" s="66">
        <v>25</v>
      </c>
      <c r="H13" s="66">
        <v>33.286799999999999</v>
      </c>
    </row>
    <row r="14" spans="1:8">
      <c r="A14" s="66" t="s">
        <v>311</v>
      </c>
      <c r="B14" s="66">
        <v>38.700099999999999</v>
      </c>
      <c r="C14" s="66">
        <v>13.844200000000001</v>
      </c>
      <c r="D14" s="66">
        <v>35.773099999999999</v>
      </c>
      <c r="E14" s="66">
        <v>10</v>
      </c>
      <c r="F14" s="66">
        <v>0.350885</v>
      </c>
      <c r="G14" s="66">
        <v>50</v>
      </c>
      <c r="H14" s="66">
        <v>47.830800000000004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0.47919800000000001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0.56190200000000001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7.7458400000000004E-3</v>
      </c>
      <c r="C20" s="66">
        <v>0.202463</v>
      </c>
      <c r="D20" s="66">
        <v>26.138300000000001</v>
      </c>
      <c r="E20" s="66">
        <v>0</v>
      </c>
      <c r="F20" s="196">
        <v>7.0066600000000004E-5</v>
      </c>
      <c r="G20" s="66">
        <v>0</v>
      </c>
      <c r="H20" s="66">
        <v>1.6501600000000001</v>
      </c>
    </row>
    <row r="21" spans="1:8">
      <c r="A21" s="66" t="s">
        <v>318</v>
      </c>
      <c r="B21" s="66">
        <v>0.19490299999999999</v>
      </c>
      <c r="C21" s="66">
        <v>1.8619300000000001</v>
      </c>
      <c r="D21" s="66">
        <v>9.5531100000000002</v>
      </c>
      <c r="E21" s="66">
        <v>0</v>
      </c>
      <c r="F21" s="66">
        <v>2.27926E-3</v>
      </c>
      <c r="G21" s="66">
        <v>0</v>
      </c>
      <c r="H21" s="66">
        <v>11.8786</v>
      </c>
    </row>
    <row r="22" spans="1:8">
      <c r="A22" s="66" t="s">
        <v>319</v>
      </c>
      <c r="B22" s="66">
        <v>41.661200000000001</v>
      </c>
      <c r="C22" s="66">
        <v>49.224499999999999</v>
      </c>
      <c r="D22" s="66">
        <v>1.18154</v>
      </c>
      <c r="E22" s="66">
        <v>0</v>
      </c>
      <c r="F22" s="66">
        <v>26.0791</v>
      </c>
      <c r="G22" s="66">
        <v>0</v>
      </c>
      <c r="H22" s="66">
        <v>258.88299999999998</v>
      </c>
    </row>
    <row r="23" spans="1:8">
      <c r="A23" s="66" t="s">
        <v>320</v>
      </c>
      <c r="B23" s="66">
        <v>14.5351</v>
      </c>
      <c r="C23" s="66">
        <v>17.8674</v>
      </c>
      <c r="D23" s="66">
        <v>1.22925</v>
      </c>
      <c r="E23" s="66">
        <v>0</v>
      </c>
      <c r="F23" s="66">
        <v>6.6414799999999996</v>
      </c>
      <c r="G23" s="66">
        <v>0</v>
      </c>
      <c r="H23" s="66">
        <v>49.897399999999998</v>
      </c>
    </row>
    <row r="24" spans="1:8">
      <c r="A24" s="66" t="s">
        <v>347</v>
      </c>
      <c r="B24" s="66">
        <v>1.3723000000000001E-2</v>
      </c>
      <c r="C24" s="66">
        <v>0.18584100000000001</v>
      </c>
      <c r="D24" s="66">
        <v>13.542299999999999</v>
      </c>
      <c r="E24" s="66">
        <v>0</v>
      </c>
      <c r="F24" s="66">
        <v>9.9150999999999992E-4</v>
      </c>
      <c r="G24" s="66">
        <v>0</v>
      </c>
      <c r="H24" s="66">
        <v>1.4849300000000001</v>
      </c>
    </row>
    <row r="25" spans="1:8">
      <c r="A25" s="66" t="s">
        <v>322</v>
      </c>
      <c r="B25" s="66">
        <v>0.21976000000000001</v>
      </c>
      <c r="C25" s="66">
        <v>1.43211</v>
      </c>
      <c r="D25" s="66">
        <v>6.5167200000000003</v>
      </c>
      <c r="E25" s="66">
        <v>0</v>
      </c>
      <c r="F25" s="66">
        <v>6.3573400000000002E-2</v>
      </c>
      <c r="G25" s="66">
        <v>0</v>
      </c>
      <c r="H25" s="66">
        <v>6.3516599999999999</v>
      </c>
    </row>
    <row r="26" spans="1:8">
      <c r="A26" s="66" t="s">
        <v>323</v>
      </c>
      <c r="B26" s="66">
        <v>2.5587600000000002E-3</v>
      </c>
      <c r="C26" s="66">
        <v>1.51942E-2</v>
      </c>
      <c r="D26" s="66">
        <v>5.93811</v>
      </c>
      <c r="E26" s="66">
        <v>0</v>
      </c>
      <c r="F26" s="196">
        <v>2.9543099999999998E-5</v>
      </c>
      <c r="G26" s="66">
        <v>0</v>
      </c>
      <c r="H26" s="66">
        <v>9.7101499999999993E-2</v>
      </c>
    </row>
    <row r="27" spans="1:8">
      <c r="A27" s="66" t="s">
        <v>324</v>
      </c>
      <c r="B27" s="196">
        <v>-9.8476900000000006E-5</v>
      </c>
      <c r="C27" s="66">
        <v>3.1313000000000001E-3</v>
      </c>
      <c r="D27" s="66">
        <v>-31.7973</v>
      </c>
      <c r="E27" s="66">
        <v>0</v>
      </c>
      <c r="F27" s="66">
        <v>-1.9442600000000001E-2</v>
      </c>
      <c r="G27" s="66">
        <v>0</v>
      </c>
      <c r="H27" s="66">
        <v>1.90093E-2</v>
      </c>
    </row>
    <row r="28" spans="1:8">
      <c r="A28" s="66" t="s">
        <v>325</v>
      </c>
      <c r="B28" s="66">
        <v>2.70361E-2</v>
      </c>
      <c r="C28" s="66">
        <v>5.3940099999999998E-2</v>
      </c>
      <c r="D28" s="66">
        <v>1.9951099999999999</v>
      </c>
      <c r="E28" s="66">
        <v>0</v>
      </c>
      <c r="F28" s="66">
        <v>8.0403600000000005E-4</v>
      </c>
      <c r="G28" s="66">
        <v>0</v>
      </c>
      <c r="H28" s="66">
        <v>0.28679399999999999</v>
      </c>
    </row>
    <row r="29" spans="1:8">
      <c r="A29" s="66" t="s">
        <v>326</v>
      </c>
      <c r="B29" s="66">
        <v>75.782600000000002</v>
      </c>
      <c r="C29" s="66">
        <v>10.4175</v>
      </c>
      <c r="D29" s="66">
        <v>0.137465</v>
      </c>
      <c r="E29" s="66">
        <v>0</v>
      </c>
      <c r="F29" s="66">
        <v>43.713700000000003</v>
      </c>
      <c r="G29" s="66">
        <v>0</v>
      </c>
      <c r="H29" s="66">
        <v>119.252</v>
      </c>
    </row>
    <row r="30" spans="1:8">
      <c r="A30" s="66" t="s">
        <v>327</v>
      </c>
      <c r="B30" s="66">
        <v>21.918199999999999</v>
      </c>
      <c r="C30" s="66">
        <v>10.381600000000001</v>
      </c>
      <c r="D30" s="66">
        <v>0.47365299999999999</v>
      </c>
      <c r="E30" s="66">
        <v>0</v>
      </c>
      <c r="F30" s="66">
        <v>8.7882599999999993</v>
      </c>
      <c r="G30" s="66">
        <v>0</v>
      </c>
      <c r="H30" s="66">
        <v>38.577800000000003</v>
      </c>
    </row>
    <row r="31" spans="1:8">
      <c r="A31" s="66" t="s">
        <v>328</v>
      </c>
      <c r="B31" s="66">
        <v>193.184</v>
      </c>
      <c r="C31" s="66">
        <v>67.889899999999997</v>
      </c>
      <c r="D31" s="66">
        <v>0.35142499999999999</v>
      </c>
      <c r="E31" s="66">
        <v>0</v>
      </c>
      <c r="F31" s="66">
        <v>36.318600000000004</v>
      </c>
      <c r="G31" s="66">
        <v>0</v>
      </c>
      <c r="H31" s="66">
        <v>264.66199999999998</v>
      </c>
    </row>
    <row r="32" spans="1:8">
      <c r="A32" s="66" t="s">
        <v>329</v>
      </c>
      <c r="B32" s="66">
        <v>0.209289</v>
      </c>
      <c r="C32" s="66">
        <v>6.7388900000000002E-2</v>
      </c>
      <c r="D32" s="66">
        <v>0.32198900000000003</v>
      </c>
      <c r="E32" s="66">
        <v>0.15</v>
      </c>
      <c r="F32" s="66">
        <v>7.6490500000000003E-2</v>
      </c>
      <c r="G32" s="66">
        <v>0.4</v>
      </c>
      <c r="H32" s="66">
        <v>0.34096399999999999</v>
      </c>
    </row>
    <row r="33" spans="1:8">
      <c r="A33" s="66" t="s">
        <v>330</v>
      </c>
      <c r="B33" s="66">
        <v>0.24446799999999999</v>
      </c>
      <c r="C33" s="66">
        <v>1.75599E-2</v>
      </c>
      <c r="D33" s="66">
        <v>7.1829100000000007E-2</v>
      </c>
      <c r="E33" s="66">
        <v>0</v>
      </c>
      <c r="F33" s="66">
        <v>0.17910000000000001</v>
      </c>
      <c r="G33" s="66">
        <v>0</v>
      </c>
      <c r="H33" s="66">
        <v>0.30945699999999998</v>
      </c>
    </row>
    <row r="34" spans="1:8">
      <c r="A34" s="66" t="s">
        <v>331</v>
      </c>
      <c r="B34" s="66">
        <v>0.166353</v>
      </c>
      <c r="C34" s="66">
        <v>3.8700100000000001E-2</v>
      </c>
      <c r="D34" s="66">
        <v>0.23263900000000001</v>
      </c>
      <c r="E34" s="66">
        <v>0.1</v>
      </c>
      <c r="F34" s="66">
        <v>0.139406</v>
      </c>
      <c r="G34" s="66">
        <v>0.25</v>
      </c>
      <c r="H34" s="66">
        <v>0.332868</v>
      </c>
    </row>
    <row r="35" spans="1:8">
      <c r="A35" s="66" t="s">
        <v>332</v>
      </c>
      <c r="B35" s="66">
        <v>5.91893E-2</v>
      </c>
      <c r="C35" s="66">
        <v>2.7802199999999999E-2</v>
      </c>
      <c r="D35" s="66">
        <v>0.46971600000000002</v>
      </c>
      <c r="E35" s="66">
        <v>0</v>
      </c>
      <c r="F35" s="66">
        <v>2.5218399999999998E-2</v>
      </c>
      <c r="G35" s="66">
        <v>0</v>
      </c>
      <c r="H35" s="66">
        <v>0.15726000000000001</v>
      </c>
    </row>
    <row r="36" spans="1:8">
      <c r="A36" s="66" t="s">
        <v>333</v>
      </c>
      <c r="B36" s="66">
        <v>0.16846700000000001</v>
      </c>
      <c r="C36" s="66">
        <v>8.3036700000000005E-2</v>
      </c>
      <c r="D36" s="66">
        <v>0.49289500000000003</v>
      </c>
      <c r="E36" s="66">
        <v>0</v>
      </c>
      <c r="F36" s="66">
        <v>4.02046E-2</v>
      </c>
      <c r="G36" s="66">
        <v>0</v>
      </c>
      <c r="H36" s="66">
        <v>0.52622800000000003</v>
      </c>
    </row>
    <row r="37" spans="1:8">
      <c r="A37" s="66" t="s">
        <v>334</v>
      </c>
      <c r="B37" s="66">
        <v>0.38700099999999998</v>
      </c>
      <c r="C37" s="66">
        <v>0.13844200000000001</v>
      </c>
      <c r="D37" s="66">
        <v>0.35773100000000002</v>
      </c>
      <c r="E37" s="66">
        <v>0.1</v>
      </c>
      <c r="F37" s="66">
        <v>3.50885E-3</v>
      </c>
      <c r="G37" s="66">
        <v>0.5</v>
      </c>
      <c r="H37" s="66">
        <v>0.47830800000000001</v>
      </c>
    </row>
    <row r="38" spans="1:8">
      <c r="A38" s="66" t="s">
        <v>335</v>
      </c>
      <c r="B38" s="66">
        <v>-10.8126</v>
      </c>
      <c r="C38" s="66">
        <v>94.498699999999999</v>
      </c>
      <c r="D38" s="66">
        <v>-8.7396899999999995</v>
      </c>
      <c r="E38" s="66">
        <v>0</v>
      </c>
      <c r="F38" s="66">
        <v>-221.88900000000001</v>
      </c>
      <c r="G38" s="66">
        <v>0</v>
      </c>
      <c r="H38" s="66">
        <v>385.90800000000002</v>
      </c>
    </row>
    <row r="39" spans="1:8">
      <c r="A39" s="66" t="s">
        <v>336</v>
      </c>
      <c r="B39" s="66">
        <v>-6.3819100000000004</v>
      </c>
      <c r="C39" s="66">
        <v>17.415800000000001</v>
      </c>
      <c r="D39" s="66">
        <v>-2.7289300000000001</v>
      </c>
      <c r="E39" s="66">
        <v>0</v>
      </c>
      <c r="F39" s="66">
        <v>-19.925599999999999</v>
      </c>
      <c r="G39" s="66">
        <v>0</v>
      </c>
      <c r="H39" s="66">
        <v>54.993699999999997</v>
      </c>
    </row>
    <row r="40" spans="1:8">
      <c r="A40" s="66" t="s">
        <v>337</v>
      </c>
      <c r="B40" s="66">
        <v>2.1441599999999998</v>
      </c>
      <c r="C40" s="66">
        <v>2.7775799999999999</v>
      </c>
      <c r="D40" s="66">
        <v>1.29542</v>
      </c>
      <c r="E40" s="66">
        <v>0</v>
      </c>
      <c r="F40" s="66">
        <v>-0.22767599999999999</v>
      </c>
      <c r="G40" s="66">
        <v>0</v>
      </c>
      <c r="H40" s="66">
        <v>7.8776200000000003</v>
      </c>
    </row>
    <row r="41" spans="1:8">
      <c r="A41" s="66" t="s">
        <v>338</v>
      </c>
      <c r="B41" s="66">
        <v>1.2135200000000001E-2</v>
      </c>
      <c r="C41" s="66">
        <v>0.29655199999999998</v>
      </c>
      <c r="D41" s="66">
        <v>24.4373</v>
      </c>
      <c r="E41" s="66">
        <v>0</v>
      </c>
      <c r="F41" s="66">
        <v>-0.59275800000000001</v>
      </c>
      <c r="G41" s="66">
        <v>0</v>
      </c>
      <c r="H41" s="66">
        <v>1</v>
      </c>
    </row>
    <row r="42" spans="1:8">
      <c r="A42" s="66" t="s">
        <v>339</v>
      </c>
      <c r="B42" s="66">
        <v>-5.4120799999999997E-2</v>
      </c>
      <c r="C42" s="66">
        <v>0.110565</v>
      </c>
      <c r="D42" s="66">
        <v>-2.0429300000000001</v>
      </c>
      <c r="E42" s="66">
        <v>0</v>
      </c>
      <c r="F42" s="66">
        <v>-0.25026999999999999</v>
      </c>
      <c r="G42" s="66">
        <v>0</v>
      </c>
      <c r="H42" s="66">
        <v>0.212642</v>
      </c>
    </row>
    <row r="43" spans="1:8">
      <c r="A43" s="66" t="s">
        <v>340</v>
      </c>
      <c r="B43" s="66">
        <v>7.1955599999999995E-2</v>
      </c>
      <c r="C43" s="66">
        <v>4.5237399999999997E-2</v>
      </c>
      <c r="D43" s="66">
        <v>0.62868500000000005</v>
      </c>
      <c r="E43" s="66">
        <v>0</v>
      </c>
      <c r="F43" s="66">
        <v>-7.9003600000000004E-3</v>
      </c>
      <c r="G43" s="66">
        <v>0</v>
      </c>
      <c r="H43" s="66">
        <v>0.15034800000000001</v>
      </c>
    </row>
    <row r="44" spans="1:8">
      <c r="A44" s="66" t="s">
        <v>341</v>
      </c>
      <c r="B44" s="66">
        <v>-8.5244400000000002</v>
      </c>
      <c r="C44" s="66">
        <v>5.7865900000000003</v>
      </c>
      <c r="D44" s="66">
        <v>-0.67882299999999995</v>
      </c>
      <c r="E44" s="66">
        <v>0</v>
      </c>
      <c r="F44" s="66">
        <v>-22.1388</v>
      </c>
      <c r="G44" s="66">
        <v>0</v>
      </c>
      <c r="H44" s="66">
        <v>4.1576500000000003</v>
      </c>
    </row>
    <row r="45" spans="1:8">
      <c r="A45" s="66" t="s">
        <v>342</v>
      </c>
      <c r="B45" s="66">
        <v>50.919199999999996</v>
      </c>
      <c r="C45" s="66">
        <v>6.8314199999999996</v>
      </c>
      <c r="D45" s="66">
        <v>0.134162</v>
      </c>
      <c r="E45" s="66">
        <v>0</v>
      </c>
      <c r="F45" s="66">
        <v>37.496099999999998</v>
      </c>
      <c r="G45" s="66">
        <v>0</v>
      </c>
      <c r="H45" s="66">
        <v>78.136499999999998</v>
      </c>
    </row>
    <row r="46" spans="1:8">
      <c r="A46" s="66" t="s">
        <v>343</v>
      </c>
      <c r="B46" s="66">
        <v>29.541499999999999</v>
      </c>
      <c r="C46" s="66">
        <v>8.5686900000000001</v>
      </c>
      <c r="D46" s="66">
        <v>0.29005599999999998</v>
      </c>
      <c r="E46" s="66">
        <v>0</v>
      </c>
      <c r="F46" s="66">
        <v>7.1754100000000003</v>
      </c>
      <c r="G46" s="66">
        <v>0</v>
      </c>
      <c r="H46" s="66">
        <v>35.451900000000002</v>
      </c>
    </row>
    <row r="47" spans="1:8">
      <c r="A47" s="66" t="s">
        <v>344</v>
      </c>
      <c r="B47" s="66">
        <v>1.26081</v>
      </c>
      <c r="C47" s="66">
        <v>0.77584799999999998</v>
      </c>
      <c r="D47" s="66">
        <v>0.61535700000000004</v>
      </c>
      <c r="E47" s="66">
        <v>0</v>
      </c>
      <c r="F47" s="66">
        <v>0.58730499999999997</v>
      </c>
      <c r="G47" s="66">
        <v>0</v>
      </c>
      <c r="H47" s="66">
        <v>4.4345400000000001</v>
      </c>
    </row>
    <row r="48" spans="1:8">
      <c r="A48" s="66" t="s">
        <v>345</v>
      </c>
      <c r="B48" s="66">
        <v>0.90543700000000005</v>
      </c>
      <c r="C48" s="66">
        <v>0.13639299999999999</v>
      </c>
      <c r="D48" s="66">
        <v>0.15063699999999999</v>
      </c>
      <c r="E48" s="66">
        <v>0</v>
      </c>
      <c r="F48" s="66">
        <v>0.68689900000000004</v>
      </c>
      <c r="G48" s="66">
        <v>0</v>
      </c>
      <c r="H48" s="66">
        <v>1.23017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346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40.483400000000003</v>
      </c>
      <c r="C5" s="66">
        <v>3.9138999999999999</v>
      </c>
      <c r="D5" s="66">
        <v>9.6678999999999995</v>
      </c>
      <c r="E5" s="66">
        <v>20</v>
      </c>
      <c r="F5" s="66">
        <v>34.693300000000001</v>
      </c>
      <c r="G5" s="66">
        <v>50</v>
      </c>
      <c r="H5" s="66">
        <v>51.837000000000003</v>
      </c>
    </row>
    <row r="6" spans="1:8">
      <c r="A6" s="66" t="s">
        <v>303</v>
      </c>
      <c r="B6" s="66">
        <v>36.989800000000002</v>
      </c>
      <c r="C6" s="66">
        <v>4.9323300000000003</v>
      </c>
      <c r="D6" s="66">
        <v>13.334300000000001</v>
      </c>
      <c r="E6" s="66">
        <v>20</v>
      </c>
      <c r="F6" s="66">
        <v>25.650400000000001</v>
      </c>
      <c r="G6" s="66">
        <v>40</v>
      </c>
      <c r="H6" s="66">
        <v>42.795200000000001</v>
      </c>
    </row>
    <row r="7" spans="1:8">
      <c r="A7" s="66" t="s">
        <v>304</v>
      </c>
      <c r="B7" s="66">
        <v>32</v>
      </c>
      <c r="C7" s="66">
        <v>4.3531199999999997</v>
      </c>
      <c r="D7" s="66">
        <v>13.6035</v>
      </c>
      <c r="E7" s="66">
        <v>15</v>
      </c>
      <c r="F7" s="66">
        <v>20.646000000000001</v>
      </c>
      <c r="G7" s="66">
        <v>40</v>
      </c>
      <c r="H7" s="66">
        <v>42.176699999999997</v>
      </c>
    </row>
    <row r="8" spans="1:8">
      <c r="A8" s="66" t="s">
        <v>305</v>
      </c>
      <c r="B8" s="66">
        <v>34.460900000000002</v>
      </c>
      <c r="C8" s="66">
        <v>3.2339600000000002</v>
      </c>
      <c r="D8" s="66">
        <v>9.38443</v>
      </c>
      <c r="E8" s="66">
        <v>20</v>
      </c>
      <c r="F8" s="66">
        <v>31.0672</v>
      </c>
      <c r="G8" s="66">
        <v>50</v>
      </c>
      <c r="H8" s="66">
        <v>41.317100000000003</v>
      </c>
    </row>
    <row r="9" spans="1:8">
      <c r="A9" s="66" t="s">
        <v>306</v>
      </c>
      <c r="B9" s="66">
        <v>65.721000000000004</v>
      </c>
      <c r="C9" s="66">
        <v>6.8338599999999996</v>
      </c>
      <c r="D9" s="66">
        <v>10.398300000000001</v>
      </c>
      <c r="E9" s="66">
        <v>50</v>
      </c>
      <c r="F9" s="66">
        <v>51.062600000000003</v>
      </c>
      <c r="G9" s="66">
        <v>100</v>
      </c>
      <c r="H9" s="66">
        <v>79.688400000000001</v>
      </c>
    </row>
    <row r="10" spans="1:8">
      <c r="A10" s="66" t="s">
        <v>307</v>
      </c>
      <c r="B10" s="66">
        <v>71.3172</v>
      </c>
      <c r="C10" s="66">
        <v>5.74153</v>
      </c>
      <c r="D10" s="66">
        <v>8.0506899999999995</v>
      </c>
      <c r="E10" s="66">
        <v>40</v>
      </c>
      <c r="F10" s="66">
        <v>62.662199999999999</v>
      </c>
      <c r="G10" s="66">
        <v>100</v>
      </c>
      <c r="H10" s="66">
        <v>81.473699999999994</v>
      </c>
    </row>
    <row r="11" spans="1:8">
      <c r="A11" s="66" t="s">
        <v>308</v>
      </c>
      <c r="B11" s="66">
        <v>23.595500000000001</v>
      </c>
      <c r="C11" s="66">
        <v>3.4784700000000002</v>
      </c>
      <c r="D11" s="66">
        <v>14.742100000000001</v>
      </c>
      <c r="E11" s="66">
        <v>10</v>
      </c>
      <c r="F11" s="66">
        <v>16.436900000000001</v>
      </c>
      <c r="G11" s="66">
        <v>50</v>
      </c>
      <c r="H11" s="66">
        <v>28.927700000000002</v>
      </c>
    </row>
    <row r="12" spans="1:8">
      <c r="A12" s="66" t="s">
        <v>309</v>
      </c>
      <c r="B12" s="66">
        <v>68.783799999999999</v>
      </c>
      <c r="C12" s="66">
        <v>3.0802800000000001</v>
      </c>
      <c r="D12" s="66">
        <v>4.4782000000000002</v>
      </c>
      <c r="E12" s="66">
        <v>50</v>
      </c>
      <c r="F12" s="66">
        <v>61.253500000000003</v>
      </c>
      <c r="G12" s="66">
        <v>100</v>
      </c>
      <c r="H12" s="66">
        <v>76.309899999999999</v>
      </c>
    </row>
    <row r="13" spans="1:8">
      <c r="A13" s="66" t="s">
        <v>310</v>
      </c>
      <c r="B13" s="66">
        <v>14.115399999999999</v>
      </c>
      <c r="C13" s="66">
        <v>1.4357599999999999</v>
      </c>
      <c r="D13" s="66">
        <v>10.1716</v>
      </c>
      <c r="E13" s="66">
        <v>10</v>
      </c>
      <c r="F13" s="66">
        <v>11.888299999999999</v>
      </c>
      <c r="G13" s="66">
        <v>25</v>
      </c>
      <c r="H13" s="66">
        <v>18.587299999999999</v>
      </c>
    </row>
    <row r="14" spans="1:8">
      <c r="A14" s="66" t="s">
        <v>311</v>
      </c>
      <c r="B14" s="66">
        <v>14.3576</v>
      </c>
      <c r="C14" s="66">
        <v>15.306900000000001</v>
      </c>
      <c r="D14" s="66">
        <v>106.61199999999999</v>
      </c>
      <c r="E14" s="66">
        <v>10</v>
      </c>
      <c r="F14" s="66">
        <v>1.79057</v>
      </c>
      <c r="G14" s="66">
        <v>50</v>
      </c>
      <c r="H14" s="66">
        <v>38.646900000000002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0.41250199999999998</v>
      </c>
      <c r="C18" s="66">
        <v>6.7509E-2</v>
      </c>
      <c r="D18" s="66">
        <v>0.163657</v>
      </c>
      <c r="E18" s="66">
        <v>0</v>
      </c>
      <c r="F18" s="66">
        <v>0.34499299999999999</v>
      </c>
      <c r="G18" s="66">
        <v>0</v>
      </c>
      <c r="H18" s="66">
        <v>0.48001100000000002</v>
      </c>
    </row>
    <row r="19" spans="1:8">
      <c r="A19" s="66" t="s">
        <v>316</v>
      </c>
      <c r="B19" s="66">
        <v>0.67373000000000005</v>
      </c>
      <c r="C19" s="66">
        <v>8.6074399999999995E-2</v>
      </c>
      <c r="D19" s="66">
        <v>0.12775800000000001</v>
      </c>
      <c r="E19" s="66">
        <v>0</v>
      </c>
      <c r="F19" s="66">
        <v>0.58765500000000004</v>
      </c>
      <c r="G19" s="66">
        <v>0</v>
      </c>
      <c r="H19" s="66">
        <v>0.75980400000000003</v>
      </c>
    </row>
    <row r="20" spans="1:8">
      <c r="A20" s="66" t="s">
        <v>317</v>
      </c>
      <c r="B20" s="66">
        <v>1.6689999999999999E-3</v>
      </c>
      <c r="C20" s="66">
        <v>1.1532499999999999E-2</v>
      </c>
      <c r="D20" s="66">
        <v>6.9098699999999997</v>
      </c>
      <c r="E20" s="66">
        <v>0</v>
      </c>
      <c r="F20" s="66">
        <v>1.08955E-4</v>
      </c>
      <c r="G20" s="66">
        <v>0</v>
      </c>
      <c r="H20" s="66">
        <v>0.12506</v>
      </c>
    </row>
    <row r="21" spans="1:8">
      <c r="A21" s="66" t="s">
        <v>318</v>
      </c>
      <c r="B21" s="66">
        <v>4.7306000000000001E-2</v>
      </c>
      <c r="C21" s="66">
        <v>8.9599799999999993E-2</v>
      </c>
      <c r="D21" s="66">
        <v>1.89405</v>
      </c>
      <c r="E21" s="66">
        <v>0</v>
      </c>
      <c r="F21" s="66">
        <v>2.9462800000000001E-4</v>
      </c>
      <c r="G21" s="66">
        <v>0</v>
      </c>
      <c r="H21" s="66">
        <v>0.646733</v>
      </c>
    </row>
    <row r="22" spans="1:8">
      <c r="A22" s="66" t="s">
        <v>319</v>
      </c>
      <c r="B22" s="66">
        <v>24.523</v>
      </c>
      <c r="C22" s="66">
        <v>6.3951099999999999</v>
      </c>
      <c r="D22" s="66">
        <v>0.26078000000000001</v>
      </c>
      <c r="E22" s="66">
        <v>0</v>
      </c>
      <c r="F22" s="66">
        <v>16.637899999999998</v>
      </c>
      <c r="G22" s="66">
        <v>0</v>
      </c>
      <c r="H22" s="66">
        <v>47.101300000000002</v>
      </c>
    </row>
    <row r="23" spans="1:8">
      <c r="A23" s="66" t="s">
        <v>320</v>
      </c>
      <c r="B23" s="66">
        <v>13.090299999999999</v>
      </c>
      <c r="C23" s="66">
        <v>12.764799999999999</v>
      </c>
      <c r="D23" s="66">
        <v>0.97513300000000003</v>
      </c>
      <c r="E23" s="66">
        <v>0</v>
      </c>
      <c r="F23" s="66">
        <v>11.901199999999999</v>
      </c>
      <c r="G23" s="66">
        <v>0</v>
      </c>
      <c r="H23" s="66">
        <v>46.0929</v>
      </c>
    </row>
    <row r="24" spans="1:8">
      <c r="A24" s="66" t="s">
        <v>347</v>
      </c>
      <c r="B24" s="66">
        <v>1.99613E-3</v>
      </c>
      <c r="C24" s="66">
        <v>7.6795600000000002E-3</v>
      </c>
      <c r="D24" s="66">
        <v>3.8472300000000001</v>
      </c>
      <c r="E24" s="66">
        <v>0</v>
      </c>
      <c r="F24" s="66">
        <v>7.5164199999999996E-4</v>
      </c>
      <c r="G24" s="66">
        <v>0</v>
      </c>
      <c r="H24" s="66">
        <v>4.2508900000000002E-2</v>
      </c>
    </row>
    <row r="25" spans="1:8">
      <c r="A25" s="66" t="s">
        <v>322</v>
      </c>
      <c r="B25" s="66">
        <v>5.0994499999999998E-2</v>
      </c>
      <c r="C25" s="66">
        <v>4.7553400000000003E-2</v>
      </c>
      <c r="D25" s="66">
        <v>0.93252000000000002</v>
      </c>
      <c r="E25" s="66">
        <v>0</v>
      </c>
      <c r="F25" s="66">
        <v>2.3923300000000002E-2</v>
      </c>
      <c r="G25" s="66">
        <v>0</v>
      </c>
      <c r="H25" s="66">
        <v>0.25359900000000002</v>
      </c>
    </row>
    <row r="26" spans="1:8">
      <c r="A26" s="66" t="s">
        <v>323</v>
      </c>
      <c r="B26" s="66">
        <v>7.4514199999999996E-4</v>
      </c>
      <c r="C26" s="66">
        <v>1.32525E-3</v>
      </c>
      <c r="D26" s="66">
        <v>1.7785200000000001</v>
      </c>
      <c r="E26" s="66">
        <v>0</v>
      </c>
      <c r="F26" s="196">
        <v>4.5955899999999998E-5</v>
      </c>
      <c r="G26" s="66">
        <v>0</v>
      </c>
      <c r="H26" s="66">
        <v>9.7557800000000004E-3</v>
      </c>
    </row>
    <row r="27" spans="1:8">
      <c r="A27" s="66" t="s">
        <v>324</v>
      </c>
      <c r="B27" s="196">
        <v>-2.62605E-5</v>
      </c>
      <c r="C27" s="66">
        <v>1.1096700000000001E-3</v>
      </c>
      <c r="D27" s="66">
        <v>-42.256300000000003</v>
      </c>
      <c r="E27" s="66">
        <v>0</v>
      </c>
      <c r="F27" s="66">
        <v>-5.4621799999999996E-3</v>
      </c>
      <c r="G27" s="66">
        <v>0</v>
      </c>
      <c r="H27" s="66">
        <v>6.1088499999999999E-3</v>
      </c>
    </row>
    <row r="28" spans="1:8">
      <c r="A28" s="66" t="s">
        <v>325</v>
      </c>
      <c r="B28" s="66">
        <v>1.13916E-2</v>
      </c>
      <c r="C28" s="66">
        <v>9.9228900000000002E-3</v>
      </c>
      <c r="D28" s="66">
        <v>0.87107100000000004</v>
      </c>
      <c r="E28" s="66">
        <v>0</v>
      </c>
      <c r="F28" s="66">
        <v>1.3671899999999999E-4</v>
      </c>
      <c r="G28" s="66">
        <v>0</v>
      </c>
      <c r="H28" s="66">
        <v>6.5426399999999996E-2</v>
      </c>
    </row>
    <row r="29" spans="1:8">
      <c r="A29" s="66" t="s">
        <v>326</v>
      </c>
      <c r="B29" s="66">
        <v>67.570599999999999</v>
      </c>
      <c r="C29" s="66">
        <v>7.4086100000000004</v>
      </c>
      <c r="D29" s="66">
        <v>0.109642</v>
      </c>
      <c r="E29" s="66">
        <v>0</v>
      </c>
      <c r="F29" s="66">
        <v>47.193300000000001</v>
      </c>
      <c r="G29" s="66">
        <v>0</v>
      </c>
      <c r="H29" s="66">
        <v>87.44</v>
      </c>
    </row>
    <row r="30" spans="1:8">
      <c r="A30" s="66" t="s">
        <v>327</v>
      </c>
      <c r="B30" s="66">
        <v>23.2575</v>
      </c>
      <c r="C30" s="66">
        <v>3.9935</v>
      </c>
      <c r="D30" s="66">
        <v>0.171708</v>
      </c>
      <c r="E30" s="66">
        <v>0</v>
      </c>
      <c r="F30" s="66">
        <v>21.018899999999999</v>
      </c>
      <c r="G30" s="66">
        <v>0</v>
      </c>
      <c r="H30" s="66">
        <v>33.668900000000001</v>
      </c>
    </row>
    <row r="31" spans="1:8">
      <c r="A31" s="66" t="s">
        <v>328</v>
      </c>
      <c r="B31" s="66">
        <v>120.3</v>
      </c>
      <c r="C31" s="66">
        <v>51.368299999999998</v>
      </c>
      <c r="D31" s="66">
        <v>0.42700199999999999</v>
      </c>
      <c r="E31" s="66">
        <v>0</v>
      </c>
      <c r="F31" s="66">
        <v>83.163200000000003</v>
      </c>
      <c r="G31" s="66">
        <v>0</v>
      </c>
      <c r="H31" s="66">
        <v>237.41</v>
      </c>
    </row>
    <row r="32" spans="1:8">
      <c r="A32" s="66" t="s">
        <v>329</v>
      </c>
      <c r="B32" s="66">
        <v>0.32</v>
      </c>
      <c r="C32" s="66">
        <v>4.3531199999999999E-2</v>
      </c>
      <c r="D32" s="66">
        <v>0.13603499999999999</v>
      </c>
      <c r="E32" s="66">
        <v>0.15</v>
      </c>
      <c r="F32" s="66">
        <v>0.20646</v>
      </c>
      <c r="G32" s="66">
        <v>0.4</v>
      </c>
      <c r="H32" s="66">
        <v>0.421767</v>
      </c>
    </row>
    <row r="33" spans="1:8">
      <c r="A33" s="66" t="s">
        <v>330</v>
      </c>
      <c r="B33" s="66">
        <v>0.30624400000000002</v>
      </c>
      <c r="C33" s="66">
        <v>3.5390400000000002E-2</v>
      </c>
      <c r="D33" s="66">
        <v>0.115563</v>
      </c>
      <c r="E33" s="66">
        <v>0</v>
      </c>
      <c r="F33" s="66">
        <v>0.24624499999999999</v>
      </c>
      <c r="G33" s="66">
        <v>0</v>
      </c>
      <c r="H33" s="66">
        <v>0.40387699999999999</v>
      </c>
    </row>
    <row r="34" spans="1:8">
      <c r="A34" s="66" t="s">
        <v>331</v>
      </c>
      <c r="B34" s="66">
        <v>0.141154</v>
      </c>
      <c r="C34" s="66">
        <v>1.43576E-2</v>
      </c>
      <c r="D34" s="66">
        <v>0.101716</v>
      </c>
      <c r="E34" s="66">
        <v>0.1</v>
      </c>
      <c r="F34" s="66">
        <v>0.118883</v>
      </c>
      <c r="G34" s="66">
        <v>0.25</v>
      </c>
      <c r="H34" s="66">
        <v>0.18587300000000001</v>
      </c>
    </row>
    <row r="35" spans="1:8">
      <c r="A35" s="66" t="s">
        <v>332</v>
      </c>
      <c r="B35" s="66">
        <v>4.8910500000000003E-2</v>
      </c>
      <c r="C35" s="66">
        <v>7.56583E-3</v>
      </c>
      <c r="D35" s="66">
        <v>0.15468699999999999</v>
      </c>
      <c r="E35" s="66">
        <v>0</v>
      </c>
      <c r="F35" s="66">
        <v>2.7382199999999999E-2</v>
      </c>
      <c r="G35" s="66">
        <v>0</v>
      </c>
      <c r="H35" s="66">
        <v>6.7920300000000003E-2</v>
      </c>
    </row>
    <row r="36" spans="1:8">
      <c r="A36" s="66" t="s">
        <v>333</v>
      </c>
      <c r="B36" s="66">
        <v>0.14475199999999999</v>
      </c>
      <c r="C36" s="66">
        <v>5.5407600000000001E-2</v>
      </c>
      <c r="D36" s="66">
        <v>0.38277499999999998</v>
      </c>
      <c r="E36" s="66">
        <v>0</v>
      </c>
      <c r="F36" s="66">
        <v>3.5247100000000003E-2</v>
      </c>
      <c r="G36" s="66">
        <v>0</v>
      </c>
      <c r="H36" s="66">
        <v>0.30963600000000002</v>
      </c>
    </row>
    <row r="37" spans="1:8">
      <c r="A37" s="66" t="s">
        <v>334</v>
      </c>
      <c r="B37" s="66">
        <v>0.14357600000000001</v>
      </c>
      <c r="C37" s="66">
        <v>0.15306900000000001</v>
      </c>
      <c r="D37" s="66">
        <v>1.06612</v>
      </c>
      <c r="E37" s="66">
        <v>0.1</v>
      </c>
      <c r="F37" s="66">
        <v>1.79057E-2</v>
      </c>
      <c r="G37" s="66">
        <v>0.5</v>
      </c>
      <c r="H37" s="66">
        <v>0.38646900000000001</v>
      </c>
    </row>
    <row r="38" spans="1:8">
      <c r="A38" s="66" t="s">
        <v>335</v>
      </c>
      <c r="B38" s="66">
        <v>-7.5499000000000001</v>
      </c>
      <c r="C38" s="66">
        <v>42.417200000000001</v>
      </c>
      <c r="D38" s="66">
        <v>-5.6182400000000001</v>
      </c>
      <c r="E38" s="66">
        <v>0</v>
      </c>
      <c r="F38" s="66">
        <v>-230.703</v>
      </c>
      <c r="G38" s="66">
        <v>0</v>
      </c>
      <c r="H38" s="66">
        <v>81.526300000000006</v>
      </c>
    </row>
    <row r="39" spans="1:8">
      <c r="A39" s="66" t="s">
        <v>336</v>
      </c>
      <c r="B39" s="66">
        <v>-4.7897800000000004</v>
      </c>
      <c r="C39" s="66">
        <v>3.5258500000000002</v>
      </c>
      <c r="D39" s="66">
        <v>-0.73611899999999997</v>
      </c>
      <c r="E39" s="66">
        <v>0</v>
      </c>
      <c r="F39" s="66">
        <v>-21.987300000000001</v>
      </c>
      <c r="G39" s="66">
        <v>0</v>
      </c>
      <c r="H39" s="66">
        <v>4.1575600000000001</v>
      </c>
    </row>
    <row r="40" spans="1:8">
      <c r="A40" s="66" t="s">
        <v>337</v>
      </c>
      <c r="B40" s="66">
        <v>-1.86907</v>
      </c>
      <c r="C40" s="66">
        <v>3.3555700000000002</v>
      </c>
      <c r="D40" s="66">
        <v>-1.79531</v>
      </c>
      <c r="E40" s="66">
        <v>0</v>
      </c>
      <c r="F40" s="66">
        <v>-3.68215</v>
      </c>
      <c r="G40" s="66">
        <v>0</v>
      </c>
      <c r="H40" s="66">
        <v>6.0526400000000002</v>
      </c>
    </row>
    <row r="41" spans="1:8">
      <c r="A41" s="66" t="s">
        <v>338</v>
      </c>
      <c r="B41" s="66">
        <v>9.0043799999999993E-3</v>
      </c>
      <c r="C41" s="66">
        <v>0.31466</v>
      </c>
      <c r="D41" s="66">
        <v>34.9452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-9.77296E-2</v>
      </c>
      <c r="C42" s="66">
        <v>9.3955899999999995E-2</v>
      </c>
      <c r="D42" s="66">
        <v>-0.96138699999999999</v>
      </c>
      <c r="E42" s="66">
        <v>0</v>
      </c>
      <c r="F42" s="66">
        <v>-0.40632400000000002</v>
      </c>
      <c r="G42" s="66">
        <v>0</v>
      </c>
      <c r="H42" s="66">
        <v>0.26613900000000001</v>
      </c>
    </row>
    <row r="43" spans="1:8">
      <c r="A43" s="66" t="s">
        <v>340</v>
      </c>
      <c r="B43" s="66">
        <v>-6.5463300000000002E-2</v>
      </c>
      <c r="C43" s="66">
        <v>5.3358900000000001E-2</v>
      </c>
      <c r="D43" s="66">
        <v>-0.81509699999999996</v>
      </c>
      <c r="E43" s="66">
        <v>0</v>
      </c>
      <c r="F43" s="66">
        <v>-0.13899800000000001</v>
      </c>
      <c r="G43" s="66">
        <v>0</v>
      </c>
      <c r="H43" s="66">
        <v>4.6618399999999997E-2</v>
      </c>
    </row>
    <row r="44" spans="1:8">
      <c r="A44" s="66" t="s">
        <v>341</v>
      </c>
      <c r="B44" s="66">
        <v>-2.0034100000000001</v>
      </c>
      <c r="C44" s="66">
        <v>8.6139100000000006</v>
      </c>
      <c r="D44" s="66">
        <v>-4.2996299999999996</v>
      </c>
      <c r="E44" s="66">
        <v>0</v>
      </c>
      <c r="F44" s="66">
        <v>-15.4107</v>
      </c>
      <c r="G44" s="66">
        <v>0</v>
      </c>
      <c r="H44" s="66">
        <v>17.7682</v>
      </c>
    </row>
    <row r="45" spans="1:8">
      <c r="A45" s="66" t="s">
        <v>342</v>
      </c>
      <c r="B45" s="66">
        <v>57.644599999999997</v>
      </c>
      <c r="C45" s="66">
        <v>7.9976700000000003</v>
      </c>
      <c r="D45" s="66">
        <v>0.138741</v>
      </c>
      <c r="E45" s="66">
        <v>0</v>
      </c>
      <c r="F45" s="66">
        <v>34.596499999999999</v>
      </c>
      <c r="G45" s="66">
        <v>0</v>
      </c>
      <c r="H45" s="66">
        <v>74.03</v>
      </c>
    </row>
    <row r="46" spans="1:8">
      <c r="A46" s="66" t="s">
        <v>343</v>
      </c>
      <c r="B46" s="66">
        <v>31.654</v>
      </c>
      <c r="C46" s="66">
        <v>3.0502199999999999</v>
      </c>
      <c r="D46" s="66">
        <v>9.6361299999999997E-2</v>
      </c>
      <c r="E46" s="66">
        <v>0</v>
      </c>
      <c r="F46" s="66">
        <v>29.326699999999999</v>
      </c>
      <c r="G46" s="66">
        <v>0</v>
      </c>
      <c r="H46" s="66">
        <v>38.506500000000003</v>
      </c>
    </row>
    <row r="47" spans="1:8">
      <c r="A47" s="66" t="s">
        <v>344</v>
      </c>
      <c r="B47" s="66">
        <v>0.77276100000000003</v>
      </c>
      <c r="C47" s="66">
        <v>0.26494899999999999</v>
      </c>
      <c r="D47" s="66">
        <v>0.34286100000000003</v>
      </c>
      <c r="E47" s="66">
        <v>0</v>
      </c>
      <c r="F47" s="66">
        <v>0.34806799999999999</v>
      </c>
      <c r="G47" s="66">
        <v>0</v>
      </c>
      <c r="H47" s="66">
        <v>1.94076</v>
      </c>
    </row>
    <row r="48" spans="1:8">
      <c r="A48" s="66" t="s">
        <v>345</v>
      </c>
      <c r="B48" s="66">
        <v>0.97490200000000005</v>
      </c>
      <c r="C48" s="66">
        <v>0.14599200000000001</v>
      </c>
      <c r="D48" s="66">
        <v>0.149751</v>
      </c>
      <c r="E48" s="66">
        <v>0</v>
      </c>
      <c r="F48" s="66">
        <v>0.69111400000000001</v>
      </c>
      <c r="G48" s="66">
        <v>0</v>
      </c>
      <c r="H48" s="66">
        <v>1.22682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87.208402275226831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1.6837753719446058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0.67528554034076849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2818</v>
      </c>
      <c r="B8" s="66">
        <v>2818</v>
      </c>
      <c r="D8">
        <f t="shared" si="0"/>
        <v>1.6239360567974228E-2</v>
      </c>
      <c r="E8">
        <f t="shared" si="0"/>
        <v>1.6239360567974228E-2</v>
      </c>
      <c r="G8">
        <f t="shared" ca="1" si="1"/>
        <v>6</v>
      </c>
      <c r="H8">
        <f t="shared" ca="1" si="2"/>
        <v>9.7436163407845361E-2</v>
      </c>
      <c r="I8">
        <f t="shared" ca="1" si="3"/>
        <v>107.09540977627887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5629</v>
      </c>
      <c r="B10" s="66">
        <v>5629</v>
      </c>
      <c r="D10">
        <f t="shared" si="0"/>
        <v>3.2438382057177764E-2</v>
      </c>
      <c r="E10">
        <f t="shared" si="0"/>
        <v>3.2438382057177764E-2</v>
      </c>
      <c r="G10">
        <f t="shared" ca="1" si="1"/>
        <v>8</v>
      </c>
      <c r="H10">
        <f t="shared" ca="1" si="2"/>
        <v>0.25950705645742211</v>
      </c>
      <c r="I10">
        <f t="shared" ca="1" si="3"/>
        <v>203.51746802151874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7233</v>
      </c>
      <c r="B13" s="66">
        <v>7233</v>
      </c>
      <c r="D13">
        <f t="shared" si="0"/>
        <v>4.1681793821205675E-2</v>
      </c>
      <c r="E13">
        <f t="shared" si="0"/>
        <v>4.1681793821205675E-2</v>
      </c>
      <c r="G13">
        <f t="shared" ca="1" si="1"/>
        <v>11</v>
      </c>
      <c r="H13">
        <f t="shared" ca="1" si="2"/>
        <v>0.45849973203326244</v>
      </c>
      <c r="I13">
        <f t="shared" ca="1" si="3"/>
        <v>242.07621167597608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10547</v>
      </c>
      <c r="B15" s="66">
        <v>10547</v>
      </c>
      <c r="D15">
        <f t="shared" si="0"/>
        <v>6.0779466256360611E-2</v>
      </c>
      <c r="E15">
        <f t="shared" si="0"/>
        <v>6.0779466256360611E-2</v>
      </c>
      <c r="G15">
        <f t="shared" ca="1" si="1"/>
        <v>13</v>
      </c>
      <c r="H15">
        <f t="shared" ca="1" si="2"/>
        <v>0.7901330613326879</v>
      </c>
      <c r="I15">
        <f t="shared" ca="1" si="3"/>
        <v>334.70565066385001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18177</v>
      </c>
      <c r="B18" s="66">
        <v>18177</v>
      </c>
      <c r="D18">
        <f t="shared" si="0"/>
        <v>0.10474906211641859</v>
      </c>
      <c r="E18">
        <f t="shared" si="0"/>
        <v>0.10474906211641859</v>
      </c>
      <c r="G18">
        <f t="shared" ca="1" si="1"/>
        <v>16</v>
      </c>
      <c r="H18">
        <f t="shared" ca="1" si="2"/>
        <v>1.6759849938626974</v>
      </c>
      <c r="I18">
        <f t="shared" ca="1" si="3"/>
        <v>531.14442342658617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26150</v>
      </c>
      <c r="B21" s="66">
        <v>26150</v>
      </c>
      <c r="D21">
        <f t="shared" si="0"/>
        <v>0.15069527283624062</v>
      </c>
      <c r="E21">
        <f t="shared" si="0"/>
        <v>0.15069527283624062</v>
      </c>
      <c r="G21">
        <f t="shared" ca="1" si="1"/>
        <v>19</v>
      </c>
      <c r="H21">
        <f t="shared" ca="1" si="2"/>
        <v>2.863210183888572</v>
      </c>
      <c r="I21">
        <f t="shared" ca="1" si="3"/>
        <v>701.09259884837263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31574</v>
      </c>
      <c r="B23" s="66">
        <v>31574</v>
      </c>
      <c r="D23">
        <f t="shared" si="0"/>
        <v>0.18195229615799088</v>
      </c>
      <c r="E23">
        <f t="shared" si="0"/>
        <v>0.18195229615799088</v>
      </c>
      <c r="G23">
        <f t="shared" ca="1" si="1"/>
        <v>21</v>
      </c>
      <c r="H23">
        <f t="shared" ca="1" si="2"/>
        <v>3.8209982193178087</v>
      </c>
      <c r="I23">
        <f t="shared" ca="1" si="3"/>
        <v>797.59744849714616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40148</v>
      </c>
      <c r="B26" s="66">
        <v>40148</v>
      </c>
      <c r="D26">
        <f t="shared" si="0"/>
        <v>0.23136190492655406</v>
      </c>
      <c r="E26">
        <f t="shared" si="0"/>
        <v>0.23136190492655406</v>
      </c>
      <c r="G26">
        <f t="shared" ca="1" si="1"/>
        <v>24</v>
      </c>
      <c r="H26">
        <f t="shared" ca="1" si="2"/>
        <v>5.5526857182372975</v>
      </c>
      <c r="I26">
        <f t="shared" ca="1" si="3"/>
        <v>924.36070882081765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47866</v>
      </c>
      <c r="B28" s="66">
        <v>47866</v>
      </c>
      <c r="D28">
        <f t="shared" si="0"/>
        <v>0.27583862063401504</v>
      </c>
      <c r="E28">
        <f t="shared" si="0"/>
        <v>0.27583862063401504</v>
      </c>
      <c r="G28">
        <f t="shared" ca="1" si="1"/>
        <v>26</v>
      </c>
      <c r="H28">
        <f t="shared" ca="1" si="2"/>
        <v>7.1718041364843907</v>
      </c>
      <c r="I28">
        <f t="shared" ca="1" si="3"/>
        <v>1033.4207057950553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59182</v>
      </c>
      <c r="B31" s="66">
        <v>59182</v>
      </c>
      <c r="D31">
        <f t="shared" si="0"/>
        <v>0.34104962282961349</v>
      </c>
      <c r="E31">
        <f t="shared" si="0"/>
        <v>0.34104962282961349</v>
      </c>
      <c r="G31">
        <f t="shared" ca="1" si="1"/>
        <v>29</v>
      </c>
      <c r="H31">
        <f t="shared" ca="1" si="2"/>
        <v>9.8904390620587908</v>
      </c>
      <c r="I31">
        <f t="shared" ca="1" si="3"/>
        <v>1155.5505035124527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71116</v>
      </c>
      <c r="B33" s="66">
        <v>71116</v>
      </c>
      <c r="D33">
        <f t="shared" si="0"/>
        <v>0.40982198940811049</v>
      </c>
      <c r="E33">
        <f t="shared" si="0"/>
        <v>0.40982198940811049</v>
      </c>
      <c r="G33">
        <f t="shared" ca="1" si="1"/>
        <v>31</v>
      </c>
      <c r="H33">
        <f t="shared" ca="1" si="2"/>
        <v>12.704481671651426</v>
      </c>
      <c r="I33">
        <f t="shared" ca="1" si="3"/>
        <v>1294.7852354944084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91982</v>
      </c>
      <c r="B36" s="66">
        <v>91982</v>
      </c>
      <c r="D36">
        <f t="shared" si="0"/>
        <v>0.5300670204980148</v>
      </c>
      <c r="E36">
        <f t="shared" si="0"/>
        <v>0.5300670204980148</v>
      </c>
      <c r="G36">
        <f t="shared" ca="1" si="1"/>
        <v>34</v>
      </c>
      <c r="H36">
        <f t="shared" ca="1" si="2"/>
        <v>18.022278696932503</v>
      </c>
      <c r="I36">
        <f t="shared" ca="1" si="3"/>
        <v>1500.6908025371506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92825</v>
      </c>
      <c r="B39" s="66">
        <v>92825</v>
      </c>
      <c r="D39">
        <f t="shared" si="0"/>
        <v>0.53492499812711425</v>
      </c>
      <c r="E39">
        <f t="shared" si="0"/>
        <v>0.53492499812711425</v>
      </c>
      <c r="G39">
        <f t="shared" ca="1" si="1"/>
        <v>37</v>
      </c>
      <c r="H39">
        <f t="shared" ca="1" si="2"/>
        <v>19.792224930703227</v>
      </c>
      <c r="I39">
        <f t="shared" ca="1" si="3"/>
        <v>1348.4836865858322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89676</v>
      </c>
      <c r="B41" s="66">
        <v>89676</v>
      </c>
      <c r="D41">
        <f t="shared" si="0"/>
        <v>0.51677817540583992</v>
      </c>
      <c r="E41">
        <f t="shared" si="0"/>
        <v>0.51677817540583992</v>
      </c>
      <c r="G41">
        <f t="shared" ca="1" si="1"/>
        <v>39</v>
      </c>
      <c r="H41">
        <f t="shared" ca="1" si="2"/>
        <v>20.154348840827758</v>
      </c>
      <c r="I41">
        <f t="shared" ca="1" si="3"/>
        <v>1201.018344354726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97139</v>
      </c>
      <c r="B44" s="66">
        <v>97139</v>
      </c>
      <c r="D44">
        <f t="shared" si="0"/>
        <v>0.55978539610093991</v>
      </c>
      <c r="E44">
        <f t="shared" si="0"/>
        <v>0.55978539610093991</v>
      </c>
      <c r="G44">
        <f t="shared" ca="1" si="1"/>
        <v>42</v>
      </c>
      <c r="H44">
        <f t="shared" ca="1" si="2"/>
        <v>23.510986636239476</v>
      </c>
      <c r="I44">
        <f t="shared" ca="1" si="3"/>
        <v>1144.0891889452485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112130</v>
      </c>
      <c r="B46" s="66">
        <v>112130</v>
      </c>
      <c r="D46">
        <f t="shared" si="0"/>
        <v>0.64617441465115344</v>
      </c>
      <c r="E46">
        <f t="shared" si="0"/>
        <v>0.64617441465115344</v>
      </c>
      <c r="G46">
        <f t="shared" ca="1" si="1"/>
        <v>44</v>
      </c>
      <c r="H46">
        <f t="shared" ca="1" si="2"/>
        <v>28.43167424465075</v>
      </c>
      <c r="I46">
        <f t="shared" ca="1" si="3"/>
        <v>1206.385679785222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135812</v>
      </c>
      <c r="B49" s="66">
        <v>135812</v>
      </c>
      <c r="D49">
        <f t="shared" si="0"/>
        <v>0.78264728085795454</v>
      </c>
      <c r="E49">
        <f t="shared" si="0"/>
        <v>0.78264728085795454</v>
      </c>
      <c r="G49">
        <f t="shared" ca="1" si="1"/>
        <v>47</v>
      </c>
      <c r="H49">
        <f t="shared" ca="1" si="2"/>
        <v>36.78442220032386</v>
      </c>
      <c r="I49">
        <f t="shared" ca="1" si="3"/>
        <v>1265.3180788470886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139350</v>
      </c>
      <c r="B51" s="66">
        <v>139350</v>
      </c>
      <c r="D51">
        <f t="shared" si="0"/>
        <v>0.80303580381377171</v>
      </c>
      <c r="E51">
        <f t="shared" si="0"/>
        <v>0.80303580381377171</v>
      </c>
      <c r="G51">
        <f t="shared" ca="1" si="1"/>
        <v>49</v>
      </c>
      <c r="H51">
        <f t="shared" ca="1" si="2"/>
        <v>39.348754386874816</v>
      </c>
      <c r="I51">
        <f t="shared" ca="1" si="3"/>
        <v>1172.337518897139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146954</v>
      </c>
      <c r="B54" s="66">
        <v>146954</v>
      </c>
      <c r="D54">
        <f t="shared" si="0"/>
        <v>0.84685556880982427</v>
      </c>
      <c r="E54">
        <f t="shared" si="0"/>
        <v>0.84685556880982427</v>
      </c>
      <c r="G54">
        <f t="shared" ca="1" si="1"/>
        <v>52</v>
      </c>
      <c r="H54">
        <f t="shared" ca="1" si="2"/>
        <v>44.03648957811086</v>
      </c>
      <c r="I54">
        <f t="shared" ca="1" si="3"/>
        <v>1049.7889159197107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148007</v>
      </c>
      <c r="B57" s="66">
        <v>148007</v>
      </c>
      <c r="D57">
        <f t="shared" si="0"/>
        <v>0.85292371880204465</v>
      </c>
      <c r="E57">
        <f t="shared" si="0"/>
        <v>0.85292371880204465</v>
      </c>
      <c r="G57">
        <f t="shared" ca="1" si="1"/>
        <v>55</v>
      </c>
      <c r="H57">
        <f t="shared" ca="1" si="2"/>
        <v>46.910804534112458</v>
      </c>
      <c r="I57">
        <f t="shared" ca="1" si="3"/>
        <v>884.80701140685267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152060</v>
      </c>
      <c r="B59" s="66">
        <v>152060</v>
      </c>
      <c r="D59">
        <f t="shared" si="0"/>
        <v>0.87628004541027726</v>
      </c>
      <c r="E59">
        <f t="shared" si="0"/>
        <v>0.87628004541027726</v>
      </c>
      <c r="G59">
        <f t="shared" ca="1" si="1"/>
        <v>57</v>
      </c>
      <c r="H59">
        <f t="shared" ca="1" si="2"/>
        <v>49.947962588385806</v>
      </c>
      <c r="I59">
        <f t="shared" ca="1" si="3"/>
        <v>799.64722434529449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152109</v>
      </c>
      <c r="B62" s="66">
        <v>152109</v>
      </c>
      <c r="D62">
        <f t="shared" si="0"/>
        <v>0.87656241896167209</v>
      </c>
      <c r="E62">
        <f t="shared" si="0"/>
        <v>0.87656241896167209</v>
      </c>
      <c r="G62">
        <f t="shared" ca="1" si="1"/>
        <v>60</v>
      </c>
      <c r="H62">
        <f t="shared" ca="1" si="2"/>
        <v>52.593745137700324</v>
      </c>
      <c r="I62">
        <f t="shared" ca="1" si="3"/>
        <v>648.91666438550794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170947</v>
      </c>
      <c r="B64" s="66">
        <v>170947</v>
      </c>
      <c r="D64">
        <f t="shared" si="0"/>
        <v>0.98512064265915211</v>
      </c>
      <c r="E64">
        <f t="shared" si="0"/>
        <v>0.98512064265915211</v>
      </c>
      <c r="G64">
        <f t="shared" ca="1" si="1"/>
        <v>62</v>
      </c>
      <c r="H64">
        <f t="shared" ca="1" si="2"/>
        <v>61.077479844867433</v>
      </c>
      <c r="I64">
        <f t="shared" ca="1" si="3"/>
        <v>626.00825610251195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142065</v>
      </c>
      <c r="B67" s="66">
        <v>142065</v>
      </c>
      <c r="D67">
        <f t="shared" ref="D67:E130" si="4">IFERROR( A67/MAX(A$2:A$257), 0 )</f>
        <v>0.81868160365126286</v>
      </c>
      <c r="E67">
        <f t="shared" si="4"/>
        <v>0.81868160365126286</v>
      </c>
      <c r="G67">
        <f t="shared" ref="G67:G130" ca="1" si="5">CELL("row",D67)-2</f>
        <v>65</v>
      </c>
      <c r="H67">
        <f t="shared" ref="H67:H130" ca="1" si="6">D67*G67</f>
        <v>53.214304237332087</v>
      </c>
      <c r="I67">
        <f t="shared" ref="I67:I130" ca="1" si="7">D67*((G67-$L$1)^2)</f>
        <v>403.78451753513144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145995</v>
      </c>
      <c r="B69" s="66">
        <v>145995</v>
      </c>
      <c r="D69">
        <f t="shared" si="4"/>
        <v>0.84132911501823904</v>
      </c>
      <c r="E69">
        <f t="shared" si="4"/>
        <v>0.84132911501823904</v>
      </c>
      <c r="G69">
        <f t="shared" ca="1" si="5"/>
        <v>67</v>
      </c>
      <c r="H69">
        <f t="shared" ca="1" si="6"/>
        <v>56.369050706222012</v>
      </c>
      <c r="I69">
        <f t="shared" ca="1" si="7"/>
        <v>343.58158227112926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152118</v>
      </c>
      <c r="B72" s="66">
        <v>152118</v>
      </c>
      <c r="D72">
        <f t="shared" si="4"/>
        <v>0.87661428349152015</v>
      </c>
      <c r="E72">
        <f t="shared" si="4"/>
        <v>0.87661428349152015</v>
      </c>
      <c r="G72">
        <f t="shared" ca="1" si="5"/>
        <v>70</v>
      </c>
      <c r="H72">
        <f t="shared" ca="1" si="6"/>
        <v>61.36299984440641</v>
      </c>
      <c r="I72">
        <f t="shared" ca="1" si="7"/>
        <v>259.59100658957897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157793</v>
      </c>
      <c r="B75" s="66">
        <v>157793</v>
      </c>
      <c r="D75">
        <f t="shared" si="4"/>
        <v>0.90931775092347678</v>
      </c>
      <c r="E75">
        <f t="shared" si="4"/>
        <v>0.90931775092347678</v>
      </c>
      <c r="G75">
        <f t="shared" ca="1" si="5"/>
        <v>73</v>
      </c>
      <c r="H75">
        <f t="shared" ca="1" si="6"/>
        <v>66.380195817413806</v>
      </c>
      <c r="I75">
        <f t="shared" ca="1" si="7"/>
        <v>183.57188109197068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164523</v>
      </c>
      <c r="B77" s="66">
        <v>164523</v>
      </c>
      <c r="D77">
        <f t="shared" si="4"/>
        <v>0.94810089379873108</v>
      </c>
      <c r="E77">
        <f t="shared" si="4"/>
        <v>0.94810089379873108</v>
      </c>
      <c r="G77">
        <f t="shared" ca="1" si="5"/>
        <v>75</v>
      </c>
      <c r="H77">
        <f t="shared" ca="1" si="6"/>
        <v>71.107567034904832</v>
      </c>
      <c r="I77">
        <f t="shared" ca="1" si="7"/>
        <v>141.30977936076818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173529</v>
      </c>
      <c r="B80" s="66">
        <v>173529</v>
      </c>
      <c r="D80">
        <f t="shared" si="4"/>
        <v>1</v>
      </c>
      <c r="E80">
        <f t="shared" si="4"/>
        <v>1</v>
      </c>
      <c r="G80">
        <f t="shared" ca="1" si="5"/>
        <v>78</v>
      </c>
      <c r="H80">
        <f t="shared" ca="1" si="6"/>
        <v>78</v>
      </c>
      <c r="I80">
        <f t="shared" ca="1" si="7"/>
        <v>84.794672462402673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163917</v>
      </c>
      <c r="B82" s="66">
        <v>163917</v>
      </c>
      <c r="D82">
        <f t="shared" si="4"/>
        <v>0.94460868212229654</v>
      </c>
      <c r="E82">
        <f t="shared" si="4"/>
        <v>0.94460868212229654</v>
      </c>
      <c r="G82">
        <f t="shared" ca="1" si="5"/>
        <v>80</v>
      </c>
      <c r="H82">
        <f t="shared" ca="1" si="6"/>
        <v>75.56869456978373</v>
      </c>
      <c r="I82">
        <f t="shared" ca="1" si="7"/>
        <v>49.082871583575276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162023</v>
      </c>
      <c r="B85" s="66">
        <v>162023</v>
      </c>
      <c r="D85">
        <f t="shared" si="4"/>
        <v>0.93369407995205411</v>
      </c>
      <c r="E85">
        <f t="shared" si="4"/>
        <v>0.93369407995205411</v>
      </c>
      <c r="G85">
        <f t="shared" ca="1" si="5"/>
        <v>83</v>
      </c>
      <c r="H85">
        <f t="shared" ca="1" si="6"/>
        <v>77.496608636020497</v>
      </c>
      <c r="I85">
        <f t="shared" ca="1" si="7"/>
        <v>16.536328786457023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164693</v>
      </c>
      <c r="B88" s="66">
        <v>164693</v>
      </c>
      <c r="D88">
        <f t="shared" si="4"/>
        <v>0.94908055714030504</v>
      </c>
      <c r="E88">
        <f t="shared" si="4"/>
        <v>0.94908055714030504</v>
      </c>
      <c r="G88">
        <f t="shared" ca="1" si="5"/>
        <v>86</v>
      </c>
      <c r="H88">
        <f t="shared" ca="1" si="6"/>
        <v>81.620927914066229</v>
      </c>
      <c r="I88">
        <f t="shared" ca="1" si="7"/>
        <v>1.3858816522170045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158241</v>
      </c>
      <c r="B90" s="66">
        <v>158241</v>
      </c>
      <c r="D90">
        <f t="shared" si="4"/>
        <v>0.91189945196480127</v>
      </c>
      <c r="E90">
        <f t="shared" si="4"/>
        <v>0.91189945196480127</v>
      </c>
      <c r="G90">
        <f t="shared" ca="1" si="5"/>
        <v>88</v>
      </c>
      <c r="H90">
        <f t="shared" ca="1" si="6"/>
        <v>80.247151772902512</v>
      </c>
      <c r="I90">
        <f t="shared" ca="1" si="7"/>
        <v>0.5714207794644286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161964</v>
      </c>
      <c r="B93" s="66">
        <v>161964</v>
      </c>
      <c r="D93">
        <f t="shared" si="4"/>
        <v>0.93335407914527257</v>
      </c>
      <c r="E93">
        <f t="shared" si="4"/>
        <v>0.93335407914527257</v>
      </c>
      <c r="G93">
        <f t="shared" ca="1" si="5"/>
        <v>91</v>
      </c>
      <c r="H93">
        <f t="shared" ca="1" si="6"/>
        <v>84.935221202219807</v>
      </c>
      <c r="I93">
        <f t="shared" ca="1" si="7"/>
        <v>13.418097332289056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147573</v>
      </c>
      <c r="B95" s="66">
        <v>147573</v>
      </c>
      <c r="D95">
        <f t="shared" si="4"/>
        <v>0.85042269591826147</v>
      </c>
      <c r="E95">
        <f t="shared" si="4"/>
        <v>0.85042269591826147</v>
      </c>
      <c r="G95">
        <f t="shared" ca="1" si="5"/>
        <v>93</v>
      </c>
      <c r="H95">
        <f t="shared" ca="1" si="6"/>
        <v>79.089310720398316</v>
      </c>
      <c r="I95">
        <f t="shared" ca="1" si="7"/>
        <v>28.525391896643651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147915</v>
      </c>
      <c r="B98" s="66">
        <v>147915</v>
      </c>
      <c r="D98">
        <f t="shared" si="4"/>
        <v>0.8523935480524869</v>
      </c>
      <c r="E98">
        <f t="shared" si="4"/>
        <v>0.8523935480524869</v>
      </c>
      <c r="G98">
        <f t="shared" ca="1" si="5"/>
        <v>96</v>
      </c>
      <c r="H98">
        <f t="shared" ca="1" si="6"/>
        <v>81.829780613038736</v>
      </c>
      <c r="I98">
        <f t="shared" ca="1" si="7"/>
        <v>65.88336454327478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143208</v>
      </c>
      <c r="B100" s="66">
        <v>143208</v>
      </c>
      <c r="D100">
        <f t="shared" si="4"/>
        <v>0.82526839894196358</v>
      </c>
      <c r="E100">
        <f t="shared" si="4"/>
        <v>0.82526839894196358</v>
      </c>
      <c r="G100">
        <f t="shared" ca="1" si="5"/>
        <v>98</v>
      </c>
      <c r="H100">
        <f t="shared" ca="1" si="6"/>
        <v>80.876303096312427</v>
      </c>
      <c r="I100">
        <f t="shared" ca="1" si="7"/>
        <v>96.109587059041431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139493</v>
      </c>
      <c r="B103" s="66">
        <v>139493</v>
      </c>
      <c r="D103">
        <f t="shared" si="4"/>
        <v>0.80385987356580169</v>
      </c>
      <c r="E103">
        <f t="shared" si="4"/>
        <v>0.80385987356580169</v>
      </c>
      <c r="G103">
        <f t="shared" ca="1" si="5"/>
        <v>101</v>
      </c>
      <c r="H103">
        <f t="shared" ca="1" si="6"/>
        <v>81.189847230145972</v>
      </c>
      <c r="I103">
        <f t="shared" ca="1" si="7"/>
        <v>152.90071372047314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143308</v>
      </c>
      <c r="B106" s="66">
        <v>143308</v>
      </c>
      <c r="D106">
        <f t="shared" si="4"/>
        <v>0.82584467149583063</v>
      </c>
      <c r="E106">
        <f t="shared" si="4"/>
        <v>0.82584467149583063</v>
      </c>
      <c r="G106">
        <f t="shared" ca="1" si="5"/>
        <v>104</v>
      </c>
      <c r="H106">
        <f t="shared" ca="1" si="6"/>
        <v>85.887845835566381</v>
      </c>
      <c r="I106">
        <f t="shared" ca="1" si="7"/>
        <v>232.8533088522106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142593</v>
      </c>
      <c r="B108" s="66">
        <v>142593</v>
      </c>
      <c r="D108">
        <f t="shared" si="4"/>
        <v>0.82172432273568108</v>
      </c>
      <c r="E108">
        <f t="shared" si="4"/>
        <v>0.82172432273568108</v>
      </c>
      <c r="G108">
        <f t="shared" ca="1" si="5"/>
        <v>106</v>
      </c>
      <c r="H108">
        <f t="shared" ca="1" si="6"/>
        <v>87.102778209982191</v>
      </c>
      <c r="I108">
        <f t="shared" ca="1" si="7"/>
        <v>290.17069893258127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141609</v>
      </c>
      <c r="B111" s="66">
        <v>141609</v>
      </c>
      <c r="D111">
        <f t="shared" si="4"/>
        <v>0.81605380080562906</v>
      </c>
      <c r="E111">
        <f t="shared" si="4"/>
        <v>0.81605380080562906</v>
      </c>
      <c r="G111">
        <f t="shared" ca="1" si="5"/>
        <v>109</v>
      </c>
      <c r="H111">
        <f t="shared" ca="1" si="6"/>
        <v>88.949864287813568</v>
      </c>
      <c r="I111">
        <f t="shared" ca="1" si="7"/>
        <v>387.52251341036606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135022</v>
      </c>
      <c r="B113" s="66">
        <v>135022</v>
      </c>
      <c r="D113">
        <f t="shared" si="4"/>
        <v>0.77809472768240462</v>
      </c>
      <c r="E113">
        <f t="shared" si="4"/>
        <v>0.77809472768240462</v>
      </c>
      <c r="G113">
        <f t="shared" ca="1" si="5"/>
        <v>111</v>
      </c>
      <c r="H113">
        <f t="shared" ca="1" si="6"/>
        <v>86.368514772746906</v>
      </c>
      <c r="I113">
        <f t="shared" ca="1" si="7"/>
        <v>440.43283481633523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139180</v>
      </c>
      <c r="B116" s="66">
        <v>139180</v>
      </c>
      <c r="D116">
        <f t="shared" si="4"/>
        <v>0.80205614047219775</v>
      </c>
      <c r="E116">
        <f t="shared" si="4"/>
        <v>0.80205614047219775</v>
      </c>
      <c r="G116">
        <f t="shared" ca="1" si="5"/>
        <v>114</v>
      </c>
      <c r="H116">
        <f t="shared" ca="1" si="6"/>
        <v>91.43440001383054</v>
      </c>
      <c r="I116">
        <f t="shared" ca="1" si="7"/>
        <v>575.7076433873309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133629</v>
      </c>
      <c r="B118" s="66">
        <v>133629</v>
      </c>
      <c r="D118">
        <f t="shared" si="4"/>
        <v>0.77006725100703632</v>
      </c>
      <c r="E118">
        <f t="shared" si="4"/>
        <v>0.77006725100703632</v>
      </c>
      <c r="G118">
        <f t="shared" ca="1" si="5"/>
        <v>116</v>
      </c>
      <c r="H118">
        <f t="shared" ca="1" si="6"/>
        <v>89.327801116816218</v>
      </c>
      <c r="I118">
        <f t="shared" ca="1" si="7"/>
        <v>638.35194478225924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129813</v>
      </c>
      <c r="B121" s="66">
        <v>129813</v>
      </c>
      <c r="D121">
        <f t="shared" si="4"/>
        <v>0.74807669035146862</v>
      </c>
      <c r="E121">
        <f t="shared" si="4"/>
        <v>0.74807669035146862</v>
      </c>
      <c r="G121">
        <f t="shared" ca="1" si="5"/>
        <v>119</v>
      </c>
      <c r="H121">
        <f t="shared" ca="1" si="6"/>
        <v>89.02112615182476</v>
      </c>
      <c r="I121">
        <f t="shared" ca="1" si="7"/>
        <v>756.08536442284685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113217</v>
      </c>
      <c r="B124" s="66">
        <v>113217</v>
      </c>
      <c r="D124">
        <f t="shared" si="4"/>
        <v>0.65243849731168857</v>
      </c>
      <c r="E124">
        <f t="shared" si="4"/>
        <v>0.65243849731168857</v>
      </c>
      <c r="G124">
        <f t="shared" ca="1" si="5"/>
        <v>122</v>
      </c>
      <c r="H124">
        <f t="shared" ca="1" si="6"/>
        <v>79.597496672026011</v>
      </c>
      <c r="I124">
        <f t="shared" ca="1" si="7"/>
        <v>789.74761888486955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122586</v>
      </c>
      <c r="B126" s="66">
        <v>122586</v>
      </c>
      <c r="D126">
        <f t="shared" si="4"/>
        <v>0.706429472883495</v>
      </c>
      <c r="E126">
        <f t="shared" si="4"/>
        <v>0.706429472883495</v>
      </c>
      <c r="G126">
        <f t="shared" ca="1" si="5"/>
        <v>124</v>
      </c>
      <c r="H126">
        <f t="shared" ca="1" si="6"/>
        <v>87.597254637553377</v>
      </c>
      <c r="I126">
        <f t="shared" ca="1" si="7"/>
        <v>956.23823797675391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115916</v>
      </c>
      <c r="B129" s="66">
        <v>115916</v>
      </c>
      <c r="D129">
        <f t="shared" si="4"/>
        <v>0.66799209354056099</v>
      </c>
      <c r="E129">
        <f t="shared" si="4"/>
        <v>0.66799209354056099</v>
      </c>
      <c r="G129">
        <f t="shared" ca="1" si="5"/>
        <v>127</v>
      </c>
      <c r="H129">
        <f t="shared" ca="1" si="6"/>
        <v>84.834995879651245</v>
      </c>
      <c r="I129">
        <f t="shared" ca="1" si="7"/>
        <v>1057.6794757988748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107793</v>
      </c>
      <c r="B131" s="66">
        <v>107793</v>
      </c>
      <c r="D131">
        <f t="shared" ref="D131:E194" si="8">IFERROR( A131/MAX(A$2:A$257), 0 )</f>
        <v>0.62118147398993828</v>
      </c>
      <c r="E131">
        <f t="shared" si="8"/>
        <v>0.62118147398993828</v>
      </c>
      <c r="G131">
        <f t="shared" ref="G131:G194" ca="1" si="9">CELL("row",D131)-2</f>
        <v>129</v>
      </c>
      <c r="H131">
        <f t="shared" ref="H131:H194" ca="1" si="10">D131*G131</f>
        <v>80.132410144702035</v>
      </c>
      <c r="I131">
        <f t="shared" ref="I131:I194" ca="1" si="11">D131*((G131-$L$1)^2)</f>
        <v>1084.916825835913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99919</v>
      </c>
      <c r="B134" s="66">
        <v>99919</v>
      </c>
      <c r="D134">
        <f t="shared" si="8"/>
        <v>0.57580577309844461</v>
      </c>
      <c r="E134">
        <f t="shared" si="8"/>
        <v>0.57580577309844461</v>
      </c>
      <c r="G134">
        <f t="shared" ca="1" si="9"/>
        <v>132</v>
      </c>
      <c r="H134">
        <f t="shared" ca="1" si="10"/>
        <v>76.006362048994689</v>
      </c>
      <c r="I134">
        <f t="shared" ca="1" si="11"/>
        <v>1155.2317676493537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97451</v>
      </c>
      <c r="B136" s="66">
        <v>97451</v>
      </c>
      <c r="D136">
        <f t="shared" si="8"/>
        <v>0.5615833664690052</v>
      </c>
      <c r="E136">
        <f t="shared" si="8"/>
        <v>0.5615833664690052</v>
      </c>
      <c r="G136">
        <f t="shared" ca="1" si="9"/>
        <v>134</v>
      </c>
      <c r="H136">
        <f t="shared" ca="1" si="10"/>
        <v>75.252171106846703</v>
      </c>
      <c r="I136">
        <f t="shared" ca="1" si="11"/>
        <v>1229.5607333203272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91458</v>
      </c>
      <c r="B139" s="66">
        <v>91458</v>
      </c>
      <c r="D139">
        <f t="shared" si="8"/>
        <v>0.52704735231575128</v>
      </c>
      <c r="E139">
        <f t="shared" si="8"/>
        <v>0.52704735231575128</v>
      </c>
      <c r="G139">
        <f t="shared" ca="1" si="9"/>
        <v>137</v>
      </c>
      <c r="H139">
        <f t="shared" ca="1" si="10"/>
        <v>72.205487267257922</v>
      </c>
      <c r="I139">
        <f t="shared" ca="1" si="11"/>
        <v>1306.6574845133573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80541</v>
      </c>
      <c r="B142" s="66">
        <v>80541</v>
      </c>
      <c r="D142">
        <f t="shared" si="8"/>
        <v>0.46413567761008245</v>
      </c>
      <c r="E142">
        <f t="shared" si="8"/>
        <v>0.46413567761008245</v>
      </c>
      <c r="G142">
        <f t="shared" ca="1" si="9"/>
        <v>140</v>
      </c>
      <c r="H142">
        <f t="shared" ca="1" si="10"/>
        <v>64.978994865411551</v>
      </c>
      <c r="I142">
        <f t="shared" ca="1" si="11"/>
        <v>1293.5242218091091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66018</v>
      </c>
      <c r="B144" s="66">
        <v>66018</v>
      </c>
      <c r="D144">
        <f t="shared" si="8"/>
        <v>0.38044361461196685</v>
      </c>
      <c r="E144">
        <f t="shared" si="8"/>
        <v>0.38044361461196685</v>
      </c>
      <c r="G144">
        <f t="shared" ca="1" si="9"/>
        <v>142</v>
      </c>
      <c r="H144">
        <f t="shared" ca="1" si="10"/>
        <v>54.022993274899292</v>
      </c>
      <c r="I144">
        <f t="shared" ca="1" si="11"/>
        <v>1142.137072804341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56887</v>
      </c>
      <c r="B147" s="66">
        <v>56887</v>
      </c>
      <c r="D147">
        <f t="shared" si="8"/>
        <v>0.32782416771836409</v>
      </c>
      <c r="E147">
        <f t="shared" si="8"/>
        <v>0.32782416771836409</v>
      </c>
      <c r="G147">
        <f t="shared" ca="1" si="9"/>
        <v>145</v>
      </c>
      <c r="H147">
        <f t="shared" ca="1" si="10"/>
        <v>47.534504319162792</v>
      </c>
      <c r="I147">
        <f t="shared" ca="1" si="11"/>
        <v>1094.8896990211299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52535</v>
      </c>
      <c r="B149" s="66">
        <v>52535</v>
      </c>
      <c r="D149">
        <f t="shared" si="8"/>
        <v>0.30274478617406891</v>
      </c>
      <c r="E149">
        <f t="shared" si="8"/>
        <v>0.30274478617406891</v>
      </c>
      <c r="G149">
        <f t="shared" ca="1" si="9"/>
        <v>147</v>
      </c>
      <c r="H149">
        <f t="shared" ca="1" si="10"/>
        <v>44.503483567588127</v>
      </c>
      <c r="I149">
        <f t="shared" ca="1" si="11"/>
        <v>1082.3232546191393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47943</v>
      </c>
      <c r="B152" s="66">
        <v>47943</v>
      </c>
      <c r="D152">
        <f t="shared" si="8"/>
        <v>0.27628235050049271</v>
      </c>
      <c r="E152">
        <f t="shared" si="8"/>
        <v>0.27628235050049271</v>
      </c>
      <c r="G152">
        <f t="shared" ca="1" si="9"/>
        <v>150</v>
      </c>
      <c r="H152">
        <f t="shared" ca="1" si="10"/>
        <v>41.442352575073905</v>
      </c>
      <c r="I152">
        <f t="shared" ca="1" si="11"/>
        <v>1089.3218368190455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42319</v>
      </c>
      <c r="B154" s="66">
        <v>42319</v>
      </c>
      <c r="D154">
        <f t="shared" si="8"/>
        <v>0.24387278207100829</v>
      </c>
      <c r="E154">
        <f t="shared" si="8"/>
        <v>0.24387278207100829</v>
      </c>
      <c r="G154">
        <f t="shared" ca="1" si="9"/>
        <v>152</v>
      </c>
      <c r="H154">
        <f t="shared" ca="1" si="10"/>
        <v>37.068662874793262</v>
      </c>
      <c r="I154">
        <f t="shared" ca="1" si="11"/>
        <v>1023.7660224683392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37807</v>
      </c>
      <c r="B157" s="66">
        <v>37807</v>
      </c>
      <c r="D157">
        <f t="shared" si="8"/>
        <v>0.21787136444052579</v>
      </c>
      <c r="E157">
        <f t="shared" si="8"/>
        <v>0.21787136444052579</v>
      </c>
      <c r="G157">
        <f t="shared" ca="1" si="9"/>
        <v>155</v>
      </c>
      <c r="H157">
        <f t="shared" ca="1" si="10"/>
        <v>33.770061488281499</v>
      </c>
      <c r="I157">
        <f t="shared" ca="1" si="11"/>
        <v>1001.2715868793281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35767</v>
      </c>
      <c r="B160" s="66">
        <v>35767</v>
      </c>
      <c r="D160">
        <f t="shared" si="8"/>
        <v>0.20611540434163741</v>
      </c>
      <c r="E160">
        <f t="shared" si="8"/>
        <v>0.20611540434163741</v>
      </c>
      <c r="G160">
        <f t="shared" ca="1" si="9"/>
        <v>158</v>
      </c>
      <c r="H160">
        <f t="shared" ca="1" si="10"/>
        <v>32.566233885978711</v>
      </c>
      <c r="I160">
        <f t="shared" ca="1" si="11"/>
        <v>1032.9371066592712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30621</v>
      </c>
      <c r="B162" s="66">
        <v>30621</v>
      </c>
      <c r="D162">
        <f t="shared" si="8"/>
        <v>0.17646041871963764</v>
      </c>
      <c r="E162">
        <f t="shared" si="8"/>
        <v>0.17646041871963764</v>
      </c>
      <c r="G162">
        <f t="shared" ca="1" si="9"/>
        <v>160</v>
      </c>
      <c r="H162">
        <f t="shared" ca="1" si="10"/>
        <v>28.233666995142023</v>
      </c>
      <c r="I162">
        <f t="shared" ca="1" si="11"/>
        <v>934.99612139778958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23719</v>
      </c>
      <c r="B165" s="66">
        <v>23719</v>
      </c>
      <c r="D165">
        <f t="shared" si="8"/>
        <v>0.13668608705173199</v>
      </c>
      <c r="E165">
        <f t="shared" si="8"/>
        <v>0.13668608705173199</v>
      </c>
      <c r="G165">
        <f t="shared" ca="1" si="9"/>
        <v>163</v>
      </c>
      <c r="H165">
        <f t="shared" ca="1" si="10"/>
        <v>22.279832189432316</v>
      </c>
      <c r="I165">
        <f t="shared" ca="1" si="11"/>
        <v>785.17495018064903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20062</v>
      </c>
      <c r="B167" s="66">
        <v>20062</v>
      </c>
      <c r="D167">
        <f t="shared" si="8"/>
        <v>0.11561179975681299</v>
      </c>
      <c r="E167">
        <f t="shared" si="8"/>
        <v>0.11561179975681299</v>
      </c>
      <c r="G167">
        <f t="shared" ca="1" si="9"/>
        <v>165</v>
      </c>
      <c r="H167">
        <f t="shared" ca="1" si="10"/>
        <v>19.075946959874145</v>
      </c>
      <c r="I167">
        <f t="shared" ca="1" si="11"/>
        <v>699.62858402576057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13082</v>
      </c>
      <c r="B170" s="66">
        <v>13082</v>
      </c>
      <c r="D170">
        <f t="shared" si="8"/>
        <v>7.538797549689101E-2</v>
      </c>
      <c r="E170">
        <f t="shared" si="8"/>
        <v>7.538797549689101E-2</v>
      </c>
      <c r="G170">
        <f t="shared" ca="1" si="9"/>
        <v>168</v>
      </c>
      <c r="H170">
        <f t="shared" ca="1" si="10"/>
        <v>12.665179883477689</v>
      </c>
      <c r="I170">
        <f t="shared" ca="1" si="11"/>
        <v>492.0785952984229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7283</v>
      </c>
      <c r="B173" s="66">
        <v>7283</v>
      </c>
      <c r="D173">
        <f t="shared" si="8"/>
        <v>4.1969930098139215E-2</v>
      </c>
      <c r="E173">
        <f t="shared" si="8"/>
        <v>4.1969930098139215E-2</v>
      </c>
      <c r="G173">
        <f t="shared" ca="1" si="9"/>
        <v>171</v>
      </c>
      <c r="H173">
        <f t="shared" ca="1" si="10"/>
        <v>7.1768580467818053</v>
      </c>
      <c r="I173">
        <f t="shared" ca="1" si="11"/>
        <v>294.6722159306799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4062</v>
      </c>
      <c r="B175" s="66">
        <v>4062</v>
      </c>
      <c r="D175">
        <f t="shared" si="8"/>
        <v>2.3408191138080667E-2</v>
      </c>
      <c r="E175">
        <f t="shared" si="8"/>
        <v>2.3408191138080667E-2</v>
      </c>
      <c r="G175">
        <f t="shared" ca="1" si="9"/>
        <v>173</v>
      </c>
      <c r="H175">
        <f t="shared" ca="1" si="10"/>
        <v>4.0496170668879552</v>
      </c>
      <c r="I175">
        <f t="shared" ca="1" si="11"/>
        <v>172.28892722004804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1896</v>
      </c>
      <c r="B178" s="66">
        <v>1896</v>
      </c>
      <c r="D178">
        <f t="shared" si="8"/>
        <v>1.0926127621319779E-2</v>
      </c>
      <c r="E178">
        <f t="shared" si="8"/>
        <v>1.0926127621319779E-2</v>
      </c>
      <c r="G178">
        <f t="shared" ca="1" si="9"/>
        <v>176</v>
      </c>
      <c r="H178">
        <f t="shared" ca="1" si="10"/>
        <v>1.9229984613522813</v>
      </c>
      <c r="I178">
        <f t="shared" ca="1" si="11"/>
        <v>86.141020112361744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592</v>
      </c>
      <c r="B180" s="66">
        <v>592</v>
      </c>
      <c r="D180">
        <f t="shared" si="8"/>
        <v>3.4115335188930956E-3</v>
      </c>
      <c r="E180">
        <f t="shared" si="8"/>
        <v>3.4115335188930956E-3</v>
      </c>
      <c r="G180">
        <f t="shared" ca="1" si="9"/>
        <v>178</v>
      </c>
      <c r="H180">
        <f t="shared" ca="1" si="10"/>
        <v>0.60725296636297099</v>
      </c>
      <c r="I180">
        <f t="shared" ca="1" si="11"/>
        <v>28.121660452782447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274</v>
      </c>
      <c r="B183" s="66">
        <v>274</v>
      </c>
      <c r="D183">
        <f t="shared" si="8"/>
        <v>1.578986797595791E-3</v>
      </c>
      <c r="E183">
        <f t="shared" si="8"/>
        <v>1.578986797595791E-3</v>
      </c>
      <c r="G183">
        <f t="shared" ca="1" si="9"/>
        <v>181</v>
      </c>
      <c r="H183">
        <f t="shared" ca="1" si="10"/>
        <v>0.28579661036483817</v>
      </c>
      <c r="I183">
        <f t="shared" ca="1" si="11"/>
        <v>13.89013180639429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82.660772407415195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1.5959720528564392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0.71262744791045429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1538</v>
      </c>
      <c r="B8" s="66">
        <v>1538</v>
      </c>
      <c r="D8">
        <f t="shared" si="0"/>
        <v>1.5877931945820944</v>
      </c>
      <c r="E8">
        <f t="shared" si="1"/>
        <v>1.5877931945820944</v>
      </c>
      <c r="G8">
        <f t="shared" ca="1" si="2"/>
        <v>6</v>
      </c>
      <c r="H8">
        <f t="shared" ca="1" si="3"/>
        <v>9.5267591674925676</v>
      </c>
      <c r="I8">
        <f t="shared" ca="1" si="4"/>
        <v>9331.2605840602537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3931</v>
      </c>
      <c r="B10" s="66">
        <v>3931</v>
      </c>
      <c r="D10">
        <f t="shared" si="0"/>
        <v>4.0582672613148327</v>
      </c>
      <c r="E10">
        <f t="shared" si="1"/>
        <v>4.0582672613148327</v>
      </c>
      <c r="G10">
        <f t="shared" ca="1" si="2"/>
        <v>8</v>
      </c>
      <c r="H10">
        <f t="shared" ca="1" si="3"/>
        <v>32.466138090518662</v>
      </c>
      <c r="I10">
        <f t="shared" ca="1" si="4"/>
        <v>22621.718916492031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4581</v>
      </c>
      <c r="B13" s="66">
        <v>4581</v>
      </c>
      <c r="D13">
        <f t="shared" si="0"/>
        <v>4.7293111992071362</v>
      </c>
      <c r="E13">
        <f t="shared" si="1"/>
        <v>4.7293111992071362</v>
      </c>
      <c r="G13">
        <f t="shared" ca="1" si="2"/>
        <v>11</v>
      </c>
      <c r="H13">
        <f t="shared" ca="1" si="3"/>
        <v>52.022423191278499</v>
      </c>
      <c r="I13">
        <f t="shared" ca="1" si="4"/>
        <v>24286.272433089001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5911</v>
      </c>
      <c r="B15" s="66">
        <v>5911</v>
      </c>
      <c r="D15">
        <f t="shared" si="0"/>
        <v>6.1023703336636936</v>
      </c>
      <c r="E15">
        <f t="shared" si="1"/>
        <v>6.1023703336636936</v>
      </c>
      <c r="G15">
        <f t="shared" ca="1" si="2"/>
        <v>13</v>
      </c>
      <c r="H15">
        <f t="shared" ca="1" si="3"/>
        <v>79.330814337628013</v>
      </c>
      <c r="I15">
        <f t="shared" ca="1" si="4"/>
        <v>29612.503931783525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10815</v>
      </c>
      <c r="B18" s="66">
        <v>10815</v>
      </c>
      <c r="D18">
        <f t="shared" si="0"/>
        <v>11.16513875123885</v>
      </c>
      <c r="E18">
        <f t="shared" si="1"/>
        <v>11.16513875123885</v>
      </c>
      <c r="G18">
        <f t="shared" ca="1" si="2"/>
        <v>16</v>
      </c>
      <c r="H18">
        <f t="shared" ca="1" si="3"/>
        <v>178.64222001982159</v>
      </c>
      <c r="I18">
        <f t="shared" ca="1" si="4"/>
        <v>49614.064585980268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14916</v>
      </c>
      <c r="B21" s="66">
        <v>14916</v>
      </c>
      <c r="D21">
        <f t="shared" si="0"/>
        <v>15.398909811694747</v>
      </c>
      <c r="E21">
        <f t="shared" si="1"/>
        <v>15.398909811694747</v>
      </c>
      <c r="G21">
        <f t="shared" ca="1" si="2"/>
        <v>19</v>
      </c>
      <c r="H21">
        <f t="shared" ca="1" si="3"/>
        <v>292.5792864222002</v>
      </c>
      <c r="I21">
        <f t="shared" ca="1" si="4"/>
        <v>62407.068530492237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18061</v>
      </c>
      <c r="B23" s="66">
        <v>18061</v>
      </c>
      <c r="D23">
        <f t="shared" si="0"/>
        <v>18.645730095804428</v>
      </c>
      <c r="E23">
        <f t="shared" si="1"/>
        <v>18.645730095804428</v>
      </c>
      <c r="G23">
        <f t="shared" ca="1" si="2"/>
        <v>21</v>
      </c>
      <c r="H23">
        <f t="shared" ca="1" si="3"/>
        <v>391.56033201189297</v>
      </c>
      <c r="I23">
        <f t="shared" ca="1" si="4"/>
        <v>70892.014031951621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22379</v>
      </c>
      <c r="B26" s="66">
        <v>22379</v>
      </c>
      <c r="D26">
        <f t="shared" si="0"/>
        <v>23.103526593987446</v>
      </c>
      <c r="E26">
        <f t="shared" si="1"/>
        <v>23.103526593987446</v>
      </c>
      <c r="G26">
        <f t="shared" ca="1" si="2"/>
        <v>24</v>
      </c>
      <c r="H26">
        <f t="shared" ca="1" si="3"/>
        <v>554.48463825569866</v>
      </c>
      <c r="I26">
        <f t="shared" ca="1" si="4"/>
        <v>79501.226982910157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30127</v>
      </c>
      <c r="B28" s="66">
        <v>30127</v>
      </c>
      <c r="D28">
        <f t="shared" si="0"/>
        <v>31.102370333663693</v>
      </c>
      <c r="E28">
        <f t="shared" si="1"/>
        <v>31.102370333663693</v>
      </c>
      <c r="G28">
        <f t="shared" ca="1" si="2"/>
        <v>26</v>
      </c>
      <c r="H28">
        <f t="shared" ca="1" si="3"/>
        <v>808.661628675256</v>
      </c>
      <c r="I28">
        <f t="shared" ca="1" si="4"/>
        <v>99852.391158358427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40507</v>
      </c>
      <c r="B31" s="66">
        <v>40507</v>
      </c>
      <c r="D31">
        <f t="shared" si="0"/>
        <v>41.818425834159235</v>
      </c>
      <c r="E31">
        <f t="shared" si="1"/>
        <v>41.818425834159235</v>
      </c>
      <c r="G31">
        <f t="shared" ca="1" si="2"/>
        <v>29</v>
      </c>
      <c r="H31">
        <f t="shared" ca="1" si="3"/>
        <v>1212.7343491906179</v>
      </c>
      <c r="I31">
        <f t="shared" ca="1" si="4"/>
        <v>120415.25789928582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48166</v>
      </c>
      <c r="B33" s="66">
        <v>48166</v>
      </c>
      <c r="D33">
        <f t="shared" si="0"/>
        <v>49.725388173108691</v>
      </c>
      <c r="E33">
        <f t="shared" si="1"/>
        <v>49.725388173108691</v>
      </c>
      <c r="G33">
        <f t="shared" ca="1" si="2"/>
        <v>31</v>
      </c>
      <c r="H33">
        <f t="shared" ca="1" si="3"/>
        <v>1541.4870333663694</v>
      </c>
      <c r="I33">
        <f t="shared" ca="1" si="4"/>
        <v>132708.87652009763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66156</v>
      </c>
      <c r="B36" s="66">
        <v>66156</v>
      </c>
      <c r="D36">
        <f t="shared" si="0"/>
        <v>68.297819623389501</v>
      </c>
      <c r="E36">
        <f t="shared" si="1"/>
        <v>68.297819623389501</v>
      </c>
      <c r="G36">
        <f t="shared" ca="1" si="2"/>
        <v>34</v>
      </c>
      <c r="H36">
        <f t="shared" ca="1" si="3"/>
        <v>2322.1258671952428</v>
      </c>
      <c r="I36">
        <f t="shared" ca="1" si="4"/>
        <v>161720.41082880518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67781</v>
      </c>
      <c r="B39" s="66">
        <v>67781</v>
      </c>
      <c r="D39">
        <f t="shared" si="0"/>
        <v>69.975429468120254</v>
      </c>
      <c r="E39">
        <f t="shared" si="1"/>
        <v>69.975429468120254</v>
      </c>
      <c r="G39">
        <f t="shared" ca="1" si="2"/>
        <v>37</v>
      </c>
      <c r="H39">
        <f t="shared" ca="1" si="3"/>
        <v>2589.0908903204495</v>
      </c>
      <c r="I39">
        <f t="shared" ca="1" si="4"/>
        <v>145892.20232622226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63068</v>
      </c>
      <c r="B41" s="66">
        <v>63068</v>
      </c>
      <c r="D41">
        <f t="shared" si="0"/>
        <v>65.109844730756521</v>
      </c>
      <c r="E41">
        <f t="shared" si="1"/>
        <v>65.109844730756521</v>
      </c>
      <c r="G41">
        <f t="shared" ca="1" si="2"/>
        <v>39</v>
      </c>
      <c r="H41">
        <f t="shared" ca="1" si="3"/>
        <v>2539.2839444995043</v>
      </c>
      <c r="I41">
        <f t="shared" ca="1" si="4"/>
        <v>124116.49101995914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64779</v>
      </c>
      <c r="B44" s="66">
        <v>64779</v>
      </c>
      <c r="D44">
        <f t="shared" si="0"/>
        <v>66.87623885034688</v>
      </c>
      <c r="E44">
        <f t="shared" si="1"/>
        <v>66.87623885034688</v>
      </c>
      <c r="G44">
        <f t="shared" ca="1" si="2"/>
        <v>42</v>
      </c>
      <c r="H44">
        <f t="shared" ca="1" si="3"/>
        <v>2808.8020317145688</v>
      </c>
      <c r="I44">
        <f t="shared" ca="1" si="4"/>
        <v>110566.37954314653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79931</v>
      </c>
      <c r="B46" s="66">
        <v>79931</v>
      </c>
      <c r="D46">
        <f t="shared" si="0"/>
        <v>82.518789230260978</v>
      </c>
      <c r="E46">
        <f t="shared" si="1"/>
        <v>82.518789230260978</v>
      </c>
      <c r="G46">
        <f t="shared" ca="1" si="2"/>
        <v>44</v>
      </c>
      <c r="H46">
        <f t="shared" ca="1" si="3"/>
        <v>3630.8267261314832</v>
      </c>
      <c r="I46">
        <f t="shared" ca="1" si="4"/>
        <v>123337.1475819086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95859</v>
      </c>
      <c r="B49" s="66">
        <v>95859</v>
      </c>
      <c r="D49">
        <f t="shared" si="0"/>
        <v>98.9624628344896</v>
      </c>
      <c r="E49">
        <f t="shared" si="1"/>
        <v>98.9624628344896</v>
      </c>
      <c r="G49">
        <f t="shared" ca="1" si="2"/>
        <v>47</v>
      </c>
      <c r="H49">
        <f t="shared" ca="1" si="3"/>
        <v>4651.2357532210108</v>
      </c>
      <c r="I49">
        <f t="shared" ca="1" si="4"/>
        <v>125849.64251679349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96864</v>
      </c>
      <c r="B51" s="66">
        <v>96864</v>
      </c>
      <c r="D51">
        <f t="shared" si="0"/>
        <v>100</v>
      </c>
      <c r="E51">
        <f t="shared" si="1"/>
        <v>100</v>
      </c>
      <c r="G51">
        <f t="shared" ca="1" si="2"/>
        <v>49</v>
      </c>
      <c r="H51">
        <f t="shared" ca="1" si="3"/>
        <v>4900</v>
      </c>
      <c r="I51">
        <f t="shared" ca="1" si="4"/>
        <v>113304.75990638042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96205</v>
      </c>
      <c r="B54" s="66">
        <v>96205</v>
      </c>
      <c r="D54">
        <f t="shared" si="0"/>
        <v>99.319664684506108</v>
      </c>
      <c r="E54">
        <f t="shared" si="1"/>
        <v>99.319664684506108</v>
      </c>
      <c r="G54">
        <f t="shared" ca="1" si="2"/>
        <v>52</v>
      </c>
      <c r="H54">
        <f t="shared" ca="1" si="3"/>
        <v>5164.6225635943174</v>
      </c>
      <c r="I54">
        <f t="shared" ca="1" si="4"/>
        <v>93368.724821606578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92875</v>
      </c>
      <c r="B57" s="66">
        <v>92875</v>
      </c>
      <c r="D57">
        <f t="shared" si="0"/>
        <v>95.881854971919395</v>
      </c>
      <c r="E57">
        <f t="shared" si="1"/>
        <v>95.881854971919395</v>
      </c>
      <c r="G57">
        <f t="shared" ca="1" si="2"/>
        <v>55</v>
      </c>
      <c r="H57">
        <f t="shared" ca="1" si="3"/>
        <v>5273.5020234555668</v>
      </c>
      <c r="I57">
        <f t="shared" ca="1" si="4"/>
        <v>73360.964770179402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84285</v>
      </c>
      <c r="B59" s="66">
        <v>84285</v>
      </c>
      <c r="D59">
        <f t="shared" si="0"/>
        <v>87.013751238850347</v>
      </c>
      <c r="E59">
        <f t="shared" si="1"/>
        <v>87.013751238850347</v>
      </c>
      <c r="G59">
        <f t="shared" ca="1" si="2"/>
        <v>57</v>
      </c>
      <c r="H59">
        <f t="shared" ca="1" si="3"/>
        <v>4959.7838206144697</v>
      </c>
      <c r="I59">
        <f t="shared" ca="1" si="4"/>
        <v>57296.400777738781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86060</v>
      </c>
      <c r="B62" s="66">
        <v>86060</v>
      </c>
      <c r="D62">
        <f t="shared" si="0"/>
        <v>88.846217376940871</v>
      </c>
      <c r="E62">
        <f t="shared" si="1"/>
        <v>88.846217376940871</v>
      </c>
      <c r="G62">
        <f t="shared" ca="1" si="2"/>
        <v>60</v>
      </c>
      <c r="H62">
        <f t="shared" ca="1" si="3"/>
        <v>5330.7730426164526</v>
      </c>
      <c r="I62">
        <f t="shared" ca="1" si="4"/>
        <v>45623.47493498477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90510</v>
      </c>
      <c r="B64" s="66">
        <v>90510</v>
      </c>
      <c r="D64">
        <f t="shared" si="0"/>
        <v>93.440287413280473</v>
      </c>
      <c r="E64">
        <f t="shared" si="1"/>
        <v>93.440287413280473</v>
      </c>
      <c r="G64">
        <f t="shared" ca="1" si="2"/>
        <v>62</v>
      </c>
      <c r="H64">
        <f t="shared" ca="1" si="3"/>
        <v>5793.2978196233889</v>
      </c>
      <c r="I64">
        <f t="shared" ca="1" si="4"/>
        <v>39886.623426444326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66335</v>
      </c>
      <c r="B67" s="66">
        <v>66335</v>
      </c>
      <c r="D67">
        <f t="shared" ref="D67:D130" si="5">IFERROR( 100*A67/MAX(A$2:A$257), 0 )</f>
        <v>68.48261480013214</v>
      </c>
      <c r="E67">
        <f t="shared" ref="E67:E130" si="6">IFERROR( 100*B67/MAX(B$2:B$257), 0 )</f>
        <v>68.48261480013214</v>
      </c>
      <c r="G67">
        <f t="shared" ref="G67:G130" ca="1" si="7">CELL("row",D67)-2</f>
        <v>65</v>
      </c>
      <c r="H67">
        <f t="shared" ref="H67:H130" ca="1" si="8">D67*G67</f>
        <v>4451.369962008589</v>
      </c>
      <c r="I67">
        <f t="shared" ref="I67:I130" ca="1" si="9">D67*((G67-$L$1)^2)</f>
        <v>21359.924924873081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66797</v>
      </c>
      <c r="B69" s="66">
        <v>66797</v>
      </c>
      <c r="D69">
        <f t="shared" si="5"/>
        <v>68.959572183680208</v>
      </c>
      <c r="E69">
        <f t="shared" si="6"/>
        <v>68.959572183680208</v>
      </c>
      <c r="G69">
        <f t="shared" ca="1" si="7"/>
        <v>67</v>
      </c>
      <c r="H69">
        <f t="shared" ca="1" si="8"/>
        <v>4620.2913363065736</v>
      </c>
      <c r="I69">
        <f t="shared" ca="1" si="9"/>
        <v>16913.010357545489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69379</v>
      </c>
      <c r="B72" s="66">
        <v>69379</v>
      </c>
      <c r="D72">
        <f t="shared" si="5"/>
        <v>71.625165180046253</v>
      </c>
      <c r="E72">
        <f t="shared" si="6"/>
        <v>71.625165180046253</v>
      </c>
      <c r="G72">
        <f t="shared" ca="1" si="7"/>
        <v>70</v>
      </c>
      <c r="H72">
        <f t="shared" ca="1" si="8"/>
        <v>5013.7615626032375</v>
      </c>
      <c r="I72">
        <f t="shared" ca="1" si="9"/>
        <v>11481.167165899815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68191</v>
      </c>
      <c r="B75" s="66">
        <v>68191</v>
      </c>
      <c r="D75">
        <f t="shared" si="5"/>
        <v>70.398703336636927</v>
      </c>
      <c r="E75">
        <f t="shared" si="6"/>
        <v>70.398703336636927</v>
      </c>
      <c r="G75">
        <f t="shared" ca="1" si="7"/>
        <v>73</v>
      </c>
      <c r="H75">
        <f t="shared" ca="1" si="8"/>
        <v>5139.1053435744961</v>
      </c>
      <c r="I75">
        <f t="shared" ca="1" si="9"/>
        <v>6570.3478366838954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70825</v>
      </c>
      <c r="B77" s="66">
        <v>70825</v>
      </c>
      <c r="D77">
        <f t="shared" si="5"/>
        <v>73.117979848034352</v>
      </c>
      <c r="E77">
        <f t="shared" si="6"/>
        <v>73.117979848034352</v>
      </c>
      <c r="G77">
        <f t="shared" ca="1" si="7"/>
        <v>75</v>
      </c>
      <c r="H77">
        <f t="shared" ca="1" si="8"/>
        <v>5483.8484886025763</v>
      </c>
      <c r="I77">
        <f t="shared" ca="1" si="9"/>
        <v>4291.1066076400994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74099</v>
      </c>
      <c r="B80" s="66">
        <v>74099</v>
      </c>
      <c r="D80">
        <f t="shared" si="5"/>
        <v>76.497976544433428</v>
      </c>
      <c r="E80">
        <f t="shared" si="6"/>
        <v>76.497976544433428</v>
      </c>
      <c r="G80">
        <f t="shared" ca="1" si="7"/>
        <v>78</v>
      </c>
      <c r="H80">
        <f t="shared" ca="1" si="8"/>
        <v>5966.8421704658076</v>
      </c>
      <c r="I80">
        <f t="shared" ca="1" si="9"/>
        <v>1661.7502015603609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67743</v>
      </c>
      <c r="B82" s="66">
        <v>67743</v>
      </c>
      <c r="D82">
        <f t="shared" si="5"/>
        <v>69.936199207135772</v>
      </c>
      <c r="E82">
        <f t="shared" si="6"/>
        <v>69.936199207135772</v>
      </c>
      <c r="G82">
        <f t="shared" ca="1" si="7"/>
        <v>80</v>
      </c>
      <c r="H82">
        <f t="shared" ca="1" si="8"/>
        <v>5594.8959365708615</v>
      </c>
      <c r="I82">
        <f t="shared" ca="1" si="9"/>
        <v>495.12799518559569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67221</v>
      </c>
      <c r="B85" s="66">
        <v>67221</v>
      </c>
      <c r="D85">
        <f t="shared" si="5"/>
        <v>69.397299306243809</v>
      </c>
      <c r="E85">
        <f t="shared" si="6"/>
        <v>69.397299306243809</v>
      </c>
      <c r="G85">
        <f t="shared" ca="1" si="7"/>
        <v>83</v>
      </c>
      <c r="H85">
        <f t="shared" ca="1" si="8"/>
        <v>5759.9758424182364</v>
      </c>
      <c r="I85">
        <f t="shared" ca="1" si="9"/>
        <v>7.9859191709141761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67125</v>
      </c>
      <c r="B88" s="66">
        <v>67125</v>
      </c>
      <c r="D88">
        <f t="shared" si="5"/>
        <v>69.298191278493562</v>
      </c>
      <c r="E88">
        <f t="shared" si="6"/>
        <v>69.298191278493562</v>
      </c>
      <c r="G88">
        <f t="shared" ca="1" si="7"/>
        <v>86</v>
      </c>
      <c r="H88">
        <f t="shared" ca="1" si="8"/>
        <v>5959.644449950446</v>
      </c>
      <c r="I88">
        <f t="shared" ca="1" si="9"/>
        <v>772.70538737273489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61158</v>
      </c>
      <c r="B90" s="66">
        <v>61158</v>
      </c>
      <c r="D90">
        <f t="shared" si="5"/>
        <v>63.138007928642217</v>
      </c>
      <c r="E90">
        <f t="shared" si="6"/>
        <v>63.138007928642217</v>
      </c>
      <c r="G90">
        <f t="shared" ca="1" si="7"/>
        <v>88</v>
      </c>
      <c r="H90">
        <f t="shared" ca="1" si="8"/>
        <v>5556.1446977205151</v>
      </c>
      <c r="I90">
        <f t="shared" ca="1" si="9"/>
        <v>1799.8973714833699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69944</v>
      </c>
      <c r="B93" s="66">
        <v>69944</v>
      </c>
      <c r="D93">
        <f t="shared" si="5"/>
        <v>72.208457218368025</v>
      </c>
      <c r="E93">
        <f t="shared" si="6"/>
        <v>72.208457218368025</v>
      </c>
      <c r="G93">
        <f t="shared" ca="1" si="7"/>
        <v>91</v>
      </c>
      <c r="H93">
        <f t="shared" ca="1" si="8"/>
        <v>6570.9696068714902</v>
      </c>
      <c r="I93">
        <f t="shared" ca="1" si="9"/>
        <v>5021.5722938572144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59483</v>
      </c>
      <c r="B95" s="66">
        <v>59483</v>
      </c>
      <c r="D95">
        <f t="shared" si="5"/>
        <v>61.408779319458212</v>
      </c>
      <c r="E95">
        <f t="shared" si="6"/>
        <v>61.408779319458212</v>
      </c>
      <c r="G95">
        <f t="shared" ca="1" si="7"/>
        <v>93</v>
      </c>
      <c r="H95">
        <f t="shared" ca="1" si="8"/>
        <v>5711.0164767096139</v>
      </c>
      <c r="I95">
        <f t="shared" ca="1" si="9"/>
        <v>6564.5756167490445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56076</v>
      </c>
      <c r="B98" s="66">
        <v>56076</v>
      </c>
      <c r="D98">
        <f t="shared" si="5"/>
        <v>57.891476709613478</v>
      </c>
      <c r="E98">
        <f t="shared" si="6"/>
        <v>57.891476709613478</v>
      </c>
      <c r="G98">
        <f t="shared" ca="1" si="7"/>
        <v>96</v>
      </c>
      <c r="H98">
        <f t="shared" ca="1" si="8"/>
        <v>5557.5817641228941</v>
      </c>
      <c r="I98">
        <f t="shared" ca="1" si="9"/>
        <v>10300.919489583046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53012</v>
      </c>
      <c r="B100" s="66">
        <v>53012</v>
      </c>
      <c r="D100">
        <f t="shared" si="5"/>
        <v>54.728278823918068</v>
      </c>
      <c r="E100">
        <f t="shared" si="6"/>
        <v>54.728278823918068</v>
      </c>
      <c r="G100">
        <f t="shared" ca="1" si="7"/>
        <v>98</v>
      </c>
      <c r="H100">
        <f t="shared" ca="1" si="8"/>
        <v>5363.3713247439709</v>
      </c>
      <c r="I100">
        <f t="shared" ca="1" si="9"/>
        <v>12877.120879898353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56232</v>
      </c>
      <c r="B103" s="66">
        <v>56232</v>
      </c>
      <c r="D103">
        <f t="shared" si="5"/>
        <v>58.052527254707634</v>
      </c>
      <c r="E103">
        <f t="shared" si="6"/>
        <v>58.052527254707634</v>
      </c>
      <c r="G103">
        <f t="shared" ca="1" si="7"/>
        <v>101</v>
      </c>
      <c r="H103">
        <f t="shared" ca="1" si="8"/>
        <v>5863.3052527254713</v>
      </c>
      <c r="I103">
        <f t="shared" ca="1" si="9"/>
        <v>19524.647932279924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59236</v>
      </c>
      <c r="B106" s="66">
        <v>59236</v>
      </c>
      <c r="D106">
        <f t="shared" si="5"/>
        <v>61.153782623059136</v>
      </c>
      <c r="E106">
        <f t="shared" si="6"/>
        <v>61.153782623059136</v>
      </c>
      <c r="G106">
        <f t="shared" ca="1" si="7"/>
        <v>104</v>
      </c>
      <c r="H106">
        <f t="shared" ca="1" si="8"/>
        <v>6359.9933927981501</v>
      </c>
      <c r="I106">
        <f t="shared" ca="1" si="9"/>
        <v>27847.147549473892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60820</v>
      </c>
      <c r="B108" s="66">
        <v>60820</v>
      </c>
      <c r="D108">
        <f t="shared" si="5"/>
        <v>62.789065080938222</v>
      </c>
      <c r="E108">
        <f t="shared" si="6"/>
        <v>62.789065080938222</v>
      </c>
      <c r="G108">
        <f t="shared" ca="1" si="7"/>
        <v>106</v>
      </c>
      <c r="H108">
        <f t="shared" ca="1" si="8"/>
        <v>6655.6408985794515</v>
      </c>
      <c r="I108">
        <f t="shared" ca="1" si="9"/>
        <v>34202.430937908262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61465</v>
      </c>
      <c r="B111" s="66">
        <v>61465</v>
      </c>
      <c r="D111">
        <f t="shared" si="5"/>
        <v>63.454947142385201</v>
      </c>
      <c r="E111">
        <f t="shared" si="6"/>
        <v>63.454947142385201</v>
      </c>
      <c r="G111">
        <f t="shared" ca="1" si="7"/>
        <v>109</v>
      </c>
      <c r="H111">
        <f t="shared" ca="1" si="8"/>
        <v>6916.5892385199868</v>
      </c>
      <c r="I111">
        <f t="shared" ca="1" si="9"/>
        <v>44022.18115486014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60637</v>
      </c>
      <c r="B113" s="66">
        <v>60637</v>
      </c>
      <c r="D113">
        <f t="shared" si="5"/>
        <v>62.600140403039312</v>
      </c>
      <c r="E113">
        <f t="shared" si="6"/>
        <v>62.600140403039312</v>
      </c>
      <c r="G113">
        <f t="shared" ca="1" si="7"/>
        <v>111</v>
      </c>
      <c r="H113">
        <f t="shared" ca="1" si="8"/>
        <v>6948.6155847373639</v>
      </c>
      <c r="I113">
        <f t="shared" ca="1" si="9"/>
        <v>50274.912725414943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65573</v>
      </c>
      <c r="B116" s="66">
        <v>65573</v>
      </c>
      <c r="D116">
        <f t="shared" si="5"/>
        <v>67.695944829864558</v>
      </c>
      <c r="E116">
        <f t="shared" si="6"/>
        <v>67.695944829864558</v>
      </c>
      <c r="G116">
        <f t="shared" ca="1" si="7"/>
        <v>114</v>
      </c>
      <c r="H116">
        <f t="shared" ca="1" si="8"/>
        <v>7717.33771060456</v>
      </c>
      <c r="I116">
        <f t="shared" ca="1" si="9"/>
        <v>66487.381725020736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61334</v>
      </c>
      <c r="B118" s="66">
        <v>61334</v>
      </c>
      <c r="D118">
        <f t="shared" si="5"/>
        <v>63.319705979517671</v>
      </c>
      <c r="E118">
        <f t="shared" si="6"/>
        <v>63.319705979517671</v>
      </c>
      <c r="G118">
        <f t="shared" ca="1" si="7"/>
        <v>116</v>
      </c>
      <c r="H118">
        <f t="shared" ca="1" si="8"/>
        <v>7345.0858936240502</v>
      </c>
      <c r="I118">
        <f t="shared" ca="1" si="9"/>
        <v>70380.112583520473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56965</v>
      </c>
      <c r="B121" s="66">
        <v>56965</v>
      </c>
      <c r="D121">
        <f t="shared" si="5"/>
        <v>58.809258341592333</v>
      </c>
      <c r="E121">
        <f t="shared" si="6"/>
        <v>58.809258341592333</v>
      </c>
      <c r="G121">
        <f t="shared" ca="1" si="7"/>
        <v>119</v>
      </c>
      <c r="H121">
        <f t="shared" ca="1" si="8"/>
        <v>6998.301742649488</v>
      </c>
      <c r="I121">
        <f t="shared" ca="1" si="9"/>
        <v>77659.946372535385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48552</v>
      </c>
      <c r="B124" s="66">
        <v>48552</v>
      </c>
      <c r="D124">
        <f t="shared" si="5"/>
        <v>50.12388503468781</v>
      </c>
      <c r="E124">
        <f t="shared" si="6"/>
        <v>50.12388503468781</v>
      </c>
      <c r="G124">
        <f t="shared" ca="1" si="7"/>
        <v>122</v>
      </c>
      <c r="H124">
        <f t="shared" ca="1" si="8"/>
        <v>6115.1139742319128</v>
      </c>
      <c r="I124">
        <f t="shared" ca="1" si="9"/>
        <v>77570.46274025616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50846</v>
      </c>
      <c r="B126" s="66">
        <v>50846</v>
      </c>
      <c r="D126">
        <f t="shared" si="5"/>
        <v>52.492153947803104</v>
      </c>
      <c r="E126">
        <f t="shared" si="6"/>
        <v>52.492153947803104</v>
      </c>
      <c r="G126">
        <f t="shared" ca="1" si="7"/>
        <v>124</v>
      </c>
      <c r="H126">
        <f t="shared" ca="1" si="8"/>
        <v>6509.0270895275844</v>
      </c>
      <c r="I126">
        <f t="shared" ca="1" si="9"/>
        <v>89705.507874838149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46885</v>
      </c>
      <c r="B129" s="66">
        <v>46885</v>
      </c>
      <c r="D129">
        <f t="shared" si="5"/>
        <v>48.402915427816318</v>
      </c>
      <c r="E129">
        <f t="shared" si="6"/>
        <v>48.402915427816318</v>
      </c>
      <c r="G129">
        <f t="shared" ca="1" si="7"/>
        <v>127</v>
      </c>
      <c r="H129">
        <f t="shared" ca="1" si="8"/>
        <v>6147.1702593326727</v>
      </c>
      <c r="I129">
        <f t="shared" ca="1" si="9"/>
        <v>95158.539444919967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43410</v>
      </c>
      <c r="B131" s="66">
        <v>43410</v>
      </c>
      <c r="D131">
        <f t="shared" ref="D131:D194" si="10">IFERROR( 100*A131/MAX(A$2:A$257), 0 )</f>
        <v>44.815411298315162</v>
      </c>
      <c r="E131">
        <f t="shared" ref="E131:E194" si="11">IFERROR( 100*B131/MAX(B$2:B$257), 0 )</f>
        <v>44.815411298315162</v>
      </c>
      <c r="G131">
        <f t="shared" ref="G131:G194" ca="1" si="12">CELL("row",D131)-2</f>
        <v>129</v>
      </c>
      <c r="H131">
        <f t="shared" ref="H131:H194" ca="1" si="13">D131*G131</f>
        <v>5781.1880574826555</v>
      </c>
      <c r="I131">
        <f t="shared" ref="I131:I194" ca="1" si="14">D131*((G131-$L$1)^2)</f>
        <v>96233.208872663483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38063</v>
      </c>
      <c r="B134" s="66">
        <v>38063</v>
      </c>
      <c r="D134">
        <f t="shared" si="10"/>
        <v>39.295300627684178</v>
      </c>
      <c r="E134">
        <f t="shared" si="11"/>
        <v>39.295300627684178</v>
      </c>
      <c r="G134">
        <f t="shared" ca="1" si="12"/>
        <v>132</v>
      </c>
      <c r="H134">
        <f t="shared" ca="1" si="13"/>
        <v>5186.9796828543112</v>
      </c>
      <c r="I134">
        <f t="shared" ca="1" si="14"/>
        <v>95658.883650637785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36875</v>
      </c>
      <c r="B136" s="66">
        <v>36875</v>
      </c>
      <c r="D136">
        <f t="shared" si="10"/>
        <v>38.06883878427486</v>
      </c>
      <c r="E136">
        <f t="shared" si="11"/>
        <v>38.06883878427486</v>
      </c>
      <c r="G136">
        <f t="shared" ca="1" si="12"/>
        <v>134</v>
      </c>
      <c r="H136">
        <f t="shared" ca="1" si="13"/>
        <v>5101.2243970928312</v>
      </c>
      <c r="I136">
        <f t="shared" ca="1" si="14"/>
        <v>100338.6585176059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37330</v>
      </c>
      <c r="B139" s="66">
        <v>37330</v>
      </c>
      <c r="D139">
        <f t="shared" si="10"/>
        <v>38.538569540799472</v>
      </c>
      <c r="E139">
        <f t="shared" si="11"/>
        <v>38.538569540799472</v>
      </c>
      <c r="G139">
        <f t="shared" ca="1" si="12"/>
        <v>137</v>
      </c>
      <c r="H139">
        <f t="shared" ca="1" si="13"/>
        <v>5279.7840270895276</v>
      </c>
      <c r="I139">
        <f t="shared" ca="1" si="14"/>
        <v>113794.82500675316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34013</v>
      </c>
      <c r="B142" s="66">
        <v>34013</v>
      </c>
      <c r="D142">
        <f t="shared" si="10"/>
        <v>35.1141807069706</v>
      </c>
      <c r="E142">
        <f t="shared" si="11"/>
        <v>35.1141807069706</v>
      </c>
      <c r="G142">
        <f t="shared" ca="1" si="12"/>
        <v>140</v>
      </c>
      <c r="H142">
        <f t="shared" ca="1" si="13"/>
        <v>4915.9852989758838</v>
      </c>
      <c r="I142">
        <f t="shared" ca="1" si="14"/>
        <v>115447.94757841511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32608</v>
      </c>
      <c r="B144" s="66">
        <v>32608</v>
      </c>
      <c r="D144">
        <f t="shared" si="10"/>
        <v>33.663693425834161</v>
      </c>
      <c r="E144">
        <f t="shared" si="11"/>
        <v>33.663693425834161</v>
      </c>
      <c r="G144">
        <f t="shared" ca="1" si="12"/>
        <v>142</v>
      </c>
      <c r="H144">
        <f t="shared" ca="1" si="13"/>
        <v>4780.2444664684508</v>
      </c>
      <c r="I144">
        <f t="shared" ca="1" si="14"/>
        <v>118534.70981100049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26178</v>
      </c>
      <c r="B147" s="66">
        <v>26178</v>
      </c>
      <c r="D147">
        <f t="shared" si="10"/>
        <v>27.025520317145688</v>
      </c>
      <c r="E147">
        <f t="shared" si="11"/>
        <v>27.025520317145688</v>
      </c>
      <c r="G147">
        <f t="shared" ca="1" si="12"/>
        <v>145</v>
      </c>
      <c r="H147">
        <f t="shared" ca="1" si="13"/>
        <v>3918.7004459861246</v>
      </c>
      <c r="I147">
        <f t="shared" ca="1" si="14"/>
        <v>105026.01754282271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24828</v>
      </c>
      <c r="B149" s="66">
        <v>24828</v>
      </c>
      <c r="D149">
        <f t="shared" si="10"/>
        <v>25.631813676907829</v>
      </c>
      <c r="E149">
        <f t="shared" si="11"/>
        <v>25.631813676907829</v>
      </c>
      <c r="G149">
        <f t="shared" ca="1" si="12"/>
        <v>147</v>
      </c>
      <c r="H149">
        <f t="shared" ca="1" si="13"/>
        <v>3767.876610505451</v>
      </c>
      <c r="I149">
        <f t="shared" ca="1" si="14"/>
        <v>106103.82077203137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25146</v>
      </c>
      <c r="B152" s="66">
        <v>25146</v>
      </c>
      <c r="D152">
        <f t="shared" si="10"/>
        <v>25.960109018830526</v>
      </c>
      <c r="E152">
        <f t="shared" si="11"/>
        <v>25.960109018830526</v>
      </c>
      <c r="G152">
        <f t="shared" ca="1" si="12"/>
        <v>150</v>
      </c>
      <c r="H152">
        <f t="shared" ca="1" si="13"/>
        <v>3894.0163528245789</v>
      </c>
      <c r="I152">
        <f t="shared" ca="1" si="14"/>
        <v>117717.97238269345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23076</v>
      </c>
      <c r="B154" s="66">
        <v>23076</v>
      </c>
      <c r="D154">
        <f t="shared" si="10"/>
        <v>23.823092170465809</v>
      </c>
      <c r="E154">
        <f t="shared" si="11"/>
        <v>23.823092170465809</v>
      </c>
      <c r="G154">
        <f t="shared" ca="1" si="12"/>
        <v>152</v>
      </c>
      <c r="H154">
        <f t="shared" ca="1" si="13"/>
        <v>3621.110009910803</v>
      </c>
      <c r="I154">
        <f t="shared" ca="1" si="14"/>
        <v>114539.72340276332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22745</v>
      </c>
      <c r="B157" s="66">
        <v>22745</v>
      </c>
      <c r="D157">
        <f t="shared" si="10"/>
        <v>23.481375949785267</v>
      </c>
      <c r="E157">
        <f t="shared" si="11"/>
        <v>23.481375949785267</v>
      </c>
      <c r="G157">
        <f t="shared" ca="1" si="12"/>
        <v>155</v>
      </c>
      <c r="H157">
        <f t="shared" ca="1" si="13"/>
        <v>3639.6132722167163</v>
      </c>
      <c r="I157">
        <f t="shared" ca="1" si="14"/>
        <v>122877.19146276698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21665</v>
      </c>
      <c r="B160" s="66">
        <v>21665</v>
      </c>
      <c r="D160">
        <f t="shared" si="10"/>
        <v>22.366410637594978</v>
      </c>
      <c r="E160">
        <f t="shared" si="11"/>
        <v>22.366410637594978</v>
      </c>
      <c r="G160">
        <f t="shared" ca="1" si="12"/>
        <v>158</v>
      </c>
      <c r="H160">
        <f t="shared" ca="1" si="13"/>
        <v>3533.8928807400066</v>
      </c>
      <c r="I160">
        <f t="shared" ca="1" si="14"/>
        <v>126951.72920452137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20274</v>
      </c>
      <c r="B162" s="66">
        <v>20274</v>
      </c>
      <c r="D162">
        <f t="shared" si="10"/>
        <v>20.930376610505451</v>
      </c>
      <c r="E162">
        <f t="shared" si="11"/>
        <v>20.930376610505451</v>
      </c>
      <c r="G162">
        <f t="shared" ca="1" si="12"/>
        <v>160</v>
      </c>
      <c r="H162">
        <f t="shared" ca="1" si="13"/>
        <v>3348.8602576808721</v>
      </c>
      <c r="I162">
        <f t="shared" ca="1" si="14"/>
        <v>125192.03632980038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16501</v>
      </c>
      <c r="B165" s="66">
        <v>16501</v>
      </c>
      <c r="D165">
        <f t="shared" si="10"/>
        <v>17.0352246448629</v>
      </c>
      <c r="E165">
        <f t="shared" si="11"/>
        <v>17.0352246448629</v>
      </c>
      <c r="G165">
        <f t="shared" ca="1" si="12"/>
        <v>163</v>
      </c>
      <c r="H165">
        <f t="shared" ca="1" si="13"/>
        <v>2776.7416171126529</v>
      </c>
      <c r="I165">
        <f t="shared" ca="1" si="14"/>
        <v>109952.00898099085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11677</v>
      </c>
      <c r="B167" s="66">
        <v>11677</v>
      </c>
      <c r="D167">
        <f t="shared" si="10"/>
        <v>12.05504625041295</v>
      </c>
      <c r="E167">
        <f t="shared" si="11"/>
        <v>12.05504625041295</v>
      </c>
      <c r="G167">
        <f t="shared" ca="1" si="12"/>
        <v>165</v>
      </c>
      <c r="H167">
        <f t="shared" ca="1" si="13"/>
        <v>1989.0826313181367</v>
      </c>
      <c r="I167">
        <f t="shared" ca="1" si="14"/>
        <v>81730.180534714862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7325</v>
      </c>
      <c r="B170" s="66">
        <v>7325</v>
      </c>
      <c r="D170">
        <f t="shared" si="10"/>
        <v>7.5621489924017178</v>
      </c>
      <c r="E170">
        <f t="shared" si="11"/>
        <v>7.5621489924017178</v>
      </c>
      <c r="G170">
        <f t="shared" ca="1" si="12"/>
        <v>168</v>
      </c>
      <c r="H170">
        <f t="shared" ca="1" si="13"/>
        <v>1270.4410307234887</v>
      </c>
      <c r="I170">
        <f t="shared" ca="1" si="14"/>
        <v>55073.495918685046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5165</v>
      </c>
      <c r="B173" s="66">
        <v>5165</v>
      </c>
      <c r="D173">
        <f t="shared" si="10"/>
        <v>5.3322183680211435</v>
      </c>
      <c r="E173">
        <f t="shared" si="11"/>
        <v>5.3322183680211435</v>
      </c>
      <c r="G173">
        <f t="shared" ca="1" si="12"/>
        <v>171</v>
      </c>
      <c r="H173">
        <f t="shared" ca="1" si="13"/>
        <v>911.80934093161557</v>
      </c>
      <c r="I173">
        <f t="shared" ca="1" si="14"/>
        <v>41611.667714522911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2721</v>
      </c>
      <c r="B175" s="66">
        <v>2721</v>
      </c>
      <c r="D175">
        <f t="shared" si="10"/>
        <v>2.8090931615460852</v>
      </c>
      <c r="E175">
        <f t="shared" si="11"/>
        <v>2.8090931615460852</v>
      </c>
      <c r="G175">
        <f t="shared" ca="1" si="12"/>
        <v>173</v>
      </c>
      <c r="H175">
        <f t="shared" ca="1" si="13"/>
        <v>485.97311694747276</v>
      </c>
      <c r="I175">
        <f t="shared" ca="1" si="14"/>
        <v>22925.503809825714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749</v>
      </c>
      <c r="B178" s="66">
        <v>749</v>
      </c>
      <c r="D178">
        <f t="shared" si="10"/>
        <v>0.77324909150974563</v>
      </c>
      <c r="E178">
        <f t="shared" si="11"/>
        <v>0.77324909150974563</v>
      </c>
      <c r="G178">
        <f t="shared" ca="1" si="12"/>
        <v>176</v>
      </c>
      <c r="H178">
        <f t="shared" ca="1" si="13"/>
        <v>136.09184010571522</v>
      </c>
      <c r="I178">
        <f t="shared" ca="1" si="14"/>
        <v>6736.7095559523432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190</v>
      </c>
      <c r="B180" s="66">
        <v>190</v>
      </c>
      <c r="D180">
        <f t="shared" si="10"/>
        <v>0.19615130492236538</v>
      </c>
      <c r="E180">
        <f t="shared" si="11"/>
        <v>0.19615130492236538</v>
      </c>
      <c r="G180">
        <f t="shared" ca="1" si="12"/>
        <v>178</v>
      </c>
      <c r="H180">
        <f t="shared" ca="1" si="13"/>
        <v>34.914932276181034</v>
      </c>
      <c r="I180">
        <f t="shared" ca="1" si="14"/>
        <v>1782.9306867470161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91.809023331041459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1.7726018178756189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0.6248780743743112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1280</v>
      </c>
      <c r="B8" s="66">
        <v>1280</v>
      </c>
      <c r="D8">
        <f t="shared" si="0"/>
        <v>1.2448576680314716</v>
      </c>
      <c r="E8">
        <f t="shared" si="1"/>
        <v>1.2448576680314716</v>
      </c>
      <c r="G8">
        <f t="shared" ca="1" si="2"/>
        <v>6</v>
      </c>
      <c r="H8">
        <f t="shared" ca="1" si="3"/>
        <v>7.4691460081888295</v>
      </c>
      <c r="I8">
        <f t="shared" ca="1" si="4"/>
        <v>9166.1216467471659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1698</v>
      </c>
      <c r="B10" s="66">
        <v>1698</v>
      </c>
      <c r="D10">
        <f t="shared" si="0"/>
        <v>1.651381500247999</v>
      </c>
      <c r="E10">
        <f t="shared" si="1"/>
        <v>1.651381500247999</v>
      </c>
      <c r="G10">
        <f t="shared" ca="1" si="2"/>
        <v>8</v>
      </c>
      <c r="H10">
        <f t="shared" ca="1" si="3"/>
        <v>13.211052001983992</v>
      </c>
      <c r="I10">
        <f t="shared" ca="1" si="4"/>
        <v>11599.225038281107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2652</v>
      </c>
      <c r="B13" s="66">
        <v>2652</v>
      </c>
      <c r="D13">
        <f t="shared" si="0"/>
        <v>2.5791894809527052</v>
      </c>
      <c r="E13">
        <f t="shared" si="1"/>
        <v>2.5791894809527052</v>
      </c>
      <c r="G13">
        <f t="shared" ca="1" si="2"/>
        <v>11</v>
      </c>
      <c r="H13">
        <f t="shared" ca="1" si="3"/>
        <v>28.371084290479757</v>
      </c>
      <c r="I13">
        <f t="shared" ca="1" si="4"/>
        <v>16842.360720415629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4660</v>
      </c>
      <c r="B15" s="66">
        <v>4660</v>
      </c>
      <c r="D15">
        <f t="shared" si="0"/>
        <v>4.5320599476770758</v>
      </c>
      <c r="E15">
        <f t="shared" si="1"/>
        <v>4.5320599476770758</v>
      </c>
      <c r="G15">
        <f t="shared" ca="1" si="2"/>
        <v>13</v>
      </c>
      <c r="H15">
        <f t="shared" ca="1" si="3"/>
        <v>58.916779319801982</v>
      </c>
      <c r="I15">
        <f t="shared" ca="1" si="4"/>
        <v>28147.999628594465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7362</v>
      </c>
      <c r="B18" s="66">
        <v>7362</v>
      </c>
      <c r="D18">
        <f t="shared" si="0"/>
        <v>7.159876681287261</v>
      </c>
      <c r="E18">
        <f t="shared" si="1"/>
        <v>7.159876681287261</v>
      </c>
      <c r="G18">
        <f t="shared" ca="1" si="2"/>
        <v>16</v>
      </c>
      <c r="H18">
        <f t="shared" ca="1" si="3"/>
        <v>114.55802690059618</v>
      </c>
      <c r="I18">
        <f t="shared" ca="1" si="4"/>
        <v>41147.868698158811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11248</v>
      </c>
      <c r="B21" s="66">
        <v>11248</v>
      </c>
      <c r="D21">
        <f t="shared" si="0"/>
        <v>10.939186757826556</v>
      </c>
      <c r="E21">
        <f t="shared" si="1"/>
        <v>10.939186757826556</v>
      </c>
      <c r="G21">
        <f t="shared" ca="1" si="2"/>
        <v>19</v>
      </c>
      <c r="H21">
        <f t="shared" ca="1" si="3"/>
        <v>207.84454839870457</v>
      </c>
      <c r="I21">
        <f t="shared" ca="1" si="4"/>
        <v>57990.31230801448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13617</v>
      </c>
      <c r="B23" s="66">
        <v>13617</v>
      </c>
      <c r="D23">
        <f t="shared" si="0"/>
        <v>13.243145988737929</v>
      </c>
      <c r="E23">
        <f t="shared" si="1"/>
        <v>13.243145988737929</v>
      </c>
      <c r="G23">
        <f t="shared" ca="1" si="2"/>
        <v>21</v>
      </c>
      <c r="H23">
        <f t="shared" ca="1" si="3"/>
        <v>278.10606576349653</v>
      </c>
      <c r="I23">
        <f t="shared" ca="1" si="4"/>
        <v>66400.045203555506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17838</v>
      </c>
      <c r="B26" s="66">
        <v>17838</v>
      </c>
      <c r="D26">
        <f t="shared" si="0"/>
        <v>17.348258658082337</v>
      </c>
      <c r="E26">
        <f t="shared" si="1"/>
        <v>17.348258658082337</v>
      </c>
      <c r="G26">
        <f t="shared" ca="1" si="2"/>
        <v>24</v>
      </c>
      <c r="H26">
        <f t="shared" ca="1" si="3"/>
        <v>416.35820779397608</v>
      </c>
      <c r="I26">
        <f t="shared" ca="1" si="4"/>
        <v>79768.397441688416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17754</v>
      </c>
      <c r="B28" s="66">
        <v>17754</v>
      </c>
      <c r="D28">
        <f t="shared" si="0"/>
        <v>17.266564873617771</v>
      </c>
      <c r="E28">
        <f t="shared" si="1"/>
        <v>17.266564873617771</v>
      </c>
      <c r="G28">
        <f t="shared" ca="1" si="2"/>
        <v>26</v>
      </c>
      <c r="H28">
        <f t="shared" ca="1" si="3"/>
        <v>448.93068671406206</v>
      </c>
      <c r="I28">
        <f t="shared" ca="1" si="4"/>
        <v>74778.514879356575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18691</v>
      </c>
      <c r="B31" s="66">
        <v>18691</v>
      </c>
      <c r="D31">
        <f t="shared" si="0"/>
        <v>18.177839588418934</v>
      </c>
      <c r="E31">
        <f t="shared" si="1"/>
        <v>18.177839588418934</v>
      </c>
      <c r="G31">
        <f t="shared" ca="1" si="2"/>
        <v>29</v>
      </c>
      <c r="H31">
        <f t="shared" ca="1" si="3"/>
        <v>527.15734806414912</v>
      </c>
      <c r="I31">
        <f t="shared" ca="1" si="4"/>
        <v>71711.09386026561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23034</v>
      </c>
      <c r="B33" s="66">
        <v>23034</v>
      </c>
      <c r="D33">
        <f t="shared" si="0"/>
        <v>22.401602754247591</v>
      </c>
      <c r="E33">
        <f t="shared" si="1"/>
        <v>22.401602754247591</v>
      </c>
      <c r="G33">
        <f t="shared" ca="1" si="2"/>
        <v>31</v>
      </c>
      <c r="H33">
        <f t="shared" ca="1" si="3"/>
        <v>694.44968538167529</v>
      </c>
      <c r="I33">
        <f t="shared" ca="1" si="4"/>
        <v>82835.242498036896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26075</v>
      </c>
      <c r="B36" s="66">
        <v>26075</v>
      </c>
      <c r="D36">
        <f t="shared" si="0"/>
        <v>25.359112260875484</v>
      </c>
      <c r="E36">
        <f t="shared" si="1"/>
        <v>25.359112260875484</v>
      </c>
      <c r="G36">
        <f t="shared" ca="1" si="2"/>
        <v>34</v>
      </c>
      <c r="H36">
        <f t="shared" ca="1" si="3"/>
        <v>862.20981686976643</v>
      </c>
      <c r="I36">
        <f t="shared" ca="1" si="4"/>
        <v>84747.190686031288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25585</v>
      </c>
      <c r="B39" s="66">
        <v>25585</v>
      </c>
      <c r="D39">
        <f t="shared" si="0"/>
        <v>24.882565184832188</v>
      </c>
      <c r="E39">
        <f t="shared" si="1"/>
        <v>24.882565184832188</v>
      </c>
      <c r="G39">
        <f t="shared" ca="1" si="2"/>
        <v>37</v>
      </c>
      <c r="H39">
        <f t="shared" ca="1" si="3"/>
        <v>920.65491183879101</v>
      </c>
      <c r="I39">
        <f t="shared" ca="1" si="4"/>
        <v>74747.948367670877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26967</v>
      </c>
      <c r="B41" s="66">
        <v>26967</v>
      </c>
      <c r="D41">
        <f t="shared" si="0"/>
        <v>26.226622448284918</v>
      </c>
      <c r="E41">
        <f t="shared" si="1"/>
        <v>26.226622448284918</v>
      </c>
      <c r="G41">
        <f t="shared" ca="1" si="2"/>
        <v>39</v>
      </c>
      <c r="H41">
        <f t="shared" ca="1" si="3"/>
        <v>1022.8382754831118</v>
      </c>
      <c r="I41">
        <f t="shared" ca="1" si="4"/>
        <v>73140.619659636563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32581</v>
      </c>
      <c r="B44" s="66">
        <v>32581</v>
      </c>
      <c r="D44">
        <f t="shared" si="0"/>
        <v>31.686490376666701</v>
      </c>
      <c r="E44">
        <f t="shared" si="1"/>
        <v>31.686490376666701</v>
      </c>
      <c r="G44">
        <f t="shared" ca="1" si="2"/>
        <v>42</v>
      </c>
      <c r="H44">
        <f t="shared" ca="1" si="3"/>
        <v>1330.8325958200014</v>
      </c>
      <c r="I44">
        <f t="shared" ca="1" si="4"/>
        <v>78612.243575822649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32621</v>
      </c>
      <c r="B46" s="66">
        <v>32621</v>
      </c>
      <c r="D46">
        <f t="shared" si="0"/>
        <v>31.725392178792681</v>
      </c>
      <c r="E46">
        <f t="shared" si="1"/>
        <v>31.725392178792681</v>
      </c>
      <c r="G46">
        <f t="shared" ca="1" si="2"/>
        <v>44</v>
      </c>
      <c r="H46">
        <f t="shared" ca="1" si="3"/>
        <v>1395.9172558668779</v>
      </c>
      <c r="I46">
        <f t="shared" ca="1" si="4"/>
        <v>72514.81493814438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40673</v>
      </c>
      <c r="B49" s="66">
        <v>40673</v>
      </c>
      <c r="D49">
        <f t="shared" si="0"/>
        <v>39.556324946753158</v>
      </c>
      <c r="E49">
        <f t="shared" si="1"/>
        <v>39.556324946753158</v>
      </c>
      <c r="G49">
        <f t="shared" ca="1" si="2"/>
        <v>47</v>
      </c>
      <c r="H49">
        <f t="shared" ca="1" si="3"/>
        <v>1859.1472724973985</v>
      </c>
      <c r="I49">
        <f t="shared" ca="1" si="4"/>
        <v>79423.110553231454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43291</v>
      </c>
      <c r="B51" s="66">
        <v>43291</v>
      </c>
      <c r="D51">
        <f t="shared" si="0"/>
        <v>42.102447895898777</v>
      </c>
      <c r="E51">
        <f t="shared" si="1"/>
        <v>42.102447895898777</v>
      </c>
      <c r="G51">
        <f t="shared" ca="1" si="2"/>
        <v>49</v>
      </c>
      <c r="H51">
        <f t="shared" ca="1" si="3"/>
        <v>2063.01994689904</v>
      </c>
      <c r="I51">
        <f t="shared" ca="1" si="4"/>
        <v>77157.471391847459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51508</v>
      </c>
      <c r="B54" s="66">
        <v>51508</v>
      </c>
      <c r="D54">
        <f t="shared" si="0"/>
        <v>50.093850597628936</v>
      </c>
      <c r="E54">
        <f t="shared" si="1"/>
        <v>50.093850597628936</v>
      </c>
      <c r="G54">
        <f t="shared" ca="1" si="2"/>
        <v>52</v>
      </c>
      <c r="H54">
        <f t="shared" ca="1" si="3"/>
        <v>2604.8802310767046</v>
      </c>
      <c r="I54">
        <f t="shared" ca="1" si="4"/>
        <v>79386.647445742536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56287</v>
      </c>
      <c r="B57" s="66">
        <v>56287</v>
      </c>
      <c r="D57">
        <f t="shared" si="0"/>
        <v>54.741643406630814</v>
      </c>
      <c r="E57">
        <f t="shared" si="1"/>
        <v>54.741643406630814</v>
      </c>
      <c r="G57">
        <f t="shared" ca="1" si="2"/>
        <v>55</v>
      </c>
      <c r="H57">
        <f t="shared" ca="1" si="3"/>
        <v>3010.7903873646947</v>
      </c>
      <c r="I57">
        <f t="shared" ca="1" si="4"/>
        <v>74169.68248909543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68745</v>
      </c>
      <c r="B59" s="66">
        <v>68745</v>
      </c>
      <c r="D59">
        <f t="shared" si="0"/>
        <v>66.85760967876837</v>
      </c>
      <c r="E59">
        <f t="shared" si="1"/>
        <v>66.85760967876837</v>
      </c>
      <c r="G59">
        <f t="shared" ca="1" si="2"/>
        <v>57</v>
      </c>
      <c r="H59">
        <f t="shared" ca="1" si="3"/>
        <v>3810.883751689797</v>
      </c>
      <c r="I59">
        <f t="shared" ca="1" si="4"/>
        <v>81009.233241751994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67325</v>
      </c>
      <c r="B62" s="66">
        <v>67325</v>
      </c>
      <c r="D62">
        <f t="shared" si="0"/>
        <v>65.476595703295956</v>
      </c>
      <c r="E62">
        <f t="shared" si="1"/>
        <v>65.476595703295956</v>
      </c>
      <c r="G62">
        <f t="shared" ca="1" si="2"/>
        <v>60</v>
      </c>
      <c r="H62">
        <f t="shared" ca="1" si="3"/>
        <v>3928.5957421977573</v>
      </c>
      <c r="I62">
        <f t="shared" ca="1" si="4"/>
        <v>66250.133931242875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83755</v>
      </c>
      <c r="B64" s="66">
        <v>83755</v>
      </c>
      <c r="D64">
        <f t="shared" si="0"/>
        <v>81.455510926543667</v>
      </c>
      <c r="E64">
        <f t="shared" si="1"/>
        <v>81.455510926543667</v>
      </c>
      <c r="G64">
        <f t="shared" ca="1" si="2"/>
        <v>62</v>
      </c>
      <c r="H64">
        <f t="shared" ca="1" si="3"/>
        <v>5050.241677445707</v>
      </c>
      <c r="I64">
        <f t="shared" ca="1" si="4"/>
        <v>72379.5645577549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77955</v>
      </c>
      <c r="B67" s="66">
        <v>77955</v>
      </c>
      <c r="D67">
        <f t="shared" ref="D67:D130" si="5">IFERROR(100*A67/MAX(A$2:A$257), 0 )</f>
        <v>75.814749618276068</v>
      </c>
      <c r="E67">
        <f t="shared" ref="E67:E130" si="6">IFERROR(100*B67/MAX(B$2:B$257), 0 )</f>
        <v>75.814749618276068</v>
      </c>
      <c r="G67">
        <f t="shared" ref="G67:G130" ca="1" si="7">CELL("row",D67)-2</f>
        <v>65</v>
      </c>
      <c r="H67">
        <f t="shared" ref="H67:H130" ca="1" si="8">D67*G67</f>
        <v>4927.9587251879448</v>
      </c>
      <c r="I67">
        <f t="shared" ref="I67:I130" ca="1" si="9">D67*((G67-$L$1)^2)</f>
        <v>54489.859783588283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81787</v>
      </c>
      <c r="B69" s="66">
        <v>81787</v>
      </c>
      <c r="D69">
        <f t="shared" si="5"/>
        <v>79.541542261945281</v>
      </c>
      <c r="E69">
        <f t="shared" si="6"/>
        <v>79.541542261945281</v>
      </c>
      <c r="G69">
        <f t="shared" ca="1" si="7"/>
        <v>67</v>
      </c>
      <c r="H69">
        <f t="shared" ca="1" si="8"/>
        <v>5329.283331550334</v>
      </c>
      <c r="I69">
        <f t="shared" ca="1" si="9"/>
        <v>48956.836020601149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86709</v>
      </c>
      <c r="B72" s="66">
        <v>86709</v>
      </c>
      <c r="D72">
        <f t="shared" si="5"/>
        <v>84.328409013547557</v>
      </c>
      <c r="E72">
        <f t="shared" si="6"/>
        <v>84.328409013547557</v>
      </c>
      <c r="G72">
        <f t="shared" ca="1" si="7"/>
        <v>70</v>
      </c>
      <c r="H72">
        <f t="shared" ca="1" si="8"/>
        <v>5902.988630948329</v>
      </c>
      <c r="I72">
        <f t="shared" ca="1" si="9"/>
        <v>40109.416215031604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93682</v>
      </c>
      <c r="B75" s="66">
        <v>93682</v>
      </c>
      <c r="D75">
        <f t="shared" si="5"/>
        <v>91.109965669159621</v>
      </c>
      <c r="E75">
        <f t="shared" si="6"/>
        <v>91.109965669159621</v>
      </c>
      <c r="G75">
        <f t="shared" ca="1" si="7"/>
        <v>73</v>
      </c>
      <c r="H75">
        <f t="shared" ca="1" si="8"/>
        <v>6651.0274938486527</v>
      </c>
      <c r="I75">
        <f t="shared" ca="1" si="9"/>
        <v>32232.825222667987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96750</v>
      </c>
      <c r="B77" s="66">
        <v>96750</v>
      </c>
      <c r="D77">
        <f t="shared" si="5"/>
        <v>94.093733892222559</v>
      </c>
      <c r="E77">
        <f t="shared" si="6"/>
        <v>94.093733892222559</v>
      </c>
      <c r="G77">
        <f t="shared" ca="1" si="7"/>
        <v>75</v>
      </c>
      <c r="H77">
        <f t="shared" ca="1" si="8"/>
        <v>7057.0300419166915</v>
      </c>
      <c r="I77">
        <f t="shared" ca="1" si="9"/>
        <v>26585.55082227055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102823</v>
      </c>
      <c r="B80" s="66">
        <v>102823</v>
      </c>
      <c r="D80">
        <f t="shared" si="5"/>
        <v>100</v>
      </c>
      <c r="E80">
        <f t="shared" si="6"/>
        <v>100</v>
      </c>
      <c r="G80">
        <f t="shared" ca="1" si="7"/>
        <v>78</v>
      </c>
      <c r="H80">
        <f t="shared" ca="1" si="8"/>
        <v>7800</v>
      </c>
      <c r="I80">
        <f t="shared" ca="1" si="9"/>
        <v>19068.912535724736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98311</v>
      </c>
      <c r="B82" s="66">
        <v>98311</v>
      </c>
      <c r="D82">
        <f t="shared" si="5"/>
        <v>95.611876720189059</v>
      </c>
      <c r="E82">
        <f t="shared" si="6"/>
        <v>95.611876720189059</v>
      </c>
      <c r="G82">
        <f t="shared" ca="1" si="7"/>
        <v>80</v>
      </c>
      <c r="H82">
        <f t="shared" ca="1" si="8"/>
        <v>7648.9501376151247</v>
      </c>
      <c r="I82">
        <f t="shared" ca="1" si="9"/>
        <v>13333.366107003565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96904</v>
      </c>
      <c r="B85" s="66">
        <v>96904</v>
      </c>
      <c r="D85">
        <f t="shared" si="5"/>
        <v>94.243505830407599</v>
      </c>
      <c r="E85">
        <f t="shared" si="6"/>
        <v>94.243505830407599</v>
      </c>
      <c r="G85">
        <f t="shared" ca="1" si="7"/>
        <v>83</v>
      </c>
      <c r="H85">
        <f t="shared" ca="1" si="8"/>
        <v>7822.210983923831</v>
      </c>
      <c r="I85">
        <f t="shared" ca="1" si="9"/>
        <v>7313.1916350488527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100595</v>
      </c>
      <c r="B88" s="66">
        <v>100595</v>
      </c>
      <c r="D88">
        <f t="shared" si="5"/>
        <v>97.833169621582726</v>
      </c>
      <c r="E88">
        <f t="shared" si="6"/>
        <v>97.833169621582726</v>
      </c>
      <c r="G88">
        <f t="shared" ca="1" si="7"/>
        <v>86</v>
      </c>
      <c r="H88">
        <f t="shared" ca="1" si="8"/>
        <v>8413.6525874561139</v>
      </c>
      <c r="I88">
        <f t="shared" ca="1" si="9"/>
        <v>3301.3560521813683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99633</v>
      </c>
      <c r="B90" s="66">
        <v>99633</v>
      </c>
      <c r="D90">
        <f t="shared" si="5"/>
        <v>96.897581280452812</v>
      </c>
      <c r="E90">
        <f t="shared" si="6"/>
        <v>96.897581280452812</v>
      </c>
      <c r="G90">
        <f t="shared" ca="1" si="7"/>
        <v>88</v>
      </c>
      <c r="H90">
        <f t="shared" ca="1" si="8"/>
        <v>8526.987152679847</v>
      </c>
      <c r="I90">
        <f t="shared" ca="1" si="9"/>
        <v>1405.8539391824315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94017</v>
      </c>
      <c r="B93" s="66">
        <v>94017</v>
      </c>
      <c r="D93">
        <f t="shared" si="5"/>
        <v>91.435768261964739</v>
      </c>
      <c r="E93">
        <f t="shared" si="6"/>
        <v>91.435768261964739</v>
      </c>
      <c r="G93">
        <f t="shared" ca="1" si="7"/>
        <v>91</v>
      </c>
      <c r="H93">
        <f t="shared" ca="1" si="8"/>
        <v>8320.654911838792</v>
      </c>
      <c r="I93">
        <f t="shared" ca="1" si="9"/>
        <v>59.846424763601703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90493</v>
      </c>
      <c r="B95" s="66">
        <v>90493</v>
      </c>
      <c r="D95">
        <f t="shared" si="5"/>
        <v>88.008519494665592</v>
      </c>
      <c r="E95">
        <f t="shared" si="6"/>
        <v>88.008519494665592</v>
      </c>
      <c r="G95">
        <f t="shared" ca="1" si="7"/>
        <v>93</v>
      </c>
      <c r="H95">
        <f t="shared" ca="1" si="8"/>
        <v>8184.7923130038998</v>
      </c>
      <c r="I95">
        <f t="shared" ca="1" si="9"/>
        <v>124.83352175616561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94183</v>
      </c>
      <c r="B98" s="66">
        <v>94183</v>
      </c>
      <c r="D98">
        <f t="shared" si="5"/>
        <v>91.597210740787574</v>
      </c>
      <c r="E98">
        <f t="shared" si="6"/>
        <v>91.597210740787574</v>
      </c>
      <c r="G98">
        <f t="shared" ca="1" si="7"/>
        <v>96</v>
      </c>
      <c r="H98">
        <f t="shared" ca="1" si="8"/>
        <v>8793.332231115608</v>
      </c>
      <c r="I98">
        <f t="shared" ca="1" si="9"/>
        <v>1608.8395549365698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92027</v>
      </c>
      <c r="B100" s="66">
        <v>92027</v>
      </c>
      <c r="D100">
        <f t="shared" si="5"/>
        <v>89.500403606197054</v>
      </c>
      <c r="E100">
        <f t="shared" si="6"/>
        <v>89.500403606197054</v>
      </c>
      <c r="G100">
        <f t="shared" ca="1" si="7"/>
        <v>98</v>
      </c>
      <c r="H100">
        <f t="shared" ca="1" si="8"/>
        <v>8771.0395534073104</v>
      </c>
      <c r="I100">
        <f t="shared" ca="1" si="9"/>
        <v>3430.3886638410745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85093</v>
      </c>
      <c r="B103" s="66">
        <v>85093</v>
      </c>
      <c r="D103">
        <f t="shared" si="5"/>
        <v>82.756776207657822</v>
      </c>
      <c r="E103">
        <f t="shared" si="6"/>
        <v>82.756776207657822</v>
      </c>
      <c r="G103">
        <f t="shared" ca="1" si="7"/>
        <v>101</v>
      </c>
      <c r="H103">
        <f t="shared" ca="1" si="8"/>
        <v>8358.43439697344</v>
      </c>
      <c r="I103">
        <f t="shared" ca="1" si="9"/>
        <v>6990.8002274218306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85586</v>
      </c>
      <c r="B106" s="66">
        <v>85586</v>
      </c>
      <c r="D106">
        <f t="shared" si="5"/>
        <v>83.23624091886056</v>
      </c>
      <c r="E106">
        <f t="shared" si="6"/>
        <v>83.23624091886056</v>
      </c>
      <c r="G106">
        <f t="shared" ca="1" si="7"/>
        <v>104</v>
      </c>
      <c r="H106">
        <f t="shared" ca="1" si="8"/>
        <v>8656.5690555614983</v>
      </c>
      <c r="I106">
        <f t="shared" ca="1" si="9"/>
        <v>12370.562812482252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82925</v>
      </c>
      <c r="B108" s="66">
        <v>82925</v>
      </c>
      <c r="D108">
        <f t="shared" si="5"/>
        <v>80.648298532429521</v>
      </c>
      <c r="E108">
        <f t="shared" si="6"/>
        <v>80.648298532429521</v>
      </c>
      <c r="G108">
        <f t="shared" ca="1" si="7"/>
        <v>106</v>
      </c>
      <c r="H108">
        <f t="shared" ca="1" si="8"/>
        <v>8548.7196444375295</v>
      </c>
      <c r="I108">
        <f t="shared" ca="1" si="9"/>
        <v>16241.262339709414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80930</v>
      </c>
      <c r="B111" s="66">
        <v>80930</v>
      </c>
      <c r="D111">
        <f t="shared" si="5"/>
        <v>78.708071151396084</v>
      </c>
      <c r="E111">
        <f t="shared" si="6"/>
        <v>78.708071151396084</v>
      </c>
      <c r="G111">
        <f t="shared" ca="1" si="7"/>
        <v>109</v>
      </c>
      <c r="H111">
        <f t="shared" ca="1" si="8"/>
        <v>8579.1797555021731</v>
      </c>
      <c r="I111">
        <f t="shared" ca="1" si="9"/>
        <v>23260.570988911564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75624</v>
      </c>
      <c r="B113" s="66">
        <v>75624</v>
      </c>
      <c r="D113">
        <f t="shared" si="5"/>
        <v>73.547747099384381</v>
      </c>
      <c r="E113">
        <f t="shared" si="6"/>
        <v>73.547747099384381</v>
      </c>
      <c r="G113">
        <f t="shared" ca="1" si="7"/>
        <v>111</v>
      </c>
      <c r="H113">
        <f t="shared" ca="1" si="8"/>
        <v>8163.7999280316662</v>
      </c>
      <c r="I113">
        <f t="shared" ca="1" si="9"/>
        <v>27087.163485305467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75087</v>
      </c>
      <c r="B116" s="66">
        <v>75087</v>
      </c>
      <c r="D116">
        <f t="shared" si="5"/>
        <v>73.025490405843044</v>
      </c>
      <c r="E116">
        <f t="shared" si="6"/>
        <v>73.025490405843044</v>
      </c>
      <c r="G116">
        <f t="shared" ca="1" si="7"/>
        <v>114</v>
      </c>
      <c r="H116">
        <f t="shared" ca="1" si="8"/>
        <v>8324.9059062661072</v>
      </c>
      <c r="I116">
        <f t="shared" ca="1" si="9"/>
        <v>35960.632004444633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73529</v>
      </c>
      <c r="B118" s="66">
        <v>73529</v>
      </c>
      <c r="D118">
        <f t="shared" si="5"/>
        <v>71.510265213035993</v>
      </c>
      <c r="E118">
        <f t="shared" si="6"/>
        <v>71.510265213035993</v>
      </c>
      <c r="G118">
        <f t="shared" ca="1" si="7"/>
        <v>116</v>
      </c>
      <c r="H118">
        <f t="shared" ca="1" si="8"/>
        <v>8295.1907647121752</v>
      </c>
      <c r="I118">
        <f t="shared" ca="1" si="9"/>
        <v>41848.046919243585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75302</v>
      </c>
      <c r="B121" s="66">
        <v>75302</v>
      </c>
      <c r="D121">
        <f t="shared" si="5"/>
        <v>73.234587592270216</v>
      </c>
      <c r="E121">
        <f t="shared" si="6"/>
        <v>73.234587592270216</v>
      </c>
      <c r="G121">
        <f t="shared" ca="1" si="7"/>
        <v>119</v>
      </c>
      <c r="H121">
        <f t="shared" ca="1" si="8"/>
        <v>8714.9159234801555</v>
      </c>
      <c r="I121">
        <f t="shared" ca="1" si="9"/>
        <v>54145.934643004548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67082</v>
      </c>
      <c r="B124" s="66">
        <v>67082</v>
      </c>
      <c r="D124">
        <f t="shared" si="5"/>
        <v>65.240267255380601</v>
      </c>
      <c r="E124">
        <f t="shared" si="6"/>
        <v>65.240267255380601</v>
      </c>
      <c r="G124">
        <f t="shared" ca="1" si="7"/>
        <v>122</v>
      </c>
      <c r="H124">
        <f t="shared" ca="1" si="8"/>
        <v>7959.3126051564332</v>
      </c>
      <c r="I124">
        <f t="shared" ca="1" si="9"/>
        <v>59466.182113960524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74414</v>
      </c>
      <c r="B126" s="66">
        <v>74414</v>
      </c>
      <c r="D126">
        <f t="shared" si="5"/>
        <v>72.370967585073373</v>
      </c>
      <c r="E126">
        <f t="shared" si="6"/>
        <v>72.370967585073373</v>
      </c>
      <c r="G126">
        <f t="shared" ca="1" si="7"/>
        <v>124</v>
      </c>
      <c r="H126">
        <f t="shared" ca="1" si="8"/>
        <v>8973.9999805490988</v>
      </c>
      <c r="I126">
        <f t="shared" ca="1" si="9"/>
        <v>74995.064971816857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71706</v>
      </c>
      <c r="B129" s="66">
        <v>71706</v>
      </c>
      <c r="D129">
        <f t="shared" si="5"/>
        <v>69.737315581144301</v>
      </c>
      <c r="E129">
        <f t="shared" si="6"/>
        <v>69.737315581144301</v>
      </c>
      <c r="G129">
        <f t="shared" ca="1" si="7"/>
        <v>127</v>
      </c>
      <c r="H129">
        <f t="shared" ca="1" si="8"/>
        <v>8856.6390788053268</v>
      </c>
      <c r="I129">
        <f t="shared" ca="1" si="9"/>
        <v>86363.029068644391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66956</v>
      </c>
      <c r="B131" s="66">
        <v>66956</v>
      </c>
      <c r="D131">
        <f t="shared" ref="D131:D194" si="10">IFERROR(100*A131/MAX(A$2:A$257), 0 )</f>
        <v>65.117726578683758</v>
      </c>
      <c r="E131">
        <f t="shared" ref="E131:E194" si="11">IFERROR(100*B131/MAX(B$2:B$257), 0 )</f>
        <v>65.117726578683758</v>
      </c>
      <c r="G131">
        <f t="shared" ref="G131:G194" ca="1" si="12">CELL("row",D131)-2</f>
        <v>129</v>
      </c>
      <c r="H131">
        <f t="shared" ref="H131:H194" ca="1" si="13">D131*G131</f>
        <v>8400.1867286502056</v>
      </c>
      <c r="I131">
        <f t="shared" ref="I131:I194" ca="1" si="14">D131*((G131-$L$1)^2)</f>
        <v>90068.804187576941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64584</v>
      </c>
      <c r="B134" s="66">
        <v>64584</v>
      </c>
      <c r="D134">
        <f t="shared" si="10"/>
        <v>62.810849712612935</v>
      </c>
      <c r="E134">
        <f t="shared" si="11"/>
        <v>62.810849712612935</v>
      </c>
      <c r="G134">
        <f t="shared" ca="1" si="12"/>
        <v>132</v>
      </c>
      <c r="H134">
        <f t="shared" ca="1" si="13"/>
        <v>8291.0321620649083</v>
      </c>
      <c r="I134">
        <f t="shared" ca="1" si="14"/>
        <v>101459.28293122984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62602</v>
      </c>
      <c r="B136" s="66">
        <v>62602</v>
      </c>
      <c r="D136">
        <f t="shared" si="10"/>
        <v>60.883265417270458</v>
      </c>
      <c r="E136">
        <f t="shared" si="11"/>
        <v>60.883265417270458</v>
      </c>
      <c r="G136">
        <f t="shared" ca="1" si="12"/>
        <v>134</v>
      </c>
      <c r="H136">
        <f t="shared" ca="1" si="13"/>
        <v>8158.3575659142416</v>
      </c>
      <c r="I136">
        <f t="shared" ca="1" si="14"/>
        <v>108376.99252675995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56333</v>
      </c>
      <c r="B139" s="66">
        <v>56333</v>
      </c>
      <c r="D139">
        <f t="shared" si="10"/>
        <v>54.786380479075696</v>
      </c>
      <c r="E139">
        <f t="shared" si="11"/>
        <v>54.786380479075696</v>
      </c>
      <c r="G139">
        <f t="shared" ca="1" si="12"/>
        <v>137</v>
      </c>
      <c r="H139">
        <f t="shared" ca="1" si="13"/>
        <v>7505.7341256333702</v>
      </c>
      <c r="I139">
        <f t="shared" ca="1" si="14"/>
        <v>111886.08148416008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47827</v>
      </c>
      <c r="B142" s="66">
        <v>47827</v>
      </c>
      <c r="D142">
        <f t="shared" si="10"/>
        <v>46.513912256985307</v>
      </c>
      <c r="E142">
        <f t="shared" si="11"/>
        <v>46.513912256985307</v>
      </c>
      <c r="G142">
        <f t="shared" ca="1" si="12"/>
        <v>140</v>
      </c>
      <c r="H142">
        <f t="shared" ca="1" si="13"/>
        <v>6511.9477159779426</v>
      </c>
      <c r="I142">
        <f t="shared" ca="1" si="14"/>
        <v>108022.52521381385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34600</v>
      </c>
      <c r="B144" s="66">
        <v>34600</v>
      </c>
      <c r="D144">
        <f t="shared" si="10"/>
        <v>33.650058838975717</v>
      </c>
      <c r="E144">
        <f t="shared" si="11"/>
        <v>33.650058838975717</v>
      </c>
      <c r="G144">
        <f t="shared" ca="1" si="12"/>
        <v>142</v>
      </c>
      <c r="H144">
        <f t="shared" ca="1" si="13"/>
        <v>4778.3083551345517</v>
      </c>
      <c r="I144">
        <f t="shared" ca="1" si="14"/>
        <v>84769.012000082046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31680</v>
      </c>
      <c r="B147" s="66">
        <v>31680</v>
      </c>
      <c r="D147">
        <f t="shared" si="10"/>
        <v>30.810227283778922</v>
      </c>
      <c r="E147">
        <f t="shared" si="11"/>
        <v>30.810227283778922</v>
      </c>
      <c r="G147">
        <f t="shared" ca="1" si="12"/>
        <v>145</v>
      </c>
      <c r="H147">
        <f t="shared" ca="1" si="13"/>
        <v>4467.4829561479437</v>
      </c>
      <c r="I147">
        <f t="shared" ca="1" si="14"/>
        <v>87170.759818568695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28782</v>
      </c>
      <c r="B149" s="66">
        <v>28782</v>
      </c>
      <c r="D149">
        <f t="shared" si="10"/>
        <v>27.991791719751419</v>
      </c>
      <c r="E149">
        <f t="shared" si="11"/>
        <v>27.991791719751419</v>
      </c>
      <c r="G149">
        <f t="shared" ca="1" si="12"/>
        <v>147</v>
      </c>
      <c r="H149">
        <f t="shared" ca="1" si="13"/>
        <v>4114.7933828034584</v>
      </c>
      <c r="I149">
        <f t="shared" ca="1" si="14"/>
        <v>85264.226576831468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23794</v>
      </c>
      <c r="B152" s="66">
        <v>23794</v>
      </c>
      <c r="D152">
        <f t="shared" si="10"/>
        <v>23.140736994641276</v>
      </c>
      <c r="E152">
        <f t="shared" si="11"/>
        <v>23.140736994641276</v>
      </c>
      <c r="G152">
        <f t="shared" ca="1" si="12"/>
        <v>150</v>
      </c>
      <c r="H152">
        <f t="shared" ca="1" si="13"/>
        <v>3471.1105491961916</v>
      </c>
      <c r="I152">
        <f t="shared" ca="1" si="14"/>
        <v>78358.926781715258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20537</v>
      </c>
      <c r="B154" s="66">
        <v>20537</v>
      </c>
      <c r="D154">
        <f t="shared" si="10"/>
        <v>19.973157756533073</v>
      </c>
      <c r="E154">
        <f t="shared" si="11"/>
        <v>19.973157756533073</v>
      </c>
      <c r="G154">
        <f t="shared" ca="1" si="12"/>
        <v>152</v>
      </c>
      <c r="H154">
        <f t="shared" ca="1" si="13"/>
        <v>3035.9199789930271</v>
      </c>
      <c r="I154">
        <f t="shared" ca="1" si="14"/>
        <v>72361.825242719264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15527</v>
      </c>
      <c r="B157" s="66">
        <v>15527</v>
      </c>
      <c r="D157">
        <f t="shared" si="10"/>
        <v>15.10070704025364</v>
      </c>
      <c r="E157">
        <f t="shared" si="11"/>
        <v>15.10070704025364</v>
      </c>
      <c r="G157">
        <f t="shared" ca="1" si="12"/>
        <v>155</v>
      </c>
      <c r="H157">
        <f t="shared" ca="1" si="13"/>
        <v>2340.6095912393143</v>
      </c>
      <c r="I157">
        <f t="shared" ca="1" si="14"/>
        <v>60298.626220996804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14424</v>
      </c>
      <c r="B160" s="66">
        <v>14424</v>
      </c>
      <c r="D160">
        <f t="shared" si="10"/>
        <v>14.027989846629644</v>
      </c>
      <c r="E160">
        <f t="shared" si="11"/>
        <v>14.027989846629644</v>
      </c>
      <c r="G160">
        <f t="shared" ca="1" si="12"/>
        <v>158</v>
      </c>
      <c r="H160">
        <f t="shared" ca="1" si="13"/>
        <v>2216.422395767484</v>
      </c>
      <c r="I160">
        <f t="shared" ca="1" si="14"/>
        <v>61460.065880048445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11004</v>
      </c>
      <c r="B162" s="66">
        <v>11004</v>
      </c>
      <c r="D162">
        <f t="shared" si="10"/>
        <v>10.701885764858057</v>
      </c>
      <c r="E162">
        <f t="shared" si="11"/>
        <v>10.701885764858057</v>
      </c>
      <c r="G162">
        <f t="shared" ca="1" si="12"/>
        <v>160</v>
      </c>
      <c r="H162">
        <f t="shared" ca="1" si="13"/>
        <v>1712.301722377289</v>
      </c>
      <c r="I162">
        <f t="shared" ca="1" si="14"/>
        <v>49763.868324136813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7455</v>
      </c>
      <c r="B165" s="66">
        <v>7455</v>
      </c>
      <c r="D165">
        <f t="shared" si="10"/>
        <v>7.2503233712301727</v>
      </c>
      <c r="E165">
        <f t="shared" si="11"/>
        <v>7.2503233712301727</v>
      </c>
      <c r="G165">
        <f t="shared" ca="1" si="12"/>
        <v>163</v>
      </c>
      <c r="H165">
        <f t="shared" ca="1" si="13"/>
        <v>1181.8027095105181</v>
      </c>
      <c r="I165">
        <f t="shared" ca="1" si="14"/>
        <v>36745.763798899941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9084</v>
      </c>
      <c r="B167" s="66">
        <v>9084</v>
      </c>
      <c r="D167">
        <f t="shared" si="10"/>
        <v>8.8345992628108494</v>
      </c>
      <c r="E167">
        <f t="shared" si="11"/>
        <v>8.8345992628108494</v>
      </c>
      <c r="G167">
        <f t="shared" ca="1" si="12"/>
        <v>165</v>
      </c>
      <c r="H167">
        <f t="shared" ca="1" si="13"/>
        <v>1457.7088783637901</v>
      </c>
      <c r="I167">
        <f t="shared" ca="1" si="14"/>
        <v>47326.233229265643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5842</v>
      </c>
      <c r="B170" s="66">
        <v>5842</v>
      </c>
      <c r="D170">
        <f t="shared" si="10"/>
        <v>5.6816082004998885</v>
      </c>
      <c r="E170">
        <f t="shared" si="11"/>
        <v>5.6816082004998885</v>
      </c>
      <c r="G170">
        <f t="shared" ca="1" si="12"/>
        <v>168</v>
      </c>
      <c r="H170">
        <f t="shared" ca="1" si="13"/>
        <v>954.51017768398128</v>
      </c>
      <c r="I170">
        <f t="shared" ca="1" si="14"/>
        <v>32982.104486687887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2204</v>
      </c>
      <c r="B173" s="66">
        <v>2204</v>
      </c>
      <c r="D173">
        <f t="shared" si="10"/>
        <v>2.1434892971416901</v>
      </c>
      <c r="E173">
        <f t="shared" si="11"/>
        <v>2.1434892971416901</v>
      </c>
      <c r="G173">
        <f t="shared" ca="1" si="12"/>
        <v>171</v>
      </c>
      <c r="H173">
        <f t="shared" ca="1" si="13"/>
        <v>366.53666981122899</v>
      </c>
      <c r="I173">
        <f t="shared" ca="1" si="14"/>
        <v>13442.273199446538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1341</v>
      </c>
      <c r="B175" s="66">
        <v>1341</v>
      </c>
      <c r="D175">
        <f t="shared" si="10"/>
        <v>1.3041829162735963</v>
      </c>
      <c r="E175">
        <f t="shared" si="11"/>
        <v>1.3041829162735963</v>
      </c>
      <c r="G175">
        <f t="shared" ca="1" si="12"/>
        <v>173</v>
      </c>
      <c r="H175">
        <f t="shared" ca="1" si="13"/>
        <v>225.62364451533216</v>
      </c>
      <c r="I175">
        <f t="shared" ca="1" si="14"/>
        <v>8597.1407784134044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1353</v>
      </c>
      <c r="B178" s="66">
        <v>1353</v>
      </c>
      <c r="D178">
        <f t="shared" si="10"/>
        <v>1.3158534569113913</v>
      </c>
      <c r="E178">
        <f t="shared" si="11"/>
        <v>1.3158534569113913</v>
      </c>
      <c r="G178">
        <f t="shared" ca="1" si="12"/>
        <v>176</v>
      </c>
      <c r="H178">
        <f t="shared" ca="1" si="13"/>
        <v>231.59020841640486</v>
      </c>
      <c r="I178">
        <f t="shared" ca="1" si="14"/>
        <v>9326.9279319764373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402</v>
      </c>
      <c r="B180" s="66">
        <v>402</v>
      </c>
      <c r="D180">
        <f t="shared" si="10"/>
        <v>0.39096311136613404</v>
      </c>
      <c r="E180">
        <f t="shared" si="11"/>
        <v>0.39096311136613404</v>
      </c>
      <c r="G180">
        <f t="shared" ca="1" si="12"/>
        <v>178</v>
      </c>
      <c r="H180">
        <f t="shared" ca="1" si="13"/>
        <v>69.591433823171855</v>
      </c>
      <c r="I180">
        <f t="shared" ca="1" si="14"/>
        <v>2904.4197821283956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274</v>
      </c>
      <c r="B183" s="66">
        <v>274</v>
      </c>
      <c r="D183">
        <f t="shared" si="10"/>
        <v>0.26647734456298688</v>
      </c>
      <c r="E183">
        <f t="shared" si="11"/>
        <v>0.26647734456298688</v>
      </c>
      <c r="G183">
        <f t="shared" ca="1" si="12"/>
        <v>181</v>
      </c>
      <c r="H183">
        <f t="shared" ca="1" si="13"/>
        <v>48.232399365900626</v>
      </c>
      <c r="I183">
        <f t="shared" ca="1" si="14"/>
        <v>2119.8353553685283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0.17924000000000001</v>
      </c>
      <c r="B2" s="68">
        <v>0.61217699999999997</v>
      </c>
      <c r="C2" s="68">
        <v>0</v>
      </c>
      <c r="D2" s="68">
        <v>1</v>
      </c>
      <c r="E2" s="68" t="s">
        <v>356</v>
      </c>
    </row>
    <row r="3" spans="1:5">
      <c r="A3" s="68">
        <v>0.18521399999999999</v>
      </c>
      <c r="B3" s="68">
        <v>0.60148999999999997</v>
      </c>
      <c r="C3" s="68">
        <v>0.40689700000000001</v>
      </c>
      <c r="D3" s="89">
        <v>1</v>
      </c>
      <c r="E3" s="68" t="s">
        <v>357</v>
      </c>
    </row>
    <row r="4" spans="1:5">
      <c r="A4" s="68">
        <v>0.19107499999999999</v>
      </c>
      <c r="B4" s="68">
        <v>0.59048900000000004</v>
      </c>
      <c r="C4" s="68">
        <v>0.81281099999999995</v>
      </c>
      <c r="D4" s="89">
        <v>1</v>
      </c>
      <c r="E4" s="68" t="s">
        <v>358</v>
      </c>
    </row>
    <row r="5" spans="1:5">
      <c r="A5" s="89">
        <v>0.196765</v>
      </c>
      <c r="B5" s="89">
        <v>0.57966700000000004</v>
      </c>
      <c r="C5" s="89">
        <v>1.2155899999999999</v>
      </c>
      <c r="D5" s="89">
        <v>1</v>
      </c>
      <c r="E5" s="68" t="s">
        <v>359</v>
      </c>
    </row>
    <row r="6" spans="1:5">
      <c r="A6" s="68">
        <v>0.202319</v>
      </c>
      <c r="B6" s="68">
        <v>0.56816500000000003</v>
      </c>
      <c r="C6" s="68">
        <v>1.6205499999999999</v>
      </c>
      <c r="D6" s="68">
        <v>1</v>
      </c>
      <c r="E6" s="68" t="s">
        <v>360</v>
      </c>
    </row>
    <row r="7" spans="1:5">
      <c r="A7" s="68">
        <v>0.207981</v>
      </c>
      <c r="B7" s="68">
        <v>0.55621900000000002</v>
      </c>
      <c r="C7" s="68">
        <v>2.03145</v>
      </c>
      <c r="D7" s="68">
        <v>1</v>
      </c>
      <c r="E7" s="68" t="s">
        <v>361</v>
      </c>
    </row>
    <row r="8" spans="1:5">
      <c r="A8" s="68">
        <v>0.21334500000000001</v>
      </c>
      <c r="B8" s="68">
        <v>0.54451499999999997</v>
      </c>
      <c r="C8" s="68">
        <v>2.4363700000000001</v>
      </c>
      <c r="D8" s="68">
        <v>1</v>
      </c>
      <c r="E8" s="68" t="s">
        <v>362</v>
      </c>
    </row>
    <row r="9" spans="1:5">
      <c r="A9" s="68">
        <v>0.21868499999999999</v>
      </c>
      <c r="B9" s="68">
        <v>0.53244899999999995</v>
      </c>
      <c r="C9" s="68">
        <v>2.8436599999999999</v>
      </c>
      <c r="D9" s="68">
        <v>1</v>
      </c>
      <c r="E9" s="68" t="s">
        <v>363</v>
      </c>
    </row>
    <row r="10" spans="1:5">
      <c r="A10" s="68">
        <v>0.224079</v>
      </c>
      <c r="B10" s="68">
        <v>0.52008600000000005</v>
      </c>
      <c r="C10" s="68">
        <v>3.2471800000000002</v>
      </c>
      <c r="D10" s="68">
        <v>1</v>
      </c>
      <c r="E10" s="68" t="s">
        <v>364</v>
      </c>
    </row>
    <row r="11" spans="1:5">
      <c r="A11" s="68">
        <v>0.229322</v>
      </c>
      <c r="B11" s="68">
        <v>0.50856699999999999</v>
      </c>
      <c r="C11" s="68">
        <v>3.6542500000000002</v>
      </c>
      <c r="D11" s="68">
        <v>1</v>
      </c>
      <c r="E11" s="68" t="s">
        <v>365</v>
      </c>
    </row>
    <row r="12" spans="1:5">
      <c r="A12" s="68">
        <v>0.23436599999999999</v>
      </c>
      <c r="B12" s="68">
        <v>0.49743199999999999</v>
      </c>
      <c r="C12" s="68">
        <v>4.0630899999999999</v>
      </c>
      <c r="D12" s="68">
        <v>1</v>
      </c>
      <c r="E12" s="68" t="s">
        <v>366</v>
      </c>
    </row>
    <row r="13" spans="1:5">
      <c r="A13" s="68">
        <v>0.23935300000000001</v>
      </c>
      <c r="B13" s="68">
        <v>0.48605599999999999</v>
      </c>
      <c r="C13" s="68">
        <v>4.4688999999999997</v>
      </c>
      <c r="D13" s="68">
        <v>1</v>
      </c>
      <c r="E13" s="68" t="s">
        <v>367</v>
      </c>
    </row>
    <row r="14" spans="1:5">
      <c r="A14" s="68">
        <v>0.24417800000000001</v>
      </c>
      <c r="B14" s="68">
        <v>0.47572799999999998</v>
      </c>
      <c r="C14" s="68">
        <v>4.8708099999999996</v>
      </c>
      <c r="D14" s="68">
        <v>1</v>
      </c>
      <c r="E14" s="68" t="s">
        <v>368</v>
      </c>
    </row>
    <row r="15" spans="1:5">
      <c r="A15" s="68">
        <v>0.24922800000000001</v>
      </c>
      <c r="B15" s="68">
        <v>0.46501700000000001</v>
      </c>
      <c r="C15" s="68">
        <v>5.2828499999999998</v>
      </c>
      <c r="D15" s="68">
        <v>1</v>
      </c>
      <c r="E15" s="68" t="s">
        <v>369</v>
      </c>
    </row>
    <row r="16" spans="1:5">
      <c r="A16" s="68">
        <v>0.25478299999999998</v>
      </c>
      <c r="B16" s="68">
        <v>0.45276100000000002</v>
      </c>
      <c r="C16" s="68">
        <v>5.6867299999999998</v>
      </c>
      <c r="D16" s="68">
        <v>1</v>
      </c>
      <c r="E16" s="68" t="s">
        <v>370</v>
      </c>
    </row>
    <row r="17" spans="1:5">
      <c r="A17" s="68">
        <v>0.26088899999999998</v>
      </c>
      <c r="B17" s="68">
        <v>0.43946499999999999</v>
      </c>
      <c r="C17" s="68">
        <v>6.0928899999999997</v>
      </c>
      <c r="D17" s="68">
        <v>1</v>
      </c>
      <c r="E17" s="68" t="s">
        <v>371</v>
      </c>
    </row>
    <row r="18" spans="1:5">
      <c r="A18" s="68">
        <v>0.26722400000000002</v>
      </c>
      <c r="B18" s="68">
        <v>0.42577799999999999</v>
      </c>
      <c r="C18" s="68">
        <v>6.4975300000000002</v>
      </c>
      <c r="D18" s="68">
        <v>1</v>
      </c>
      <c r="E18" s="68" t="s">
        <v>372</v>
      </c>
    </row>
    <row r="19" spans="1:5">
      <c r="A19" s="68">
        <v>0.27413500000000002</v>
      </c>
      <c r="B19" s="68">
        <v>0.41123399999999999</v>
      </c>
      <c r="C19" s="68">
        <v>6.9055400000000002</v>
      </c>
      <c r="D19" s="68">
        <v>1</v>
      </c>
      <c r="E19" s="68" t="s">
        <v>373</v>
      </c>
    </row>
    <row r="20" spans="1:5">
      <c r="A20" s="68">
        <v>0.28090300000000001</v>
      </c>
      <c r="B20" s="68">
        <v>0.39815299999999998</v>
      </c>
      <c r="C20" s="68">
        <v>7.3083900000000002</v>
      </c>
      <c r="D20" s="68">
        <v>1</v>
      </c>
      <c r="E20" s="68" t="s">
        <v>374</v>
      </c>
    </row>
    <row r="21" spans="1:5">
      <c r="A21" s="68">
        <v>0.28725699999999998</v>
      </c>
      <c r="B21" s="68">
        <v>0.38725799999999999</v>
      </c>
      <c r="C21" s="68">
        <v>7.7152799999999999</v>
      </c>
      <c r="D21" s="68">
        <v>1</v>
      </c>
      <c r="E21" s="68" t="s">
        <v>375</v>
      </c>
    </row>
    <row r="22" spans="1:5">
      <c r="A22" s="68">
        <v>0.29309400000000002</v>
      </c>
      <c r="B22" s="68">
        <v>0.37789899999999998</v>
      </c>
      <c r="C22" s="68">
        <v>8.1241500000000002</v>
      </c>
      <c r="D22" s="68">
        <v>1</v>
      </c>
      <c r="E22" s="68" t="s">
        <v>376</v>
      </c>
    </row>
    <row r="23" spans="1:5">
      <c r="A23" s="68">
        <v>0.29861900000000002</v>
      </c>
      <c r="B23" s="68">
        <v>0.36963699999999999</v>
      </c>
      <c r="C23" s="68">
        <v>8.5300999999999991</v>
      </c>
      <c r="D23" s="68">
        <v>1</v>
      </c>
      <c r="E23" s="68" t="s">
        <v>377</v>
      </c>
    </row>
    <row r="24" spans="1:5">
      <c r="A24" s="68">
        <v>0.30405700000000002</v>
      </c>
      <c r="B24" s="68">
        <v>0.36092999999999997</v>
      </c>
      <c r="C24" s="68">
        <v>8.9361499999999996</v>
      </c>
      <c r="D24" s="68">
        <v>1</v>
      </c>
      <c r="E24" s="68" t="s">
        <v>378</v>
      </c>
    </row>
    <row r="25" spans="1:5">
      <c r="A25" s="68">
        <v>0.30926300000000001</v>
      </c>
      <c r="B25" s="68">
        <v>0.35225600000000001</v>
      </c>
      <c r="C25" s="68">
        <v>9.3440499999999993</v>
      </c>
      <c r="D25" s="68">
        <v>1</v>
      </c>
      <c r="E25" s="68" t="s">
        <v>379</v>
      </c>
    </row>
    <row r="26" spans="1:5">
      <c r="A26" s="68">
        <v>0.31408999999999998</v>
      </c>
      <c r="B26" s="68">
        <v>0.34471600000000002</v>
      </c>
      <c r="C26" s="68">
        <v>9.7488200000000003</v>
      </c>
      <c r="D26" s="68">
        <v>1</v>
      </c>
      <c r="E26" s="68" t="s">
        <v>380</v>
      </c>
    </row>
    <row r="27" spans="1:5">
      <c r="A27" s="68">
        <v>0.318859</v>
      </c>
      <c r="B27" s="68">
        <v>0.337424</v>
      </c>
      <c r="C27" s="68">
        <v>10.1577</v>
      </c>
      <c r="D27" s="68">
        <v>1</v>
      </c>
      <c r="E27" s="68" t="s">
        <v>381</v>
      </c>
    </row>
    <row r="28" spans="1:5">
      <c r="A28" s="68">
        <v>0.32362999999999997</v>
      </c>
      <c r="B28" s="68">
        <v>0.33074900000000002</v>
      </c>
      <c r="C28" s="68">
        <v>10.5627</v>
      </c>
      <c r="D28" s="68">
        <v>1</v>
      </c>
      <c r="E28" s="68" t="s">
        <v>382</v>
      </c>
    </row>
    <row r="29" spans="1:5">
      <c r="A29" s="68">
        <v>0.32818199999999997</v>
      </c>
      <c r="B29" s="68">
        <v>0.32543299999999997</v>
      </c>
      <c r="C29" s="68">
        <v>10.9678</v>
      </c>
      <c r="D29" s="68">
        <v>1</v>
      </c>
      <c r="E29" s="68" t="s">
        <v>383</v>
      </c>
    </row>
    <row r="30" spans="1:5">
      <c r="A30" s="68">
        <v>0.33273000000000003</v>
      </c>
      <c r="B30" s="68">
        <v>0.32045800000000002</v>
      </c>
      <c r="C30" s="68">
        <v>11.3735</v>
      </c>
      <c r="D30" s="68">
        <v>1</v>
      </c>
      <c r="E30" s="68" t="s">
        <v>384</v>
      </c>
    </row>
    <row r="31" spans="1:5">
      <c r="A31" s="68">
        <v>0.33717599999999998</v>
      </c>
      <c r="B31" s="68">
        <v>0.31630200000000003</v>
      </c>
      <c r="C31" s="68">
        <v>11.782400000000001</v>
      </c>
      <c r="D31" s="68">
        <v>1</v>
      </c>
      <c r="E31" s="68" t="s">
        <v>385</v>
      </c>
    </row>
    <row r="32" spans="1:5">
      <c r="A32" s="68">
        <v>0.34142400000000001</v>
      </c>
      <c r="B32" s="68">
        <v>0.313079</v>
      </c>
      <c r="C32" s="68">
        <v>12.1854</v>
      </c>
      <c r="D32" s="68">
        <v>1</v>
      </c>
      <c r="E32" s="68" t="s">
        <v>386</v>
      </c>
    </row>
    <row r="33" spans="1:5">
      <c r="A33" s="68">
        <v>0.34537000000000001</v>
      </c>
      <c r="B33" s="68">
        <v>0.311027</v>
      </c>
      <c r="C33" s="68">
        <v>12.597200000000001</v>
      </c>
      <c r="D33" s="68">
        <v>1</v>
      </c>
      <c r="E33" s="68" t="s">
        <v>387</v>
      </c>
    </row>
    <row r="34" spans="1:5">
      <c r="A34" s="68">
        <v>0.34906599999999999</v>
      </c>
      <c r="B34" s="68">
        <v>0.30957099999999999</v>
      </c>
      <c r="C34" s="68">
        <v>12.9992</v>
      </c>
      <c r="D34" s="68">
        <v>1</v>
      </c>
      <c r="E34" s="68" t="s">
        <v>388</v>
      </c>
    </row>
    <row r="35" spans="1:5">
      <c r="A35" s="68">
        <v>0.35241699999999998</v>
      </c>
      <c r="B35" s="68">
        <v>0.30880299999999999</v>
      </c>
      <c r="C35" s="68">
        <v>13.4008</v>
      </c>
      <c r="D35" s="68">
        <v>1</v>
      </c>
      <c r="E35" s="68" t="s">
        <v>389</v>
      </c>
    </row>
    <row r="36" spans="1:5">
      <c r="A36" s="68">
        <v>0.35569099999999998</v>
      </c>
      <c r="B36" s="68">
        <v>0.30823200000000001</v>
      </c>
      <c r="C36" s="68">
        <v>13.8089</v>
      </c>
      <c r="D36" s="68">
        <v>1</v>
      </c>
      <c r="E36" s="68" t="s">
        <v>390</v>
      </c>
    </row>
    <row r="37" spans="1:5">
      <c r="A37" s="68">
        <v>0.35875600000000002</v>
      </c>
      <c r="B37" s="68">
        <v>0.30847999999999998</v>
      </c>
      <c r="C37" s="68">
        <v>14.217000000000001</v>
      </c>
      <c r="D37" s="68">
        <v>1</v>
      </c>
      <c r="E37" s="68" t="s">
        <v>391</v>
      </c>
    </row>
    <row r="38" spans="1:5">
      <c r="A38" s="68">
        <v>0.36155900000000002</v>
      </c>
      <c r="B38" s="68">
        <v>0.30984800000000001</v>
      </c>
      <c r="C38" s="68">
        <v>14.6258</v>
      </c>
      <c r="D38" s="68">
        <v>1</v>
      </c>
      <c r="E38" s="68" t="s">
        <v>392</v>
      </c>
    </row>
    <row r="39" spans="1:5">
      <c r="A39" s="68">
        <v>0.36439700000000003</v>
      </c>
      <c r="B39" s="68">
        <v>0.31125900000000001</v>
      </c>
      <c r="C39" s="68">
        <v>15.0328</v>
      </c>
      <c r="D39" s="68">
        <v>1</v>
      </c>
      <c r="E39" s="68" t="s">
        <v>393</v>
      </c>
    </row>
    <row r="40" spans="1:5">
      <c r="A40" s="68">
        <v>0.36704700000000001</v>
      </c>
      <c r="B40" s="68">
        <v>0.31279600000000002</v>
      </c>
      <c r="C40" s="68">
        <v>15.435600000000001</v>
      </c>
      <c r="D40" s="68">
        <v>1</v>
      </c>
      <c r="E40" s="68" t="s">
        <v>394</v>
      </c>
    </row>
    <row r="41" spans="1:5">
      <c r="A41" s="68">
        <v>0.36934699999999998</v>
      </c>
      <c r="B41" s="68">
        <v>0.31442999999999999</v>
      </c>
      <c r="C41" s="68">
        <v>15.842700000000001</v>
      </c>
      <c r="D41" s="68">
        <v>1</v>
      </c>
      <c r="E41" s="68" t="s">
        <v>395</v>
      </c>
    </row>
    <row r="42" spans="1:5">
      <c r="A42" s="68">
        <v>0.37115700000000001</v>
      </c>
      <c r="B42" s="68">
        <v>0.31601699999999999</v>
      </c>
      <c r="C42" s="68">
        <v>16.249500000000001</v>
      </c>
      <c r="D42" s="68">
        <v>1</v>
      </c>
      <c r="E42" s="68" t="s">
        <v>396</v>
      </c>
    </row>
    <row r="43" spans="1:5">
      <c r="A43" s="68">
        <v>0.37270599999999998</v>
      </c>
      <c r="B43" s="68">
        <v>0.31776199999999999</v>
      </c>
      <c r="C43" s="68">
        <v>16.662500000000001</v>
      </c>
      <c r="D43" s="68">
        <v>1</v>
      </c>
      <c r="E43" s="68" t="s">
        <v>397</v>
      </c>
    </row>
    <row r="44" spans="1:5">
      <c r="A44" s="68">
        <v>0.37406</v>
      </c>
      <c r="B44" s="68">
        <v>0.31923499999999999</v>
      </c>
      <c r="C44" s="68">
        <v>17.060400000000001</v>
      </c>
      <c r="D44" s="68">
        <v>1</v>
      </c>
      <c r="E44" s="68" t="s">
        <v>398</v>
      </c>
    </row>
    <row r="45" spans="1:5">
      <c r="A45" s="68">
        <v>0.37532399999999999</v>
      </c>
      <c r="B45" s="68">
        <v>0.32051499999999999</v>
      </c>
      <c r="C45" s="68">
        <v>17.467099999999999</v>
      </c>
      <c r="D45" s="68">
        <v>1</v>
      </c>
      <c r="E45" s="68" t="s">
        <v>399</v>
      </c>
    </row>
    <row r="46" spans="1:5">
      <c r="A46" s="68">
        <v>0.376579</v>
      </c>
      <c r="B46" s="68">
        <v>0.32176300000000002</v>
      </c>
      <c r="C46" s="68">
        <v>17.871099999999998</v>
      </c>
      <c r="D46" s="68">
        <v>1</v>
      </c>
      <c r="E46" s="68" t="s">
        <v>400</v>
      </c>
    </row>
    <row r="47" spans="1:5">
      <c r="A47" s="68">
        <v>0.37773000000000001</v>
      </c>
      <c r="B47" s="68">
        <v>0.322905</v>
      </c>
      <c r="C47" s="68">
        <v>18.277100000000001</v>
      </c>
      <c r="D47" s="68">
        <v>1</v>
      </c>
      <c r="E47" s="68" t="s">
        <v>401</v>
      </c>
    </row>
    <row r="48" spans="1:5">
      <c r="A48" s="68">
        <v>0.37876799999999999</v>
      </c>
      <c r="B48" s="68">
        <v>0.32436999999999999</v>
      </c>
      <c r="C48" s="68">
        <v>18.687899999999999</v>
      </c>
      <c r="D48" s="68">
        <v>1</v>
      </c>
      <c r="E48" s="68" t="s">
        <v>402</v>
      </c>
    </row>
    <row r="49" spans="1:5">
      <c r="A49" s="68">
        <v>0.37953599999999998</v>
      </c>
      <c r="B49" s="68">
        <v>0.32661000000000001</v>
      </c>
      <c r="C49" s="68">
        <v>19.090900000000001</v>
      </c>
      <c r="D49" s="68">
        <v>1</v>
      </c>
      <c r="E49" s="68" t="s">
        <v>403</v>
      </c>
    </row>
    <row r="50" spans="1:5">
      <c r="A50" s="68">
        <v>0.38039400000000001</v>
      </c>
      <c r="B50" s="68">
        <v>0.32930700000000002</v>
      </c>
      <c r="C50" s="68">
        <v>19.497900000000001</v>
      </c>
      <c r="D50" s="68">
        <v>1</v>
      </c>
      <c r="E50" s="68" t="s">
        <v>404</v>
      </c>
    </row>
    <row r="51" spans="1:5">
      <c r="A51" s="68">
        <v>0.381249</v>
      </c>
      <c r="B51" s="68">
        <v>0.33255600000000002</v>
      </c>
      <c r="C51" s="68">
        <v>19.9057</v>
      </c>
      <c r="D51" s="68">
        <v>1</v>
      </c>
      <c r="E51" s="68" t="s">
        <v>405</v>
      </c>
    </row>
    <row r="52" spans="1:5">
      <c r="A52" s="68">
        <v>0.38181599999999999</v>
      </c>
      <c r="B52" s="68">
        <v>0.33523399999999998</v>
      </c>
      <c r="C52" s="68">
        <v>20.3081</v>
      </c>
      <c r="D52" s="68">
        <v>1</v>
      </c>
      <c r="E52" s="68" t="s">
        <v>406</v>
      </c>
    </row>
    <row r="53" spans="1:5">
      <c r="A53" s="68">
        <v>0.382268</v>
      </c>
      <c r="B53" s="68">
        <v>0.339007</v>
      </c>
      <c r="C53" s="68">
        <v>20.717500000000001</v>
      </c>
      <c r="D53" s="68">
        <v>1</v>
      </c>
      <c r="E53" s="68" t="s">
        <v>407</v>
      </c>
    </row>
    <row r="54" spans="1:5">
      <c r="A54" s="68">
        <v>0.382801</v>
      </c>
      <c r="B54" s="68">
        <v>0.34235399999999999</v>
      </c>
      <c r="C54" s="68">
        <v>21.124600000000001</v>
      </c>
      <c r="D54" s="68">
        <v>1</v>
      </c>
      <c r="E54" s="68" t="s">
        <v>408</v>
      </c>
    </row>
    <row r="55" spans="1:5">
      <c r="A55" s="68">
        <v>0.383326</v>
      </c>
      <c r="B55" s="68">
        <v>0.34559299999999998</v>
      </c>
      <c r="C55" s="68">
        <v>21.5304</v>
      </c>
      <c r="D55" s="68">
        <v>1</v>
      </c>
      <c r="E55" s="68" t="s">
        <v>409</v>
      </c>
    </row>
    <row r="56" spans="1:5">
      <c r="A56" s="68">
        <v>0.38385599999999998</v>
      </c>
      <c r="B56" s="68">
        <v>0.34873199999999999</v>
      </c>
      <c r="C56" s="68">
        <v>21.9373</v>
      </c>
      <c r="D56" s="68">
        <v>1</v>
      </c>
      <c r="E56" s="68" t="s">
        <v>410</v>
      </c>
    </row>
    <row r="57" spans="1:5">
      <c r="A57" s="68">
        <v>0.38481500000000002</v>
      </c>
      <c r="B57" s="68">
        <v>0.35200900000000002</v>
      </c>
      <c r="C57" s="68">
        <v>22.345300000000002</v>
      </c>
      <c r="D57" s="68">
        <v>1</v>
      </c>
      <c r="E57" s="68" t="s">
        <v>411</v>
      </c>
    </row>
    <row r="58" spans="1:5">
      <c r="A58" s="68">
        <v>0.385911</v>
      </c>
      <c r="B58" s="68">
        <v>0.35394300000000001</v>
      </c>
      <c r="C58" s="68">
        <v>22.749099999999999</v>
      </c>
      <c r="D58" s="68">
        <v>1</v>
      </c>
      <c r="E58" s="68" t="s">
        <v>412</v>
      </c>
    </row>
    <row r="59" spans="1:5">
      <c r="A59" s="68">
        <v>0.38666099999999998</v>
      </c>
      <c r="B59" s="68">
        <v>0.35577199999999998</v>
      </c>
      <c r="C59" s="68">
        <v>23.155100000000001</v>
      </c>
      <c r="D59" s="68">
        <v>1</v>
      </c>
      <c r="E59" s="68" t="s">
        <v>413</v>
      </c>
    </row>
    <row r="60" spans="1:5">
      <c r="A60" s="68">
        <v>0.388484</v>
      </c>
      <c r="B60" s="68">
        <v>0.35778100000000002</v>
      </c>
      <c r="C60" s="68">
        <v>23.561</v>
      </c>
      <c r="D60" s="68">
        <v>1</v>
      </c>
      <c r="E60" s="68" t="s">
        <v>414</v>
      </c>
    </row>
    <row r="61" spans="1:5">
      <c r="A61" s="68">
        <v>0.38929900000000001</v>
      </c>
      <c r="B61" s="68">
        <v>0.35968499999999998</v>
      </c>
      <c r="C61" s="68">
        <v>23.968800000000002</v>
      </c>
      <c r="D61" s="68">
        <v>1</v>
      </c>
      <c r="E61" s="68" t="s">
        <v>415</v>
      </c>
    </row>
    <row r="62" spans="1:5">
      <c r="A62" s="68">
        <v>0.39111400000000002</v>
      </c>
      <c r="B62" s="68">
        <v>0.361182</v>
      </c>
      <c r="C62" s="68">
        <v>24.375699999999998</v>
      </c>
      <c r="D62" s="68">
        <v>1</v>
      </c>
      <c r="E62" s="68" t="s">
        <v>416</v>
      </c>
    </row>
    <row r="63" spans="1:5">
      <c r="A63" s="68">
        <v>0.39205800000000002</v>
      </c>
      <c r="B63" s="68">
        <v>0.362427</v>
      </c>
      <c r="C63" s="68">
        <v>24.7807</v>
      </c>
      <c r="D63" s="68">
        <v>1</v>
      </c>
      <c r="E63" s="68" t="s">
        <v>417</v>
      </c>
    </row>
    <row r="64" spans="1:5">
      <c r="A64" s="68">
        <v>0.39329799999999998</v>
      </c>
      <c r="B64" s="68">
        <v>0.36391299999999999</v>
      </c>
      <c r="C64" s="68">
        <v>25.1845</v>
      </c>
      <c r="D64" s="68">
        <v>1</v>
      </c>
      <c r="E64" s="68" t="s">
        <v>418</v>
      </c>
    </row>
    <row r="65" spans="1:5">
      <c r="A65" s="68">
        <v>0.394345</v>
      </c>
      <c r="B65" s="68">
        <v>0.36585000000000001</v>
      </c>
      <c r="C65" s="68">
        <v>25.5916</v>
      </c>
      <c r="D65" s="68">
        <v>1</v>
      </c>
      <c r="E65" s="68" t="s">
        <v>419</v>
      </c>
    </row>
    <row r="66" spans="1:5">
      <c r="A66" s="68">
        <v>0.39513799999999999</v>
      </c>
      <c r="B66" s="68">
        <v>0.368313</v>
      </c>
      <c r="C66" s="68">
        <v>25.9984</v>
      </c>
      <c r="D66" s="68">
        <v>1</v>
      </c>
      <c r="E66" s="68" t="s">
        <v>420</v>
      </c>
    </row>
    <row r="67" spans="1:5">
      <c r="A67" s="68">
        <v>0.395758</v>
      </c>
      <c r="B67" s="68">
        <v>0.37036799999999998</v>
      </c>
      <c r="C67" s="68">
        <v>26.402200000000001</v>
      </c>
      <c r="D67" s="68">
        <v>1</v>
      </c>
      <c r="E67" s="68" t="s">
        <v>421</v>
      </c>
    </row>
    <row r="68" spans="1:5">
      <c r="A68" s="68">
        <v>0.39631300000000003</v>
      </c>
      <c r="B68" s="68">
        <v>0.372085</v>
      </c>
      <c r="C68" s="68">
        <v>26.8095</v>
      </c>
      <c r="D68" s="68">
        <v>1</v>
      </c>
      <c r="E68" s="68" t="s">
        <v>422</v>
      </c>
    </row>
    <row r="69" spans="1:5">
      <c r="A69" s="68">
        <v>0.39648699999999998</v>
      </c>
      <c r="B69" s="68">
        <v>0.37363600000000002</v>
      </c>
      <c r="C69" s="68">
        <v>27.215900000000001</v>
      </c>
      <c r="D69" s="68">
        <v>1</v>
      </c>
      <c r="E69" s="68" t="s">
        <v>423</v>
      </c>
    </row>
    <row r="70" spans="1:5">
      <c r="A70" s="68">
        <v>0.39643800000000001</v>
      </c>
      <c r="B70" s="68">
        <v>0.375253</v>
      </c>
      <c r="C70" s="68">
        <v>27.620799999999999</v>
      </c>
      <c r="D70" s="68">
        <v>1</v>
      </c>
      <c r="E70" s="68" t="s">
        <v>424</v>
      </c>
    </row>
    <row r="71" spans="1:5">
      <c r="A71" s="68">
        <v>0.396173</v>
      </c>
      <c r="B71" s="68">
        <v>0.37661899999999998</v>
      </c>
      <c r="C71" s="68">
        <v>28.029</v>
      </c>
      <c r="D71" s="68">
        <v>1</v>
      </c>
      <c r="E71" s="68" t="s">
        <v>425</v>
      </c>
    </row>
    <row r="72" spans="1:5">
      <c r="A72" s="68">
        <v>0.39507300000000001</v>
      </c>
      <c r="B72" s="68">
        <v>0.37734699999999999</v>
      </c>
      <c r="C72" s="68">
        <v>28.4359</v>
      </c>
      <c r="D72" s="68">
        <v>1</v>
      </c>
      <c r="E72" s="68" t="s">
        <v>426</v>
      </c>
    </row>
    <row r="73" spans="1:5">
      <c r="A73" s="68">
        <v>0.394868</v>
      </c>
      <c r="B73" s="68">
        <v>0.37768099999999999</v>
      </c>
      <c r="C73" s="68">
        <v>28.8431</v>
      </c>
      <c r="D73" s="68">
        <v>1</v>
      </c>
      <c r="E73" s="68" t="s">
        <v>427</v>
      </c>
    </row>
    <row r="74" spans="1:5">
      <c r="A74" s="68">
        <v>0.39341700000000002</v>
      </c>
      <c r="B74" s="68">
        <v>0.37696299999999999</v>
      </c>
      <c r="C74" s="68">
        <v>29.252800000000001</v>
      </c>
      <c r="D74" s="68">
        <v>1</v>
      </c>
      <c r="E74" s="68" t="s">
        <v>428</v>
      </c>
    </row>
    <row r="75" spans="1:5">
      <c r="A75" s="68">
        <v>0.39231700000000003</v>
      </c>
      <c r="B75" s="68">
        <v>0.376637</v>
      </c>
      <c r="C75" s="68">
        <v>29.6599</v>
      </c>
      <c r="D75" s="68">
        <v>1</v>
      </c>
      <c r="E75" s="68" t="s">
        <v>429</v>
      </c>
    </row>
    <row r="76" spans="1:5">
      <c r="A76" s="68">
        <v>0.39187899999999998</v>
      </c>
      <c r="B76" s="68">
        <v>0.37618699999999999</v>
      </c>
      <c r="C76" s="68">
        <v>30.0626</v>
      </c>
      <c r="D76" s="68">
        <v>1</v>
      </c>
      <c r="E76" s="68" t="s">
        <v>430</v>
      </c>
    </row>
    <row r="77" spans="1:5">
      <c r="A77" s="68">
        <v>0.38980999999999999</v>
      </c>
      <c r="B77" s="68">
        <v>0.37525700000000001</v>
      </c>
      <c r="C77" s="68">
        <v>30.5792</v>
      </c>
      <c r="D77" s="68">
        <v>2</v>
      </c>
      <c r="E77" s="68" t="s">
        <v>431</v>
      </c>
    </row>
    <row r="78" spans="1:5">
      <c r="A78" s="68">
        <v>0.38830599999999998</v>
      </c>
      <c r="B78" s="68">
        <v>0.37431999999999999</v>
      </c>
      <c r="C78" s="68">
        <v>30.9542</v>
      </c>
      <c r="D78" s="68">
        <v>2</v>
      </c>
      <c r="E78" s="68" t="s">
        <v>432</v>
      </c>
    </row>
    <row r="79" spans="1:5">
      <c r="A79" s="68">
        <v>0.38604899999999998</v>
      </c>
      <c r="B79" s="68">
        <v>0.37320799999999998</v>
      </c>
      <c r="C79" s="68">
        <v>31.345099999999999</v>
      </c>
      <c r="D79" s="68">
        <v>2</v>
      </c>
      <c r="E79" s="68" t="s">
        <v>433</v>
      </c>
    </row>
    <row r="80" spans="1:5">
      <c r="A80" s="68">
        <v>0.38341399999999998</v>
      </c>
      <c r="B80" s="68">
        <v>0.37229600000000002</v>
      </c>
      <c r="C80" s="68">
        <v>31.75</v>
      </c>
      <c r="D80" s="68">
        <v>2</v>
      </c>
      <c r="E80" s="68" t="s">
        <v>434</v>
      </c>
    </row>
    <row r="81" spans="1:5">
      <c r="A81" s="68">
        <v>0.38033400000000001</v>
      </c>
      <c r="B81" s="68">
        <v>0.371114</v>
      </c>
      <c r="C81" s="68">
        <v>32.135100000000001</v>
      </c>
      <c r="D81" s="68">
        <v>2</v>
      </c>
      <c r="E81" s="68" t="s">
        <v>435</v>
      </c>
    </row>
    <row r="82" spans="1:5">
      <c r="A82" s="68">
        <v>0.37676399999999999</v>
      </c>
      <c r="B82" s="68">
        <v>0.36954199999999998</v>
      </c>
      <c r="C82" s="68">
        <v>32.543399999999998</v>
      </c>
      <c r="D82" s="68">
        <v>2</v>
      </c>
      <c r="E82" s="68" t="s">
        <v>436</v>
      </c>
    </row>
    <row r="83" spans="1:5">
      <c r="A83" s="68">
        <v>0.37263800000000002</v>
      </c>
      <c r="B83" s="68">
        <v>0.36863600000000002</v>
      </c>
      <c r="C83" s="68">
        <v>32.950200000000002</v>
      </c>
      <c r="D83" s="68">
        <v>2</v>
      </c>
      <c r="E83" s="68" t="s">
        <v>437</v>
      </c>
    </row>
    <row r="84" spans="1:5">
      <c r="A84" s="68">
        <v>0.36825600000000003</v>
      </c>
      <c r="B84" s="68">
        <v>0.36846699999999999</v>
      </c>
      <c r="C84" s="68">
        <v>33.357700000000001</v>
      </c>
      <c r="D84" s="68">
        <v>2</v>
      </c>
      <c r="E84" s="68" t="s">
        <v>438</v>
      </c>
    </row>
    <row r="85" spans="1:5">
      <c r="A85" s="68">
        <v>0.36357400000000001</v>
      </c>
      <c r="B85" s="68">
        <v>0.36855599999999999</v>
      </c>
      <c r="C85" s="68">
        <v>33.766599999999997</v>
      </c>
      <c r="D85" s="68">
        <v>2</v>
      </c>
      <c r="E85" s="68" t="s">
        <v>439</v>
      </c>
    </row>
    <row r="86" spans="1:5">
      <c r="A86" s="68">
        <v>0.358377</v>
      </c>
      <c r="B86" s="68">
        <v>0.36926999999999999</v>
      </c>
      <c r="C86" s="68">
        <v>34.1676</v>
      </c>
      <c r="D86" s="68">
        <v>2</v>
      </c>
      <c r="E86" s="68" t="s">
        <v>440</v>
      </c>
    </row>
    <row r="87" spans="1:5">
      <c r="A87" s="68">
        <v>0.35299399999999997</v>
      </c>
      <c r="B87" s="68">
        <v>0.37047600000000003</v>
      </c>
      <c r="C87" s="68">
        <v>34.577500000000001</v>
      </c>
      <c r="D87" s="68">
        <v>2</v>
      </c>
      <c r="E87" s="68" t="s">
        <v>441</v>
      </c>
    </row>
    <row r="88" spans="1:5">
      <c r="A88" s="68">
        <v>0.34747899999999998</v>
      </c>
      <c r="B88" s="68">
        <v>0.372747</v>
      </c>
      <c r="C88" s="68">
        <v>34.980400000000003</v>
      </c>
      <c r="D88" s="68">
        <v>2</v>
      </c>
      <c r="E88" s="68" t="s">
        <v>442</v>
      </c>
    </row>
    <row r="89" spans="1:5">
      <c r="A89" s="68">
        <v>0.34179300000000001</v>
      </c>
      <c r="B89" s="68">
        <v>0.37582900000000002</v>
      </c>
      <c r="C89" s="68">
        <v>35.3874</v>
      </c>
      <c r="D89" s="68">
        <v>2</v>
      </c>
      <c r="E89" s="68" t="s">
        <v>443</v>
      </c>
    </row>
    <row r="90" spans="1:5">
      <c r="A90" s="68">
        <v>0.33662900000000001</v>
      </c>
      <c r="B90" s="68">
        <v>0.37811499999999998</v>
      </c>
      <c r="C90" s="68">
        <v>35.797199999999997</v>
      </c>
      <c r="D90" s="68">
        <v>2</v>
      </c>
      <c r="E90" s="68" t="s">
        <v>444</v>
      </c>
    </row>
    <row r="91" spans="1:5">
      <c r="A91" s="68">
        <v>0.33217000000000002</v>
      </c>
      <c r="B91" s="68">
        <v>0.38032700000000003</v>
      </c>
      <c r="C91" s="68">
        <v>36.204000000000001</v>
      </c>
      <c r="D91" s="68">
        <v>2</v>
      </c>
      <c r="E91" s="68" t="s">
        <v>445</v>
      </c>
    </row>
    <row r="92" spans="1:5">
      <c r="A92" s="68">
        <v>0.32810499999999998</v>
      </c>
      <c r="B92" s="68">
        <v>0.38294800000000001</v>
      </c>
      <c r="C92" s="68">
        <v>36.607999999999997</v>
      </c>
      <c r="D92" s="68">
        <v>2</v>
      </c>
      <c r="E92" s="68" t="s">
        <v>446</v>
      </c>
    </row>
    <row r="93" spans="1:5">
      <c r="A93" s="68">
        <v>0.324459</v>
      </c>
      <c r="B93" s="68">
        <v>0.38611299999999998</v>
      </c>
      <c r="C93" s="68">
        <v>37.009500000000003</v>
      </c>
      <c r="D93" s="68">
        <v>2</v>
      </c>
      <c r="E93" s="68" t="s">
        <v>447</v>
      </c>
    </row>
    <row r="94" spans="1:5">
      <c r="A94" s="68">
        <v>0.321357</v>
      </c>
      <c r="B94" s="68">
        <v>0.38906400000000002</v>
      </c>
      <c r="C94" s="68">
        <v>37.417999999999999</v>
      </c>
      <c r="D94" s="68">
        <v>2</v>
      </c>
      <c r="E94" s="68" t="s">
        <v>448</v>
      </c>
    </row>
    <row r="95" spans="1:5">
      <c r="A95" s="68">
        <v>0.31882700000000003</v>
      </c>
      <c r="B95" s="68">
        <v>0.39171899999999998</v>
      </c>
      <c r="C95" s="68">
        <v>37.823099999999997</v>
      </c>
      <c r="D95" s="68">
        <v>2</v>
      </c>
      <c r="E95" s="68" t="s">
        <v>449</v>
      </c>
    </row>
    <row r="96" spans="1:5">
      <c r="A96" s="68">
        <v>0.31673499999999999</v>
      </c>
      <c r="B96" s="68">
        <v>0.394202</v>
      </c>
      <c r="C96" s="68">
        <v>38.231699999999996</v>
      </c>
      <c r="D96" s="68">
        <v>2</v>
      </c>
      <c r="E96" s="68" t="s">
        <v>450</v>
      </c>
    </row>
    <row r="97" spans="1:5">
      <c r="A97" s="68">
        <v>0.31507800000000002</v>
      </c>
      <c r="B97" s="68">
        <v>0.39637600000000001</v>
      </c>
      <c r="C97" s="68">
        <v>38.642800000000001</v>
      </c>
      <c r="D97" s="68">
        <v>2</v>
      </c>
      <c r="E97" s="68" t="s">
        <v>451</v>
      </c>
    </row>
    <row r="98" spans="1:5">
      <c r="A98" s="68">
        <v>0.31393900000000002</v>
      </c>
      <c r="B98" s="68">
        <v>0.39766800000000002</v>
      </c>
      <c r="C98" s="68">
        <v>39.042499999999997</v>
      </c>
      <c r="D98" s="68">
        <v>2</v>
      </c>
      <c r="E98" s="68" t="s">
        <v>452</v>
      </c>
    </row>
    <row r="99" spans="1:5">
      <c r="A99" s="68">
        <v>0.31297599999999998</v>
      </c>
      <c r="B99" s="68">
        <v>0.39859099999999997</v>
      </c>
      <c r="C99" s="68">
        <v>39.452500000000001</v>
      </c>
      <c r="D99" s="68">
        <v>2</v>
      </c>
      <c r="E99" s="68" t="s">
        <v>453</v>
      </c>
    </row>
    <row r="100" spans="1:5">
      <c r="A100" s="68">
        <v>0.31233699999999998</v>
      </c>
      <c r="B100" s="68">
        <v>0.39932699999999999</v>
      </c>
      <c r="C100" s="68">
        <v>39.860999999999997</v>
      </c>
      <c r="D100" s="68">
        <v>2</v>
      </c>
      <c r="E100" s="68" t="s">
        <v>454</v>
      </c>
    </row>
    <row r="101" spans="1:5">
      <c r="A101" s="68">
        <v>0.31215100000000001</v>
      </c>
      <c r="B101" s="68">
        <v>0.39940999999999999</v>
      </c>
      <c r="C101" s="68">
        <v>40.262500000000003</v>
      </c>
      <c r="D101" s="68">
        <v>2</v>
      </c>
      <c r="E101" s="68" t="s">
        <v>455</v>
      </c>
    </row>
    <row r="102" spans="1:5">
      <c r="A102" s="68">
        <v>0.31259500000000001</v>
      </c>
      <c r="B102" s="68">
        <v>0.39778799999999997</v>
      </c>
      <c r="C102" s="68">
        <v>40.670200000000001</v>
      </c>
      <c r="D102" s="68">
        <v>2</v>
      </c>
      <c r="E102" s="68" t="s">
        <v>456</v>
      </c>
    </row>
    <row r="103" spans="1:5">
      <c r="A103" s="68">
        <v>0.31336199999999997</v>
      </c>
      <c r="B103" s="68">
        <v>0.39532499999999998</v>
      </c>
      <c r="C103" s="68">
        <v>41.081000000000003</v>
      </c>
      <c r="D103" s="68">
        <v>2</v>
      </c>
      <c r="E103" s="68" t="s">
        <v>457</v>
      </c>
    </row>
    <row r="104" spans="1:5">
      <c r="A104" s="68">
        <v>0.31490000000000001</v>
      </c>
      <c r="B104" s="68">
        <v>0.39143299999999998</v>
      </c>
      <c r="C104" s="68">
        <v>41.483899999999998</v>
      </c>
      <c r="D104" s="68">
        <v>2</v>
      </c>
      <c r="E104" s="68" t="s">
        <v>458</v>
      </c>
    </row>
    <row r="105" spans="1:5">
      <c r="A105" s="68">
        <v>0.31703300000000001</v>
      </c>
      <c r="B105" s="68">
        <v>0.38596200000000003</v>
      </c>
      <c r="C105" s="68">
        <v>41.8889</v>
      </c>
      <c r="D105" s="68">
        <v>2</v>
      </c>
      <c r="E105" s="68" t="s">
        <v>459</v>
      </c>
    </row>
    <row r="106" spans="1:5">
      <c r="A106" s="68">
        <v>0.319521</v>
      </c>
      <c r="B106" s="68">
        <v>0.38040000000000002</v>
      </c>
      <c r="C106" s="68">
        <v>42.295999999999999</v>
      </c>
      <c r="D106" s="68">
        <v>2</v>
      </c>
      <c r="E106" s="68" t="s">
        <v>460</v>
      </c>
    </row>
    <row r="107" spans="1:5">
      <c r="A107" s="68">
        <v>0.32251000000000002</v>
      </c>
      <c r="B107" s="68">
        <v>0.37576300000000001</v>
      </c>
      <c r="C107" s="68">
        <v>42.700800000000001</v>
      </c>
      <c r="D107" s="68">
        <v>2</v>
      </c>
      <c r="E107" s="68" t="s">
        <v>461</v>
      </c>
    </row>
    <row r="108" spans="1:5">
      <c r="A108" s="68">
        <v>0.32565499999999997</v>
      </c>
      <c r="B108" s="68">
        <v>0.372554</v>
      </c>
      <c r="C108" s="68">
        <v>43.110100000000003</v>
      </c>
      <c r="D108" s="68">
        <v>2</v>
      </c>
      <c r="E108" s="68" t="s">
        <v>462</v>
      </c>
    </row>
    <row r="109" spans="1:5">
      <c r="A109" s="68">
        <v>0.32872699999999999</v>
      </c>
      <c r="B109" s="68">
        <v>0.37019000000000002</v>
      </c>
      <c r="C109" s="68">
        <v>43.515599999999999</v>
      </c>
      <c r="D109" s="68">
        <v>2</v>
      </c>
      <c r="E109" s="68" t="s">
        <v>463</v>
      </c>
    </row>
    <row r="110" spans="1:5">
      <c r="A110" s="68">
        <v>0.33199800000000002</v>
      </c>
      <c r="B110" s="68">
        <v>0.36834299999999998</v>
      </c>
      <c r="C110" s="68">
        <v>43.918500000000002</v>
      </c>
      <c r="D110" s="68">
        <v>2</v>
      </c>
      <c r="E110" s="68" t="s">
        <v>464</v>
      </c>
    </row>
    <row r="111" spans="1:5">
      <c r="A111" s="68">
        <v>0.33552999999999999</v>
      </c>
      <c r="B111" s="68">
        <v>0.36759399999999998</v>
      </c>
      <c r="C111" s="68">
        <v>44.329500000000003</v>
      </c>
      <c r="D111" s="68">
        <v>2</v>
      </c>
      <c r="E111" s="68" t="s">
        <v>465</v>
      </c>
    </row>
    <row r="112" spans="1:5">
      <c r="A112" s="68">
        <v>0.339001</v>
      </c>
      <c r="B112" s="68">
        <v>0.36782799999999999</v>
      </c>
      <c r="C112" s="68">
        <v>44.734299999999998</v>
      </c>
      <c r="D112" s="68">
        <v>2</v>
      </c>
      <c r="E112" s="68" t="s">
        <v>466</v>
      </c>
    </row>
    <row r="113" spans="1:5">
      <c r="A113" s="68">
        <v>0.342615</v>
      </c>
      <c r="B113" s="68">
        <v>0.36786200000000002</v>
      </c>
      <c r="C113" s="68">
        <v>45.140300000000003</v>
      </c>
      <c r="D113" s="68">
        <v>2</v>
      </c>
      <c r="E113" s="68" t="s">
        <v>467</v>
      </c>
    </row>
    <row r="114" spans="1:5">
      <c r="A114" s="68">
        <v>0.34636</v>
      </c>
      <c r="B114" s="68">
        <v>0.36815300000000001</v>
      </c>
      <c r="C114" s="68">
        <v>45.546100000000003</v>
      </c>
      <c r="D114" s="68">
        <v>2</v>
      </c>
      <c r="E114" s="68" t="s">
        <v>468</v>
      </c>
    </row>
    <row r="115" spans="1:5">
      <c r="A115" s="68">
        <v>0.34980899999999998</v>
      </c>
      <c r="B115" s="68">
        <v>0.369089</v>
      </c>
      <c r="C115" s="68">
        <v>45.952100000000002</v>
      </c>
      <c r="D115" s="68">
        <v>2</v>
      </c>
      <c r="E115" s="68" t="s">
        <v>469</v>
      </c>
    </row>
    <row r="116" spans="1:5">
      <c r="A116" s="68">
        <v>0.35257899999999998</v>
      </c>
      <c r="B116" s="68">
        <v>0.37047099999999999</v>
      </c>
      <c r="C116" s="68">
        <v>46.359000000000002</v>
      </c>
      <c r="D116" s="68">
        <v>2</v>
      </c>
      <c r="E116" s="68" t="s">
        <v>470</v>
      </c>
    </row>
    <row r="117" spans="1:5">
      <c r="A117" s="68">
        <v>0.35489500000000002</v>
      </c>
      <c r="B117" s="68">
        <v>0.37248599999999998</v>
      </c>
      <c r="C117" s="68">
        <v>46.761899999999997</v>
      </c>
      <c r="D117" s="68">
        <v>2</v>
      </c>
      <c r="E117" s="68" t="s">
        <v>471</v>
      </c>
    </row>
    <row r="118" spans="1:5">
      <c r="A118" s="68">
        <v>0.35708699999999999</v>
      </c>
      <c r="B118" s="68">
        <v>0.3745</v>
      </c>
      <c r="C118" s="68">
        <v>47.1708</v>
      </c>
      <c r="D118" s="68">
        <v>2</v>
      </c>
      <c r="E118" s="68" t="s">
        <v>472</v>
      </c>
    </row>
    <row r="119" spans="1:5">
      <c r="A119" s="68">
        <v>0.35897600000000002</v>
      </c>
      <c r="B119" s="68">
        <v>0.37675900000000001</v>
      </c>
      <c r="C119" s="68">
        <v>47.5779</v>
      </c>
      <c r="D119" s="68">
        <v>2</v>
      </c>
      <c r="E119" s="68" t="s">
        <v>473</v>
      </c>
    </row>
    <row r="120" spans="1:5">
      <c r="A120" s="68">
        <v>0.36040899999999998</v>
      </c>
      <c r="B120" s="68">
        <v>0.37894299999999997</v>
      </c>
      <c r="C120" s="68">
        <v>47.985599999999998</v>
      </c>
      <c r="D120" s="68">
        <v>2</v>
      </c>
      <c r="E120" s="68" t="s">
        <v>474</v>
      </c>
    </row>
    <row r="121" spans="1:5">
      <c r="A121" s="68">
        <v>0.36160799999999998</v>
      </c>
      <c r="B121" s="68">
        <v>0.380442</v>
      </c>
      <c r="C121" s="68">
        <v>48.387500000000003</v>
      </c>
      <c r="D121" s="68">
        <v>2</v>
      </c>
      <c r="E121" s="68" t="s">
        <v>475</v>
      </c>
    </row>
    <row r="122" spans="1:5">
      <c r="A122" s="68">
        <v>0.36287999999999998</v>
      </c>
      <c r="B122" s="68">
        <v>0.381353</v>
      </c>
      <c r="C122" s="68">
        <v>48.801400000000001</v>
      </c>
      <c r="D122" s="68">
        <v>2</v>
      </c>
      <c r="E122" s="68" t="s">
        <v>476</v>
      </c>
    </row>
    <row r="123" spans="1:5">
      <c r="A123" s="68">
        <v>0.36373899999999998</v>
      </c>
      <c r="B123" s="68">
        <v>0.38234699999999999</v>
      </c>
      <c r="C123" s="68">
        <v>49.198500000000003</v>
      </c>
      <c r="D123" s="68">
        <v>2</v>
      </c>
      <c r="E123" s="68" t="s">
        <v>477</v>
      </c>
    </row>
    <row r="124" spans="1:5">
      <c r="A124" s="68">
        <v>0.36433599999999999</v>
      </c>
      <c r="B124" s="68">
        <v>0.38374999999999998</v>
      </c>
      <c r="C124" s="68">
        <v>49.607500000000002</v>
      </c>
      <c r="D124" s="68">
        <v>2</v>
      </c>
      <c r="E124" s="68" t="s">
        <v>478</v>
      </c>
    </row>
    <row r="125" spans="1:5">
      <c r="A125" s="68">
        <v>0.36488799999999999</v>
      </c>
      <c r="B125" s="68">
        <v>0.38457999999999998</v>
      </c>
      <c r="C125" s="68">
        <v>50.017099999999999</v>
      </c>
      <c r="D125" s="68">
        <v>2</v>
      </c>
      <c r="E125" s="68" t="s">
        <v>479</v>
      </c>
    </row>
    <row r="126" spans="1:5">
      <c r="A126" s="68">
        <v>0.36555799999999999</v>
      </c>
      <c r="B126" s="68">
        <v>0.38446799999999998</v>
      </c>
      <c r="C126" s="68">
        <v>50.4191</v>
      </c>
      <c r="D126" s="68">
        <v>2</v>
      </c>
      <c r="E126" s="68" t="s">
        <v>480</v>
      </c>
    </row>
    <row r="127" spans="1:5">
      <c r="A127" s="68">
        <v>0.36619499999999999</v>
      </c>
      <c r="B127" s="68">
        <v>0.38399499999999998</v>
      </c>
      <c r="C127" s="68">
        <v>50.827100000000002</v>
      </c>
      <c r="D127" s="68">
        <v>2</v>
      </c>
      <c r="E127" s="68" t="s">
        <v>481</v>
      </c>
    </row>
    <row r="128" spans="1:5">
      <c r="A128" s="68">
        <v>0.36670999999999998</v>
      </c>
      <c r="B128" s="68">
        <v>0.383714</v>
      </c>
      <c r="C128" s="68">
        <v>51.233899999999998</v>
      </c>
      <c r="D128" s="68">
        <v>2</v>
      </c>
      <c r="E128" s="68" t="s">
        <v>482</v>
      </c>
    </row>
    <row r="129" spans="1:5">
      <c r="A129" s="68">
        <v>0.36689100000000002</v>
      </c>
      <c r="B129" s="68">
        <v>0.38337900000000003</v>
      </c>
      <c r="C129" s="68">
        <v>51.641199999999998</v>
      </c>
      <c r="D129" s="68">
        <v>2</v>
      </c>
      <c r="E129" s="68" t="s">
        <v>483</v>
      </c>
    </row>
    <row r="130" spans="1:5">
      <c r="A130" s="68">
        <v>0.366753</v>
      </c>
      <c r="B130" s="68">
        <v>0.38362299999999999</v>
      </c>
      <c r="C130" s="68">
        <v>52.043900000000001</v>
      </c>
      <c r="D130" s="68">
        <v>2</v>
      </c>
      <c r="E130" s="68" t="s">
        <v>484</v>
      </c>
    </row>
    <row r="131" spans="1:5">
      <c r="A131" s="68">
        <v>0.36645100000000003</v>
      </c>
      <c r="B131" s="68">
        <v>0.38418999999999998</v>
      </c>
      <c r="C131" s="68">
        <v>52.4529</v>
      </c>
      <c r="D131" s="68">
        <v>2</v>
      </c>
      <c r="E131" s="68" t="s">
        <v>485</v>
      </c>
    </row>
    <row r="132" spans="1:5">
      <c r="A132" s="68">
        <v>0.36591400000000002</v>
      </c>
      <c r="B132" s="68">
        <v>0.38476500000000002</v>
      </c>
      <c r="C132" s="68">
        <v>52.861600000000003</v>
      </c>
      <c r="D132" s="68">
        <v>2</v>
      </c>
      <c r="E132" s="68" t="s">
        <v>486</v>
      </c>
    </row>
    <row r="133" spans="1:5">
      <c r="A133" s="68">
        <v>0.36527300000000001</v>
      </c>
      <c r="B133" s="68">
        <v>0.38492399999999999</v>
      </c>
      <c r="C133" s="68">
        <v>53.260800000000003</v>
      </c>
      <c r="D133" s="68">
        <v>2</v>
      </c>
      <c r="E133" s="68" t="s">
        <v>487</v>
      </c>
    </row>
    <row r="134" spans="1:5">
      <c r="A134" s="68">
        <v>0.36454399999999998</v>
      </c>
      <c r="B134" s="68">
        <v>0.38492199999999999</v>
      </c>
      <c r="C134" s="68">
        <v>53.674100000000003</v>
      </c>
      <c r="D134" s="68">
        <v>2</v>
      </c>
      <c r="E134" s="68" t="s">
        <v>488</v>
      </c>
    </row>
    <row r="135" spans="1:5">
      <c r="A135" s="68">
        <v>0.36362499999999998</v>
      </c>
      <c r="B135" s="68">
        <v>0.38521300000000003</v>
      </c>
      <c r="C135" s="68">
        <v>54.082700000000003</v>
      </c>
      <c r="D135" s="68">
        <v>2</v>
      </c>
      <c r="E135" s="68" t="s">
        <v>489</v>
      </c>
    </row>
    <row r="136" spans="1:5">
      <c r="A136" s="68">
        <v>0.36270999999999998</v>
      </c>
      <c r="B136" s="68">
        <v>0.38560899999999998</v>
      </c>
      <c r="C136" s="68">
        <v>54.487499999999997</v>
      </c>
      <c r="D136" s="68">
        <v>2</v>
      </c>
      <c r="E136" s="68" t="s">
        <v>490</v>
      </c>
    </row>
    <row r="137" spans="1:5">
      <c r="A137" s="68">
        <v>0.36185899999999999</v>
      </c>
      <c r="B137" s="68">
        <v>0.38589899999999999</v>
      </c>
      <c r="C137" s="68">
        <v>54.894300000000001</v>
      </c>
      <c r="D137" s="68">
        <v>2</v>
      </c>
      <c r="E137" s="68" t="s">
        <v>491</v>
      </c>
    </row>
    <row r="138" spans="1:5">
      <c r="A138" s="68">
        <v>0.36058200000000001</v>
      </c>
      <c r="B138" s="68">
        <v>0.38728200000000002</v>
      </c>
      <c r="C138" s="68">
        <v>55.302199999999999</v>
      </c>
      <c r="D138" s="68">
        <v>2</v>
      </c>
      <c r="E138" s="68" t="s">
        <v>492</v>
      </c>
    </row>
    <row r="139" spans="1:5">
      <c r="A139" s="68">
        <v>0.35886000000000001</v>
      </c>
      <c r="B139" s="68">
        <v>0.389876</v>
      </c>
      <c r="C139" s="68">
        <v>55.7074</v>
      </c>
      <c r="D139" s="68">
        <v>2</v>
      </c>
      <c r="E139" s="68" t="s">
        <v>493</v>
      </c>
    </row>
    <row r="140" spans="1:5">
      <c r="A140" s="68">
        <v>0.35698000000000002</v>
      </c>
      <c r="B140" s="68">
        <v>0.39298699999999998</v>
      </c>
      <c r="C140" s="68">
        <v>56.110599999999998</v>
      </c>
      <c r="D140" s="68">
        <v>2</v>
      </c>
      <c r="E140" s="68" t="s">
        <v>494</v>
      </c>
    </row>
    <row r="141" spans="1:5">
      <c r="A141" s="68">
        <v>0.35576999999999998</v>
      </c>
      <c r="B141" s="68">
        <v>0.39562399999999998</v>
      </c>
      <c r="C141" s="68">
        <v>56.5182</v>
      </c>
      <c r="D141" s="68">
        <v>2</v>
      </c>
      <c r="E141" s="68" t="s">
        <v>495</v>
      </c>
    </row>
    <row r="142" spans="1:5">
      <c r="A142" s="68">
        <v>0.35521799999999998</v>
      </c>
      <c r="B142" s="68">
        <v>0.39785500000000001</v>
      </c>
      <c r="C142" s="68">
        <v>56.920999999999999</v>
      </c>
      <c r="D142" s="68">
        <v>2</v>
      </c>
      <c r="E142" s="68" t="s">
        <v>496</v>
      </c>
    </row>
    <row r="143" spans="1:5">
      <c r="A143" s="68">
        <v>0.35461100000000001</v>
      </c>
      <c r="B143" s="68">
        <v>0.3992</v>
      </c>
      <c r="C143" s="68">
        <v>57.322899999999997</v>
      </c>
      <c r="D143" s="68">
        <v>2</v>
      </c>
      <c r="E143" s="68" t="s">
        <v>497</v>
      </c>
    </row>
    <row r="144" spans="1:5">
      <c r="A144" s="68">
        <v>0.354099</v>
      </c>
      <c r="B144" s="68">
        <v>0.39972099999999999</v>
      </c>
      <c r="C144" s="68">
        <v>57.735599999999998</v>
      </c>
      <c r="D144" s="68">
        <v>2</v>
      </c>
      <c r="E144" s="68" t="s">
        <v>498</v>
      </c>
    </row>
    <row r="145" spans="1:5">
      <c r="A145" s="68">
        <v>0.35392000000000001</v>
      </c>
      <c r="B145" s="68">
        <v>0.39944099999999999</v>
      </c>
      <c r="C145" s="68">
        <v>58.140500000000003</v>
      </c>
      <c r="D145" s="68">
        <v>2</v>
      </c>
      <c r="E145" s="68" t="s">
        <v>499</v>
      </c>
    </row>
    <row r="146" spans="1:5">
      <c r="A146" s="68">
        <v>0.35381299999999999</v>
      </c>
      <c r="B146" s="68">
        <v>0.40004000000000001</v>
      </c>
      <c r="C146" s="68">
        <v>58.546399999999998</v>
      </c>
      <c r="D146" s="68">
        <v>2</v>
      </c>
      <c r="E146" s="68" t="s">
        <v>500</v>
      </c>
    </row>
    <row r="147" spans="1:5">
      <c r="A147" s="68">
        <v>0.35224899999999998</v>
      </c>
      <c r="B147" s="68">
        <v>0.40340399999999998</v>
      </c>
      <c r="C147" s="68">
        <v>58.951500000000003</v>
      </c>
      <c r="D147" s="68">
        <v>2</v>
      </c>
      <c r="E147" s="68" t="s">
        <v>501</v>
      </c>
    </row>
    <row r="148" spans="1:5">
      <c r="A148" s="68">
        <v>0.35125600000000001</v>
      </c>
      <c r="B148" s="68">
        <v>0.40724199999999999</v>
      </c>
      <c r="C148" s="68">
        <v>59.358199999999997</v>
      </c>
      <c r="D148" s="68">
        <v>2</v>
      </c>
      <c r="E148" s="68" t="s">
        <v>502</v>
      </c>
    </row>
    <row r="149" spans="1:5">
      <c r="A149" s="68">
        <v>0.35243600000000003</v>
      </c>
      <c r="B149" s="68">
        <v>0.40566799999999997</v>
      </c>
      <c r="C149" s="68">
        <v>59.764200000000002</v>
      </c>
      <c r="D149" s="68">
        <v>2</v>
      </c>
      <c r="E149" s="68" t="s">
        <v>503</v>
      </c>
    </row>
    <row r="150" spans="1:5">
      <c r="A150" s="68">
        <v>0.35434100000000002</v>
      </c>
      <c r="B150" s="68">
        <v>0.40185599999999999</v>
      </c>
      <c r="C150" s="32">
        <v>60.167999999999999</v>
      </c>
      <c r="D150" s="32">
        <v>2</v>
      </c>
      <c r="E150" s="32" t="s">
        <v>504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505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293</v>
      </c>
      <c r="G1" s="66" t="s">
        <v>294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43607.618738425925</v>
      </c>
      <c r="B2" s="66" t="s">
        <v>507</v>
      </c>
      <c r="C2" s="66"/>
      <c r="D2" s="66"/>
      <c r="E2" s="66">
        <v>4.9234099999999996</v>
      </c>
      <c r="F2" s="66">
        <v>1.7719100000000001</v>
      </c>
      <c r="G2" s="66">
        <v>0.62569799999999998</v>
      </c>
      <c r="H2" s="66">
        <v>0</v>
      </c>
      <c r="I2" s="66">
        <v>102823</v>
      </c>
      <c r="J2" s="66">
        <v>78</v>
      </c>
      <c r="K2" s="66">
        <v>78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2019-05-22T06:52:29Z</cp:lastPrinted>
  <dcterms:created xsi:type="dcterms:W3CDTF">2010-10-29T12:53:05Z</dcterms:created>
  <dcterms:modified xsi:type="dcterms:W3CDTF">2019-05-22T06:53:19Z</dcterms:modified>
</cp:coreProperties>
</file>